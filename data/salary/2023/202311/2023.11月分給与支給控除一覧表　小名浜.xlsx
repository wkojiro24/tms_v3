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DE5BF195-003C-4144-A76D-8E689985AA8C}" xr6:coauthVersionLast="47" xr6:coauthVersionMax="47" xr10:uidLastSave="{00000000-0000-0000-0000-000000000000}"/>
  <bookViews>
    <workbookView xWindow="-120" yWindow="-120" windowWidth="20730" windowHeight="11160" activeTab="2" xr2:uid="{3AB1930C-0090-4DE2-B31D-E43665A9E885}"/>
  </bookViews>
  <sheets>
    <sheet name="2023年11月度給与" sheetId="2" r:id="rId1"/>
    <sheet name="2023年11月度給与 (3)" sheetId="4" r:id="rId2"/>
    <sheet name="2023年11月度給与 (4)" sheetId="5" r:id="rId3"/>
  </sheets>
  <definedNames>
    <definedName name="_xlnm.Print_Area" localSheetId="2">'2023年11月度給与 (4)'!$A$1:$V$53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1" i="5" l="1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</calcChain>
</file>

<file path=xl/sharedStrings.xml><?xml version="1.0" encoding="utf-8"?>
<sst xmlns="http://schemas.openxmlformats.org/spreadsheetml/2006/main" count="480" uniqueCount="115">
  <si>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</si>
  <si>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</si>
  <si>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</si>
  <si>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</si>
  <si>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</si>
  <si>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</si>
  <si>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</si>
  <si>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</si>
  <si>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</si>
  <si>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</si>
  <si>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</si>
  <si>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</si>
  <si>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</si>
  <si>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</si>
  <si>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</si>
  <si>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</si>
  <si>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</si>
  <si>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</si>
  <si>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</si>
  <si>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</si>
  <si>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</si>
  <si>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</si>
  <si>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</si>
  <si>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</si>
  <si>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</si>
  <si>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</si>
  <si>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</si>
  <si>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</si>
  <si>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</si>
  <si>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</si>
  <si>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</si>
  <si>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</si>
  <si>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</si>
  <si>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</si>
  <si>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</si>
  <si>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</si>
  <si>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</si>
  <si>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</si>
  <si>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</si>
  <si>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</si>
  <si>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</si>
  <si>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</si>
  <si>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</si>
  <si>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</si>
  <si>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</si>
  <si>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</si>
  <si>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</si>
  <si>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</si>
  <si>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</si>
  <si>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</si>
  <si>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</si>
  <si>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</si>
  <si>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</si>
  <si>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</si>
  <si>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</si>
  <si>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</si>
  <si>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</si>
  <si>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</si>
  <si>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</si>
  <si>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</si>
  <si>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</si>
  <si>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</si>
  <si>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</si>
  <si>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</si>
  <si>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</si>
  <si>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</si>
  <si>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</si>
  <si>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</si>
  <si>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</si>
  <si>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</si>
  <si>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</si>
  <si>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</si>
  <si>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</si>
  <si>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</si>
  <si>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</si>
  <si>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</si>
  <si>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</si>
  <si>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</si>
  <si>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</si>
  <si>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</si>
  <si>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</si>
  <si>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</si>
  <si>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</si>
  <si>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</si>
  <si>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</si>
  <si>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</si>
  <si>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</si>
  <si>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</si>
  <si>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</si>
  <si>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</si>
  <si>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</si>
  <si>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</si>
  <si>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</si>
  <si>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</si>
  <si>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</si>
  <si>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</si>
  <si>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</si>
  <si>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</si>
  <si>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</si>
  <si>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</si>
  <si>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</si>
  <si>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</si>
  <si>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</si>
  <si>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</si>
  <si>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</si>
  <si>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</si>
  <si>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</si>
  <si>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2023年11月度給与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</si>
  <si>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</si>
  <si>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</si>
  <si>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小計</t>
    <rPh sb="0" eb="2">
      <t>ショウケイ</t>
    </rPh>
    <phoneticPr fontId="4"/>
  </si>
  <si>
    <t>８名</t>
    <rPh sb="1" eb="2">
      <t>メイ</t>
    </rPh>
    <phoneticPr fontId="4"/>
  </si>
  <si>
    <t>１名</t>
    <rPh sb="1" eb="2">
      <t>メイ</t>
    </rPh>
    <phoneticPr fontId="4"/>
  </si>
  <si>
    <t>２８名</t>
    <rPh sb="2" eb="3">
      <t>メイ</t>
    </rPh>
    <phoneticPr fontId="4"/>
  </si>
  <si>
    <t>下山田英治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</si>
</sst>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6" xfId="1" applyNumberFormat="1" applyFont="1" applyBorder="1"/>
    <xf numFmtId="3" fontId="2" fillId="0" borderId="0" xfId="1" applyNumberFormat="1" applyFont="1"/>
    <xf numFmtId="3" fontId="2" fillId="0" borderId="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/>
    <xf numFmtId="49" fontId="2" fillId="0" borderId="5" xfId="1" applyNumberFormat="1" applyFont="1" applyBorder="1" applyAlignment="1">
      <alignment horizontal="right"/>
    </xf>
    <xf numFmtId="49" fontId="2" fillId="0" borderId="5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0" xfId="1" applyNumberFormat="1" applyFont="1" applyBorder="1"/>
  </cellXfs>
  <cellStyles count="2">
    <cellStyle name="標準" xfId="0" builtinId="0"/>
    <cellStyle name="標準 2" xfId="1" xr:uid="{DE8828EF-937D-4BD8-A6E8-5CEC59F0B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EAA8-603D-4F2B-B08E-ADF286911E49}">
  <dimension ref="A1:AE53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B50" sqref="AB50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11.125" style="2" bestFit="1" customWidth="1"/>
    <col min="7" max="7" width="9" style="2" bestFit="1" customWidth="1"/>
    <col min="8" max="8" width="11.125" style="2" bestFit="1" customWidth="1"/>
    <col min="9" max="9" width="9" style="2" bestFit="1" customWidth="1"/>
    <col min="10" max="22" width="11.125" style="2" bestFit="1" customWidth="1"/>
    <col min="23" max="23" width="9" style="2" bestFit="1" customWidth="1"/>
    <col min="24" max="30" width="11.125" style="2" bestFit="1" customWidth="1"/>
    <col min="31" max="31" width="9.625" style="2" bestFit="1" customWidth="1"/>
    <col min="32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13.25" style="2" bestFit="1" customWidth="1"/>
    <col min="262" max="262" width="11.125" style="2" bestFit="1" customWidth="1"/>
    <col min="263" max="263" width="9" style="2" bestFit="1"/>
    <col min="264" max="264" width="11.125" style="2" bestFit="1" customWidth="1"/>
    <col min="265" max="265" width="9" style="2" bestFit="1"/>
    <col min="266" max="278" width="11.125" style="2" bestFit="1" customWidth="1"/>
    <col min="279" max="279" width="9" style="2" bestFit="1"/>
    <col min="280" max="286" width="11.125" style="2" bestFit="1" customWidth="1"/>
    <col min="287" max="287" width="9.625" style="2" bestFit="1" customWidth="1"/>
    <col min="28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13.25" style="2" bestFit="1" customWidth="1"/>
    <col min="518" max="518" width="11.125" style="2" bestFit="1" customWidth="1"/>
    <col min="519" max="519" width="9" style="2" bestFit="1"/>
    <col min="520" max="520" width="11.125" style="2" bestFit="1" customWidth="1"/>
    <col min="521" max="521" width="9" style="2" bestFit="1"/>
    <col min="522" max="534" width="11.125" style="2" bestFit="1" customWidth="1"/>
    <col min="535" max="535" width="9" style="2" bestFit="1"/>
    <col min="536" max="542" width="11.125" style="2" bestFit="1" customWidth="1"/>
    <col min="543" max="543" width="9.625" style="2" bestFit="1" customWidth="1"/>
    <col min="54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13.25" style="2" bestFit="1" customWidth="1"/>
    <col min="774" max="774" width="11.125" style="2" bestFit="1" customWidth="1"/>
    <col min="775" max="775" width="9" style="2" bestFit="1"/>
    <col min="776" max="776" width="11.125" style="2" bestFit="1" customWidth="1"/>
    <col min="777" max="777" width="9" style="2" bestFit="1"/>
    <col min="778" max="790" width="11.125" style="2" bestFit="1" customWidth="1"/>
    <col min="791" max="791" width="9" style="2" bestFit="1"/>
    <col min="792" max="798" width="11.125" style="2" bestFit="1" customWidth="1"/>
    <col min="799" max="799" width="9.625" style="2" bestFit="1" customWidth="1"/>
    <col min="80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13.25" style="2" bestFit="1" customWidth="1"/>
    <col min="1030" max="1030" width="11.125" style="2" bestFit="1" customWidth="1"/>
    <col min="1031" max="1031" width="9" style="2" bestFit="1"/>
    <col min="1032" max="1032" width="11.125" style="2" bestFit="1" customWidth="1"/>
    <col min="1033" max="1033" width="9" style="2" bestFit="1"/>
    <col min="1034" max="1046" width="11.125" style="2" bestFit="1" customWidth="1"/>
    <col min="1047" max="1047" width="9" style="2" bestFit="1"/>
    <col min="1048" max="1054" width="11.125" style="2" bestFit="1" customWidth="1"/>
    <col min="1055" max="1055" width="9.625" style="2" bestFit="1" customWidth="1"/>
    <col min="105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13.25" style="2" bestFit="1" customWidth="1"/>
    <col min="1286" max="1286" width="11.125" style="2" bestFit="1" customWidth="1"/>
    <col min="1287" max="1287" width="9" style="2" bestFit="1"/>
    <col min="1288" max="1288" width="11.125" style="2" bestFit="1" customWidth="1"/>
    <col min="1289" max="1289" width="9" style="2" bestFit="1"/>
    <col min="1290" max="1302" width="11.125" style="2" bestFit="1" customWidth="1"/>
    <col min="1303" max="1303" width="9" style="2" bestFit="1"/>
    <col min="1304" max="1310" width="11.125" style="2" bestFit="1" customWidth="1"/>
    <col min="1311" max="1311" width="9.625" style="2" bestFit="1" customWidth="1"/>
    <col min="131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13.25" style="2" bestFit="1" customWidth="1"/>
    <col min="1542" max="1542" width="11.125" style="2" bestFit="1" customWidth="1"/>
    <col min="1543" max="1543" width="9" style="2" bestFit="1"/>
    <col min="1544" max="1544" width="11.125" style="2" bestFit="1" customWidth="1"/>
    <col min="1545" max="1545" width="9" style="2" bestFit="1"/>
    <col min="1546" max="1558" width="11.125" style="2" bestFit="1" customWidth="1"/>
    <col min="1559" max="1559" width="9" style="2" bestFit="1"/>
    <col min="1560" max="1566" width="11.125" style="2" bestFit="1" customWidth="1"/>
    <col min="1567" max="1567" width="9.625" style="2" bestFit="1" customWidth="1"/>
    <col min="156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13.25" style="2" bestFit="1" customWidth="1"/>
    <col min="1798" max="1798" width="11.125" style="2" bestFit="1" customWidth="1"/>
    <col min="1799" max="1799" width="9" style="2" bestFit="1"/>
    <col min="1800" max="1800" width="11.125" style="2" bestFit="1" customWidth="1"/>
    <col min="1801" max="1801" width="9" style="2" bestFit="1"/>
    <col min="1802" max="1814" width="11.125" style="2" bestFit="1" customWidth="1"/>
    <col min="1815" max="1815" width="9" style="2" bestFit="1"/>
    <col min="1816" max="1822" width="11.125" style="2" bestFit="1" customWidth="1"/>
    <col min="1823" max="1823" width="9.625" style="2" bestFit="1" customWidth="1"/>
    <col min="182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13.25" style="2" bestFit="1" customWidth="1"/>
    <col min="2054" max="2054" width="11.125" style="2" bestFit="1" customWidth="1"/>
    <col min="2055" max="2055" width="9" style="2" bestFit="1"/>
    <col min="2056" max="2056" width="11.125" style="2" bestFit="1" customWidth="1"/>
    <col min="2057" max="2057" width="9" style="2" bestFit="1"/>
    <col min="2058" max="2070" width="11.125" style="2" bestFit="1" customWidth="1"/>
    <col min="2071" max="2071" width="9" style="2" bestFit="1"/>
    <col min="2072" max="2078" width="11.125" style="2" bestFit="1" customWidth="1"/>
    <col min="2079" max="2079" width="9.625" style="2" bestFit="1" customWidth="1"/>
    <col min="208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13.25" style="2" bestFit="1" customWidth="1"/>
    <col min="2310" max="2310" width="11.125" style="2" bestFit="1" customWidth="1"/>
    <col min="2311" max="2311" width="9" style="2" bestFit="1"/>
    <col min="2312" max="2312" width="11.125" style="2" bestFit="1" customWidth="1"/>
    <col min="2313" max="2313" width="9" style="2" bestFit="1"/>
    <col min="2314" max="2326" width="11.125" style="2" bestFit="1" customWidth="1"/>
    <col min="2327" max="2327" width="9" style="2" bestFit="1"/>
    <col min="2328" max="2334" width="11.125" style="2" bestFit="1" customWidth="1"/>
    <col min="2335" max="2335" width="9.625" style="2" bestFit="1" customWidth="1"/>
    <col min="233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13.25" style="2" bestFit="1" customWidth="1"/>
    <col min="2566" max="2566" width="11.125" style="2" bestFit="1" customWidth="1"/>
    <col min="2567" max="2567" width="9" style="2" bestFit="1"/>
    <col min="2568" max="2568" width="11.125" style="2" bestFit="1" customWidth="1"/>
    <col min="2569" max="2569" width="9" style="2" bestFit="1"/>
    <col min="2570" max="2582" width="11.125" style="2" bestFit="1" customWidth="1"/>
    <col min="2583" max="2583" width="9" style="2" bestFit="1"/>
    <col min="2584" max="2590" width="11.125" style="2" bestFit="1" customWidth="1"/>
    <col min="2591" max="2591" width="9.625" style="2" bestFit="1" customWidth="1"/>
    <col min="259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13.25" style="2" bestFit="1" customWidth="1"/>
    <col min="2822" max="2822" width="11.125" style="2" bestFit="1" customWidth="1"/>
    <col min="2823" max="2823" width="9" style="2" bestFit="1"/>
    <col min="2824" max="2824" width="11.125" style="2" bestFit="1" customWidth="1"/>
    <col min="2825" max="2825" width="9" style="2" bestFit="1"/>
    <col min="2826" max="2838" width="11.125" style="2" bestFit="1" customWidth="1"/>
    <col min="2839" max="2839" width="9" style="2" bestFit="1"/>
    <col min="2840" max="2846" width="11.125" style="2" bestFit="1" customWidth="1"/>
    <col min="2847" max="2847" width="9.625" style="2" bestFit="1" customWidth="1"/>
    <col min="284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13.25" style="2" bestFit="1" customWidth="1"/>
    <col min="3078" max="3078" width="11.125" style="2" bestFit="1" customWidth="1"/>
    <col min="3079" max="3079" width="9" style="2" bestFit="1"/>
    <col min="3080" max="3080" width="11.125" style="2" bestFit="1" customWidth="1"/>
    <col min="3081" max="3081" width="9" style="2" bestFit="1"/>
    <col min="3082" max="3094" width="11.125" style="2" bestFit="1" customWidth="1"/>
    <col min="3095" max="3095" width="9" style="2" bestFit="1"/>
    <col min="3096" max="3102" width="11.125" style="2" bestFit="1" customWidth="1"/>
    <col min="3103" max="3103" width="9.625" style="2" bestFit="1" customWidth="1"/>
    <col min="310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13.25" style="2" bestFit="1" customWidth="1"/>
    <col min="3334" max="3334" width="11.125" style="2" bestFit="1" customWidth="1"/>
    <col min="3335" max="3335" width="9" style="2" bestFit="1"/>
    <col min="3336" max="3336" width="11.125" style="2" bestFit="1" customWidth="1"/>
    <col min="3337" max="3337" width="9" style="2" bestFit="1"/>
    <col min="3338" max="3350" width="11.125" style="2" bestFit="1" customWidth="1"/>
    <col min="3351" max="3351" width="9" style="2" bestFit="1"/>
    <col min="3352" max="3358" width="11.125" style="2" bestFit="1" customWidth="1"/>
    <col min="3359" max="3359" width="9.625" style="2" bestFit="1" customWidth="1"/>
    <col min="336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13.25" style="2" bestFit="1" customWidth="1"/>
    <col min="3590" max="3590" width="11.125" style="2" bestFit="1" customWidth="1"/>
    <col min="3591" max="3591" width="9" style="2" bestFit="1"/>
    <col min="3592" max="3592" width="11.125" style="2" bestFit="1" customWidth="1"/>
    <col min="3593" max="3593" width="9" style="2" bestFit="1"/>
    <col min="3594" max="3606" width="11.125" style="2" bestFit="1" customWidth="1"/>
    <col min="3607" max="3607" width="9" style="2" bestFit="1"/>
    <col min="3608" max="3614" width="11.125" style="2" bestFit="1" customWidth="1"/>
    <col min="3615" max="3615" width="9.625" style="2" bestFit="1" customWidth="1"/>
    <col min="361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13.25" style="2" bestFit="1" customWidth="1"/>
    <col min="3846" max="3846" width="11.125" style="2" bestFit="1" customWidth="1"/>
    <col min="3847" max="3847" width="9" style="2" bestFit="1"/>
    <col min="3848" max="3848" width="11.125" style="2" bestFit="1" customWidth="1"/>
    <col min="3849" max="3849" width="9" style="2" bestFit="1"/>
    <col min="3850" max="3862" width="11.125" style="2" bestFit="1" customWidth="1"/>
    <col min="3863" max="3863" width="9" style="2" bestFit="1"/>
    <col min="3864" max="3870" width="11.125" style="2" bestFit="1" customWidth="1"/>
    <col min="3871" max="3871" width="9.625" style="2" bestFit="1" customWidth="1"/>
    <col min="387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13.25" style="2" bestFit="1" customWidth="1"/>
    <col min="4102" max="4102" width="11.125" style="2" bestFit="1" customWidth="1"/>
    <col min="4103" max="4103" width="9" style="2" bestFit="1"/>
    <col min="4104" max="4104" width="11.125" style="2" bestFit="1" customWidth="1"/>
    <col min="4105" max="4105" width="9" style="2" bestFit="1"/>
    <col min="4106" max="4118" width="11.125" style="2" bestFit="1" customWidth="1"/>
    <col min="4119" max="4119" width="9" style="2" bestFit="1"/>
    <col min="4120" max="4126" width="11.125" style="2" bestFit="1" customWidth="1"/>
    <col min="4127" max="4127" width="9.625" style="2" bestFit="1" customWidth="1"/>
    <col min="412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13.25" style="2" bestFit="1" customWidth="1"/>
    <col min="4358" max="4358" width="11.125" style="2" bestFit="1" customWidth="1"/>
    <col min="4359" max="4359" width="9" style="2" bestFit="1"/>
    <col min="4360" max="4360" width="11.125" style="2" bestFit="1" customWidth="1"/>
    <col min="4361" max="4361" width="9" style="2" bestFit="1"/>
    <col min="4362" max="4374" width="11.125" style="2" bestFit="1" customWidth="1"/>
    <col min="4375" max="4375" width="9" style="2" bestFit="1"/>
    <col min="4376" max="4382" width="11.125" style="2" bestFit="1" customWidth="1"/>
    <col min="4383" max="4383" width="9.625" style="2" bestFit="1" customWidth="1"/>
    <col min="438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13.25" style="2" bestFit="1" customWidth="1"/>
    <col min="4614" max="4614" width="11.125" style="2" bestFit="1" customWidth="1"/>
    <col min="4615" max="4615" width="9" style="2" bestFit="1"/>
    <col min="4616" max="4616" width="11.125" style="2" bestFit="1" customWidth="1"/>
    <col min="4617" max="4617" width="9" style="2" bestFit="1"/>
    <col min="4618" max="4630" width="11.125" style="2" bestFit="1" customWidth="1"/>
    <col min="4631" max="4631" width="9" style="2" bestFit="1"/>
    <col min="4632" max="4638" width="11.125" style="2" bestFit="1" customWidth="1"/>
    <col min="4639" max="4639" width="9.625" style="2" bestFit="1" customWidth="1"/>
    <col min="464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13.25" style="2" bestFit="1" customWidth="1"/>
    <col min="4870" max="4870" width="11.125" style="2" bestFit="1" customWidth="1"/>
    <col min="4871" max="4871" width="9" style="2" bestFit="1"/>
    <col min="4872" max="4872" width="11.125" style="2" bestFit="1" customWidth="1"/>
    <col min="4873" max="4873" width="9" style="2" bestFit="1"/>
    <col min="4874" max="4886" width="11.125" style="2" bestFit="1" customWidth="1"/>
    <col min="4887" max="4887" width="9" style="2" bestFit="1"/>
    <col min="4888" max="4894" width="11.125" style="2" bestFit="1" customWidth="1"/>
    <col min="4895" max="4895" width="9.625" style="2" bestFit="1" customWidth="1"/>
    <col min="489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13.25" style="2" bestFit="1" customWidth="1"/>
    <col min="5126" max="5126" width="11.125" style="2" bestFit="1" customWidth="1"/>
    <col min="5127" max="5127" width="9" style="2" bestFit="1"/>
    <col min="5128" max="5128" width="11.125" style="2" bestFit="1" customWidth="1"/>
    <col min="5129" max="5129" width="9" style="2" bestFit="1"/>
    <col min="5130" max="5142" width="11.125" style="2" bestFit="1" customWidth="1"/>
    <col min="5143" max="5143" width="9" style="2" bestFit="1"/>
    <col min="5144" max="5150" width="11.125" style="2" bestFit="1" customWidth="1"/>
    <col min="5151" max="5151" width="9.625" style="2" bestFit="1" customWidth="1"/>
    <col min="515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13.25" style="2" bestFit="1" customWidth="1"/>
    <col min="5382" max="5382" width="11.125" style="2" bestFit="1" customWidth="1"/>
    <col min="5383" max="5383" width="9" style="2" bestFit="1"/>
    <col min="5384" max="5384" width="11.125" style="2" bestFit="1" customWidth="1"/>
    <col min="5385" max="5385" width="9" style="2" bestFit="1"/>
    <col min="5386" max="5398" width="11.125" style="2" bestFit="1" customWidth="1"/>
    <col min="5399" max="5399" width="9" style="2" bestFit="1"/>
    <col min="5400" max="5406" width="11.125" style="2" bestFit="1" customWidth="1"/>
    <col min="5407" max="5407" width="9.625" style="2" bestFit="1" customWidth="1"/>
    <col min="540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13.25" style="2" bestFit="1" customWidth="1"/>
    <col min="5638" max="5638" width="11.125" style="2" bestFit="1" customWidth="1"/>
    <col min="5639" max="5639" width="9" style="2" bestFit="1"/>
    <col min="5640" max="5640" width="11.125" style="2" bestFit="1" customWidth="1"/>
    <col min="5641" max="5641" width="9" style="2" bestFit="1"/>
    <col min="5642" max="5654" width="11.125" style="2" bestFit="1" customWidth="1"/>
    <col min="5655" max="5655" width="9" style="2" bestFit="1"/>
    <col min="5656" max="5662" width="11.125" style="2" bestFit="1" customWidth="1"/>
    <col min="5663" max="5663" width="9.625" style="2" bestFit="1" customWidth="1"/>
    <col min="566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13.25" style="2" bestFit="1" customWidth="1"/>
    <col min="5894" max="5894" width="11.125" style="2" bestFit="1" customWidth="1"/>
    <col min="5895" max="5895" width="9" style="2" bestFit="1"/>
    <col min="5896" max="5896" width="11.125" style="2" bestFit="1" customWidth="1"/>
    <col min="5897" max="5897" width="9" style="2" bestFit="1"/>
    <col min="5898" max="5910" width="11.125" style="2" bestFit="1" customWidth="1"/>
    <col min="5911" max="5911" width="9" style="2" bestFit="1"/>
    <col min="5912" max="5918" width="11.125" style="2" bestFit="1" customWidth="1"/>
    <col min="5919" max="5919" width="9.625" style="2" bestFit="1" customWidth="1"/>
    <col min="592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13.25" style="2" bestFit="1" customWidth="1"/>
    <col min="6150" max="6150" width="11.125" style="2" bestFit="1" customWidth="1"/>
    <col min="6151" max="6151" width="9" style="2" bestFit="1"/>
    <col min="6152" max="6152" width="11.125" style="2" bestFit="1" customWidth="1"/>
    <col min="6153" max="6153" width="9" style="2" bestFit="1"/>
    <col min="6154" max="6166" width="11.125" style="2" bestFit="1" customWidth="1"/>
    <col min="6167" max="6167" width="9" style="2" bestFit="1"/>
    <col min="6168" max="6174" width="11.125" style="2" bestFit="1" customWidth="1"/>
    <col min="6175" max="6175" width="9.625" style="2" bestFit="1" customWidth="1"/>
    <col min="617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13.25" style="2" bestFit="1" customWidth="1"/>
    <col min="6406" max="6406" width="11.125" style="2" bestFit="1" customWidth="1"/>
    <col min="6407" max="6407" width="9" style="2" bestFit="1"/>
    <col min="6408" max="6408" width="11.125" style="2" bestFit="1" customWidth="1"/>
    <col min="6409" max="6409" width="9" style="2" bestFit="1"/>
    <col min="6410" max="6422" width="11.125" style="2" bestFit="1" customWidth="1"/>
    <col min="6423" max="6423" width="9" style="2" bestFit="1"/>
    <col min="6424" max="6430" width="11.125" style="2" bestFit="1" customWidth="1"/>
    <col min="6431" max="6431" width="9.625" style="2" bestFit="1" customWidth="1"/>
    <col min="643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13.25" style="2" bestFit="1" customWidth="1"/>
    <col min="6662" max="6662" width="11.125" style="2" bestFit="1" customWidth="1"/>
    <col min="6663" max="6663" width="9" style="2" bestFit="1"/>
    <col min="6664" max="6664" width="11.125" style="2" bestFit="1" customWidth="1"/>
    <col min="6665" max="6665" width="9" style="2" bestFit="1"/>
    <col min="6666" max="6678" width="11.125" style="2" bestFit="1" customWidth="1"/>
    <col min="6679" max="6679" width="9" style="2" bestFit="1"/>
    <col min="6680" max="6686" width="11.125" style="2" bestFit="1" customWidth="1"/>
    <col min="6687" max="6687" width="9.625" style="2" bestFit="1" customWidth="1"/>
    <col min="668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13.25" style="2" bestFit="1" customWidth="1"/>
    <col min="6918" max="6918" width="11.125" style="2" bestFit="1" customWidth="1"/>
    <col min="6919" max="6919" width="9" style="2" bestFit="1"/>
    <col min="6920" max="6920" width="11.125" style="2" bestFit="1" customWidth="1"/>
    <col min="6921" max="6921" width="9" style="2" bestFit="1"/>
    <col min="6922" max="6934" width="11.125" style="2" bestFit="1" customWidth="1"/>
    <col min="6935" max="6935" width="9" style="2" bestFit="1"/>
    <col min="6936" max="6942" width="11.125" style="2" bestFit="1" customWidth="1"/>
    <col min="6943" max="6943" width="9.625" style="2" bestFit="1" customWidth="1"/>
    <col min="694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13.25" style="2" bestFit="1" customWidth="1"/>
    <col min="7174" max="7174" width="11.125" style="2" bestFit="1" customWidth="1"/>
    <col min="7175" max="7175" width="9" style="2" bestFit="1"/>
    <col min="7176" max="7176" width="11.125" style="2" bestFit="1" customWidth="1"/>
    <col min="7177" max="7177" width="9" style="2" bestFit="1"/>
    <col min="7178" max="7190" width="11.125" style="2" bestFit="1" customWidth="1"/>
    <col min="7191" max="7191" width="9" style="2" bestFit="1"/>
    <col min="7192" max="7198" width="11.125" style="2" bestFit="1" customWidth="1"/>
    <col min="7199" max="7199" width="9.625" style="2" bestFit="1" customWidth="1"/>
    <col min="720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13.25" style="2" bestFit="1" customWidth="1"/>
    <col min="7430" max="7430" width="11.125" style="2" bestFit="1" customWidth="1"/>
    <col min="7431" max="7431" width="9" style="2" bestFit="1"/>
    <col min="7432" max="7432" width="11.125" style="2" bestFit="1" customWidth="1"/>
    <col min="7433" max="7433" width="9" style="2" bestFit="1"/>
    <col min="7434" max="7446" width="11.125" style="2" bestFit="1" customWidth="1"/>
    <col min="7447" max="7447" width="9" style="2" bestFit="1"/>
    <col min="7448" max="7454" width="11.125" style="2" bestFit="1" customWidth="1"/>
    <col min="7455" max="7455" width="9.625" style="2" bestFit="1" customWidth="1"/>
    <col min="745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13.25" style="2" bestFit="1" customWidth="1"/>
    <col min="7686" max="7686" width="11.125" style="2" bestFit="1" customWidth="1"/>
    <col min="7687" max="7687" width="9" style="2" bestFit="1"/>
    <col min="7688" max="7688" width="11.125" style="2" bestFit="1" customWidth="1"/>
    <col min="7689" max="7689" width="9" style="2" bestFit="1"/>
    <col min="7690" max="7702" width="11.125" style="2" bestFit="1" customWidth="1"/>
    <col min="7703" max="7703" width="9" style="2" bestFit="1"/>
    <col min="7704" max="7710" width="11.125" style="2" bestFit="1" customWidth="1"/>
    <col min="7711" max="7711" width="9.625" style="2" bestFit="1" customWidth="1"/>
    <col min="771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13.25" style="2" bestFit="1" customWidth="1"/>
    <col min="7942" max="7942" width="11.125" style="2" bestFit="1" customWidth="1"/>
    <col min="7943" max="7943" width="9" style="2" bestFit="1"/>
    <col min="7944" max="7944" width="11.125" style="2" bestFit="1" customWidth="1"/>
    <col min="7945" max="7945" width="9" style="2" bestFit="1"/>
    <col min="7946" max="7958" width="11.125" style="2" bestFit="1" customWidth="1"/>
    <col min="7959" max="7959" width="9" style="2" bestFit="1"/>
    <col min="7960" max="7966" width="11.125" style="2" bestFit="1" customWidth="1"/>
    <col min="7967" max="7967" width="9.625" style="2" bestFit="1" customWidth="1"/>
    <col min="796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13.25" style="2" bestFit="1" customWidth="1"/>
    <col min="8198" max="8198" width="11.125" style="2" bestFit="1" customWidth="1"/>
    <col min="8199" max="8199" width="9" style="2" bestFit="1"/>
    <col min="8200" max="8200" width="11.125" style="2" bestFit="1" customWidth="1"/>
    <col min="8201" max="8201" width="9" style="2" bestFit="1"/>
    <col min="8202" max="8214" width="11.125" style="2" bestFit="1" customWidth="1"/>
    <col min="8215" max="8215" width="9" style="2" bestFit="1"/>
    <col min="8216" max="8222" width="11.125" style="2" bestFit="1" customWidth="1"/>
    <col min="8223" max="8223" width="9.625" style="2" bestFit="1" customWidth="1"/>
    <col min="822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13.25" style="2" bestFit="1" customWidth="1"/>
    <col min="8454" max="8454" width="11.125" style="2" bestFit="1" customWidth="1"/>
    <col min="8455" max="8455" width="9" style="2" bestFit="1"/>
    <col min="8456" max="8456" width="11.125" style="2" bestFit="1" customWidth="1"/>
    <col min="8457" max="8457" width="9" style="2" bestFit="1"/>
    <col min="8458" max="8470" width="11.125" style="2" bestFit="1" customWidth="1"/>
    <col min="8471" max="8471" width="9" style="2" bestFit="1"/>
    <col min="8472" max="8478" width="11.125" style="2" bestFit="1" customWidth="1"/>
    <col min="8479" max="8479" width="9.625" style="2" bestFit="1" customWidth="1"/>
    <col min="848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13.25" style="2" bestFit="1" customWidth="1"/>
    <col min="8710" max="8710" width="11.125" style="2" bestFit="1" customWidth="1"/>
    <col min="8711" max="8711" width="9" style="2" bestFit="1"/>
    <col min="8712" max="8712" width="11.125" style="2" bestFit="1" customWidth="1"/>
    <col min="8713" max="8713" width="9" style="2" bestFit="1"/>
    <col min="8714" max="8726" width="11.125" style="2" bestFit="1" customWidth="1"/>
    <col min="8727" max="8727" width="9" style="2" bestFit="1"/>
    <col min="8728" max="8734" width="11.125" style="2" bestFit="1" customWidth="1"/>
    <col min="8735" max="8735" width="9.625" style="2" bestFit="1" customWidth="1"/>
    <col min="873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13.25" style="2" bestFit="1" customWidth="1"/>
    <col min="8966" max="8966" width="11.125" style="2" bestFit="1" customWidth="1"/>
    <col min="8967" max="8967" width="9" style="2" bestFit="1"/>
    <col min="8968" max="8968" width="11.125" style="2" bestFit="1" customWidth="1"/>
    <col min="8969" max="8969" width="9" style="2" bestFit="1"/>
    <col min="8970" max="8982" width="11.125" style="2" bestFit="1" customWidth="1"/>
    <col min="8983" max="8983" width="9" style="2" bestFit="1"/>
    <col min="8984" max="8990" width="11.125" style="2" bestFit="1" customWidth="1"/>
    <col min="8991" max="8991" width="9.625" style="2" bestFit="1" customWidth="1"/>
    <col min="899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13.25" style="2" bestFit="1" customWidth="1"/>
    <col min="9222" max="9222" width="11.125" style="2" bestFit="1" customWidth="1"/>
    <col min="9223" max="9223" width="9" style="2" bestFit="1"/>
    <col min="9224" max="9224" width="11.125" style="2" bestFit="1" customWidth="1"/>
    <col min="9225" max="9225" width="9" style="2" bestFit="1"/>
    <col min="9226" max="9238" width="11.125" style="2" bestFit="1" customWidth="1"/>
    <col min="9239" max="9239" width="9" style="2" bestFit="1"/>
    <col min="9240" max="9246" width="11.125" style="2" bestFit="1" customWidth="1"/>
    <col min="9247" max="9247" width="9.625" style="2" bestFit="1" customWidth="1"/>
    <col min="924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13.25" style="2" bestFit="1" customWidth="1"/>
    <col min="9478" max="9478" width="11.125" style="2" bestFit="1" customWidth="1"/>
    <col min="9479" max="9479" width="9" style="2" bestFit="1"/>
    <col min="9480" max="9480" width="11.125" style="2" bestFit="1" customWidth="1"/>
    <col min="9481" max="9481" width="9" style="2" bestFit="1"/>
    <col min="9482" max="9494" width="11.125" style="2" bestFit="1" customWidth="1"/>
    <col min="9495" max="9495" width="9" style="2" bestFit="1"/>
    <col min="9496" max="9502" width="11.125" style="2" bestFit="1" customWidth="1"/>
    <col min="9503" max="9503" width="9.625" style="2" bestFit="1" customWidth="1"/>
    <col min="950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13.25" style="2" bestFit="1" customWidth="1"/>
    <col min="9734" max="9734" width="11.125" style="2" bestFit="1" customWidth="1"/>
    <col min="9735" max="9735" width="9" style="2" bestFit="1"/>
    <col min="9736" max="9736" width="11.125" style="2" bestFit="1" customWidth="1"/>
    <col min="9737" max="9737" width="9" style="2" bestFit="1"/>
    <col min="9738" max="9750" width="11.125" style="2" bestFit="1" customWidth="1"/>
    <col min="9751" max="9751" width="9" style="2" bestFit="1"/>
    <col min="9752" max="9758" width="11.125" style="2" bestFit="1" customWidth="1"/>
    <col min="9759" max="9759" width="9.625" style="2" bestFit="1" customWidth="1"/>
    <col min="976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13.25" style="2" bestFit="1" customWidth="1"/>
    <col min="9990" max="9990" width="11.125" style="2" bestFit="1" customWidth="1"/>
    <col min="9991" max="9991" width="9" style="2" bestFit="1"/>
    <col min="9992" max="9992" width="11.125" style="2" bestFit="1" customWidth="1"/>
    <col min="9993" max="9993" width="9" style="2" bestFit="1"/>
    <col min="9994" max="10006" width="11.125" style="2" bestFit="1" customWidth="1"/>
    <col min="10007" max="10007" width="9" style="2" bestFit="1"/>
    <col min="10008" max="10014" width="11.125" style="2" bestFit="1" customWidth="1"/>
    <col min="10015" max="10015" width="9.625" style="2" bestFit="1" customWidth="1"/>
    <col min="1001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13.25" style="2" bestFit="1" customWidth="1"/>
    <col min="10246" max="10246" width="11.125" style="2" bestFit="1" customWidth="1"/>
    <col min="10247" max="10247" width="9" style="2" bestFit="1"/>
    <col min="10248" max="10248" width="11.125" style="2" bestFit="1" customWidth="1"/>
    <col min="10249" max="10249" width="9" style="2" bestFit="1"/>
    <col min="10250" max="10262" width="11.125" style="2" bestFit="1" customWidth="1"/>
    <col min="10263" max="10263" width="9" style="2" bestFit="1"/>
    <col min="10264" max="10270" width="11.125" style="2" bestFit="1" customWidth="1"/>
    <col min="10271" max="10271" width="9.625" style="2" bestFit="1" customWidth="1"/>
    <col min="1027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13.25" style="2" bestFit="1" customWidth="1"/>
    <col min="10502" max="10502" width="11.125" style="2" bestFit="1" customWidth="1"/>
    <col min="10503" max="10503" width="9" style="2" bestFit="1"/>
    <col min="10504" max="10504" width="11.125" style="2" bestFit="1" customWidth="1"/>
    <col min="10505" max="10505" width="9" style="2" bestFit="1"/>
    <col min="10506" max="10518" width="11.125" style="2" bestFit="1" customWidth="1"/>
    <col min="10519" max="10519" width="9" style="2" bestFit="1"/>
    <col min="10520" max="10526" width="11.125" style="2" bestFit="1" customWidth="1"/>
    <col min="10527" max="10527" width="9.625" style="2" bestFit="1" customWidth="1"/>
    <col min="1052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13.25" style="2" bestFit="1" customWidth="1"/>
    <col min="10758" max="10758" width="11.125" style="2" bestFit="1" customWidth="1"/>
    <col min="10759" max="10759" width="9" style="2" bestFit="1"/>
    <col min="10760" max="10760" width="11.125" style="2" bestFit="1" customWidth="1"/>
    <col min="10761" max="10761" width="9" style="2" bestFit="1"/>
    <col min="10762" max="10774" width="11.125" style="2" bestFit="1" customWidth="1"/>
    <col min="10775" max="10775" width="9" style="2" bestFit="1"/>
    <col min="10776" max="10782" width="11.125" style="2" bestFit="1" customWidth="1"/>
    <col min="10783" max="10783" width="9.625" style="2" bestFit="1" customWidth="1"/>
    <col min="1078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13.25" style="2" bestFit="1" customWidth="1"/>
    <col min="11014" max="11014" width="11.125" style="2" bestFit="1" customWidth="1"/>
    <col min="11015" max="11015" width="9" style="2" bestFit="1"/>
    <col min="11016" max="11016" width="11.125" style="2" bestFit="1" customWidth="1"/>
    <col min="11017" max="11017" width="9" style="2" bestFit="1"/>
    <col min="11018" max="11030" width="11.125" style="2" bestFit="1" customWidth="1"/>
    <col min="11031" max="11031" width="9" style="2" bestFit="1"/>
    <col min="11032" max="11038" width="11.125" style="2" bestFit="1" customWidth="1"/>
    <col min="11039" max="11039" width="9.625" style="2" bestFit="1" customWidth="1"/>
    <col min="1104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13.25" style="2" bestFit="1" customWidth="1"/>
    <col min="11270" max="11270" width="11.125" style="2" bestFit="1" customWidth="1"/>
    <col min="11271" max="11271" width="9" style="2" bestFit="1"/>
    <col min="11272" max="11272" width="11.125" style="2" bestFit="1" customWidth="1"/>
    <col min="11273" max="11273" width="9" style="2" bestFit="1"/>
    <col min="11274" max="11286" width="11.125" style="2" bestFit="1" customWidth="1"/>
    <col min="11287" max="11287" width="9" style="2" bestFit="1"/>
    <col min="11288" max="11294" width="11.125" style="2" bestFit="1" customWidth="1"/>
    <col min="11295" max="11295" width="9.625" style="2" bestFit="1" customWidth="1"/>
    <col min="1129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13.25" style="2" bestFit="1" customWidth="1"/>
    <col min="11526" max="11526" width="11.125" style="2" bestFit="1" customWidth="1"/>
    <col min="11527" max="11527" width="9" style="2" bestFit="1"/>
    <col min="11528" max="11528" width="11.125" style="2" bestFit="1" customWidth="1"/>
    <col min="11529" max="11529" width="9" style="2" bestFit="1"/>
    <col min="11530" max="11542" width="11.125" style="2" bestFit="1" customWidth="1"/>
    <col min="11543" max="11543" width="9" style="2" bestFit="1"/>
    <col min="11544" max="11550" width="11.125" style="2" bestFit="1" customWidth="1"/>
    <col min="11551" max="11551" width="9.625" style="2" bestFit="1" customWidth="1"/>
    <col min="1155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13.25" style="2" bestFit="1" customWidth="1"/>
    <col min="11782" max="11782" width="11.125" style="2" bestFit="1" customWidth="1"/>
    <col min="11783" max="11783" width="9" style="2" bestFit="1"/>
    <col min="11784" max="11784" width="11.125" style="2" bestFit="1" customWidth="1"/>
    <col min="11785" max="11785" width="9" style="2" bestFit="1"/>
    <col min="11786" max="11798" width="11.125" style="2" bestFit="1" customWidth="1"/>
    <col min="11799" max="11799" width="9" style="2" bestFit="1"/>
    <col min="11800" max="11806" width="11.125" style="2" bestFit="1" customWidth="1"/>
    <col min="11807" max="11807" width="9.625" style="2" bestFit="1" customWidth="1"/>
    <col min="1180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13.25" style="2" bestFit="1" customWidth="1"/>
    <col min="12038" max="12038" width="11.125" style="2" bestFit="1" customWidth="1"/>
    <col min="12039" max="12039" width="9" style="2" bestFit="1"/>
    <col min="12040" max="12040" width="11.125" style="2" bestFit="1" customWidth="1"/>
    <col min="12041" max="12041" width="9" style="2" bestFit="1"/>
    <col min="12042" max="12054" width="11.125" style="2" bestFit="1" customWidth="1"/>
    <col min="12055" max="12055" width="9" style="2" bestFit="1"/>
    <col min="12056" max="12062" width="11.125" style="2" bestFit="1" customWidth="1"/>
    <col min="12063" max="12063" width="9.625" style="2" bestFit="1" customWidth="1"/>
    <col min="1206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13.25" style="2" bestFit="1" customWidth="1"/>
    <col min="12294" max="12294" width="11.125" style="2" bestFit="1" customWidth="1"/>
    <col min="12295" max="12295" width="9" style="2" bestFit="1"/>
    <col min="12296" max="12296" width="11.125" style="2" bestFit="1" customWidth="1"/>
    <col min="12297" max="12297" width="9" style="2" bestFit="1"/>
    <col min="12298" max="12310" width="11.125" style="2" bestFit="1" customWidth="1"/>
    <col min="12311" max="12311" width="9" style="2" bestFit="1"/>
    <col min="12312" max="12318" width="11.125" style="2" bestFit="1" customWidth="1"/>
    <col min="12319" max="12319" width="9.625" style="2" bestFit="1" customWidth="1"/>
    <col min="1232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13.25" style="2" bestFit="1" customWidth="1"/>
    <col min="12550" max="12550" width="11.125" style="2" bestFit="1" customWidth="1"/>
    <col min="12551" max="12551" width="9" style="2" bestFit="1"/>
    <col min="12552" max="12552" width="11.125" style="2" bestFit="1" customWidth="1"/>
    <col min="12553" max="12553" width="9" style="2" bestFit="1"/>
    <col min="12554" max="12566" width="11.125" style="2" bestFit="1" customWidth="1"/>
    <col min="12567" max="12567" width="9" style="2" bestFit="1"/>
    <col min="12568" max="12574" width="11.125" style="2" bestFit="1" customWidth="1"/>
    <col min="12575" max="12575" width="9.625" style="2" bestFit="1" customWidth="1"/>
    <col min="1257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13.25" style="2" bestFit="1" customWidth="1"/>
    <col min="12806" max="12806" width="11.125" style="2" bestFit="1" customWidth="1"/>
    <col min="12807" max="12807" width="9" style="2" bestFit="1"/>
    <col min="12808" max="12808" width="11.125" style="2" bestFit="1" customWidth="1"/>
    <col min="12809" max="12809" width="9" style="2" bestFit="1"/>
    <col min="12810" max="12822" width="11.125" style="2" bestFit="1" customWidth="1"/>
    <col min="12823" max="12823" width="9" style="2" bestFit="1"/>
    <col min="12824" max="12830" width="11.125" style="2" bestFit="1" customWidth="1"/>
    <col min="12831" max="12831" width="9.625" style="2" bestFit="1" customWidth="1"/>
    <col min="1283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13.25" style="2" bestFit="1" customWidth="1"/>
    <col min="13062" max="13062" width="11.125" style="2" bestFit="1" customWidth="1"/>
    <col min="13063" max="13063" width="9" style="2" bestFit="1"/>
    <col min="13064" max="13064" width="11.125" style="2" bestFit="1" customWidth="1"/>
    <col min="13065" max="13065" width="9" style="2" bestFit="1"/>
    <col min="13066" max="13078" width="11.125" style="2" bestFit="1" customWidth="1"/>
    <col min="13079" max="13079" width="9" style="2" bestFit="1"/>
    <col min="13080" max="13086" width="11.125" style="2" bestFit="1" customWidth="1"/>
    <col min="13087" max="13087" width="9.625" style="2" bestFit="1" customWidth="1"/>
    <col min="1308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13.25" style="2" bestFit="1" customWidth="1"/>
    <col min="13318" max="13318" width="11.125" style="2" bestFit="1" customWidth="1"/>
    <col min="13319" max="13319" width="9" style="2" bestFit="1"/>
    <col min="13320" max="13320" width="11.125" style="2" bestFit="1" customWidth="1"/>
    <col min="13321" max="13321" width="9" style="2" bestFit="1"/>
    <col min="13322" max="13334" width="11.125" style="2" bestFit="1" customWidth="1"/>
    <col min="13335" max="13335" width="9" style="2" bestFit="1"/>
    <col min="13336" max="13342" width="11.125" style="2" bestFit="1" customWidth="1"/>
    <col min="13343" max="13343" width="9.625" style="2" bestFit="1" customWidth="1"/>
    <col min="1334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13.25" style="2" bestFit="1" customWidth="1"/>
    <col min="13574" max="13574" width="11.125" style="2" bestFit="1" customWidth="1"/>
    <col min="13575" max="13575" width="9" style="2" bestFit="1"/>
    <col min="13576" max="13576" width="11.125" style="2" bestFit="1" customWidth="1"/>
    <col min="13577" max="13577" width="9" style="2" bestFit="1"/>
    <col min="13578" max="13590" width="11.125" style="2" bestFit="1" customWidth="1"/>
    <col min="13591" max="13591" width="9" style="2" bestFit="1"/>
    <col min="13592" max="13598" width="11.125" style="2" bestFit="1" customWidth="1"/>
    <col min="13599" max="13599" width="9.625" style="2" bestFit="1" customWidth="1"/>
    <col min="1360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13.25" style="2" bestFit="1" customWidth="1"/>
    <col min="13830" max="13830" width="11.125" style="2" bestFit="1" customWidth="1"/>
    <col min="13831" max="13831" width="9" style="2" bestFit="1"/>
    <col min="13832" max="13832" width="11.125" style="2" bestFit="1" customWidth="1"/>
    <col min="13833" max="13833" width="9" style="2" bestFit="1"/>
    <col min="13834" max="13846" width="11.125" style="2" bestFit="1" customWidth="1"/>
    <col min="13847" max="13847" width="9" style="2" bestFit="1"/>
    <col min="13848" max="13854" width="11.125" style="2" bestFit="1" customWidth="1"/>
    <col min="13855" max="13855" width="9.625" style="2" bestFit="1" customWidth="1"/>
    <col min="1385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13.25" style="2" bestFit="1" customWidth="1"/>
    <col min="14086" max="14086" width="11.125" style="2" bestFit="1" customWidth="1"/>
    <col min="14087" max="14087" width="9" style="2" bestFit="1"/>
    <col min="14088" max="14088" width="11.125" style="2" bestFit="1" customWidth="1"/>
    <col min="14089" max="14089" width="9" style="2" bestFit="1"/>
    <col min="14090" max="14102" width="11.125" style="2" bestFit="1" customWidth="1"/>
    <col min="14103" max="14103" width="9" style="2" bestFit="1"/>
    <col min="14104" max="14110" width="11.125" style="2" bestFit="1" customWidth="1"/>
    <col min="14111" max="14111" width="9.625" style="2" bestFit="1" customWidth="1"/>
    <col min="1411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13.25" style="2" bestFit="1" customWidth="1"/>
    <col min="14342" max="14342" width="11.125" style="2" bestFit="1" customWidth="1"/>
    <col min="14343" max="14343" width="9" style="2" bestFit="1"/>
    <col min="14344" max="14344" width="11.125" style="2" bestFit="1" customWidth="1"/>
    <col min="14345" max="14345" width="9" style="2" bestFit="1"/>
    <col min="14346" max="14358" width="11.125" style="2" bestFit="1" customWidth="1"/>
    <col min="14359" max="14359" width="9" style="2" bestFit="1"/>
    <col min="14360" max="14366" width="11.125" style="2" bestFit="1" customWidth="1"/>
    <col min="14367" max="14367" width="9.625" style="2" bestFit="1" customWidth="1"/>
    <col min="1436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13.25" style="2" bestFit="1" customWidth="1"/>
    <col min="14598" max="14598" width="11.125" style="2" bestFit="1" customWidth="1"/>
    <col min="14599" max="14599" width="9" style="2" bestFit="1"/>
    <col min="14600" max="14600" width="11.125" style="2" bestFit="1" customWidth="1"/>
    <col min="14601" max="14601" width="9" style="2" bestFit="1"/>
    <col min="14602" max="14614" width="11.125" style="2" bestFit="1" customWidth="1"/>
    <col min="14615" max="14615" width="9" style="2" bestFit="1"/>
    <col min="14616" max="14622" width="11.125" style="2" bestFit="1" customWidth="1"/>
    <col min="14623" max="14623" width="9.625" style="2" bestFit="1" customWidth="1"/>
    <col min="1462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13.25" style="2" bestFit="1" customWidth="1"/>
    <col min="14854" max="14854" width="11.125" style="2" bestFit="1" customWidth="1"/>
    <col min="14855" max="14855" width="9" style="2" bestFit="1"/>
    <col min="14856" max="14856" width="11.125" style="2" bestFit="1" customWidth="1"/>
    <col min="14857" max="14857" width="9" style="2" bestFit="1"/>
    <col min="14858" max="14870" width="11.125" style="2" bestFit="1" customWidth="1"/>
    <col min="14871" max="14871" width="9" style="2" bestFit="1"/>
    <col min="14872" max="14878" width="11.125" style="2" bestFit="1" customWidth="1"/>
    <col min="14879" max="14879" width="9.625" style="2" bestFit="1" customWidth="1"/>
    <col min="1488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13.25" style="2" bestFit="1" customWidth="1"/>
    <col min="15110" max="15110" width="11.125" style="2" bestFit="1" customWidth="1"/>
    <col min="15111" max="15111" width="9" style="2" bestFit="1"/>
    <col min="15112" max="15112" width="11.125" style="2" bestFit="1" customWidth="1"/>
    <col min="15113" max="15113" width="9" style="2" bestFit="1"/>
    <col min="15114" max="15126" width="11.125" style="2" bestFit="1" customWidth="1"/>
    <col min="15127" max="15127" width="9" style="2" bestFit="1"/>
    <col min="15128" max="15134" width="11.125" style="2" bestFit="1" customWidth="1"/>
    <col min="15135" max="15135" width="9.625" style="2" bestFit="1" customWidth="1"/>
    <col min="1513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13.25" style="2" bestFit="1" customWidth="1"/>
    <col min="15366" max="15366" width="11.125" style="2" bestFit="1" customWidth="1"/>
    <col min="15367" max="15367" width="9" style="2" bestFit="1"/>
    <col min="15368" max="15368" width="11.125" style="2" bestFit="1" customWidth="1"/>
    <col min="15369" max="15369" width="9" style="2" bestFit="1"/>
    <col min="15370" max="15382" width="11.125" style="2" bestFit="1" customWidth="1"/>
    <col min="15383" max="15383" width="9" style="2" bestFit="1"/>
    <col min="15384" max="15390" width="11.125" style="2" bestFit="1" customWidth="1"/>
    <col min="15391" max="15391" width="9.625" style="2" bestFit="1" customWidth="1"/>
    <col min="1539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13.25" style="2" bestFit="1" customWidth="1"/>
    <col min="15622" max="15622" width="11.125" style="2" bestFit="1" customWidth="1"/>
    <col min="15623" max="15623" width="9" style="2" bestFit="1"/>
    <col min="15624" max="15624" width="11.125" style="2" bestFit="1" customWidth="1"/>
    <col min="15625" max="15625" width="9" style="2" bestFit="1"/>
    <col min="15626" max="15638" width="11.125" style="2" bestFit="1" customWidth="1"/>
    <col min="15639" max="15639" width="9" style="2" bestFit="1"/>
    <col min="15640" max="15646" width="11.125" style="2" bestFit="1" customWidth="1"/>
    <col min="15647" max="15647" width="9.625" style="2" bestFit="1" customWidth="1"/>
    <col min="1564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13.25" style="2" bestFit="1" customWidth="1"/>
    <col min="15878" max="15878" width="11.125" style="2" bestFit="1" customWidth="1"/>
    <col min="15879" max="15879" width="9" style="2" bestFit="1"/>
    <col min="15880" max="15880" width="11.125" style="2" bestFit="1" customWidth="1"/>
    <col min="15881" max="15881" width="9" style="2" bestFit="1"/>
    <col min="15882" max="15894" width="11.125" style="2" bestFit="1" customWidth="1"/>
    <col min="15895" max="15895" width="9" style="2" bestFit="1"/>
    <col min="15896" max="15902" width="11.125" style="2" bestFit="1" customWidth="1"/>
    <col min="15903" max="15903" width="9.625" style="2" bestFit="1" customWidth="1"/>
    <col min="1590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13.25" style="2" bestFit="1" customWidth="1"/>
    <col min="16134" max="16134" width="11.125" style="2" bestFit="1" customWidth="1"/>
    <col min="16135" max="16135" width="9" style="2" bestFit="1"/>
    <col min="16136" max="16136" width="11.125" style="2" bestFit="1" customWidth="1"/>
    <col min="16137" max="16137" width="9" style="2" bestFit="1"/>
    <col min="16138" max="16150" width="11.125" style="2" bestFit="1" customWidth="1"/>
    <col min="16151" max="16151" width="9" style="2" bestFit="1"/>
    <col min="16152" max="16158" width="11.125" style="2" bestFit="1" customWidth="1"/>
    <col min="16159" max="16159" width="9.625" style="2" bestFit="1" customWidth="1"/>
    <col min="16160" max="16384" width="9" style="2"/>
  </cols>
  <sheetData>
    <row r="1" spans="1:31">
      <c r="A1" s="1" t="s">
        <v>0</v>
      </c>
    </row>
    <row r="2" spans="1:31" ht="19.5" thickBot="1">
      <c r="A2" s="1" t="s">
        <v>107</v>
      </c>
    </row>
    <row r="3" spans="1:31">
      <c r="B3" s="4"/>
      <c r="C3" s="35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  <c r="M3" s="36" t="s">
        <v>12</v>
      </c>
      <c r="N3" s="36" t="s">
        <v>13</v>
      </c>
      <c r="O3" s="36" t="s">
        <v>14</v>
      </c>
      <c r="P3" s="36" t="s">
        <v>15</v>
      </c>
      <c r="Q3" s="36" t="s">
        <v>16</v>
      </c>
      <c r="R3" s="36" t="s">
        <v>17</v>
      </c>
      <c r="S3" s="36" t="s">
        <v>18</v>
      </c>
      <c r="T3" s="36" t="s">
        <v>19</v>
      </c>
      <c r="U3" s="36" t="s">
        <v>20</v>
      </c>
      <c r="V3" s="36" t="s">
        <v>21</v>
      </c>
      <c r="W3" s="36" t="s">
        <v>22</v>
      </c>
      <c r="X3" s="36" t="s">
        <v>23</v>
      </c>
      <c r="Y3" s="36" t="s">
        <v>24</v>
      </c>
      <c r="Z3" s="36" t="s">
        <v>25</v>
      </c>
      <c r="AA3" s="36" t="s">
        <v>26</v>
      </c>
      <c r="AB3" s="36" t="s">
        <v>27</v>
      </c>
      <c r="AC3" s="36" t="s">
        <v>28</v>
      </c>
      <c r="AD3" s="6" t="s">
        <v>29</v>
      </c>
      <c r="AE3" s="7"/>
    </row>
    <row r="4" spans="1:31" ht="19.5" thickBot="1">
      <c r="B4" s="8" t="s">
        <v>30</v>
      </c>
      <c r="C4" s="37" t="s">
        <v>31</v>
      </c>
      <c r="D4" s="38" t="s">
        <v>32</v>
      </c>
      <c r="E4" s="38" t="s">
        <v>33</v>
      </c>
      <c r="F4" s="38" t="s">
        <v>34</v>
      </c>
      <c r="G4" s="38" t="s">
        <v>35</v>
      </c>
      <c r="H4" s="38" t="s">
        <v>36</v>
      </c>
      <c r="I4" s="38" t="s">
        <v>37</v>
      </c>
      <c r="J4" s="38" t="s">
        <v>38</v>
      </c>
      <c r="K4" s="38" t="s">
        <v>39</v>
      </c>
      <c r="L4" s="38" t="s">
        <v>40</v>
      </c>
      <c r="M4" s="38" t="s">
        <v>41</v>
      </c>
      <c r="N4" s="38" t="s">
        <v>42</v>
      </c>
      <c r="O4" s="38" t="s">
        <v>43</v>
      </c>
      <c r="P4" s="38" t="s">
        <v>44</v>
      </c>
      <c r="Q4" s="38" t="s">
        <v>45</v>
      </c>
      <c r="R4" s="38" t="s">
        <v>46</v>
      </c>
      <c r="S4" s="38" t="s">
        <v>47</v>
      </c>
      <c r="T4" s="38" t="s">
        <v>48</v>
      </c>
      <c r="U4" s="38" t="s">
        <v>49</v>
      </c>
      <c r="V4" s="38" t="s">
        <v>50</v>
      </c>
      <c r="W4" s="38" t="s">
        <v>51</v>
      </c>
      <c r="X4" s="38" t="s">
        <v>52</v>
      </c>
      <c r="Y4" s="38" t="s">
        <v>53</v>
      </c>
      <c r="Z4" s="38" t="s">
        <v>54</v>
      </c>
      <c r="AA4" s="38" t="s">
        <v>55</v>
      </c>
      <c r="AB4" s="38" t="s">
        <v>56</v>
      </c>
      <c r="AC4" s="38" t="s">
        <v>57</v>
      </c>
      <c r="AD4" s="3" t="s">
        <v>58</v>
      </c>
      <c r="AE4" s="8" t="s">
        <v>59</v>
      </c>
    </row>
    <row r="5" spans="1:31">
      <c r="A5" s="1" t="s">
        <v>1</v>
      </c>
      <c r="B5" s="28" t="s">
        <v>60</v>
      </c>
      <c r="C5" s="39">
        <v>19</v>
      </c>
      <c r="D5" s="40">
        <v>19</v>
      </c>
      <c r="E5" s="40">
        <v>20</v>
      </c>
      <c r="F5" s="40">
        <v>20</v>
      </c>
      <c r="G5" s="40">
        <v>19</v>
      </c>
      <c r="H5" s="40">
        <v>19</v>
      </c>
      <c r="I5" s="40">
        <v>18</v>
      </c>
      <c r="J5" s="40">
        <v>18</v>
      </c>
      <c r="K5" s="40">
        <v>18</v>
      </c>
      <c r="L5" s="40">
        <v>20</v>
      </c>
      <c r="M5" s="40">
        <v>20</v>
      </c>
      <c r="N5" s="40">
        <v>15</v>
      </c>
      <c r="O5" s="40">
        <v>17</v>
      </c>
      <c r="P5" s="40">
        <v>20</v>
      </c>
      <c r="Q5" s="40">
        <v>20</v>
      </c>
      <c r="R5" s="40">
        <v>19</v>
      </c>
      <c r="S5" s="40">
        <v>18</v>
      </c>
      <c r="T5" s="40">
        <v>17</v>
      </c>
      <c r="U5" s="40">
        <v>17</v>
      </c>
      <c r="V5" s="40">
        <v>18</v>
      </c>
      <c r="W5" s="40">
        <v>20</v>
      </c>
      <c r="X5" s="40">
        <v>20</v>
      </c>
      <c r="Y5" s="40">
        <v>10</v>
      </c>
      <c r="Z5" s="40">
        <v>10</v>
      </c>
      <c r="AA5" s="40">
        <v>14</v>
      </c>
      <c r="AB5" s="40">
        <v>16</v>
      </c>
      <c r="AC5" s="40">
        <v>9</v>
      </c>
      <c r="AD5" s="29">
        <v>21</v>
      </c>
      <c r="AE5" s="30">
        <v>491</v>
      </c>
    </row>
    <row r="6" spans="1:31">
      <c r="A6" s="1" t="s">
        <v>1</v>
      </c>
      <c r="B6" s="25" t="s">
        <v>61</v>
      </c>
      <c r="C6" s="41">
        <v>1</v>
      </c>
      <c r="D6" s="42">
        <v>2</v>
      </c>
      <c r="E6" s="42">
        <v>4</v>
      </c>
      <c r="F6" s="42">
        <v>0</v>
      </c>
      <c r="G6" s="42">
        <v>2</v>
      </c>
      <c r="H6" s="42">
        <v>1</v>
      </c>
      <c r="I6" s="42">
        <v>1</v>
      </c>
      <c r="J6" s="42">
        <v>3</v>
      </c>
      <c r="K6" s="42">
        <v>2</v>
      </c>
      <c r="L6" s="42">
        <v>3</v>
      </c>
      <c r="M6" s="42">
        <v>3</v>
      </c>
      <c r="N6" s="42">
        <v>2</v>
      </c>
      <c r="O6" s="42">
        <v>3</v>
      </c>
      <c r="P6" s="42">
        <v>2</v>
      </c>
      <c r="Q6" s="42">
        <v>3</v>
      </c>
      <c r="R6" s="42">
        <v>0</v>
      </c>
      <c r="S6" s="42">
        <v>3</v>
      </c>
      <c r="T6" s="42">
        <v>2</v>
      </c>
      <c r="U6" s="42">
        <v>4</v>
      </c>
      <c r="V6" s="42">
        <v>1</v>
      </c>
      <c r="W6" s="42">
        <v>2</v>
      </c>
      <c r="X6" s="42">
        <v>1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31">
        <v>0</v>
      </c>
      <c r="AE6" s="32">
        <v>45</v>
      </c>
    </row>
    <row r="7" spans="1:31">
      <c r="A7" s="1" t="s">
        <v>1</v>
      </c>
      <c r="B7" s="25" t="s">
        <v>62</v>
      </c>
      <c r="C7" s="41">
        <v>4</v>
      </c>
      <c r="D7" s="42">
        <v>4</v>
      </c>
      <c r="E7" s="42">
        <v>2</v>
      </c>
      <c r="F7" s="42">
        <v>0</v>
      </c>
      <c r="G7" s="42">
        <v>1</v>
      </c>
      <c r="H7" s="42">
        <v>3</v>
      </c>
      <c r="I7" s="42">
        <v>2</v>
      </c>
      <c r="J7" s="42">
        <v>2</v>
      </c>
      <c r="K7" s="42">
        <v>2</v>
      </c>
      <c r="L7" s="42">
        <v>2</v>
      </c>
      <c r="M7" s="42">
        <v>2</v>
      </c>
      <c r="N7" s="42">
        <v>2</v>
      </c>
      <c r="O7" s="42">
        <v>3</v>
      </c>
      <c r="P7" s="42">
        <v>1</v>
      </c>
      <c r="Q7" s="42">
        <v>2</v>
      </c>
      <c r="R7" s="42">
        <v>0</v>
      </c>
      <c r="S7" s="42">
        <v>4</v>
      </c>
      <c r="T7" s="42">
        <v>3</v>
      </c>
      <c r="U7" s="42">
        <v>2</v>
      </c>
      <c r="V7" s="42">
        <v>3</v>
      </c>
      <c r="W7" s="42">
        <v>3</v>
      </c>
      <c r="X7" s="42">
        <v>5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31">
        <v>0</v>
      </c>
      <c r="AE7" s="32">
        <v>52</v>
      </c>
    </row>
    <row r="8" spans="1:31">
      <c r="A8" s="1" t="s">
        <v>1</v>
      </c>
      <c r="B8" s="25" t="s">
        <v>63</v>
      </c>
      <c r="C8" s="41">
        <v>0</v>
      </c>
      <c r="D8" s="42">
        <v>0</v>
      </c>
      <c r="E8" s="42">
        <v>0</v>
      </c>
      <c r="F8" s="42">
        <v>0</v>
      </c>
      <c r="G8" s="42">
        <v>0</v>
      </c>
      <c r="H8" s="42">
        <v>1</v>
      </c>
      <c r="I8" s="42">
        <v>0</v>
      </c>
      <c r="J8" s="42">
        <v>1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2</v>
      </c>
      <c r="T8" s="42">
        <v>3</v>
      </c>
      <c r="U8" s="42">
        <v>1</v>
      </c>
      <c r="V8" s="42">
        <v>2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31">
        <v>0</v>
      </c>
      <c r="AE8" s="32">
        <v>10</v>
      </c>
    </row>
    <row r="9" spans="1:31">
      <c r="A9" s="1" t="s">
        <v>1</v>
      </c>
      <c r="B9" s="25" t="s">
        <v>64</v>
      </c>
      <c r="C9" s="41">
        <v>1</v>
      </c>
      <c r="D9" s="42">
        <v>1</v>
      </c>
      <c r="E9" s="42">
        <v>0</v>
      </c>
      <c r="F9" s="42">
        <v>0</v>
      </c>
      <c r="G9" s="42">
        <v>1</v>
      </c>
      <c r="H9" s="42">
        <v>0</v>
      </c>
      <c r="I9" s="42">
        <v>1</v>
      </c>
      <c r="J9" s="42">
        <v>1</v>
      </c>
      <c r="K9" s="42">
        <v>2</v>
      </c>
      <c r="L9" s="42">
        <v>0</v>
      </c>
      <c r="M9" s="42">
        <v>0</v>
      </c>
      <c r="N9" s="42">
        <v>0</v>
      </c>
      <c r="O9" s="42">
        <v>3</v>
      </c>
      <c r="P9" s="42">
        <v>0</v>
      </c>
      <c r="Q9" s="42">
        <v>0</v>
      </c>
      <c r="R9" s="42">
        <v>1</v>
      </c>
      <c r="S9" s="42">
        <v>0</v>
      </c>
      <c r="T9" s="42">
        <v>0</v>
      </c>
      <c r="U9" s="42">
        <v>2</v>
      </c>
      <c r="V9" s="42">
        <v>0</v>
      </c>
      <c r="W9" s="42">
        <v>0</v>
      </c>
      <c r="X9" s="42">
        <v>0</v>
      </c>
      <c r="Y9" s="42">
        <v>1</v>
      </c>
      <c r="Z9" s="42">
        <v>0</v>
      </c>
      <c r="AA9" s="42">
        <v>1</v>
      </c>
      <c r="AB9" s="42">
        <v>1</v>
      </c>
      <c r="AC9" s="42">
        <v>0</v>
      </c>
      <c r="AD9" s="31">
        <v>0</v>
      </c>
      <c r="AE9" s="32">
        <v>16</v>
      </c>
    </row>
    <row r="10" spans="1:31">
      <c r="A10" s="1" t="s">
        <v>1</v>
      </c>
      <c r="B10" s="25" t="s">
        <v>65</v>
      </c>
      <c r="C10" s="41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N10" s="42">
        <v>5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31">
        <v>0</v>
      </c>
      <c r="AE10" s="32">
        <v>6</v>
      </c>
    </row>
    <row r="11" spans="1:31">
      <c r="A11" s="1" t="s">
        <v>1</v>
      </c>
      <c r="B11" s="25" t="s">
        <v>66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2.9166666666666665</v>
      </c>
      <c r="Z11" s="44">
        <v>2.9166666666666665</v>
      </c>
      <c r="AA11" s="44">
        <v>3.5833333333333335</v>
      </c>
      <c r="AB11" s="44">
        <v>3.7916666666666665</v>
      </c>
      <c r="AC11" s="44">
        <v>2.7916666666666665</v>
      </c>
      <c r="AD11" s="33">
        <v>4.708333333333333</v>
      </c>
      <c r="AE11" s="34">
        <v>20.708333333333332</v>
      </c>
    </row>
    <row r="12" spans="1:31">
      <c r="A12" s="1" t="s">
        <v>1</v>
      </c>
      <c r="B12" s="25" t="s">
        <v>67</v>
      </c>
      <c r="C12" s="43">
        <v>0.79166666666666663</v>
      </c>
      <c r="D12" s="44">
        <v>1.5</v>
      </c>
      <c r="E12" s="44">
        <v>0.95833333333333337</v>
      </c>
      <c r="F12" s="44">
        <v>0</v>
      </c>
      <c r="G12" s="44">
        <v>0.875</v>
      </c>
      <c r="H12" s="44">
        <v>2.5416666666666665</v>
      </c>
      <c r="I12" s="44">
        <v>1.625</v>
      </c>
      <c r="J12" s="44">
        <v>2.7916666666666665</v>
      </c>
      <c r="K12" s="44">
        <v>1.6666666666666665</v>
      </c>
      <c r="L12" s="44">
        <v>2.0416666666666665</v>
      </c>
      <c r="M12" s="44">
        <v>1.6666666666666665</v>
      </c>
      <c r="N12" s="44">
        <v>0.70833333333333337</v>
      </c>
      <c r="O12" s="44">
        <v>1.0416666666666667</v>
      </c>
      <c r="P12" s="44">
        <v>2.75</v>
      </c>
      <c r="Q12" s="44">
        <v>1</v>
      </c>
      <c r="R12" s="44">
        <v>0</v>
      </c>
      <c r="S12" s="44">
        <v>2.625</v>
      </c>
      <c r="T12" s="44">
        <v>1.0833333333333333</v>
      </c>
      <c r="U12" s="44">
        <v>1.4166666666666667</v>
      </c>
      <c r="V12" s="44">
        <v>3.0416666666666665</v>
      </c>
      <c r="W12" s="44">
        <v>1.75</v>
      </c>
      <c r="X12" s="44">
        <v>1.5416666666666665</v>
      </c>
      <c r="Y12" s="44">
        <v>0</v>
      </c>
      <c r="Z12" s="44">
        <v>0</v>
      </c>
      <c r="AA12" s="44">
        <v>0</v>
      </c>
      <c r="AB12" s="44">
        <v>0</v>
      </c>
      <c r="AC12" s="44">
        <v>4.1666666666666664E-2</v>
      </c>
      <c r="AD12" s="33">
        <v>0</v>
      </c>
      <c r="AE12" s="34">
        <v>33.458333333333336</v>
      </c>
    </row>
    <row r="13" spans="1:31">
      <c r="A13" s="1" t="s">
        <v>1</v>
      </c>
      <c r="B13" s="25" t="s">
        <v>68</v>
      </c>
      <c r="C13" s="43">
        <v>0.45833333333333331</v>
      </c>
      <c r="D13" s="44">
        <v>0.625</v>
      </c>
      <c r="E13" s="44">
        <v>1.375</v>
      </c>
      <c r="F13" s="44">
        <v>0</v>
      </c>
      <c r="G13" s="44">
        <v>0.58333333333333337</v>
      </c>
      <c r="H13" s="44">
        <v>0.25</v>
      </c>
      <c r="I13" s="44">
        <v>0.29166666666666669</v>
      </c>
      <c r="J13" s="44">
        <v>0.95833333333333337</v>
      </c>
      <c r="K13" s="44">
        <v>0.91666666666666663</v>
      </c>
      <c r="L13" s="44">
        <v>1.0416666666666667</v>
      </c>
      <c r="M13" s="44">
        <v>0.95833333333333337</v>
      </c>
      <c r="N13" s="44">
        <v>0.79166666666666663</v>
      </c>
      <c r="O13" s="44">
        <v>1.2916666666666667</v>
      </c>
      <c r="P13" s="44">
        <v>0.91666666666666663</v>
      </c>
      <c r="Q13" s="44">
        <v>0.95833333333333337</v>
      </c>
      <c r="R13" s="44">
        <v>0</v>
      </c>
      <c r="S13" s="44">
        <v>1</v>
      </c>
      <c r="T13" s="44">
        <v>0.375</v>
      </c>
      <c r="U13" s="44">
        <v>1.25</v>
      </c>
      <c r="V13" s="44">
        <v>0.375</v>
      </c>
      <c r="W13" s="44">
        <v>0.83333333333333337</v>
      </c>
      <c r="X13" s="44">
        <v>0.41666666666666669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33">
        <v>0</v>
      </c>
      <c r="AE13" s="34">
        <v>15.666666666666666</v>
      </c>
    </row>
    <row r="14" spans="1:31">
      <c r="A14" s="1" t="s">
        <v>1</v>
      </c>
      <c r="B14" s="25" t="s">
        <v>69</v>
      </c>
      <c r="C14" s="43">
        <v>1.4583333333333333</v>
      </c>
      <c r="D14" s="44">
        <v>1.3333333333333333</v>
      </c>
      <c r="E14" s="44">
        <v>0.20833333333333334</v>
      </c>
      <c r="F14" s="44">
        <v>0</v>
      </c>
      <c r="G14" s="44">
        <v>0.20833333333333334</v>
      </c>
      <c r="H14" s="44">
        <v>0.75</v>
      </c>
      <c r="I14" s="44">
        <v>0.625</v>
      </c>
      <c r="J14" s="44">
        <v>0.33333333333333331</v>
      </c>
      <c r="K14" s="44">
        <v>0.875</v>
      </c>
      <c r="L14" s="44">
        <v>0.66666666666666663</v>
      </c>
      <c r="M14" s="44">
        <v>0.79166666666666663</v>
      </c>
      <c r="N14" s="44">
        <v>0.625</v>
      </c>
      <c r="O14" s="44">
        <v>1.3333333333333333</v>
      </c>
      <c r="P14" s="44">
        <v>0.45833333333333331</v>
      </c>
      <c r="Q14" s="44">
        <v>0.70833333333333337</v>
      </c>
      <c r="R14" s="44">
        <v>0</v>
      </c>
      <c r="S14" s="44">
        <v>0.70833333333333337</v>
      </c>
      <c r="T14" s="44">
        <v>0.41666666666666669</v>
      </c>
      <c r="U14" s="44">
        <v>0.875</v>
      </c>
      <c r="V14" s="44">
        <v>0.33333333333333331</v>
      </c>
      <c r="W14" s="44">
        <v>1.2083333333333333</v>
      </c>
      <c r="X14" s="44">
        <v>2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33">
        <v>0</v>
      </c>
      <c r="AE14" s="34">
        <v>15.916666666666666</v>
      </c>
    </row>
    <row r="15" spans="1:31">
      <c r="A15" s="1" t="s">
        <v>1</v>
      </c>
      <c r="B15" s="25" t="s">
        <v>70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4">
        <v>0.45833333333333331</v>
      </c>
      <c r="U15" s="44">
        <v>0.25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33">
        <v>0</v>
      </c>
      <c r="AE15" s="34">
        <v>0.70833333333333337</v>
      </c>
    </row>
    <row r="16" spans="1:31">
      <c r="A16" s="1" t="s">
        <v>1</v>
      </c>
      <c r="B16" s="25" t="s">
        <v>71</v>
      </c>
      <c r="C16" s="4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0.29166666666666669</v>
      </c>
      <c r="I16" s="44">
        <v>0</v>
      </c>
      <c r="J16" s="44">
        <v>0.25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0.79166666666666663</v>
      </c>
      <c r="T16" s="44">
        <v>0.875</v>
      </c>
      <c r="U16" s="44">
        <v>0</v>
      </c>
      <c r="V16" s="44">
        <v>0.66666666666666663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33">
        <v>0</v>
      </c>
      <c r="AE16" s="34">
        <v>2.875</v>
      </c>
    </row>
    <row r="17" spans="1:31">
      <c r="A17" s="1" t="s">
        <v>1</v>
      </c>
      <c r="B17" s="25" t="s">
        <v>72</v>
      </c>
      <c r="C17" s="43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0.125</v>
      </c>
      <c r="I17" s="44">
        <v>0</v>
      </c>
      <c r="J17" s="44">
        <v>0.29166666666666669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0.375</v>
      </c>
      <c r="Q17" s="44">
        <v>0</v>
      </c>
      <c r="R17" s="44">
        <v>0</v>
      </c>
      <c r="S17" s="44">
        <v>0.29166666666666669</v>
      </c>
      <c r="T17" s="44">
        <v>0</v>
      </c>
      <c r="U17" s="44">
        <v>0</v>
      </c>
      <c r="V17" s="44">
        <v>0.625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33">
        <v>0</v>
      </c>
      <c r="AE17" s="34">
        <v>1.7083333333333335</v>
      </c>
    </row>
    <row r="18" spans="1:31">
      <c r="A18" s="1" t="s">
        <v>1</v>
      </c>
      <c r="B18" s="25" t="s">
        <v>73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0.29166666666666669</v>
      </c>
      <c r="Z18" s="44">
        <v>0</v>
      </c>
      <c r="AA18" s="44">
        <v>0.25</v>
      </c>
      <c r="AB18" s="44">
        <v>0.29166666666666669</v>
      </c>
      <c r="AC18" s="44">
        <v>0</v>
      </c>
      <c r="AD18" s="33">
        <v>0</v>
      </c>
      <c r="AE18" s="34">
        <v>0.83333333333333337</v>
      </c>
    </row>
    <row r="19" spans="1:31">
      <c r="A19" s="1" t="s">
        <v>1</v>
      </c>
      <c r="B19" s="9" t="s">
        <v>74</v>
      </c>
      <c r="C19" s="45">
        <v>0.125</v>
      </c>
      <c r="D19" s="46">
        <v>0.16666666666666666</v>
      </c>
      <c r="E19" s="46">
        <v>0</v>
      </c>
      <c r="F19" s="46">
        <v>0</v>
      </c>
      <c r="G19" s="46">
        <v>8.3333333333333329E-2</v>
      </c>
      <c r="H19" s="46">
        <v>0.875</v>
      </c>
      <c r="I19" s="46">
        <v>0.54166666666666663</v>
      </c>
      <c r="J19" s="46">
        <v>1.0833333333333333</v>
      </c>
      <c r="K19" s="46">
        <v>0.45833333333333331</v>
      </c>
      <c r="L19" s="46">
        <v>8.3333333333333329E-2</v>
      </c>
      <c r="M19" s="46">
        <v>0</v>
      </c>
      <c r="N19" s="46">
        <v>0.45833333333333331</v>
      </c>
      <c r="O19" s="46">
        <v>0.33333333333333331</v>
      </c>
      <c r="P19" s="46">
        <v>1.2083333333333333</v>
      </c>
      <c r="Q19" s="46">
        <v>0.375</v>
      </c>
      <c r="R19" s="46">
        <v>0</v>
      </c>
      <c r="S19" s="46">
        <v>1.125</v>
      </c>
      <c r="T19" s="46">
        <v>0.95833333333333337</v>
      </c>
      <c r="U19" s="46">
        <v>0.79166666666666663</v>
      </c>
      <c r="V19" s="46">
        <v>1.5416666666666665</v>
      </c>
      <c r="W19" s="46">
        <v>0.25</v>
      </c>
      <c r="X19" s="46">
        <v>0.125</v>
      </c>
      <c r="Y19" s="46">
        <v>2.0833333333333335</v>
      </c>
      <c r="Z19" s="46">
        <v>2.0833333333333335</v>
      </c>
      <c r="AA19" s="46">
        <v>0</v>
      </c>
      <c r="AB19" s="46">
        <v>0</v>
      </c>
      <c r="AC19" s="46">
        <v>1.0416666666666667</v>
      </c>
      <c r="AD19" s="10">
        <v>1.0416666666666667</v>
      </c>
      <c r="AE19" s="11">
        <v>16.833333333333332</v>
      </c>
    </row>
    <row r="20" spans="1:31">
      <c r="A20" s="1" t="s">
        <v>1</v>
      </c>
      <c r="B20" s="17" t="s">
        <v>75</v>
      </c>
      <c r="C20" s="47">
        <v>7</v>
      </c>
      <c r="D20" s="48">
        <v>4</v>
      </c>
      <c r="E20" s="48">
        <v>34</v>
      </c>
      <c r="F20" s="48">
        <v>34</v>
      </c>
      <c r="G20" s="48">
        <v>28</v>
      </c>
      <c r="H20" s="48">
        <v>26</v>
      </c>
      <c r="I20" s="48">
        <v>24</v>
      </c>
      <c r="J20" s="48">
        <v>19</v>
      </c>
      <c r="K20" s="48">
        <v>11</v>
      </c>
      <c r="L20" s="48">
        <v>21</v>
      </c>
      <c r="M20" s="48">
        <v>24</v>
      </c>
      <c r="N20" s="48">
        <v>32</v>
      </c>
      <c r="O20" s="48">
        <v>3</v>
      </c>
      <c r="P20" s="48">
        <v>4</v>
      </c>
      <c r="Q20" s="48">
        <v>26</v>
      </c>
      <c r="R20" s="48">
        <v>11</v>
      </c>
      <c r="S20" s="48">
        <v>5</v>
      </c>
      <c r="T20" s="48">
        <v>23</v>
      </c>
      <c r="U20" s="48">
        <v>7</v>
      </c>
      <c r="V20" s="48">
        <v>6</v>
      </c>
      <c r="W20" s="48">
        <v>6</v>
      </c>
      <c r="X20" s="48">
        <v>12</v>
      </c>
      <c r="Y20" s="48">
        <v>0</v>
      </c>
      <c r="Z20" s="48">
        <v>0</v>
      </c>
      <c r="AA20" s="48">
        <v>19</v>
      </c>
      <c r="AB20" s="48">
        <v>18</v>
      </c>
      <c r="AC20" s="48">
        <v>3</v>
      </c>
      <c r="AD20" s="18">
        <v>17</v>
      </c>
      <c r="AE20" s="19"/>
    </row>
    <row r="21" spans="1:31">
      <c r="A21" s="1" t="s">
        <v>1</v>
      </c>
      <c r="B21" s="22" t="s">
        <v>76</v>
      </c>
      <c r="C21" s="49">
        <v>177000</v>
      </c>
      <c r="D21" s="50">
        <v>187000</v>
      </c>
      <c r="E21" s="50">
        <v>270000</v>
      </c>
      <c r="F21" s="50">
        <v>385000</v>
      </c>
      <c r="G21" s="50">
        <v>192000</v>
      </c>
      <c r="H21" s="50">
        <v>192000</v>
      </c>
      <c r="I21" s="50">
        <v>187000</v>
      </c>
      <c r="J21" s="50">
        <v>192000</v>
      </c>
      <c r="K21" s="50">
        <v>177000</v>
      </c>
      <c r="L21" s="50">
        <v>182000</v>
      </c>
      <c r="M21" s="50">
        <v>177000</v>
      </c>
      <c r="N21" s="50">
        <v>187000</v>
      </c>
      <c r="O21" s="50">
        <v>177000</v>
      </c>
      <c r="P21" s="50">
        <v>182000</v>
      </c>
      <c r="Q21" s="50">
        <v>187000</v>
      </c>
      <c r="R21" s="50">
        <v>365000</v>
      </c>
      <c r="S21" s="50">
        <v>177000</v>
      </c>
      <c r="T21" s="50">
        <v>170000</v>
      </c>
      <c r="U21" s="50">
        <v>170000</v>
      </c>
      <c r="V21" s="50">
        <v>170000</v>
      </c>
      <c r="W21" s="50">
        <v>170000</v>
      </c>
      <c r="X21" s="50">
        <v>170000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23">
        <v>0</v>
      </c>
      <c r="AE21" s="24">
        <v>4443000</v>
      </c>
    </row>
    <row r="22" spans="1:31">
      <c r="A22" s="1" t="s">
        <v>1</v>
      </c>
      <c r="B22" s="25" t="s">
        <v>77</v>
      </c>
      <c r="C22" s="51">
        <v>0</v>
      </c>
      <c r="D22" s="52">
        <v>0</v>
      </c>
      <c r="E22" s="52">
        <v>0</v>
      </c>
      <c r="F22" s="52">
        <v>0</v>
      </c>
      <c r="G22" s="52">
        <v>20000</v>
      </c>
      <c r="H22" s="52">
        <v>20000</v>
      </c>
      <c r="I22" s="52">
        <v>5000</v>
      </c>
      <c r="J22" s="52">
        <v>5000</v>
      </c>
      <c r="K22" s="52">
        <v>0</v>
      </c>
      <c r="L22" s="52">
        <v>5000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5000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26">
        <v>0</v>
      </c>
      <c r="AE22" s="27">
        <v>60000</v>
      </c>
    </row>
    <row r="23" spans="1:31">
      <c r="A23" s="1" t="s">
        <v>1</v>
      </c>
      <c r="B23" s="25" t="s">
        <v>78</v>
      </c>
      <c r="C23" s="51">
        <v>0</v>
      </c>
      <c r="D23" s="52">
        <v>0</v>
      </c>
      <c r="E23" s="52">
        <v>3000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26">
        <v>0</v>
      </c>
      <c r="AE23" s="27">
        <v>3000</v>
      </c>
    </row>
    <row r="24" spans="1:31">
      <c r="A24" s="1" t="s">
        <v>1</v>
      </c>
      <c r="B24" s="25" t="s">
        <v>79</v>
      </c>
      <c r="C24" s="51">
        <v>0</v>
      </c>
      <c r="D24" s="52">
        <v>7640</v>
      </c>
      <c r="E24" s="52">
        <v>0</v>
      </c>
      <c r="F24" s="52">
        <v>0</v>
      </c>
      <c r="G24" s="52">
        <v>81036</v>
      </c>
      <c r="H24" s="52">
        <v>24135</v>
      </c>
      <c r="I24" s="52">
        <v>0</v>
      </c>
      <c r="J24" s="52">
        <v>22526</v>
      </c>
      <c r="K24" s="52">
        <v>5788</v>
      </c>
      <c r="L24" s="52">
        <v>0</v>
      </c>
      <c r="M24" s="52">
        <v>7235</v>
      </c>
      <c r="N24" s="52">
        <v>72212</v>
      </c>
      <c r="O24" s="52">
        <v>0</v>
      </c>
      <c r="P24" s="52">
        <v>0</v>
      </c>
      <c r="Q24" s="52">
        <v>39300</v>
      </c>
      <c r="R24" s="52">
        <v>0</v>
      </c>
      <c r="S24" s="52">
        <v>11083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26">
        <v>0</v>
      </c>
      <c r="AE24" s="27">
        <v>270955</v>
      </c>
    </row>
    <row r="25" spans="1:31">
      <c r="A25" s="1" t="s">
        <v>1</v>
      </c>
      <c r="B25" s="25" t="s">
        <v>80</v>
      </c>
      <c r="C25" s="51">
        <v>0</v>
      </c>
      <c r="D25" s="52">
        <v>0</v>
      </c>
      <c r="E25" s="52">
        <v>1000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26">
        <v>0</v>
      </c>
      <c r="AE25" s="27">
        <v>1000</v>
      </c>
    </row>
    <row r="26" spans="1:31">
      <c r="A26" s="1" t="s">
        <v>1</v>
      </c>
      <c r="B26" s="25" t="s">
        <v>81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64400</v>
      </c>
      <c r="Z26" s="52">
        <v>64400</v>
      </c>
      <c r="AA26" s="52">
        <v>84280</v>
      </c>
      <c r="AB26" s="52">
        <v>91000</v>
      </c>
      <c r="AC26" s="52">
        <v>61640</v>
      </c>
      <c r="AD26" s="26">
        <v>103960</v>
      </c>
      <c r="AE26" s="27">
        <v>469680</v>
      </c>
    </row>
    <row r="27" spans="1:31">
      <c r="A27" s="1" t="s">
        <v>1</v>
      </c>
      <c r="B27" s="25" t="s">
        <v>82</v>
      </c>
      <c r="C27" s="51">
        <v>3500</v>
      </c>
      <c r="D27" s="52">
        <v>3500</v>
      </c>
      <c r="E27" s="52">
        <v>0</v>
      </c>
      <c r="F27" s="52">
        <v>0</v>
      </c>
      <c r="G27" s="52">
        <v>3500</v>
      </c>
      <c r="H27" s="52">
        <v>3500</v>
      </c>
      <c r="I27" s="52">
        <v>0</v>
      </c>
      <c r="J27" s="52">
        <v>3500</v>
      </c>
      <c r="K27" s="52">
        <v>3500</v>
      </c>
      <c r="L27" s="52">
        <v>3500</v>
      </c>
      <c r="M27" s="52">
        <v>3500</v>
      </c>
      <c r="N27" s="52">
        <v>3500</v>
      </c>
      <c r="O27" s="52">
        <v>3500</v>
      </c>
      <c r="P27" s="52">
        <v>3500</v>
      </c>
      <c r="Q27" s="52">
        <v>3500</v>
      </c>
      <c r="R27" s="52">
        <v>0</v>
      </c>
      <c r="S27" s="52">
        <v>3500</v>
      </c>
      <c r="T27" s="52">
        <v>3500</v>
      </c>
      <c r="U27" s="52">
        <v>0</v>
      </c>
      <c r="V27" s="52">
        <v>1000</v>
      </c>
      <c r="W27" s="52">
        <v>1000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26">
        <v>0</v>
      </c>
      <c r="AE27" s="27">
        <v>51000</v>
      </c>
    </row>
    <row r="28" spans="1:31">
      <c r="A28" s="1" t="s">
        <v>1</v>
      </c>
      <c r="B28" s="25" t="s">
        <v>83</v>
      </c>
      <c r="C28" s="51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6440</v>
      </c>
      <c r="Z28" s="52">
        <v>0</v>
      </c>
      <c r="AA28" s="52">
        <v>5880</v>
      </c>
      <c r="AB28" s="52">
        <v>7000</v>
      </c>
      <c r="AC28" s="52">
        <v>0</v>
      </c>
      <c r="AD28" s="26">
        <v>0</v>
      </c>
      <c r="AE28" s="27">
        <v>19320</v>
      </c>
    </row>
    <row r="29" spans="1:31">
      <c r="A29" s="1" t="s">
        <v>1</v>
      </c>
      <c r="B29" s="25" t="s">
        <v>67</v>
      </c>
      <c r="C29" s="51">
        <v>25669</v>
      </c>
      <c r="D29" s="52">
        <v>51336</v>
      </c>
      <c r="E29" s="52">
        <v>47012</v>
      </c>
      <c r="F29" s="52">
        <v>0</v>
      </c>
      <c r="G29" s="52">
        <v>33873</v>
      </c>
      <c r="H29" s="52">
        <v>98393</v>
      </c>
      <c r="I29" s="52">
        <v>56082</v>
      </c>
      <c r="J29" s="52">
        <v>100567</v>
      </c>
      <c r="K29" s="52">
        <v>54040</v>
      </c>
      <c r="L29" s="52">
        <v>69874</v>
      </c>
      <c r="M29" s="52">
        <v>54040</v>
      </c>
      <c r="N29" s="52">
        <v>24242</v>
      </c>
      <c r="O29" s="52">
        <v>33775</v>
      </c>
      <c r="P29" s="52">
        <v>91674</v>
      </c>
      <c r="Q29" s="52">
        <v>34224</v>
      </c>
      <c r="R29" s="52">
        <v>0</v>
      </c>
      <c r="S29" s="52">
        <v>87507</v>
      </c>
      <c r="T29" s="52">
        <v>33774</v>
      </c>
      <c r="U29" s="52">
        <v>43282</v>
      </c>
      <c r="V29" s="52">
        <v>93440</v>
      </c>
      <c r="W29" s="52">
        <v>53760</v>
      </c>
      <c r="X29" s="52">
        <v>47101</v>
      </c>
      <c r="Y29" s="52">
        <v>0</v>
      </c>
      <c r="Z29" s="52">
        <v>0</v>
      </c>
      <c r="AA29" s="52">
        <v>0</v>
      </c>
      <c r="AB29" s="52">
        <v>0</v>
      </c>
      <c r="AC29" s="52">
        <v>1150</v>
      </c>
      <c r="AD29" s="26">
        <v>0</v>
      </c>
      <c r="AE29" s="27">
        <v>1134815</v>
      </c>
    </row>
    <row r="30" spans="1:31">
      <c r="A30" s="1" t="s">
        <v>1</v>
      </c>
      <c r="B30" s="25" t="s">
        <v>84</v>
      </c>
      <c r="C30" s="51">
        <v>16049</v>
      </c>
      <c r="D30" s="52">
        <v>23100</v>
      </c>
      <c r="E30" s="52">
        <v>72831</v>
      </c>
      <c r="F30" s="52">
        <v>0</v>
      </c>
      <c r="G30" s="52">
        <v>24388</v>
      </c>
      <c r="H30" s="52">
        <v>10452</v>
      </c>
      <c r="I30" s="52">
        <v>10871</v>
      </c>
      <c r="J30" s="52">
        <v>37283</v>
      </c>
      <c r="K30" s="52">
        <v>32098</v>
      </c>
      <c r="L30" s="52">
        <v>38500</v>
      </c>
      <c r="M30" s="52">
        <v>33557</v>
      </c>
      <c r="N30" s="52">
        <v>29260</v>
      </c>
      <c r="O30" s="52">
        <v>45229</v>
      </c>
      <c r="P30" s="52">
        <v>33000</v>
      </c>
      <c r="Q30" s="52">
        <v>35420</v>
      </c>
      <c r="R30" s="52">
        <v>0</v>
      </c>
      <c r="S30" s="52">
        <v>36000</v>
      </c>
      <c r="T30" s="52">
        <v>12627</v>
      </c>
      <c r="U30" s="52">
        <v>41220</v>
      </c>
      <c r="V30" s="52">
        <v>12438</v>
      </c>
      <c r="W30" s="52">
        <v>27640</v>
      </c>
      <c r="X30" s="52">
        <v>13740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26">
        <v>0</v>
      </c>
      <c r="AE30" s="27">
        <v>585703</v>
      </c>
    </row>
    <row r="31" spans="1:31">
      <c r="A31" s="1" t="s">
        <v>1</v>
      </c>
      <c r="B31" s="25" t="s">
        <v>85</v>
      </c>
      <c r="C31" s="51">
        <v>51065</v>
      </c>
      <c r="D31" s="52">
        <v>49280</v>
      </c>
      <c r="E31" s="52">
        <v>11035</v>
      </c>
      <c r="F31" s="52">
        <v>0</v>
      </c>
      <c r="G31" s="52">
        <v>8710</v>
      </c>
      <c r="H31" s="52">
        <v>31356</v>
      </c>
      <c r="I31" s="52">
        <v>23295</v>
      </c>
      <c r="J31" s="52">
        <v>12968</v>
      </c>
      <c r="K31" s="52">
        <v>30639</v>
      </c>
      <c r="L31" s="52">
        <v>24640</v>
      </c>
      <c r="M31" s="52">
        <v>27721</v>
      </c>
      <c r="N31" s="52">
        <v>23100</v>
      </c>
      <c r="O31" s="52">
        <v>46688</v>
      </c>
      <c r="P31" s="52">
        <v>16500</v>
      </c>
      <c r="Q31" s="52">
        <v>26180</v>
      </c>
      <c r="R31" s="52">
        <v>0</v>
      </c>
      <c r="S31" s="52">
        <v>25500</v>
      </c>
      <c r="T31" s="52">
        <v>14030</v>
      </c>
      <c r="U31" s="52">
        <v>28854</v>
      </c>
      <c r="V31" s="52">
        <v>11056</v>
      </c>
      <c r="W31" s="52">
        <v>40078</v>
      </c>
      <c r="X31" s="52">
        <v>65952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26">
        <v>0</v>
      </c>
      <c r="AE31" s="27">
        <v>568647</v>
      </c>
    </row>
    <row r="32" spans="1:31">
      <c r="A32" s="1" t="s">
        <v>1</v>
      </c>
      <c r="B32" s="25" t="s">
        <v>86</v>
      </c>
      <c r="C32" s="51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4004</v>
      </c>
      <c r="U32" s="52">
        <v>2136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26">
        <v>0</v>
      </c>
      <c r="AE32" s="27">
        <v>6140</v>
      </c>
    </row>
    <row r="33" spans="1:31">
      <c r="A33" s="1" t="s">
        <v>1</v>
      </c>
      <c r="B33" s="25" t="s">
        <v>87</v>
      </c>
      <c r="C33" s="51">
        <v>0</v>
      </c>
      <c r="D33" s="52">
        <v>0</v>
      </c>
      <c r="E33" s="52">
        <v>0</v>
      </c>
      <c r="F33" s="52">
        <v>0</v>
      </c>
      <c r="G33" s="52">
        <v>0</v>
      </c>
      <c r="H33" s="52">
        <v>3164</v>
      </c>
      <c r="I33" s="52">
        <v>0</v>
      </c>
      <c r="J33" s="52">
        <v>2520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7391</v>
      </c>
      <c r="T33" s="52">
        <v>7644</v>
      </c>
      <c r="U33" s="52">
        <v>0</v>
      </c>
      <c r="V33" s="52">
        <v>5728</v>
      </c>
      <c r="W33" s="52">
        <v>0</v>
      </c>
      <c r="X33" s="52">
        <v>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26">
        <v>0</v>
      </c>
      <c r="AE33" s="27">
        <v>26447</v>
      </c>
    </row>
    <row r="34" spans="1:31">
      <c r="A34" s="1" t="s">
        <v>1</v>
      </c>
      <c r="B34" s="25" t="s">
        <v>72</v>
      </c>
      <c r="C34" s="51">
        <v>0</v>
      </c>
      <c r="D34" s="52">
        <v>0</v>
      </c>
      <c r="E34" s="52">
        <v>0</v>
      </c>
      <c r="F34" s="52">
        <v>0</v>
      </c>
      <c r="G34" s="52">
        <v>0</v>
      </c>
      <c r="H34" s="52">
        <v>969</v>
      </c>
      <c r="I34" s="52">
        <v>0</v>
      </c>
      <c r="J34" s="52">
        <v>2100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2502</v>
      </c>
      <c r="Q34" s="52">
        <v>0</v>
      </c>
      <c r="R34" s="52">
        <v>0</v>
      </c>
      <c r="S34" s="52">
        <v>1946</v>
      </c>
      <c r="T34" s="52">
        <v>0</v>
      </c>
      <c r="U34" s="52">
        <v>0</v>
      </c>
      <c r="V34" s="52">
        <v>3840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26">
        <v>0</v>
      </c>
      <c r="AE34" s="27">
        <v>11357</v>
      </c>
    </row>
    <row r="35" spans="1:31">
      <c r="A35" s="1" t="s">
        <v>1</v>
      </c>
      <c r="B35" s="9" t="s">
        <v>74</v>
      </c>
      <c r="C35" s="53">
        <v>810</v>
      </c>
      <c r="D35" s="54">
        <v>1140</v>
      </c>
      <c r="E35" s="54">
        <v>0</v>
      </c>
      <c r="F35" s="54">
        <v>0</v>
      </c>
      <c r="G35" s="54">
        <v>646</v>
      </c>
      <c r="H35" s="54">
        <v>6783</v>
      </c>
      <c r="I35" s="54">
        <v>3744</v>
      </c>
      <c r="J35" s="54">
        <v>7800</v>
      </c>
      <c r="K35" s="54">
        <v>2970</v>
      </c>
      <c r="L35" s="54">
        <v>570</v>
      </c>
      <c r="M35" s="54">
        <v>0</v>
      </c>
      <c r="N35" s="54">
        <v>3135</v>
      </c>
      <c r="O35" s="54">
        <v>2160</v>
      </c>
      <c r="P35" s="54">
        <v>8062</v>
      </c>
      <c r="Q35" s="54">
        <v>2565</v>
      </c>
      <c r="R35" s="54">
        <v>0</v>
      </c>
      <c r="S35" s="54">
        <v>7506</v>
      </c>
      <c r="T35" s="54">
        <v>5980</v>
      </c>
      <c r="U35" s="54">
        <v>4845</v>
      </c>
      <c r="V35" s="54">
        <v>9472</v>
      </c>
      <c r="W35" s="54">
        <v>1536</v>
      </c>
      <c r="X35" s="54">
        <v>765</v>
      </c>
      <c r="Y35" s="54">
        <v>11500</v>
      </c>
      <c r="Z35" s="54">
        <v>11500</v>
      </c>
      <c r="AA35" s="54">
        <v>0</v>
      </c>
      <c r="AB35" s="54">
        <v>0</v>
      </c>
      <c r="AC35" s="54">
        <v>5750</v>
      </c>
      <c r="AD35" s="12">
        <v>5750</v>
      </c>
      <c r="AE35" s="13">
        <v>104989</v>
      </c>
    </row>
    <row r="36" spans="1:31">
      <c r="A36" s="1" t="s">
        <v>1</v>
      </c>
      <c r="B36" s="17" t="s">
        <v>88</v>
      </c>
      <c r="C36" s="55">
        <v>274093</v>
      </c>
      <c r="D36" s="56">
        <v>322996</v>
      </c>
      <c r="E36" s="56">
        <v>404878</v>
      </c>
      <c r="F36" s="56">
        <v>385000</v>
      </c>
      <c r="G36" s="56">
        <v>364153</v>
      </c>
      <c r="H36" s="56">
        <v>390752</v>
      </c>
      <c r="I36" s="56">
        <v>285992</v>
      </c>
      <c r="J36" s="56">
        <v>386264</v>
      </c>
      <c r="K36" s="56">
        <v>306035</v>
      </c>
      <c r="L36" s="56">
        <v>324084</v>
      </c>
      <c r="M36" s="56">
        <v>303053</v>
      </c>
      <c r="N36" s="56">
        <v>342449</v>
      </c>
      <c r="O36" s="56">
        <v>308352</v>
      </c>
      <c r="P36" s="56">
        <v>337238</v>
      </c>
      <c r="Q36" s="56">
        <v>328189</v>
      </c>
      <c r="R36" s="56">
        <v>365000</v>
      </c>
      <c r="S36" s="56">
        <v>362433</v>
      </c>
      <c r="T36" s="56">
        <v>251559</v>
      </c>
      <c r="U36" s="56">
        <v>290337</v>
      </c>
      <c r="V36" s="56">
        <v>306974</v>
      </c>
      <c r="W36" s="56">
        <v>294014</v>
      </c>
      <c r="X36" s="56">
        <v>297558</v>
      </c>
      <c r="Y36" s="56">
        <v>82340</v>
      </c>
      <c r="Z36" s="56">
        <v>75900</v>
      </c>
      <c r="AA36" s="56">
        <v>90160</v>
      </c>
      <c r="AB36" s="56">
        <v>98000</v>
      </c>
      <c r="AC36" s="56">
        <v>68540</v>
      </c>
      <c r="AD36" s="20">
        <v>109710</v>
      </c>
      <c r="AE36" s="21">
        <v>7756053</v>
      </c>
    </row>
    <row r="37" spans="1:31">
      <c r="A37" s="1" t="s">
        <v>1</v>
      </c>
      <c r="B37" s="22" t="s">
        <v>89</v>
      </c>
      <c r="C37" s="49">
        <v>13337</v>
      </c>
      <c r="D37" s="50">
        <v>3474</v>
      </c>
      <c r="E37" s="50">
        <v>6502</v>
      </c>
      <c r="F37" s="50">
        <v>7947</v>
      </c>
      <c r="G37" s="50">
        <v>5502</v>
      </c>
      <c r="H37" s="50">
        <v>3196</v>
      </c>
      <c r="I37" s="50">
        <v>13420</v>
      </c>
      <c r="J37" s="50">
        <v>2557</v>
      </c>
      <c r="K37" s="50">
        <v>2446</v>
      </c>
      <c r="L37" s="50">
        <v>1390</v>
      </c>
      <c r="M37" s="50">
        <v>3474</v>
      </c>
      <c r="N37" s="50">
        <v>4224</v>
      </c>
      <c r="O37" s="50">
        <v>6391</v>
      </c>
      <c r="P37" s="50">
        <v>4474</v>
      </c>
      <c r="Q37" s="50">
        <v>8336</v>
      </c>
      <c r="R37" s="50">
        <v>3501</v>
      </c>
      <c r="S37" s="50">
        <v>6947</v>
      </c>
      <c r="T37" s="50">
        <v>10392</v>
      </c>
      <c r="U37" s="50">
        <v>7669</v>
      </c>
      <c r="V37" s="50">
        <v>9169</v>
      </c>
      <c r="W37" s="50">
        <v>9030</v>
      </c>
      <c r="X37" s="50">
        <v>2890</v>
      </c>
      <c r="Y37" s="50">
        <v>3335</v>
      </c>
      <c r="Z37" s="50">
        <v>4446</v>
      </c>
      <c r="AA37" s="50">
        <v>3112</v>
      </c>
      <c r="AB37" s="50">
        <v>2223</v>
      </c>
      <c r="AC37" s="50">
        <v>3251</v>
      </c>
      <c r="AD37" s="23">
        <v>8169</v>
      </c>
      <c r="AE37" s="24">
        <v>160804</v>
      </c>
    </row>
    <row r="38" spans="1:31">
      <c r="A38" s="1" t="s">
        <v>1</v>
      </c>
      <c r="B38" s="9" t="s">
        <v>90</v>
      </c>
      <c r="C38" s="53">
        <v>13337</v>
      </c>
      <c r="D38" s="54">
        <v>3474</v>
      </c>
      <c r="E38" s="54">
        <v>6502</v>
      </c>
      <c r="F38" s="54">
        <v>7947</v>
      </c>
      <c r="G38" s="54">
        <v>5502</v>
      </c>
      <c r="H38" s="54">
        <v>3196</v>
      </c>
      <c r="I38" s="54">
        <v>13420</v>
      </c>
      <c r="J38" s="54">
        <v>2557</v>
      </c>
      <c r="K38" s="54">
        <v>2446</v>
      </c>
      <c r="L38" s="54">
        <v>1390</v>
      </c>
      <c r="M38" s="54">
        <v>3474</v>
      </c>
      <c r="N38" s="54">
        <v>4224</v>
      </c>
      <c r="O38" s="54">
        <v>6391</v>
      </c>
      <c r="P38" s="54">
        <v>4474</v>
      </c>
      <c r="Q38" s="54">
        <v>8336</v>
      </c>
      <c r="R38" s="54">
        <v>3501</v>
      </c>
      <c r="S38" s="54">
        <v>6947</v>
      </c>
      <c r="T38" s="54">
        <v>10392</v>
      </c>
      <c r="U38" s="54">
        <v>7669</v>
      </c>
      <c r="V38" s="54">
        <v>9169</v>
      </c>
      <c r="W38" s="54">
        <v>9030</v>
      </c>
      <c r="X38" s="54">
        <v>2890</v>
      </c>
      <c r="Y38" s="54">
        <v>3335</v>
      </c>
      <c r="Z38" s="54">
        <v>4446</v>
      </c>
      <c r="AA38" s="54">
        <v>3112</v>
      </c>
      <c r="AB38" s="54">
        <v>2223</v>
      </c>
      <c r="AC38" s="54">
        <v>3251</v>
      </c>
      <c r="AD38" s="12">
        <v>8169</v>
      </c>
      <c r="AE38" s="13">
        <v>160804</v>
      </c>
    </row>
    <row r="39" spans="1:31">
      <c r="A39" s="1" t="s">
        <v>1</v>
      </c>
      <c r="B39" s="17" t="s">
        <v>91</v>
      </c>
      <c r="C39" s="55">
        <v>287430</v>
      </c>
      <c r="D39" s="56">
        <v>326470</v>
      </c>
      <c r="E39" s="56">
        <v>411380</v>
      </c>
      <c r="F39" s="56">
        <v>392947</v>
      </c>
      <c r="G39" s="56">
        <v>369655</v>
      </c>
      <c r="H39" s="56">
        <v>393948</v>
      </c>
      <c r="I39" s="56">
        <v>299412</v>
      </c>
      <c r="J39" s="56">
        <v>388821</v>
      </c>
      <c r="K39" s="56">
        <v>308481</v>
      </c>
      <c r="L39" s="56">
        <v>325474</v>
      </c>
      <c r="M39" s="56">
        <v>306527</v>
      </c>
      <c r="N39" s="56">
        <v>346673</v>
      </c>
      <c r="O39" s="56">
        <v>314743</v>
      </c>
      <c r="P39" s="56">
        <v>341712</v>
      </c>
      <c r="Q39" s="56">
        <v>336525</v>
      </c>
      <c r="R39" s="56">
        <v>368501</v>
      </c>
      <c r="S39" s="56">
        <v>369380</v>
      </c>
      <c r="T39" s="56">
        <v>261951</v>
      </c>
      <c r="U39" s="56">
        <v>298006</v>
      </c>
      <c r="V39" s="56">
        <v>316143</v>
      </c>
      <c r="W39" s="56">
        <v>303044</v>
      </c>
      <c r="X39" s="56">
        <v>300448</v>
      </c>
      <c r="Y39" s="56">
        <v>85675</v>
      </c>
      <c r="Z39" s="56">
        <v>80346</v>
      </c>
      <c r="AA39" s="56">
        <v>93272</v>
      </c>
      <c r="AB39" s="56">
        <v>100223</v>
      </c>
      <c r="AC39" s="56">
        <v>71791</v>
      </c>
      <c r="AD39" s="20">
        <v>117879</v>
      </c>
      <c r="AE39" s="21">
        <v>7916857</v>
      </c>
    </row>
    <row r="40" spans="1:31">
      <c r="A40" s="1" t="s">
        <v>1</v>
      </c>
      <c r="B40" s="22" t="s">
        <v>92</v>
      </c>
      <c r="C40" s="49">
        <v>15300</v>
      </c>
      <c r="D40" s="50">
        <v>16320</v>
      </c>
      <c r="E40" s="50">
        <v>19380</v>
      </c>
      <c r="F40" s="50">
        <v>19380</v>
      </c>
      <c r="G40" s="50">
        <v>19380</v>
      </c>
      <c r="H40" s="50">
        <v>20910</v>
      </c>
      <c r="I40" s="50">
        <v>17340</v>
      </c>
      <c r="J40" s="50">
        <v>19380</v>
      </c>
      <c r="K40" s="50">
        <v>16320</v>
      </c>
      <c r="L40" s="50">
        <v>16320</v>
      </c>
      <c r="M40" s="50">
        <v>16320</v>
      </c>
      <c r="N40" s="50">
        <v>18360</v>
      </c>
      <c r="O40" s="50">
        <v>15300</v>
      </c>
      <c r="P40" s="50">
        <v>16320</v>
      </c>
      <c r="Q40" s="50">
        <v>16320</v>
      </c>
      <c r="R40" s="50">
        <v>18360</v>
      </c>
      <c r="S40" s="50">
        <v>17340</v>
      </c>
      <c r="T40" s="50">
        <v>14280</v>
      </c>
      <c r="U40" s="50">
        <v>14280</v>
      </c>
      <c r="V40" s="50">
        <v>16320</v>
      </c>
      <c r="W40" s="50">
        <v>14280</v>
      </c>
      <c r="X40" s="50">
        <v>15300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23">
        <v>0</v>
      </c>
      <c r="AE40" s="24">
        <v>372810</v>
      </c>
    </row>
    <row r="41" spans="1:31">
      <c r="A41" s="1" t="s">
        <v>1</v>
      </c>
      <c r="B41" s="25" t="s">
        <v>93</v>
      </c>
      <c r="C41" s="51">
        <v>2700</v>
      </c>
      <c r="D41" s="52">
        <v>2880</v>
      </c>
      <c r="E41" s="52">
        <v>3420</v>
      </c>
      <c r="F41" s="52">
        <v>3420</v>
      </c>
      <c r="G41" s="52">
        <v>3420</v>
      </c>
      <c r="H41" s="52">
        <v>3690</v>
      </c>
      <c r="I41" s="52">
        <v>3060</v>
      </c>
      <c r="J41" s="52">
        <v>3420</v>
      </c>
      <c r="K41" s="52">
        <v>2880</v>
      </c>
      <c r="L41" s="52">
        <v>2880</v>
      </c>
      <c r="M41" s="52">
        <v>2880</v>
      </c>
      <c r="N41" s="52">
        <v>3240</v>
      </c>
      <c r="O41" s="52">
        <v>2700</v>
      </c>
      <c r="P41" s="52">
        <v>2880</v>
      </c>
      <c r="Q41" s="52">
        <v>2880</v>
      </c>
      <c r="R41" s="52">
        <v>3240</v>
      </c>
      <c r="S41" s="52">
        <v>3060</v>
      </c>
      <c r="T41" s="52">
        <v>2520</v>
      </c>
      <c r="U41" s="52">
        <v>2520</v>
      </c>
      <c r="V41" s="52">
        <v>2880</v>
      </c>
      <c r="W41" s="52">
        <v>2520</v>
      </c>
      <c r="X41" s="52">
        <v>2700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26">
        <v>0</v>
      </c>
      <c r="AE41" s="27">
        <v>65790</v>
      </c>
    </row>
    <row r="42" spans="1:31">
      <c r="A42" s="1" t="s">
        <v>1</v>
      </c>
      <c r="B42" s="25" t="s">
        <v>94</v>
      </c>
      <c r="C42" s="51">
        <v>27450</v>
      </c>
      <c r="D42" s="52">
        <v>29280</v>
      </c>
      <c r="E42" s="52">
        <v>34770</v>
      </c>
      <c r="F42" s="52">
        <v>34770</v>
      </c>
      <c r="G42" s="52">
        <v>34770</v>
      </c>
      <c r="H42" s="52">
        <v>37515</v>
      </c>
      <c r="I42" s="52">
        <v>31110</v>
      </c>
      <c r="J42" s="52">
        <v>34770</v>
      </c>
      <c r="K42" s="52">
        <v>29280</v>
      </c>
      <c r="L42" s="52">
        <v>29280</v>
      </c>
      <c r="M42" s="52">
        <v>29280</v>
      </c>
      <c r="N42" s="52">
        <v>32940</v>
      </c>
      <c r="O42" s="52">
        <v>27450</v>
      </c>
      <c r="P42" s="52">
        <v>29280</v>
      </c>
      <c r="Q42" s="52">
        <v>29280</v>
      </c>
      <c r="R42" s="52">
        <v>32940</v>
      </c>
      <c r="S42" s="52">
        <v>31110</v>
      </c>
      <c r="T42" s="52">
        <v>25620</v>
      </c>
      <c r="U42" s="52">
        <v>25620</v>
      </c>
      <c r="V42" s="52">
        <v>29280</v>
      </c>
      <c r="W42" s="52">
        <v>25620</v>
      </c>
      <c r="X42" s="52">
        <v>27450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26">
        <v>0</v>
      </c>
      <c r="AE42" s="27">
        <v>668865</v>
      </c>
    </row>
    <row r="43" spans="1:31">
      <c r="A43" s="1" t="s">
        <v>1</v>
      </c>
      <c r="B43" s="9" t="s">
        <v>95</v>
      </c>
      <c r="C43" s="53">
        <v>1725</v>
      </c>
      <c r="D43" s="54">
        <v>1959</v>
      </c>
      <c r="E43" s="54">
        <v>2468</v>
      </c>
      <c r="F43" s="54">
        <v>2358</v>
      </c>
      <c r="G43" s="54">
        <v>2218</v>
      </c>
      <c r="H43" s="54">
        <v>2364</v>
      </c>
      <c r="I43" s="54">
        <v>1796</v>
      </c>
      <c r="J43" s="54">
        <v>2333</v>
      </c>
      <c r="K43" s="54">
        <v>1851</v>
      </c>
      <c r="L43" s="54">
        <v>1953</v>
      </c>
      <c r="M43" s="54">
        <v>1839</v>
      </c>
      <c r="N43" s="54">
        <v>2080</v>
      </c>
      <c r="O43" s="54">
        <v>1888</v>
      </c>
      <c r="P43" s="54">
        <v>2050</v>
      </c>
      <c r="Q43" s="54">
        <v>2019</v>
      </c>
      <c r="R43" s="54">
        <v>2211</v>
      </c>
      <c r="S43" s="54">
        <v>2216</v>
      </c>
      <c r="T43" s="54">
        <v>1572</v>
      </c>
      <c r="U43" s="54">
        <v>1788</v>
      </c>
      <c r="V43" s="54">
        <v>1897</v>
      </c>
      <c r="W43" s="54">
        <v>1818</v>
      </c>
      <c r="X43" s="54">
        <v>1803</v>
      </c>
      <c r="Y43" s="54">
        <v>0</v>
      </c>
      <c r="Z43" s="54">
        <v>0</v>
      </c>
      <c r="AA43" s="54">
        <v>560</v>
      </c>
      <c r="AB43" s="54">
        <v>601</v>
      </c>
      <c r="AC43" s="54">
        <v>0</v>
      </c>
      <c r="AD43" s="12">
        <v>707</v>
      </c>
      <c r="AE43" s="13">
        <v>46074</v>
      </c>
    </row>
    <row r="44" spans="1:31">
      <c r="A44" s="1" t="s">
        <v>1</v>
      </c>
      <c r="B44" s="17" t="s">
        <v>96</v>
      </c>
      <c r="C44" s="55">
        <v>47175</v>
      </c>
      <c r="D44" s="56">
        <v>50439</v>
      </c>
      <c r="E44" s="56">
        <v>60038</v>
      </c>
      <c r="F44" s="56">
        <v>59928</v>
      </c>
      <c r="G44" s="56">
        <v>59788</v>
      </c>
      <c r="H44" s="56">
        <v>64479</v>
      </c>
      <c r="I44" s="56">
        <v>53306</v>
      </c>
      <c r="J44" s="56">
        <v>59903</v>
      </c>
      <c r="K44" s="56">
        <v>50331</v>
      </c>
      <c r="L44" s="56">
        <v>50433</v>
      </c>
      <c r="M44" s="56">
        <v>50319</v>
      </c>
      <c r="N44" s="56">
        <v>56620</v>
      </c>
      <c r="O44" s="56">
        <v>47338</v>
      </c>
      <c r="P44" s="56">
        <v>50530</v>
      </c>
      <c r="Q44" s="56">
        <v>50499</v>
      </c>
      <c r="R44" s="56">
        <v>56751</v>
      </c>
      <c r="S44" s="56">
        <v>53726</v>
      </c>
      <c r="T44" s="56">
        <v>43992</v>
      </c>
      <c r="U44" s="56">
        <v>44208</v>
      </c>
      <c r="V44" s="56">
        <v>50377</v>
      </c>
      <c r="W44" s="56">
        <v>44238</v>
      </c>
      <c r="X44" s="56">
        <v>47253</v>
      </c>
      <c r="Y44" s="56">
        <v>0</v>
      </c>
      <c r="Z44" s="56">
        <v>0</v>
      </c>
      <c r="AA44" s="56">
        <v>560</v>
      </c>
      <c r="AB44" s="56">
        <v>601</v>
      </c>
      <c r="AC44" s="56">
        <v>0</v>
      </c>
      <c r="AD44" s="20">
        <v>707</v>
      </c>
      <c r="AE44" s="21">
        <v>1153539</v>
      </c>
    </row>
    <row r="45" spans="1:31">
      <c r="A45" s="1" t="s">
        <v>1</v>
      </c>
      <c r="B45" s="22" t="s">
        <v>97</v>
      </c>
      <c r="C45" s="49">
        <v>4110</v>
      </c>
      <c r="D45" s="50">
        <v>7360</v>
      </c>
      <c r="E45" s="50">
        <v>8810</v>
      </c>
      <c r="F45" s="50">
        <v>10430</v>
      </c>
      <c r="G45" s="50">
        <v>6900</v>
      </c>
      <c r="H45" s="50">
        <v>10530</v>
      </c>
      <c r="I45" s="50">
        <v>4320</v>
      </c>
      <c r="J45" s="50">
        <v>10530</v>
      </c>
      <c r="K45" s="50">
        <v>6760</v>
      </c>
      <c r="L45" s="50">
        <v>5780</v>
      </c>
      <c r="M45" s="50">
        <v>6650</v>
      </c>
      <c r="N45" s="50">
        <v>7830</v>
      </c>
      <c r="O45" s="50">
        <v>6940</v>
      </c>
      <c r="P45" s="50">
        <v>7860</v>
      </c>
      <c r="Q45" s="50">
        <v>7540</v>
      </c>
      <c r="R45" s="50">
        <v>9050</v>
      </c>
      <c r="S45" s="50">
        <v>3840</v>
      </c>
      <c r="T45" s="50">
        <v>5040</v>
      </c>
      <c r="U45" s="50">
        <v>6410</v>
      </c>
      <c r="V45" s="50">
        <v>5170</v>
      </c>
      <c r="W45" s="50">
        <v>6540</v>
      </c>
      <c r="X45" s="50">
        <v>6560</v>
      </c>
      <c r="Y45" s="50">
        <v>0</v>
      </c>
      <c r="Z45" s="50">
        <v>0</v>
      </c>
      <c r="AA45" s="50">
        <v>190</v>
      </c>
      <c r="AB45" s="50">
        <v>590</v>
      </c>
      <c r="AC45" s="50">
        <v>0</v>
      </c>
      <c r="AD45" s="23">
        <v>0</v>
      </c>
      <c r="AE45" s="24">
        <v>155740</v>
      </c>
    </row>
    <row r="46" spans="1:31">
      <c r="A46" s="1" t="s">
        <v>1</v>
      </c>
      <c r="B46" s="25" t="s">
        <v>98</v>
      </c>
      <c r="C46" s="51">
        <v>1300</v>
      </c>
      <c r="D46" s="52">
        <v>1300</v>
      </c>
      <c r="E46" s="52">
        <v>0</v>
      </c>
      <c r="F46" s="52">
        <v>0</v>
      </c>
      <c r="G46" s="52">
        <v>1300</v>
      </c>
      <c r="H46" s="52">
        <v>0</v>
      </c>
      <c r="I46" s="52">
        <v>1300</v>
      </c>
      <c r="J46" s="52">
        <v>1300</v>
      </c>
      <c r="K46" s="52">
        <v>1300</v>
      </c>
      <c r="L46" s="52">
        <v>1300</v>
      </c>
      <c r="M46" s="52">
        <v>1300</v>
      </c>
      <c r="N46" s="52">
        <v>1300</v>
      </c>
      <c r="O46" s="52">
        <v>0</v>
      </c>
      <c r="P46" s="52">
        <v>0</v>
      </c>
      <c r="Q46" s="52">
        <v>1300</v>
      </c>
      <c r="R46" s="52">
        <v>0</v>
      </c>
      <c r="S46" s="52">
        <v>1300</v>
      </c>
      <c r="T46" s="52">
        <v>1300</v>
      </c>
      <c r="U46" s="52">
        <v>1300</v>
      </c>
      <c r="V46" s="52">
        <v>1300</v>
      </c>
      <c r="W46" s="52">
        <v>1300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26">
        <v>0</v>
      </c>
      <c r="AE46" s="27">
        <v>19500</v>
      </c>
    </row>
    <row r="47" spans="1:31">
      <c r="A47" s="1" t="s">
        <v>1</v>
      </c>
      <c r="B47" s="9" t="s">
        <v>99</v>
      </c>
      <c r="C47" s="53">
        <v>8800</v>
      </c>
      <c r="D47" s="54">
        <v>1500</v>
      </c>
      <c r="E47" s="54">
        <v>16400</v>
      </c>
      <c r="F47" s="54">
        <v>17300</v>
      </c>
      <c r="G47" s="54">
        <v>14600</v>
      </c>
      <c r="H47" s="54">
        <v>17100</v>
      </c>
      <c r="I47" s="54">
        <v>9500</v>
      </c>
      <c r="J47" s="54">
        <v>13100</v>
      </c>
      <c r="K47" s="54">
        <v>15100</v>
      </c>
      <c r="L47" s="54">
        <v>10100</v>
      </c>
      <c r="M47" s="54">
        <v>13400</v>
      </c>
      <c r="N47" s="54">
        <v>16100</v>
      </c>
      <c r="O47" s="54">
        <v>10500</v>
      </c>
      <c r="P47" s="54">
        <v>11300</v>
      </c>
      <c r="Q47" s="54">
        <v>13200</v>
      </c>
      <c r="R47" s="54">
        <v>16800</v>
      </c>
      <c r="S47" s="54">
        <v>5600</v>
      </c>
      <c r="T47" s="54">
        <v>0</v>
      </c>
      <c r="U47" s="54">
        <v>8500</v>
      </c>
      <c r="V47" s="54">
        <v>3100</v>
      </c>
      <c r="W47" s="54">
        <v>2000</v>
      </c>
      <c r="X47" s="54">
        <v>17300</v>
      </c>
      <c r="Y47" s="54">
        <v>0</v>
      </c>
      <c r="Z47" s="54">
        <v>0</v>
      </c>
      <c r="AA47" s="54">
        <v>600</v>
      </c>
      <c r="AB47" s="54">
        <v>500</v>
      </c>
      <c r="AC47" s="54">
        <v>0</v>
      </c>
      <c r="AD47" s="12">
        <v>2300</v>
      </c>
      <c r="AE47" s="13">
        <v>244700</v>
      </c>
    </row>
    <row r="48" spans="1:31">
      <c r="A48" s="1" t="s">
        <v>1</v>
      </c>
      <c r="B48" s="17" t="s">
        <v>100</v>
      </c>
      <c r="C48" s="55">
        <v>61385</v>
      </c>
      <c r="D48" s="56">
        <v>60599</v>
      </c>
      <c r="E48" s="56">
        <v>85248</v>
      </c>
      <c r="F48" s="56">
        <v>87658</v>
      </c>
      <c r="G48" s="56">
        <v>82588</v>
      </c>
      <c r="H48" s="56">
        <v>92109</v>
      </c>
      <c r="I48" s="56">
        <v>68426</v>
      </c>
      <c r="J48" s="56">
        <v>84833</v>
      </c>
      <c r="K48" s="56">
        <v>73491</v>
      </c>
      <c r="L48" s="56">
        <v>67613</v>
      </c>
      <c r="M48" s="56">
        <v>71669</v>
      </c>
      <c r="N48" s="56">
        <v>81850</v>
      </c>
      <c r="O48" s="56">
        <v>64778</v>
      </c>
      <c r="P48" s="56">
        <v>69690</v>
      </c>
      <c r="Q48" s="56">
        <v>72539</v>
      </c>
      <c r="R48" s="56">
        <v>82601</v>
      </c>
      <c r="S48" s="56">
        <v>64466</v>
      </c>
      <c r="T48" s="56">
        <v>50332</v>
      </c>
      <c r="U48" s="56">
        <v>60418</v>
      </c>
      <c r="V48" s="56">
        <v>59947</v>
      </c>
      <c r="W48" s="56">
        <v>54078</v>
      </c>
      <c r="X48" s="56">
        <v>71113</v>
      </c>
      <c r="Y48" s="56">
        <v>0</v>
      </c>
      <c r="Z48" s="56">
        <v>0</v>
      </c>
      <c r="AA48" s="56">
        <v>1350</v>
      </c>
      <c r="AB48" s="56">
        <v>1691</v>
      </c>
      <c r="AC48" s="56">
        <v>0</v>
      </c>
      <c r="AD48" s="20">
        <v>3007</v>
      </c>
      <c r="AE48" s="21">
        <v>1573479</v>
      </c>
    </row>
    <row r="49" spans="1:31">
      <c r="A49" s="1" t="s">
        <v>1</v>
      </c>
      <c r="B49" s="17" t="s">
        <v>101</v>
      </c>
      <c r="C49" s="55">
        <v>226918</v>
      </c>
      <c r="D49" s="56">
        <v>272557</v>
      </c>
      <c r="E49" s="56">
        <v>344840</v>
      </c>
      <c r="F49" s="56">
        <v>325072</v>
      </c>
      <c r="G49" s="56">
        <v>304365</v>
      </c>
      <c r="H49" s="56">
        <v>326273</v>
      </c>
      <c r="I49" s="56">
        <v>232686</v>
      </c>
      <c r="J49" s="56">
        <v>326361</v>
      </c>
      <c r="K49" s="56">
        <v>255704</v>
      </c>
      <c r="L49" s="56">
        <v>273651</v>
      </c>
      <c r="M49" s="56">
        <v>252734</v>
      </c>
      <c r="N49" s="56">
        <v>285829</v>
      </c>
      <c r="O49" s="56">
        <v>261014</v>
      </c>
      <c r="P49" s="56">
        <v>286708</v>
      </c>
      <c r="Q49" s="56">
        <v>277690</v>
      </c>
      <c r="R49" s="56">
        <v>308249</v>
      </c>
      <c r="S49" s="56">
        <v>308707</v>
      </c>
      <c r="T49" s="56">
        <v>207567</v>
      </c>
      <c r="U49" s="56">
        <v>246129</v>
      </c>
      <c r="V49" s="56">
        <v>256597</v>
      </c>
      <c r="W49" s="56">
        <v>249776</v>
      </c>
      <c r="X49" s="56">
        <v>250305</v>
      </c>
      <c r="Y49" s="56">
        <v>82340</v>
      </c>
      <c r="Z49" s="56">
        <v>75900</v>
      </c>
      <c r="AA49" s="56">
        <v>89600</v>
      </c>
      <c r="AB49" s="56">
        <v>97399</v>
      </c>
      <c r="AC49" s="56">
        <v>68540</v>
      </c>
      <c r="AD49" s="20">
        <v>109003</v>
      </c>
      <c r="AE49" s="21">
        <v>6602514</v>
      </c>
    </row>
    <row r="50" spans="1:31">
      <c r="A50" s="1" t="s">
        <v>1</v>
      </c>
      <c r="B50" s="17" t="s">
        <v>102</v>
      </c>
      <c r="C50" s="55">
        <v>226045</v>
      </c>
      <c r="D50" s="56">
        <v>265871</v>
      </c>
      <c r="E50" s="56">
        <v>326132</v>
      </c>
      <c r="F50" s="56">
        <v>305289</v>
      </c>
      <c r="G50" s="56">
        <v>287067</v>
      </c>
      <c r="H50" s="56">
        <v>301839</v>
      </c>
      <c r="I50" s="56">
        <v>230986</v>
      </c>
      <c r="J50" s="56">
        <v>303988</v>
      </c>
      <c r="K50" s="56">
        <v>234990</v>
      </c>
      <c r="L50" s="56">
        <v>257861</v>
      </c>
      <c r="M50" s="56">
        <v>234858</v>
      </c>
      <c r="N50" s="56">
        <v>264823</v>
      </c>
      <c r="O50" s="56">
        <v>249965</v>
      </c>
      <c r="P50" s="56">
        <v>272022</v>
      </c>
      <c r="Q50" s="56">
        <v>263986</v>
      </c>
      <c r="R50" s="56">
        <v>285900</v>
      </c>
      <c r="S50" s="56">
        <v>304914</v>
      </c>
      <c r="T50" s="56">
        <v>211619</v>
      </c>
      <c r="U50" s="56">
        <v>237588</v>
      </c>
      <c r="V50" s="56">
        <v>256196</v>
      </c>
      <c r="W50" s="56">
        <v>248966</v>
      </c>
      <c r="X50" s="56">
        <v>229335</v>
      </c>
      <c r="Y50" s="56">
        <v>85675</v>
      </c>
      <c r="Z50" s="56">
        <v>80346</v>
      </c>
      <c r="AA50" s="56">
        <v>91922</v>
      </c>
      <c r="AB50" s="56">
        <v>98532</v>
      </c>
      <c r="AC50" s="56">
        <v>71791</v>
      </c>
      <c r="AD50" s="20">
        <v>114872</v>
      </c>
      <c r="AE50" s="21">
        <v>6343378</v>
      </c>
    </row>
    <row r="51" spans="1:31">
      <c r="A51" s="1" t="s">
        <v>1</v>
      </c>
      <c r="B51" s="17" t="s">
        <v>103</v>
      </c>
      <c r="C51" s="55">
        <v>226045</v>
      </c>
      <c r="D51" s="56">
        <v>265871</v>
      </c>
      <c r="E51" s="56">
        <v>326132</v>
      </c>
      <c r="F51" s="56">
        <v>305289</v>
      </c>
      <c r="G51" s="56">
        <v>287067</v>
      </c>
      <c r="H51" s="56">
        <v>301839</v>
      </c>
      <c r="I51" s="56">
        <v>230986</v>
      </c>
      <c r="J51" s="56">
        <v>303988</v>
      </c>
      <c r="K51" s="56">
        <v>234990</v>
      </c>
      <c r="L51" s="56">
        <v>257861</v>
      </c>
      <c r="M51" s="56">
        <v>234858</v>
      </c>
      <c r="N51" s="56">
        <v>264823</v>
      </c>
      <c r="O51" s="56">
        <v>249965</v>
      </c>
      <c r="P51" s="56">
        <v>272022</v>
      </c>
      <c r="Q51" s="56">
        <v>263986</v>
      </c>
      <c r="R51" s="56">
        <v>285900</v>
      </c>
      <c r="S51" s="56">
        <v>304914</v>
      </c>
      <c r="T51" s="56">
        <v>211619</v>
      </c>
      <c r="U51" s="56">
        <v>237588</v>
      </c>
      <c r="V51" s="56">
        <v>256196</v>
      </c>
      <c r="W51" s="56">
        <v>248966</v>
      </c>
      <c r="X51" s="56">
        <v>229335</v>
      </c>
      <c r="Y51" s="56">
        <v>85675</v>
      </c>
      <c r="Z51" s="56">
        <v>80346</v>
      </c>
      <c r="AA51" s="56">
        <v>91922</v>
      </c>
      <c r="AB51" s="56">
        <v>98532</v>
      </c>
      <c r="AC51" s="56">
        <v>71791</v>
      </c>
      <c r="AD51" s="20">
        <v>114872</v>
      </c>
      <c r="AE51" s="21">
        <v>6343378</v>
      </c>
    </row>
    <row r="52" spans="1:31">
      <c r="A52" s="1" t="s">
        <v>1</v>
      </c>
      <c r="B52" s="17" t="s">
        <v>104</v>
      </c>
      <c r="C52" s="55">
        <v>1</v>
      </c>
      <c r="D52" s="56">
        <v>0</v>
      </c>
      <c r="E52" s="56">
        <v>1</v>
      </c>
      <c r="F52" s="56">
        <v>0</v>
      </c>
      <c r="G52" s="56">
        <v>1</v>
      </c>
      <c r="H52" s="56">
        <v>0</v>
      </c>
      <c r="I52" s="56">
        <v>1</v>
      </c>
      <c r="J52" s="56">
        <v>0</v>
      </c>
      <c r="K52" s="56">
        <v>0</v>
      </c>
      <c r="L52" s="56">
        <v>1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3</v>
      </c>
      <c r="T52" s="56">
        <v>0</v>
      </c>
      <c r="U52" s="56">
        <v>0</v>
      </c>
      <c r="V52" s="56">
        <v>1</v>
      </c>
      <c r="W52" s="56">
        <v>0</v>
      </c>
      <c r="X52" s="56">
        <v>0</v>
      </c>
      <c r="Y52" s="56">
        <v>1</v>
      </c>
      <c r="Z52" s="56">
        <v>1</v>
      </c>
      <c r="AA52" s="56">
        <v>0</v>
      </c>
      <c r="AB52" s="56">
        <v>0</v>
      </c>
      <c r="AC52" s="56">
        <v>1</v>
      </c>
      <c r="AD52" s="20">
        <v>1</v>
      </c>
      <c r="AE52" s="21"/>
    </row>
    <row r="53" spans="1:31" ht="19.5" thickBot="1">
      <c r="A53" s="1" t="s">
        <v>1</v>
      </c>
      <c r="B53" s="14" t="s">
        <v>105</v>
      </c>
      <c r="C53" s="57" t="s">
        <v>106</v>
      </c>
      <c r="D53" s="58" t="s">
        <v>106</v>
      </c>
      <c r="E53" s="58" t="s">
        <v>106</v>
      </c>
      <c r="F53" s="58" t="s">
        <v>106</v>
      </c>
      <c r="G53" s="58" t="s">
        <v>106</v>
      </c>
      <c r="H53" s="58" t="s">
        <v>106</v>
      </c>
      <c r="I53" s="58" t="s">
        <v>106</v>
      </c>
      <c r="J53" s="58" t="s">
        <v>106</v>
      </c>
      <c r="K53" s="58" t="s">
        <v>106</v>
      </c>
      <c r="L53" s="58" t="s">
        <v>106</v>
      </c>
      <c r="M53" s="58" t="s">
        <v>106</v>
      </c>
      <c r="N53" s="58" t="s">
        <v>106</v>
      </c>
      <c r="O53" s="58" t="s">
        <v>106</v>
      </c>
      <c r="P53" s="58" t="s">
        <v>106</v>
      </c>
      <c r="Q53" s="58" t="s">
        <v>106</v>
      </c>
      <c r="R53" s="58" t="s">
        <v>106</v>
      </c>
      <c r="S53" s="58" t="s">
        <v>106</v>
      </c>
      <c r="T53" s="58" t="s">
        <v>106</v>
      </c>
      <c r="U53" s="58" t="s">
        <v>106</v>
      </c>
      <c r="V53" s="58" t="s">
        <v>106</v>
      </c>
      <c r="W53" s="58" t="s">
        <v>106</v>
      </c>
      <c r="X53" s="58" t="s">
        <v>106</v>
      </c>
      <c r="Y53" s="58" t="s">
        <v>106</v>
      </c>
      <c r="Z53" s="58" t="s">
        <v>106</v>
      </c>
      <c r="AA53" s="58" t="s">
        <v>106</v>
      </c>
      <c r="AB53" s="58" t="s">
        <v>106</v>
      </c>
      <c r="AC53" s="58" t="s">
        <v>106</v>
      </c>
      <c r="AD53" s="15" t="s">
        <v>106</v>
      </c>
      <c r="AE53" s="16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BDAB-7E6D-4916-A4C1-F474303B27FA}">
  <sheetPr>
    <pageSetUpPr fitToPage="1"/>
  </sheetPr>
  <dimension ref="A1:N53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M37" sqref="M37"/>
    </sheetView>
  </sheetViews>
  <sheetFormatPr defaultRowHeight="18.75"/>
  <cols>
    <col min="1" max="1" width="2.375" style="2" customWidth="1"/>
    <col min="2" max="2" width="13.25" style="2" bestFit="1" customWidth="1"/>
    <col min="3" max="14" width="11.875" style="2" customWidth="1"/>
    <col min="15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107</v>
      </c>
    </row>
    <row r="3" spans="1:14">
      <c r="B3" s="4"/>
      <c r="C3" s="75" t="s">
        <v>17</v>
      </c>
      <c r="D3" s="36" t="s">
        <v>4</v>
      </c>
      <c r="E3" s="36" t="s">
        <v>26</v>
      </c>
      <c r="F3" s="36" t="s">
        <v>27</v>
      </c>
      <c r="G3" s="36" t="s">
        <v>24</v>
      </c>
      <c r="H3" s="36" t="s">
        <v>25</v>
      </c>
      <c r="I3" s="36" t="s">
        <v>28</v>
      </c>
      <c r="J3" s="5" t="s">
        <v>29</v>
      </c>
      <c r="K3" s="59" t="s">
        <v>110</v>
      </c>
      <c r="L3" s="60" t="s">
        <v>5</v>
      </c>
      <c r="M3" s="59" t="s">
        <v>110</v>
      </c>
      <c r="N3" s="61" t="s">
        <v>59</v>
      </c>
    </row>
    <row r="4" spans="1:14" ht="19.5" thickBot="1">
      <c r="B4" s="8" t="s">
        <v>30</v>
      </c>
      <c r="C4" s="76" t="s">
        <v>46</v>
      </c>
      <c r="D4" s="38" t="s">
        <v>114</v>
      </c>
      <c r="E4" s="38" t="s">
        <v>55</v>
      </c>
      <c r="F4" s="38" t="s">
        <v>56</v>
      </c>
      <c r="G4" s="38" t="s">
        <v>53</v>
      </c>
      <c r="H4" s="38" t="s">
        <v>54</v>
      </c>
      <c r="I4" s="38" t="s">
        <v>57</v>
      </c>
      <c r="J4" s="3" t="s">
        <v>58</v>
      </c>
      <c r="K4" s="62" t="s">
        <v>111</v>
      </c>
      <c r="L4" s="63" t="s">
        <v>34</v>
      </c>
      <c r="M4" s="62" t="s">
        <v>112</v>
      </c>
      <c r="N4" s="8" t="s">
        <v>113</v>
      </c>
    </row>
    <row r="5" spans="1:14">
      <c r="A5" s="1" t="s">
        <v>1</v>
      </c>
      <c r="B5" s="28" t="s">
        <v>60</v>
      </c>
      <c r="C5" s="77">
        <v>19</v>
      </c>
      <c r="D5" s="40">
        <v>20</v>
      </c>
      <c r="E5" s="40">
        <v>14</v>
      </c>
      <c r="F5" s="40">
        <v>16</v>
      </c>
      <c r="G5" s="40">
        <v>10</v>
      </c>
      <c r="H5" s="40">
        <v>10</v>
      </c>
      <c r="I5" s="40">
        <v>9</v>
      </c>
      <c r="J5" s="29">
        <v>21</v>
      </c>
      <c r="K5" s="30">
        <f>SUM(C5:J5)</f>
        <v>119</v>
      </c>
      <c r="L5" s="30">
        <v>20</v>
      </c>
      <c r="M5" s="30">
        <f>SUM(L5)</f>
        <v>20</v>
      </c>
      <c r="N5" s="30">
        <v>491</v>
      </c>
    </row>
    <row r="6" spans="1:14">
      <c r="A6" s="1" t="s">
        <v>1</v>
      </c>
      <c r="B6" s="25" t="s">
        <v>61</v>
      </c>
      <c r="C6" s="78">
        <v>0</v>
      </c>
      <c r="D6" s="42">
        <v>4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1">
        <v>0</v>
      </c>
      <c r="K6" s="32">
        <f>SUM(C6:J6)</f>
        <v>4</v>
      </c>
      <c r="L6" s="32">
        <v>0</v>
      </c>
      <c r="M6" s="32">
        <f>SUM(L6)</f>
        <v>0</v>
      </c>
      <c r="N6" s="32">
        <v>45</v>
      </c>
    </row>
    <row r="7" spans="1:14">
      <c r="A7" s="1" t="s">
        <v>1</v>
      </c>
      <c r="B7" s="25" t="s">
        <v>62</v>
      </c>
      <c r="C7" s="78">
        <v>0</v>
      </c>
      <c r="D7" s="42">
        <v>2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1">
        <v>0</v>
      </c>
      <c r="K7" s="32">
        <f t="shared" ref="K7:K51" si="0">SUM(C7:J7)</f>
        <v>2</v>
      </c>
      <c r="L7" s="32">
        <v>0</v>
      </c>
      <c r="M7" s="32">
        <f t="shared" ref="M7:M51" si="1">SUM(L7)</f>
        <v>0</v>
      </c>
      <c r="N7" s="32">
        <v>52</v>
      </c>
    </row>
    <row r="8" spans="1:14">
      <c r="A8" s="1" t="s">
        <v>1</v>
      </c>
      <c r="B8" s="25" t="s">
        <v>63</v>
      </c>
      <c r="C8" s="78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1">
        <v>0</v>
      </c>
      <c r="K8" s="32">
        <f t="shared" si="0"/>
        <v>0</v>
      </c>
      <c r="L8" s="32">
        <v>0</v>
      </c>
      <c r="M8" s="32">
        <f t="shared" si="1"/>
        <v>0</v>
      </c>
      <c r="N8" s="32">
        <v>10</v>
      </c>
    </row>
    <row r="9" spans="1:14">
      <c r="A9" s="1" t="s">
        <v>1</v>
      </c>
      <c r="B9" s="25" t="s">
        <v>64</v>
      </c>
      <c r="C9" s="78">
        <v>1</v>
      </c>
      <c r="D9" s="42">
        <v>0</v>
      </c>
      <c r="E9" s="42">
        <v>1</v>
      </c>
      <c r="F9" s="42">
        <v>1</v>
      </c>
      <c r="G9" s="42">
        <v>1</v>
      </c>
      <c r="H9" s="42">
        <v>0</v>
      </c>
      <c r="I9" s="42">
        <v>0</v>
      </c>
      <c r="J9" s="31">
        <v>0</v>
      </c>
      <c r="K9" s="32">
        <f t="shared" si="0"/>
        <v>4</v>
      </c>
      <c r="L9" s="32">
        <v>0</v>
      </c>
      <c r="M9" s="32">
        <f t="shared" si="1"/>
        <v>0</v>
      </c>
      <c r="N9" s="32">
        <v>16</v>
      </c>
    </row>
    <row r="10" spans="1:14">
      <c r="A10" s="1" t="s">
        <v>1</v>
      </c>
      <c r="B10" s="25" t="s">
        <v>65</v>
      </c>
      <c r="C10" s="78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1">
        <v>0</v>
      </c>
      <c r="K10" s="32">
        <f t="shared" si="0"/>
        <v>0</v>
      </c>
      <c r="L10" s="32">
        <v>0</v>
      </c>
      <c r="M10" s="32">
        <f t="shared" si="1"/>
        <v>0</v>
      </c>
      <c r="N10" s="32">
        <v>6</v>
      </c>
    </row>
    <row r="11" spans="1:14">
      <c r="A11" s="1" t="s">
        <v>1</v>
      </c>
      <c r="B11" s="25" t="s">
        <v>66</v>
      </c>
      <c r="C11" s="79">
        <v>0</v>
      </c>
      <c r="D11" s="44">
        <v>0</v>
      </c>
      <c r="E11" s="44">
        <v>3.5833333333333335</v>
      </c>
      <c r="F11" s="44">
        <v>3.7916666666666665</v>
      </c>
      <c r="G11" s="44">
        <v>2.9166666666666665</v>
      </c>
      <c r="H11" s="44">
        <v>2.9166666666666665</v>
      </c>
      <c r="I11" s="44">
        <v>2.7916666666666665</v>
      </c>
      <c r="J11" s="33">
        <v>4.708333333333333</v>
      </c>
      <c r="K11" s="34">
        <f t="shared" si="0"/>
        <v>20.708333333333332</v>
      </c>
      <c r="L11" s="34">
        <v>0</v>
      </c>
      <c r="M11" s="34">
        <f t="shared" si="1"/>
        <v>0</v>
      </c>
      <c r="N11" s="34">
        <v>20.708333333333332</v>
      </c>
    </row>
    <row r="12" spans="1:14">
      <c r="A12" s="1" t="s">
        <v>1</v>
      </c>
      <c r="B12" s="25" t="s">
        <v>67</v>
      </c>
      <c r="C12" s="79">
        <v>0</v>
      </c>
      <c r="D12" s="44">
        <v>0.95833333333333337</v>
      </c>
      <c r="E12" s="44">
        <v>0</v>
      </c>
      <c r="F12" s="44">
        <v>0</v>
      </c>
      <c r="G12" s="44">
        <v>0</v>
      </c>
      <c r="H12" s="44">
        <v>0</v>
      </c>
      <c r="I12" s="44">
        <v>4.1666666666666664E-2</v>
      </c>
      <c r="J12" s="33">
        <v>0</v>
      </c>
      <c r="K12" s="34">
        <f t="shared" si="0"/>
        <v>1</v>
      </c>
      <c r="L12" s="34">
        <v>0</v>
      </c>
      <c r="M12" s="34">
        <f t="shared" si="1"/>
        <v>0</v>
      </c>
      <c r="N12" s="34">
        <v>33.458333333333336</v>
      </c>
    </row>
    <row r="13" spans="1:14">
      <c r="A13" s="1" t="s">
        <v>1</v>
      </c>
      <c r="B13" s="25" t="s">
        <v>68</v>
      </c>
      <c r="C13" s="79">
        <v>0</v>
      </c>
      <c r="D13" s="44">
        <v>1.375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33">
        <v>0</v>
      </c>
      <c r="K13" s="34">
        <f t="shared" si="0"/>
        <v>1.375</v>
      </c>
      <c r="L13" s="34">
        <v>0</v>
      </c>
      <c r="M13" s="34">
        <f t="shared" si="1"/>
        <v>0</v>
      </c>
      <c r="N13" s="34">
        <v>15.666666666666666</v>
      </c>
    </row>
    <row r="14" spans="1:14">
      <c r="A14" s="1" t="s">
        <v>1</v>
      </c>
      <c r="B14" s="25" t="s">
        <v>69</v>
      </c>
      <c r="C14" s="79">
        <v>0</v>
      </c>
      <c r="D14" s="44">
        <v>0.20833333333333334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33">
        <v>0</v>
      </c>
      <c r="K14" s="34">
        <f t="shared" si="0"/>
        <v>0.20833333333333334</v>
      </c>
      <c r="L14" s="34">
        <v>0</v>
      </c>
      <c r="M14" s="34">
        <f t="shared" si="1"/>
        <v>0</v>
      </c>
      <c r="N14" s="34">
        <v>15.916666666666666</v>
      </c>
    </row>
    <row r="15" spans="1:14">
      <c r="A15" s="1" t="s">
        <v>1</v>
      </c>
      <c r="B15" s="25" t="s">
        <v>70</v>
      </c>
      <c r="C15" s="79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33">
        <v>0</v>
      </c>
      <c r="K15" s="34">
        <f t="shared" si="0"/>
        <v>0</v>
      </c>
      <c r="L15" s="34">
        <v>0</v>
      </c>
      <c r="M15" s="34">
        <f t="shared" si="1"/>
        <v>0</v>
      </c>
      <c r="N15" s="34">
        <v>0.70833333333333337</v>
      </c>
    </row>
    <row r="16" spans="1:14">
      <c r="A16" s="1" t="s">
        <v>1</v>
      </c>
      <c r="B16" s="25" t="s">
        <v>71</v>
      </c>
      <c r="C16" s="79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33">
        <v>0</v>
      </c>
      <c r="K16" s="34">
        <f t="shared" si="0"/>
        <v>0</v>
      </c>
      <c r="L16" s="34">
        <v>0</v>
      </c>
      <c r="M16" s="34">
        <f t="shared" si="1"/>
        <v>0</v>
      </c>
      <c r="N16" s="34">
        <v>2.875</v>
      </c>
    </row>
    <row r="17" spans="1:14">
      <c r="A17" s="1" t="s">
        <v>1</v>
      </c>
      <c r="B17" s="25" t="s">
        <v>72</v>
      </c>
      <c r="C17" s="79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33">
        <v>0</v>
      </c>
      <c r="K17" s="34">
        <f t="shared" si="0"/>
        <v>0</v>
      </c>
      <c r="L17" s="34">
        <v>0</v>
      </c>
      <c r="M17" s="34">
        <f t="shared" si="1"/>
        <v>0</v>
      </c>
      <c r="N17" s="34">
        <v>1.7083333333333335</v>
      </c>
    </row>
    <row r="18" spans="1:14">
      <c r="A18" s="1" t="s">
        <v>1</v>
      </c>
      <c r="B18" s="25" t="s">
        <v>73</v>
      </c>
      <c r="C18" s="79">
        <v>0</v>
      </c>
      <c r="D18" s="44">
        <v>0</v>
      </c>
      <c r="E18" s="44">
        <v>0.25</v>
      </c>
      <c r="F18" s="44">
        <v>0.29166666666666669</v>
      </c>
      <c r="G18" s="44">
        <v>0.29166666666666669</v>
      </c>
      <c r="H18" s="44">
        <v>0</v>
      </c>
      <c r="I18" s="44">
        <v>0</v>
      </c>
      <c r="J18" s="33">
        <v>0</v>
      </c>
      <c r="K18" s="34">
        <f t="shared" si="0"/>
        <v>0.83333333333333348</v>
      </c>
      <c r="L18" s="34">
        <v>0</v>
      </c>
      <c r="M18" s="34">
        <f t="shared" si="1"/>
        <v>0</v>
      </c>
      <c r="N18" s="34">
        <v>0.83333333333333337</v>
      </c>
    </row>
    <row r="19" spans="1:14">
      <c r="A19" s="1" t="s">
        <v>1</v>
      </c>
      <c r="B19" s="9" t="s">
        <v>74</v>
      </c>
      <c r="C19" s="80">
        <v>0</v>
      </c>
      <c r="D19" s="46">
        <v>0</v>
      </c>
      <c r="E19" s="46">
        <v>0</v>
      </c>
      <c r="F19" s="46">
        <v>0</v>
      </c>
      <c r="G19" s="46">
        <v>2.0833333333333335</v>
      </c>
      <c r="H19" s="46">
        <v>2.0833333333333335</v>
      </c>
      <c r="I19" s="46">
        <v>1.0416666666666667</v>
      </c>
      <c r="J19" s="10">
        <v>1.0416666666666667</v>
      </c>
      <c r="K19" s="11">
        <f t="shared" si="0"/>
        <v>6.2500000000000009</v>
      </c>
      <c r="L19" s="11">
        <v>0</v>
      </c>
      <c r="M19" s="11">
        <f t="shared" si="1"/>
        <v>0</v>
      </c>
      <c r="N19" s="11">
        <v>16.833333333333332</v>
      </c>
    </row>
    <row r="20" spans="1:14">
      <c r="A20" s="1" t="s">
        <v>1</v>
      </c>
      <c r="B20" s="17" t="s">
        <v>75</v>
      </c>
      <c r="C20" s="81">
        <v>11</v>
      </c>
      <c r="D20" s="48">
        <v>34</v>
      </c>
      <c r="E20" s="48">
        <v>19</v>
      </c>
      <c r="F20" s="48">
        <v>18</v>
      </c>
      <c r="G20" s="48">
        <v>0</v>
      </c>
      <c r="H20" s="48">
        <v>0</v>
      </c>
      <c r="I20" s="48">
        <v>3</v>
      </c>
      <c r="J20" s="18">
        <v>17</v>
      </c>
      <c r="K20" s="19">
        <f t="shared" si="0"/>
        <v>102</v>
      </c>
      <c r="L20" s="19">
        <v>34</v>
      </c>
      <c r="M20" s="19">
        <f t="shared" si="1"/>
        <v>34</v>
      </c>
      <c r="N20" s="19"/>
    </row>
    <row r="21" spans="1:14">
      <c r="A21" s="1" t="s">
        <v>1</v>
      </c>
      <c r="B21" s="22" t="s">
        <v>76</v>
      </c>
      <c r="C21" s="82">
        <v>365000</v>
      </c>
      <c r="D21" s="50">
        <v>270000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23">
        <v>0</v>
      </c>
      <c r="K21" s="24">
        <f t="shared" si="0"/>
        <v>635000</v>
      </c>
      <c r="L21" s="24">
        <v>385000</v>
      </c>
      <c r="M21" s="24">
        <f t="shared" si="1"/>
        <v>385000</v>
      </c>
      <c r="N21" s="24">
        <v>4443000</v>
      </c>
    </row>
    <row r="22" spans="1:14">
      <c r="A22" s="1" t="s">
        <v>1</v>
      </c>
      <c r="B22" s="25" t="s">
        <v>77</v>
      </c>
      <c r="C22" s="83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26">
        <v>0</v>
      </c>
      <c r="K22" s="27">
        <f t="shared" si="0"/>
        <v>0</v>
      </c>
      <c r="L22" s="27">
        <v>0</v>
      </c>
      <c r="M22" s="27">
        <f t="shared" si="1"/>
        <v>0</v>
      </c>
      <c r="N22" s="27">
        <v>60000</v>
      </c>
    </row>
    <row r="23" spans="1:14">
      <c r="A23" s="1" t="s">
        <v>1</v>
      </c>
      <c r="B23" s="25" t="s">
        <v>78</v>
      </c>
      <c r="C23" s="83">
        <v>0</v>
      </c>
      <c r="D23" s="52">
        <v>3000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26">
        <v>0</v>
      </c>
      <c r="K23" s="27">
        <f t="shared" si="0"/>
        <v>3000</v>
      </c>
      <c r="L23" s="27">
        <v>0</v>
      </c>
      <c r="M23" s="27">
        <f t="shared" si="1"/>
        <v>0</v>
      </c>
      <c r="N23" s="27">
        <v>3000</v>
      </c>
    </row>
    <row r="24" spans="1:14">
      <c r="A24" s="1" t="s">
        <v>1</v>
      </c>
      <c r="B24" s="25" t="s">
        <v>79</v>
      </c>
      <c r="C24" s="83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26">
        <v>0</v>
      </c>
      <c r="K24" s="27">
        <f t="shared" si="0"/>
        <v>0</v>
      </c>
      <c r="L24" s="27">
        <v>0</v>
      </c>
      <c r="M24" s="27">
        <f t="shared" si="1"/>
        <v>0</v>
      </c>
      <c r="N24" s="27">
        <v>270955</v>
      </c>
    </row>
    <row r="25" spans="1:14">
      <c r="A25" s="1" t="s">
        <v>1</v>
      </c>
      <c r="B25" s="25" t="s">
        <v>80</v>
      </c>
      <c r="C25" s="83">
        <v>0</v>
      </c>
      <c r="D25" s="52">
        <v>1000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26">
        <v>0</v>
      </c>
      <c r="K25" s="27">
        <f t="shared" si="0"/>
        <v>1000</v>
      </c>
      <c r="L25" s="27">
        <v>0</v>
      </c>
      <c r="M25" s="27">
        <f t="shared" si="1"/>
        <v>0</v>
      </c>
      <c r="N25" s="27">
        <v>1000</v>
      </c>
    </row>
    <row r="26" spans="1:14">
      <c r="A26" s="1" t="s">
        <v>1</v>
      </c>
      <c r="B26" s="25" t="s">
        <v>81</v>
      </c>
      <c r="C26" s="83">
        <v>0</v>
      </c>
      <c r="D26" s="52">
        <v>0</v>
      </c>
      <c r="E26" s="52">
        <v>84280</v>
      </c>
      <c r="F26" s="52">
        <v>91000</v>
      </c>
      <c r="G26" s="52">
        <v>64400</v>
      </c>
      <c r="H26" s="52">
        <v>64400</v>
      </c>
      <c r="I26" s="52">
        <v>61640</v>
      </c>
      <c r="J26" s="26">
        <v>103960</v>
      </c>
      <c r="K26" s="27">
        <f t="shared" si="0"/>
        <v>469680</v>
      </c>
      <c r="L26" s="27">
        <v>0</v>
      </c>
      <c r="M26" s="27">
        <f t="shared" si="1"/>
        <v>0</v>
      </c>
      <c r="N26" s="27">
        <v>469680</v>
      </c>
    </row>
    <row r="27" spans="1:14">
      <c r="A27" s="1" t="s">
        <v>1</v>
      </c>
      <c r="B27" s="25" t="s">
        <v>82</v>
      </c>
      <c r="C27" s="83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26">
        <v>0</v>
      </c>
      <c r="K27" s="27">
        <f t="shared" si="0"/>
        <v>0</v>
      </c>
      <c r="L27" s="27">
        <v>0</v>
      </c>
      <c r="M27" s="27">
        <f t="shared" si="1"/>
        <v>0</v>
      </c>
      <c r="N27" s="27">
        <v>51000</v>
      </c>
    </row>
    <row r="28" spans="1:14">
      <c r="A28" s="1" t="s">
        <v>1</v>
      </c>
      <c r="B28" s="25" t="s">
        <v>83</v>
      </c>
      <c r="C28" s="83">
        <v>0</v>
      </c>
      <c r="D28" s="52">
        <v>0</v>
      </c>
      <c r="E28" s="52">
        <v>5880</v>
      </c>
      <c r="F28" s="52">
        <v>7000</v>
      </c>
      <c r="G28" s="52">
        <v>6440</v>
      </c>
      <c r="H28" s="52">
        <v>0</v>
      </c>
      <c r="I28" s="52">
        <v>0</v>
      </c>
      <c r="J28" s="26">
        <v>0</v>
      </c>
      <c r="K28" s="27">
        <f t="shared" si="0"/>
        <v>19320</v>
      </c>
      <c r="L28" s="27">
        <v>0</v>
      </c>
      <c r="M28" s="27">
        <f t="shared" si="1"/>
        <v>0</v>
      </c>
      <c r="N28" s="27">
        <v>19320</v>
      </c>
    </row>
    <row r="29" spans="1:14">
      <c r="A29" s="1" t="s">
        <v>1</v>
      </c>
      <c r="B29" s="25" t="s">
        <v>67</v>
      </c>
      <c r="C29" s="83">
        <v>0</v>
      </c>
      <c r="D29" s="52">
        <v>47012</v>
      </c>
      <c r="E29" s="52">
        <v>0</v>
      </c>
      <c r="F29" s="52">
        <v>0</v>
      </c>
      <c r="G29" s="52">
        <v>0</v>
      </c>
      <c r="H29" s="52">
        <v>0</v>
      </c>
      <c r="I29" s="52">
        <v>1150</v>
      </c>
      <c r="J29" s="26">
        <v>0</v>
      </c>
      <c r="K29" s="27">
        <f t="shared" si="0"/>
        <v>48162</v>
      </c>
      <c r="L29" s="27">
        <v>0</v>
      </c>
      <c r="M29" s="27">
        <f t="shared" si="1"/>
        <v>0</v>
      </c>
      <c r="N29" s="27">
        <v>1134815</v>
      </c>
    </row>
    <row r="30" spans="1:14">
      <c r="A30" s="1" t="s">
        <v>1</v>
      </c>
      <c r="B30" s="25" t="s">
        <v>84</v>
      </c>
      <c r="C30" s="83">
        <v>0</v>
      </c>
      <c r="D30" s="52">
        <v>72831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26">
        <v>0</v>
      </c>
      <c r="K30" s="27">
        <f t="shared" si="0"/>
        <v>72831</v>
      </c>
      <c r="L30" s="27">
        <v>0</v>
      </c>
      <c r="M30" s="27">
        <f t="shared" si="1"/>
        <v>0</v>
      </c>
      <c r="N30" s="27">
        <v>585703</v>
      </c>
    </row>
    <row r="31" spans="1:14">
      <c r="A31" s="1" t="s">
        <v>1</v>
      </c>
      <c r="B31" s="25" t="s">
        <v>85</v>
      </c>
      <c r="C31" s="83">
        <v>0</v>
      </c>
      <c r="D31" s="52">
        <v>11035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26">
        <v>0</v>
      </c>
      <c r="K31" s="27">
        <f t="shared" si="0"/>
        <v>11035</v>
      </c>
      <c r="L31" s="27">
        <v>0</v>
      </c>
      <c r="M31" s="27">
        <f t="shared" si="1"/>
        <v>0</v>
      </c>
      <c r="N31" s="27">
        <v>568647</v>
      </c>
    </row>
    <row r="32" spans="1:14">
      <c r="A32" s="1" t="s">
        <v>1</v>
      </c>
      <c r="B32" s="25" t="s">
        <v>86</v>
      </c>
      <c r="C32" s="83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26">
        <v>0</v>
      </c>
      <c r="K32" s="27">
        <f t="shared" si="0"/>
        <v>0</v>
      </c>
      <c r="L32" s="27">
        <v>0</v>
      </c>
      <c r="M32" s="27">
        <f t="shared" si="1"/>
        <v>0</v>
      </c>
      <c r="N32" s="27">
        <v>6140</v>
      </c>
    </row>
    <row r="33" spans="1:14">
      <c r="A33" s="1" t="s">
        <v>1</v>
      </c>
      <c r="B33" s="25" t="s">
        <v>87</v>
      </c>
      <c r="C33" s="83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26">
        <v>0</v>
      </c>
      <c r="K33" s="27">
        <f t="shared" si="0"/>
        <v>0</v>
      </c>
      <c r="L33" s="27">
        <v>0</v>
      </c>
      <c r="M33" s="27">
        <f t="shared" si="1"/>
        <v>0</v>
      </c>
      <c r="N33" s="27">
        <v>26447</v>
      </c>
    </row>
    <row r="34" spans="1:14">
      <c r="A34" s="1" t="s">
        <v>1</v>
      </c>
      <c r="B34" s="25" t="s">
        <v>72</v>
      </c>
      <c r="C34" s="83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26">
        <v>0</v>
      </c>
      <c r="K34" s="27">
        <f t="shared" si="0"/>
        <v>0</v>
      </c>
      <c r="L34" s="27">
        <v>0</v>
      </c>
      <c r="M34" s="27">
        <f t="shared" si="1"/>
        <v>0</v>
      </c>
      <c r="N34" s="27">
        <v>11357</v>
      </c>
    </row>
    <row r="35" spans="1:14">
      <c r="A35" s="1" t="s">
        <v>1</v>
      </c>
      <c r="B35" s="9" t="s">
        <v>74</v>
      </c>
      <c r="C35" s="84">
        <v>0</v>
      </c>
      <c r="D35" s="54">
        <v>0</v>
      </c>
      <c r="E35" s="54">
        <v>0</v>
      </c>
      <c r="F35" s="54">
        <v>0</v>
      </c>
      <c r="G35" s="54">
        <v>11500</v>
      </c>
      <c r="H35" s="54">
        <v>11500</v>
      </c>
      <c r="I35" s="54">
        <v>5750</v>
      </c>
      <c r="J35" s="12">
        <v>5750</v>
      </c>
      <c r="K35" s="13">
        <f t="shared" si="0"/>
        <v>34500</v>
      </c>
      <c r="L35" s="13">
        <v>0</v>
      </c>
      <c r="M35" s="13">
        <f t="shared" si="1"/>
        <v>0</v>
      </c>
      <c r="N35" s="13">
        <v>104989</v>
      </c>
    </row>
    <row r="36" spans="1:14">
      <c r="A36" s="1" t="s">
        <v>1</v>
      </c>
      <c r="B36" s="17" t="s">
        <v>88</v>
      </c>
      <c r="C36" s="85">
        <v>365000</v>
      </c>
      <c r="D36" s="56">
        <v>404878</v>
      </c>
      <c r="E36" s="56">
        <v>90160</v>
      </c>
      <c r="F36" s="56">
        <v>98000</v>
      </c>
      <c r="G36" s="56">
        <v>82340</v>
      </c>
      <c r="H36" s="56">
        <v>75900</v>
      </c>
      <c r="I36" s="56">
        <v>68540</v>
      </c>
      <c r="J36" s="20">
        <v>109710</v>
      </c>
      <c r="K36" s="21">
        <f t="shared" si="0"/>
        <v>1294528</v>
      </c>
      <c r="L36" s="21">
        <v>385000</v>
      </c>
      <c r="M36" s="21">
        <f t="shared" si="1"/>
        <v>385000</v>
      </c>
      <c r="N36" s="21">
        <v>7756053</v>
      </c>
    </row>
    <row r="37" spans="1:14">
      <c r="A37" s="1" t="s">
        <v>1</v>
      </c>
      <c r="B37" s="22" t="s">
        <v>89</v>
      </c>
      <c r="C37" s="82">
        <v>3501</v>
      </c>
      <c r="D37" s="50">
        <v>6502</v>
      </c>
      <c r="E37" s="50">
        <v>3112</v>
      </c>
      <c r="F37" s="50">
        <v>2223</v>
      </c>
      <c r="G37" s="50">
        <v>3335</v>
      </c>
      <c r="H37" s="50">
        <v>4446</v>
      </c>
      <c r="I37" s="50">
        <v>3251</v>
      </c>
      <c r="J37" s="23">
        <v>8169</v>
      </c>
      <c r="K37" s="24">
        <f t="shared" si="0"/>
        <v>34539</v>
      </c>
      <c r="L37" s="24">
        <v>7947</v>
      </c>
      <c r="M37" s="24">
        <f t="shared" si="1"/>
        <v>7947</v>
      </c>
      <c r="N37" s="24">
        <v>160804</v>
      </c>
    </row>
    <row r="38" spans="1:14">
      <c r="A38" s="1" t="s">
        <v>1</v>
      </c>
      <c r="B38" s="9" t="s">
        <v>90</v>
      </c>
      <c r="C38" s="84">
        <v>3501</v>
      </c>
      <c r="D38" s="54">
        <v>6502</v>
      </c>
      <c r="E38" s="54">
        <v>3112</v>
      </c>
      <c r="F38" s="54">
        <v>2223</v>
      </c>
      <c r="G38" s="54">
        <v>3335</v>
      </c>
      <c r="H38" s="54">
        <v>4446</v>
      </c>
      <c r="I38" s="54">
        <v>3251</v>
      </c>
      <c r="J38" s="12">
        <v>8169</v>
      </c>
      <c r="K38" s="13">
        <f t="shared" si="0"/>
        <v>34539</v>
      </c>
      <c r="L38" s="13">
        <v>7947</v>
      </c>
      <c r="M38" s="13">
        <f t="shared" si="1"/>
        <v>7947</v>
      </c>
      <c r="N38" s="13">
        <v>160804</v>
      </c>
    </row>
    <row r="39" spans="1:14">
      <c r="A39" s="1" t="s">
        <v>1</v>
      </c>
      <c r="B39" s="17" t="s">
        <v>91</v>
      </c>
      <c r="C39" s="85">
        <v>368501</v>
      </c>
      <c r="D39" s="56">
        <v>411380</v>
      </c>
      <c r="E39" s="56">
        <v>93272</v>
      </c>
      <c r="F39" s="56">
        <v>100223</v>
      </c>
      <c r="G39" s="56">
        <v>85675</v>
      </c>
      <c r="H39" s="56">
        <v>80346</v>
      </c>
      <c r="I39" s="56">
        <v>71791</v>
      </c>
      <c r="J39" s="20">
        <v>117879</v>
      </c>
      <c r="K39" s="21">
        <f t="shared" si="0"/>
        <v>1329067</v>
      </c>
      <c r="L39" s="21">
        <v>392947</v>
      </c>
      <c r="M39" s="21">
        <f t="shared" si="1"/>
        <v>392947</v>
      </c>
      <c r="N39" s="21">
        <v>7916857</v>
      </c>
    </row>
    <row r="40" spans="1:14">
      <c r="A40" s="1" t="s">
        <v>1</v>
      </c>
      <c r="B40" s="22" t="s">
        <v>92</v>
      </c>
      <c r="C40" s="82">
        <v>18360</v>
      </c>
      <c r="D40" s="50">
        <v>19380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23">
        <v>0</v>
      </c>
      <c r="K40" s="24">
        <f t="shared" si="0"/>
        <v>37740</v>
      </c>
      <c r="L40" s="24">
        <v>19380</v>
      </c>
      <c r="M40" s="24">
        <f t="shared" si="1"/>
        <v>19380</v>
      </c>
      <c r="N40" s="24">
        <v>372810</v>
      </c>
    </row>
    <row r="41" spans="1:14">
      <c r="A41" s="1" t="s">
        <v>1</v>
      </c>
      <c r="B41" s="25" t="s">
        <v>93</v>
      </c>
      <c r="C41" s="83">
        <v>3240</v>
      </c>
      <c r="D41" s="52">
        <v>3420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26">
        <v>0</v>
      </c>
      <c r="K41" s="27">
        <f t="shared" si="0"/>
        <v>6660</v>
      </c>
      <c r="L41" s="27">
        <v>3420</v>
      </c>
      <c r="M41" s="27">
        <f t="shared" si="1"/>
        <v>3420</v>
      </c>
      <c r="N41" s="27">
        <v>65790</v>
      </c>
    </row>
    <row r="42" spans="1:14">
      <c r="A42" s="1" t="s">
        <v>1</v>
      </c>
      <c r="B42" s="25" t="s">
        <v>94</v>
      </c>
      <c r="C42" s="83">
        <v>32940</v>
      </c>
      <c r="D42" s="52">
        <v>34770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26">
        <v>0</v>
      </c>
      <c r="K42" s="27">
        <f t="shared" si="0"/>
        <v>67710</v>
      </c>
      <c r="L42" s="27">
        <v>34770</v>
      </c>
      <c r="M42" s="27">
        <f t="shared" si="1"/>
        <v>34770</v>
      </c>
      <c r="N42" s="27">
        <v>668865</v>
      </c>
    </row>
    <row r="43" spans="1:14">
      <c r="A43" s="1" t="s">
        <v>1</v>
      </c>
      <c r="B43" s="9" t="s">
        <v>95</v>
      </c>
      <c r="C43" s="84">
        <v>2211</v>
      </c>
      <c r="D43" s="54">
        <v>2468</v>
      </c>
      <c r="E43" s="54">
        <v>560</v>
      </c>
      <c r="F43" s="54">
        <v>601</v>
      </c>
      <c r="G43" s="54">
        <v>0</v>
      </c>
      <c r="H43" s="54">
        <v>0</v>
      </c>
      <c r="I43" s="54">
        <v>0</v>
      </c>
      <c r="J43" s="12">
        <v>707</v>
      </c>
      <c r="K43" s="13">
        <f t="shared" si="0"/>
        <v>6547</v>
      </c>
      <c r="L43" s="13">
        <v>2358</v>
      </c>
      <c r="M43" s="13">
        <f t="shared" si="1"/>
        <v>2358</v>
      </c>
      <c r="N43" s="13">
        <v>46074</v>
      </c>
    </row>
    <row r="44" spans="1:14">
      <c r="A44" s="1" t="s">
        <v>1</v>
      </c>
      <c r="B44" s="17" t="s">
        <v>96</v>
      </c>
      <c r="C44" s="85">
        <v>56751</v>
      </c>
      <c r="D44" s="56">
        <v>60038</v>
      </c>
      <c r="E44" s="56">
        <v>560</v>
      </c>
      <c r="F44" s="56">
        <v>601</v>
      </c>
      <c r="G44" s="56">
        <v>0</v>
      </c>
      <c r="H44" s="56">
        <v>0</v>
      </c>
      <c r="I44" s="56">
        <v>0</v>
      </c>
      <c r="J44" s="20">
        <v>707</v>
      </c>
      <c r="K44" s="21">
        <f t="shared" si="0"/>
        <v>118657</v>
      </c>
      <c r="L44" s="21">
        <v>59928</v>
      </c>
      <c r="M44" s="21">
        <f t="shared" si="1"/>
        <v>59928</v>
      </c>
      <c r="N44" s="21">
        <v>1153539</v>
      </c>
    </row>
    <row r="45" spans="1:14">
      <c r="A45" s="1" t="s">
        <v>1</v>
      </c>
      <c r="B45" s="22" t="s">
        <v>97</v>
      </c>
      <c r="C45" s="82">
        <v>9050</v>
      </c>
      <c r="D45" s="50">
        <v>8810</v>
      </c>
      <c r="E45" s="50">
        <v>190</v>
      </c>
      <c r="F45" s="50">
        <v>590</v>
      </c>
      <c r="G45" s="50">
        <v>0</v>
      </c>
      <c r="H45" s="50">
        <v>0</v>
      </c>
      <c r="I45" s="50">
        <v>0</v>
      </c>
      <c r="J45" s="23">
        <v>0</v>
      </c>
      <c r="K45" s="24">
        <f t="shared" si="0"/>
        <v>18640</v>
      </c>
      <c r="L45" s="24">
        <v>10430</v>
      </c>
      <c r="M45" s="24">
        <f t="shared" si="1"/>
        <v>10430</v>
      </c>
      <c r="N45" s="24">
        <v>155740</v>
      </c>
    </row>
    <row r="46" spans="1:14">
      <c r="A46" s="1" t="s">
        <v>1</v>
      </c>
      <c r="B46" s="25" t="s">
        <v>98</v>
      </c>
      <c r="C46" s="83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26">
        <v>0</v>
      </c>
      <c r="K46" s="27">
        <f t="shared" si="0"/>
        <v>0</v>
      </c>
      <c r="L46" s="27">
        <v>0</v>
      </c>
      <c r="M46" s="27">
        <f t="shared" si="1"/>
        <v>0</v>
      </c>
      <c r="N46" s="27">
        <v>19500</v>
      </c>
    </row>
    <row r="47" spans="1:14">
      <c r="A47" s="1" t="s">
        <v>1</v>
      </c>
      <c r="B47" s="9" t="s">
        <v>99</v>
      </c>
      <c r="C47" s="84">
        <v>16800</v>
      </c>
      <c r="D47" s="54">
        <v>16400</v>
      </c>
      <c r="E47" s="54">
        <v>600</v>
      </c>
      <c r="F47" s="54">
        <v>500</v>
      </c>
      <c r="G47" s="54">
        <v>0</v>
      </c>
      <c r="H47" s="54">
        <v>0</v>
      </c>
      <c r="I47" s="54">
        <v>0</v>
      </c>
      <c r="J47" s="12">
        <v>2300</v>
      </c>
      <c r="K47" s="13">
        <f t="shared" si="0"/>
        <v>36600</v>
      </c>
      <c r="L47" s="13">
        <v>17300</v>
      </c>
      <c r="M47" s="13">
        <f t="shared" si="1"/>
        <v>17300</v>
      </c>
      <c r="N47" s="13">
        <v>244700</v>
      </c>
    </row>
    <row r="48" spans="1:14">
      <c r="A48" s="1" t="s">
        <v>1</v>
      </c>
      <c r="B48" s="17" t="s">
        <v>100</v>
      </c>
      <c r="C48" s="85">
        <v>82601</v>
      </c>
      <c r="D48" s="56">
        <v>85248</v>
      </c>
      <c r="E48" s="56">
        <v>1350</v>
      </c>
      <c r="F48" s="56">
        <v>1691</v>
      </c>
      <c r="G48" s="56">
        <v>0</v>
      </c>
      <c r="H48" s="56">
        <v>0</v>
      </c>
      <c r="I48" s="56">
        <v>0</v>
      </c>
      <c r="J48" s="20">
        <v>3007</v>
      </c>
      <c r="K48" s="21">
        <f t="shared" si="0"/>
        <v>173897</v>
      </c>
      <c r="L48" s="21">
        <v>87658</v>
      </c>
      <c r="M48" s="21">
        <f t="shared" si="1"/>
        <v>87658</v>
      </c>
      <c r="N48" s="21">
        <v>1573479</v>
      </c>
    </row>
    <row r="49" spans="1:14">
      <c r="A49" s="1" t="s">
        <v>1</v>
      </c>
      <c r="B49" s="17" t="s">
        <v>101</v>
      </c>
      <c r="C49" s="85">
        <v>308249</v>
      </c>
      <c r="D49" s="56">
        <v>344840</v>
      </c>
      <c r="E49" s="56">
        <v>89600</v>
      </c>
      <c r="F49" s="56">
        <v>97399</v>
      </c>
      <c r="G49" s="56">
        <v>82340</v>
      </c>
      <c r="H49" s="56">
        <v>75900</v>
      </c>
      <c r="I49" s="56">
        <v>68540</v>
      </c>
      <c r="J49" s="20">
        <v>109003</v>
      </c>
      <c r="K49" s="21">
        <f t="shared" si="0"/>
        <v>1175871</v>
      </c>
      <c r="L49" s="21">
        <v>325072</v>
      </c>
      <c r="M49" s="21">
        <f t="shared" si="1"/>
        <v>325072</v>
      </c>
      <c r="N49" s="21">
        <v>6602514</v>
      </c>
    </row>
    <row r="50" spans="1:14">
      <c r="A50" s="1" t="s">
        <v>1</v>
      </c>
      <c r="B50" s="17" t="s">
        <v>102</v>
      </c>
      <c r="C50" s="85">
        <v>285900</v>
      </c>
      <c r="D50" s="56">
        <v>326132</v>
      </c>
      <c r="E50" s="56">
        <v>91922</v>
      </c>
      <c r="F50" s="56">
        <v>98532</v>
      </c>
      <c r="G50" s="56">
        <v>85675</v>
      </c>
      <c r="H50" s="56">
        <v>80346</v>
      </c>
      <c r="I50" s="56">
        <v>71791</v>
      </c>
      <c r="J50" s="20">
        <v>114872</v>
      </c>
      <c r="K50" s="21">
        <f t="shared" si="0"/>
        <v>1155170</v>
      </c>
      <c r="L50" s="21">
        <v>305289</v>
      </c>
      <c r="M50" s="21">
        <f t="shared" si="1"/>
        <v>305289</v>
      </c>
      <c r="N50" s="21">
        <v>6343378</v>
      </c>
    </row>
    <row r="51" spans="1:14">
      <c r="A51" s="1" t="s">
        <v>1</v>
      </c>
      <c r="B51" s="17" t="s">
        <v>103</v>
      </c>
      <c r="C51" s="85">
        <v>285900</v>
      </c>
      <c r="D51" s="56">
        <v>326132</v>
      </c>
      <c r="E51" s="56">
        <v>91922</v>
      </c>
      <c r="F51" s="56">
        <v>98532</v>
      </c>
      <c r="G51" s="56">
        <v>85675</v>
      </c>
      <c r="H51" s="56">
        <v>80346</v>
      </c>
      <c r="I51" s="56">
        <v>71791</v>
      </c>
      <c r="J51" s="20">
        <v>114872</v>
      </c>
      <c r="K51" s="21">
        <f t="shared" si="0"/>
        <v>1155170</v>
      </c>
      <c r="L51" s="21">
        <v>305289</v>
      </c>
      <c r="M51" s="21">
        <f t="shared" si="1"/>
        <v>305289</v>
      </c>
      <c r="N51" s="21">
        <v>6343378</v>
      </c>
    </row>
    <row r="52" spans="1:14">
      <c r="A52" s="1" t="s">
        <v>1</v>
      </c>
      <c r="B52" s="17" t="s">
        <v>104</v>
      </c>
      <c r="C52" s="85">
        <v>0</v>
      </c>
      <c r="D52" s="56">
        <v>1</v>
      </c>
      <c r="E52" s="56">
        <v>0</v>
      </c>
      <c r="F52" s="56">
        <v>0</v>
      </c>
      <c r="G52" s="56">
        <v>1</v>
      </c>
      <c r="H52" s="56">
        <v>1</v>
      </c>
      <c r="I52" s="56">
        <v>1</v>
      </c>
      <c r="J52" s="20">
        <v>1</v>
      </c>
      <c r="K52" s="21"/>
      <c r="L52" s="21">
        <v>0</v>
      </c>
      <c r="M52" s="21"/>
      <c r="N52" s="21"/>
    </row>
    <row r="53" spans="1:14" ht="19.5" thickBot="1">
      <c r="A53" s="1" t="s">
        <v>1</v>
      </c>
      <c r="B53" s="14" t="s">
        <v>105</v>
      </c>
      <c r="C53" s="58" t="s">
        <v>106</v>
      </c>
      <c r="D53" s="58" t="s">
        <v>106</v>
      </c>
      <c r="E53" s="58" t="s">
        <v>106</v>
      </c>
      <c r="F53" s="58" t="s">
        <v>106</v>
      </c>
      <c r="G53" s="58" t="s">
        <v>106</v>
      </c>
      <c r="H53" s="58" t="s">
        <v>106</v>
      </c>
      <c r="I53" s="58" t="s">
        <v>106</v>
      </c>
      <c r="J53" s="15" t="s">
        <v>106</v>
      </c>
      <c r="K53" s="16"/>
      <c r="L53" s="16" t="s">
        <v>106</v>
      </c>
      <c r="M53" s="16"/>
      <c r="N53" s="16"/>
    </row>
  </sheetData>
  <phoneticPr fontId="4"/>
  <pageMargins left="0.11811023622047245" right="0.11811023622047245" top="0.35433070866141736" bottom="0.35433070866141736" header="0.31496062992125984" footer="0.31496062992125984"/>
  <pageSetup paperSize="12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FBA4-0243-4994-8880-D9D47B4F5BB5}">
  <sheetPr>
    <pageSetUpPr fitToPage="1"/>
  </sheetPr>
  <dimension ref="A1:V53"/>
  <sheetViews>
    <sheetView tabSelected="1" workbookViewId="0">
      <pane xSplit="2" ySplit="4" topLeftCell="P23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2" width="11.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107</v>
      </c>
    </row>
    <row r="3" spans="1:22">
      <c r="B3" s="4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18</v>
      </c>
      <c r="Q3" s="36" t="s">
        <v>19</v>
      </c>
      <c r="R3" s="36" t="s">
        <v>20</v>
      </c>
      <c r="S3" s="36" t="s">
        <v>21</v>
      </c>
      <c r="T3" s="36" t="s">
        <v>22</v>
      </c>
      <c r="U3" s="64" t="s">
        <v>23</v>
      </c>
      <c r="V3" s="59" t="s">
        <v>108</v>
      </c>
    </row>
    <row r="4" spans="1:22" ht="19.5" thickBot="1">
      <c r="B4" s="8" t="s">
        <v>30</v>
      </c>
      <c r="C4" s="37" t="s">
        <v>31</v>
      </c>
      <c r="D4" s="38" t="s">
        <v>32</v>
      </c>
      <c r="E4" s="38" t="s">
        <v>35</v>
      </c>
      <c r="F4" s="38" t="s">
        <v>36</v>
      </c>
      <c r="G4" s="38" t="s">
        <v>37</v>
      </c>
      <c r="H4" s="38" t="s">
        <v>38</v>
      </c>
      <c r="I4" s="38" t="s">
        <v>39</v>
      </c>
      <c r="J4" s="38" t="s">
        <v>40</v>
      </c>
      <c r="K4" s="38" t="s">
        <v>41</v>
      </c>
      <c r="L4" s="38" t="s">
        <v>42</v>
      </c>
      <c r="M4" s="38" t="s">
        <v>43</v>
      </c>
      <c r="N4" s="38" t="s">
        <v>44</v>
      </c>
      <c r="O4" s="38" t="s">
        <v>45</v>
      </c>
      <c r="P4" s="38" t="s">
        <v>47</v>
      </c>
      <c r="Q4" s="38" t="s">
        <v>48</v>
      </c>
      <c r="R4" s="38" t="s">
        <v>49</v>
      </c>
      <c r="S4" s="38" t="s">
        <v>50</v>
      </c>
      <c r="T4" s="38" t="s">
        <v>51</v>
      </c>
      <c r="U4" s="65" t="s">
        <v>52</v>
      </c>
      <c r="V4" s="62" t="s">
        <v>109</v>
      </c>
    </row>
    <row r="5" spans="1:22">
      <c r="A5" s="1" t="s">
        <v>1</v>
      </c>
      <c r="B5" s="28" t="s">
        <v>60</v>
      </c>
      <c r="C5" s="39">
        <v>19</v>
      </c>
      <c r="D5" s="40">
        <v>19</v>
      </c>
      <c r="E5" s="40">
        <v>19</v>
      </c>
      <c r="F5" s="40">
        <v>19</v>
      </c>
      <c r="G5" s="40">
        <v>18</v>
      </c>
      <c r="H5" s="40">
        <v>18</v>
      </c>
      <c r="I5" s="40">
        <v>18</v>
      </c>
      <c r="J5" s="40">
        <v>20</v>
      </c>
      <c r="K5" s="40">
        <v>20</v>
      </c>
      <c r="L5" s="40">
        <v>15</v>
      </c>
      <c r="M5" s="40">
        <v>17</v>
      </c>
      <c r="N5" s="40">
        <v>20</v>
      </c>
      <c r="O5" s="40">
        <v>20</v>
      </c>
      <c r="P5" s="40">
        <v>18</v>
      </c>
      <c r="Q5" s="40">
        <v>17</v>
      </c>
      <c r="R5" s="40">
        <v>17</v>
      </c>
      <c r="S5" s="40">
        <v>18</v>
      </c>
      <c r="T5" s="40">
        <v>20</v>
      </c>
      <c r="U5" s="66">
        <v>20</v>
      </c>
      <c r="V5" s="30">
        <f>SUM(C5:U5)</f>
        <v>352</v>
      </c>
    </row>
    <row r="6" spans="1:22">
      <c r="A6" s="1" t="s">
        <v>1</v>
      </c>
      <c r="B6" s="25" t="s">
        <v>61</v>
      </c>
      <c r="C6" s="41">
        <v>1</v>
      </c>
      <c r="D6" s="42">
        <v>2</v>
      </c>
      <c r="E6" s="42">
        <v>2</v>
      </c>
      <c r="F6" s="42">
        <v>1</v>
      </c>
      <c r="G6" s="42">
        <v>1</v>
      </c>
      <c r="H6" s="42">
        <v>3</v>
      </c>
      <c r="I6" s="42">
        <v>2</v>
      </c>
      <c r="J6" s="42">
        <v>3</v>
      </c>
      <c r="K6" s="42">
        <v>3</v>
      </c>
      <c r="L6" s="42">
        <v>2</v>
      </c>
      <c r="M6" s="42">
        <v>3</v>
      </c>
      <c r="N6" s="42">
        <v>2</v>
      </c>
      <c r="O6" s="42">
        <v>3</v>
      </c>
      <c r="P6" s="42">
        <v>3</v>
      </c>
      <c r="Q6" s="42">
        <v>2</v>
      </c>
      <c r="R6" s="42">
        <v>4</v>
      </c>
      <c r="S6" s="42">
        <v>1</v>
      </c>
      <c r="T6" s="42">
        <v>2</v>
      </c>
      <c r="U6" s="67">
        <v>1</v>
      </c>
      <c r="V6" s="32">
        <f>SUM(C6:U6)</f>
        <v>41</v>
      </c>
    </row>
    <row r="7" spans="1:22">
      <c r="A7" s="1" t="s">
        <v>1</v>
      </c>
      <c r="B7" s="25" t="s">
        <v>62</v>
      </c>
      <c r="C7" s="41">
        <v>4</v>
      </c>
      <c r="D7" s="42">
        <v>4</v>
      </c>
      <c r="E7" s="42">
        <v>1</v>
      </c>
      <c r="F7" s="42">
        <v>3</v>
      </c>
      <c r="G7" s="42">
        <v>2</v>
      </c>
      <c r="H7" s="42">
        <v>2</v>
      </c>
      <c r="I7" s="42">
        <v>2</v>
      </c>
      <c r="J7" s="42">
        <v>2</v>
      </c>
      <c r="K7" s="42">
        <v>2</v>
      </c>
      <c r="L7" s="42">
        <v>2</v>
      </c>
      <c r="M7" s="42">
        <v>3</v>
      </c>
      <c r="N7" s="42">
        <v>1</v>
      </c>
      <c r="O7" s="42">
        <v>2</v>
      </c>
      <c r="P7" s="42">
        <v>4</v>
      </c>
      <c r="Q7" s="42">
        <v>3</v>
      </c>
      <c r="R7" s="42">
        <v>2</v>
      </c>
      <c r="S7" s="42">
        <v>3</v>
      </c>
      <c r="T7" s="42">
        <v>3</v>
      </c>
      <c r="U7" s="67">
        <v>5</v>
      </c>
      <c r="V7" s="32">
        <f t="shared" ref="V7:V51" si="0">SUM(C7:U7)</f>
        <v>50</v>
      </c>
    </row>
    <row r="8" spans="1:22">
      <c r="A8" s="1" t="s">
        <v>1</v>
      </c>
      <c r="B8" s="25" t="s">
        <v>63</v>
      </c>
      <c r="C8" s="41">
        <v>0</v>
      </c>
      <c r="D8" s="42">
        <v>0</v>
      </c>
      <c r="E8" s="42">
        <v>0</v>
      </c>
      <c r="F8" s="42">
        <v>1</v>
      </c>
      <c r="G8" s="42">
        <v>0</v>
      </c>
      <c r="H8" s="42">
        <v>1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2</v>
      </c>
      <c r="Q8" s="42">
        <v>3</v>
      </c>
      <c r="R8" s="42">
        <v>1</v>
      </c>
      <c r="S8" s="42">
        <v>2</v>
      </c>
      <c r="T8" s="42">
        <v>0</v>
      </c>
      <c r="U8" s="67">
        <v>0</v>
      </c>
      <c r="V8" s="32">
        <f t="shared" si="0"/>
        <v>10</v>
      </c>
    </row>
    <row r="9" spans="1:22">
      <c r="A9" s="1" t="s">
        <v>1</v>
      </c>
      <c r="B9" s="25" t="s">
        <v>64</v>
      </c>
      <c r="C9" s="41">
        <v>1</v>
      </c>
      <c r="D9" s="42">
        <v>1</v>
      </c>
      <c r="E9" s="42">
        <v>1</v>
      </c>
      <c r="F9" s="42">
        <v>0</v>
      </c>
      <c r="G9" s="42">
        <v>1</v>
      </c>
      <c r="H9" s="42">
        <v>1</v>
      </c>
      <c r="I9" s="42">
        <v>2</v>
      </c>
      <c r="J9" s="42">
        <v>0</v>
      </c>
      <c r="K9" s="42">
        <v>0</v>
      </c>
      <c r="L9" s="42">
        <v>0</v>
      </c>
      <c r="M9" s="42">
        <v>3</v>
      </c>
      <c r="N9" s="42">
        <v>0</v>
      </c>
      <c r="O9" s="42">
        <v>0</v>
      </c>
      <c r="P9" s="42">
        <v>0</v>
      </c>
      <c r="Q9" s="42">
        <v>0</v>
      </c>
      <c r="R9" s="42">
        <v>2</v>
      </c>
      <c r="S9" s="42">
        <v>0</v>
      </c>
      <c r="T9" s="42">
        <v>0</v>
      </c>
      <c r="U9" s="67">
        <v>0</v>
      </c>
      <c r="V9" s="32">
        <f t="shared" si="0"/>
        <v>12</v>
      </c>
    </row>
    <row r="10" spans="1:22">
      <c r="A10" s="1" t="s">
        <v>1</v>
      </c>
      <c r="B10" s="25" t="s">
        <v>65</v>
      </c>
      <c r="C10" s="41">
        <v>0</v>
      </c>
      <c r="D10" s="42">
        <v>0</v>
      </c>
      <c r="E10" s="42">
        <v>0</v>
      </c>
      <c r="F10" s="42">
        <v>0</v>
      </c>
      <c r="G10" s="42">
        <v>1</v>
      </c>
      <c r="H10" s="42">
        <v>0</v>
      </c>
      <c r="I10" s="42">
        <v>0</v>
      </c>
      <c r="J10" s="42">
        <v>0</v>
      </c>
      <c r="K10" s="42">
        <v>0</v>
      </c>
      <c r="L10" s="42">
        <v>5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67">
        <v>0</v>
      </c>
      <c r="V10" s="32">
        <f t="shared" si="0"/>
        <v>6</v>
      </c>
    </row>
    <row r="11" spans="1:22">
      <c r="A11" s="1" t="s">
        <v>1</v>
      </c>
      <c r="B11" s="25" t="s">
        <v>66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8">
        <v>0</v>
      </c>
      <c r="V11" s="34">
        <f t="shared" si="0"/>
        <v>0</v>
      </c>
    </row>
    <row r="12" spans="1:22">
      <c r="A12" s="1" t="s">
        <v>1</v>
      </c>
      <c r="B12" s="25" t="s">
        <v>67</v>
      </c>
      <c r="C12" s="43">
        <v>0.79166666666666663</v>
      </c>
      <c r="D12" s="44">
        <v>1.5</v>
      </c>
      <c r="E12" s="44">
        <v>0.875</v>
      </c>
      <c r="F12" s="44">
        <v>2.5416666666666665</v>
      </c>
      <c r="G12" s="44">
        <v>1.625</v>
      </c>
      <c r="H12" s="44">
        <v>2.7916666666666665</v>
      </c>
      <c r="I12" s="44">
        <v>1.6666666666666665</v>
      </c>
      <c r="J12" s="44">
        <v>2.0416666666666665</v>
      </c>
      <c r="K12" s="44">
        <v>1.6666666666666665</v>
      </c>
      <c r="L12" s="44">
        <v>0.70833333333333337</v>
      </c>
      <c r="M12" s="44">
        <v>1.0416666666666667</v>
      </c>
      <c r="N12" s="44">
        <v>2.75</v>
      </c>
      <c r="O12" s="44">
        <v>1</v>
      </c>
      <c r="P12" s="44">
        <v>2.625</v>
      </c>
      <c r="Q12" s="44">
        <v>1.0833333333333333</v>
      </c>
      <c r="R12" s="44">
        <v>1.4166666666666667</v>
      </c>
      <c r="S12" s="44">
        <v>3.0416666666666665</v>
      </c>
      <c r="T12" s="44">
        <v>1.75</v>
      </c>
      <c r="U12" s="68">
        <v>1.5416666666666665</v>
      </c>
      <c r="V12" s="34">
        <f t="shared" si="0"/>
        <v>32.458333333333336</v>
      </c>
    </row>
    <row r="13" spans="1:22">
      <c r="A13" s="1" t="s">
        <v>1</v>
      </c>
      <c r="B13" s="25" t="s">
        <v>68</v>
      </c>
      <c r="C13" s="43">
        <v>0.45833333333333331</v>
      </c>
      <c r="D13" s="44">
        <v>0.625</v>
      </c>
      <c r="E13" s="44">
        <v>0.58333333333333337</v>
      </c>
      <c r="F13" s="44">
        <v>0.25</v>
      </c>
      <c r="G13" s="44">
        <v>0.29166666666666669</v>
      </c>
      <c r="H13" s="44">
        <v>0.95833333333333337</v>
      </c>
      <c r="I13" s="44">
        <v>0.91666666666666663</v>
      </c>
      <c r="J13" s="44">
        <v>1.0416666666666667</v>
      </c>
      <c r="K13" s="44">
        <v>0.95833333333333337</v>
      </c>
      <c r="L13" s="44">
        <v>0.79166666666666663</v>
      </c>
      <c r="M13" s="44">
        <v>1.2916666666666667</v>
      </c>
      <c r="N13" s="44">
        <v>0.91666666666666663</v>
      </c>
      <c r="O13" s="44">
        <v>0.95833333333333337</v>
      </c>
      <c r="P13" s="44">
        <v>1</v>
      </c>
      <c r="Q13" s="44">
        <v>0.375</v>
      </c>
      <c r="R13" s="44">
        <v>1.25</v>
      </c>
      <c r="S13" s="44">
        <v>0.375</v>
      </c>
      <c r="T13" s="44">
        <v>0.83333333333333337</v>
      </c>
      <c r="U13" s="68">
        <v>0.41666666666666669</v>
      </c>
      <c r="V13" s="34">
        <f t="shared" si="0"/>
        <v>14.291666666666666</v>
      </c>
    </row>
    <row r="14" spans="1:22">
      <c r="A14" s="1" t="s">
        <v>1</v>
      </c>
      <c r="B14" s="25" t="s">
        <v>69</v>
      </c>
      <c r="C14" s="43">
        <v>1.4583333333333333</v>
      </c>
      <c r="D14" s="44">
        <v>1.3333333333333333</v>
      </c>
      <c r="E14" s="44">
        <v>0.20833333333333334</v>
      </c>
      <c r="F14" s="44">
        <v>0.75</v>
      </c>
      <c r="G14" s="44">
        <v>0.625</v>
      </c>
      <c r="H14" s="44">
        <v>0.33333333333333331</v>
      </c>
      <c r="I14" s="44">
        <v>0.875</v>
      </c>
      <c r="J14" s="44">
        <v>0.66666666666666663</v>
      </c>
      <c r="K14" s="44">
        <v>0.79166666666666663</v>
      </c>
      <c r="L14" s="44">
        <v>0.625</v>
      </c>
      <c r="M14" s="44">
        <v>1.3333333333333333</v>
      </c>
      <c r="N14" s="44">
        <v>0.45833333333333331</v>
      </c>
      <c r="O14" s="44">
        <v>0.70833333333333337</v>
      </c>
      <c r="P14" s="44">
        <v>0.70833333333333337</v>
      </c>
      <c r="Q14" s="44">
        <v>0.41666666666666669</v>
      </c>
      <c r="R14" s="44">
        <v>0.875</v>
      </c>
      <c r="S14" s="44">
        <v>0.33333333333333331</v>
      </c>
      <c r="T14" s="44">
        <v>1.2083333333333333</v>
      </c>
      <c r="U14" s="68">
        <v>2</v>
      </c>
      <c r="V14" s="34">
        <f t="shared" si="0"/>
        <v>15.708333333333336</v>
      </c>
    </row>
    <row r="15" spans="1:22">
      <c r="A15" s="1" t="s">
        <v>1</v>
      </c>
      <c r="B15" s="25" t="s">
        <v>70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0.45833333333333331</v>
      </c>
      <c r="R15" s="44">
        <v>0.25</v>
      </c>
      <c r="S15" s="44">
        <v>0</v>
      </c>
      <c r="T15" s="44">
        <v>0</v>
      </c>
      <c r="U15" s="68">
        <v>0</v>
      </c>
      <c r="V15" s="34">
        <f t="shared" si="0"/>
        <v>0.70833333333333326</v>
      </c>
    </row>
    <row r="16" spans="1:22">
      <c r="A16" s="1" t="s">
        <v>1</v>
      </c>
      <c r="B16" s="25" t="s">
        <v>71</v>
      </c>
      <c r="C16" s="43">
        <v>0</v>
      </c>
      <c r="D16" s="44">
        <v>0</v>
      </c>
      <c r="E16" s="44">
        <v>0</v>
      </c>
      <c r="F16" s="44">
        <v>0.29166666666666669</v>
      </c>
      <c r="G16" s="44">
        <v>0</v>
      </c>
      <c r="H16" s="44">
        <v>0.25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0.79166666666666663</v>
      </c>
      <c r="Q16" s="44">
        <v>0.875</v>
      </c>
      <c r="R16" s="44">
        <v>0</v>
      </c>
      <c r="S16" s="44">
        <v>0.66666666666666663</v>
      </c>
      <c r="T16" s="44">
        <v>0</v>
      </c>
      <c r="U16" s="68">
        <v>0</v>
      </c>
      <c r="V16" s="34">
        <f t="shared" si="0"/>
        <v>2.875</v>
      </c>
    </row>
    <row r="17" spans="1:22">
      <c r="A17" s="1" t="s">
        <v>1</v>
      </c>
      <c r="B17" s="25" t="s">
        <v>72</v>
      </c>
      <c r="C17" s="43">
        <v>0</v>
      </c>
      <c r="D17" s="44">
        <v>0</v>
      </c>
      <c r="E17" s="44">
        <v>0</v>
      </c>
      <c r="F17" s="44">
        <v>0.125</v>
      </c>
      <c r="G17" s="44">
        <v>0</v>
      </c>
      <c r="H17" s="44">
        <v>0.29166666666666669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0.375</v>
      </c>
      <c r="O17" s="44">
        <v>0</v>
      </c>
      <c r="P17" s="44">
        <v>0.29166666666666669</v>
      </c>
      <c r="Q17" s="44">
        <v>0</v>
      </c>
      <c r="R17" s="44">
        <v>0</v>
      </c>
      <c r="S17" s="44">
        <v>0.625</v>
      </c>
      <c r="T17" s="44">
        <v>0</v>
      </c>
      <c r="U17" s="68">
        <v>0</v>
      </c>
      <c r="V17" s="34">
        <f t="shared" si="0"/>
        <v>1.7083333333333335</v>
      </c>
    </row>
    <row r="18" spans="1:22">
      <c r="A18" s="1" t="s">
        <v>1</v>
      </c>
      <c r="B18" s="25" t="s">
        <v>73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8">
        <v>0</v>
      </c>
      <c r="V18" s="34">
        <f t="shared" si="0"/>
        <v>0</v>
      </c>
    </row>
    <row r="19" spans="1:22">
      <c r="A19" s="1" t="s">
        <v>1</v>
      </c>
      <c r="B19" s="9" t="s">
        <v>74</v>
      </c>
      <c r="C19" s="45">
        <v>0.125</v>
      </c>
      <c r="D19" s="46">
        <v>0.16666666666666666</v>
      </c>
      <c r="E19" s="46">
        <v>8.3333333333333329E-2</v>
      </c>
      <c r="F19" s="46">
        <v>0.875</v>
      </c>
      <c r="G19" s="46">
        <v>0.54166666666666663</v>
      </c>
      <c r="H19" s="46">
        <v>1.0833333333333333</v>
      </c>
      <c r="I19" s="46">
        <v>0.45833333333333331</v>
      </c>
      <c r="J19" s="46">
        <v>8.3333333333333329E-2</v>
      </c>
      <c r="K19" s="46">
        <v>0</v>
      </c>
      <c r="L19" s="46">
        <v>0.45833333333333331</v>
      </c>
      <c r="M19" s="46">
        <v>0.33333333333333331</v>
      </c>
      <c r="N19" s="46">
        <v>1.2083333333333333</v>
      </c>
      <c r="O19" s="46">
        <v>0.375</v>
      </c>
      <c r="P19" s="46">
        <v>1.125</v>
      </c>
      <c r="Q19" s="46">
        <v>0.95833333333333337</v>
      </c>
      <c r="R19" s="46">
        <v>0.79166666666666663</v>
      </c>
      <c r="S19" s="46">
        <v>1.5416666666666665</v>
      </c>
      <c r="T19" s="46">
        <v>0.25</v>
      </c>
      <c r="U19" s="69">
        <v>0.125</v>
      </c>
      <c r="V19" s="11">
        <f t="shared" si="0"/>
        <v>10.583333333333332</v>
      </c>
    </row>
    <row r="20" spans="1:22">
      <c r="A20" s="1" t="s">
        <v>1</v>
      </c>
      <c r="B20" s="17" t="s">
        <v>75</v>
      </c>
      <c r="C20" s="47">
        <v>7</v>
      </c>
      <c r="D20" s="48">
        <v>4</v>
      </c>
      <c r="E20" s="48">
        <v>28</v>
      </c>
      <c r="F20" s="48">
        <v>26</v>
      </c>
      <c r="G20" s="48">
        <v>24</v>
      </c>
      <c r="H20" s="48">
        <v>19</v>
      </c>
      <c r="I20" s="48">
        <v>11</v>
      </c>
      <c r="J20" s="48">
        <v>21</v>
      </c>
      <c r="K20" s="48">
        <v>24</v>
      </c>
      <c r="L20" s="48">
        <v>32</v>
      </c>
      <c r="M20" s="48">
        <v>3</v>
      </c>
      <c r="N20" s="48">
        <v>4</v>
      </c>
      <c r="O20" s="48">
        <v>26</v>
      </c>
      <c r="P20" s="48">
        <v>5</v>
      </c>
      <c r="Q20" s="48">
        <v>23</v>
      </c>
      <c r="R20" s="48">
        <v>7</v>
      </c>
      <c r="S20" s="48">
        <v>6</v>
      </c>
      <c r="T20" s="48">
        <v>6</v>
      </c>
      <c r="U20" s="70">
        <v>12</v>
      </c>
      <c r="V20" s="19">
        <f t="shared" si="0"/>
        <v>288</v>
      </c>
    </row>
    <row r="21" spans="1:22">
      <c r="A21" s="1" t="s">
        <v>1</v>
      </c>
      <c r="B21" s="22" t="s">
        <v>76</v>
      </c>
      <c r="C21" s="49">
        <v>177000</v>
      </c>
      <c r="D21" s="50">
        <v>187000</v>
      </c>
      <c r="E21" s="50">
        <v>192000</v>
      </c>
      <c r="F21" s="50">
        <v>192000</v>
      </c>
      <c r="G21" s="50">
        <v>187000</v>
      </c>
      <c r="H21" s="50">
        <v>192000</v>
      </c>
      <c r="I21" s="50">
        <v>177000</v>
      </c>
      <c r="J21" s="50">
        <v>182000</v>
      </c>
      <c r="K21" s="50">
        <v>177000</v>
      </c>
      <c r="L21" s="50">
        <v>187000</v>
      </c>
      <c r="M21" s="50">
        <v>177000</v>
      </c>
      <c r="N21" s="50">
        <v>182000</v>
      </c>
      <c r="O21" s="50">
        <v>187000</v>
      </c>
      <c r="P21" s="50">
        <v>177000</v>
      </c>
      <c r="Q21" s="50">
        <v>170000</v>
      </c>
      <c r="R21" s="50">
        <v>170000</v>
      </c>
      <c r="S21" s="50">
        <v>170000</v>
      </c>
      <c r="T21" s="50">
        <v>170000</v>
      </c>
      <c r="U21" s="71">
        <v>170000</v>
      </c>
      <c r="V21" s="24">
        <f t="shared" si="0"/>
        <v>3423000</v>
      </c>
    </row>
    <row r="22" spans="1:22">
      <c r="A22" s="1" t="s">
        <v>1</v>
      </c>
      <c r="B22" s="25" t="s">
        <v>77</v>
      </c>
      <c r="C22" s="51">
        <v>0</v>
      </c>
      <c r="D22" s="52">
        <v>0</v>
      </c>
      <c r="E22" s="52">
        <v>20000</v>
      </c>
      <c r="F22" s="52">
        <v>20000</v>
      </c>
      <c r="G22" s="52">
        <v>5000</v>
      </c>
      <c r="H22" s="52">
        <v>5000</v>
      </c>
      <c r="I22" s="52">
        <v>0</v>
      </c>
      <c r="J22" s="52">
        <v>5000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5000</v>
      </c>
      <c r="Q22" s="52">
        <v>0</v>
      </c>
      <c r="R22" s="52">
        <v>0</v>
      </c>
      <c r="S22" s="52">
        <v>0</v>
      </c>
      <c r="T22" s="52">
        <v>0</v>
      </c>
      <c r="U22" s="72">
        <v>0</v>
      </c>
      <c r="V22" s="27">
        <f t="shared" si="0"/>
        <v>60000</v>
      </c>
    </row>
    <row r="23" spans="1:22">
      <c r="A23" s="1" t="s">
        <v>1</v>
      </c>
      <c r="B23" s="25" t="s">
        <v>78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72">
        <v>0</v>
      </c>
      <c r="V23" s="27">
        <f t="shared" si="0"/>
        <v>0</v>
      </c>
    </row>
    <row r="24" spans="1:22">
      <c r="A24" s="1" t="s">
        <v>1</v>
      </c>
      <c r="B24" s="25" t="s">
        <v>79</v>
      </c>
      <c r="C24" s="51">
        <v>0</v>
      </c>
      <c r="D24" s="52">
        <v>7640</v>
      </c>
      <c r="E24" s="52">
        <v>81036</v>
      </c>
      <c r="F24" s="52">
        <v>24135</v>
      </c>
      <c r="G24" s="52">
        <v>0</v>
      </c>
      <c r="H24" s="52">
        <v>22526</v>
      </c>
      <c r="I24" s="52">
        <v>5788</v>
      </c>
      <c r="J24" s="52">
        <v>0</v>
      </c>
      <c r="K24" s="52">
        <v>7235</v>
      </c>
      <c r="L24" s="52">
        <v>72212</v>
      </c>
      <c r="M24" s="52">
        <v>0</v>
      </c>
      <c r="N24" s="52">
        <v>0</v>
      </c>
      <c r="O24" s="52">
        <v>39300</v>
      </c>
      <c r="P24" s="52">
        <v>11083</v>
      </c>
      <c r="Q24" s="52">
        <v>0</v>
      </c>
      <c r="R24" s="52">
        <v>0</v>
      </c>
      <c r="S24" s="52">
        <v>0</v>
      </c>
      <c r="T24" s="52">
        <v>0</v>
      </c>
      <c r="U24" s="72">
        <v>0</v>
      </c>
      <c r="V24" s="27">
        <f t="shared" si="0"/>
        <v>270955</v>
      </c>
    </row>
    <row r="25" spans="1:22">
      <c r="A25" s="1" t="s">
        <v>1</v>
      </c>
      <c r="B25" s="25" t="s">
        <v>80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72">
        <v>0</v>
      </c>
      <c r="V25" s="27">
        <f t="shared" si="0"/>
        <v>0</v>
      </c>
    </row>
    <row r="26" spans="1:22">
      <c r="A26" s="1" t="s">
        <v>1</v>
      </c>
      <c r="B26" s="25" t="s">
        <v>81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72">
        <v>0</v>
      </c>
      <c r="V26" s="27">
        <f t="shared" si="0"/>
        <v>0</v>
      </c>
    </row>
    <row r="27" spans="1:22">
      <c r="A27" s="1" t="s">
        <v>1</v>
      </c>
      <c r="B27" s="25" t="s">
        <v>82</v>
      </c>
      <c r="C27" s="51">
        <v>3500</v>
      </c>
      <c r="D27" s="52">
        <v>3500</v>
      </c>
      <c r="E27" s="52">
        <v>3500</v>
      </c>
      <c r="F27" s="52">
        <v>3500</v>
      </c>
      <c r="G27" s="52">
        <v>0</v>
      </c>
      <c r="H27" s="52">
        <v>3500</v>
      </c>
      <c r="I27" s="52">
        <v>3500</v>
      </c>
      <c r="J27" s="52">
        <v>3500</v>
      </c>
      <c r="K27" s="52">
        <v>3500</v>
      </c>
      <c r="L27" s="52">
        <v>3500</v>
      </c>
      <c r="M27" s="52">
        <v>3500</v>
      </c>
      <c r="N27" s="52">
        <v>3500</v>
      </c>
      <c r="O27" s="52">
        <v>3500</v>
      </c>
      <c r="P27" s="52">
        <v>3500</v>
      </c>
      <c r="Q27" s="52">
        <v>3500</v>
      </c>
      <c r="R27" s="52">
        <v>0</v>
      </c>
      <c r="S27" s="52">
        <v>1000</v>
      </c>
      <c r="T27" s="52">
        <v>1000</v>
      </c>
      <c r="U27" s="72">
        <v>0</v>
      </c>
      <c r="V27" s="27">
        <f t="shared" si="0"/>
        <v>51000</v>
      </c>
    </row>
    <row r="28" spans="1:22">
      <c r="A28" s="1" t="s">
        <v>1</v>
      </c>
      <c r="B28" s="25" t="s">
        <v>83</v>
      </c>
      <c r="C28" s="51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72">
        <v>0</v>
      </c>
      <c r="V28" s="27">
        <f t="shared" si="0"/>
        <v>0</v>
      </c>
    </row>
    <row r="29" spans="1:22">
      <c r="A29" s="1" t="s">
        <v>1</v>
      </c>
      <c r="B29" s="25" t="s">
        <v>67</v>
      </c>
      <c r="C29" s="51">
        <v>25669</v>
      </c>
      <c r="D29" s="52">
        <v>51336</v>
      </c>
      <c r="E29" s="52">
        <v>33873</v>
      </c>
      <c r="F29" s="52">
        <v>98393</v>
      </c>
      <c r="G29" s="52">
        <v>56082</v>
      </c>
      <c r="H29" s="52">
        <v>100567</v>
      </c>
      <c r="I29" s="52">
        <v>54040</v>
      </c>
      <c r="J29" s="52">
        <v>69874</v>
      </c>
      <c r="K29" s="52">
        <v>54040</v>
      </c>
      <c r="L29" s="52">
        <v>24242</v>
      </c>
      <c r="M29" s="52">
        <v>33775</v>
      </c>
      <c r="N29" s="52">
        <v>91674</v>
      </c>
      <c r="O29" s="52">
        <v>34224</v>
      </c>
      <c r="P29" s="52">
        <v>87507</v>
      </c>
      <c r="Q29" s="52">
        <v>33774</v>
      </c>
      <c r="R29" s="52">
        <v>43282</v>
      </c>
      <c r="S29" s="52">
        <v>93440</v>
      </c>
      <c r="T29" s="52">
        <v>53760</v>
      </c>
      <c r="U29" s="72">
        <v>47101</v>
      </c>
      <c r="V29" s="27">
        <f t="shared" si="0"/>
        <v>1086653</v>
      </c>
    </row>
    <row r="30" spans="1:22">
      <c r="A30" s="1" t="s">
        <v>1</v>
      </c>
      <c r="B30" s="25" t="s">
        <v>84</v>
      </c>
      <c r="C30" s="51">
        <v>16049</v>
      </c>
      <c r="D30" s="52">
        <v>23100</v>
      </c>
      <c r="E30" s="52">
        <v>24388</v>
      </c>
      <c r="F30" s="52">
        <v>10452</v>
      </c>
      <c r="G30" s="52">
        <v>10871</v>
      </c>
      <c r="H30" s="52">
        <v>37283</v>
      </c>
      <c r="I30" s="52">
        <v>32098</v>
      </c>
      <c r="J30" s="52">
        <v>38500</v>
      </c>
      <c r="K30" s="52">
        <v>33557</v>
      </c>
      <c r="L30" s="52">
        <v>29260</v>
      </c>
      <c r="M30" s="52">
        <v>45229</v>
      </c>
      <c r="N30" s="52">
        <v>33000</v>
      </c>
      <c r="O30" s="52">
        <v>35420</v>
      </c>
      <c r="P30" s="52">
        <v>36000</v>
      </c>
      <c r="Q30" s="52">
        <v>12627</v>
      </c>
      <c r="R30" s="52">
        <v>41220</v>
      </c>
      <c r="S30" s="52">
        <v>12438</v>
      </c>
      <c r="T30" s="52">
        <v>27640</v>
      </c>
      <c r="U30" s="72">
        <v>13740</v>
      </c>
      <c r="V30" s="27">
        <f t="shared" si="0"/>
        <v>512872</v>
      </c>
    </row>
    <row r="31" spans="1:22">
      <c r="A31" s="1" t="s">
        <v>1</v>
      </c>
      <c r="B31" s="25" t="s">
        <v>85</v>
      </c>
      <c r="C31" s="51">
        <v>51065</v>
      </c>
      <c r="D31" s="52">
        <v>49280</v>
      </c>
      <c r="E31" s="52">
        <v>8710</v>
      </c>
      <c r="F31" s="52">
        <v>31356</v>
      </c>
      <c r="G31" s="52">
        <v>23295</v>
      </c>
      <c r="H31" s="52">
        <v>12968</v>
      </c>
      <c r="I31" s="52">
        <v>30639</v>
      </c>
      <c r="J31" s="52">
        <v>24640</v>
      </c>
      <c r="K31" s="52">
        <v>27721</v>
      </c>
      <c r="L31" s="52">
        <v>23100</v>
      </c>
      <c r="M31" s="52">
        <v>46688</v>
      </c>
      <c r="N31" s="52">
        <v>16500</v>
      </c>
      <c r="O31" s="52">
        <v>26180</v>
      </c>
      <c r="P31" s="52">
        <v>25500</v>
      </c>
      <c r="Q31" s="52">
        <v>14030</v>
      </c>
      <c r="R31" s="52">
        <v>28854</v>
      </c>
      <c r="S31" s="52">
        <v>11056</v>
      </c>
      <c r="T31" s="52">
        <v>40078</v>
      </c>
      <c r="U31" s="72">
        <v>65952</v>
      </c>
      <c r="V31" s="27">
        <f t="shared" si="0"/>
        <v>557612</v>
      </c>
    </row>
    <row r="32" spans="1:22">
      <c r="A32" s="1" t="s">
        <v>1</v>
      </c>
      <c r="B32" s="25" t="s">
        <v>86</v>
      </c>
      <c r="C32" s="51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4004</v>
      </c>
      <c r="R32" s="52">
        <v>2136</v>
      </c>
      <c r="S32" s="52">
        <v>0</v>
      </c>
      <c r="T32" s="52">
        <v>0</v>
      </c>
      <c r="U32" s="72">
        <v>0</v>
      </c>
      <c r="V32" s="27">
        <f t="shared" si="0"/>
        <v>6140</v>
      </c>
    </row>
    <row r="33" spans="1:22">
      <c r="A33" s="1" t="s">
        <v>1</v>
      </c>
      <c r="B33" s="25" t="s">
        <v>87</v>
      </c>
      <c r="C33" s="51">
        <v>0</v>
      </c>
      <c r="D33" s="52">
        <v>0</v>
      </c>
      <c r="E33" s="52">
        <v>0</v>
      </c>
      <c r="F33" s="52">
        <v>3164</v>
      </c>
      <c r="G33" s="52">
        <v>0</v>
      </c>
      <c r="H33" s="52">
        <v>2520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7391</v>
      </c>
      <c r="Q33" s="52">
        <v>7644</v>
      </c>
      <c r="R33" s="52">
        <v>0</v>
      </c>
      <c r="S33" s="52">
        <v>5728</v>
      </c>
      <c r="T33" s="52">
        <v>0</v>
      </c>
      <c r="U33" s="72">
        <v>0</v>
      </c>
      <c r="V33" s="27">
        <f t="shared" si="0"/>
        <v>26447</v>
      </c>
    </row>
    <row r="34" spans="1:22">
      <c r="A34" s="1" t="s">
        <v>1</v>
      </c>
      <c r="B34" s="25" t="s">
        <v>72</v>
      </c>
      <c r="C34" s="51">
        <v>0</v>
      </c>
      <c r="D34" s="52">
        <v>0</v>
      </c>
      <c r="E34" s="52">
        <v>0</v>
      </c>
      <c r="F34" s="52">
        <v>969</v>
      </c>
      <c r="G34" s="52">
        <v>0</v>
      </c>
      <c r="H34" s="52">
        <v>2100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2502</v>
      </c>
      <c r="O34" s="52">
        <v>0</v>
      </c>
      <c r="P34" s="52">
        <v>1946</v>
      </c>
      <c r="Q34" s="52">
        <v>0</v>
      </c>
      <c r="R34" s="52">
        <v>0</v>
      </c>
      <c r="S34" s="52">
        <v>3840</v>
      </c>
      <c r="T34" s="52">
        <v>0</v>
      </c>
      <c r="U34" s="72">
        <v>0</v>
      </c>
      <c r="V34" s="27">
        <f t="shared" si="0"/>
        <v>11357</v>
      </c>
    </row>
    <row r="35" spans="1:22">
      <c r="A35" s="1" t="s">
        <v>1</v>
      </c>
      <c r="B35" s="9" t="s">
        <v>74</v>
      </c>
      <c r="C35" s="53">
        <v>810</v>
      </c>
      <c r="D35" s="54">
        <v>1140</v>
      </c>
      <c r="E35" s="54">
        <v>646</v>
      </c>
      <c r="F35" s="54">
        <v>6783</v>
      </c>
      <c r="G35" s="54">
        <v>3744</v>
      </c>
      <c r="H35" s="54">
        <v>7800</v>
      </c>
      <c r="I35" s="54">
        <v>2970</v>
      </c>
      <c r="J35" s="54">
        <v>570</v>
      </c>
      <c r="K35" s="54">
        <v>0</v>
      </c>
      <c r="L35" s="54">
        <v>3135</v>
      </c>
      <c r="M35" s="54">
        <v>2160</v>
      </c>
      <c r="N35" s="54">
        <v>8062</v>
      </c>
      <c r="O35" s="54">
        <v>2565</v>
      </c>
      <c r="P35" s="54">
        <v>7506</v>
      </c>
      <c r="Q35" s="54">
        <v>5980</v>
      </c>
      <c r="R35" s="54">
        <v>4845</v>
      </c>
      <c r="S35" s="54">
        <v>9472</v>
      </c>
      <c r="T35" s="54">
        <v>1536</v>
      </c>
      <c r="U35" s="73">
        <v>765</v>
      </c>
      <c r="V35" s="13">
        <f t="shared" si="0"/>
        <v>70489</v>
      </c>
    </row>
    <row r="36" spans="1:22">
      <c r="A36" s="1" t="s">
        <v>1</v>
      </c>
      <c r="B36" s="17" t="s">
        <v>88</v>
      </c>
      <c r="C36" s="55">
        <v>274093</v>
      </c>
      <c r="D36" s="56">
        <v>322996</v>
      </c>
      <c r="E36" s="56">
        <v>364153</v>
      </c>
      <c r="F36" s="56">
        <v>390752</v>
      </c>
      <c r="G36" s="56">
        <v>285992</v>
      </c>
      <c r="H36" s="56">
        <v>386264</v>
      </c>
      <c r="I36" s="56">
        <v>306035</v>
      </c>
      <c r="J36" s="56">
        <v>324084</v>
      </c>
      <c r="K36" s="56">
        <v>303053</v>
      </c>
      <c r="L36" s="56">
        <v>342449</v>
      </c>
      <c r="M36" s="56">
        <v>308352</v>
      </c>
      <c r="N36" s="56">
        <v>337238</v>
      </c>
      <c r="O36" s="56">
        <v>328189</v>
      </c>
      <c r="P36" s="56">
        <v>362433</v>
      </c>
      <c r="Q36" s="56">
        <v>251559</v>
      </c>
      <c r="R36" s="56">
        <v>290337</v>
      </c>
      <c r="S36" s="56">
        <v>306974</v>
      </c>
      <c r="T36" s="56">
        <v>294014</v>
      </c>
      <c r="U36" s="74">
        <v>297558</v>
      </c>
      <c r="V36" s="21">
        <f t="shared" si="0"/>
        <v>6076525</v>
      </c>
    </row>
    <row r="37" spans="1:22">
      <c r="A37" s="1" t="s">
        <v>1</v>
      </c>
      <c r="B37" s="22" t="s">
        <v>89</v>
      </c>
      <c r="C37" s="49">
        <v>13337</v>
      </c>
      <c r="D37" s="50">
        <v>3474</v>
      </c>
      <c r="E37" s="50">
        <v>5502</v>
      </c>
      <c r="F37" s="50">
        <v>3196</v>
      </c>
      <c r="G37" s="50">
        <v>13420</v>
      </c>
      <c r="H37" s="50">
        <v>2557</v>
      </c>
      <c r="I37" s="50">
        <v>2446</v>
      </c>
      <c r="J37" s="50">
        <v>1390</v>
      </c>
      <c r="K37" s="50">
        <v>3474</v>
      </c>
      <c r="L37" s="50">
        <v>4224</v>
      </c>
      <c r="M37" s="50">
        <v>6391</v>
      </c>
      <c r="N37" s="50">
        <v>4474</v>
      </c>
      <c r="O37" s="50">
        <v>8336</v>
      </c>
      <c r="P37" s="50">
        <v>6947</v>
      </c>
      <c r="Q37" s="50">
        <v>10392</v>
      </c>
      <c r="R37" s="50">
        <v>7669</v>
      </c>
      <c r="S37" s="50">
        <v>9169</v>
      </c>
      <c r="T37" s="50">
        <v>9030</v>
      </c>
      <c r="U37" s="71">
        <v>2890</v>
      </c>
      <c r="V37" s="24">
        <f t="shared" si="0"/>
        <v>118318</v>
      </c>
    </row>
    <row r="38" spans="1:22">
      <c r="A38" s="1" t="s">
        <v>1</v>
      </c>
      <c r="B38" s="9" t="s">
        <v>90</v>
      </c>
      <c r="C38" s="53">
        <v>13337</v>
      </c>
      <c r="D38" s="54">
        <v>3474</v>
      </c>
      <c r="E38" s="54">
        <v>5502</v>
      </c>
      <c r="F38" s="54">
        <v>3196</v>
      </c>
      <c r="G38" s="54">
        <v>13420</v>
      </c>
      <c r="H38" s="54">
        <v>2557</v>
      </c>
      <c r="I38" s="54">
        <v>2446</v>
      </c>
      <c r="J38" s="54">
        <v>1390</v>
      </c>
      <c r="K38" s="54">
        <v>3474</v>
      </c>
      <c r="L38" s="54">
        <v>4224</v>
      </c>
      <c r="M38" s="54">
        <v>6391</v>
      </c>
      <c r="N38" s="54">
        <v>4474</v>
      </c>
      <c r="O38" s="54">
        <v>8336</v>
      </c>
      <c r="P38" s="54">
        <v>6947</v>
      </c>
      <c r="Q38" s="54">
        <v>10392</v>
      </c>
      <c r="R38" s="54">
        <v>7669</v>
      </c>
      <c r="S38" s="54">
        <v>9169</v>
      </c>
      <c r="T38" s="54">
        <v>9030</v>
      </c>
      <c r="U38" s="73">
        <v>2890</v>
      </c>
      <c r="V38" s="13">
        <f t="shared" si="0"/>
        <v>118318</v>
      </c>
    </row>
    <row r="39" spans="1:22">
      <c r="A39" s="1" t="s">
        <v>1</v>
      </c>
      <c r="B39" s="17" t="s">
        <v>91</v>
      </c>
      <c r="C39" s="55">
        <v>287430</v>
      </c>
      <c r="D39" s="56">
        <v>326470</v>
      </c>
      <c r="E39" s="56">
        <v>369655</v>
      </c>
      <c r="F39" s="56">
        <v>393948</v>
      </c>
      <c r="G39" s="56">
        <v>299412</v>
      </c>
      <c r="H39" s="56">
        <v>388821</v>
      </c>
      <c r="I39" s="56">
        <v>308481</v>
      </c>
      <c r="J39" s="56">
        <v>325474</v>
      </c>
      <c r="K39" s="56">
        <v>306527</v>
      </c>
      <c r="L39" s="56">
        <v>346673</v>
      </c>
      <c r="M39" s="56">
        <v>314743</v>
      </c>
      <c r="N39" s="56">
        <v>341712</v>
      </c>
      <c r="O39" s="56">
        <v>336525</v>
      </c>
      <c r="P39" s="56">
        <v>369380</v>
      </c>
      <c r="Q39" s="56">
        <v>261951</v>
      </c>
      <c r="R39" s="56">
        <v>298006</v>
      </c>
      <c r="S39" s="56">
        <v>316143</v>
      </c>
      <c r="T39" s="56">
        <v>303044</v>
      </c>
      <c r="U39" s="74">
        <v>300448</v>
      </c>
      <c r="V39" s="21">
        <f t="shared" si="0"/>
        <v>6194843</v>
      </c>
    </row>
    <row r="40" spans="1:22">
      <c r="A40" s="1" t="s">
        <v>1</v>
      </c>
      <c r="B40" s="22" t="s">
        <v>92</v>
      </c>
      <c r="C40" s="49">
        <v>15300</v>
      </c>
      <c r="D40" s="50">
        <v>16320</v>
      </c>
      <c r="E40" s="50">
        <v>19380</v>
      </c>
      <c r="F40" s="50">
        <v>20910</v>
      </c>
      <c r="G40" s="50">
        <v>17340</v>
      </c>
      <c r="H40" s="50">
        <v>19380</v>
      </c>
      <c r="I40" s="50">
        <v>16320</v>
      </c>
      <c r="J40" s="50">
        <v>16320</v>
      </c>
      <c r="K40" s="50">
        <v>16320</v>
      </c>
      <c r="L40" s="50">
        <v>18360</v>
      </c>
      <c r="M40" s="50">
        <v>15300</v>
      </c>
      <c r="N40" s="50">
        <v>16320</v>
      </c>
      <c r="O40" s="50">
        <v>16320</v>
      </c>
      <c r="P40" s="50">
        <v>17340</v>
      </c>
      <c r="Q40" s="50">
        <v>14280</v>
      </c>
      <c r="R40" s="50">
        <v>14280</v>
      </c>
      <c r="S40" s="50">
        <v>16320</v>
      </c>
      <c r="T40" s="50">
        <v>14280</v>
      </c>
      <c r="U40" s="71">
        <v>15300</v>
      </c>
      <c r="V40" s="24">
        <f t="shared" si="0"/>
        <v>315690</v>
      </c>
    </row>
    <row r="41" spans="1:22">
      <c r="A41" s="1" t="s">
        <v>1</v>
      </c>
      <c r="B41" s="25" t="s">
        <v>93</v>
      </c>
      <c r="C41" s="51">
        <v>2700</v>
      </c>
      <c r="D41" s="52">
        <v>2880</v>
      </c>
      <c r="E41" s="52">
        <v>3420</v>
      </c>
      <c r="F41" s="52">
        <v>3690</v>
      </c>
      <c r="G41" s="52">
        <v>3060</v>
      </c>
      <c r="H41" s="52">
        <v>3420</v>
      </c>
      <c r="I41" s="52">
        <v>2880</v>
      </c>
      <c r="J41" s="52">
        <v>2880</v>
      </c>
      <c r="K41" s="52">
        <v>2880</v>
      </c>
      <c r="L41" s="52">
        <v>3240</v>
      </c>
      <c r="M41" s="52">
        <v>2700</v>
      </c>
      <c r="N41" s="52">
        <v>2880</v>
      </c>
      <c r="O41" s="52">
        <v>2880</v>
      </c>
      <c r="P41" s="52">
        <v>3060</v>
      </c>
      <c r="Q41" s="52">
        <v>2520</v>
      </c>
      <c r="R41" s="52">
        <v>2520</v>
      </c>
      <c r="S41" s="52">
        <v>2880</v>
      </c>
      <c r="T41" s="52">
        <v>2520</v>
      </c>
      <c r="U41" s="72">
        <v>2700</v>
      </c>
      <c r="V41" s="27">
        <f t="shared" si="0"/>
        <v>55710</v>
      </c>
    </row>
    <row r="42" spans="1:22">
      <c r="A42" s="1" t="s">
        <v>1</v>
      </c>
      <c r="B42" s="25" t="s">
        <v>94</v>
      </c>
      <c r="C42" s="51">
        <v>27450</v>
      </c>
      <c r="D42" s="52">
        <v>29280</v>
      </c>
      <c r="E42" s="52">
        <v>34770</v>
      </c>
      <c r="F42" s="52">
        <v>37515</v>
      </c>
      <c r="G42" s="52">
        <v>31110</v>
      </c>
      <c r="H42" s="52">
        <v>34770</v>
      </c>
      <c r="I42" s="52">
        <v>29280</v>
      </c>
      <c r="J42" s="52">
        <v>29280</v>
      </c>
      <c r="K42" s="52">
        <v>29280</v>
      </c>
      <c r="L42" s="52">
        <v>32940</v>
      </c>
      <c r="M42" s="52">
        <v>27450</v>
      </c>
      <c r="N42" s="52">
        <v>29280</v>
      </c>
      <c r="O42" s="52">
        <v>29280</v>
      </c>
      <c r="P42" s="52">
        <v>31110</v>
      </c>
      <c r="Q42" s="52">
        <v>25620</v>
      </c>
      <c r="R42" s="52">
        <v>25620</v>
      </c>
      <c r="S42" s="52">
        <v>29280</v>
      </c>
      <c r="T42" s="52">
        <v>25620</v>
      </c>
      <c r="U42" s="72">
        <v>27450</v>
      </c>
      <c r="V42" s="27">
        <f t="shared" si="0"/>
        <v>566385</v>
      </c>
    </row>
    <row r="43" spans="1:22">
      <c r="A43" s="1" t="s">
        <v>1</v>
      </c>
      <c r="B43" s="9" t="s">
        <v>95</v>
      </c>
      <c r="C43" s="53">
        <v>1725</v>
      </c>
      <c r="D43" s="54">
        <v>1959</v>
      </c>
      <c r="E43" s="54">
        <v>2218</v>
      </c>
      <c r="F43" s="54">
        <v>2364</v>
      </c>
      <c r="G43" s="54">
        <v>1796</v>
      </c>
      <c r="H43" s="54">
        <v>2333</v>
      </c>
      <c r="I43" s="54">
        <v>1851</v>
      </c>
      <c r="J43" s="54">
        <v>1953</v>
      </c>
      <c r="K43" s="54">
        <v>1839</v>
      </c>
      <c r="L43" s="54">
        <v>2080</v>
      </c>
      <c r="M43" s="54">
        <v>1888</v>
      </c>
      <c r="N43" s="54">
        <v>2050</v>
      </c>
      <c r="O43" s="54">
        <v>2019</v>
      </c>
      <c r="P43" s="54">
        <v>2216</v>
      </c>
      <c r="Q43" s="54">
        <v>1572</v>
      </c>
      <c r="R43" s="54">
        <v>1788</v>
      </c>
      <c r="S43" s="54">
        <v>1897</v>
      </c>
      <c r="T43" s="54">
        <v>1818</v>
      </c>
      <c r="U43" s="73">
        <v>1803</v>
      </c>
      <c r="V43" s="13">
        <f t="shared" si="0"/>
        <v>37169</v>
      </c>
    </row>
    <row r="44" spans="1:22">
      <c r="A44" s="1" t="s">
        <v>1</v>
      </c>
      <c r="B44" s="17" t="s">
        <v>96</v>
      </c>
      <c r="C44" s="55">
        <v>47175</v>
      </c>
      <c r="D44" s="56">
        <v>50439</v>
      </c>
      <c r="E44" s="56">
        <v>59788</v>
      </c>
      <c r="F44" s="56">
        <v>64479</v>
      </c>
      <c r="G44" s="56">
        <v>53306</v>
      </c>
      <c r="H44" s="56">
        <v>59903</v>
      </c>
      <c r="I44" s="56">
        <v>50331</v>
      </c>
      <c r="J44" s="56">
        <v>50433</v>
      </c>
      <c r="K44" s="56">
        <v>50319</v>
      </c>
      <c r="L44" s="56">
        <v>56620</v>
      </c>
      <c r="M44" s="56">
        <v>47338</v>
      </c>
      <c r="N44" s="56">
        <v>50530</v>
      </c>
      <c r="O44" s="56">
        <v>50499</v>
      </c>
      <c r="P44" s="56">
        <v>53726</v>
      </c>
      <c r="Q44" s="56">
        <v>43992</v>
      </c>
      <c r="R44" s="56">
        <v>44208</v>
      </c>
      <c r="S44" s="56">
        <v>50377</v>
      </c>
      <c r="T44" s="56">
        <v>44238</v>
      </c>
      <c r="U44" s="74">
        <v>47253</v>
      </c>
      <c r="V44" s="21">
        <f t="shared" si="0"/>
        <v>974954</v>
      </c>
    </row>
    <row r="45" spans="1:22">
      <c r="A45" s="1" t="s">
        <v>1</v>
      </c>
      <c r="B45" s="22" t="s">
        <v>97</v>
      </c>
      <c r="C45" s="49">
        <v>4110</v>
      </c>
      <c r="D45" s="50">
        <v>7360</v>
      </c>
      <c r="E45" s="50">
        <v>6900</v>
      </c>
      <c r="F45" s="50">
        <v>10530</v>
      </c>
      <c r="G45" s="50">
        <v>4320</v>
      </c>
      <c r="H45" s="50">
        <v>10530</v>
      </c>
      <c r="I45" s="50">
        <v>6760</v>
      </c>
      <c r="J45" s="50">
        <v>5780</v>
      </c>
      <c r="K45" s="50">
        <v>6650</v>
      </c>
      <c r="L45" s="50">
        <v>7830</v>
      </c>
      <c r="M45" s="50">
        <v>6940</v>
      </c>
      <c r="N45" s="50">
        <v>7860</v>
      </c>
      <c r="O45" s="50">
        <v>7540</v>
      </c>
      <c r="P45" s="50">
        <v>3840</v>
      </c>
      <c r="Q45" s="50">
        <v>5040</v>
      </c>
      <c r="R45" s="50">
        <v>6410</v>
      </c>
      <c r="S45" s="50">
        <v>5170</v>
      </c>
      <c r="T45" s="50">
        <v>6540</v>
      </c>
      <c r="U45" s="71">
        <v>6560</v>
      </c>
      <c r="V45" s="24">
        <f t="shared" si="0"/>
        <v>126670</v>
      </c>
    </row>
    <row r="46" spans="1:22">
      <c r="A46" s="1" t="s">
        <v>1</v>
      </c>
      <c r="B46" s="25" t="s">
        <v>98</v>
      </c>
      <c r="C46" s="51">
        <v>1300</v>
      </c>
      <c r="D46" s="52">
        <v>1300</v>
      </c>
      <c r="E46" s="52">
        <v>1300</v>
      </c>
      <c r="F46" s="52">
        <v>0</v>
      </c>
      <c r="G46" s="52">
        <v>1300</v>
      </c>
      <c r="H46" s="52">
        <v>1300</v>
      </c>
      <c r="I46" s="52">
        <v>1300</v>
      </c>
      <c r="J46" s="52">
        <v>1300</v>
      </c>
      <c r="K46" s="52">
        <v>1300</v>
      </c>
      <c r="L46" s="52">
        <v>1300</v>
      </c>
      <c r="M46" s="52">
        <v>0</v>
      </c>
      <c r="N46" s="52">
        <v>0</v>
      </c>
      <c r="O46" s="52">
        <v>1300</v>
      </c>
      <c r="P46" s="52">
        <v>1300</v>
      </c>
      <c r="Q46" s="52">
        <v>1300</v>
      </c>
      <c r="R46" s="52">
        <v>1300</v>
      </c>
      <c r="S46" s="52">
        <v>1300</v>
      </c>
      <c r="T46" s="52">
        <v>1300</v>
      </c>
      <c r="U46" s="72">
        <v>0</v>
      </c>
      <c r="V46" s="27">
        <f t="shared" si="0"/>
        <v>19500</v>
      </c>
    </row>
    <row r="47" spans="1:22">
      <c r="A47" s="1" t="s">
        <v>1</v>
      </c>
      <c r="B47" s="9" t="s">
        <v>99</v>
      </c>
      <c r="C47" s="53">
        <v>8800</v>
      </c>
      <c r="D47" s="54">
        <v>1500</v>
      </c>
      <c r="E47" s="54">
        <v>14600</v>
      </c>
      <c r="F47" s="54">
        <v>17100</v>
      </c>
      <c r="G47" s="54">
        <v>9500</v>
      </c>
      <c r="H47" s="54">
        <v>13100</v>
      </c>
      <c r="I47" s="54">
        <v>15100</v>
      </c>
      <c r="J47" s="54">
        <v>10100</v>
      </c>
      <c r="K47" s="54">
        <v>13400</v>
      </c>
      <c r="L47" s="54">
        <v>16100</v>
      </c>
      <c r="M47" s="54">
        <v>10500</v>
      </c>
      <c r="N47" s="54">
        <v>11300</v>
      </c>
      <c r="O47" s="54">
        <v>13200</v>
      </c>
      <c r="P47" s="54">
        <v>5600</v>
      </c>
      <c r="Q47" s="54">
        <v>0</v>
      </c>
      <c r="R47" s="54">
        <v>8500</v>
      </c>
      <c r="S47" s="54">
        <v>3100</v>
      </c>
      <c r="T47" s="54">
        <v>2000</v>
      </c>
      <c r="U47" s="73">
        <v>17300</v>
      </c>
      <c r="V47" s="13">
        <f t="shared" si="0"/>
        <v>190800</v>
      </c>
    </row>
    <row r="48" spans="1:22">
      <c r="A48" s="1" t="s">
        <v>1</v>
      </c>
      <c r="B48" s="17" t="s">
        <v>100</v>
      </c>
      <c r="C48" s="55">
        <v>61385</v>
      </c>
      <c r="D48" s="56">
        <v>60599</v>
      </c>
      <c r="E48" s="56">
        <v>82588</v>
      </c>
      <c r="F48" s="56">
        <v>92109</v>
      </c>
      <c r="G48" s="56">
        <v>68426</v>
      </c>
      <c r="H48" s="56">
        <v>84833</v>
      </c>
      <c r="I48" s="56">
        <v>73491</v>
      </c>
      <c r="J48" s="56">
        <v>67613</v>
      </c>
      <c r="K48" s="56">
        <v>71669</v>
      </c>
      <c r="L48" s="56">
        <v>81850</v>
      </c>
      <c r="M48" s="56">
        <v>64778</v>
      </c>
      <c r="N48" s="56">
        <v>69690</v>
      </c>
      <c r="O48" s="56">
        <v>72539</v>
      </c>
      <c r="P48" s="56">
        <v>64466</v>
      </c>
      <c r="Q48" s="56">
        <v>50332</v>
      </c>
      <c r="R48" s="56">
        <v>60418</v>
      </c>
      <c r="S48" s="56">
        <v>59947</v>
      </c>
      <c r="T48" s="56">
        <v>54078</v>
      </c>
      <c r="U48" s="74">
        <v>71113</v>
      </c>
      <c r="V48" s="21">
        <f t="shared" si="0"/>
        <v>1311924</v>
      </c>
    </row>
    <row r="49" spans="1:22">
      <c r="A49" s="1" t="s">
        <v>1</v>
      </c>
      <c r="B49" s="17" t="s">
        <v>101</v>
      </c>
      <c r="C49" s="55">
        <v>226918</v>
      </c>
      <c r="D49" s="56">
        <v>272557</v>
      </c>
      <c r="E49" s="56">
        <v>304365</v>
      </c>
      <c r="F49" s="56">
        <v>326273</v>
      </c>
      <c r="G49" s="56">
        <v>232686</v>
      </c>
      <c r="H49" s="56">
        <v>326361</v>
      </c>
      <c r="I49" s="56">
        <v>255704</v>
      </c>
      <c r="J49" s="56">
        <v>273651</v>
      </c>
      <c r="K49" s="56">
        <v>252734</v>
      </c>
      <c r="L49" s="56">
        <v>285829</v>
      </c>
      <c r="M49" s="56">
        <v>261014</v>
      </c>
      <c r="N49" s="56">
        <v>286708</v>
      </c>
      <c r="O49" s="56">
        <v>277690</v>
      </c>
      <c r="P49" s="56">
        <v>308707</v>
      </c>
      <c r="Q49" s="56">
        <v>207567</v>
      </c>
      <c r="R49" s="56">
        <v>246129</v>
      </c>
      <c r="S49" s="56">
        <v>256597</v>
      </c>
      <c r="T49" s="56">
        <v>249776</v>
      </c>
      <c r="U49" s="74">
        <v>250305</v>
      </c>
      <c r="V49" s="21">
        <f t="shared" si="0"/>
        <v>5101571</v>
      </c>
    </row>
    <row r="50" spans="1:22">
      <c r="A50" s="1" t="s">
        <v>1</v>
      </c>
      <c r="B50" s="17" t="s">
        <v>102</v>
      </c>
      <c r="C50" s="55">
        <v>226045</v>
      </c>
      <c r="D50" s="56">
        <v>265871</v>
      </c>
      <c r="E50" s="56">
        <v>287067</v>
      </c>
      <c r="F50" s="56">
        <v>301839</v>
      </c>
      <c r="G50" s="56">
        <v>230986</v>
      </c>
      <c r="H50" s="56">
        <v>303988</v>
      </c>
      <c r="I50" s="56">
        <v>234990</v>
      </c>
      <c r="J50" s="56">
        <v>257861</v>
      </c>
      <c r="K50" s="56">
        <v>234858</v>
      </c>
      <c r="L50" s="56">
        <v>264823</v>
      </c>
      <c r="M50" s="56">
        <v>249965</v>
      </c>
      <c r="N50" s="56">
        <v>272022</v>
      </c>
      <c r="O50" s="56">
        <v>263986</v>
      </c>
      <c r="P50" s="56">
        <v>304914</v>
      </c>
      <c r="Q50" s="56">
        <v>211619</v>
      </c>
      <c r="R50" s="56">
        <v>237588</v>
      </c>
      <c r="S50" s="56">
        <v>256196</v>
      </c>
      <c r="T50" s="56">
        <v>248966</v>
      </c>
      <c r="U50" s="74">
        <v>229335</v>
      </c>
      <c r="V50" s="21">
        <f t="shared" si="0"/>
        <v>4882919</v>
      </c>
    </row>
    <row r="51" spans="1:22">
      <c r="A51" s="1" t="s">
        <v>1</v>
      </c>
      <c r="B51" s="17" t="s">
        <v>103</v>
      </c>
      <c r="C51" s="55">
        <v>226045</v>
      </c>
      <c r="D51" s="56">
        <v>265871</v>
      </c>
      <c r="E51" s="56">
        <v>287067</v>
      </c>
      <c r="F51" s="56">
        <v>301839</v>
      </c>
      <c r="G51" s="56">
        <v>230986</v>
      </c>
      <c r="H51" s="56">
        <v>303988</v>
      </c>
      <c r="I51" s="56">
        <v>234990</v>
      </c>
      <c r="J51" s="56">
        <v>257861</v>
      </c>
      <c r="K51" s="56">
        <v>234858</v>
      </c>
      <c r="L51" s="56">
        <v>264823</v>
      </c>
      <c r="M51" s="56">
        <v>249965</v>
      </c>
      <c r="N51" s="56">
        <v>272022</v>
      </c>
      <c r="O51" s="56">
        <v>263986</v>
      </c>
      <c r="P51" s="56">
        <v>304914</v>
      </c>
      <c r="Q51" s="56">
        <v>211619</v>
      </c>
      <c r="R51" s="56">
        <v>237588</v>
      </c>
      <c r="S51" s="56">
        <v>256196</v>
      </c>
      <c r="T51" s="56">
        <v>248966</v>
      </c>
      <c r="U51" s="74">
        <v>229335</v>
      </c>
      <c r="V51" s="21">
        <f t="shared" si="0"/>
        <v>4882919</v>
      </c>
    </row>
    <row r="52" spans="1:22">
      <c r="A52" s="1" t="s">
        <v>1</v>
      </c>
      <c r="B52" s="17" t="s">
        <v>104</v>
      </c>
      <c r="C52" s="55">
        <v>1</v>
      </c>
      <c r="D52" s="56">
        <v>0</v>
      </c>
      <c r="E52" s="56">
        <v>1</v>
      </c>
      <c r="F52" s="56">
        <v>0</v>
      </c>
      <c r="G52" s="56">
        <v>1</v>
      </c>
      <c r="H52" s="56">
        <v>0</v>
      </c>
      <c r="I52" s="56">
        <v>0</v>
      </c>
      <c r="J52" s="56">
        <v>1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3</v>
      </c>
      <c r="Q52" s="56">
        <v>0</v>
      </c>
      <c r="R52" s="56">
        <v>0</v>
      </c>
      <c r="S52" s="56">
        <v>1</v>
      </c>
      <c r="T52" s="56">
        <v>0</v>
      </c>
      <c r="U52" s="74">
        <v>0</v>
      </c>
      <c r="V52" s="21"/>
    </row>
    <row r="53" spans="1:22" ht="19.5" thickBot="1">
      <c r="A53" s="1" t="s">
        <v>1</v>
      </c>
      <c r="B53" s="14" t="s">
        <v>105</v>
      </c>
      <c r="C53" s="57" t="s">
        <v>106</v>
      </c>
      <c r="D53" s="58" t="s">
        <v>106</v>
      </c>
      <c r="E53" s="58" t="s">
        <v>106</v>
      </c>
      <c r="F53" s="58" t="s">
        <v>106</v>
      </c>
      <c r="G53" s="58" t="s">
        <v>106</v>
      </c>
      <c r="H53" s="58" t="s">
        <v>106</v>
      </c>
      <c r="I53" s="58" t="s">
        <v>106</v>
      </c>
      <c r="J53" s="58" t="s">
        <v>106</v>
      </c>
      <c r="K53" s="58" t="s">
        <v>106</v>
      </c>
      <c r="L53" s="58" t="s">
        <v>106</v>
      </c>
      <c r="M53" s="58" t="s">
        <v>106</v>
      </c>
      <c r="N53" s="58" t="s">
        <v>106</v>
      </c>
      <c r="O53" s="58" t="s">
        <v>106</v>
      </c>
      <c r="P53" s="58" t="s">
        <v>106</v>
      </c>
      <c r="Q53" s="58" t="s">
        <v>106</v>
      </c>
      <c r="R53" s="58" t="s">
        <v>106</v>
      </c>
      <c r="S53" s="58" t="s">
        <v>106</v>
      </c>
      <c r="T53" s="58" t="s">
        <v>106</v>
      </c>
      <c r="U53" s="86" t="s">
        <v>106</v>
      </c>
      <c r="V53" s="16"/>
    </row>
  </sheetData>
  <phoneticPr fontId="3"/>
  <pageMargins left="0.11811023622047245" right="0.11811023622047245" top="0.35433070866141736" bottom="0.35433070866141736" header="0.11811023622047245" footer="0.11811023622047245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2023年11月度給与</vt:lpstr>
      <vt:lpstr>2023年11月度給与 (3)</vt:lpstr>
      <vt:lpstr>2023年11月度給与 (4)</vt:lpstr>
      <vt:lpstr>'2023年11月度給与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2023-12-08T01:02:16Z</cp:lastPrinted>
  <dcterms:created xsi:type="dcterms:W3CDTF">2023-12-07T06:08:31Z</dcterms:created>
  <dcterms:modified xsi:type="dcterms:W3CDTF">2023-12-08T01:02:19Z</dcterms:modified>
</cp:coreProperties>
</file>