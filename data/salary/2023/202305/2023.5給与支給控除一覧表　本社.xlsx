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5\"/>
    </mc:Choice>
  </mc:AlternateContent>
  <xr:revisionPtr revIDLastSave="0" documentId="13_ncr:1_{D3174932-7C4D-43C0-A7BC-9011FD8BD8E4}" xr6:coauthVersionLast="47" xr6:coauthVersionMax="47" xr10:uidLastSave="{00000000-0000-0000-0000-000000000000}"/>
  <bookViews>
    <workbookView xWindow="-120" yWindow="-120" windowWidth="20730" windowHeight="11160" xr2:uid="{CBAEF1A8-13D7-4E3B-9891-9EF7ED9109C4}"/>
  </bookViews>
  <sheets>
    <sheet name="2023年 5月度給与 (2)" sheetId="4" r:id="rId1"/>
  </sheets>
  <definedNames>
    <definedName name="_xlnm.Print_Area" localSheetId="0">'2023年 5月度給与 (2)'!$A$1:$L$33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4" l="1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10" i="4"/>
  <c r="K6" i="4"/>
  <c r="K7" i="4"/>
  <c r="K8" i="4"/>
  <c r="K5" i="4"/>
  <c r="G11" i="4"/>
  <c r="L11" i="4" s="1"/>
  <c r="G12" i="4"/>
  <c r="L12" i="4" s="1"/>
  <c r="G13" i="4"/>
  <c r="L13" i="4" s="1"/>
  <c r="G14" i="4"/>
  <c r="L14" i="4" s="1"/>
  <c r="G15" i="4"/>
  <c r="L15" i="4" s="1"/>
  <c r="G16" i="4"/>
  <c r="L16" i="4" s="1"/>
  <c r="G17" i="4"/>
  <c r="L17" i="4" s="1"/>
  <c r="G18" i="4"/>
  <c r="L18" i="4" s="1"/>
  <c r="G19" i="4"/>
  <c r="L19" i="4" s="1"/>
  <c r="G20" i="4"/>
  <c r="L20" i="4" s="1"/>
  <c r="G21" i="4"/>
  <c r="L21" i="4" s="1"/>
  <c r="G22" i="4"/>
  <c r="L22" i="4" s="1"/>
  <c r="G23" i="4"/>
  <c r="L23" i="4" s="1"/>
  <c r="G24" i="4"/>
  <c r="L24" i="4" s="1"/>
  <c r="G25" i="4"/>
  <c r="L25" i="4" s="1"/>
  <c r="G26" i="4"/>
  <c r="L26" i="4" s="1"/>
  <c r="G27" i="4"/>
  <c r="L27" i="4" s="1"/>
  <c r="G28" i="4"/>
  <c r="L28" i="4" s="1"/>
  <c r="G29" i="4"/>
  <c r="L29" i="4" s="1"/>
  <c r="G30" i="4"/>
  <c r="L30" i="4" s="1"/>
  <c r="G31" i="4"/>
  <c r="L31" i="4" s="1"/>
  <c r="G10" i="4"/>
  <c r="L10" i="4" s="1"/>
  <c r="G7" i="4"/>
  <c r="L7" i="4" s="1"/>
  <c r="G8" i="4"/>
  <c r="L8" i="4" s="1"/>
  <c r="G6" i="4"/>
  <c r="L6" i="4" s="1"/>
  <c r="G5" i="4"/>
  <c r="L5" i="4" s="1"/>
</calcChain>
</file>

<file path=xl/sharedStrings.xml><?xml version="1.0" encoding="utf-8"?>
<sst xmlns="http://schemas.openxmlformats.org/spreadsheetml/2006/main" count="88" uniqueCount="54">
  <si>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</si>
  <si>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</si>
  <si>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</si>
  <si>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</si>
  <si>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</si>
  <si>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</si>
  <si>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</si>
  <si>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</si>
  <si>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</si>
  <si>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</si>
  <si>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</si>
  <si>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</si>
  <si>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</si>
  <si>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</si>
  <si>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</si>
  <si>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</si>
  <si>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</si>
  <si>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</si>
  <si>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</si>
  <si>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</si>
  <si>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</si>
  <si>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</si>
  <si>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</si>
  <si>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</si>
  <si>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</si>
  <si>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</si>
  <si>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</si>
  <si>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</si>
  <si>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</si>
  <si>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</si>
  <si>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</si>
  <si>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</si>
  <si>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</si>
  <si>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</si>
  <si>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</si>
  <si>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</si>
  <si>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</si>
  <si>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</si>
  <si>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</si>
  <si>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</si>
  <si>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</si>
  <si>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</si>
  <si>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</si>
  <si>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</si>
  <si>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</si>
  <si>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</si>
  <si>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2023年5月度給与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</si>
  <si>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</si>
  <si>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</si>
  <si>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3名</t>
    <rPh sb="1" eb="2">
      <t>メイ</t>
    </rPh>
    <phoneticPr fontId="3"/>
  </si>
  <si>
    <t>7名</t>
    <rPh sb="1" eb="2">
      <t>メイ</t>
    </rPh>
    <phoneticPr fontId="4"/>
  </si>
  <si>
    <t>若林権太郎</t>
    <phoneticPr fontId="4"/>
  </si>
  <si>
    <t>若林孝次郎</t>
    <phoneticPr fontId="4"/>
  </si>
  <si>
    <t>浅田恵美子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</si>
</sst>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3" xfId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8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6" xfId="1" applyNumberFormat="1" applyFont="1" applyBorder="1"/>
    <xf numFmtId="176" fontId="2" fillId="0" borderId="2" xfId="1" applyNumberFormat="1" applyFont="1" applyBorder="1"/>
    <xf numFmtId="176" fontId="2" fillId="0" borderId="7" xfId="1" applyNumberFormat="1" applyFont="1" applyBorder="1"/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176" fontId="2" fillId="0" borderId="24" xfId="1" applyNumberFormat="1" applyFont="1" applyBorder="1"/>
    <xf numFmtId="176" fontId="2" fillId="0" borderId="25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6" xfId="1" applyNumberFormat="1" applyFont="1" applyBorder="1" applyAlignment="1">
      <alignment horizontal="left"/>
    </xf>
    <xf numFmtId="2" fontId="2" fillId="0" borderId="37" xfId="1" applyNumberFormat="1" applyFont="1" applyBorder="1"/>
    <xf numFmtId="2" fontId="2" fillId="0" borderId="38" xfId="1" applyNumberFormat="1" applyFont="1" applyBorder="1"/>
    <xf numFmtId="2" fontId="2" fillId="0" borderId="39" xfId="1" applyNumberFormat="1" applyFont="1" applyBorder="1"/>
    <xf numFmtId="2" fontId="2" fillId="0" borderId="36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40" xfId="1" applyNumberFormat="1" applyFont="1" applyBorder="1" applyAlignment="1">
      <alignment horizontal="lef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2" fontId="2" fillId="0" borderId="15" xfId="1" applyNumberFormat="1" applyFont="1" applyBorder="1"/>
    <xf numFmtId="2" fontId="2" fillId="0" borderId="8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176" fontId="2" fillId="0" borderId="48" xfId="1" applyNumberFormat="1" applyFont="1" applyBorder="1"/>
    <xf numFmtId="2" fontId="2" fillId="0" borderId="49" xfId="1" applyNumberFormat="1" applyFont="1" applyBorder="1"/>
    <xf numFmtId="3" fontId="2" fillId="0" borderId="50" xfId="1" applyNumberFormat="1" applyFont="1" applyBorder="1"/>
    <xf numFmtId="3" fontId="2" fillId="0" borderId="47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49" xfId="1" applyNumberFormat="1" applyFont="1" applyBorder="1"/>
    <xf numFmtId="49" fontId="2" fillId="0" borderId="45" xfId="1" applyNumberFormat="1" applyFont="1" applyBorder="1"/>
    <xf numFmtId="49" fontId="2" fillId="0" borderId="55" xfId="1" applyNumberFormat="1" applyFont="1" applyBorder="1" applyAlignment="1">
      <alignment horizontal="center"/>
    </xf>
    <xf numFmtId="49" fontId="2" fillId="0" borderId="56" xfId="1" applyNumberFormat="1" applyFont="1" applyBorder="1" applyAlignment="1">
      <alignment horizontal="center"/>
    </xf>
    <xf numFmtId="2" fontId="2" fillId="0" borderId="57" xfId="1" applyNumberFormat="1" applyFont="1" applyBorder="1"/>
    <xf numFmtId="2" fontId="2" fillId="0" borderId="58" xfId="1" applyNumberFormat="1" applyFont="1" applyBorder="1"/>
    <xf numFmtId="176" fontId="2" fillId="0" borderId="58" xfId="1" applyNumberFormat="1" applyFont="1" applyBorder="1"/>
    <xf numFmtId="176" fontId="2" fillId="0" borderId="59" xfId="1" applyNumberFormat="1" applyFont="1" applyBorder="1"/>
    <xf numFmtId="2" fontId="2" fillId="0" borderId="60" xfId="1" applyNumberFormat="1" applyFont="1" applyBorder="1"/>
    <xf numFmtId="3" fontId="2" fillId="0" borderId="61" xfId="1" applyNumberFormat="1" applyFont="1" applyBorder="1"/>
    <xf numFmtId="3" fontId="2" fillId="0" borderId="58" xfId="1" applyNumberFormat="1" applyFont="1" applyBorder="1"/>
    <xf numFmtId="3" fontId="2" fillId="0" borderId="62" xfId="1" applyNumberFormat="1" applyFont="1" applyBorder="1"/>
    <xf numFmtId="3" fontId="2" fillId="0" borderId="63" xfId="1" applyNumberFormat="1" applyFont="1" applyBorder="1"/>
    <xf numFmtId="3" fontId="2" fillId="0" borderId="64" xfId="1" applyNumberFormat="1" applyFont="1" applyBorder="1"/>
    <xf numFmtId="3" fontId="2" fillId="0" borderId="65" xfId="1" applyNumberFormat="1" applyFont="1" applyBorder="1"/>
    <xf numFmtId="3" fontId="2" fillId="0" borderId="60" xfId="1" applyNumberFormat="1" applyFont="1" applyBorder="1"/>
    <xf numFmtId="49" fontId="2" fillId="0" borderId="56" xfId="1" applyNumberFormat="1" applyFont="1" applyBorder="1"/>
    <xf numFmtId="49" fontId="2" fillId="0" borderId="6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49" fontId="2" fillId="0" borderId="66" xfId="1" applyNumberFormat="1" applyFont="1" applyBorder="1" applyAlignment="1">
      <alignment horizontal="center"/>
    </xf>
  </cellXfs>
  <cellStyles count="2">
    <cellStyle name="標準" xfId="0" builtinId="0"/>
    <cellStyle name="標準 2" xfId="1" xr:uid="{4FCECAF7-2266-48E7-A0E3-28CAF9B44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A864-2D7B-4025-A66B-AE2BE88D4F13}">
  <sheetPr>
    <pageSetUpPr fitToPage="1"/>
  </sheetPr>
  <dimension ref="A1:N3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2" sqref="C2"/>
    </sheetView>
  </sheetViews>
  <sheetFormatPr defaultRowHeight="18.75"/>
  <cols>
    <col min="1" max="1" width="2.375" style="2" customWidth="1"/>
    <col min="2" max="2" width="13.25" style="2" bestFit="1" customWidth="1"/>
    <col min="3" max="12" width="12.25" style="2" customWidth="1"/>
    <col min="13" max="258" width="9" style="2"/>
    <col min="259" max="259" width="2.375" style="2" customWidth="1"/>
    <col min="260" max="262" width="13.25" style="2" bestFit="1" customWidth="1"/>
    <col min="263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46</v>
      </c>
    </row>
    <row r="3" spans="1:14">
      <c r="B3" s="12"/>
      <c r="C3" s="31" t="s">
        <v>2</v>
      </c>
      <c r="D3" s="32" t="s">
        <v>3</v>
      </c>
      <c r="E3" s="32" t="s">
        <v>4</v>
      </c>
      <c r="F3" s="73" t="s">
        <v>5</v>
      </c>
      <c r="G3" s="103" t="s">
        <v>47</v>
      </c>
      <c r="H3" s="88" t="s">
        <v>6</v>
      </c>
      <c r="I3" s="32" t="s">
        <v>7</v>
      </c>
      <c r="J3" s="106" t="s">
        <v>8</v>
      </c>
      <c r="K3" s="103" t="s">
        <v>47</v>
      </c>
      <c r="L3" s="4" t="s">
        <v>14</v>
      </c>
    </row>
    <row r="4" spans="1:14" ht="19.5" thickBot="1">
      <c r="B4" s="5" t="s">
        <v>9</v>
      </c>
      <c r="C4" s="33" t="s">
        <v>51</v>
      </c>
      <c r="D4" s="34" t="s">
        <v>52</v>
      </c>
      <c r="E4" s="34" t="s">
        <v>10</v>
      </c>
      <c r="F4" s="74" t="s">
        <v>11</v>
      </c>
      <c r="G4" s="104" t="s">
        <v>48</v>
      </c>
      <c r="H4" s="89" t="s">
        <v>12</v>
      </c>
      <c r="I4" s="34" t="s">
        <v>53</v>
      </c>
      <c r="J4" s="3" t="s">
        <v>13</v>
      </c>
      <c r="K4" s="104" t="s">
        <v>49</v>
      </c>
      <c r="L4" s="105" t="s">
        <v>50</v>
      </c>
    </row>
    <row r="5" spans="1:14">
      <c r="A5" s="1" t="s">
        <v>1</v>
      </c>
      <c r="B5" s="51" t="s">
        <v>15</v>
      </c>
      <c r="C5" s="52">
        <v>0</v>
      </c>
      <c r="D5" s="53">
        <v>0</v>
      </c>
      <c r="E5" s="53">
        <v>0</v>
      </c>
      <c r="F5" s="75">
        <v>0</v>
      </c>
      <c r="G5" s="55">
        <f>SUM(C5:F5)</f>
        <v>0</v>
      </c>
      <c r="H5" s="90">
        <v>20</v>
      </c>
      <c r="I5" s="53">
        <v>20</v>
      </c>
      <c r="J5" s="54">
        <v>18</v>
      </c>
      <c r="K5" s="55">
        <f>SUM(H5:J5)</f>
        <v>58</v>
      </c>
      <c r="L5" s="55">
        <f>G5+K5</f>
        <v>58</v>
      </c>
      <c r="N5"/>
    </row>
    <row r="6" spans="1:14">
      <c r="A6" s="1" t="s">
        <v>1</v>
      </c>
      <c r="B6" s="17" t="s">
        <v>16</v>
      </c>
      <c r="C6" s="56">
        <v>0</v>
      </c>
      <c r="D6" s="57">
        <v>0</v>
      </c>
      <c r="E6" s="57">
        <v>0</v>
      </c>
      <c r="F6" s="76">
        <v>0</v>
      </c>
      <c r="G6" s="59">
        <f>SUM(C6:F6)</f>
        <v>0</v>
      </c>
      <c r="H6" s="91">
        <v>0</v>
      </c>
      <c r="I6" s="57">
        <v>0</v>
      </c>
      <c r="J6" s="58">
        <v>1</v>
      </c>
      <c r="K6" s="59">
        <f t="shared" ref="K6:K8" si="0">SUM(H6:J6)</f>
        <v>1</v>
      </c>
      <c r="L6" s="59">
        <f t="shared" ref="L6:L31" si="1">G6+K6</f>
        <v>1</v>
      </c>
      <c r="N6"/>
    </row>
    <row r="7" spans="1:14">
      <c r="A7" s="1" t="s">
        <v>1</v>
      </c>
      <c r="B7" s="17" t="s">
        <v>17</v>
      </c>
      <c r="C7" s="60">
        <v>0</v>
      </c>
      <c r="D7" s="61">
        <v>0</v>
      </c>
      <c r="E7" s="61">
        <v>0</v>
      </c>
      <c r="F7" s="77">
        <v>0</v>
      </c>
      <c r="G7" s="59">
        <f t="shared" ref="G7:G8" si="2">SUM(C7:F7)</f>
        <v>0</v>
      </c>
      <c r="H7" s="92">
        <v>0</v>
      </c>
      <c r="I7" s="61">
        <v>0</v>
      </c>
      <c r="J7" s="62">
        <v>3.8333333333333335</v>
      </c>
      <c r="K7" s="63">
        <f t="shared" si="0"/>
        <v>3.8333333333333335</v>
      </c>
      <c r="L7" s="63">
        <f t="shared" si="1"/>
        <v>3.8333333333333335</v>
      </c>
      <c r="N7"/>
    </row>
    <row r="8" spans="1:14">
      <c r="A8" s="1" t="s">
        <v>1</v>
      </c>
      <c r="B8" s="13" t="s">
        <v>18</v>
      </c>
      <c r="C8" s="35">
        <v>0</v>
      </c>
      <c r="D8" s="36">
        <v>0</v>
      </c>
      <c r="E8" s="36">
        <v>0</v>
      </c>
      <c r="F8" s="78">
        <v>0</v>
      </c>
      <c r="G8" s="59">
        <f t="shared" si="2"/>
        <v>0</v>
      </c>
      <c r="H8" s="93">
        <v>0</v>
      </c>
      <c r="I8" s="36">
        <v>0</v>
      </c>
      <c r="J8" s="29">
        <v>0.20833333333333334</v>
      </c>
      <c r="K8" s="30">
        <f t="shared" si="0"/>
        <v>0.20833333333333334</v>
      </c>
      <c r="L8" s="30">
        <f t="shared" si="1"/>
        <v>0.20833333333333334</v>
      </c>
      <c r="N8"/>
    </row>
    <row r="9" spans="1:14">
      <c r="A9" s="1" t="s">
        <v>1</v>
      </c>
      <c r="B9" s="23" t="s">
        <v>19</v>
      </c>
      <c r="C9" s="69">
        <v>0</v>
      </c>
      <c r="D9" s="70">
        <v>0</v>
      </c>
      <c r="E9" s="70">
        <v>0</v>
      </c>
      <c r="F9" s="79">
        <v>0</v>
      </c>
      <c r="G9" s="72"/>
      <c r="H9" s="94">
        <v>38</v>
      </c>
      <c r="I9" s="70">
        <v>40</v>
      </c>
      <c r="J9" s="71">
        <v>38</v>
      </c>
      <c r="K9" s="72"/>
      <c r="L9" s="72">
        <f t="shared" si="1"/>
        <v>0</v>
      </c>
      <c r="N9"/>
    </row>
    <row r="10" spans="1:14">
      <c r="A10" s="1" t="s">
        <v>1</v>
      </c>
      <c r="B10" s="64" t="s">
        <v>20</v>
      </c>
      <c r="C10" s="65">
        <v>0</v>
      </c>
      <c r="D10" s="66">
        <v>0</v>
      </c>
      <c r="E10" s="66">
        <v>0</v>
      </c>
      <c r="F10" s="80">
        <v>0</v>
      </c>
      <c r="G10" s="68">
        <f>SUM(C10:F10)</f>
        <v>0</v>
      </c>
      <c r="H10" s="95">
        <v>365000</v>
      </c>
      <c r="I10" s="66">
        <v>365000</v>
      </c>
      <c r="J10" s="67">
        <v>0</v>
      </c>
      <c r="K10" s="68">
        <f>SUM(H10:J10)</f>
        <v>730000</v>
      </c>
      <c r="L10" s="68">
        <f t="shared" si="1"/>
        <v>730000</v>
      </c>
      <c r="N10"/>
    </row>
    <row r="11" spans="1:14">
      <c r="A11" s="1" t="s">
        <v>1</v>
      </c>
      <c r="B11" s="17" t="s">
        <v>21</v>
      </c>
      <c r="C11" s="47">
        <v>0</v>
      </c>
      <c r="D11" s="48">
        <v>0</v>
      </c>
      <c r="E11" s="48">
        <v>0</v>
      </c>
      <c r="F11" s="81">
        <v>0</v>
      </c>
      <c r="G11" s="19">
        <f t="shared" ref="G11:G31" si="3">SUM(C11:F11)</f>
        <v>0</v>
      </c>
      <c r="H11" s="96">
        <v>50000</v>
      </c>
      <c r="I11" s="48">
        <v>50000</v>
      </c>
      <c r="J11" s="18">
        <v>0</v>
      </c>
      <c r="K11" s="19">
        <f t="shared" ref="K11:K31" si="4">SUM(H11:J11)</f>
        <v>100000</v>
      </c>
      <c r="L11" s="19">
        <f t="shared" si="1"/>
        <v>100000</v>
      </c>
      <c r="N11"/>
    </row>
    <row r="12" spans="1:14">
      <c r="A12" s="1" t="s">
        <v>1</v>
      </c>
      <c r="B12" s="17" t="s">
        <v>22</v>
      </c>
      <c r="C12" s="47">
        <v>0</v>
      </c>
      <c r="D12" s="48">
        <v>0</v>
      </c>
      <c r="E12" s="48">
        <v>0</v>
      </c>
      <c r="F12" s="81">
        <v>0</v>
      </c>
      <c r="G12" s="19">
        <f t="shared" si="3"/>
        <v>0</v>
      </c>
      <c r="H12" s="96">
        <v>0</v>
      </c>
      <c r="I12" s="48">
        <v>0</v>
      </c>
      <c r="J12" s="18">
        <v>109940</v>
      </c>
      <c r="K12" s="19">
        <f t="shared" si="4"/>
        <v>109940</v>
      </c>
      <c r="L12" s="19">
        <f t="shared" si="1"/>
        <v>109940</v>
      </c>
      <c r="N12"/>
    </row>
    <row r="13" spans="1:14">
      <c r="A13" s="1" t="s">
        <v>1</v>
      </c>
      <c r="B13" s="17" t="s">
        <v>23</v>
      </c>
      <c r="C13" s="47">
        <v>1000000</v>
      </c>
      <c r="D13" s="48">
        <v>200000</v>
      </c>
      <c r="E13" s="48">
        <v>100000</v>
      </c>
      <c r="F13" s="81">
        <v>200000</v>
      </c>
      <c r="G13" s="19">
        <f t="shared" si="3"/>
        <v>1500000</v>
      </c>
      <c r="H13" s="96">
        <v>0</v>
      </c>
      <c r="I13" s="48">
        <v>0</v>
      </c>
      <c r="J13" s="18">
        <v>0</v>
      </c>
      <c r="K13" s="19">
        <f t="shared" si="4"/>
        <v>0</v>
      </c>
      <c r="L13" s="19">
        <f t="shared" si="1"/>
        <v>1500000</v>
      </c>
      <c r="N13"/>
    </row>
    <row r="14" spans="1:14">
      <c r="A14" s="1" t="s">
        <v>1</v>
      </c>
      <c r="B14" s="20" t="s">
        <v>24</v>
      </c>
      <c r="C14" s="49">
        <v>0</v>
      </c>
      <c r="D14" s="50">
        <v>0</v>
      </c>
      <c r="E14" s="50">
        <v>0</v>
      </c>
      <c r="F14" s="82">
        <v>0</v>
      </c>
      <c r="G14" s="22">
        <f t="shared" si="3"/>
        <v>0</v>
      </c>
      <c r="H14" s="97">
        <v>0</v>
      </c>
      <c r="I14" s="50">
        <v>0</v>
      </c>
      <c r="J14" s="21">
        <v>5975</v>
      </c>
      <c r="K14" s="22">
        <f t="shared" si="4"/>
        <v>5975</v>
      </c>
      <c r="L14" s="22">
        <f t="shared" si="1"/>
        <v>5975</v>
      </c>
      <c r="N14"/>
    </row>
    <row r="15" spans="1:14">
      <c r="A15" s="1" t="s">
        <v>1</v>
      </c>
      <c r="B15" s="6" t="s">
        <v>25</v>
      </c>
      <c r="C15" s="37">
        <v>1000000</v>
      </c>
      <c r="D15" s="38">
        <v>200000</v>
      </c>
      <c r="E15" s="38">
        <v>100000</v>
      </c>
      <c r="F15" s="83">
        <v>200000</v>
      </c>
      <c r="G15" s="8">
        <f t="shared" si="3"/>
        <v>1500000</v>
      </c>
      <c r="H15" s="98">
        <v>415000</v>
      </c>
      <c r="I15" s="38">
        <v>415000</v>
      </c>
      <c r="J15" s="7">
        <v>115915</v>
      </c>
      <c r="K15" s="8">
        <f t="shared" si="4"/>
        <v>945915</v>
      </c>
      <c r="L15" s="8">
        <f t="shared" si="1"/>
        <v>2445915</v>
      </c>
      <c r="N15"/>
    </row>
    <row r="16" spans="1:14">
      <c r="A16" s="1" t="s">
        <v>1</v>
      </c>
      <c r="B16" s="14" t="s">
        <v>26</v>
      </c>
      <c r="C16" s="39">
        <v>0</v>
      </c>
      <c r="D16" s="40">
        <v>0</v>
      </c>
      <c r="E16" s="40">
        <v>0</v>
      </c>
      <c r="F16" s="84">
        <v>0</v>
      </c>
      <c r="G16" s="16">
        <f t="shared" si="3"/>
        <v>0</v>
      </c>
      <c r="H16" s="99">
        <v>1734</v>
      </c>
      <c r="I16" s="40">
        <v>11440</v>
      </c>
      <c r="J16" s="15">
        <v>0</v>
      </c>
      <c r="K16" s="16">
        <f t="shared" si="4"/>
        <v>13174</v>
      </c>
      <c r="L16" s="16">
        <f t="shared" si="1"/>
        <v>13174</v>
      </c>
      <c r="N16"/>
    </row>
    <row r="17" spans="1:14">
      <c r="A17" s="1" t="s">
        <v>1</v>
      </c>
      <c r="B17" s="26" t="s">
        <v>27</v>
      </c>
      <c r="C17" s="41">
        <v>0</v>
      </c>
      <c r="D17" s="42">
        <v>0</v>
      </c>
      <c r="E17" s="42">
        <v>0</v>
      </c>
      <c r="F17" s="85">
        <v>0</v>
      </c>
      <c r="G17" s="28">
        <f t="shared" si="3"/>
        <v>0</v>
      </c>
      <c r="H17" s="100">
        <v>1734</v>
      </c>
      <c r="I17" s="42">
        <v>11440</v>
      </c>
      <c r="J17" s="27">
        <v>0</v>
      </c>
      <c r="K17" s="28">
        <f t="shared" si="4"/>
        <v>13174</v>
      </c>
      <c r="L17" s="28">
        <f t="shared" si="1"/>
        <v>13174</v>
      </c>
      <c r="N17"/>
    </row>
    <row r="18" spans="1:14">
      <c r="A18" s="1" t="s">
        <v>1</v>
      </c>
      <c r="B18" s="23" t="s">
        <v>28</v>
      </c>
      <c r="C18" s="43">
        <v>1000000</v>
      </c>
      <c r="D18" s="44">
        <v>200000</v>
      </c>
      <c r="E18" s="44">
        <v>100000</v>
      </c>
      <c r="F18" s="86">
        <v>200000</v>
      </c>
      <c r="G18" s="25">
        <f t="shared" si="3"/>
        <v>1500000</v>
      </c>
      <c r="H18" s="101">
        <v>416734</v>
      </c>
      <c r="I18" s="44">
        <v>426440</v>
      </c>
      <c r="J18" s="24">
        <v>115915</v>
      </c>
      <c r="K18" s="25">
        <f t="shared" si="4"/>
        <v>959089</v>
      </c>
      <c r="L18" s="25">
        <f t="shared" si="1"/>
        <v>2459089</v>
      </c>
      <c r="N18"/>
    </row>
    <row r="19" spans="1:14">
      <c r="A19" s="1" t="s">
        <v>1</v>
      </c>
      <c r="B19" s="14" t="s">
        <v>29</v>
      </c>
      <c r="C19" s="39">
        <v>49980</v>
      </c>
      <c r="D19" s="40">
        <v>0</v>
      </c>
      <c r="E19" s="40">
        <v>0</v>
      </c>
      <c r="F19" s="84">
        <v>0</v>
      </c>
      <c r="G19" s="16">
        <f t="shared" si="3"/>
        <v>49980</v>
      </c>
      <c r="H19" s="99">
        <v>22440</v>
      </c>
      <c r="I19" s="40">
        <v>20910</v>
      </c>
      <c r="J19" s="15">
        <v>0</v>
      </c>
      <c r="K19" s="16">
        <f t="shared" si="4"/>
        <v>43350</v>
      </c>
      <c r="L19" s="16">
        <f t="shared" si="1"/>
        <v>93330</v>
      </c>
      <c r="N19"/>
    </row>
    <row r="20" spans="1:14">
      <c r="A20" s="1" t="s">
        <v>1</v>
      </c>
      <c r="B20" s="17" t="s">
        <v>30</v>
      </c>
      <c r="C20" s="47">
        <v>8820</v>
      </c>
      <c r="D20" s="48">
        <v>0</v>
      </c>
      <c r="E20" s="48">
        <v>0</v>
      </c>
      <c r="F20" s="81">
        <v>0</v>
      </c>
      <c r="G20" s="19">
        <f t="shared" si="3"/>
        <v>8820</v>
      </c>
      <c r="H20" s="96">
        <v>3960</v>
      </c>
      <c r="I20" s="48">
        <v>3690</v>
      </c>
      <c r="J20" s="18">
        <v>0</v>
      </c>
      <c r="K20" s="19">
        <f t="shared" si="4"/>
        <v>7650</v>
      </c>
      <c r="L20" s="19">
        <f t="shared" si="1"/>
        <v>16470</v>
      </c>
      <c r="N20"/>
    </row>
    <row r="21" spans="1:14">
      <c r="A21" s="1" t="s">
        <v>1</v>
      </c>
      <c r="B21" s="17" t="s">
        <v>31</v>
      </c>
      <c r="C21" s="47">
        <v>59475</v>
      </c>
      <c r="D21" s="48">
        <v>0</v>
      </c>
      <c r="E21" s="48">
        <v>0</v>
      </c>
      <c r="F21" s="81">
        <v>0</v>
      </c>
      <c r="G21" s="19">
        <f t="shared" si="3"/>
        <v>59475</v>
      </c>
      <c r="H21" s="96">
        <v>40260</v>
      </c>
      <c r="I21" s="48">
        <v>37515</v>
      </c>
      <c r="J21" s="18">
        <v>0</v>
      </c>
      <c r="K21" s="19">
        <f t="shared" si="4"/>
        <v>77775</v>
      </c>
      <c r="L21" s="19">
        <f t="shared" si="1"/>
        <v>137250</v>
      </c>
      <c r="N21"/>
    </row>
    <row r="22" spans="1:14">
      <c r="A22" s="1" t="s">
        <v>1</v>
      </c>
      <c r="B22" s="6" t="s">
        <v>32</v>
      </c>
      <c r="C22" s="37">
        <v>0</v>
      </c>
      <c r="D22" s="38">
        <v>0</v>
      </c>
      <c r="E22" s="38">
        <v>0</v>
      </c>
      <c r="F22" s="83">
        <v>0</v>
      </c>
      <c r="G22" s="8">
        <f t="shared" si="3"/>
        <v>0</v>
      </c>
      <c r="H22" s="98">
        <v>2500</v>
      </c>
      <c r="I22" s="38">
        <v>2559</v>
      </c>
      <c r="J22" s="7">
        <v>695</v>
      </c>
      <c r="K22" s="8">
        <f t="shared" si="4"/>
        <v>5754</v>
      </c>
      <c r="L22" s="8">
        <f t="shared" si="1"/>
        <v>5754</v>
      </c>
      <c r="N22"/>
    </row>
    <row r="23" spans="1:14">
      <c r="A23" s="1" t="s">
        <v>1</v>
      </c>
      <c r="B23" s="23" t="s">
        <v>33</v>
      </c>
      <c r="C23" s="43">
        <v>118275</v>
      </c>
      <c r="D23" s="44">
        <v>0</v>
      </c>
      <c r="E23" s="44">
        <v>0</v>
      </c>
      <c r="F23" s="86">
        <v>0</v>
      </c>
      <c r="G23" s="25">
        <f t="shared" si="3"/>
        <v>118275</v>
      </c>
      <c r="H23" s="101">
        <v>69160</v>
      </c>
      <c r="I23" s="44">
        <v>64674</v>
      </c>
      <c r="J23" s="24">
        <v>695</v>
      </c>
      <c r="K23" s="25">
        <f t="shared" si="4"/>
        <v>134529</v>
      </c>
      <c r="L23" s="25">
        <f t="shared" si="1"/>
        <v>252804</v>
      </c>
      <c r="N23"/>
    </row>
    <row r="24" spans="1:14">
      <c r="A24" s="1" t="s">
        <v>1</v>
      </c>
      <c r="B24" s="14" t="s">
        <v>34</v>
      </c>
      <c r="C24" s="39">
        <v>97950</v>
      </c>
      <c r="D24" s="40">
        <v>20900</v>
      </c>
      <c r="E24" s="40">
        <v>720</v>
      </c>
      <c r="F24" s="84">
        <v>20900</v>
      </c>
      <c r="G24" s="16">
        <f t="shared" si="3"/>
        <v>140470</v>
      </c>
      <c r="H24" s="99">
        <v>12120</v>
      </c>
      <c r="I24" s="40">
        <v>12490</v>
      </c>
      <c r="J24" s="15">
        <v>1500</v>
      </c>
      <c r="K24" s="16">
        <f t="shared" si="4"/>
        <v>26110</v>
      </c>
      <c r="L24" s="16">
        <f t="shared" si="1"/>
        <v>166580</v>
      </c>
      <c r="N24"/>
    </row>
    <row r="25" spans="1:14">
      <c r="A25" s="1" t="s">
        <v>1</v>
      </c>
      <c r="B25" s="17" t="s">
        <v>35</v>
      </c>
      <c r="C25" s="47">
        <v>91000</v>
      </c>
      <c r="D25" s="48">
        <v>0</v>
      </c>
      <c r="E25" s="48">
        <v>800</v>
      </c>
      <c r="F25" s="81">
        <v>0</v>
      </c>
      <c r="G25" s="19">
        <f t="shared" si="3"/>
        <v>91800</v>
      </c>
      <c r="H25" s="96">
        <v>23700</v>
      </c>
      <c r="I25" s="48">
        <v>23100</v>
      </c>
      <c r="J25" s="18">
        <v>2300</v>
      </c>
      <c r="K25" s="19">
        <f t="shared" si="4"/>
        <v>49100</v>
      </c>
      <c r="L25" s="19">
        <f t="shared" si="1"/>
        <v>140900</v>
      </c>
      <c r="N25"/>
    </row>
    <row r="26" spans="1:14">
      <c r="A26" s="1" t="s">
        <v>1</v>
      </c>
      <c r="B26" s="6" t="s">
        <v>36</v>
      </c>
      <c r="C26" s="37">
        <v>32000</v>
      </c>
      <c r="D26" s="38">
        <v>0</v>
      </c>
      <c r="E26" s="38">
        <v>0</v>
      </c>
      <c r="F26" s="83">
        <v>0</v>
      </c>
      <c r="G26" s="8">
        <f t="shared" si="3"/>
        <v>32000</v>
      </c>
      <c r="H26" s="98">
        <v>0</v>
      </c>
      <c r="I26" s="38">
        <v>0</v>
      </c>
      <c r="J26" s="7">
        <v>0</v>
      </c>
      <c r="K26" s="8">
        <f t="shared" si="4"/>
        <v>0</v>
      </c>
      <c r="L26" s="8">
        <f t="shared" si="1"/>
        <v>32000</v>
      </c>
      <c r="N26"/>
    </row>
    <row r="27" spans="1:14">
      <c r="A27" s="1" t="s">
        <v>1</v>
      </c>
      <c r="B27" s="23" t="s">
        <v>37</v>
      </c>
      <c r="C27" s="43">
        <v>339225</v>
      </c>
      <c r="D27" s="44">
        <v>20900</v>
      </c>
      <c r="E27" s="44">
        <v>1520</v>
      </c>
      <c r="F27" s="86">
        <v>20900</v>
      </c>
      <c r="G27" s="25">
        <f t="shared" si="3"/>
        <v>382545</v>
      </c>
      <c r="H27" s="101">
        <v>104980</v>
      </c>
      <c r="I27" s="44">
        <v>100264</v>
      </c>
      <c r="J27" s="24">
        <v>4495</v>
      </c>
      <c r="K27" s="25">
        <f t="shared" si="4"/>
        <v>209739</v>
      </c>
      <c r="L27" s="25">
        <f t="shared" si="1"/>
        <v>592284</v>
      </c>
      <c r="N27"/>
    </row>
    <row r="28" spans="1:14">
      <c r="A28" s="1" t="s">
        <v>1</v>
      </c>
      <c r="B28" s="23" t="s">
        <v>38</v>
      </c>
      <c r="C28" s="43">
        <v>881725</v>
      </c>
      <c r="D28" s="44">
        <v>200000</v>
      </c>
      <c r="E28" s="44">
        <v>100000</v>
      </c>
      <c r="F28" s="86">
        <v>200000</v>
      </c>
      <c r="G28" s="25">
        <f t="shared" si="3"/>
        <v>1381725</v>
      </c>
      <c r="H28" s="101">
        <v>345840</v>
      </c>
      <c r="I28" s="44">
        <v>350326</v>
      </c>
      <c r="J28" s="24">
        <v>115220</v>
      </c>
      <c r="K28" s="25">
        <f t="shared" si="4"/>
        <v>811386</v>
      </c>
      <c r="L28" s="25">
        <f t="shared" si="1"/>
        <v>2193111</v>
      </c>
      <c r="N28"/>
    </row>
    <row r="29" spans="1:14">
      <c r="A29" s="1" t="s">
        <v>1</v>
      </c>
      <c r="B29" s="23" t="s">
        <v>39</v>
      </c>
      <c r="C29" s="43">
        <v>660775</v>
      </c>
      <c r="D29" s="44">
        <v>179100</v>
      </c>
      <c r="E29" s="44">
        <v>98480</v>
      </c>
      <c r="F29" s="86">
        <v>179100</v>
      </c>
      <c r="G29" s="25">
        <f t="shared" si="3"/>
        <v>1117455</v>
      </c>
      <c r="H29" s="101">
        <v>311754</v>
      </c>
      <c r="I29" s="44">
        <v>326176</v>
      </c>
      <c r="J29" s="24">
        <v>111420</v>
      </c>
      <c r="K29" s="25">
        <f t="shared" si="4"/>
        <v>749350</v>
      </c>
      <c r="L29" s="25">
        <f t="shared" si="1"/>
        <v>1866805</v>
      </c>
      <c r="N29"/>
    </row>
    <row r="30" spans="1:14">
      <c r="A30" s="1" t="s">
        <v>1</v>
      </c>
      <c r="B30" s="23" t="s">
        <v>40</v>
      </c>
      <c r="C30" s="43">
        <v>0</v>
      </c>
      <c r="D30" s="44">
        <v>0</v>
      </c>
      <c r="E30" s="44">
        <v>98480</v>
      </c>
      <c r="F30" s="86">
        <v>0</v>
      </c>
      <c r="G30" s="25">
        <f t="shared" si="3"/>
        <v>98480</v>
      </c>
      <c r="H30" s="101">
        <v>0</v>
      </c>
      <c r="I30" s="44">
        <v>0</v>
      </c>
      <c r="J30" s="24">
        <v>0</v>
      </c>
      <c r="K30" s="25">
        <f t="shared" si="4"/>
        <v>0</v>
      </c>
      <c r="L30" s="25">
        <f t="shared" si="1"/>
        <v>98480</v>
      </c>
      <c r="N30"/>
    </row>
    <row r="31" spans="1:14">
      <c r="A31" s="1" t="s">
        <v>1</v>
      </c>
      <c r="B31" s="23" t="s">
        <v>41</v>
      </c>
      <c r="C31" s="43">
        <v>660775</v>
      </c>
      <c r="D31" s="44">
        <v>179100</v>
      </c>
      <c r="E31" s="44">
        <v>0</v>
      </c>
      <c r="F31" s="86">
        <v>179100</v>
      </c>
      <c r="G31" s="25">
        <f t="shared" si="3"/>
        <v>1018975</v>
      </c>
      <c r="H31" s="101">
        <v>311754</v>
      </c>
      <c r="I31" s="44">
        <v>326176</v>
      </c>
      <c r="J31" s="24">
        <v>111420</v>
      </c>
      <c r="K31" s="25">
        <f t="shared" si="4"/>
        <v>749350</v>
      </c>
      <c r="L31" s="25">
        <f t="shared" si="1"/>
        <v>1768325</v>
      </c>
      <c r="N31"/>
    </row>
    <row r="32" spans="1:14">
      <c r="A32" s="1" t="s">
        <v>1</v>
      </c>
      <c r="B32" s="23" t="s">
        <v>42</v>
      </c>
      <c r="C32" s="43">
        <v>1</v>
      </c>
      <c r="D32" s="44">
        <v>0</v>
      </c>
      <c r="E32" s="44">
        <v>0</v>
      </c>
      <c r="F32" s="86">
        <v>0</v>
      </c>
      <c r="G32" s="25"/>
      <c r="H32" s="101">
        <v>0</v>
      </c>
      <c r="I32" s="44">
        <v>0</v>
      </c>
      <c r="J32" s="24">
        <v>0</v>
      </c>
      <c r="K32" s="25"/>
      <c r="L32" s="25"/>
      <c r="N32"/>
    </row>
    <row r="33" spans="1:14" ht="19.5" thickBot="1">
      <c r="A33" s="1" t="s">
        <v>1</v>
      </c>
      <c r="B33" s="9" t="s">
        <v>43</v>
      </c>
      <c r="C33" s="45" t="s">
        <v>44</v>
      </c>
      <c r="D33" s="46" t="s">
        <v>45</v>
      </c>
      <c r="E33" s="46" t="s">
        <v>44</v>
      </c>
      <c r="F33" s="87" t="s">
        <v>45</v>
      </c>
      <c r="G33" s="11"/>
      <c r="H33" s="102" t="s">
        <v>44</v>
      </c>
      <c r="I33" s="46" t="s">
        <v>44</v>
      </c>
      <c r="J33" s="10" t="s">
        <v>44</v>
      </c>
      <c r="K33" s="11"/>
      <c r="L33" s="11"/>
      <c r="N33"/>
    </row>
  </sheetData>
  <phoneticPr fontId="3"/>
  <pageMargins left="0.51181102362204722" right="0.11811023622047245" top="0.15748031496062992" bottom="0.15748031496062992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5月度給与 (2)</vt:lpstr>
      <vt:lpstr>'2023年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2023-06-08T06:26:00Z</cp:lastPrinted>
  <dcterms:created xsi:type="dcterms:W3CDTF">2023-06-08T04:17:23Z</dcterms:created>
  <dcterms:modified xsi:type="dcterms:W3CDTF">2023-06-10T00:33:18Z</dcterms:modified>
</cp:coreProperties>
</file>