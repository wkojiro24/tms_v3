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5\"/>
    </mc:Choice>
  </mc:AlternateContent>
  <xr:revisionPtr revIDLastSave="0" documentId="13_ncr:1_{A0E217CD-35A3-441C-9D9E-CB3DA666E4D5}" xr6:coauthVersionLast="47" xr6:coauthVersionMax="47" xr10:uidLastSave="{00000000-0000-0000-0000-000000000000}"/>
  <bookViews>
    <workbookView xWindow="-120" yWindow="-120" windowWidth="20730" windowHeight="11160" xr2:uid="{90857951-1600-4FBD-9ABC-6BC47066A193}"/>
  </bookViews>
  <sheets>
    <sheet name="2023年5月度給与 (2)" sheetId="3" r:id="rId1"/>
  </sheets>
  <definedNames>
    <definedName name="_xlnm.Print_Area" localSheetId="0">'2023年5月度給与 (2)'!$A$1:$O$46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3" l="1"/>
  <c r="O23" i="3"/>
  <c r="O27" i="3"/>
  <c r="O31" i="3"/>
  <c r="O35" i="3"/>
  <c r="O39" i="3"/>
  <c r="O43" i="3"/>
  <c r="O7" i="3"/>
  <c r="O11" i="3"/>
  <c r="O15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18" i="3"/>
  <c r="N7" i="3"/>
  <c r="N8" i="3"/>
  <c r="O8" i="3" s="1"/>
  <c r="N9" i="3"/>
  <c r="O9" i="3" s="1"/>
  <c r="N10" i="3"/>
  <c r="O10" i="3" s="1"/>
  <c r="N11" i="3"/>
  <c r="N12" i="3"/>
  <c r="O12" i="3" s="1"/>
  <c r="N13" i="3"/>
  <c r="O13" i="3" s="1"/>
  <c r="N14" i="3"/>
  <c r="O14" i="3" s="1"/>
  <c r="N15" i="3"/>
  <c r="N16" i="3"/>
  <c r="O16" i="3" s="1"/>
  <c r="N6" i="3"/>
  <c r="O6" i="3" s="1"/>
  <c r="N5" i="3"/>
  <c r="O5" i="3" s="1"/>
  <c r="F19" i="3"/>
  <c r="F20" i="3"/>
  <c r="O20" i="3" s="1"/>
  <c r="F21" i="3"/>
  <c r="O21" i="3" s="1"/>
  <c r="F22" i="3"/>
  <c r="O22" i="3" s="1"/>
  <c r="F23" i="3"/>
  <c r="F24" i="3"/>
  <c r="O24" i="3" s="1"/>
  <c r="F25" i="3"/>
  <c r="O25" i="3" s="1"/>
  <c r="F26" i="3"/>
  <c r="O26" i="3" s="1"/>
  <c r="F27" i="3"/>
  <c r="F28" i="3"/>
  <c r="O28" i="3" s="1"/>
  <c r="F29" i="3"/>
  <c r="O29" i="3" s="1"/>
  <c r="F30" i="3"/>
  <c r="O30" i="3" s="1"/>
  <c r="F31" i="3"/>
  <c r="F32" i="3"/>
  <c r="O32" i="3" s="1"/>
  <c r="F33" i="3"/>
  <c r="O33" i="3" s="1"/>
  <c r="F34" i="3"/>
  <c r="O34" i="3" s="1"/>
  <c r="F35" i="3"/>
  <c r="F36" i="3"/>
  <c r="O36" i="3" s="1"/>
  <c r="F37" i="3"/>
  <c r="O37" i="3" s="1"/>
  <c r="F38" i="3"/>
  <c r="O38" i="3" s="1"/>
  <c r="F39" i="3"/>
  <c r="F40" i="3"/>
  <c r="O40" i="3" s="1"/>
  <c r="F41" i="3"/>
  <c r="O41" i="3" s="1"/>
  <c r="F42" i="3"/>
  <c r="O42" i="3" s="1"/>
  <c r="F43" i="3"/>
  <c r="F44" i="3"/>
  <c r="O44" i="3" s="1"/>
  <c r="F18" i="3"/>
  <c r="O18" i="3" s="1"/>
  <c r="F7" i="3"/>
  <c r="F8" i="3"/>
  <c r="F9" i="3"/>
  <c r="F10" i="3"/>
  <c r="F11" i="3"/>
  <c r="F12" i="3"/>
  <c r="F13" i="3"/>
  <c r="F14" i="3"/>
  <c r="F15" i="3"/>
  <c r="F16" i="3"/>
  <c r="F6" i="3"/>
  <c r="F5" i="3"/>
</calcChain>
</file>

<file path=xl/sharedStrings.xml><?xml version="1.0" encoding="utf-8"?>
<sst xmlns="http://schemas.openxmlformats.org/spreadsheetml/2006/main" count="123" uniqueCount="69">
  <si>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</si>
  <si>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</si>
  <si>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</si>
  <si>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</si>
  <si>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</si>
  <si>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</si>
  <si>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</si>
  <si>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</si>
  <si>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</si>
  <si>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</si>
  <si>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</si>
  <si>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</si>
  <si>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</si>
  <si>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</si>
  <si>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</si>
  <si>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</si>
  <si>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</si>
  <si>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</si>
  <si>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</si>
  <si>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</si>
  <si>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</si>
  <si>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</si>
  <si>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</si>
  <si>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</si>
  <si>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</si>
  <si>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</si>
  <si>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</si>
  <si>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</si>
  <si>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</si>
  <si>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</si>
  <si>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</si>
  <si>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</si>
  <si>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</si>
  <si>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</si>
  <si>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</si>
  <si>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</si>
  <si>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</si>
  <si>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</si>
  <si>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</si>
  <si>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</si>
  <si>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</si>
  <si>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</si>
  <si>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</si>
  <si>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</si>
  <si>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</si>
  <si>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</si>
  <si>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</si>
  <si>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</si>
  <si>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</si>
  <si>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</si>
  <si>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</si>
  <si>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</si>
  <si>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</si>
  <si>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</si>
  <si>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</si>
  <si>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</si>
  <si>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</si>
  <si>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</si>
  <si>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</si>
  <si>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</si>
  <si>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</si>
  <si>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</si>
  <si>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5月度給与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</si>
  <si>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</si>
  <si>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</si>
  <si>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</si>
  <si>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3"/>
  </si>
  <si>
    <t>佐藤ゆうこ</t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</si>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</sst>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8" xfId="1" applyNumberFormat="1" applyFont="1" applyBorder="1"/>
    <xf numFmtId="49" fontId="2" fillId="0" borderId="32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39" xfId="1" applyNumberFormat="1" applyFont="1" applyBorder="1" applyAlignment="1">
      <alignment horizontal="center"/>
    </xf>
    <xf numFmtId="0" fontId="2" fillId="0" borderId="4" xfId="1" applyFont="1" applyBorder="1"/>
    <xf numFmtId="49" fontId="2" fillId="0" borderId="40" xfId="1" applyNumberFormat="1" applyFont="1" applyBorder="1" applyAlignment="1">
      <alignment horizontal="lef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49" fontId="2" fillId="0" borderId="44" xfId="1" applyNumberFormat="1" applyFont="1" applyBorder="1" applyAlignment="1">
      <alignment horizontal="left"/>
    </xf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4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</cellXfs>
  <cellStyles count="2">
    <cellStyle name="標準" xfId="0" builtinId="0"/>
    <cellStyle name="標準 2" xfId="1" xr:uid="{B79D1268-D74E-4EC5-987E-16DCA49C1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99C2-A267-4349-B21B-3DCAA5E77040}">
  <sheetPr>
    <pageSetUpPr fitToPage="1"/>
  </sheetPr>
  <dimension ref="A1:O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5" width="10.6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62</v>
      </c>
    </row>
    <row r="3" spans="1:15">
      <c r="B3" s="13"/>
      <c r="C3" s="36" t="s">
        <v>5</v>
      </c>
      <c r="D3" s="36" t="s">
        <v>9</v>
      </c>
      <c r="E3" s="62" t="s">
        <v>7</v>
      </c>
      <c r="F3" s="75" t="s">
        <v>63</v>
      </c>
      <c r="G3" s="35" t="s">
        <v>2</v>
      </c>
      <c r="H3" s="36" t="s">
        <v>3</v>
      </c>
      <c r="I3" s="36" t="s">
        <v>4</v>
      </c>
      <c r="J3" s="36" t="s">
        <v>6</v>
      </c>
      <c r="K3" s="36" t="s">
        <v>8</v>
      </c>
      <c r="L3" s="36" t="s">
        <v>10</v>
      </c>
      <c r="M3" s="77" t="s">
        <v>11</v>
      </c>
      <c r="N3" s="75" t="s">
        <v>63</v>
      </c>
      <c r="O3" s="78" t="s">
        <v>21</v>
      </c>
    </row>
    <row r="4" spans="1:15" ht="19.5" thickBot="1">
      <c r="B4" s="4" t="s">
        <v>12</v>
      </c>
      <c r="C4" s="38" t="s">
        <v>16</v>
      </c>
      <c r="D4" s="38" t="s">
        <v>19</v>
      </c>
      <c r="E4" s="63" t="s">
        <v>67</v>
      </c>
      <c r="F4" s="76" t="s">
        <v>64</v>
      </c>
      <c r="G4" s="37" t="s">
        <v>13</v>
      </c>
      <c r="H4" s="38" t="s">
        <v>14</v>
      </c>
      <c r="I4" s="38" t="s">
        <v>15</v>
      </c>
      <c r="J4" s="38" t="s">
        <v>17</v>
      </c>
      <c r="K4" s="38" t="s">
        <v>18</v>
      </c>
      <c r="L4" s="38" t="s">
        <v>20</v>
      </c>
      <c r="M4" s="3" t="s">
        <v>68</v>
      </c>
      <c r="N4" s="76" t="s">
        <v>65</v>
      </c>
      <c r="O4" s="61" t="s">
        <v>66</v>
      </c>
    </row>
    <row r="5" spans="1:15">
      <c r="A5" s="1" t="s">
        <v>1</v>
      </c>
      <c r="B5" s="28" t="s">
        <v>22</v>
      </c>
      <c r="C5" s="40">
        <v>19</v>
      </c>
      <c r="D5" s="40">
        <v>20</v>
      </c>
      <c r="E5" s="64">
        <v>20</v>
      </c>
      <c r="F5" s="30">
        <f>SUM(C5:E5)</f>
        <v>59</v>
      </c>
      <c r="G5" s="39">
        <v>20</v>
      </c>
      <c r="H5" s="40">
        <v>18</v>
      </c>
      <c r="I5" s="40">
        <v>17</v>
      </c>
      <c r="J5" s="40">
        <v>19</v>
      </c>
      <c r="K5" s="40">
        <v>19</v>
      </c>
      <c r="L5" s="40">
        <v>19</v>
      </c>
      <c r="M5" s="29">
        <v>20</v>
      </c>
      <c r="N5" s="30">
        <f>SUM(G5:M5)</f>
        <v>132</v>
      </c>
      <c r="O5" s="30">
        <f>SUM(N5,F5)</f>
        <v>191</v>
      </c>
    </row>
    <row r="6" spans="1:15">
      <c r="A6" s="1" t="s">
        <v>1</v>
      </c>
      <c r="B6" s="25" t="s">
        <v>23</v>
      </c>
      <c r="C6" s="42">
        <v>0</v>
      </c>
      <c r="D6" s="42">
        <v>0</v>
      </c>
      <c r="E6" s="65">
        <v>2</v>
      </c>
      <c r="F6" s="32">
        <f>SUM(C6:E6)</f>
        <v>2</v>
      </c>
      <c r="G6" s="41">
        <v>1</v>
      </c>
      <c r="H6" s="42">
        <v>1</v>
      </c>
      <c r="I6" s="42">
        <v>3</v>
      </c>
      <c r="J6" s="42">
        <v>2</v>
      </c>
      <c r="K6" s="42">
        <v>2</v>
      </c>
      <c r="L6" s="42">
        <v>1</v>
      </c>
      <c r="M6" s="31">
        <v>4</v>
      </c>
      <c r="N6" s="32">
        <f>SUM(G6:M6)</f>
        <v>14</v>
      </c>
      <c r="O6" s="32">
        <f t="shared" ref="O6:O16" si="0">SUM(N6,F6)</f>
        <v>16</v>
      </c>
    </row>
    <row r="7" spans="1:15">
      <c r="A7" s="1" t="s">
        <v>1</v>
      </c>
      <c r="B7" s="25" t="s">
        <v>24</v>
      </c>
      <c r="C7" s="42">
        <v>0</v>
      </c>
      <c r="D7" s="42">
        <v>0</v>
      </c>
      <c r="E7" s="65">
        <v>1</v>
      </c>
      <c r="F7" s="32">
        <f t="shared" ref="F7:F16" si="1">SUM(C7:E7)</f>
        <v>1</v>
      </c>
      <c r="G7" s="41">
        <v>4</v>
      </c>
      <c r="H7" s="42">
        <v>4</v>
      </c>
      <c r="I7" s="42">
        <v>2</v>
      </c>
      <c r="J7" s="42">
        <v>1</v>
      </c>
      <c r="K7" s="42">
        <v>1</v>
      </c>
      <c r="L7" s="42">
        <v>3</v>
      </c>
      <c r="M7" s="31">
        <v>1</v>
      </c>
      <c r="N7" s="32">
        <f t="shared" ref="N7:N16" si="2">SUM(G7:M7)</f>
        <v>16</v>
      </c>
      <c r="O7" s="32">
        <f t="shared" si="0"/>
        <v>17</v>
      </c>
    </row>
    <row r="8" spans="1:15">
      <c r="A8" s="1" t="s">
        <v>1</v>
      </c>
      <c r="B8" s="25" t="s">
        <v>25</v>
      </c>
      <c r="C8" s="42">
        <v>0</v>
      </c>
      <c r="D8" s="42">
        <v>0</v>
      </c>
      <c r="E8" s="65">
        <v>0</v>
      </c>
      <c r="F8" s="32">
        <f t="shared" si="1"/>
        <v>0</v>
      </c>
      <c r="G8" s="41">
        <v>0</v>
      </c>
      <c r="H8" s="42">
        <v>0</v>
      </c>
      <c r="I8" s="42">
        <v>2</v>
      </c>
      <c r="J8" s="42">
        <v>0</v>
      </c>
      <c r="K8" s="42">
        <v>0</v>
      </c>
      <c r="L8" s="42">
        <v>0</v>
      </c>
      <c r="M8" s="31">
        <v>0</v>
      </c>
      <c r="N8" s="32">
        <f t="shared" si="2"/>
        <v>2</v>
      </c>
      <c r="O8" s="32">
        <f t="shared" si="0"/>
        <v>2</v>
      </c>
    </row>
    <row r="9" spans="1:15">
      <c r="A9" s="1" t="s">
        <v>1</v>
      </c>
      <c r="B9" s="25" t="s">
        <v>26</v>
      </c>
      <c r="C9" s="42">
        <v>0</v>
      </c>
      <c r="D9" s="42">
        <v>0</v>
      </c>
      <c r="E9" s="65">
        <v>1</v>
      </c>
      <c r="F9" s="32">
        <f t="shared" si="1"/>
        <v>1</v>
      </c>
      <c r="G9" s="41">
        <v>0</v>
      </c>
      <c r="H9" s="42">
        <v>2</v>
      </c>
      <c r="I9" s="42">
        <v>1</v>
      </c>
      <c r="J9" s="42">
        <v>1</v>
      </c>
      <c r="K9" s="42">
        <v>1</v>
      </c>
      <c r="L9" s="42">
        <v>1</v>
      </c>
      <c r="M9" s="31">
        <v>0</v>
      </c>
      <c r="N9" s="32">
        <f t="shared" si="2"/>
        <v>6</v>
      </c>
      <c r="O9" s="32">
        <f t="shared" si="0"/>
        <v>7</v>
      </c>
    </row>
    <row r="10" spans="1:15">
      <c r="A10" s="1" t="s">
        <v>1</v>
      </c>
      <c r="B10" s="25" t="s">
        <v>27</v>
      </c>
      <c r="C10" s="44">
        <v>0</v>
      </c>
      <c r="D10" s="44">
        <v>0</v>
      </c>
      <c r="E10" s="66">
        <v>8.3333333333333329E-2</v>
      </c>
      <c r="F10" s="34">
        <f t="shared" si="1"/>
        <v>8.3333333333333329E-2</v>
      </c>
      <c r="G10" s="43">
        <v>1.7083333333333335</v>
      </c>
      <c r="H10" s="44">
        <v>0.41666666666666669</v>
      </c>
      <c r="I10" s="44">
        <v>0.54166666666666663</v>
      </c>
      <c r="J10" s="44">
        <v>1.875</v>
      </c>
      <c r="K10" s="44">
        <v>1.9583333333333335</v>
      </c>
      <c r="L10" s="44">
        <v>1.625</v>
      </c>
      <c r="M10" s="33">
        <v>1.75</v>
      </c>
      <c r="N10" s="34">
        <f t="shared" si="2"/>
        <v>9.875</v>
      </c>
      <c r="O10" s="34">
        <f t="shared" si="0"/>
        <v>9.9583333333333339</v>
      </c>
    </row>
    <row r="11" spans="1:15">
      <c r="A11" s="1" t="s">
        <v>1</v>
      </c>
      <c r="B11" s="25" t="s">
        <v>28</v>
      </c>
      <c r="C11" s="44">
        <v>0</v>
      </c>
      <c r="D11" s="44">
        <v>0</v>
      </c>
      <c r="E11" s="66">
        <v>0.625</v>
      </c>
      <c r="F11" s="34">
        <f t="shared" si="1"/>
        <v>0.625</v>
      </c>
      <c r="G11" s="43">
        <v>0.33333333333333331</v>
      </c>
      <c r="H11" s="44">
        <v>0.29166666666666669</v>
      </c>
      <c r="I11" s="44">
        <v>0.79166666666666663</v>
      </c>
      <c r="J11" s="44">
        <v>0.66666666666666663</v>
      </c>
      <c r="K11" s="44">
        <v>0.70833333333333337</v>
      </c>
      <c r="L11" s="44">
        <v>0.29166666666666669</v>
      </c>
      <c r="M11" s="33">
        <v>2</v>
      </c>
      <c r="N11" s="34">
        <f t="shared" si="2"/>
        <v>5.083333333333333</v>
      </c>
      <c r="O11" s="34">
        <f t="shared" si="0"/>
        <v>5.708333333333333</v>
      </c>
    </row>
    <row r="12" spans="1:15">
      <c r="A12" s="1" t="s">
        <v>1</v>
      </c>
      <c r="B12" s="25" t="s">
        <v>29</v>
      </c>
      <c r="C12" s="44">
        <v>0</v>
      </c>
      <c r="D12" s="44">
        <v>0</v>
      </c>
      <c r="E12" s="66">
        <v>0.29166666666666669</v>
      </c>
      <c r="F12" s="34">
        <f t="shared" si="1"/>
        <v>0.29166666666666669</v>
      </c>
      <c r="G12" s="43">
        <v>1.8333333333333335</v>
      </c>
      <c r="H12" s="44">
        <v>1.1666666666666667</v>
      </c>
      <c r="I12" s="44">
        <v>0.33333333333333331</v>
      </c>
      <c r="J12" s="44">
        <v>0.375</v>
      </c>
      <c r="K12" s="44">
        <v>0.33333333333333331</v>
      </c>
      <c r="L12" s="44">
        <v>1</v>
      </c>
      <c r="M12" s="33">
        <v>0.45833333333333331</v>
      </c>
      <c r="N12" s="34">
        <f t="shared" si="2"/>
        <v>5.5</v>
      </c>
      <c r="O12" s="34">
        <f t="shared" si="0"/>
        <v>5.791666666666667</v>
      </c>
    </row>
    <row r="13" spans="1:15">
      <c r="A13" s="1" t="s">
        <v>1</v>
      </c>
      <c r="B13" s="25" t="s">
        <v>30</v>
      </c>
      <c r="C13" s="44">
        <v>0</v>
      </c>
      <c r="D13" s="44">
        <v>0</v>
      </c>
      <c r="E13" s="66">
        <v>0</v>
      </c>
      <c r="F13" s="34">
        <f t="shared" si="1"/>
        <v>0</v>
      </c>
      <c r="G13" s="43">
        <v>0</v>
      </c>
      <c r="H13" s="44">
        <v>0</v>
      </c>
      <c r="I13" s="44">
        <v>0.375</v>
      </c>
      <c r="J13" s="44">
        <v>0</v>
      </c>
      <c r="K13" s="44">
        <v>0</v>
      </c>
      <c r="L13" s="44">
        <v>0</v>
      </c>
      <c r="M13" s="33">
        <v>0</v>
      </c>
      <c r="N13" s="34">
        <f t="shared" si="2"/>
        <v>0.375</v>
      </c>
      <c r="O13" s="34">
        <f t="shared" si="0"/>
        <v>0.375</v>
      </c>
    </row>
    <row r="14" spans="1:15">
      <c r="A14" s="1" t="s">
        <v>1</v>
      </c>
      <c r="B14" s="25" t="s">
        <v>31</v>
      </c>
      <c r="C14" s="44">
        <v>0</v>
      </c>
      <c r="D14" s="44">
        <v>0</v>
      </c>
      <c r="E14" s="66">
        <v>0</v>
      </c>
      <c r="F14" s="34">
        <f t="shared" si="1"/>
        <v>0</v>
      </c>
      <c r="G14" s="43">
        <v>0</v>
      </c>
      <c r="H14" s="44">
        <v>0</v>
      </c>
      <c r="I14" s="44">
        <v>0.33333333333333331</v>
      </c>
      <c r="J14" s="44">
        <v>0</v>
      </c>
      <c r="K14" s="44">
        <v>0</v>
      </c>
      <c r="L14" s="44">
        <v>0</v>
      </c>
      <c r="M14" s="33">
        <v>0</v>
      </c>
      <c r="N14" s="34">
        <f t="shared" si="2"/>
        <v>0.33333333333333331</v>
      </c>
      <c r="O14" s="34">
        <f t="shared" si="0"/>
        <v>0.33333333333333331</v>
      </c>
    </row>
    <row r="15" spans="1:15">
      <c r="A15" s="1" t="s">
        <v>1</v>
      </c>
      <c r="B15" s="25" t="s">
        <v>32</v>
      </c>
      <c r="C15" s="44">
        <v>0</v>
      </c>
      <c r="D15" s="44">
        <v>0</v>
      </c>
      <c r="E15" s="66">
        <v>0.16666666666666666</v>
      </c>
      <c r="F15" s="34">
        <f t="shared" si="1"/>
        <v>0.16666666666666666</v>
      </c>
      <c r="G15" s="43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33">
        <v>0</v>
      </c>
      <c r="N15" s="34">
        <f t="shared" si="2"/>
        <v>0</v>
      </c>
      <c r="O15" s="34">
        <f t="shared" si="0"/>
        <v>0.16666666666666666</v>
      </c>
    </row>
    <row r="16" spans="1:15">
      <c r="A16" s="1" t="s">
        <v>1</v>
      </c>
      <c r="B16" s="5" t="s">
        <v>33</v>
      </c>
      <c r="C16" s="46">
        <v>0.33333333333333331</v>
      </c>
      <c r="D16" s="46">
        <v>0</v>
      </c>
      <c r="E16" s="67">
        <v>0</v>
      </c>
      <c r="F16" s="7">
        <f t="shared" si="1"/>
        <v>0.33333333333333331</v>
      </c>
      <c r="G16" s="45">
        <v>1.2916666666666667</v>
      </c>
      <c r="H16" s="46">
        <v>0.875</v>
      </c>
      <c r="I16" s="46">
        <v>1.2916666666666667</v>
      </c>
      <c r="J16" s="46">
        <v>1.4166666666666667</v>
      </c>
      <c r="K16" s="46">
        <v>1.5</v>
      </c>
      <c r="L16" s="46">
        <v>0.70833333333333337</v>
      </c>
      <c r="M16" s="6">
        <v>0.95833333333333337</v>
      </c>
      <c r="N16" s="7">
        <f t="shared" si="2"/>
        <v>8.0416666666666679</v>
      </c>
      <c r="O16" s="7">
        <f t="shared" si="0"/>
        <v>8.3750000000000018</v>
      </c>
    </row>
    <row r="17" spans="1:15">
      <c r="A17" s="1" t="s">
        <v>1</v>
      </c>
      <c r="B17" s="14" t="s">
        <v>34</v>
      </c>
      <c r="C17" s="48">
        <v>39</v>
      </c>
      <c r="D17" s="48">
        <v>25.5</v>
      </c>
      <c r="E17" s="68">
        <v>25</v>
      </c>
      <c r="F17" s="16"/>
      <c r="G17" s="47">
        <v>40</v>
      </c>
      <c r="H17" s="48">
        <v>36</v>
      </c>
      <c r="I17" s="48">
        <v>37</v>
      </c>
      <c r="J17" s="48">
        <v>37</v>
      </c>
      <c r="K17" s="48">
        <v>21</v>
      </c>
      <c r="L17" s="48">
        <v>15</v>
      </c>
      <c r="M17" s="15">
        <v>14</v>
      </c>
      <c r="N17" s="16"/>
      <c r="O17" s="16"/>
    </row>
    <row r="18" spans="1:15">
      <c r="A18" s="1" t="s">
        <v>1</v>
      </c>
      <c r="B18" s="22" t="s">
        <v>35</v>
      </c>
      <c r="C18" s="50">
        <v>355000</v>
      </c>
      <c r="D18" s="50">
        <v>355000</v>
      </c>
      <c r="E18" s="69">
        <v>170000</v>
      </c>
      <c r="F18" s="24">
        <f>SUM(C18:E18)</f>
        <v>880000</v>
      </c>
      <c r="G18" s="49">
        <v>177000</v>
      </c>
      <c r="H18" s="50">
        <v>177000</v>
      </c>
      <c r="I18" s="50">
        <v>177000</v>
      </c>
      <c r="J18" s="50">
        <v>192000</v>
      </c>
      <c r="K18" s="50">
        <v>177000</v>
      </c>
      <c r="L18" s="50">
        <v>170000</v>
      </c>
      <c r="M18" s="23">
        <v>170000</v>
      </c>
      <c r="N18" s="24">
        <f>SUM(G18:M18)</f>
        <v>1240000</v>
      </c>
      <c r="O18" s="24">
        <f>SUM(F18,N18)</f>
        <v>2120000</v>
      </c>
    </row>
    <row r="19" spans="1:15">
      <c r="A19" s="1" t="s">
        <v>1</v>
      </c>
      <c r="B19" s="25" t="s">
        <v>36</v>
      </c>
      <c r="C19" s="52">
        <v>0</v>
      </c>
      <c r="D19" s="52">
        <v>0</v>
      </c>
      <c r="E19" s="70">
        <v>0</v>
      </c>
      <c r="F19" s="27">
        <f t="shared" ref="F19:F44" si="3">SUM(C19:E19)</f>
        <v>0</v>
      </c>
      <c r="G19" s="51">
        <v>5000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26">
        <v>0</v>
      </c>
      <c r="N19" s="27">
        <f t="shared" ref="N19:N44" si="4">SUM(G19:M19)</f>
        <v>5000</v>
      </c>
      <c r="O19" s="27">
        <f t="shared" ref="O19:O44" si="5">SUM(F19,N19)</f>
        <v>5000</v>
      </c>
    </row>
    <row r="20" spans="1:15">
      <c r="A20" s="1" t="s">
        <v>1</v>
      </c>
      <c r="B20" s="25" t="s">
        <v>37</v>
      </c>
      <c r="C20" s="52">
        <v>0</v>
      </c>
      <c r="D20" s="52">
        <v>0</v>
      </c>
      <c r="E20" s="70">
        <v>6000</v>
      </c>
      <c r="F20" s="27">
        <f t="shared" si="3"/>
        <v>6000</v>
      </c>
      <c r="G20" s="51">
        <v>0</v>
      </c>
      <c r="H20" s="52">
        <v>10000</v>
      </c>
      <c r="I20" s="52">
        <v>0</v>
      </c>
      <c r="J20" s="52">
        <v>0</v>
      </c>
      <c r="K20" s="52">
        <v>0</v>
      </c>
      <c r="L20" s="52">
        <v>0</v>
      </c>
      <c r="M20" s="26">
        <v>0</v>
      </c>
      <c r="N20" s="27">
        <f t="shared" si="4"/>
        <v>10000</v>
      </c>
      <c r="O20" s="27">
        <f t="shared" si="5"/>
        <v>16000</v>
      </c>
    </row>
    <row r="21" spans="1:15">
      <c r="A21" s="1" t="s">
        <v>1</v>
      </c>
      <c r="B21" s="25" t="s">
        <v>38</v>
      </c>
      <c r="C21" s="52">
        <v>0</v>
      </c>
      <c r="D21" s="52">
        <v>0</v>
      </c>
      <c r="E21" s="70">
        <v>0</v>
      </c>
      <c r="F21" s="27">
        <f t="shared" si="3"/>
        <v>0</v>
      </c>
      <c r="G21" s="51">
        <v>2000</v>
      </c>
      <c r="H21" s="52">
        <v>2000</v>
      </c>
      <c r="I21" s="52">
        <v>2000</v>
      </c>
      <c r="J21" s="52">
        <v>2000</v>
      </c>
      <c r="K21" s="52">
        <v>1000</v>
      </c>
      <c r="L21" s="52">
        <v>1000</v>
      </c>
      <c r="M21" s="26">
        <v>1000</v>
      </c>
      <c r="N21" s="27">
        <f t="shared" si="4"/>
        <v>11000</v>
      </c>
      <c r="O21" s="27">
        <f t="shared" si="5"/>
        <v>11000</v>
      </c>
    </row>
    <row r="22" spans="1:15">
      <c r="A22" s="1" t="s">
        <v>1</v>
      </c>
      <c r="B22" s="25" t="s">
        <v>39</v>
      </c>
      <c r="C22" s="52">
        <v>0</v>
      </c>
      <c r="D22" s="52">
        <v>0</v>
      </c>
      <c r="E22" s="70">
        <v>0</v>
      </c>
      <c r="F22" s="27">
        <f t="shared" si="3"/>
        <v>0</v>
      </c>
      <c r="G22" s="51">
        <v>0</v>
      </c>
      <c r="H22" s="52">
        <v>12600</v>
      </c>
      <c r="I22" s="52">
        <v>0</v>
      </c>
      <c r="J22" s="52">
        <v>0</v>
      </c>
      <c r="K22" s="52">
        <v>0</v>
      </c>
      <c r="L22" s="52">
        <v>0</v>
      </c>
      <c r="M22" s="26">
        <v>0</v>
      </c>
      <c r="N22" s="27">
        <f t="shared" si="4"/>
        <v>12600</v>
      </c>
      <c r="O22" s="27">
        <f t="shared" si="5"/>
        <v>12600</v>
      </c>
    </row>
    <row r="23" spans="1:15">
      <c r="A23" s="1" t="s">
        <v>1</v>
      </c>
      <c r="B23" s="25" t="s">
        <v>27</v>
      </c>
      <c r="C23" s="52">
        <v>0</v>
      </c>
      <c r="D23" s="52">
        <v>0</v>
      </c>
      <c r="E23" s="70">
        <v>3012</v>
      </c>
      <c r="F23" s="27">
        <f t="shared" si="3"/>
        <v>3012</v>
      </c>
      <c r="G23" s="51">
        <v>56498</v>
      </c>
      <c r="H23" s="52">
        <v>15090</v>
      </c>
      <c r="I23" s="52">
        <v>17420</v>
      </c>
      <c r="J23" s="52">
        <v>65385</v>
      </c>
      <c r="K23" s="52">
        <v>62651</v>
      </c>
      <c r="L23" s="52">
        <v>49920</v>
      </c>
      <c r="M23" s="26">
        <v>53760</v>
      </c>
      <c r="N23" s="27">
        <f t="shared" si="4"/>
        <v>320724</v>
      </c>
      <c r="O23" s="27">
        <f t="shared" si="5"/>
        <v>323736</v>
      </c>
    </row>
    <row r="24" spans="1:15">
      <c r="A24" s="1" t="s">
        <v>1</v>
      </c>
      <c r="B24" s="25" t="s">
        <v>40</v>
      </c>
      <c r="C24" s="52">
        <v>0</v>
      </c>
      <c r="D24" s="52">
        <v>0</v>
      </c>
      <c r="E24" s="70">
        <v>24405</v>
      </c>
      <c r="F24" s="27">
        <f t="shared" si="3"/>
        <v>24405</v>
      </c>
      <c r="G24" s="51">
        <v>11904</v>
      </c>
      <c r="H24" s="52">
        <v>11403</v>
      </c>
      <c r="I24" s="52">
        <v>27493</v>
      </c>
      <c r="J24" s="52">
        <v>25104</v>
      </c>
      <c r="K24" s="52">
        <v>24463</v>
      </c>
      <c r="L24" s="52">
        <v>9674</v>
      </c>
      <c r="M24" s="26">
        <v>66336</v>
      </c>
      <c r="N24" s="27">
        <f t="shared" si="4"/>
        <v>176377</v>
      </c>
      <c r="O24" s="27">
        <f t="shared" si="5"/>
        <v>200782</v>
      </c>
    </row>
    <row r="25" spans="1:15">
      <c r="A25" s="1" t="s">
        <v>1</v>
      </c>
      <c r="B25" s="25" t="s">
        <v>41</v>
      </c>
      <c r="C25" s="52">
        <v>0</v>
      </c>
      <c r="D25" s="52">
        <v>0</v>
      </c>
      <c r="E25" s="70">
        <v>11389</v>
      </c>
      <c r="F25" s="27">
        <f t="shared" si="3"/>
        <v>11389</v>
      </c>
      <c r="G25" s="51">
        <v>65472</v>
      </c>
      <c r="H25" s="52">
        <v>45612</v>
      </c>
      <c r="I25" s="52">
        <v>11576</v>
      </c>
      <c r="J25" s="52">
        <v>14121</v>
      </c>
      <c r="K25" s="52">
        <v>11512</v>
      </c>
      <c r="L25" s="52">
        <v>33168</v>
      </c>
      <c r="M25" s="26">
        <v>15202</v>
      </c>
      <c r="N25" s="27">
        <f t="shared" si="4"/>
        <v>196663</v>
      </c>
      <c r="O25" s="27">
        <f t="shared" si="5"/>
        <v>208052</v>
      </c>
    </row>
    <row r="26" spans="1:15">
      <c r="A26" s="1" t="s">
        <v>1</v>
      </c>
      <c r="B26" s="25" t="s">
        <v>42</v>
      </c>
      <c r="C26" s="52">
        <v>0</v>
      </c>
      <c r="D26" s="52">
        <v>0</v>
      </c>
      <c r="E26" s="70">
        <v>0</v>
      </c>
      <c r="F26" s="27">
        <f t="shared" si="3"/>
        <v>0</v>
      </c>
      <c r="G26" s="51">
        <v>0</v>
      </c>
      <c r="H26" s="52">
        <v>0</v>
      </c>
      <c r="I26" s="52">
        <v>3375</v>
      </c>
      <c r="J26" s="52">
        <v>0</v>
      </c>
      <c r="K26" s="52">
        <v>0</v>
      </c>
      <c r="L26" s="52">
        <v>0</v>
      </c>
      <c r="M26" s="26">
        <v>0</v>
      </c>
      <c r="N26" s="27">
        <f t="shared" si="4"/>
        <v>3375</v>
      </c>
      <c r="O26" s="27">
        <f t="shared" si="5"/>
        <v>3375</v>
      </c>
    </row>
    <row r="27" spans="1:15">
      <c r="A27" s="1" t="s">
        <v>1</v>
      </c>
      <c r="B27" s="25" t="s">
        <v>43</v>
      </c>
      <c r="C27" s="52">
        <v>0</v>
      </c>
      <c r="D27" s="52">
        <v>0</v>
      </c>
      <c r="E27" s="70">
        <v>0</v>
      </c>
      <c r="F27" s="27">
        <f t="shared" si="3"/>
        <v>0</v>
      </c>
      <c r="G27" s="51">
        <v>0</v>
      </c>
      <c r="H27" s="52">
        <v>0</v>
      </c>
      <c r="I27" s="52">
        <v>3000</v>
      </c>
      <c r="J27" s="52">
        <v>0</v>
      </c>
      <c r="K27" s="52">
        <v>0</v>
      </c>
      <c r="L27" s="52">
        <v>0</v>
      </c>
      <c r="M27" s="26">
        <v>0</v>
      </c>
      <c r="N27" s="27">
        <f t="shared" si="4"/>
        <v>3000</v>
      </c>
      <c r="O27" s="27">
        <f t="shared" si="5"/>
        <v>3000</v>
      </c>
    </row>
    <row r="28" spans="1:15">
      <c r="A28" s="1" t="s">
        <v>1</v>
      </c>
      <c r="B28" s="25" t="s">
        <v>32</v>
      </c>
      <c r="C28" s="52">
        <v>0</v>
      </c>
      <c r="D28" s="52">
        <v>0</v>
      </c>
      <c r="E28" s="70">
        <v>4820</v>
      </c>
      <c r="F28" s="27">
        <f t="shared" si="3"/>
        <v>4820</v>
      </c>
      <c r="G28" s="51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26">
        <v>0</v>
      </c>
      <c r="N28" s="27">
        <f t="shared" si="4"/>
        <v>0</v>
      </c>
      <c r="O28" s="27">
        <f t="shared" si="5"/>
        <v>4820</v>
      </c>
    </row>
    <row r="29" spans="1:15">
      <c r="A29" s="1" t="s">
        <v>1</v>
      </c>
      <c r="B29" s="5" t="s">
        <v>33</v>
      </c>
      <c r="C29" s="54">
        <v>4256</v>
      </c>
      <c r="D29" s="54">
        <v>0</v>
      </c>
      <c r="E29" s="71">
        <v>0</v>
      </c>
      <c r="F29" s="9">
        <f t="shared" si="3"/>
        <v>4256</v>
      </c>
      <c r="G29" s="53">
        <v>8556</v>
      </c>
      <c r="H29" s="54">
        <v>6342</v>
      </c>
      <c r="I29" s="54">
        <v>8308</v>
      </c>
      <c r="J29" s="54">
        <v>9894</v>
      </c>
      <c r="K29" s="54">
        <v>9612</v>
      </c>
      <c r="L29" s="54">
        <v>4352</v>
      </c>
      <c r="M29" s="8">
        <v>5888</v>
      </c>
      <c r="N29" s="9">
        <f t="shared" si="4"/>
        <v>52952</v>
      </c>
      <c r="O29" s="9">
        <f t="shared" si="5"/>
        <v>57208</v>
      </c>
    </row>
    <row r="30" spans="1:15">
      <c r="A30" s="1" t="s">
        <v>1</v>
      </c>
      <c r="B30" s="14" t="s">
        <v>44</v>
      </c>
      <c r="C30" s="56">
        <v>359256</v>
      </c>
      <c r="D30" s="56">
        <v>355000</v>
      </c>
      <c r="E30" s="72">
        <v>219626</v>
      </c>
      <c r="F30" s="18">
        <f t="shared" si="3"/>
        <v>933882</v>
      </c>
      <c r="G30" s="55">
        <v>326430</v>
      </c>
      <c r="H30" s="56">
        <v>280047</v>
      </c>
      <c r="I30" s="56">
        <v>250172</v>
      </c>
      <c r="J30" s="56">
        <v>308504</v>
      </c>
      <c r="K30" s="56">
        <v>286238</v>
      </c>
      <c r="L30" s="56">
        <v>268114</v>
      </c>
      <c r="M30" s="17">
        <v>312186</v>
      </c>
      <c r="N30" s="18">
        <f t="shared" si="4"/>
        <v>2031691</v>
      </c>
      <c r="O30" s="18">
        <f t="shared" si="5"/>
        <v>2965573</v>
      </c>
    </row>
    <row r="31" spans="1:15">
      <c r="A31" s="1" t="s">
        <v>1</v>
      </c>
      <c r="B31" s="5" t="s">
        <v>45</v>
      </c>
      <c r="C31" s="54">
        <v>7337</v>
      </c>
      <c r="D31" s="54">
        <v>16490</v>
      </c>
      <c r="E31" s="71">
        <v>565</v>
      </c>
      <c r="F31" s="9">
        <f t="shared" si="3"/>
        <v>24392</v>
      </c>
      <c r="G31" s="53">
        <v>9202</v>
      </c>
      <c r="H31" s="54">
        <v>2258</v>
      </c>
      <c r="I31" s="54">
        <v>2160</v>
      </c>
      <c r="J31" s="54">
        <v>10258</v>
      </c>
      <c r="K31" s="54">
        <v>4859</v>
      </c>
      <c r="L31" s="54">
        <v>6773</v>
      </c>
      <c r="M31" s="8">
        <v>1227</v>
      </c>
      <c r="N31" s="9">
        <f t="shared" si="4"/>
        <v>36737</v>
      </c>
      <c r="O31" s="9">
        <f t="shared" si="5"/>
        <v>61129</v>
      </c>
    </row>
    <row r="32" spans="1:15">
      <c r="A32" s="1" t="s">
        <v>1</v>
      </c>
      <c r="B32" s="19" t="s">
        <v>46</v>
      </c>
      <c r="C32" s="58">
        <v>7337</v>
      </c>
      <c r="D32" s="58">
        <v>16490</v>
      </c>
      <c r="E32" s="73">
        <v>565</v>
      </c>
      <c r="F32" s="21">
        <f t="shared" si="3"/>
        <v>24392</v>
      </c>
      <c r="G32" s="57">
        <v>9202</v>
      </c>
      <c r="H32" s="58">
        <v>2258</v>
      </c>
      <c r="I32" s="58">
        <v>2160</v>
      </c>
      <c r="J32" s="58">
        <v>10258</v>
      </c>
      <c r="K32" s="58">
        <v>4859</v>
      </c>
      <c r="L32" s="58">
        <v>6773</v>
      </c>
      <c r="M32" s="20">
        <v>1227</v>
      </c>
      <c r="N32" s="21">
        <f t="shared" si="4"/>
        <v>36737</v>
      </c>
      <c r="O32" s="21">
        <f t="shared" si="5"/>
        <v>61129</v>
      </c>
    </row>
    <row r="33" spans="1:15">
      <c r="A33" s="1" t="s">
        <v>1</v>
      </c>
      <c r="B33" s="14" t="s">
        <v>47</v>
      </c>
      <c r="C33" s="56">
        <v>366593</v>
      </c>
      <c r="D33" s="56">
        <v>371490</v>
      </c>
      <c r="E33" s="72">
        <v>220191</v>
      </c>
      <c r="F33" s="18">
        <f t="shared" si="3"/>
        <v>958274</v>
      </c>
      <c r="G33" s="55">
        <v>335632</v>
      </c>
      <c r="H33" s="56">
        <v>282305</v>
      </c>
      <c r="I33" s="56">
        <v>252332</v>
      </c>
      <c r="J33" s="56">
        <v>318762</v>
      </c>
      <c r="K33" s="56">
        <v>291097</v>
      </c>
      <c r="L33" s="56">
        <v>274887</v>
      </c>
      <c r="M33" s="17">
        <v>313413</v>
      </c>
      <c r="N33" s="18">
        <f t="shared" si="4"/>
        <v>2068428</v>
      </c>
      <c r="O33" s="18">
        <f t="shared" si="5"/>
        <v>3026702</v>
      </c>
    </row>
    <row r="34" spans="1:15">
      <c r="A34" s="1" t="s">
        <v>1</v>
      </c>
      <c r="B34" s="22" t="s">
        <v>48</v>
      </c>
      <c r="C34" s="50">
        <v>17340</v>
      </c>
      <c r="D34" s="50">
        <v>18360</v>
      </c>
      <c r="E34" s="69">
        <v>11220</v>
      </c>
      <c r="F34" s="24">
        <f t="shared" si="3"/>
        <v>46920</v>
      </c>
      <c r="G34" s="49">
        <v>17340</v>
      </c>
      <c r="H34" s="50">
        <v>16320</v>
      </c>
      <c r="I34" s="50">
        <v>16320</v>
      </c>
      <c r="J34" s="50">
        <v>17340</v>
      </c>
      <c r="K34" s="50">
        <v>15300</v>
      </c>
      <c r="L34" s="50">
        <v>15300</v>
      </c>
      <c r="M34" s="23">
        <v>15300</v>
      </c>
      <c r="N34" s="24">
        <f t="shared" si="4"/>
        <v>113220</v>
      </c>
      <c r="O34" s="24">
        <f t="shared" si="5"/>
        <v>160140</v>
      </c>
    </row>
    <row r="35" spans="1:15">
      <c r="A35" s="1" t="s">
        <v>1</v>
      </c>
      <c r="B35" s="25" t="s">
        <v>49</v>
      </c>
      <c r="C35" s="52">
        <v>3060</v>
      </c>
      <c r="D35" s="52">
        <v>3240</v>
      </c>
      <c r="E35" s="70">
        <v>0</v>
      </c>
      <c r="F35" s="27">
        <f t="shared" si="3"/>
        <v>6300</v>
      </c>
      <c r="G35" s="51">
        <v>3060</v>
      </c>
      <c r="H35" s="52">
        <v>2880</v>
      </c>
      <c r="I35" s="52">
        <v>2880</v>
      </c>
      <c r="J35" s="52">
        <v>3060</v>
      </c>
      <c r="K35" s="52">
        <v>2700</v>
      </c>
      <c r="L35" s="52">
        <v>2700</v>
      </c>
      <c r="M35" s="26">
        <v>2700</v>
      </c>
      <c r="N35" s="27">
        <f t="shared" si="4"/>
        <v>19980</v>
      </c>
      <c r="O35" s="27">
        <f t="shared" si="5"/>
        <v>26280</v>
      </c>
    </row>
    <row r="36" spans="1:15">
      <c r="A36" s="1" t="s">
        <v>1</v>
      </c>
      <c r="B36" s="25" t="s">
        <v>50</v>
      </c>
      <c r="C36" s="52">
        <v>31110</v>
      </c>
      <c r="D36" s="52">
        <v>32940</v>
      </c>
      <c r="E36" s="70">
        <v>20130</v>
      </c>
      <c r="F36" s="27">
        <f t="shared" si="3"/>
        <v>84180</v>
      </c>
      <c r="G36" s="51">
        <v>31110</v>
      </c>
      <c r="H36" s="52">
        <v>29280</v>
      </c>
      <c r="I36" s="52">
        <v>29280</v>
      </c>
      <c r="J36" s="52">
        <v>31110</v>
      </c>
      <c r="K36" s="52">
        <v>27450</v>
      </c>
      <c r="L36" s="52">
        <v>27450</v>
      </c>
      <c r="M36" s="26">
        <v>27450</v>
      </c>
      <c r="N36" s="27">
        <f t="shared" si="4"/>
        <v>203130</v>
      </c>
      <c r="O36" s="27">
        <f t="shared" si="5"/>
        <v>287310</v>
      </c>
    </row>
    <row r="37" spans="1:15">
      <c r="A37" s="1" t="s">
        <v>1</v>
      </c>
      <c r="B37" s="79" t="s">
        <v>51</v>
      </c>
      <c r="C37" s="81">
        <v>2200</v>
      </c>
      <c r="D37" s="81">
        <v>2229</v>
      </c>
      <c r="E37" s="89">
        <v>1321</v>
      </c>
      <c r="F37" s="83">
        <f t="shared" si="3"/>
        <v>5750</v>
      </c>
      <c r="G37" s="80">
        <v>2014</v>
      </c>
      <c r="H37" s="81">
        <v>1694</v>
      </c>
      <c r="I37" s="81">
        <v>1514</v>
      </c>
      <c r="J37" s="81">
        <v>1913</v>
      </c>
      <c r="K37" s="81">
        <v>1747</v>
      </c>
      <c r="L37" s="81">
        <v>1649</v>
      </c>
      <c r="M37" s="82">
        <v>1880</v>
      </c>
      <c r="N37" s="83">
        <f t="shared" si="4"/>
        <v>12411</v>
      </c>
      <c r="O37" s="83">
        <f t="shared" si="5"/>
        <v>18161</v>
      </c>
    </row>
    <row r="38" spans="1:15">
      <c r="A38" s="1" t="s">
        <v>1</v>
      </c>
      <c r="B38" s="14" t="s">
        <v>52</v>
      </c>
      <c r="C38" s="56">
        <v>53710</v>
      </c>
      <c r="D38" s="56">
        <v>56769</v>
      </c>
      <c r="E38" s="72">
        <v>32671</v>
      </c>
      <c r="F38" s="18">
        <f t="shared" si="3"/>
        <v>143150</v>
      </c>
      <c r="G38" s="55">
        <v>53524</v>
      </c>
      <c r="H38" s="56">
        <v>50174</v>
      </c>
      <c r="I38" s="56">
        <v>49994</v>
      </c>
      <c r="J38" s="56">
        <v>53423</v>
      </c>
      <c r="K38" s="56">
        <v>47197</v>
      </c>
      <c r="L38" s="56">
        <v>47099</v>
      </c>
      <c r="M38" s="17">
        <v>47330</v>
      </c>
      <c r="N38" s="18">
        <f t="shared" si="4"/>
        <v>348741</v>
      </c>
      <c r="O38" s="18">
        <f t="shared" si="5"/>
        <v>491891</v>
      </c>
    </row>
    <row r="39" spans="1:15">
      <c r="A39" s="1" t="s">
        <v>1</v>
      </c>
      <c r="B39" s="84" t="s">
        <v>53</v>
      </c>
      <c r="C39" s="86">
        <v>8830</v>
      </c>
      <c r="D39" s="86">
        <v>8270</v>
      </c>
      <c r="E39" s="90">
        <v>4300</v>
      </c>
      <c r="F39" s="88">
        <f t="shared" si="3"/>
        <v>21400</v>
      </c>
      <c r="G39" s="85">
        <v>4140</v>
      </c>
      <c r="H39" s="86">
        <v>2600</v>
      </c>
      <c r="I39" s="86">
        <v>4770</v>
      </c>
      <c r="J39" s="86">
        <v>6730</v>
      </c>
      <c r="K39" s="86">
        <v>2930</v>
      </c>
      <c r="L39" s="86">
        <v>5520</v>
      </c>
      <c r="M39" s="87">
        <v>5470</v>
      </c>
      <c r="N39" s="88">
        <f t="shared" si="4"/>
        <v>32160</v>
      </c>
      <c r="O39" s="88">
        <f t="shared" si="5"/>
        <v>53560</v>
      </c>
    </row>
    <row r="40" spans="1:15">
      <c r="A40" s="1" t="s">
        <v>1</v>
      </c>
      <c r="B40" s="5" t="s">
        <v>54</v>
      </c>
      <c r="C40" s="54">
        <v>14100</v>
      </c>
      <c r="D40" s="54">
        <v>15500</v>
      </c>
      <c r="E40" s="71">
        <v>5500</v>
      </c>
      <c r="F40" s="9">
        <f t="shared" si="3"/>
        <v>35100</v>
      </c>
      <c r="G40" s="53">
        <v>7700</v>
      </c>
      <c r="H40" s="54">
        <v>9200</v>
      </c>
      <c r="I40" s="54">
        <v>12700</v>
      </c>
      <c r="J40" s="54">
        <v>14400</v>
      </c>
      <c r="K40" s="54">
        <v>9200</v>
      </c>
      <c r="L40" s="54">
        <v>10700</v>
      </c>
      <c r="M40" s="8">
        <v>12800</v>
      </c>
      <c r="N40" s="9">
        <f t="shared" si="4"/>
        <v>76700</v>
      </c>
      <c r="O40" s="9">
        <f t="shared" si="5"/>
        <v>111800</v>
      </c>
    </row>
    <row r="41" spans="1:15">
      <c r="A41" s="1" t="s">
        <v>1</v>
      </c>
      <c r="B41" s="14" t="s">
        <v>55</v>
      </c>
      <c r="C41" s="56">
        <v>76640</v>
      </c>
      <c r="D41" s="56">
        <v>80539</v>
      </c>
      <c r="E41" s="72">
        <v>42471</v>
      </c>
      <c r="F41" s="18">
        <f t="shared" si="3"/>
        <v>199650</v>
      </c>
      <c r="G41" s="55">
        <v>65364</v>
      </c>
      <c r="H41" s="56">
        <v>61974</v>
      </c>
      <c r="I41" s="56">
        <v>67464</v>
      </c>
      <c r="J41" s="56">
        <v>74553</v>
      </c>
      <c r="K41" s="56">
        <v>59327</v>
      </c>
      <c r="L41" s="56">
        <v>63319</v>
      </c>
      <c r="M41" s="17">
        <v>65600</v>
      </c>
      <c r="N41" s="18">
        <f t="shared" si="4"/>
        <v>457601</v>
      </c>
      <c r="O41" s="18">
        <f t="shared" si="5"/>
        <v>657251</v>
      </c>
    </row>
    <row r="42" spans="1:15">
      <c r="A42" s="1" t="s">
        <v>1</v>
      </c>
      <c r="B42" s="14" t="s">
        <v>56</v>
      </c>
      <c r="C42" s="56">
        <v>305546</v>
      </c>
      <c r="D42" s="56">
        <v>298231</v>
      </c>
      <c r="E42" s="72">
        <v>186955</v>
      </c>
      <c r="F42" s="18">
        <f t="shared" si="3"/>
        <v>790732</v>
      </c>
      <c r="G42" s="55">
        <v>272906</v>
      </c>
      <c r="H42" s="56">
        <v>229873</v>
      </c>
      <c r="I42" s="56">
        <v>200178</v>
      </c>
      <c r="J42" s="56">
        <v>255081</v>
      </c>
      <c r="K42" s="56">
        <v>239041</v>
      </c>
      <c r="L42" s="56">
        <v>221015</v>
      </c>
      <c r="M42" s="17">
        <v>264856</v>
      </c>
      <c r="N42" s="18">
        <f t="shared" si="4"/>
        <v>1682950</v>
      </c>
      <c r="O42" s="18">
        <f t="shared" si="5"/>
        <v>2473682</v>
      </c>
    </row>
    <row r="43" spans="1:15">
      <c r="A43" s="1" t="s">
        <v>1</v>
      </c>
      <c r="B43" s="14" t="s">
        <v>57</v>
      </c>
      <c r="C43" s="56">
        <v>289953</v>
      </c>
      <c r="D43" s="56">
        <v>290951</v>
      </c>
      <c r="E43" s="72">
        <v>177720</v>
      </c>
      <c r="F43" s="18">
        <f t="shared" si="3"/>
        <v>758624</v>
      </c>
      <c r="G43" s="55">
        <v>270268</v>
      </c>
      <c r="H43" s="56">
        <v>220331</v>
      </c>
      <c r="I43" s="56">
        <v>184868</v>
      </c>
      <c r="J43" s="56">
        <v>244209</v>
      </c>
      <c r="K43" s="56">
        <v>231770</v>
      </c>
      <c r="L43" s="56">
        <v>211568</v>
      </c>
      <c r="M43" s="17">
        <v>247813</v>
      </c>
      <c r="N43" s="18">
        <f t="shared" si="4"/>
        <v>1610827</v>
      </c>
      <c r="O43" s="18">
        <f t="shared" si="5"/>
        <v>2369451</v>
      </c>
    </row>
    <row r="44" spans="1:15">
      <c r="A44" s="1" t="s">
        <v>1</v>
      </c>
      <c r="B44" s="14" t="s">
        <v>58</v>
      </c>
      <c r="C44" s="56">
        <v>289953</v>
      </c>
      <c r="D44" s="56">
        <v>290951</v>
      </c>
      <c r="E44" s="72">
        <v>177720</v>
      </c>
      <c r="F44" s="18">
        <f t="shared" si="3"/>
        <v>758624</v>
      </c>
      <c r="G44" s="55">
        <v>270268</v>
      </c>
      <c r="H44" s="56">
        <v>220331</v>
      </c>
      <c r="I44" s="56">
        <v>184868</v>
      </c>
      <c r="J44" s="56">
        <v>244209</v>
      </c>
      <c r="K44" s="56">
        <v>231770</v>
      </c>
      <c r="L44" s="56">
        <v>211568</v>
      </c>
      <c r="M44" s="17">
        <v>247813</v>
      </c>
      <c r="N44" s="18">
        <f t="shared" si="4"/>
        <v>1610827</v>
      </c>
      <c r="O44" s="18">
        <f t="shared" si="5"/>
        <v>2369451</v>
      </c>
    </row>
    <row r="45" spans="1:15">
      <c r="A45" s="1" t="s">
        <v>1</v>
      </c>
      <c r="B45" s="14" t="s">
        <v>59</v>
      </c>
      <c r="C45" s="56">
        <v>0</v>
      </c>
      <c r="D45" s="56">
        <v>0</v>
      </c>
      <c r="E45" s="72">
        <v>0</v>
      </c>
      <c r="F45" s="18"/>
      <c r="G45" s="55">
        <v>2</v>
      </c>
      <c r="H45" s="56">
        <v>2</v>
      </c>
      <c r="I45" s="56">
        <v>0</v>
      </c>
      <c r="J45" s="56">
        <v>0</v>
      </c>
      <c r="K45" s="56">
        <v>2</v>
      </c>
      <c r="L45" s="56">
        <v>0</v>
      </c>
      <c r="M45" s="17">
        <v>1</v>
      </c>
      <c r="N45" s="18"/>
      <c r="O45" s="18"/>
    </row>
    <row r="46" spans="1:15" ht="19.5" thickBot="1">
      <c r="A46" s="1" t="s">
        <v>1</v>
      </c>
      <c r="B46" s="10" t="s">
        <v>60</v>
      </c>
      <c r="C46" s="60" t="s">
        <v>61</v>
      </c>
      <c r="D46" s="60" t="s">
        <v>61</v>
      </c>
      <c r="E46" s="74" t="s">
        <v>61</v>
      </c>
      <c r="F46" s="12"/>
      <c r="G46" s="59" t="s">
        <v>61</v>
      </c>
      <c r="H46" s="60" t="s">
        <v>61</v>
      </c>
      <c r="I46" s="60" t="s">
        <v>61</v>
      </c>
      <c r="J46" s="60" t="s">
        <v>61</v>
      </c>
      <c r="K46" s="60" t="s">
        <v>61</v>
      </c>
      <c r="L46" s="60" t="s">
        <v>61</v>
      </c>
      <c r="M46" s="11" t="s">
        <v>61</v>
      </c>
      <c r="N46" s="12"/>
      <c r="O46" s="12"/>
    </row>
  </sheetData>
  <phoneticPr fontId="4"/>
  <pageMargins left="0.31496062992125984" right="0.31496062992125984" top="0.35433070866141736" bottom="0.35433070866141736" header="0.11811023622047245" footer="0.11811023622047245"/>
  <pageSetup paperSize="12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2023年5月度給与 (2)</vt:lpstr>
      <vt:lpstr>'2023年5月度給与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2023-06-09T00:38:22Z</cp:lastPrinted>
  <dcterms:created xsi:type="dcterms:W3CDTF">2023-06-08T04:20:47Z</dcterms:created>
  <dcterms:modified xsi:type="dcterms:W3CDTF">2023-06-10T00:32:31Z</dcterms:modified>
</cp:coreProperties>
</file>