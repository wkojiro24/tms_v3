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5\"/>
    </mc:Choice>
  </mc:AlternateContent>
  <xr:revisionPtr revIDLastSave="0" documentId="13_ncr:1_{EEA7D312-B6D6-4554-ADC1-78F7F35750B3}" xr6:coauthVersionLast="47" xr6:coauthVersionMax="47" xr10:uidLastSave="{00000000-0000-0000-0000-000000000000}"/>
  <bookViews>
    <workbookView xWindow="-120" yWindow="-120" windowWidth="20730" windowHeight="11160" xr2:uid="{51DF2DE1-C21A-4531-9B34-4BED6032F53F}"/>
  </bookViews>
  <sheets>
    <sheet name="2023年 5月度給与 (2)" sheetId="3" r:id="rId1"/>
  </sheets>
  <definedNames>
    <definedName name="_xlnm.Print_Area" localSheetId="0">'2023年 5月度給与 (2)'!$A$1:$M$42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7" i="3" l="1"/>
  <c r="M21" i="3"/>
  <c r="M25" i="3"/>
  <c r="M29" i="3"/>
  <c r="M33" i="3"/>
  <c r="M37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16" i="3"/>
  <c r="L7" i="3"/>
  <c r="L8" i="3"/>
  <c r="L9" i="3"/>
  <c r="M9" i="3" s="1"/>
  <c r="L10" i="3"/>
  <c r="L11" i="3"/>
  <c r="L12" i="3"/>
  <c r="L13" i="3"/>
  <c r="M13" i="3" s="1"/>
  <c r="L14" i="3"/>
  <c r="L15" i="3"/>
  <c r="M15" i="3" s="1"/>
  <c r="L6" i="3"/>
  <c r="L5" i="3"/>
  <c r="M5" i="3" s="1"/>
  <c r="E17" i="3"/>
  <c r="E18" i="3"/>
  <c r="M18" i="3" s="1"/>
  <c r="E19" i="3"/>
  <c r="M19" i="3" s="1"/>
  <c r="E20" i="3"/>
  <c r="M20" i="3" s="1"/>
  <c r="E21" i="3"/>
  <c r="E22" i="3"/>
  <c r="M22" i="3" s="1"/>
  <c r="E23" i="3"/>
  <c r="M23" i="3" s="1"/>
  <c r="E24" i="3"/>
  <c r="M24" i="3" s="1"/>
  <c r="E25" i="3"/>
  <c r="E26" i="3"/>
  <c r="M26" i="3" s="1"/>
  <c r="E27" i="3"/>
  <c r="M27" i="3" s="1"/>
  <c r="E28" i="3"/>
  <c r="M28" i="3" s="1"/>
  <c r="E29" i="3"/>
  <c r="E30" i="3"/>
  <c r="M30" i="3" s="1"/>
  <c r="E31" i="3"/>
  <c r="M31" i="3" s="1"/>
  <c r="E32" i="3"/>
  <c r="M32" i="3" s="1"/>
  <c r="E33" i="3"/>
  <c r="E34" i="3"/>
  <c r="M34" i="3" s="1"/>
  <c r="E35" i="3"/>
  <c r="M35" i="3" s="1"/>
  <c r="E36" i="3"/>
  <c r="M36" i="3" s="1"/>
  <c r="E37" i="3"/>
  <c r="E38" i="3"/>
  <c r="M38" i="3" s="1"/>
  <c r="E39" i="3"/>
  <c r="M39" i="3" s="1"/>
  <c r="E40" i="3"/>
  <c r="M40" i="3" s="1"/>
  <c r="E16" i="3"/>
  <c r="M16" i="3" s="1"/>
  <c r="E6" i="3"/>
  <c r="M6" i="3" s="1"/>
  <c r="E7" i="3"/>
  <c r="M7" i="3" s="1"/>
  <c r="E8" i="3"/>
  <c r="M8" i="3" s="1"/>
  <c r="E9" i="3"/>
  <c r="E10" i="3"/>
  <c r="M10" i="3" s="1"/>
  <c r="E11" i="3"/>
  <c r="M11" i="3" s="1"/>
  <c r="E12" i="3"/>
  <c r="M12" i="3" s="1"/>
  <c r="E13" i="3"/>
  <c r="E14" i="3"/>
  <c r="M14" i="3" s="1"/>
  <c r="E5" i="3"/>
</calcChain>
</file>

<file path=xl/sharedStrings.xml><?xml version="1.0" encoding="utf-8"?>
<sst xmlns="http://schemas.openxmlformats.org/spreadsheetml/2006/main" count="108" uniqueCount="61">
  <si>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</si>
  <si>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</si>
  <si>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</si>
  <si>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</si>
  <si>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</si>
  <si>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</si>
  <si>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</si>
  <si>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</si>
  <si>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1108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</si>
  <si>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</si>
  <si>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</si>
  <si>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</si>
  <si>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</si>
  <si>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</si>
  <si>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</si>
  <si>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</si>
  <si>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</si>
  <si>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島田　亮一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</si>
  <si>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</si>
  <si>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</si>
  <si>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</si>
  <si>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</si>
  <si>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</si>
  <si>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</si>
  <si>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</si>
  <si>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</si>
  <si>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</si>
  <si>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</si>
  <si>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</si>
  <si>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</si>
  <si>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</si>
  <si>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</si>
  <si>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</si>
  <si>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</si>
  <si>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</si>
  <si>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</si>
  <si>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</si>
  <si>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</si>
  <si>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</si>
  <si>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</si>
  <si>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</si>
  <si>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</si>
  <si>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</si>
  <si>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</si>
  <si>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</si>
  <si>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</si>
  <si>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</si>
  <si>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</si>
  <si>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</si>
  <si>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</si>
  <si>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</si>
  <si>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</si>
  <si>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</si>
  <si>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</si>
  <si>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</si>
  <si>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</si>
  <si>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</si>
  <si>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2023年5月度給与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</si>
  <si>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</si>
  <si>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</si>
  <si>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6名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</si>
</sst>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27" xfId="1" applyNumberFormat="1" applyFont="1" applyBorder="1" applyAlignment="1">
      <alignment horizontal="left"/>
    </xf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2" fontId="2" fillId="0" borderId="27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176" fontId="2" fillId="0" borderId="25" xfId="1" applyNumberFormat="1" applyFont="1" applyBorder="1"/>
    <xf numFmtId="176" fontId="2" fillId="0" borderId="26" xfId="1" applyNumberFormat="1" applyFont="1" applyBorder="1"/>
    <xf numFmtId="176" fontId="2" fillId="0" borderId="12" xfId="1" applyNumberFormat="1" applyFont="1" applyBorder="1"/>
    <xf numFmtId="176" fontId="2" fillId="0" borderId="11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left"/>
    </xf>
    <xf numFmtId="176" fontId="2" fillId="0" borderId="33" xfId="1" applyNumberFormat="1" applyFont="1" applyBorder="1"/>
    <xf numFmtId="176" fontId="2" fillId="0" borderId="34" xfId="1" applyNumberFormat="1" applyFont="1" applyBorder="1"/>
    <xf numFmtId="176" fontId="2" fillId="0" borderId="35" xfId="1" applyNumberFormat="1" applyFont="1" applyBorder="1"/>
    <xf numFmtId="176" fontId="2" fillId="0" borderId="32" xfId="1" applyNumberFormat="1" applyFont="1" applyBorder="1"/>
    <xf numFmtId="49" fontId="2" fillId="0" borderId="36" xfId="1" applyNumberFormat="1" applyFont="1" applyBorder="1" applyAlignment="1">
      <alignment horizontal="left"/>
    </xf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36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6" xfId="1" applyNumberFormat="1" applyFont="1" applyBorder="1"/>
    <xf numFmtId="2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right"/>
    </xf>
    <xf numFmtId="49" fontId="2" fillId="0" borderId="31" xfId="1" applyNumberFormat="1" applyFont="1" applyBorder="1" applyAlignment="1">
      <alignment horizontal="left"/>
    </xf>
    <xf numFmtId="49" fontId="2" fillId="0" borderId="1" xfId="1" applyNumberFormat="1" applyFont="1" applyBorder="1" applyAlignment="1">
      <alignment horizontal="right"/>
    </xf>
    <xf numFmtId="2" fontId="2" fillId="0" borderId="40" xfId="1" applyNumberFormat="1" applyFont="1" applyBorder="1"/>
    <xf numFmtId="176" fontId="2" fillId="0" borderId="40" xfId="1" applyNumberFormat="1" applyFont="1" applyBorder="1"/>
    <xf numFmtId="176" fontId="2" fillId="0" borderId="41" xfId="1" applyNumberFormat="1" applyFont="1" applyBorder="1"/>
    <xf numFmtId="2" fontId="2" fillId="0" borderId="42" xfId="1" applyNumberFormat="1" applyFont="1" applyBorder="1"/>
    <xf numFmtId="3" fontId="2" fillId="0" borderId="43" xfId="1" applyNumberFormat="1" applyFont="1" applyBorder="1"/>
    <xf numFmtId="3" fontId="2" fillId="0" borderId="40" xfId="1" applyNumberFormat="1" applyFont="1" applyBorder="1"/>
    <xf numFmtId="3" fontId="2" fillId="0" borderId="44" xfId="1" applyNumberFormat="1" applyFont="1" applyBorder="1"/>
    <xf numFmtId="3" fontId="2" fillId="0" borderId="42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49" fontId="2" fillId="0" borderId="47" xfId="1" applyNumberFormat="1" applyFont="1" applyBorder="1"/>
    <xf numFmtId="0" fontId="2" fillId="0" borderId="4" xfId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2" xfId="1" applyNumberFormat="1" applyFont="1" applyBorder="1"/>
    <xf numFmtId="3" fontId="2" fillId="0" borderId="41" xfId="1" applyNumberFormat="1" applyFont="1" applyBorder="1"/>
  </cellXfs>
  <cellStyles count="2">
    <cellStyle name="標準" xfId="0" builtinId="0"/>
    <cellStyle name="標準 2" xfId="1" xr:uid="{FFA5DC4D-C2FC-44B2-BBA6-2A9B893988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8D83-AC63-46BA-A988-18A84AF299CB}">
  <sheetPr>
    <pageSetUpPr fitToPage="1"/>
  </sheetPr>
  <dimension ref="A1:M42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3" width="11.75" style="2" customWidth="1"/>
    <col min="14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57</v>
      </c>
    </row>
    <row r="3" spans="1:13">
      <c r="B3" s="11"/>
      <c r="C3" s="25" t="s">
        <v>3</v>
      </c>
      <c r="D3" s="53" t="s">
        <v>9</v>
      </c>
      <c r="E3" s="68" t="s">
        <v>58</v>
      </c>
      <c r="F3" s="24" t="s">
        <v>2</v>
      </c>
      <c r="G3" s="25" t="s">
        <v>4</v>
      </c>
      <c r="H3" s="25" t="s">
        <v>5</v>
      </c>
      <c r="I3" s="25" t="s">
        <v>6</v>
      </c>
      <c r="J3" s="25" t="s">
        <v>7</v>
      </c>
      <c r="K3" s="25" t="s">
        <v>8</v>
      </c>
      <c r="L3" s="70" t="s">
        <v>58</v>
      </c>
      <c r="M3" s="83"/>
    </row>
    <row r="4" spans="1:13" ht="19.5" thickBot="1">
      <c r="B4" s="4" t="s">
        <v>10</v>
      </c>
      <c r="C4" s="27" t="s">
        <v>12</v>
      </c>
      <c r="D4" s="3" t="s">
        <v>18</v>
      </c>
      <c r="E4" s="69" t="s">
        <v>59</v>
      </c>
      <c r="F4" s="26" t="s">
        <v>11</v>
      </c>
      <c r="G4" s="27" t="s">
        <v>13</v>
      </c>
      <c r="H4" s="27" t="s">
        <v>14</v>
      </c>
      <c r="I4" s="27" t="s">
        <v>15</v>
      </c>
      <c r="J4" s="27" t="s">
        <v>16</v>
      </c>
      <c r="K4" s="27" t="s">
        <v>17</v>
      </c>
      <c r="L4" s="71" t="s">
        <v>60</v>
      </c>
      <c r="M4" s="4" t="s">
        <v>19</v>
      </c>
    </row>
    <row r="5" spans="1:13">
      <c r="A5" s="1" t="s">
        <v>1</v>
      </c>
      <c r="B5" s="40" t="s">
        <v>20</v>
      </c>
      <c r="C5" s="42">
        <v>20</v>
      </c>
      <c r="D5" s="43">
        <v>18</v>
      </c>
      <c r="E5" s="44">
        <f>SUM(C5:D5)</f>
        <v>38</v>
      </c>
      <c r="F5" s="41">
        <v>18</v>
      </c>
      <c r="G5" s="42">
        <v>19</v>
      </c>
      <c r="H5" s="42">
        <v>19</v>
      </c>
      <c r="I5" s="42">
        <v>19</v>
      </c>
      <c r="J5" s="42">
        <v>20</v>
      </c>
      <c r="K5" s="42">
        <v>19</v>
      </c>
      <c r="L5" s="43">
        <f>SUM(F5:K5)</f>
        <v>114</v>
      </c>
      <c r="M5" s="44">
        <f>E5+L5</f>
        <v>152</v>
      </c>
    </row>
    <row r="6" spans="1:13">
      <c r="A6" s="1" t="s">
        <v>1</v>
      </c>
      <c r="B6" s="21" t="s">
        <v>21</v>
      </c>
      <c r="C6" s="46">
        <v>0</v>
      </c>
      <c r="D6" s="47">
        <v>0</v>
      </c>
      <c r="E6" s="48">
        <f t="shared" ref="E6:E14" si="0">SUM(C6:D6)</f>
        <v>0</v>
      </c>
      <c r="F6" s="45">
        <v>2</v>
      </c>
      <c r="G6" s="46">
        <v>3</v>
      </c>
      <c r="H6" s="46">
        <v>2</v>
      </c>
      <c r="I6" s="46">
        <v>2</v>
      </c>
      <c r="J6" s="46">
        <v>2</v>
      </c>
      <c r="K6" s="46">
        <v>2</v>
      </c>
      <c r="L6" s="72">
        <f>SUM(F6:K6)</f>
        <v>13</v>
      </c>
      <c r="M6" s="48">
        <f t="shared" ref="M6:M40" si="1">E6+L6</f>
        <v>13</v>
      </c>
    </row>
    <row r="7" spans="1:13">
      <c r="A7" s="1" t="s">
        <v>1</v>
      </c>
      <c r="B7" s="21" t="s">
        <v>22</v>
      </c>
      <c r="C7" s="46">
        <v>0</v>
      </c>
      <c r="D7" s="47">
        <v>0</v>
      </c>
      <c r="E7" s="48">
        <f t="shared" si="0"/>
        <v>0</v>
      </c>
      <c r="F7" s="45">
        <v>2</v>
      </c>
      <c r="G7" s="46">
        <v>0</v>
      </c>
      <c r="H7" s="46">
        <v>2</v>
      </c>
      <c r="I7" s="46">
        <v>0</v>
      </c>
      <c r="J7" s="46">
        <v>2</v>
      </c>
      <c r="K7" s="46">
        <v>1</v>
      </c>
      <c r="L7" s="72">
        <f t="shared" ref="L7:L15" si="2">SUM(F7:K7)</f>
        <v>7</v>
      </c>
      <c r="M7" s="48">
        <f t="shared" si="1"/>
        <v>7</v>
      </c>
    </row>
    <row r="8" spans="1:13">
      <c r="A8" s="1" t="s">
        <v>1</v>
      </c>
      <c r="B8" s="21" t="s">
        <v>23</v>
      </c>
      <c r="C8" s="46">
        <v>0</v>
      </c>
      <c r="D8" s="47">
        <v>1</v>
      </c>
      <c r="E8" s="48">
        <f t="shared" si="0"/>
        <v>1</v>
      </c>
      <c r="F8" s="45">
        <v>2</v>
      </c>
      <c r="G8" s="46">
        <v>1</v>
      </c>
      <c r="H8" s="46">
        <v>1</v>
      </c>
      <c r="I8" s="46">
        <v>1</v>
      </c>
      <c r="J8" s="46">
        <v>0</v>
      </c>
      <c r="K8" s="46">
        <v>1</v>
      </c>
      <c r="L8" s="72">
        <f t="shared" si="2"/>
        <v>6</v>
      </c>
      <c r="M8" s="48">
        <f t="shared" si="1"/>
        <v>7</v>
      </c>
    </row>
    <row r="9" spans="1:13">
      <c r="A9" s="1" t="s">
        <v>1</v>
      </c>
      <c r="B9" s="21" t="s">
        <v>24</v>
      </c>
      <c r="C9" s="50">
        <v>0</v>
      </c>
      <c r="D9" s="51">
        <v>3.625</v>
      </c>
      <c r="E9" s="52">
        <f t="shared" si="0"/>
        <v>3.625</v>
      </c>
      <c r="F9" s="49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73">
        <f t="shared" si="2"/>
        <v>0</v>
      </c>
      <c r="M9" s="52">
        <f t="shared" si="1"/>
        <v>3.625</v>
      </c>
    </row>
    <row r="10" spans="1:13">
      <c r="A10" s="1" t="s">
        <v>1</v>
      </c>
      <c r="B10" s="21" t="s">
        <v>25</v>
      </c>
      <c r="C10" s="50">
        <v>0</v>
      </c>
      <c r="D10" s="51">
        <v>0</v>
      </c>
      <c r="E10" s="52">
        <f t="shared" si="0"/>
        <v>0</v>
      </c>
      <c r="F10" s="49">
        <v>0.66666666666666663</v>
      </c>
      <c r="G10" s="50">
        <v>1.125</v>
      </c>
      <c r="H10" s="50">
        <v>0.91666666666666663</v>
      </c>
      <c r="I10" s="50">
        <v>0.5</v>
      </c>
      <c r="J10" s="50">
        <v>0.91666666666666663</v>
      </c>
      <c r="K10" s="50">
        <v>0.5</v>
      </c>
      <c r="L10" s="73">
        <f t="shared" si="2"/>
        <v>4.625</v>
      </c>
      <c r="M10" s="52">
        <f t="shared" si="1"/>
        <v>4.625</v>
      </c>
    </row>
    <row r="11" spans="1:13">
      <c r="A11" s="1" t="s">
        <v>1</v>
      </c>
      <c r="B11" s="21" t="s">
        <v>26</v>
      </c>
      <c r="C11" s="50">
        <v>0</v>
      </c>
      <c r="D11" s="51">
        <v>0</v>
      </c>
      <c r="E11" s="52">
        <f t="shared" si="0"/>
        <v>0</v>
      </c>
      <c r="F11" s="49">
        <v>0.75</v>
      </c>
      <c r="G11" s="50">
        <v>1.2916666666666667</v>
      </c>
      <c r="H11" s="50">
        <v>0.91666666666666663</v>
      </c>
      <c r="I11" s="50">
        <v>0.75</v>
      </c>
      <c r="J11" s="50">
        <v>0.5</v>
      </c>
      <c r="K11" s="50">
        <v>0.91666666666666663</v>
      </c>
      <c r="L11" s="73">
        <f t="shared" si="2"/>
        <v>5.1250000000000009</v>
      </c>
      <c r="M11" s="52">
        <f t="shared" si="1"/>
        <v>5.1250000000000009</v>
      </c>
    </row>
    <row r="12" spans="1:13">
      <c r="A12" s="1" t="s">
        <v>1</v>
      </c>
      <c r="B12" s="21" t="s">
        <v>27</v>
      </c>
      <c r="C12" s="50">
        <v>0</v>
      </c>
      <c r="D12" s="51">
        <v>0</v>
      </c>
      <c r="E12" s="52">
        <f t="shared" si="0"/>
        <v>0</v>
      </c>
      <c r="F12" s="49">
        <v>0.875</v>
      </c>
      <c r="G12" s="50">
        <v>0</v>
      </c>
      <c r="H12" s="50">
        <v>0.58333333333333337</v>
      </c>
      <c r="I12" s="50">
        <v>0</v>
      </c>
      <c r="J12" s="50">
        <v>0.75</v>
      </c>
      <c r="K12" s="50">
        <v>0.33333333333333331</v>
      </c>
      <c r="L12" s="73">
        <f t="shared" si="2"/>
        <v>2.541666666666667</v>
      </c>
      <c r="M12" s="52">
        <f t="shared" si="1"/>
        <v>2.541666666666667</v>
      </c>
    </row>
    <row r="13" spans="1:13">
      <c r="A13" s="1" t="s">
        <v>1</v>
      </c>
      <c r="B13" s="21" t="s">
        <v>28</v>
      </c>
      <c r="C13" s="50">
        <v>0</v>
      </c>
      <c r="D13" s="51">
        <v>0.20833333333333334</v>
      </c>
      <c r="E13" s="52">
        <f t="shared" si="0"/>
        <v>0.20833333333333334</v>
      </c>
      <c r="F13" s="49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73">
        <f t="shared" si="2"/>
        <v>0</v>
      </c>
      <c r="M13" s="52">
        <f t="shared" si="1"/>
        <v>0.20833333333333334</v>
      </c>
    </row>
    <row r="14" spans="1:13">
      <c r="A14" s="1" t="s">
        <v>1</v>
      </c>
      <c r="B14" s="54" t="s">
        <v>29</v>
      </c>
      <c r="C14" s="56">
        <v>4.1666666666666664E-2</v>
      </c>
      <c r="D14" s="57">
        <v>0</v>
      </c>
      <c r="E14" s="58">
        <f t="shared" si="0"/>
        <v>4.1666666666666664E-2</v>
      </c>
      <c r="F14" s="55">
        <v>0.16666666666666666</v>
      </c>
      <c r="G14" s="56">
        <v>0.20833333333333334</v>
      </c>
      <c r="H14" s="56">
        <v>0.25</v>
      </c>
      <c r="I14" s="56">
        <v>4.1666666666666664E-2</v>
      </c>
      <c r="J14" s="56">
        <v>0.20833333333333334</v>
      </c>
      <c r="K14" s="56">
        <v>0.29166666666666669</v>
      </c>
      <c r="L14" s="74">
        <f t="shared" si="2"/>
        <v>1.1666666666666667</v>
      </c>
      <c r="M14" s="58">
        <f t="shared" si="1"/>
        <v>1.2083333333333335</v>
      </c>
    </row>
    <row r="15" spans="1:13">
      <c r="A15" s="1" t="s">
        <v>1</v>
      </c>
      <c r="B15" s="12" t="s">
        <v>30</v>
      </c>
      <c r="C15" s="65">
        <v>37</v>
      </c>
      <c r="D15" s="66">
        <v>33</v>
      </c>
      <c r="E15" s="67"/>
      <c r="F15" s="64">
        <v>18</v>
      </c>
      <c r="G15" s="65">
        <v>26</v>
      </c>
      <c r="H15" s="65">
        <v>32</v>
      </c>
      <c r="I15" s="65">
        <v>28</v>
      </c>
      <c r="J15" s="65">
        <v>20</v>
      </c>
      <c r="K15" s="65">
        <v>14</v>
      </c>
      <c r="L15" s="75">
        <f t="shared" si="2"/>
        <v>138</v>
      </c>
      <c r="M15" s="67">
        <f t="shared" si="1"/>
        <v>138</v>
      </c>
    </row>
    <row r="16" spans="1:13">
      <c r="A16" s="1" t="s">
        <v>1</v>
      </c>
      <c r="B16" s="59" t="s">
        <v>31</v>
      </c>
      <c r="C16" s="61">
        <v>365000</v>
      </c>
      <c r="D16" s="62">
        <v>0</v>
      </c>
      <c r="E16" s="63">
        <f>SUM(C16:D16)</f>
        <v>365000</v>
      </c>
      <c r="F16" s="60">
        <v>187000</v>
      </c>
      <c r="G16" s="61">
        <v>187000</v>
      </c>
      <c r="H16" s="61">
        <v>182000</v>
      </c>
      <c r="I16" s="61">
        <v>187000</v>
      </c>
      <c r="J16" s="61">
        <v>175000</v>
      </c>
      <c r="K16" s="61">
        <v>187000</v>
      </c>
      <c r="L16" s="76">
        <f>SUM(F16:K16)</f>
        <v>1105000</v>
      </c>
      <c r="M16" s="63">
        <f t="shared" si="1"/>
        <v>1470000</v>
      </c>
    </row>
    <row r="17" spans="1:13">
      <c r="A17" s="1" t="s">
        <v>1</v>
      </c>
      <c r="B17" s="21" t="s">
        <v>32</v>
      </c>
      <c r="C17" s="37">
        <v>0</v>
      </c>
      <c r="D17" s="22">
        <v>0</v>
      </c>
      <c r="E17" s="23">
        <f t="shared" ref="E17:E40" si="3">SUM(C17:D17)</f>
        <v>0</v>
      </c>
      <c r="F17" s="36">
        <v>6000</v>
      </c>
      <c r="G17" s="37">
        <v>0</v>
      </c>
      <c r="H17" s="37">
        <v>6000</v>
      </c>
      <c r="I17" s="37">
        <v>0</v>
      </c>
      <c r="J17" s="37">
        <v>0</v>
      </c>
      <c r="K17" s="37">
        <v>0</v>
      </c>
      <c r="L17" s="77">
        <f t="shared" ref="L17:L40" si="4">SUM(F17:K17)</f>
        <v>12000</v>
      </c>
      <c r="M17" s="23">
        <f t="shared" si="1"/>
        <v>12000</v>
      </c>
    </row>
    <row r="18" spans="1:13">
      <c r="A18" s="1" t="s">
        <v>1</v>
      </c>
      <c r="B18" s="21" t="s">
        <v>33</v>
      </c>
      <c r="C18" s="37">
        <v>0</v>
      </c>
      <c r="D18" s="22">
        <v>0</v>
      </c>
      <c r="E18" s="23">
        <f t="shared" si="3"/>
        <v>0</v>
      </c>
      <c r="F18" s="36">
        <v>80008</v>
      </c>
      <c r="G18" s="37">
        <v>61977</v>
      </c>
      <c r="H18" s="37">
        <v>72862</v>
      </c>
      <c r="I18" s="37">
        <v>83202</v>
      </c>
      <c r="J18" s="37">
        <v>49780</v>
      </c>
      <c r="K18" s="37">
        <v>67200</v>
      </c>
      <c r="L18" s="77">
        <f t="shared" si="4"/>
        <v>415029</v>
      </c>
      <c r="M18" s="23">
        <f t="shared" si="1"/>
        <v>415029</v>
      </c>
    </row>
    <row r="19" spans="1:13">
      <c r="A19" s="1" t="s">
        <v>1</v>
      </c>
      <c r="B19" s="21" t="s">
        <v>34</v>
      </c>
      <c r="C19" s="37">
        <v>0</v>
      </c>
      <c r="D19" s="22">
        <v>85260</v>
      </c>
      <c r="E19" s="23">
        <f t="shared" si="3"/>
        <v>85260</v>
      </c>
      <c r="F19" s="36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77">
        <f t="shared" si="4"/>
        <v>0</v>
      </c>
      <c r="M19" s="23">
        <f t="shared" si="1"/>
        <v>85260</v>
      </c>
    </row>
    <row r="20" spans="1:13">
      <c r="A20" s="1" t="s">
        <v>1</v>
      </c>
      <c r="B20" s="21" t="s">
        <v>35</v>
      </c>
      <c r="C20" s="37">
        <v>0</v>
      </c>
      <c r="D20" s="22">
        <v>0</v>
      </c>
      <c r="E20" s="23">
        <f t="shared" si="3"/>
        <v>0</v>
      </c>
      <c r="F20" s="36">
        <v>2000</v>
      </c>
      <c r="G20" s="37">
        <v>2000</v>
      </c>
      <c r="H20" s="37">
        <v>2000</v>
      </c>
      <c r="I20" s="37">
        <v>2000</v>
      </c>
      <c r="J20" s="37">
        <v>0</v>
      </c>
      <c r="K20" s="37">
        <v>0</v>
      </c>
      <c r="L20" s="77">
        <f t="shared" si="4"/>
        <v>8000</v>
      </c>
      <c r="M20" s="23">
        <f t="shared" si="1"/>
        <v>8000</v>
      </c>
    </row>
    <row r="21" spans="1:13">
      <c r="A21" s="1" t="s">
        <v>1</v>
      </c>
      <c r="B21" s="21" t="s">
        <v>36</v>
      </c>
      <c r="C21" s="37">
        <v>0</v>
      </c>
      <c r="D21" s="22">
        <v>4900</v>
      </c>
      <c r="E21" s="23">
        <f t="shared" si="3"/>
        <v>4900</v>
      </c>
      <c r="F21" s="36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77">
        <f t="shared" si="4"/>
        <v>0</v>
      </c>
      <c r="M21" s="23">
        <f t="shared" si="1"/>
        <v>4900</v>
      </c>
    </row>
    <row r="22" spans="1:13">
      <c r="A22" s="1" t="s">
        <v>1</v>
      </c>
      <c r="B22" s="21" t="s">
        <v>25</v>
      </c>
      <c r="C22" s="37">
        <v>0</v>
      </c>
      <c r="D22" s="22">
        <v>0</v>
      </c>
      <c r="E22" s="23">
        <f t="shared" si="3"/>
        <v>0</v>
      </c>
      <c r="F22" s="36">
        <v>23360</v>
      </c>
      <c r="G22" s="37">
        <v>38205</v>
      </c>
      <c r="H22" s="37">
        <v>31306</v>
      </c>
      <c r="I22" s="37">
        <v>16980</v>
      </c>
      <c r="J22" s="37">
        <v>28820</v>
      </c>
      <c r="K22" s="37">
        <v>16800</v>
      </c>
      <c r="L22" s="77">
        <f t="shared" si="4"/>
        <v>155471</v>
      </c>
      <c r="M22" s="23">
        <f t="shared" si="1"/>
        <v>155471</v>
      </c>
    </row>
    <row r="23" spans="1:13">
      <c r="A23" s="1" t="s">
        <v>1</v>
      </c>
      <c r="B23" s="21" t="s">
        <v>37</v>
      </c>
      <c r="C23" s="37">
        <v>0</v>
      </c>
      <c r="D23" s="22">
        <v>0</v>
      </c>
      <c r="E23" s="23">
        <f t="shared" si="3"/>
        <v>0</v>
      </c>
      <c r="F23" s="36">
        <v>28386</v>
      </c>
      <c r="G23" s="37">
        <v>47368</v>
      </c>
      <c r="H23" s="37">
        <v>33792</v>
      </c>
      <c r="I23" s="37">
        <v>27504</v>
      </c>
      <c r="J23" s="37">
        <v>16980</v>
      </c>
      <c r="K23" s="37">
        <v>33264</v>
      </c>
      <c r="L23" s="77">
        <f t="shared" si="4"/>
        <v>187294</v>
      </c>
      <c r="M23" s="23">
        <f t="shared" si="1"/>
        <v>187294</v>
      </c>
    </row>
    <row r="24" spans="1:13">
      <c r="A24" s="1" t="s">
        <v>1</v>
      </c>
      <c r="B24" s="21" t="s">
        <v>38</v>
      </c>
      <c r="C24" s="37">
        <v>0</v>
      </c>
      <c r="D24" s="22">
        <v>0</v>
      </c>
      <c r="E24" s="23">
        <f t="shared" si="3"/>
        <v>0</v>
      </c>
      <c r="F24" s="36">
        <v>33117</v>
      </c>
      <c r="G24" s="37">
        <v>0</v>
      </c>
      <c r="H24" s="37">
        <v>21504</v>
      </c>
      <c r="I24" s="37">
        <v>0</v>
      </c>
      <c r="J24" s="37">
        <v>25470</v>
      </c>
      <c r="K24" s="37">
        <v>12096</v>
      </c>
      <c r="L24" s="77">
        <f t="shared" si="4"/>
        <v>92187</v>
      </c>
      <c r="M24" s="23">
        <f t="shared" si="1"/>
        <v>92187</v>
      </c>
    </row>
    <row r="25" spans="1:13">
      <c r="A25" s="1" t="s">
        <v>1</v>
      </c>
      <c r="B25" s="5" t="s">
        <v>29</v>
      </c>
      <c r="C25" s="29">
        <v>547</v>
      </c>
      <c r="D25" s="6">
        <v>0</v>
      </c>
      <c r="E25" s="7">
        <f t="shared" si="3"/>
        <v>547</v>
      </c>
      <c r="F25" s="28">
        <v>1168</v>
      </c>
      <c r="G25" s="29">
        <v>1415</v>
      </c>
      <c r="H25" s="29">
        <v>1710</v>
      </c>
      <c r="I25" s="29">
        <v>283</v>
      </c>
      <c r="J25" s="29">
        <v>1310</v>
      </c>
      <c r="K25" s="29">
        <v>1960</v>
      </c>
      <c r="L25" s="78">
        <f t="shared" si="4"/>
        <v>7846</v>
      </c>
      <c r="M25" s="7">
        <f t="shared" si="1"/>
        <v>8393</v>
      </c>
    </row>
    <row r="26" spans="1:13">
      <c r="A26" s="1" t="s">
        <v>1</v>
      </c>
      <c r="B26" s="12" t="s">
        <v>39</v>
      </c>
      <c r="C26" s="31">
        <v>365547</v>
      </c>
      <c r="D26" s="13">
        <v>90160</v>
      </c>
      <c r="E26" s="14">
        <f t="shared" si="3"/>
        <v>455707</v>
      </c>
      <c r="F26" s="30">
        <v>361039</v>
      </c>
      <c r="G26" s="31">
        <v>337965</v>
      </c>
      <c r="H26" s="31">
        <v>351174</v>
      </c>
      <c r="I26" s="31">
        <v>316969</v>
      </c>
      <c r="J26" s="31">
        <v>297360</v>
      </c>
      <c r="K26" s="31">
        <v>318320</v>
      </c>
      <c r="L26" s="79">
        <f t="shared" si="4"/>
        <v>1982827</v>
      </c>
      <c r="M26" s="14">
        <f t="shared" si="1"/>
        <v>2438534</v>
      </c>
    </row>
    <row r="27" spans="1:13">
      <c r="A27" s="1" t="s">
        <v>1</v>
      </c>
      <c r="B27" s="5" t="s">
        <v>40</v>
      </c>
      <c r="C27" s="29">
        <v>5028</v>
      </c>
      <c r="D27" s="6">
        <v>3168</v>
      </c>
      <c r="E27" s="7">
        <f t="shared" si="3"/>
        <v>8196</v>
      </c>
      <c r="F27" s="28">
        <v>1660</v>
      </c>
      <c r="G27" s="29">
        <v>4978</v>
      </c>
      <c r="H27" s="29">
        <v>9830</v>
      </c>
      <c r="I27" s="29">
        <v>1584</v>
      </c>
      <c r="J27" s="29">
        <v>7240</v>
      </c>
      <c r="K27" s="29">
        <v>8296</v>
      </c>
      <c r="L27" s="78">
        <f t="shared" si="4"/>
        <v>33588</v>
      </c>
      <c r="M27" s="7">
        <f t="shared" si="1"/>
        <v>41784</v>
      </c>
    </row>
    <row r="28" spans="1:13">
      <c r="A28" s="1" t="s">
        <v>1</v>
      </c>
      <c r="B28" s="15" t="s">
        <v>41</v>
      </c>
      <c r="C28" s="33">
        <v>5028</v>
      </c>
      <c r="D28" s="16">
        <v>3168</v>
      </c>
      <c r="E28" s="17">
        <f t="shared" si="3"/>
        <v>8196</v>
      </c>
      <c r="F28" s="32">
        <v>1660</v>
      </c>
      <c r="G28" s="33">
        <v>4978</v>
      </c>
      <c r="H28" s="33">
        <v>9830</v>
      </c>
      <c r="I28" s="33">
        <v>1584</v>
      </c>
      <c r="J28" s="33">
        <v>7240</v>
      </c>
      <c r="K28" s="33">
        <v>8296</v>
      </c>
      <c r="L28" s="80">
        <f t="shared" si="4"/>
        <v>33588</v>
      </c>
      <c r="M28" s="17">
        <f t="shared" si="1"/>
        <v>41784</v>
      </c>
    </row>
    <row r="29" spans="1:13">
      <c r="A29" s="1" t="s">
        <v>1</v>
      </c>
      <c r="B29" s="12" t="s">
        <v>42</v>
      </c>
      <c r="C29" s="31">
        <v>370575</v>
      </c>
      <c r="D29" s="13">
        <v>93328</v>
      </c>
      <c r="E29" s="14">
        <f t="shared" si="3"/>
        <v>463903</v>
      </c>
      <c r="F29" s="30">
        <v>362699</v>
      </c>
      <c r="G29" s="31">
        <v>342943</v>
      </c>
      <c r="H29" s="31">
        <v>361004</v>
      </c>
      <c r="I29" s="31">
        <v>318553</v>
      </c>
      <c r="J29" s="31">
        <v>304600</v>
      </c>
      <c r="K29" s="31">
        <v>326616</v>
      </c>
      <c r="L29" s="79">
        <f t="shared" si="4"/>
        <v>2016415</v>
      </c>
      <c r="M29" s="14">
        <f t="shared" si="1"/>
        <v>2480318</v>
      </c>
    </row>
    <row r="30" spans="1:13">
      <c r="A30" s="1" t="s">
        <v>1</v>
      </c>
      <c r="B30" s="18" t="s">
        <v>43</v>
      </c>
      <c r="C30" s="35">
        <v>18360</v>
      </c>
      <c r="D30" s="19">
        <v>0</v>
      </c>
      <c r="E30" s="20">
        <f t="shared" si="3"/>
        <v>18360</v>
      </c>
      <c r="F30" s="34">
        <v>16320</v>
      </c>
      <c r="G30" s="35">
        <v>16320</v>
      </c>
      <c r="H30" s="35">
        <v>16320</v>
      </c>
      <c r="I30" s="35">
        <v>16320</v>
      </c>
      <c r="J30" s="35">
        <v>14280</v>
      </c>
      <c r="K30" s="35">
        <v>13260</v>
      </c>
      <c r="L30" s="81">
        <f t="shared" si="4"/>
        <v>92820</v>
      </c>
      <c r="M30" s="20">
        <f t="shared" si="1"/>
        <v>111180</v>
      </c>
    </row>
    <row r="31" spans="1:13">
      <c r="A31" s="1" t="s">
        <v>1</v>
      </c>
      <c r="B31" s="21" t="s">
        <v>44</v>
      </c>
      <c r="C31" s="37">
        <v>3240</v>
      </c>
      <c r="D31" s="22">
        <v>0</v>
      </c>
      <c r="E31" s="23">
        <f t="shared" si="3"/>
        <v>3240</v>
      </c>
      <c r="F31" s="36">
        <v>0</v>
      </c>
      <c r="G31" s="37">
        <v>2880</v>
      </c>
      <c r="H31" s="37">
        <v>2880</v>
      </c>
      <c r="I31" s="37">
        <v>2880</v>
      </c>
      <c r="J31" s="37">
        <v>2520</v>
      </c>
      <c r="K31" s="37">
        <v>0</v>
      </c>
      <c r="L31" s="77">
        <f t="shared" si="4"/>
        <v>11160</v>
      </c>
      <c r="M31" s="23">
        <f t="shared" si="1"/>
        <v>14400</v>
      </c>
    </row>
    <row r="32" spans="1:13">
      <c r="A32" s="1" t="s">
        <v>1</v>
      </c>
      <c r="B32" s="21" t="s">
        <v>45</v>
      </c>
      <c r="C32" s="37">
        <v>32940</v>
      </c>
      <c r="D32" s="22">
        <v>0</v>
      </c>
      <c r="E32" s="23">
        <f t="shared" si="3"/>
        <v>32940</v>
      </c>
      <c r="F32" s="36">
        <v>29280</v>
      </c>
      <c r="G32" s="37">
        <v>29280</v>
      </c>
      <c r="H32" s="37">
        <v>29280</v>
      </c>
      <c r="I32" s="37">
        <v>29280</v>
      </c>
      <c r="J32" s="37">
        <v>25620</v>
      </c>
      <c r="K32" s="37">
        <v>23790</v>
      </c>
      <c r="L32" s="77">
        <f t="shared" si="4"/>
        <v>166530</v>
      </c>
      <c r="M32" s="23">
        <f t="shared" si="1"/>
        <v>199470</v>
      </c>
    </row>
    <row r="33" spans="1:13">
      <c r="A33" s="1" t="s">
        <v>1</v>
      </c>
      <c r="B33" s="54" t="s">
        <v>46</v>
      </c>
      <c r="C33" s="85">
        <v>2223</v>
      </c>
      <c r="D33" s="86">
        <v>560</v>
      </c>
      <c r="E33" s="87">
        <f t="shared" si="3"/>
        <v>2783</v>
      </c>
      <c r="F33" s="84">
        <v>2176</v>
      </c>
      <c r="G33" s="85">
        <v>2058</v>
      </c>
      <c r="H33" s="85">
        <v>2166</v>
      </c>
      <c r="I33" s="85">
        <v>1911</v>
      </c>
      <c r="J33" s="85">
        <v>1828</v>
      </c>
      <c r="K33" s="85">
        <v>1960</v>
      </c>
      <c r="L33" s="88">
        <f t="shared" si="4"/>
        <v>12099</v>
      </c>
      <c r="M33" s="87">
        <f t="shared" si="1"/>
        <v>14882</v>
      </c>
    </row>
    <row r="34" spans="1:13">
      <c r="A34" s="1" t="s">
        <v>1</v>
      </c>
      <c r="B34" s="12" t="s">
        <v>47</v>
      </c>
      <c r="C34" s="31">
        <v>56763</v>
      </c>
      <c r="D34" s="13">
        <v>560</v>
      </c>
      <c r="E34" s="14">
        <f t="shared" si="3"/>
        <v>57323</v>
      </c>
      <c r="F34" s="30">
        <v>47776</v>
      </c>
      <c r="G34" s="31">
        <v>50538</v>
      </c>
      <c r="H34" s="31">
        <v>50646</v>
      </c>
      <c r="I34" s="31">
        <v>50391</v>
      </c>
      <c r="J34" s="31">
        <v>44248</v>
      </c>
      <c r="K34" s="31">
        <v>39010</v>
      </c>
      <c r="L34" s="79">
        <f t="shared" si="4"/>
        <v>282609</v>
      </c>
      <c r="M34" s="14">
        <f t="shared" si="1"/>
        <v>339932</v>
      </c>
    </row>
    <row r="35" spans="1:13">
      <c r="A35" s="1" t="s">
        <v>1</v>
      </c>
      <c r="B35" s="59" t="s">
        <v>48</v>
      </c>
      <c r="C35" s="61">
        <v>9100</v>
      </c>
      <c r="D35" s="62">
        <v>190</v>
      </c>
      <c r="E35" s="63">
        <f t="shared" si="3"/>
        <v>9290</v>
      </c>
      <c r="F35" s="60">
        <v>9460</v>
      </c>
      <c r="G35" s="61">
        <v>6270</v>
      </c>
      <c r="H35" s="61">
        <v>8420</v>
      </c>
      <c r="I35" s="61">
        <v>5530</v>
      </c>
      <c r="J35" s="61">
        <v>6660</v>
      </c>
      <c r="K35" s="61">
        <v>7600</v>
      </c>
      <c r="L35" s="76">
        <f t="shared" si="4"/>
        <v>43940</v>
      </c>
      <c r="M35" s="63">
        <f t="shared" si="1"/>
        <v>53230</v>
      </c>
    </row>
    <row r="36" spans="1:13">
      <c r="A36" s="1" t="s">
        <v>1</v>
      </c>
      <c r="B36" s="15" t="s">
        <v>49</v>
      </c>
      <c r="C36" s="33">
        <v>20200</v>
      </c>
      <c r="D36" s="16">
        <v>500</v>
      </c>
      <c r="E36" s="17">
        <f t="shared" si="3"/>
        <v>20700</v>
      </c>
      <c r="F36" s="32">
        <v>14600</v>
      </c>
      <c r="G36" s="33">
        <v>11000</v>
      </c>
      <c r="H36" s="33">
        <v>8300</v>
      </c>
      <c r="I36" s="33">
        <v>3900</v>
      </c>
      <c r="J36" s="33">
        <v>8900</v>
      </c>
      <c r="K36" s="33">
        <v>0</v>
      </c>
      <c r="L36" s="80">
        <f t="shared" si="4"/>
        <v>46700</v>
      </c>
      <c r="M36" s="17">
        <f t="shared" si="1"/>
        <v>67400</v>
      </c>
    </row>
    <row r="37" spans="1:13">
      <c r="A37" s="1" t="s">
        <v>1</v>
      </c>
      <c r="B37" s="12" t="s">
        <v>50</v>
      </c>
      <c r="C37" s="31">
        <v>86063</v>
      </c>
      <c r="D37" s="13">
        <v>1250</v>
      </c>
      <c r="E37" s="14">
        <f t="shared" si="3"/>
        <v>87313</v>
      </c>
      <c r="F37" s="30">
        <v>71836</v>
      </c>
      <c r="G37" s="31">
        <v>67808</v>
      </c>
      <c r="H37" s="31">
        <v>67366</v>
      </c>
      <c r="I37" s="31">
        <v>59821</v>
      </c>
      <c r="J37" s="31">
        <v>59808</v>
      </c>
      <c r="K37" s="31">
        <v>46610</v>
      </c>
      <c r="L37" s="79">
        <f t="shared" si="4"/>
        <v>373249</v>
      </c>
      <c r="M37" s="14">
        <f t="shared" si="1"/>
        <v>460562</v>
      </c>
    </row>
    <row r="38" spans="1:13">
      <c r="A38" s="1" t="s">
        <v>1</v>
      </c>
      <c r="B38" s="12" t="s">
        <v>51</v>
      </c>
      <c r="C38" s="31">
        <v>308784</v>
      </c>
      <c r="D38" s="13">
        <v>89600</v>
      </c>
      <c r="E38" s="14">
        <f t="shared" si="3"/>
        <v>398384</v>
      </c>
      <c r="F38" s="30">
        <v>313263</v>
      </c>
      <c r="G38" s="31">
        <v>287427</v>
      </c>
      <c r="H38" s="31">
        <v>300528</v>
      </c>
      <c r="I38" s="31">
        <v>266578</v>
      </c>
      <c r="J38" s="31">
        <v>253112</v>
      </c>
      <c r="K38" s="31">
        <v>279310</v>
      </c>
      <c r="L38" s="79">
        <f t="shared" si="4"/>
        <v>1700218</v>
      </c>
      <c r="M38" s="14">
        <f t="shared" si="1"/>
        <v>2098602</v>
      </c>
    </row>
    <row r="39" spans="1:13">
      <c r="A39" s="1" t="s">
        <v>1</v>
      </c>
      <c r="B39" s="12" t="s">
        <v>52</v>
      </c>
      <c r="C39" s="31">
        <v>284512</v>
      </c>
      <c r="D39" s="13">
        <v>92078</v>
      </c>
      <c r="E39" s="14">
        <f t="shared" si="3"/>
        <v>376590</v>
      </c>
      <c r="F39" s="30">
        <v>290863</v>
      </c>
      <c r="G39" s="31">
        <v>275135</v>
      </c>
      <c r="H39" s="31">
        <v>293638</v>
      </c>
      <c r="I39" s="31">
        <v>258732</v>
      </c>
      <c r="J39" s="31">
        <v>244792</v>
      </c>
      <c r="K39" s="31">
        <v>280006</v>
      </c>
      <c r="L39" s="79">
        <f t="shared" si="4"/>
        <v>1643166</v>
      </c>
      <c r="M39" s="14">
        <f t="shared" si="1"/>
        <v>2019756</v>
      </c>
    </row>
    <row r="40" spans="1:13">
      <c r="A40" s="1" t="s">
        <v>1</v>
      </c>
      <c r="B40" s="12" t="s">
        <v>53</v>
      </c>
      <c r="C40" s="31">
        <v>284512</v>
      </c>
      <c r="D40" s="13">
        <v>92078</v>
      </c>
      <c r="E40" s="14">
        <f t="shared" si="3"/>
        <v>376590</v>
      </c>
      <c r="F40" s="30">
        <v>290863</v>
      </c>
      <c r="G40" s="31">
        <v>275135</v>
      </c>
      <c r="H40" s="31">
        <v>293638</v>
      </c>
      <c r="I40" s="31">
        <v>258732</v>
      </c>
      <c r="J40" s="31">
        <v>244792</v>
      </c>
      <c r="K40" s="31">
        <v>280006</v>
      </c>
      <c r="L40" s="79">
        <f t="shared" si="4"/>
        <v>1643166</v>
      </c>
      <c r="M40" s="14">
        <f t="shared" si="1"/>
        <v>2019756</v>
      </c>
    </row>
    <row r="41" spans="1:13">
      <c r="A41" s="1" t="s">
        <v>1</v>
      </c>
      <c r="B41" s="12" t="s">
        <v>54</v>
      </c>
      <c r="C41" s="31">
        <v>0</v>
      </c>
      <c r="D41" s="13">
        <v>0</v>
      </c>
      <c r="E41" s="14"/>
      <c r="F41" s="30">
        <v>0</v>
      </c>
      <c r="G41" s="31">
        <v>1</v>
      </c>
      <c r="H41" s="31">
        <v>0</v>
      </c>
      <c r="I41" s="31">
        <v>1</v>
      </c>
      <c r="J41" s="31">
        <v>0</v>
      </c>
      <c r="K41" s="31">
        <v>0</v>
      </c>
      <c r="L41" s="79"/>
      <c r="M41" s="14"/>
    </row>
    <row r="42" spans="1:13" ht="19.5" thickBot="1">
      <c r="A42" s="1" t="s">
        <v>1</v>
      </c>
      <c r="B42" s="8" t="s">
        <v>55</v>
      </c>
      <c r="C42" s="39" t="s">
        <v>56</v>
      </c>
      <c r="D42" s="9" t="s">
        <v>56</v>
      </c>
      <c r="E42" s="10"/>
      <c r="F42" s="38" t="s">
        <v>56</v>
      </c>
      <c r="G42" s="39" t="s">
        <v>56</v>
      </c>
      <c r="H42" s="39" t="s">
        <v>56</v>
      </c>
      <c r="I42" s="39" t="s">
        <v>56</v>
      </c>
      <c r="J42" s="39" t="s">
        <v>56</v>
      </c>
      <c r="K42" s="39" t="s">
        <v>56</v>
      </c>
      <c r="L42" s="82"/>
      <c r="M42" s="10"/>
    </row>
  </sheetData>
  <phoneticPr fontId="4"/>
  <pageMargins left="0.31496062992125984" right="0.31496062992125984" top="0.35433070866141736" bottom="0.35433070866141736" header="0.11811023622047245" footer="0.11811023622047245"/>
  <pageSetup paperSize="12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5月度給与 (2)</vt:lpstr>
      <vt:lpstr>'2023年 5月度給与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2023-06-09T00:36:09Z</cp:lastPrinted>
  <dcterms:created xsi:type="dcterms:W3CDTF">2023-06-08T04:25:58Z</dcterms:created>
  <dcterms:modified xsi:type="dcterms:W3CDTF">2023-06-10T00:31:47Z</dcterms:modified>
</cp:coreProperties>
</file>