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3\202305\"/>
    </mc:Choice>
  </mc:AlternateContent>
  <xr:revisionPtr revIDLastSave="0" documentId="13_ncr:1_{71764F61-9437-459C-B13B-EFE8BB3768F0}" xr6:coauthVersionLast="47" xr6:coauthVersionMax="47" xr10:uidLastSave="{00000000-0000-0000-0000-000000000000}"/>
  <bookViews>
    <workbookView xWindow="-120" yWindow="-120" windowWidth="20730" windowHeight="11040" xr2:uid="{E72D6715-04D5-4BDF-8F9D-DE52E921EB1C}"/>
  </bookViews>
  <sheets>
    <sheet name="2023年 5月度給与 (3)" sheetId="4" r:id="rId1"/>
    <sheet name="2023年 5月度給与 (4)" sheetId="5" r:id="rId2"/>
  </sheets>
  <definedNames>
    <definedName name="_xlnm.Print_Area" localSheetId="0">'2023年 5月度給与 (3)'!$A$1:$N$57</definedName>
    <definedName name="_xlnm.Print_Area" localSheetId="1">'2023年 5月度給与 (4)'!$A$1:$V$57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4" l="1"/>
  <c r="E59" i="4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5" i="4"/>
  <c r="K55" i="4"/>
  <c r="M54" i="4"/>
  <c r="K54" i="4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</calcChain>
</file>

<file path=xl/sharedStrings.xml><?xml version="1.0" encoding="utf-8"?>
<sst xmlns="http://schemas.openxmlformats.org/spreadsheetml/2006/main" count="310" uniqueCount="117">
  <si>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</si>
  <si>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</si>
  <si>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</si>
  <si>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</si>
  <si>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</si>
  <si>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</si>
  <si>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</si>
  <si>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</si>
  <si>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</si>
  <si>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</si>
  <si>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</si>
  <si>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</si>
  <si>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</si>
  <si>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</si>
  <si>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</si>
  <si>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</si>
  <si>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</si>
  <si>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</si>
  <si>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</si>
  <si>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</si>
  <si>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</si>
  <si>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</si>
  <si>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</si>
  <si>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</si>
  <si>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</si>
  <si>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</si>
  <si>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</si>
  <si>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</si>
  <si>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</si>
  <si>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</si>
  <si>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</si>
  <si>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</si>
  <si>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</si>
  <si>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</si>
  <si>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</si>
  <si>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</si>
  <si>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</si>
  <si>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</si>
  <si>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</si>
  <si>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</si>
  <si>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</si>
  <si>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</si>
  <si>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</si>
  <si>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</si>
  <si>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</si>
  <si>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</si>
  <si>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</si>
  <si>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</si>
  <si>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</si>
  <si>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</si>
  <si>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</si>
  <si>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</si>
  <si>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</si>
  <si>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</si>
  <si>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</si>
  <si>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</si>
  <si>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</si>
  <si>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</si>
  <si>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</si>
  <si>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</si>
  <si>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</si>
  <si>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</si>
  <si>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</si>
  <si>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</si>
  <si>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</si>
  <si>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</si>
  <si>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</si>
  <si>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</si>
  <si>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</si>
  <si>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</si>
  <si>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</si>
  <si>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</si>
  <si>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</si>
  <si>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</si>
  <si>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</si>
  <si>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</si>
  <si>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</si>
  <si>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</si>
  <si>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</si>
  <si>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</si>
  <si>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</si>
  <si>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</si>
  <si>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基本給3</t>
    <phoneticPr fontId="4"/>
  </si>
  <si>
    <t>無事故加算</t>
    <phoneticPr fontId="4"/>
  </si>
  <si>
    <t>有給休暇</t>
    <phoneticPr fontId="4"/>
  </si>
  <si>
    <t>特別休暇</t>
    <phoneticPr fontId="4"/>
  </si>
  <si>
    <t>過不足調整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</si>
  <si>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</si>
  <si>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</si>
  <si>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</si>
  <si>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</si>
  <si>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</si>
  <si>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</si>
  <si>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</si>
  <si>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</si>
  <si>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</si>
  <si>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</si>
  <si>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</si>
  <si>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</si>
  <si>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</si>
  <si>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</si>
  <si>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</si>
  <si>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</si>
  <si>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</si>
  <si>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</si>
  <si>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</si>
  <si>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</si>
  <si>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</si>
  <si>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</si>
  <si>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</si>
  <si>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5月度給与</t>
    <phoneticPr fontId="4"/>
  </si>
  <si>
    <t>小計</t>
    <rPh sb="0" eb="2">
      <t>ショウケイ</t>
    </rPh>
    <phoneticPr fontId="3"/>
  </si>
  <si>
    <t>19名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</si>
  <si>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</si>
  <si>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</si>
  <si>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28名</t>
    <rPh sb="2" eb="3">
      <t>メイ</t>
    </rPh>
    <phoneticPr fontId="4"/>
  </si>
  <si>
    <t>下山田英治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</si>
</sst>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8" xfId="1" applyNumberFormat="1" applyFont="1" applyBorder="1"/>
    <xf numFmtId="49" fontId="2" fillId="0" borderId="32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176" fontId="2" fillId="0" borderId="43" xfId="1" applyNumberFormat="1" applyFont="1" applyBorder="1"/>
    <xf numFmtId="2" fontId="2" fillId="0" borderId="44" xfId="1" applyNumberFormat="1" applyFont="1" applyBorder="1"/>
    <xf numFmtId="3" fontId="2" fillId="0" borderId="45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6" xfId="1" applyNumberFormat="1" applyFont="1" applyBorder="1"/>
    <xf numFmtId="49" fontId="2" fillId="0" borderId="40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47" xfId="1" applyNumberFormat="1" applyFont="1" applyBorder="1" applyAlignment="1">
      <alignment horizontal="center"/>
    </xf>
    <xf numFmtId="0" fontId="2" fillId="0" borderId="4" xfId="1" applyFont="1" applyBorder="1"/>
    <xf numFmtId="0" fontId="2" fillId="0" borderId="2" xfId="1" applyFont="1" applyBorder="1" applyAlignment="1">
      <alignment horizontal="right"/>
    </xf>
    <xf numFmtId="0" fontId="2" fillId="0" borderId="48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49" fontId="2" fillId="0" borderId="50" xfId="1" applyNumberFormat="1" applyFont="1" applyBorder="1" applyAlignment="1">
      <alignment horizontal="left"/>
    </xf>
    <xf numFmtId="49" fontId="2" fillId="0" borderId="51" xfId="1" applyNumberFormat="1" applyFont="1" applyBorder="1" applyAlignment="1">
      <alignment horizontal="left"/>
    </xf>
    <xf numFmtId="49" fontId="2" fillId="0" borderId="52" xfId="1" applyNumberFormat="1" applyFont="1" applyBorder="1" applyAlignment="1">
      <alignment horizontal="left"/>
    </xf>
    <xf numFmtId="49" fontId="2" fillId="0" borderId="53" xfId="1" applyNumberFormat="1" applyFont="1" applyBorder="1" applyAlignment="1">
      <alignment horizontal="left"/>
    </xf>
    <xf numFmtId="49" fontId="2" fillId="0" borderId="54" xfId="1" applyNumberFormat="1" applyFont="1" applyBorder="1" applyAlignment="1">
      <alignment horizontal="left"/>
    </xf>
    <xf numFmtId="49" fontId="2" fillId="0" borderId="55" xfId="1" applyNumberFormat="1" applyFont="1" applyBorder="1" applyAlignment="1">
      <alignment horizontal="left"/>
    </xf>
    <xf numFmtId="49" fontId="2" fillId="0" borderId="49" xfId="1" applyNumberFormat="1" applyFont="1" applyBorder="1" applyAlignment="1">
      <alignment horizontal="left"/>
    </xf>
    <xf numFmtId="49" fontId="2" fillId="0" borderId="56" xfId="1" applyNumberFormat="1" applyFont="1" applyBorder="1" applyAlignment="1">
      <alignment horizontal="left"/>
    </xf>
    <xf numFmtId="3" fontId="2" fillId="0" borderId="57" xfId="1" applyNumberFormat="1" applyFont="1" applyBorder="1"/>
    <xf numFmtId="3" fontId="2" fillId="0" borderId="58" xfId="1" applyNumberFormat="1" applyFont="1" applyBorder="1"/>
    <xf numFmtId="3" fontId="2" fillId="0" borderId="59" xfId="1" applyNumberFormat="1" applyFont="1" applyBorder="1"/>
    <xf numFmtId="3" fontId="2" fillId="0" borderId="56" xfId="1" applyNumberFormat="1" applyFont="1" applyBorder="1"/>
    <xf numFmtId="49" fontId="2" fillId="0" borderId="60" xfId="1" applyNumberFormat="1" applyFont="1" applyBorder="1" applyAlignment="1">
      <alignment horizontal="left"/>
    </xf>
    <xf numFmtId="3" fontId="2" fillId="0" borderId="61" xfId="1" applyNumberFormat="1" applyFont="1" applyBorder="1"/>
    <xf numFmtId="3" fontId="2" fillId="0" borderId="62" xfId="1" applyNumberFormat="1" applyFont="1" applyBorder="1"/>
    <xf numFmtId="3" fontId="2" fillId="0" borderId="63" xfId="1" applyNumberFormat="1" applyFont="1" applyBorder="1"/>
    <xf numFmtId="3" fontId="2" fillId="0" borderId="60" xfId="1" applyNumberFormat="1" applyFont="1" applyBorder="1"/>
    <xf numFmtId="49" fontId="2" fillId="0" borderId="64" xfId="1" applyNumberFormat="1" applyFont="1" applyBorder="1" applyAlignment="1">
      <alignment horizontal="left"/>
    </xf>
    <xf numFmtId="3" fontId="2" fillId="0" borderId="65" xfId="1" applyNumberFormat="1" applyFont="1" applyBorder="1"/>
    <xf numFmtId="49" fontId="2" fillId="0" borderId="66" xfId="1" applyNumberFormat="1" applyFont="1" applyBorder="1" applyAlignment="1">
      <alignment horizontal="left"/>
    </xf>
    <xf numFmtId="3" fontId="2" fillId="0" borderId="67" xfId="1" applyNumberFormat="1" applyFont="1" applyBorder="1"/>
    <xf numFmtId="3" fontId="2" fillId="0" borderId="68" xfId="1" applyNumberFormat="1" applyFont="1" applyBorder="1"/>
    <xf numFmtId="3" fontId="2" fillId="0" borderId="69" xfId="1" applyNumberFormat="1" applyFont="1" applyBorder="1"/>
  </cellXfs>
  <cellStyles count="2">
    <cellStyle name="標準" xfId="0" builtinId="0"/>
    <cellStyle name="標準 2" xfId="1" xr:uid="{EE9EDDAB-AE64-4F76-806E-EE23D5F048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8D7C-35BC-4DF5-8C46-7D20A6B7A208}">
  <sheetPr>
    <pageSetUpPr fitToPage="1"/>
  </sheetPr>
  <dimension ref="A1:N59"/>
  <sheetViews>
    <sheetView tabSelected="1" workbookViewId="0">
      <pane xSplit="2" ySplit="4" topLeftCell="C53" activePane="bottomRight" state="frozen"/>
      <selection pane="topRight" activeCell="C1" sqref="C1"/>
      <selection pane="bottomLeft" activeCell="A9" sqref="A9"/>
      <selection pane="bottomRight" activeCell="F60" sqref="F60"/>
    </sheetView>
  </sheetViews>
  <sheetFormatPr defaultRowHeight="18.75"/>
  <cols>
    <col min="1" max="1" width="2.375" style="2" customWidth="1"/>
    <col min="2" max="2" width="13.25" style="2" bestFit="1" customWidth="1"/>
    <col min="3" max="15" width="10.5" style="2" customWidth="1"/>
    <col min="16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60" width="11.125" style="2" bestFit="1" customWidth="1"/>
    <col min="261" max="261" width="9" style="2"/>
    <col min="262" max="268" width="11.125" style="2" bestFit="1" customWidth="1"/>
    <col min="269" max="269" width="9.625" style="2" bestFit="1" customWidth="1"/>
    <col min="270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6" width="11.125" style="2" bestFit="1" customWidth="1"/>
    <col min="517" max="517" width="9" style="2"/>
    <col min="518" max="524" width="11.125" style="2" bestFit="1" customWidth="1"/>
    <col min="525" max="525" width="9.625" style="2" bestFit="1" customWidth="1"/>
    <col min="526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2" width="11.125" style="2" bestFit="1" customWidth="1"/>
    <col min="773" max="773" width="9" style="2"/>
    <col min="774" max="780" width="11.125" style="2" bestFit="1" customWidth="1"/>
    <col min="781" max="781" width="9.625" style="2" bestFit="1" customWidth="1"/>
    <col min="782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8" width="11.125" style="2" bestFit="1" customWidth="1"/>
    <col min="1029" max="1029" width="9" style="2"/>
    <col min="1030" max="1036" width="11.125" style="2" bestFit="1" customWidth="1"/>
    <col min="1037" max="1037" width="9.625" style="2" bestFit="1" customWidth="1"/>
    <col min="1038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4" width="11.125" style="2" bestFit="1" customWidth="1"/>
    <col min="1285" max="1285" width="9" style="2"/>
    <col min="1286" max="1292" width="11.125" style="2" bestFit="1" customWidth="1"/>
    <col min="1293" max="1293" width="9.625" style="2" bestFit="1" customWidth="1"/>
    <col min="1294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40" width="11.125" style="2" bestFit="1" customWidth="1"/>
    <col min="1541" max="1541" width="9" style="2"/>
    <col min="1542" max="1548" width="11.125" style="2" bestFit="1" customWidth="1"/>
    <col min="1549" max="1549" width="9.625" style="2" bestFit="1" customWidth="1"/>
    <col min="1550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6" width="11.125" style="2" bestFit="1" customWidth="1"/>
    <col min="1797" max="1797" width="9" style="2"/>
    <col min="1798" max="1804" width="11.125" style="2" bestFit="1" customWidth="1"/>
    <col min="1805" max="1805" width="9.625" style="2" bestFit="1" customWidth="1"/>
    <col min="1806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2" width="11.125" style="2" bestFit="1" customWidth="1"/>
    <col min="2053" max="2053" width="9" style="2"/>
    <col min="2054" max="2060" width="11.125" style="2" bestFit="1" customWidth="1"/>
    <col min="2061" max="2061" width="9.625" style="2" bestFit="1" customWidth="1"/>
    <col min="2062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8" width="11.125" style="2" bestFit="1" customWidth="1"/>
    <col min="2309" max="2309" width="9" style="2"/>
    <col min="2310" max="2316" width="11.125" style="2" bestFit="1" customWidth="1"/>
    <col min="2317" max="2317" width="9.625" style="2" bestFit="1" customWidth="1"/>
    <col min="2318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4" width="11.125" style="2" bestFit="1" customWidth="1"/>
    <col min="2565" max="2565" width="9" style="2"/>
    <col min="2566" max="2572" width="11.125" style="2" bestFit="1" customWidth="1"/>
    <col min="2573" max="2573" width="9.625" style="2" bestFit="1" customWidth="1"/>
    <col min="2574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20" width="11.125" style="2" bestFit="1" customWidth="1"/>
    <col min="2821" max="2821" width="9" style="2"/>
    <col min="2822" max="2828" width="11.125" style="2" bestFit="1" customWidth="1"/>
    <col min="2829" max="2829" width="9.625" style="2" bestFit="1" customWidth="1"/>
    <col min="2830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6" width="11.125" style="2" bestFit="1" customWidth="1"/>
    <col min="3077" max="3077" width="9" style="2"/>
    <col min="3078" max="3084" width="11.125" style="2" bestFit="1" customWidth="1"/>
    <col min="3085" max="3085" width="9.625" style="2" bestFit="1" customWidth="1"/>
    <col min="3086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2" width="11.125" style="2" bestFit="1" customWidth="1"/>
    <col min="3333" max="3333" width="9" style="2"/>
    <col min="3334" max="3340" width="11.125" style="2" bestFit="1" customWidth="1"/>
    <col min="3341" max="3341" width="9.625" style="2" bestFit="1" customWidth="1"/>
    <col min="3342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8" width="11.125" style="2" bestFit="1" customWidth="1"/>
    <col min="3589" max="3589" width="9" style="2"/>
    <col min="3590" max="3596" width="11.125" style="2" bestFit="1" customWidth="1"/>
    <col min="3597" max="3597" width="9.625" style="2" bestFit="1" customWidth="1"/>
    <col min="3598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4" width="11.125" style="2" bestFit="1" customWidth="1"/>
    <col min="3845" max="3845" width="9" style="2"/>
    <col min="3846" max="3852" width="11.125" style="2" bestFit="1" customWidth="1"/>
    <col min="3853" max="3853" width="9.625" style="2" bestFit="1" customWidth="1"/>
    <col min="3854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100" width="11.125" style="2" bestFit="1" customWidth="1"/>
    <col min="4101" max="4101" width="9" style="2"/>
    <col min="4102" max="4108" width="11.125" style="2" bestFit="1" customWidth="1"/>
    <col min="4109" max="4109" width="9.625" style="2" bestFit="1" customWidth="1"/>
    <col min="4110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6" width="11.125" style="2" bestFit="1" customWidth="1"/>
    <col min="4357" max="4357" width="9" style="2"/>
    <col min="4358" max="4364" width="11.125" style="2" bestFit="1" customWidth="1"/>
    <col min="4365" max="4365" width="9.625" style="2" bestFit="1" customWidth="1"/>
    <col min="4366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2" width="11.125" style="2" bestFit="1" customWidth="1"/>
    <col min="4613" max="4613" width="9" style="2"/>
    <col min="4614" max="4620" width="11.125" style="2" bestFit="1" customWidth="1"/>
    <col min="4621" max="4621" width="9.625" style="2" bestFit="1" customWidth="1"/>
    <col min="4622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8" width="11.125" style="2" bestFit="1" customWidth="1"/>
    <col min="4869" max="4869" width="9" style="2"/>
    <col min="4870" max="4876" width="11.125" style="2" bestFit="1" customWidth="1"/>
    <col min="4877" max="4877" width="9.625" style="2" bestFit="1" customWidth="1"/>
    <col min="4878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4" width="11.125" style="2" bestFit="1" customWidth="1"/>
    <col min="5125" max="5125" width="9" style="2"/>
    <col min="5126" max="5132" width="11.125" style="2" bestFit="1" customWidth="1"/>
    <col min="5133" max="5133" width="9.625" style="2" bestFit="1" customWidth="1"/>
    <col min="5134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80" width="11.125" style="2" bestFit="1" customWidth="1"/>
    <col min="5381" max="5381" width="9" style="2"/>
    <col min="5382" max="5388" width="11.125" style="2" bestFit="1" customWidth="1"/>
    <col min="5389" max="5389" width="9.625" style="2" bestFit="1" customWidth="1"/>
    <col min="5390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6" width="11.125" style="2" bestFit="1" customWidth="1"/>
    <col min="5637" max="5637" width="9" style="2"/>
    <col min="5638" max="5644" width="11.125" style="2" bestFit="1" customWidth="1"/>
    <col min="5645" max="5645" width="9.625" style="2" bestFit="1" customWidth="1"/>
    <col min="5646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2" width="11.125" style="2" bestFit="1" customWidth="1"/>
    <col min="5893" max="5893" width="9" style="2"/>
    <col min="5894" max="5900" width="11.125" style="2" bestFit="1" customWidth="1"/>
    <col min="5901" max="5901" width="9.625" style="2" bestFit="1" customWidth="1"/>
    <col min="5902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8" width="11.125" style="2" bestFit="1" customWidth="1"/>
    <col min="6149" max="6149" width="9" style="2"/>
    <col min="6150" max="6156" width="11.125" style="2" bestFit="1" customWidth="1"/>
    <col min="6157" max="6157" width="9.625" style="2" bestFit="1" customWidth="1"/>
    <col min="6158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4" width="11.125" style="2" bestFit="1" customWidth="1"/>
    <col min="6405" max="6405" width="9" style="2"/>
    <col min="6406" max="6412" width="11.125" style="2" bestFit="1" customWidth="1"/>
    <col min="6413" max="6413" width="9.625" style="2" bestFit="1" customWidth="1"/>
    <col min="6414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60" width="11.125" style="2" bestFit="1" customWidth="1"/>
    <col min="6661" max="6661" width="9" style="2"/>
    <col min="6662" max="6668" width="11.125" style="2" bestFit="1" customWidth="1"/>
    <col min="6669" max="6669" width="9.625" style="2" bestFit="1" customWidth="1"/>
    <col min="6670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6" width="11.125" style="2" bestFit="1" customWidth="1"/>
    <col min="6917" max="6917" width="9" style="2"/>
    <col min="6918" max="6924" width="11.125" style="2" bestFit="1" customWidth="1"/>
    <col min="6925" max="6925" width="9.625" style="2" bestFit="1" customWidth="1"/>
    <col min="6926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2" width="11.125" style="2" bestFit="1" customWidth="1"/>
    <col min="7173" max="7173" width="9" style="2"/>
    <col min="7174" max="7180" width="11.125" style="2" bestFit="1" customWidth="1"/>
    <col min="7181" max="7181" width="9.625" style="2" bestFit="1" customWidth="1"/>
    <col min="7182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8" width="11.125" style="2" bestFit="1" customWidth="1"/>
    <col min="7429" max="7429" width="9" style="2"/>
    <col min="7430" max="7436" width="11.125" style="2" bestFit="1" customWidth="1"/>
    <col min="7437" max="7437" width="9.625" style="2" bestFit="1" customWidth="1"/>
    <col min="7438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4" width="11.125" style="2" bestFit="1" customWidth="1"/>
    <col min="7685" max="7685" width="9" style="2"/>
    <col min="7686" max="7692" width="11.125" style="2" bestFit="1" customWidth="1"/>
    <col min="7693" max="7693" width="9.625" style="2" bestFit="1" customWidth="1"/>
    <col min="7694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40" width="11.125" style="2" bestFit="1" customWidth="1"/>
    <col min="7941" max="7941" width="9" style="2"/>
    <col min="7942" max="7948" width="11.125" style="2" bestFit="1" customWidth="1"/>
    <col min="7949" max="7949" width="9.625" style="2" bestFit="1" customWidth="1"/>
    <col min="7950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6" width="11.125" style="2" bestFit="1" customWidth="1"/>
    <col min="8197" max="8197" width="9" style="2"/>
    <col min="8198" max="8204" width="11.125" style="2" bestFit="1" customWidth="1"/>
    <col min="8205" max="8205" width="9.625" style="2" bestFit="1" customWidth="1"/>
    <col min="8206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2" width="11.125" style="2" bestFit="1" customWidth="1"/>
    <col min="8453" max="8453" width="9" style="2"/>
    <col min="8454" max="8460" width="11.125" style="2" bestFit="1" customWidth="1"/>
    <col min="8461" max="8461" width="9.625" style="2" bestFit="1" customWidth="1"/>
    <col min="8462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8" width="11.125" style="2" bestFit="1" customWidth="1"/>
    <col min="8709" max="8709" width="9" style="2"/>
    <col min="8710" max="8716" width="11.125" style="2" bestFit="1" customWidth="1"/>
    <col min="8717" max="8717" width="9.625" style="2" bestFit="1" customWidth="1"/>
    <col min="8718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4" width="11.125" style="2" bestFit="1" customWidth="1"/>
    <col min="8965" max="8965" width="9" style="2"/>
    <col min="8966" max="8972" width="11.125" style="2" bestFit="1" customWidth="1"/>
    <col min="8973" max="8973" width="9.625" style="2" bestFit="1" customWidth="1"/>
    <col min="8974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20" width="11.125" style="2" bestFit="1" customWidth="1"/>
    <col min="9221" max="9221" width="9" style="2"/>
    <col min="9222" max="9228" width="11.125" style="2" bestFit="1" customWidth="1"/>
    <col min="9229" max="9229" width="9.625" style="2" bestFit="1" customWidth="1"/>
    <col min="9230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6" width="11.125" style="2" bestFit="1" customWidth="1"/>
    <col min="9477" max="9477" width="9" style="2"/>
    <col min="9478" max="9484" width="11.125" style="2" bestFit="1" customWidth="1"/>
    <col min="9485" max="9485" width="9.625" style="2" bestFit="1" customWidth="1"/>
    <col min="9486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2" width="11.125" style="2" bestFit="1" customWidth="1"/>
    <col min="9733" max="9733" width="9" style="2"/>
    <col min="9734" max="9740" width="11.125" style="2" bestFit="1" customWidth="1"/>
    <col min="9741" max="9741" width="9.625" style="2" bestFit="1" customWidth="1"/>
    <col min="9742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8" width="11.125" style="2" bestFit="1" customWidth="1"/>
    <col min="9989" max="9989" width="9" style="2"/>
    <col min="9990" max="9996" width="11.125" style="2" bestFit="1" customWidth="1"/>
    <col min="9997" max="9997" width="9.625" style="2" bestFit="1" customWidth="1"/>
    <col min="9998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4" width="11.125" style="2" bestFit="1" customWidth="1"/>
    <col min="10245" max="10245" width="9" style="2"/>
    <col min="10246" max="10252" width="11.125" style="2" bestFit="1" customWidth="1"/>
    <col min="10253" max="10253" width="9.625" style="2" bestFit="1" customWidth="1"/>
    <col min="10254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500" width="11.125" style="2" bestFit="1" customWidth="1"/>
    <col min="10501" max="10501" width="9" style="2"/>
    <col min="10502" max="10508" width="11.125" style="2" bestFit="1" customWidth="1"/>
    <col min="10509" max="10509" width="9.625" style="2" bestFit="1" customWidth="1"/>
    <col min="10510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6" width="11.125" style="2" bestFit="1" customWidth="1"/>
    <col min="10757" max="10757" width="9" style="2"/>
    <col min="10758" max="10764" width="11.125" style="2" bestFit="1" customWidth="1"/>
    <col min="10765" max="10765" width="9.625" style="2" bestFit="1" customWidth="1"/>
    <col min="10766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2" width="11.125" style="2" bestFit="1" customWidth="1"/>
    <col min="11013" max="11013" width="9" style="2"/>
    <col min="11014" max="11020" width="11.125" style="2" bestFit="1" customWidth="1"/>
    <col min="11021" max="11021" width="9.625" style="2" bestFit="1" customWidth="1"/>
    <col min="11022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8" width="11.125" style="2" bestFit="1" customWidth="1"/>
    <col min="11269" max="11269" width="9" style="2"/>
    <col min="11270" max="11276" width="11.125" style="2" bestFit="1" customWidth="1"/>
    <col min="11277" max="11277" width="9.625" style="2" bestFit="1" customWidth="1"/>
    <col min="11278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4" width="11.125" style="2" bestFit="1" customWidth="1"/>
    <col min="11525" max="11525" width="9" style="2"/>
    <col min="11526" max="11532" width="11.125" style="2" bestFit="1" customWidth="1"/>
    <col min="11533" max="11533" width="9.625" style="2" bestFit="1" customWidth="1"/>
    <col min="11534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80" width="11.125" style="2" bestFit="1" customWidth="1"/>
    <col min="11781" max="11781" width="9" style="2"/>
    <col min="11782" max="11788" width="11.125" style="2" bestFit="1" customWidth="1"/>
    <col min="11789" max="11789" width="9.625" style="2" bestFit="1" customWidth="1"/>
    <col min="11790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6" width="11.125" style="2" bestFit="1" customWidth="1"/>
    <col min="12037" max="12037" width="9" style="2"/>
    <col min="12038" max="12044" width="11.125" style="2" bestFit="1" customWidth="1"/>
    <col min="12045" max="12045" width="9.625" style="2" bestFit="1" customWidth="1"/>
    <col min="12046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2" width="11.125" style="2" bestFit="1" customWidth="1"/>
    <col min="12293" max="12293" width="9" style="2"/>
    <col min="12294" max="12300" width="11.125" style="2" bestFit="1" customWidth="1"/>
    <col min="12301" max="12301" width="9.625" style="2" bestFit="1" customWidth="1"/>
    <col min="12302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8" width="11.125" style="2" bestFit="1" customWidth="1"/>
    <col min="12549" max="12549" width="9" style="2"/>
    <col min="12550" max="12556" width="11.125" style="2" bestFit="1" customWidth="1"/>
    <col min="12557" max="12557" width="9.625" style="2" bestFit="1" customWidth="1"/>
    <col min="12558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4" width="11.125" style="2" bestFit="1" customWidth="1"/>
    <col min="12805" max="12805" width="9" style="2"/>
    <col min="12806" max="12812" width="11.125" style="2" bestFit="1" customWidth="1"/>
    <col min="12813" max="12813" width="9.625" style="2" bestFit="1" customWidth="1"/>
    <col min="12814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60" width="11.125" style="2" bestFit="1" customWidth="1"/>
    <col min="13061" max="13061" width="9" style="2"/>
    <col min="13062" max="13068" width="11.125" style="2" bestFit="1" customWidth="1"/>
    <col min="13069" max="13069" width="9.625" style="2" bestFit="1" customWidth="1"/>
    <col min="13070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6" width="11.125" style="2" bestFit="1" customWidth="1"/>
    <col min="13317" max="13317" width="9" style="2"/>
    <col min="13318" max="13324" width="11.125" style="2" bestFit="1" customWidth="1"/>
    <col min="13325" max="13325" width="9.625" style="2" bestFit="1" customWidth="1"/>
    <col min="13326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2" width="11.125" style="2" bestFit="1" customWidth="1"/>
    <col min="13573" max="13573" width="9" style="2"/>
    <col min="13574" max="13580" width="11.125" style="2" bestFit="1" customWidth="1"/>
    <col min="13581" max="13581" width="9.625" style="2" bestFit="1" customWidth="1"/>
    <col min="13582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8" width="11.125" style="2" bestFit="1" customWidth="1"/>
    <col min="13829" max="13829" width="9" style="2"/>
    <col min="13830" max="13836" width="11.125" style="2" bestFit="1" customWidth="1"/>
    <col min="13837" max="13837" width="9.625" style="2" bestFit="1" customWidth="1"/>
    <col min="13838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4" width="11.125" style="2" bestFit="1" customWidth="1"/>
    <col min="14085" max="14085" width="9" style="2"/>
    <col min="14086" max="14092" width="11.125" style="2" bestFit="1" customWidth="1"/>
    <col min="14093" max="14093" width="9.625" style="2" bestFit="1" customWidth="1"/>
    <col min="14094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40" width="11.125" style="2" bestFit="1" customWidth="1"/>
    <col min="14341" max="14341" width="9" style="2"/>
    <col min="14342" max="14348" width="11.125" style="2" bestFit="1" customWidth="1"/>
    <col min="14349" max="14349" width="9.625" style="2" bestFit="1" customWidth="1"/>
    <col min="14350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6" width="11.125" style="2" bestFit="1" customWidth="1"/>
    <col min="14597" max="14597" width="9" style="2"/>
    <col min="14598" max="14604" width="11.125" style="2" bestFit="1" customWidth="1"/>
    <col min="14605" max="14605" width="9.625" style="2" bestFit="1" customWidth="1"/>
    <col min="14606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2" width="11.125" style="2" bestFit="1" customWidth="1"/>
    <col min="14853" max="14853" width="9" style="2"/>
    <col min="14854" max="14860" width="11.125" style="2" bestFit="1" customWidth="1"/>
    <col min="14861" max="14861" width="9.625" style="2" bestFit="1" customWidth="1"/>
    <col min="14862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8" width="11.125" style="2" bestFit="1" customWidth="1"/>
    <col min="15109" max="15109" width="9" style="2"/>
    <col min="15110" max="15116" width="11.125" style="2" bestFit="1" customWidth="1"/>
    <col min="15117" max="15117" width="9.625" style="2" bestFit="1" customWidth="1"/>
    <col min="15118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4" width="11.125" style="2" bestFit="1" customWidth="1"/>
    <col min="15365" max="15365" width="9" style="2"/>
    <col min="15366" max="15372" width="11.125" style="2" bestFit="1" customWidth="1"/>
    <col min="15373" max="15373" width="9.625" style="2" bestFit="1" customWidth="1"/>
    <col min="15374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20" width="11.125" style="2" bestFit="1" customWidth="1"/>
    <col min="15621" max="15621" width="9" style="2"/>
    <col min="15622" max="15628" width="11.125" style="2" bestFit="1" customWidth="1"/>
    <col min="15629" max="15629" width="9.625" style="2" bestFit="1" customWidth="1"/>
    <col min="15630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6" width="11.125" style="2" bestFit="1" customWidth="1"/>
    <col min="15877" max="15877" width="9" style="2"/>
    <col min="15878" max="15884" width="11.125" style="2" bestFit="1" customWidth="1"/>
    <col min="15885" max="15885" width="9.625" style="2" bestFit="1" customWidth="1"/>
    <col min="15886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2" width="11.125" style="2" bestFit="1" customWidth="1"/>
    <col min="16133" max="16133" width="9" style="2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110</v>
      </c>
    </row>
    <row r="3" spans="1:14">
      <c r="B3" s="92"/>
      <c r="C3" s="74" t="s">
        <v>17</v>
      </c>
      <c r="D3" s="36" t="s">
        <v>4</v>
      </c>
      <c r="E3" s="36" t="s">
        <v>26</v>
      </c>
      <c r="F3" s="36" t="s">
        <v>27</v>
      </c>
      <c r="G3" s="36" t="s">
        <v>24</v>
      </c>
      <c r="H3" s="36" t="s">
        <v>25</v>
      </c>
      <c r="I3" s="36" t="s">
        <v>28</v>
      </c>
      <c r="J3" s="89" t="s">
        <v>29</v>
      </c>
      <c r="K3" s="87" t="s">
        <v>111</v>
      </c>
      <c r="L3" s="89" t="s">
        <v>5</v>
      </c>
      <c r="M3" s="87" t="s">
        <v>111</v>
      </c>
      <c r="N3" s="90" t="s">
        <v>58</v>
      </c>
    </row>
    <row r="4" spans="1:14" ht="19.5" thickBot="1">
      <c r="B4" s="93" t="s">
        <v>30</v>
      </c>
      <c r="C4" s="75" t="s">
        <v>45</v>
      </c>
      <c r="D4" s="38" t="s">
        <v>116</v>
      </c>
      <c r="E4" s="38" t="s">
        <v>54</v>
      </c>
      <c r="F4" s="38" t="s">
        <v>55</v>
      </c>
      <c r="G4" s="38" t="s">
        <v>52</v>
      </c>
      <c r="H4" s="38" t="s">
        <v>53</v>
      </c>
      <c r="I4" s="38" t="s">
        <v>56</v>
      </c>
      <c r="J4" s="3" t="s">
        <v>57</v>
      </c>
      <c r="K4" s="88" t="s">
        <v>113</v>
      </c>
      <c r="L4" s="3" t="s">
        <v>33</v>
      </c>
      <c r="M4" s="88" t="s">
        <v>114</v>
      </c>
      <c r="N4" s="91" t="s">
        <v>115</v>
      </c>
    </row>
    <row r="5" spans="1:14">
      <c r="A5" s="1" t="s">
        <v>1</v>
      </c>
      <c r="B5" s="94" t="s">
        <v>59</v>
      </c>
      <c r="C5" s="76">
        <v>17</v>
      </c>
      <c r="D5" s="40">
        <v>19</v>
      </c>
      <c r="E5" s="40">
        <v>14</v>
      </c>
      <c r="F5" s="40">
        <v>17</v>
      </c>
      <c r="G5" s="40">
        <v>11</v>
      </c>
      <c r="H5" s="40">
        <v>10</v>
      </c>
      <c r="I5" s="40">
        <v>8</v>
      </c>
      <c r="J5" s="23">
        <v>20</v>
      </c>
      <c r="K5" s="24">
        <f>SUM(C5:J5)</f>
        <v>116</v>
      </c>
      <c r="L5" s="23">
        <v>20</v>
      </c>
      <c r="M5" s="24">
        <f>SUM(L5)</f>
        <v>20</v>
      </c>
      <c r="N5" s="24">
        <v>485</v>
      </c>
    </row>
    <row r="6" spans="1:14">
      <c r="A6" s="1" t="s">
        <v>1</v>
      </c>
      <c r="B6" s="95" t="s">
        <v>60</v>
      </c>
      <c r="C6" s="77">
        <v>0</v>
      </c>
      <c r="D6" s="42">
        <v>3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26">
        <v>0</v>
      </c>
      <c r="K6" s="27">
        <f t="shared" ref="K6:K20" si="0">SUM(C6:J6)</f>
        <v>3</v>
      </c>
      <c r="L6" s="26">
        <v>0</v>
      </c>
      <c r="M6" s="27">
        <f t="shared" ref="M6:M20" si="1">SUM(L6)</f>
        <v>0</v>
      </c>
      <c r="N6" s="27">
        <v>50</v>
      </c>
    </row>
    <row r="7" spans="1:14">
      <c r="A7" s="1" t="s">
        <v>1</v>
      </c>
      <c r="B7" s="95" t="s">
        <v>61</v>
      </c>
      <c r="C7" s="77">
        <v>0</v>
      </c>
      <c r="D7" s="42">
        <v>1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26">
        <v>0</v>
      </c>
      <c r="K7" s="27">
        <f t="shared" si="0"/>
        <v>1</v>
      </c>
      <c r="L7" s="26">
        <v>0</v>
      </c>
      <c r="M7" s="27">
        <f t="shared" si="1"/>
        <v>0</v>
      </c>
      <c r="N7" s="27">
        <v>71</v>
      </c>
    </row>
    <row r="8" spans="1:14">
      <c r="A8" s="1" t="s">
        <v>1</v>
      </c>
      <c r="B8" s="95" t="s">
        <v>62</v>
      </c>
      <c r="C8" s="77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26">
        <v>0</v>
      </c>
      <c r="K8" s="27">
        <f t="shared" si="0"/>
        <v>0</v>
      </c>
      <c r="L8" s="26">
        <v>0</v>
      </c>
      <c r="M8" s="27">
        <f t="shared" si="1"/>
        <v>0</v>
      </c>
      <c r="N8" s="27">
        <v>12</v>
      </c>
    </row>
    <row r="9" spans="1:14">
      <c r="A9" s="1" t="s">
        <v>1</v>
      </c>
      <c r="B9" s="95" t="s">
        <v>63</v>
      </c>
      <c r="C9" s="77">
        <v>3</v>
      </c>
      <c r="D9" s="42">
        <v>1</v>
      </c>
      <c r="E9" s="42">
        <v>0</v>
      </c>
      <c r="F9" s="42">
        <v>0</v>
      </c>
      <c r="G9" s="42">
        <v>1</v>
      </c>
      <c r="H9" s="42">
        <v>1</v>
      </c>
      <c r="I9" s="42">
        <v>0</v>
      </c>
      <c r="J9" s="26">
        <v>0</v>
      </c>
      <c r="K9" s="27">
        <f t="shared" si="0"/>
        <v>6</v>
      </c>
      <c r="L9" s="26">
        <v>0</v>
      </c>
      <c r="M9" s="27">
        <f t="shared" si="1"/>
        <v>0</v>
      </c>
      <c r="N9" s="27">
        <v>25</v>
      </c>
    </row>
    <row r="10" spans="1:14">
      <c r="A10" s="1" t="s">
        <v>1</v>
      </c>
      <c r="B10" s="95" t="s">
        <v>64</v>
      </c>
      <c r="C10" s="77">
        <v>0</v>
      </c>
      <c r="D10" s="42">
        <v>0</v>
      </c>
      <c r="E10" s="42">
        <v>0</v>
      </c>
      <c r="F10" s="42">
        <v>1</v>
      </c>
      <c r="G10" s="42">
        <v>0</v>
      </c>
      <c r="H10" s="42">
        <v>0</v>
      </c>
      <c r="I10" s="42">
        <v>0</v>
      </c>
      <c r="J10" s="26">
        <v>0</v>
      </c>
      <c r="K10" s="27">
        <f t="shared" si="0"/>
        <v>1</v>
      </c>
      <c r="L10" s="26">
        <v>0</v>
      </c>
      <c r="M10" s="27">
        <f t="shared" si="1"/>
        <v>0</v>
      </c>
      <c r="N10" s="27">
        <v>1</v>
      </c>
    </row>
    <row r="11" spans="1:14">
      <c r="A11" s="1" t="s">
        <v>1</v>
      </c>
      <c r="B11" s="95" t="s">
        <v>65</v>
      </c>
      <c r="C11" s="78">
        <v>0</v>
      </c>
      <c r="D11" s="44">
        <v>0</v>
      </c>
      <c r="E11" s="44">
        <v>3.6666666666666665</v>
      </c>
      <c r="F11" s="44">
        <v>3.375</v>
      </c>
      <c r="G11" s="44">
        <v>3.2083333333333335</v>
      </c>
      <c r="H11" s="44">
        <v>2.9583333333333335</v>
      </c>
      <c r="I11" s="44">
        <v>2.5</v>
      </c>
      <c r="J11" s="28">
        <v>4.291666666666667</v>
      </c>
      <c r="K11" s="29">
        <f t="shared" si="0"/>
        <v>20</v>
      </c>
      <c r="L11" s="28">
        <v>0</v>
      </c>
      <c r="M11" s="29">
        <f t="shared" si="1"/>
        <v>0</v>
      </c>
      <c r="N11" s="29">
        <v>20</v>
      </c>
    </row>
    <row r="12" spans="1:14">
      <c r="A12" s="1" t="s">
        <v>1</v>
      </c>
      <c r="B12" s="95" t="s">
        <v>66</v>
      </c>
      <c r="C12" s="78">
        <v>0</v>
      </c>
      <c r="D12" s="44">
        <v>0</v>
      </c>
      <c r="E12" s="44">
        <v>0</v>
      </c>
      <c r="F12" s="44">
        <v>1.0416666666666667</v>
      </c>
      <c r="G12" s="44">
        <v>0</v>
      </c>
      <c r="H12" s="44">
        <v>0</v>
      </c>
      <c r="I12" s="44">
        <v>0</v>
      </c>
      <c r="J12" s="28">
        <v>0</v>
      </c>
      <c r="K12" s="29">
        <f t="shared" si="0"/>
        <v>1.0416666666666667</v>
      </c>
      <c r="L12" s="28">
        <v>0</v>
      </c>
      <c r="M12" s="29">
        <f t="shared" si="1"/>
        <v>0</v>
      </c>
      <c r="N12" s="29">
        <v>1.0416666666666667</v>
      </c>
    </row>
    <row r="13" spans="1:14">
      <c r="A13" s="1" t="s">
        <v>1</v>
      </c>
      <c r="B13" s="95" t="s">
        <v>67</v>
      </c>
      <c r="C13" s="78">
        <v>0</v>
      </c>
      <c r="D13" s="44">
        <v>1.25</v>
      </c>
      <c r="E13" s="44">
        <v>0</v>
      </c>
      <c r="F13" s="44">
        <v>0</v>
      </c>
      <c r="G13" s="44">
        <v>0</v>
      </c>
      <c r="H13" s="44">
        <v>0</v>
      </c>
      <c r="I13" s="44">
        <v>4.1666666666666664E-2</v>
      </c>
      <c r="J13" s="28">
        <v>0</v>
      </c>
      <c r="K13" s="29">
        <f t="shared" si="0"/>
        <v>1.2916666666666667</v>
      </c>
      <c r="L13" s="28">
        <v>0</v>
      </c>
      <c r="M13" s="29">
        <f t="shared" si="1"/>
        <v>0</v>
      </c>
      <c r="N13" s="29">
        <v>33.791666666666664</v>
      </c>
    </row>
    <row r="14" spans="1:14">
      <c r="A14" s="1" t="s">
        <v>1</v>
      </c>
      <c r="B14" s="95" t="s">
        <v>68</v>
      </c>
      <c r="C14" s="78">
        <v>0</v>
      </c>
      <c r="D14" s="44">
        <v>0.41666666666666669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28">
        <v>0</v>
      </c>
      <c r="K14" s="29">
        <f t="shared" si="0"/>
        <v>0.41666666666666669</v>
      </c>
      <c r="L14" s="28">
        <v>0</v>
      </c>
      <c r="M14" s="29">
        <f t="shared" si="1"/>
        <v>0</v>
      </c>
      <c r="N14" s="29">
        <v>15.958333333333334</v>
      </c>
    </row>
    <row r="15" spans="1:14">
      <c r="A15" s="1" t="s">
        <v>1</v>
      </c>
      <c r="B15" s="95" t="s">
        <v>69</v>
      </c>
      <c r="C15" s="78">
        <v>0</v>
      </c>
      <c r="D15" s="44">
        <v>4.1666666666666664E-2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28">
        <v>0</v>
      </c>
      <c r="K15" s="29">
        <f t="shared" si="0"/>
        <v>4.1666666666666664E-2</v>
      </c>
      <c r="L15" s="28">
        <v>0</v>
      </c>
      <c r="M15" s="29">
        <f t="shared" si="1"/>
        <v>0</v>
      </c>
      <c r="N15" s="29">
        <v>21.041666666666668</v>
      </c>
    </row>
    <row r="16" spans="1:14">
      <c r="A16" s="1" t="s">
        <v>1</v>
      </c>
      <c r="B16" s="95" t="s">
        <v>70</v>
      </c>
      <c r="C16" s="78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28">
        <v>0</v>
      </c>
      <c r="K16" s="29">
        <f t="shared" si="0"/>
        <v>0</v>
      </c>
      <c r="L16" s="28">
        <v>0</v>
      </c>
      <c r="M16" s="29">
        <f t="shared" si="1"/>
        <v>0</v>
      </c>
      <c r="N16" s="29">
        <v>1.1666666666666667</v>
      </c>
    </row>
    <row r="17" spans="1:14">
      <c r="A17" s="1" t="s">
        <v>1</v>
      </c>
      <c r="B17" s="95" t="s">
        <v>71</v>
      </c>
      <c r="C17" s="78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28">
        <v>0</v>
      </c>
      <c r="K17" s="29">
        <f t="shared" si="0"/>
        <v>0</v>
      </c>
      <c r="L17" s="28">
        <v>0</v>
      </c>
      <c r="M17" s="29">
        <f t="shared" si="1"/>
        <v>0</v>
      </c>
      <c r="N17" s="29">
        <v>3.25</v>
      </c>
    </row>
    <row r="18" spans="1:14">
      <c r="A18" s="1" t="s">
        <v>1</v>
      </c>
      <c r="B18" s="95" t="s">
        <v>72</v>
      </c>
      <c r="C18" s="78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28">
        <v>0</v>
      </c>
      <c r="K18" s="29">
        <f t="shared" si="0"/>
        <v>0</v>
      </c>
      <c r="L18" s="28">
        <v>0</v>
      </c>
      <c r="M18" s="29">
        <f t="shared" si="1"/>
        <v>0</v>
      </c>
      <c r="N18" s="29">
        <v>1.5416666666666667</v>
      </c>
    </row>
    <row r="19" spans="1:14">
      <c r="A19" s="1" t="s">
        <v>1</v>
      </c>
      <c r="B19" s="95" t="s">
        <v>73</v>
      </c>
      <c r="C19" s="78">
        <v>0</v>
      </c>
      <c r="D19" s="44">
        <v>0</v>
      </c>
      <c r="E19" s="44">
        <v>0</v>
      </c>
      <c r="F19" s="44">
        <v>0</v>
      </c>
      <c r="G19" s="44">
        <v>0.29166666666666669</v>
      </c>
      <c r="H19" s="44">
        <v>0.29166666666666669</v>
      </c>
      <c r="I19" s="44">
        <v>0</v>
      </c>
      <c r="J19" s="28">
        <v>0</v>
      </c>
      <c r="K19" s="29">
        <f t="shared" si="0"/>
        <v>0.58333333333333337</v>
      </c>
      <c r="L19" s="28">
        <v>0</v>
      </c>
      <c r="M19" s="29">
        <f t="shared" si="1"/>
        <v>0</v>
      </c>
      <c r="N19" s="29">
        <v>0.58333333333333337</v>
      </c>
    </row>
    <row r="20" spans="1:14">
      <c r="A20" s="1" t="s">
        <v>1</v>
      </c>
      <c r="B20" s="96" t="s">
        <v>74</v>
      </c>
      <c r="C20" s="79">
        <v>0</v>
      </c>
      <c r="D20" s="46">
        <v>0</v>
      </c>
      <c r="E20" s="46">
        <v>0</v>
      </c>
      <c r="F20" s="46">
        <v>0</v>
      </c>
      <c r="G20" s="46">
        <v>2.2916666666666665</v>
      </c>
      <c r="H20" s="46">
        <v>2.0833333333333335</v>
      </c>
      <c r="I20" s="46">
        <v>0.83333333333333337</v>
      </c>
      <c r="J20" s="6">
        <v>1.25</v>
      </c>
      <c r="K20" s="7">
        <f t="shared" si="0"/>
        <v>6.458333333333333</v>
      </c>
      <c r="L20" s="6">
        <v>0.25</v>
      </c>
      <c r="M20" s="7">
        <f t="shared" si="1"/>
        <v>0.25</v>
      </c>
      <c r="N20" s="7">
        <v>18.375</v>
      </c>
    </row>
    <row r="21" spans="1:14">
      <c r="A21" s="1" t="s">
        <v>1</v>
      </c>
      <c r="B21" s="97" t="s">
        <v>75</v>
      </c>
      <c r="C21" s="80">
        <v>29</v>
      </c>
      <c r="D21" s="48">
        <v>39</v>
      </c>
      <c r="E21" s="48">
        <v>22</v>
      </c>
      <c r="F21" s="48">
        <v>22</v>
      </c>
      <c r="G21" s="48">
        <v>6</v>
      </c>
      <c r="H21" s="48">
        <v>5</v>
      </c>
      <c r="I21" s="48">
        <v>5</v>
      </c>
      <c r="J21" s="15">
        <v>20</v>
      </c>
      <c r="K21" s="16"/>
      <c r="L21" s="15">
        <v>39</v>
      </c>
      <c r="M21" s="16"/>
      <c r="N21" s="16">
        <v>0</v>
      </c>
    </row>
    <row r="22" spans="1:14">
      <c r="A22" s="1" t="s">
        <v>1</v>
      </c>
      <c r="B22" s="98" t="s">
        <v>76</v>
      </c>
      <c r="C22" s="81">
        <v>355000</v>
      </c>
      <c r="D22" s="50">
        <v>270000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31">
        <v>0</v>
      </c>
      <c r="K22" s="32">
        <f>SUM(C22:J22)</f>
        <v>625000</v>
      </c>
      <c r="L22" s="31">
        <v>365000</v>
      </c>
      <c r="M22" s="32">
        <f>SUM(L22)</f>
        <v>365000</v>
      </c>
      <c r="N22" s="32">
        <v>4396000</v>
      </c>
    </row>
    <row r="23" spans="1:14">
      <c r="A23" s="1" t="s">
        <v>1</v>
      </c>
      <c r="B23" s="95" t="s">
        <v>77</v>
      </c>
      <c r="C23" s="8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33">
        <v>0</v>
      </c>
      <c r="K23" s="34">
        <f t="shared" ref="K23:K55" si="2">SUM(C23:J23)</f>
        <v>0</v>
      </c>
      <c r="L23" s="33">
        <v>0</v>
      </c>
      <c r="M23" s="34">
        <f t="shared" ref="M23:M55" si="3">SUM(L23)</f>
        <v>0</v>
      </c>
      <c r="N23" s="34">
        <v>50000</v>
      </c>
    </row>
    <row r="24" spans="1:14">
      <c r="A24" s="1" t="s">
        <v>1</v>
      </c>
      <c r="B24" s="95" t="s">
        <v>78</v>
      </c>
      <c r="C24" s="82">
        <v>0</v>
      </c>
      <c r="D24" s="52">
        <v>3000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33">
        <v>0</v>
      </c>
      <c r="K24" s="34">
        <f t="shared" si="2"/>
        <v>3000</v>
      </c>
      <c r="L24" s="33">
        <v>0</v>
      </c>
      <c r="M24" s="34">
        <f t="shared" si="3"/>
        <v>0</v>
      </c>
      <c r="N24" s="34">
        <v>6000</v>
      </c>
    </row>
    <row r="25" spans="1:14">
      <c r="A25" s="1" t="s">
        <v>1</v>
      </c>
      <c r="B25" s="95" t="s">
        <v>79</v>
      </c>
      <c r="C25" s="8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33">
        <v>0</v>
      </c>
      <c r="K25" s="34">
        <f t="shared" si="2"/>
        <v>0</v>
      </c>
      <c r="L25" s="33">
        <v>0</v>
      </c>
      <c r="M25" s="34">
        <f t="shared" si="3"/>
        <v>0</v>
      </c>
      <c r="N25" s="34">
        <v>117859</v>
      </c>
    </row>
    <row r="26" spans="1:14">
      <c r="A26" s="1" t="s">
        <v>1</v>
      </c>
      <c r="B26" s="95" t="s">
        <v>80</v>
      </c>
      <c r="C26" s="82">
        <v>0</v>
      </c>
      <c r="D26" s="52">
        <v>1000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33">
        <v>0</v>
      </c>
      <c r="K26" s="34">
        <f t="shared" si="2"/>
        <v>1000</v>
      </c>
      <c r="L26" s="33">
        <v>0</v>
      </c>
      <c r="M26" s="34">
        <f t="shared" si="3"/>
        <v>0</v>
      </c>
      <c r="N26" s="34">
        <v>1000</v>
      </c>
    </row>
    <row r="27" spans="1:14">
      <c r="A27" s="1" t="s">
        <v>1</v>
      </c>
      <c r="B27" s="95" t="s">
        <v>81</v>
      </c>
      <c r="C27" s="82">
        <v>0</v>
      </c>
      <c r="D27" s="52">
        <v>0</v>
      </c>
      <c r="E27" s="52">
        <v>82720</v>
      </c>
      <c r="F27" s="52">
        <v>76140</v>
      </c>
      <c r="G27" s="52">
        <v>66220</v>
      </c>
      <c r="H27" s="52">
        <v>61060</v>
      </c>
      <c r="I27" s="52">
        <v>51600</v>
      </c>
      <c r="J27" s="33">
        <v>88580</v>
      </c>
      <c r="K27" s="34">
        <f t="shared" si="2"/>
        <v>426320</v>
      </c>
      <c r="L27" s="33">
        <v>0</v>
      </c>
      <c r="M27" s="34">
        <f t="shared" si="3"/>
        <v>0</v>
      </c>
      <c r="N27" s="34">
        <v>426320</v>
      </c>
    </row>
    <row r="28" spans="1:14">
      <c r="A28" s="1" t="s">
        <v>1</v>
      </c>
      <c r="B28" s="95" t="s">
        <v>82</v>
      </c>
      <c r="C28" s="82">
        <v>0</v>
      </c>
      <c r="D28" s="52">
        <v>0</v>
      </c>
      <c r="E28" s="52">
        <v>0</v>
      </c>
      <c r="F28" s="52">
        <v>24000</v>
      </c>
      <c r="G28" s="52">
        <v>0</v>
      </c>
      <c r="H28" s="52">
        <v>0</v>
      </c>
      <c r="I28" s="52">
        <v>0</v>
      </c>
      <c r="J28" s="33">
        <v>0</v>
      </c>
      <c r="K28" s="34">
        <f t="shared" si="2"/>
        <v>24000</v>
      </c>
      <c r="L28" s="33">
        <v>0</v>
      </c>
      <c r="M28" s="34">
        <f t="shared" si="3"/>
        <v>0</v>
      </c>
      <c r="N28" s="34">
        <v>24000</v>
      </c>
    </row>
    <row r="29" spans="1:14">
      <c r="A29" s="1" t="s">
        <v>1</v>
      </c>
      <c r="B29" s="95" t="s">
        <v>83</v>
      </c>
      <c r="C29" s="8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33">
        <v>0</v>
      </c>
      <c r="K29" s="34">
        <f t="shared" si="2"/>
        <v>0</v>
      </c>
      <c r="L29" s="33">
        <v>0</v>
      </c>
      <c r="M29" s="34">
        <f t="shared" si="3"/>
        <v>0</v>
      </c>
      <c r="N29" s="34">
        <v>27000</v>
      </c>
    </row>
    <row r="30" spans="1:14">
      <c r="A30" s="1" t="s">
        <v>1</v>
      </c>
      <c r="B30" s="95" t="s">
        <v>84</v>
      </c>
      <c r="C30" s="82">
        <v>0</v>
      </c>
      <c r="D30" s="52">
        <v>0</v>
      </c>
      <c r="E30" s="52">
        <v>0</v>
      </c>
      <c r="F30" s="52">
        <v>0</v>
      </c>
      <c r="G30" s="52">
        <v>6020</v>
      </c>
      <c r="H30" s="52">
        <v>6020</v>
      </c>
      <c r="I30" s="52">
        <v>0</v>
      </c>
      <c r="J30" s="33">
        <v>0</v>
      </c>
      <c r="K30" s="34">
        <f t="shared" si="2"/>
        <v>12040</v>
      </c>
      <c r="L30" s="33">
        <v>0</v>
      </c>
      <c r="M30" s="34">
        <f t="shared" si="3"/>
        <v>0</v>
      </c>
      <c r="N30" s="34">
        <v>12040</v>
      </c>
    </row>
    <row r="31" spans="1:14">
      <c r="A31" s="1" t="s">
        <v>1</v>
      </c>
      <c r="B31" s="95" t="s">
        <v>85</v>
      </c>
      <c r="C31" s="82">
        <v>0</v>
      </c>
      <c r="D31" s="52">
        <v>0</v>
      </c>
      <c r="E31" s="52">
        <v>0</v>
      </c>
      <c r="F31" s="52">
        <v>6580</v>
      </c>
      <c r="G31" s="52">
        <v>0</v>
      </c>
      <c r="H31" s="52">
        <v>0</v>
      </c>
      <c r="I31" s="52">
        <v>0</v>
      </c>
      <c r="J31" s="33">
        <v>0</v>
      </c>
      <c r="K31" s="34">
        <f t="shared" si="2"/>
        <v>6580</v>
      </c>
      <c r="L31" s="33">
        <v>0</v>
      </c>
      <c r="M31" s="34">
        <f t="shared" si="3"/>
        <v>0</v>
      </c>
      <c r="N31" s="34">
        <v>6580</v>
      </c>
    </row>
    <row r="32" spans="1:14">
      <c r="A32" s="1" t="s">
        <v>1</v>
      </c>
      <c r="B32" s="95" t="s">
        <v>86</v>
      </c>
      <c r="C32" s="82">
        <v>0</v>
      </c>
      <c r="D32" s="52">
        <v>196200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33">
        <v>0</v>
      </c>
      <c r="K32" s="34">
        <f t="shared" si="2"/>
        <v>196200</v>
      </c>
      <c r="L32" s="33">
        <v>0</v>
      </c>
      <c r="M32" s="34">
        <f t="shared" si="3"/>
        <v>0</v>
      </c>
      <c r="N32" s="34">
        <v>196200</v>
      </c>
    </row>
    <row r="33" spans="1:14">
      <c r="A33" s="1" t="s">
        <v>1</v>
      </c>
      <c r="B33" s="95" t="s">
        <v>67</v>
      </c>
      <c r="C33" s="82">
        <v>0</v>
      </c>
      <c r="D33" s="52">
        <v>61320</v>
      </c>
      <c r="E33" s="52">
        <v>0</v>
      </c>
      <c r="F33" s="52">
        <v>0</v>
      </c>
      <c r="G33" s="52">
        <v>0</v>
      </c>
      <c r="H33" s="52">
        <v>0</v>
      </c>
      <c r="I33" s="52">
        <v>1075</v>
      </c>
      <c r="J33" s="33">
        <v>0</v>
      </c>
      <c r="K33" s="34">
        <f t="shared" si="2"/>
        <v>62395</v>
      </c>
      <c r="L33" s="33">
        <v>0</v>
      </c>
      <c r="M33" s="34">
        <f t="shared" si="3"/>
        <v>0</v>
      </c>
      <c r="N33" s="34">
        <v>1134339</v>
      </c>
    </row>
    <row r="34" spans="1:14">
      <c r="A34" s="1" t="s">
        <v>1</v>
      </c>
      <c r="B34" s="95" t="s">
        <v>87</v>
      </c>
      <c r="C34" s="82">
        <v>0</v>
      </c>
      <c r="D34" s="52">
        <v>22070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33">
        <v>0</v>
      </c>
      <c r="K34" s="34">
        <f t="shared" si="2"/>
        <v>22070</v>
      </c>
      <c r="L34" s="33">
        <v>0</v>
      </c>
      <c r="M34" s="34">
        <f t="shared" si="3"/>
        <v>0</v>
      </c>
      <c r="N34" s="34">
        <v>581153</v>
      </c>
    </row>
    <row r="35" spans="1:14">
      <c r="A35" s="1" t="s">
        <v>1</v>
      </c>
      <c r="B35" s="95" t="s">
        <v>88</v>
      </c>
      <c r="C35" s="82">
        <v>0</v>
      </c>
      <c r="D35" s="52">
        <v>2207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33">
        <v>0</v>
      </c>
      <c r="K35" s="34">
        <f t="shared" si="2"/>
        <v>2207</v>
      </c>
      <c r="L35" s="33">
        <v>0</v>
      </c>
      <c r="M35" s="34">
        <f t="shared" si="3"/>
        <v>0</v>
      </c>
      <c r="N35" s="34">
        <v>746241</v>
      </c>
    </row>
    <row r="36" spans="1:14">
      <c r="A36" s="1" t="s">
        <v>1</v>
      </c>
      <c r="B36" s="95" t="s">
        <v>89</v>
      </c>
      <c r="C36" s="8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33">
        <v>0</v>
      </c>
      <c r="K36" s="34">
        <f t="shared" si="2"/>
        <v>0</v>
      </c>
      <c r="L36" s="33">
        <v>0</v>
      </c>
      <c r="M36" s="34">
        <f t="shared" si="3"/>
        <v>0</v>
      </c>
      <c r="N36" s="34">
        <v>10164</v>
      </c>
    </row>
    <row r="37" spans="1:14">
      <c r="A37" s="1" t="s">
        <v>1</v>
      </c>
      <c r="B37" s="95" t="s">
        <v>90</v>
      </c>
      <c r="C37" s="8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33">
        <v>0</v>
      </c>
      <c r="K37" s="34">
        <f t="shared" si="2"/>
        <v>0</v>
      </c>
      <c r="L37" s="33">
        <v>0</v>
      </c>
      <c r="M37" s="34">
        <f t="shared" si="3"/>
        <v>0</v>
      </c>
      <c r="N37" s="34">
        <v>30305</v>
      </c>
    </row>
    <row r="38" spans="1:14">
      <c r="A38" s="1" t="s">
        <v>1</v>
      </c>
      <c r="B38" s="95" t="s">
        <v>72</v>
      </c>
      <c r="C38" s="82">
        <v>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33">
        <v>0</v>
      </c>
      <c r="K38" s="34">
        <f t="shared" si="2"/>
        <v>0</v>
      </c>
      <c r="L38" s="33">
        <v>0</v>
      </c>
      <c r="M38" s="34">
        <f t="shared" si="3"/>
        <v>0</v>
      </c>
      <c r="N38" s="34">
        <v>10393</v>
      </c>
    </row>
    <row r="39" spans="1:14">
      <c r="A39" s="1" t="s">
        <v>1</v>
      </c>
      <c r="B39" s="96" t="s">
        <v>74</v>
      </c>
      <c r="C39" s="83">
        <v>0</v>
      </c>
      <c r="D39" s="54">
        <v>0</v>
      </c>
      <c r="E39" s="54">
        <v>0</v>
      </c>
      <c r="F39" s="54">
        <v>0</v>
      </c>
      <c r="G39" s="54">
        <v>11825</v>
      </c>
      <c r="H39" s="54">
        <v>10750</v>
      </c>
      <c r="I39" s="54">
        <v>4300</v>
      </c>
      <c r="J39" s="8">
        <v>6450</v>
      </c>
      <c r="K39" s="9">
        <f t="shared" si="2"/>
        <v>33325</v>
      </c>
      <c r="L39" s="8">
        <v>3282</v>
      </c>
      <c r="M39" s="9">
        <f t="shared" si="3"/>
        <v>3282</v>
      </c>
      <c r="N39" s="9">
        <v>114193</v>
      </c>
    </row>
    <row r="40" spans="1:14">
      <c r="A40" s="1" t="s">
        <v>1</v>
      </c>
      <c r="B40" s="97" t="s">
        <v>91</v>
      </c>
      <c r="C40" s="84">
        <v>355000</v>
      </c>
      <c r="D40" s="56">
        <v>555797</v>
      </c>
      <c r="E40" s="56">
        <v>82720</v>
      </c>
      <c r="F40" s="56">
        <v>106720</v>
      </c>
      <c r="G40" s="56">
        <v>84065</v>
      </c>
      <c r="H40" s="56">
        <v>77830</v>
      </c>
      <c r="I40" s="56">
        <v>56975</v>
      </c>
      <c r="J40" s="17">
        <v>95030</v>
      </c>
      <c r="K40" s="18">
        <f t="shared" si="2"/>
        <v>1414137</v>
      </c>
      <c r="L40" s="17">
        <v>368282</v>
      </c>
      <c r="M40" s="18">
        <f t="shared" si="3"/>
        <v>368282</v>
      </c>
      <c r="N40" s="18">
        <v>7889787</v>
      </c>
    </row>
    <row r="41" spans="1:14">
      <c r="A41" s="1" t="s">
        <v>1</v>
      </c>
      <c r="B41" s="96" t="s">
        <v>92</v>
      </c>
      <c r="C41" s="83">
        <v>2929</v>
      </c>
      <c r="D41" s="54">
        <v>5319</v>
      </c>
      <c r="E41" s="54">
        <v>2878</v>
      </c>
      <c r="F41" s="54">
        <v>2184</v>
      </c>
      <c r="G41" s="54">
        <v>3392</v>
      </c>
      <c r="H41" s="54">
        <v>4111</v>
      </c>
      <c r="I41" s="54">
        <v>2672</v>
      </c>
      <c r="J41" s="8">
        <v>7194</v>
      </c>
      <c r="K41" s="9">
        <f t="shared" si="2"/>
        <v>30679</v>
      </c>
      <c r="L41" s="8">
        <v>7348</v>
      </c>
      <c r="M41" s="9">
        <f t="shared" si="3"/>
        <v>7348</v>
      </c>
      <c r="N41" s="9">
        <v>153472</v>
      </c>
    </row>
    <row r="42" spans="1:14">
      <c r="A42" s="1" t="s">
        <v>1</v>
      </c>
      <c r="B42" s="99" t="s">
        <v>93</v>
      </c>
      <c r="C42" s="85">
        <v>2929</v>
      </c>
      <c r="D42" s="58">
        <v>5319</v>
      </c>
      <c r="E42" s="58">
        <v>2878</v>
      </c>
      <c r="F42" s="58">
        <v>2184</v>
      </c>
      <c r="G42" s="58">
        <v>3392</v>
      </c>
      <c r="H42" s="58">
        <v>4111</v>
      </c>
      <c r="I42" s="58">
        <v>2672</v>
      </c>
      <c r="J42" s="20">
        <v>7194</v>
      </c>
      <c r="K42" s="21">
        <f t="shared" si="2"/>
        <v>30679</v>
      </c>
      <c r="L42" s="20">
        <v>7348</v>
      </c>
      <c r="M42" s="21">
        <f t="shared" si="3"/>
        <v>7348</v>
      </c>
      <c r="N42" s="21">
        <v>153472</v>
      </c>
    </row>
    <row r="43" spans="1:14">
      <c r="A43" s="1" t="s">
        <v>1</v>
      </c>
      <c r="B43" s="97" t="s">
        <v>94</v>
      </c>
      <c r="C43" s="84">
        <v>357929</v>
      </c>
      <c r="D43" s="56">
        <v>561116</v>
      </c>
      <c r="E43" s="56">
        <v>85598</v>
      </c>
      <c r="F43" s="56">
        <v>108904</v>
      </c>
      <c r="G43" s="56">
        <v>87457</v>
      </c>
      <c r="H43" s="56">
        <v>81941</v>
      </c>
      <c r="I43" s="56">
        <v>59647</v>
      </c>
      <c r="J43" s="17">
        <v>102224</v>
      </c>
      <c r="K43" s="18">
        <f t="shared" si="2"/>
        <v>1444816</v>
      </c>
      <c r="L43" s="17">
        <v>375630</v>
      </c>
      <c r="M43" s="18">
        <f t="shared" si="3"/>
        <v>375630</v>
      </c>
      <c r="N43" s="18">
        <v>8043259</v>
      </c>
    </row>
    <row r="44" spans="1:14">
      <c r="A44" s="1" t="s">
        <v>1</v>
      </c>
      <c r="B44" s="98" t="s">
        <v>95</v>
      </c>
      <c r="C44" s="81">
        <v>19380</v>
      </c>
      <c r="D44" s="50">
        <v>20910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31">
        <v>0</v>
      </c>
      <c r="K44" s="32">
        <f t="shared" si="2"/>
        <v>40290</v>
      </c>
      <c r="L44" s="31">
        <v>19380</v>
      </c>
      <c r="M44" s="32">
        <f t="shared" si="3"/>
        <v>19380</v>
      </c>
      <c r="N44" s="32">
        <v>369750</v>
      </c>
    </row>
    <row r="45" spans="1:14">
      <c r="A45" s="1" t="s">
        <v>1</v>
      </c>
      <c r="B45" s="95" t="s">
        <v>96</v>
      </c>
      <c r="C45" s="82">
        <v>3420</v>
      </c>
      <c r="D45" s="52">
        <v>3690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33">
        <v>0</v>
      </c>
      <c r="K45" s="34">
        <f t="shared" si="2"/>
        <v>7110</v>
      </c>
      <c r="L45" s="33">
        <v>3420</v>
      </c>
      <c r="M45" s="34">
        <f t="shared" si="3"/>
        <v>3420</v>
      </c>
      <c r="N45" s="34">
        <v>65250</v>
      </c>
    </row>
    <row r="46" spans="1:14">
      <c r="A46" s="1" t="s">
        <v>1</v>
      </c>
      <c r="B46" s="95" t="s">
        <v>97</v>
      </c>
      <c r="C46" s="82">
        <v>34770</v>
      </c>
      <c r="D46" s="52">
        <v>37515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33">
        <v>0</v>
      </c>
      <c r="K46" s="34">
        <f t="shared" si="2"/>
        <v>72285</v>
      </c>
      <c r="L46" s="33">
        <v>34770</v>
      </c>
      <c r="M46" s="34">
        <f t="shared" si="3"/>
        <v>34770</v>
      </c>
      <c r="N46" s="34">
        <v>663375</v>
      </c>
    </row>
    <row r="47" spans="1:14">
      <c r="A47" s="1" t="s">
        <v>1</v>
      </c>
      <c r="B47" s="111" t="s">
        <v>98</v>
      </c>
      <c r="C47" s="112">
        <v>2148</v>
      </c>
      <c r="D47" s="103">
        <v>3367</v>
      </c>
      <c r="E47" s="103">
        <v>514</v>
      </c>
      <c r="F47" s="103">
        <v>653</v>
      </c>
      <c r="G47" s="103">
        <v>0</v>
      </c>
      <c r="H47" s="103">
        <v>0</v>
      </c>
      <c r="I47" s="103">
        <v>0</v>
      </c>
      <c r="J47" s="104">
        <v>613</v>
      </c>
      <c r="K47" s="105">
        <f t="shared" si="2"/>
        <v>7295</v>
      </c>
      <c r="L47" s="104">
        <v>2254</v>
      </c>
      <c r="M47" s="105">
        <f t="shared" si="3"/>
        <v>2254</v>
      </c>
      <c r="N47" s="105">
        <v>46886</v>
      </c>
    </row>
    <row r="48" spans="1:14">
      <c r="A48" s="1" t="s">
        <v>1</v>
      </c>
      <c r="B48" s="97" t="s">
        <v>99</v>
      </c>
      <c r="C48" s="84">
        <v>59718</v>
      </c>
      <c r="D48" s="56">
        <v>65482</v>
      </c>
      <c r="E48" s="56">
        <v>514</v>
      </c>
      <c r="F48" s="56">
        <v>653</v>
      </c>
      <c r="G48" s="56">
        <v>0</v>
      </c>
      <c r="H48" s="56">
        <v>0</v>
      </c>
      <c r="I48" s="56">
        <v>0</v>
      </c>
      <c r="J48" s="17">
        <v>613</v>
      </c>
      <c r="K48" s="18">
        <f t="shared" si="2"/>
        <v>126980</v>
      </c>
      <c r="L48" s="17">
        <v>59824</v>
      </c>
      <c r="M48" s="18">
        <f t="shared" si="3"/>
        <v>59824</v>
      </c>
      <c r="N48" s="18">
        <v>1145261</v>
      </c>
    </row>
    <row r="49" spans="1:14">
      <c r="A49" s="1" t="s">
        <v>1</v>
      </c>
      <c r="B49" s="113" t="s">
        <v>100</v>
      </c>
      <c r="C49" s="114">
        <v>8170</v>
      </c>
      <c r="D49" s="108">
        <v>21600</v>
      </c>
      <c r="E49" s="108">
        <v>0</v>
      </c>
      <c r="F49" s="108">
        <v>1030</v>
      </c>
      <c r="G49" s="108">
        <v>0</v>
      </c>
      <c r="H49" s="108">
        <v>0</v>
      </c>
      <c r="I49" s="108">
        <v>0</v>
      </c>
      <c r="J49" s="109">
        <v>0</v>
      </c>
      <c r="K49" s="110">
        <f t="shared" si="2"/>
        <v>30800</v>
      </c>
      <c r="L49" s="109">
        <v>9070</v>
      </c>
      <c r="M49" s="110">
        <f t="shared" si="3"/>
        <v>9070</v>
      </c>
      <c r="N49" s="110">
        <v>170720</v>
      </c>
    </row>
    <row r="50" spans="1:14">
      <c r="A50" s="1" t="s">
        <v>1</v>
      </c>
      <c r="B50" s="95" t="s">
        <v>101</v>
      </c>
      <c r="C50" s="8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33">
        <v>0</v>
      </c>
      <c r="K50" s="34">
        <f t="shared" si="2"/>
        <v>0</v>
      </c>
      <c r="L50" s="33">
        <v>0</v>
      </c>
      <c r="M50" s="34">
        <f t="shared" si="3"/>
        <v>0</v>
      </c>
      <c r="N50" s="34">
        <v>18200</v>
      </c>
    </row>
    <row r="51" spans="1:14">
      <c r="A51" s="1" t="s">
        <v>1</v>
      </c>
      <c r="B51" s="96" t="s">
        <v>102</v>
      </c>
      <c r="C51" s="83">
        <v>15200</v>
      </c>
      <c r="D51" s="54">
        <v>16300</v>
      </c>
      <c r="E51" s="54">
        <v>600</v>
      </c>
      <c r="F51" s="54">
        <v>500</v>
      </c>
      <c r="G51" s="54">
        <v>0</v>
      </c>
      <c r="H51" s="54">
        <v>0</v>
      </c>
      <c r="I51" s="54">
        <v>0</v>
      </c>
      <c r="J51" s="8">
        <v>11600</v>
      </c>
      <c r="K51" s="9">
        <f t="shared" si="2"/>
        <v>44200</v>
      </c>
      <c r="L51" s="8">
        <v>17800</v>
      </c>
      <c r="M51" s="9">
        <f t="shared" si="3"/>
        <v>17800</v>
      </c>
      <c r="N51" s="9">
        <v>258100</v>
      </c>
    </row>
    <row r="52" spans="1:14">
      <c r="A52" s="1" t="s">
        <v>1</v>
      </c>
      <c r="B52" s="97" t="s">
        <v>103</v>
      </c>
      <c r="C52" s="84">
        <v>83088</v>
      </c>
      <c r="D52" s="56">
        <v>103382</v>
      </c>
      <c r="E52" s="56">
        <v>1114</v>
      </c>
      <c r="F52" s="56">
        <v>2183</v>
      </c>
      <c r="G52" s="56">
        <v>0</v>
      </c>
      <c r="H52" s="56">
        <v>0</v>
      </c>
      <c r="I52" s="56">
        <v>0</v>
      </c>
      <c r="J52" s="17">
        <v>12213</v>
      </c>
      <c r="K52" s="18">
        <f t="shared" si="2"/>
        <v>201980</v>
      </c>
      <c r="L52" s="17">
        <v>86694</v>
      </c>
      <c r="M52" s="18">
        <f t="shared" si="3"/>
        <v>86694</v>
      </c>
      <c r="N52" s="18">
        <v>1592281</v>
      </c>
    </row>
    <row r="53" spans="1:14">
      <c r="A53" s="1" t="s">
        <v>1</v>
      </c>
      <c r="B53" s="96" t="s">
        <v>104</v>
      </c>
      <c r="C53" s="83">
        <v>295282</v>
      </c>
      <c r="D53" s="54">
        <v>490315</v>
      </c>
      <c r="E53" s="54">
        <v>82206</v>
      </c>
      <c r="F53" s="54">
        <v>106067</v>
      </c>
      <c r="G53" s="54">
        <v>84065</v>
      </c>
      <c r="H53" s="54">
        <v>77830</v>
      </c>
      <c r="I53" s="54">
        <v>56975</v>
      </c>
      <c r="J53" s="8">
        <v>94417</v>
      </c>
      <c r="K53" s="9">
        <f t="shared" si="2"/>
        <v>1287157</v>
      </c>
      <c r="L53" s="8">
        <v>308458</v>
      </c>
      <c r="M53" s="9">
        <f t="shared" si="3"/>
        <v>308458</v>
      </c>
      <c r="N53" s="9">
        <v>6744526</v>
      </c>
    </row>
    <row r="54" spans="1:14">
      <c r="A54" s="1" t="s">
        <v>1</v>
      </c>
      <c r="B54" s="97" t="s">
        <v>105</v>
      </c>
      <c r="C54" s="84">
        <v>274841</v>
      </c>
      <c r="D54" s="56">
        <v>457734</v>
      </c>
      <c r="E54" s="56">
        <v>84484</v>
      </c>
      <c r="F54" s="56">
        <v>106721</v>
      </c>
      <c r="G54" s="56">
        <v>87457</v>
      </c>
      <c r="H54" s="56">
        <v>81941</v>
      </c>
      <c r="I54" s="56">
        <v>59647</v>
      </c>
      <c r="J54" s="17">
        <v>90011</v>
      </c>
      <c r="K54" s="18">
        <f t="shared" si="2"/>
        <v>1242836</v>
      </c>
      <c r="L54" s="17">
        <v>288936</v>
      </c>
      <c r="M54" s="18">
        <f t="shared" si="3"/>
        <v>288936</v>
      </c>
      <c r="N54" s="18">
        <v>6450978</v>
      </c>
    </row>
    <row r="55" spans="1:14">
      <c r="A55" s="1" t="s">
        <v>1</v>
      </c>
      <c r="B55" s="97" t="s">
        <v>106</v>
      </c>
      <c r="C55" s="84">
        <v>274841</v>
      </c>
      <c r="D55" s="56">
        <v>457734</v>
      </c>
      <c r="E55" s="56">
        <v>84484</v>
      </c>
      <c r="F55" s="56">
        <v>106721</v>
      </c>
      <c r="G55" s="56">
        <v>87457</v>
      </c>
      <c r="H55" s="56">
        <v>81941</v>
      </c>
      <c r="I55" s="56">
        <v>59647</v>
      </c>
      <c r="J55" s="17">
        <v>90011</v>
      </c>
      <c r="K55" s="18">
        <f t="shared" si="2"/>
        <v>1242836</v>
      </c>
      <c r="L55" s="17">
        <v>288936</v>
      </c>
      <c r="M55" s="18">
        <f t="shared" si="3"/>
        <v>288936</v>
      </c>
      <c r="N55" s="18">
        <v>6450978</v>
      </c>
    </row>
    <row r="56" spans="1:14">
      <c r="A56" s="1" t="s">
        <v>1</v>
      </c>
      <c r="B56" s="97" t="s">
        <v>107</v>
      </c>
      <c r="C56" s="84">
        <v>0</v>
      </c>
      <c r="D56" s="56">
        <v>1</v>
      </c>
      <c r="E56" s="56">
        <v>0</v>
      </c>
      <c r="F56" s="56">
        <v>0</v>
      </c>
      <c r="G56" s="56">
        <v>1</v>
      </c>
      <c r="H56" s="56">
        <v>1</v>
      </c>
      <c r="I56" s="56">
        <v>1</v>
      </c>
      <c r="J56" s="17">
        <v>1</v>
      </c>
      <c r="K56" s="18"/>
      <c r="L56" s="17">
        <v>0</v>
      </c>
      <c r="M56" s="18"/>
      <c r="N56" s="18"/>
    </row>
    <row r="57" spans="1:14" ht="19.5" thickBot="1">
      <c r="A57" s="1" t="s">
        <v>1</v>
      </c>
      <c r="B57" s="100" t="s">
        <v>108</v>
      </c>
      <c r="C57" s="86" t="s">
        <v>109</v>
      </c>
      <c r="D57" s="60" t="s">
        <v>109</v>
      </c>
      <c r="E57" s="60" t="s">
        <v>109</v>
      </c>
      <c r="F57" s="60" t="s">
        <v>109</v>
      </c>
      <c r="G57" s="60" t="s">
        <v>109</v>
      </c>
      <c r="H57" s="60" t="s">
        <v>109</v>
      </c>
      <c r="I57" s="60" t="s">
        <v>109</v>
      </c>
      <c r="J57" s="11" t="s">
        <v>109</v>
      </c>
      <c r="K57" s="12"/>
      <c r="L57" s="11" t="s">
        <v>109</v>
      </c>
      <c r="M57" s="12"/>
      <c r="N57" s="12"/>
    </row>
    <row r="59" spans="1:14">
      <c r="E59" s="2">
        <f>E27/88</f>
        <v>940</v>
      </c>
      <c r="F59" s="2">
        <f>F27/81</f>
        <v>940</v>
      </c>
    </row>
  </sheetData>
  <phoneticPr fontId="3"/>
  <pageMargins left="0.31496062992125984" right="0.70866141732283472" top="0.15748031496062992" bottom="0.15748031496062992" header="0.11811023622047245" footer="0.51181102362204722"/>
  <pageSetup paperSize="12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9171-3283-4BED-A12B-908B99DFDC86}">
  <sheetPr>
    <pageSetUpPr fitToPage="1"/>
  </sheetPr>
  <dimension ref="A1:V57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3" width="10.5" style="2" customWidth="1"/>
    <col min="24" max="247" width="9" style="2"/>
    <col min="248" max="248" width="2.375" style="2" customWidth="1"/>
    <col min="249" max="249" width="13.25" style="2" bestFit="1" customWidth="1"/>
    <col min="250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69" width="11.125" style="2" bestFit="1" customWidth="1"/>
    <col min="270" max="270" width="9" style="2"/>
    <col min="271" max="277" width="11.125" style="2" bestFit="1" customWidth="1"/>
    <col min="278" max="278" width="9.625" style="2" bestFit="1" customWidth="1"/>
    <col min="279" max="503" width="9" style="2"/>
    <col min="504" max="504" width="2.375" style="2" customWidth="1"/>
    <col min="505" max="505" width="13.25" style="2" bestFit="1" customWidth="1"/>
    <col min="506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25" width="11.125" style="2" bestFit="1" customWidth="1"/>
    <col min="526" max="526" width="9" style="2"/>
    <col min="527" max="533" width="11.125" style="2" bestFit="1" customWidth="1"/>
    <col min="534" max="534" width="9.625" style="2" bestFit="1" customWidth="1"/>
    <col min="535" max="759" width="9" style="2"/>
    <col min="760" max="760" width="2.375" style="2" customWidth="1"/>
    <col min="761" max="761" width="13.25" style="2" bestFit="1" customWidth="1"/>
    <col min="762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81" width="11.125" style="2" bestFit="1" customWidth="1"/>
    <col min="782" max="782" width="9" style="2"/>
    <col min="783" max="789" width="11.125" style="2" bestFit="1" customWidth="1"/>
    <col min="790" max="790" width="9.625" style="2" bestFit="1" customWidth="1"/>
    <col min="791" max="1015" width="9" style="2"/>
    <col min="1016" max="1016" width="2.375" style="2" customWidth="1"/>
    <col min="1017" max="1017" width="13.25" style="2" bestFit="1" customWidth="1"/>
    <col min="1018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37" width="11.125" style="2" bestFit="1" customWidth="1"/>
    <col min="1038" max="1038" width="9" style="2"/>
    <col min="1039" max="1045" width="11.125" style="2" bestFit="1" customWidth="1"/>
    <col min="1046" max="1046" width="9.625" style="2" bestFit="1" customWidth="1"/>
    <col min="1047" max="1271" width="9" style="2"/>
    <col min="1272" max="1272" width="2.375" style="2" customWidth="1"/>
    <col min="1273" max="1273" width="13.25" style="2" bestFit="1" customWidth="1"/>
    <col min="1274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93" width="11.125" style="2" bestFit="1" customWidth="1"/>
    <col min="1294" max="1294" width="9" style="2"/>
    <col min="1295" max="1301" width="11.125" style="2" bestFit="1" customWidth="1"/>
    <col min="1302" max="1302" width="9.625" style="2" bestFit="1" customWidth="1"/>
    <col min="1303" max="1527" width="9" style="2"/>
    <col min="1528" max="1528" width="2.375" style="2" customWidth="1"/>
    <col min="1529" max="1529" width="13.25" style="2" bestFit="1" customWidth="1"/>
    <col min="1530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49" width="11.125" style="2" bestFit="1" customWidth="1"/>
    <col min="1550" max="1550" width="9" style="2"/>
    <col min="1551" max="1557" width="11.125" style="2" bestFit="1" customWidth="1"/>
    <col min="1558" max="1558" width="9.625" style="2" bestFit="1" customWidth="1"/>
    <col min="1559" max="1783" width="9" style="2"/>
    <col min="1784" max="1784" width="2.375" style="2" customWidth="1"/>
    <col min="1785" max="1785" width="13.25" style="2" bestFit="1" customWidth="1"/>
    <col min="1786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805" width="11.125" style="2" bestFit="1" customWidth="1"/>
    <col min="1806" max="1806" width="9" style="2"/>
    <col min="1807" max="1813" width="11.125" style="2" bestFit="1" customWidth="1"/>
    <col min="1814" max="1814" width="9.625" style="2" bestFit="1" customWidth="1"/>
    <col min="1815" max="2039" width="9" style="2"/>
    <col min="2040" max="2040" width="2.375" style="2" customWidth="1"/>
    <col min="2041" max="2041" width="13.25" style="2" bestFit="1" customWidth="1"/>
    <col min="2042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61" width="11.125" style="2" bestFit="1" customWidth="1"/>
    <col min="2062" max="2062" width="9" style="2"/>
    <col min="2063" max="2069" width="11.125" style="2" bestFit="1" customWidth="1"/>
    <col min="2070" max="2070" width="9.625" style="2" bestFit="1" customWidth="1"/>
    <col min="2071" max="2295" width="9" style="2"/>
    <col min="2296" max="2296" width="2.375" style="2" customWidth="1"/>
    <col min="2297" max="2297" width="13.25" style="2" bestFit="1" customWidth="1"/>
    <col min="2298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17" width="11.125" style="2" bestFit="1" customWidth="1"/>
    <col min="2318" max="2318" width="9" style="2"/>
    <col min="2319" max="2325" width="11.125" style="2" bestFit="1" customWidth="1"/>
    <col min="2326" max="2326" width="9.625" style="2" bestFit="1" customWidth="1"/>
    <col min="2327" max="2551" width="9" style="2"/>
    <col min="2552" max="2552" width="2.375" style="2" customWidth="1"/>
    <col min="2553" max="2553" width="13.25" style="2" bestFit="1" customWidth="1"/>
    <col min="2554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73" width="11.125" style="2" bestFit="1" customWidth="1"/>
    <col min="2574" max="2574" width="9" style="2"/>
    <col min="2575" max="2581" width="11.125" style="2" bestFit="1" customWidth="1"/>
    <col min="2582" max="2582" width="9.625" style="2" bestFit="1" customWidth="1"/>
    <col min="2583" max="2807" width="9" style="2"/>
    <col min="2808" max="2808" width="2.375" style="2" customWidth="1"/>
    <col min="2809" max="2809" width="13.25" style="2" bestFit="1" customWidth="1"/>
    <col min="2810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29" width="11.125" style="2" bestFit="1" customWidth="1"/>
    <col min="2830" max="2830" width="9" style="2"/>
    <col min="2831" max="2837" width="11.125" style="2" bestFit="1" customWidth="1"/>
    <col min="2838" max="2838" width="9.625" style="2" bestFit="1" customWidth="1"/>
    <col min="2839" max="3063" width="9" style="2"/>
    <col min="3064" max="3064" width="2.375" style="2" customWidth="1"/>
    <col min="3065" max="3065" width="13.25" style="2" bestFit="1" customWidth="1"/>
    <col min="3066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85" width="11.125" style="2" bestFit="1" customWidth="1"/>
    <col min="3086" max="3086" width="9" style="2"/>
    <col min="3087" max="3093" width="11.125" style="2" bestFit="1" customWidth="1"/>
    <col min="3094" max="3094" width="9.625" style="2" bestFit="1" customWidth="1"/>
    <col min="3095" max="3319" width="9" style="2"/>
    <col min="3320" max="3320" width="2.375" style="2" customWidth="1"/>
    <col min="3321" max="3321" width="13.25" style="2" bestFit="1" customWidth="1"/>
    <col min="3322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41" width="11.125" style="2" bestFit="1" customWidth="1"/>
    <col min="3342" max="3342" width="9" style="2"/>
    <col min="3343" max="3349" width="11.125" style="2" bestFit="1" customWidth="1"/>
    <col min="3350" max="3350" width="9.625" style="2" bestFit="1" customWidth="1"/>
    <col min="3351" max="3575" width="9" style="2"/>
    <col min="3576" max="3576" width="2.375" style="2" customWidth="1"/>
    <col min="3577" max="3577" width="13.25" style="2" bestFit="1" customWidth="1"/>
    <col min="3578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97" width="11.125" style="2" bestFit="1" customWidth="1"/>
    <col min="3598" max="3598" width="9" style="2"/>
    <col min="3599" max="3605" width="11.125" style="2" bestFit="1" customWidth="1"/>
    <col min="3606" max="3606" width="9.625" style="2" bestFit="1" customWidth="1"/>
    <col min="3607" max="3831" width="9" style="2"/>
    <col min="3832" max="3832" width="2.375" style="2" customWidth="1"/>
    <col min="3833" max="3833" width="13.25" style="2" bestFit="1" customWidth="1"/>
    <col min="3834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53" width="11.125" style="2" bestFit="1" customWidth="1"/>
    <col min="3854" max="3854" width="9" style="2"/>
    <col min="3855" max="3861" width="11.125" style="2" bestFit="1" customWidth="1"/>
    <col min="3862" max="3862" width="9.625" style="2" bestFit="1" customWidth="1"/>
    <col min="3863" max="4087" width="9" style="2"/>
    <col min="4088" max="4088" width="2.375" style="2" customWidth="1"/>
    <col min="4089" max="4089" width="13.25" style="2" bestFit="1" customWidth="1"/>
    <col min="4090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109" width="11.125" style="2" bestFit="1" customWidth="1"/>
    <col min="4110" max="4110" width="9" style="2"/>
    <col min="4111" max="4117" width="11.125" style="2" bestFit="1" customWidth="1"/>
    <col min="4118" max="4118" width="9.625" style="2" bestFit="1" customWidth="1"/>
    <col min="4119" max="4343" width="9" style="2"/>
    <col min="4344" max="4344" width="2.375" style="2" customWidth="1"/>
    <col min="4345" max="4345" width="13.25" style="2" bestFit="1" customWidth="1"/>
    <col min="4346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65" width="11.125" style="2" bestFit="1" customWidth="1"/>
    <col min="4366" max="4366" width="9" style="2"/>
    <col min="4367" max="4373" width="11.125" style="2" bestFit="1" customWidth="1"/>
    <col min="4374" max="4374" width="9.625" style="2" bestFit="1" customWidth="1"/>
    <col min="4375" max="4599" width="9" style="2"/>
    <col min="4600" max="4600" width="2.375" style="2" customWidth="1"/>
    <col min="4601" max="4601" width="13.25" style="2" bestFit="1" customWidth="1"/>
    <col min="4602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21" width="11.125" style="2" bestFit="1" customWidth="1"/>
    <col min="4622" max="4622" width="9" style="2"/>
    <col min="4623" max="4629" width="11.125" style="2" bestFit="1" customWidth="1"/>
    <col min="4630" max="4630" width="9.625" style="2" bestFit="1" customWidth="1"/>
    <col min="4631" max="4855" width="9" style="2"/>
    <col min="4856" max="4856" width="2.375" style="2" customWidth="1"/>
    <col min="4857" max="4857" width="13.25" style="2" bestFit="1" customWidth="1"/>
    <col min="4858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77" width="11.125" style="2" bestFit="1" customWidth="1"/>
    <col min="4878" max="4878" width="9" style="2"/>
    <col min="4879" max="4885" width="11.125" style="2" bestFit="1" customWidth="1"/>
    <col min="4886" max="4886" width="9.625" style="2" bestFit="1" customWidth="1"/>
    <col min="4887" max="5111" width="9" style="2"/>
    <col min="5112" max="5112" width="2.375" style="2" customWidth="1"/>
    <col min="5113" max="5113" width="13.25" style="2" bestFit="1" customWidth="1"/>
    <col min="5114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33" width="11.125" style="2" bestFit="1" customWidth="1"/>
    <col min="5134" max="5134" width="9" style="2"/>
    <col min="5135" max="5141" width="11.125" style="2" bestFit="1" customWidth="1"/>
    <col min="5142" max="5142" width="9.625" style="2" bestFit="1" customWidth="1"/>
    <col min="5143" max="5367" width="9" style="2"/>
    <col min="5368" max="5368" width="2.375" style="2" customWidth="1"/>
    <col min="5369" max="5369" width="13.25" style="2" bestFit="1" customWidth="1"/>
    <col min="5370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89" width="11.125" style="2" bestFit="1" customWidth="1"/>
    <col min="5390" max="5390" width="9" style="2"/>
    <col min="5391" max="5397" width="11.125" style="2" bestFit="1" customWidth="1"/>
    <col min="5398" max="5398" width="9.625" style="2" bestFit="1" customWidth="1"/>
    <col min="5399" max="5623" width="9" style="2"/>
    <col min="5624" max="5624" width="2.375" style="2" customWidth="1"/>
    <col min="5625" max="5625" width="13.25" style="2" bestFit="1" customWidth="1"/>
    <col min="5626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45" width="11.125" style="2" bestFit="1" customWidth="1"/>
    <col min="5646" max="5646" width="9" style="2"/>
    <col min="5647" max="5653" width="11.125" style="2" bestFit="1" customWidth="1"/>
    <col min="5654" max="5654" width="9.625" style="2" bestFit="1" customWidth="1"/>
    <col min="5655" max="5879" width="9" style="2"/>
    <col min="5880" max="5880" width="2.375" style="2" customWidth="1"/>
    <col min="5881" max="5881" width="13.25" style="2" bestFit="1" customWidth="1"/>
    <col min="5882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901" width="11.125" style="2" bestFit="1" customWidth="1"/>
    <col min="5902" max="5902" width="9" style="2"/>
    <col min="5903" max="5909" width="11.125" style="2" bestFit="1" customWidth="1"/>
    <col min="5910" max="5910" width="9.625" style="2" bestFit="1" customWidth="1"/>
    <col min="5911" max="6135" width="9" style="2"/>
    <col min="6136" max="6136" width="2.375" style="2" customWidth="1"/>
    <col min="6137" max="6137" width="13.25" style="2" bestFit="1" customWidth="1"/>
    <col min="6138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57" width="11.125" style="2" bestFit="1" customWidth="1"/>
    <col min="6158" max="6158" width="9" style="2"/>
    <col min="6159" max="6165" width="11.125" style="2" bestFit="1" customWidth="1"/>
    <col min="6166" max="6166" width="9.625" style="2" bestFit="1" customWidth="1"/>
    <col min="6167" max="6391" width="9" style="2"/>
    <col min="6392" max="6392" width="2.375" style="2" customWidth="1"/>
    <col min="6393" max="6393" width="13.25" style="2" bestFit="1" customWidth="1"/>
    <col min="6394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13" width="11.125" style="2" bestFit="1" customWidth="1"/>
    <col min="6414" max="6414" width="9" style="2"/>
    <col min="6415" max="6421" width="11.125" style="2" bestFit="1" customWidth="1"/>
    <col min="6422" max="6422" width="9.625" style="2" bestFit="1" customWidth="1"/>
    <col min="6423" max="6647" width="9" style="2"/>
    <col min="6648" max="6648" width="2.375" style="2" customWidth="1"/>
    <col min="6649" max="6649" width="13.25" style="2" bestFit="1" customWidth="1"/>
    <col min="6650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69" width="11.125" style="2" bestFit="1" customWidth="1"/>
    <col min="6670" max="6670" width="9" style="2"/>
    <col min="6671" max="6677" width="11.125" style="2" bestFit="1" customWidth="1"/>
    <col min="6678" max="6678" width="9.625" style="2" bestFit="1" customWidth="1"/>
    <col min="6679" max="6903" width="9" style="2"/>
    <col min="6904" max="6904" width="2.375" style="2" customWidth="1"/>
    <col min="6905" max="6905" width="13.25" style="2" bestFit="1" customWidth="1"/>
    <col min="6906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25" width="11.125" style="2" bestFit="1" customWidth="1"/>
    <col min="6926" max="6926" width="9" style="2"/>
    <col min="6927" max="6933" width="11.125" style="2" bestFit="1" customWidth="1"/>
    <col min="6934" max="6934" width="9.625" style="2" bestFit="1" customWidth="1"/>
    <col min="6935" max="7159" width="9" style="2"/>
    <col min="7160" max="7160" width="2.375" style="2" customWidth="1"/>
    <col min="7161" max="7161" width="13.25" style="2" bestFit="1" customWidth="1"/>
    <col min="7162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81" width="11.125" style="2" bestFit="1" customWidth="1"/>
    <col min="7182" max="7182" width="9" style="2"/>
    <col min="7183" max="7189" width="11.125" style="2" bestFit="1" customWidth="1"/>
    <col min="7190" max="7190" width="9.625" style="2" bestFit="1" customWidth="1"/>
    <col min="7191" max="7415" width="9" style="2"/>
    <col min="7416" max="7416" width="2.375" style="2" customWidth="1"/>
    <col min="7417" max="7417" width="13.25" style="2" bestFit="1" customWidth="1"/>
    <col min="7418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37" width="11.125" style="2" bestFit="1" customWidth="1"/>
    <col min="7438" max="7438" width="9" style="2"/>
    <col min="7439" max="7445" width="11.125" style="2" bestFit="1" customWidth="1"/>
    <col min="7446" max="7446" width="9.625" style="2" bestFit="1" customWidth="1"/>
    <col min="7447" max="7671" width="9" style="2"/>
    <col min="7672" max="7672" width="2.375" style="2" customWidth="1"/>
    <col min="7673" max="7673" width="13.25" style="2" bestFit="1" customWidth="1"/>
    <col min="7674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93" width="11.125" style="2" bestFit="1" customWidth="1"/>
    <col min="7694" max="7694" width="9" style="2"/>
    <col min="7695" max="7701" width="11.125" style="2" bestFit="1" customWidth="1"/>
    <col min="7702" max="7702" width="9.625" style="2" bestFit="1" customWidth="1"/>
    <col min="7703" max="7927" width="9" style="2"/>
    <col min="7928" max="7928" width="2.375" style="2" customWidth="1"/>
    <col min="7929" max="7929" width="13.25" style="2" bestFit="1" customWidth="1"/>
    <col min="7930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49" width="11.125" style="2" bestFit="1" customWidth="1"/>
    <col min="7950" max="7950" width="9" style="2"/>
    <col min="7951" max="7957" width="11.125" style="2" bestFit="1" customWidth="1"/>
    <col min="7958" max="7958" width="9.625" style="2" bestFit="1" customWidth="1"/>
    <col min="7959" max="8183" width="9" style="2"/>
    <col min="8184" max="8184" width="2.375" style="2" customWidth="1"/>
    <col min="8185" max="8185" width="13.25" style="2" bestFit="1" customWidth="1"/>
    <col min="8186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205" width="11.125" style="2" bestFit="1" customWidth="1"/>
    <col min="8206" max="8206" width="9" style="2"/>
    <col min="8207" max="8213" width="11.125" style="2" bestFit="1" customWidth="1"/>
    <col min="8214" max="8214" width="9.625" style="2" bestFit="1" customWidth="1"/>
    <col min="8215" max="8439" width="9" style="2"/>
    <col min="8440" max="8440" width="2.375" style="2" customWidth="1"/>
    <col min="8441" max="8441" width="13.25" style="2" bestFit="1" customWidth="1"/>
    <col min="8442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61" width="11.125" style="2" bestFit="1" customWidth="1"/>
    <col min="8462" max="8462" width="9" style="2"/>
    <col min="8463" max="8469" width="11.125" style="2" bestFit="1" customWidth="1"/>
    <col min="8470" max="8470" width="9.625" style="2" bestFit="1" customWidth="1"/>
    <col min="8471" max="8695" width="9" style="2"/>
    <col min="8696" max="8696" width="2.375" style="2" customWidth="1"/>
    <col min="8697" max="8697" width="13.25" style="2" bestFit="1" customWidth="1"/>
    <col min="8698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17" width="11.125" style="2" bestFit="1" customWidth="1"/>
    <col min="8718" max="8718" width="9" style="2"/>
    <col min="8719" max="8725" width="11.125" style="2" bestFit="1" customWidth="1"/>
    <col min="8726" max="8726" width="9.625" style="2" bestFit="1" customWidth="1"/>
    <col min="8727" max="8951" width="9" style="2"/>
    <col min="8952" max="8952" width="2.375" style="2" customWidth="1"/>
    <col min="8953" max="8953" width="13.25" style="2" bestFit="1" customWidth="1"/>
    <col min="8954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73" width="11.125" style="2" bestFit="1" customWidth="1"/>
    <col min="8974" max="8974" width="9" style="2"/>
    <col min="8975" max="8981" width="11.125" style="2" bestFit="1" customWidth="1"/>
    <col min="8982" max="8982" width="9.625" style="2" bestFit="1" customWidth="1"/>
    <col min="8983" max="9207" width="9" style="2"/>
    <col min="9208" max="9208" width="2.375" style="2" customWidth="1"/>
    <col min="9209" max="9209" width="13.25" style="2" bestFit="1" customWidth="1"/>
    <col min="9210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29" width="11.125" style="2" bestFit="1" customWidth="1"/>
    <col min="9230" max="9230" width="9" style="2"/>
    <col min="9231" max="9237" width="11.125" style="2" bestFit="1" customWidth="1"/>
    <col min="9238" max="9238" width="9.625" style="2" bestFit="1" customWidth="1"/>
    <col min="9239" max="9463" width="9" style="2"/>
    <col min="9464" max="9464" width="2.375" style="2" customWidth="1"/>
    <col min="9465" max="9465" width="13.25" style="2" bestFit="1" customWidth="1"/>
    <col min="9466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85" width="11.125" style="2" bestFit="1" customWidth="1"/>
    <col min="9486" max="9486" width="9" style="2"/>
    <col min="9487" max="9493" width="11.125" style="2" bestFit="1" customWidth="1"/>
    <col min="9494" max="9494" width="9.625" style="2" bestFit="1" customWidth="1"/>
    <col min="9495" max="9719" width="9" style="2"/>
    <col min="9720" max="9720" width="2.375" style="2" customWidth="1"/>
    <col min="9721" max="9721" width="13.25" style="2" bestFit="1" customWidth="1"/>
    <col min="9722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41" width="11.125" style="2" bestFit="1" customWidth="1"/>
    <col min="9742" max="9742" width="9" style="2"/>
    <col min="9743" max="9749" width="11.125" style="2" bestFit="1" customWidth="1"/>
    <col min="9750" max="9750" width="9.625" style="2" bestFit="1" customWidth="1"/>
    <col min="9751" max="9975" width="9" style="2"/>
    <col min="9976" max="9976" width="2.375" style="2" customWidth="1"/>
    <col min="9977" max="9977" width="13.25" style="2" bestFit="1" customWidth="1"/>
    <col min="9978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97" width="11.125" style="2" bestFit="1" customWidth="1"/>
    <col min="9998" max="9998" width="9" style="2"/>
    <col min="9999" max="10005" width="11.125" style="2" bestFit="1" customWidth="1"/>
    <col min="10006" max="10006" width="9.625" style="2" bestFit="1" customWidth="1"/>
    <col min="10007" max="10231" width="9" style="2"/>
    <col min="10232" max="10232" width="2.375" style="2" customWidth="1"/>
    <col min="10233" max="10233" width="13.25" style="2" bestFit="1" customWidth="1"/>
    <col min="10234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53" width="11.125" style="2" bestFit="1" customWidth="1"/>
    <col min="10254" max="10254" width="9" style="2"/>
    <col min="10255" max="10261" width="11.125" style="2" bestFit="1" customWidth="1"/>
    <col min="10262" max="10262" width="9.625" style="2" bestFit="1" customWidth="1"/>
    <col min="10263" max="10487" width="9" style="2"/>
    <col min="10488" max="10488" width="2.375" style="2" customWidth="1"/>
    <col min="10489" max="10489" width="13.25" style="2" bestFit="1" customWidth="1"/>
    <col min="10490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509" width="11.125" style="2" bestFit="1" customWidth="1"/>
    <col min="10510" max="10510" width="9" style="2"/>
    <col min="10511" max="10517" width="11.125" style="2" bestFit="1" customWidth="1"/>
    <col min="10518" max="10518" width="9.625" style="2" bestFit="1" customWidth="1"/>
    <col min="10519" max="10743" width="9" style="2"/>
    <col min="10744" max="10744" width="2.375" style="2" customWidth="1"/>
    <col min="10745" max="10745" width="13.25" style="2" bestFit="1" customWidth="1"/>
    <col min="10746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65" width="11.125" style="2" bestFit="1" customWidth="1"/>
    <col min="10766" max="10766" width="9" style="2"/>
    <col min="10767" max="10773" width="11.125" style="2" bestFit="1" customWidth="1"/>
    <col min="10774" max="10774" width="9.625" style="2" bestFit="1" customWidth="1"/>
    <col min="10775" max="10999" width="9" style="2"/>
    <col min="11000" max="11000" width="2.375" style="2" customWidth="1"/>
    <col min="11001" max="11001" width="13.25" style="2" bestFit="1" customWidth="1"/>
    <col min="11002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21" width="11.125" style="2" bestFit="1" customWidth="1"/>
    <col min="11022" max="11022" width="9" style="2"/>
    <col min="11023" max="11029" width="11.125" style="2" bestFit="1" customWidth="1"/>
    <col min="11030" max="11030" width="9.625" style="2" bestFit="1" customWidth="1"/>
    <col min="11031" max="11255" width="9" style="2"/>
    <col min="11256" max="11256" width="2.375" style="2" customWidth="1"/>
    <col min="11257" max="11257" width="13.25" style="2" bestFit="1" customWidth="1"/>
    <col min="11258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77" width="11.125" style="2" bestFit="1" customWidth="1"/>
    <col min="11278" max="11278" width="9" style="2"/>
    <col min="11279" max="11285" width="11.125" style="2" bestFit="1" customWidth="1"/>
    <col min="11286" max="11286" width="9.625" style="2" bestFit="1" customWidth="1"/>
    <col min="11287" max="11511" width="9" style="2"/>
    <col min="11512" max="11512" width="2.375" style="2" customWidth="1"/>
    <col min="11513" max="11513" width="13.25" style="2" bestFit="1" customWidth="1"/>
    <col min="11514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33" width="11.125" style="2" bestFit="1" customWidth="1"/>
    <col min="11534" max="11534" width="9" style="2"/>
    <col min="11535" max="11541" width="11.125" style="2" bestFit="1" customWidth="1"/>
    <col min="11542" max="11542" width="9.625" style="2" bestFit="1" customWidth="1"/>
    <col min="11543" max="11767" width="9" style="2"/>
    <col min="11768" max="11768" width="2.375" style="2" customWidth="1"/>
    <col min="11769" max="11769" width="13.25" style="2" bestFit="1" customWidth="1"/>
    <col min="11770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89" width="11.125" style="2" bestFit="1" customWidth="1"/>
    <col min="11790" max="11790" width="9" style="2"/>
    <col min="11791" max="11797" width="11.125" style="2" bestFit="1" customWidth="1"/>
    <col min="11798" max="11798" width="9.625" style="2" bestFit="1" customWidth="1"/>
    <col min="11799" max="12023" width="9" style="2"/>
    <col min="12024" max="12024" width="2.375" style="2" customWidth="1"/>
    <col min="12025" max="12025" width="13.25" style="2" bestFit="1" customWidth="1"/>
    <col min="12026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45" width="11.125" style="2" bestFit="1" customWidth="1"/>
    <col min="12046" max="12046" width="9" style="2"/>
    <col min="12047" max="12053" width="11.125" style="2" bestFit="1" customWidth="1"/>
    <col min="12054" max="12054" width="9.625" style="2" bestFit="1" customWidth="1"/>
    <col min="12055" max="12279" width="9" style="2"/>
    <col min="12280" max="12280" width="2.375" style="2" customWidth="1"/>
    <col min="12281" max="12281" width="13.25" style="2" bestFit="1" customWidth="1"/>
    <col min="12282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301" width="11.125" style="2" bestFit="1" customWidth="1"/>
    <col min="12302" max="12302" width="9" style="2"/>
    <col min="12303" max="12309" width="11.125" style="2" bestFit="1" customWidth="1"/>
    <col min="12310" max="12310" width="9.625" style="2" bestFit="1" customWidth="1"/>
    <col min="12311" max="12535" width="9" style="2"/>
    <col min="12536" max="12536" width="2.375" style="2" customWidth="1"/>
    <col min="12537" max="12537" width="13.25" style="2" bestFit="1" customWidth="1"/>
    <col min="12538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57" width="11.125" style="2" bestFit="1" customWidth="1"/>
    <col min="12558" max="12558" width="9" style="2"/>
    <col min="12559" max="12565" width="11.125" style="2" bestFit="1" customWidth="1"/>
    <col min="12566" max="12566" width="9.625" style="2" bestFit="1" customWidth="1"/>
    <col min="12567" max="12791" width="9" style="2"/>
    <col min="12792" max="12792" width="2.375" style="2" customWidth="1"/>
    <col min="12793" max="12793" width="13.25" style="2" bestFit="1" customWidth="1"/>
    <col min="12794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13" width="11.125" style="2" bestFit="1" customWidth="1"/>
    <col min="12814" max="12814" width="9" style="2"/>
    <col min="12815" max="12821" width="11.125" style="2" bestFit="1" customWidth="1"/>
    <col min="12822" max="12822" width="9.625" style="2" bestFit="1" customWidth="1"/>
    <col min="12823" max="13047" width="9" style="2"/>
    <col min="13048" max="13048" width="2.375" style="2" customWidth="1"/>
    <col min="13049" max="13049" width="13.25" style="2" bestFit="1" customWidth="1"/>
    <col min="13050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69" width="11.125" style="2" bestFit="1" customWidth="1"/>
    <col min="13070" max="13070" width="9" style="2"/>
    <col min="13071" max="13077" width="11.125" style="2" bestFit="1" customWidth="1"/>
    <col min="13078" max="13078" width="9.625" style="2" bestFit="1" customWidth="1"/>
    <col min="13079" max="13303" width="9" style="2"/>
    <col min="13304" max="13304" width="2.375" style="2" customWidth="1"/>
    <col min="13305" max="13305" width="13.25" style="2" bestFit="1" customWidth="1"/>
    <col min="13306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25" width="11.125" style="2" bestFit="1" customWidth="1"/>
    <col min="13326" max="13326" width="9" style="2"/>
    <col min="13327" max="13333" width="11.125" style="2" bestFit="1" customWidth="1"/>
    <col min="13334" max="13334" width="9.625" style="2" bestFit="1" customWidth="1"/>
    <col min="13335" max="13559" width="9" style="2"/>
    <col min="13560" max="13560" width="2.375" style="2" customWidth="1"/>
    <col min="13561" max="13561" width="13.25" style="2" bestFit="1" customWidth="1"/>
    <col min="13562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81" width="11.125" style="2" bestFit="1" customWidth="1"/>
    <col min="13582" max="13582" width="9" style="2"/>
    <col min="13583" max="13589" width="11.125" style="2" bestFit="1" customWidth="1"/>
    <col min="13590" max="13590" width="9.625" style="2" bestFit="1" customWidth="1"/>
    <col min="13591" max="13815" width="9" style="2"/>
    <col min="13816" max="13816" width="2.375" style="2" customWidth="1"/>
    <col min="13817" max="13817" width="13.25" style="2" bestFit="1" customWidth="1"/>
    <col min="13818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37" width="11.125" style="2" bestFit="1" customWidth="1"/>
    <col min="13838" max="13838" width="9" style="2"/>
    <col min="13839" max="13845" width="11.125" style="2" bestFit="1" customWidth="1"/>
    <col min="13846" max="13846" width="9.625" style="2" bestFit="1" customWidth="1"/>
    <col min="13847" max="14071" width="9" style="2"/>
    <col min="14072" max="14072" width="2.375" style="2" customWidth="1"/>
    <col min="14073" max="14073" width="13.25" style="2" bestFit="1" customWidth="1"/>
    <col min="14074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93" width="11.125" style="2" bestFit="1" customWidth="1"/>
    <col min="14094" max="14094" width="9" style="2"/>
    <col min="14095" max="14101" width="11.125" style="2" bestFit="1" customWidth="1"/>
    <col min="14102" max="14102" width="9.625" style="2" bestFit="1" customWidth="1"/>
    <col min="14103" max="14327" width="9" style="2"/>
    <col min="14328" max="14328" width="2.375" style="2" customWidth="1"/>
    <col min="14329" max="14329" width="13.25" style="2" bestFit="1" customWidth="1"/>
    <col min="14330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49" width="11.125" style="2" bestFit="1" customWidth="1"/>
    <col min="14350" max="14350" width="9" style="2"/>
    <col min="14351" max="14357" width="11.125" style="2" bestFit="1" customWidth="1"/>
    <col min="14358" max="14358" width="9.625" style="2" bestFit="1" customWidth="1"/>
    <col min="14359" max="14583" width="9" style="2"/>
    <col min="14584" max="14584" width="2.375" style="2" customWidth="1"/>
    <col min="14585" max="14585" width="13.25" style="2" bestFit="1" customWidth="1"/>
    <col min="14586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605" width="11.125" style="2" bestFit="1" customWidth="1"/>
    <col min="14606" max="14606" width="9" style="2"/>
    <col min="14607" max="14613" width="11.125" style="2" bestFit="1" customWidth="1"/>
    <col min="14614" max="14614" width="9.625" style="2" bestFit="1" customWidth="1"/>
    <col min="14615" max="14839" width="9" style="2"/>
    <col min="14840" max="14840" width="2.375" style="2" customWidth="1"/>
    <col min="14841" max="14841" width="13.25" style="2" bestFit="1" customWidth="1"/>
    <col min="14842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61" width="11.125" style="2" bestFit="1" customWidth="1"/>
    <col min="14862" max="14862" width="9" style="2"/>
    <col min="14863" max="14869" width="11.125" style="2" bestFit="1" customWidth="1"/>
    <col min="14870" max="14870" width="9.625" style="2" bestFit="1" customWidth="1"/>
    <col min="14871" max="15095" width="9" style="2"/>
    <col min="15096" max="15096" width="2.375" style="2" customWidth="1"/>
    <col min="15097" max="15097" width="13.25" style="2" bestFit="1" customWidth="1"/>
    <col min="15098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17" width="11.125" style="2" bestFit="1" customWidth="1"/>
    <col min="15118" max="15118" width="9" style="2"/>
    <col min="15119" max="15125" width="11.125" style="2" bestFit="1" customWidth="1"/>
    <col min="15126" max="15126" width="9.625" style="2" bestFit="1" customWidth="1"/>
    <col min="15127" max="15351" width="9" style="2"/>
    <col min="15352" max="15352" width="2.375" style="2" customWidth="1"/>
    <col min="15353" max="15353" width="13.25" style="2" bestFit="1" customWidth="1"/>
    <col min="15354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73" width="11.125" style="2" bestFit="1" customWidth="1"/>
    <col min="15374" max="15374" width="9" style="2"/>
    <col min="15375" max="15381" width="11.125" style="2" bestFit="1" customWidth="1"/>
    <col min="15382" max="15382" width="9.625" style="2" bestFit="1" customWidth="1"/>
    <col min="15383" max="15607" width="9" style="2"/>
    <col min="15608" max="15608" width="2.375" style="2" customWidth="1"/>
    <col min="15609" max="15609" width="13.25" style="2" bestFit="1" customWidth="1"/>
    <col min="15610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29" width="11.125" style="2" bestFit="1" customWidth="1"/>
    <col min="15630" max="15630" width="9" style="2"/>
    <col min="15631" max="15637" width="11.125" style="2" bestFit="1" customWidth="1"/>
    <col min="15638" max="15638" width="9.625" style="2" bestFit="1" customWidth="1"/>
    <col min="15639" max="15863" width="9" style="2"/>
    <col min="15864" max="15864" width="2.375" style="2" customWidth="1"/>
    <col min="15865" max="15865" width="13.25" style="2" bestFit="1" customWidth="1"/>
    <col min="15866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85" width="11.125" style="2" bestFit="1" customWidth="1"/>
    <col min="15886" max="15886" width="9" style="2"/>
    <col min="15887" max="15893" width="11.125" style="2" bestFit="1" customWidth="1"/>
    <col min="15894" max="15894" width="9.625" style="2" bestFit="1" customWidth="1"/>
    <col min="15895" max="16119" width="9" style="2"/>
    <col min="16120" max="16120" width="2.375" style="2" customWidth="1"/>
    <col min="16121" max="16121" width="13.25" style="2" bestFit="1" customWidth="1"/>
    <col min="16122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41" width="11.125" style="2" bestFit="1" customWidth="1"/>
    <col min="16142" max="16142" width="9" style="2"/>
    <col min="16143" max="16149" width="11.125" style="2" bestFit="1" customWidth="1"/>
    <col min="16150" max="16150" width="9.625" style="2" bestFit="1" customWidth="1"/>
    <col min="16151" max="16384" width="9" style="2"/>
  </cols>
  <sheetData>
    <row r="1" spans="1:22">
      <c r="A1" s="1" t="s">
        <v>0</v>
      </c>
    </row>
    <row r="2" spans="1:22" ht="19.5" thickBot="1">
      <c r="A2" s="1" t="s">
        <v>110</v>
      </c>
    </row>
    <row r="3" spans="1:22">
      <c r="B3" s="13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16</v>
      </c>
      <c r="P3" s="36" t="s">
        <v>18</v>
      </c>
      <c r="Q3" s="36" t="s">
        <v>19</v>
      </c>
      <c r="R3" s="36" t="s">
        <v>20</v>
      </c>
      <c r="S3" s="36" t="s">
        <v>21</v>
      </c>
      <c r="T3" s="36" t="s">
        <v>22</v>
      </c>
      <c r="U3" s="61" t="s">
        <v>23</v>
      </c>
      <c r="V3" s="87" t="s">
        <v>111</v>
      </c>
    </row>
    <row r="4" spans="1:22" ht="19.5" thickBot="1">
      <c r="B4" s="4" t="s">
        <v>30</v>
      </c>
      <c r="C4" s="37" t="s">
        <v>31</v>
      </c>
      <c r="D4" s="38" t="s">
        <v>32</v>
      </c>
      <c r="E4" s="38" t="s">
        <v>34</v>
      </c>
      <c r="F4" s="38" t="s">
        <v>35</v>
      </c>
      <c r="G4" s="38" t="s">
        <v>36</v>
      </c>
      <c r="H4" s="38" t="s">
        <v>37</v>
      </c>
      <c r="I4" s="38" t="s">
        <v>38</v>
      </c>
      <c r="J4" s="38" t="s">
        <v>39</v>
      </c>
      <c r="K4" s="38" t="s">
        <v>40</v>
      </c>
      <c r="L4" s="38" t="s">
        <v>41</v>
      </c>
      <c r="M4" s="38" t="s">
        <v>42</v>
      </c>
      <c r="N4" s="38" t="s">
        <v>43</v>
      </c>
      <c r="O4" s="38" t="s">
        <v>44</v>
      </c>
      <c r="P4" s="38" t="s">
        <v>46</v>
      </c>
      <c r="Q4" s="38" t="s">
        <v>47</v>
      </c>
      <c r="R4" s="38" t="s">
        <v>48</v>
      </c>
      <c r="S4" s="38" t="s">
        <v>49</v>
      </c>
      <c r="T4" s="38" t="s">
        <v>50</v>
      </c>
      <c r="U4" s="62" t="s">
        <v>51</v>
      </c>
      <c r="V4" s="88" t="s">
        <v>112</v>
      </c>
    </row>
    <row r="5" spans="1:22">
      <c r="A5" s="1" t="s">
        <v>1</v>
      </c>
      <c r="B5" s="22" t="s">
        <v>59</v>
      </c>
      <c r="C5" s="39">
        <v>17</v>
      </c>
      <c r="D5" s="40">
        <v>19</v>
      </c>
      <c r="E5" s="40">
        <v>19</v>
      </c>
      <c r="F5" s="40">
        <v>17</v>
      </c>
      <c r="G5" s="40">
        <v>19</v>
      </c>
      <c r="H5" s="40">
        <v>16</v>
      </c>
      <c r="I5" s="40">
        <v>19</v>
      </c>
      <c r="J5" s="40">
        <v>20</v>
      </c>
      <c r="K5" s="40">
        <v>17</v>
      </c>
      <c r="L5" s="40">
        <v>20</v>
      </c>
      <c r="M5" s="40">
        <v>20</v>
      </c>
      <c r="N5" s="40">
        <v>17</v>
      </c>
      <c r="O5" s="40">
        <v>19</v>
      </c>
      <c r="P5" s="40">
        <v>19</v>
      </c>
      <c r="Q5" s="40">
        <v>17</v>
      </c>
      <c r="R5" s="40">
        <v>18</v>
      </c>
      <c r="S5" s="40">
        <v>16</v>
      </c>
      <c r="T5" s="40">
        <v>20</v>
      </c>
      <c r="U5" s="63">
        <v>20</v>
      </c>
      <c r="V5" s="24">
        <f>SUM(C5:U5)</f>
        <v>349</v>
      </c>
    </row>
    <row r="6" spans="1:22">
      <c r="A6" s="1" t="s">
        <v>1</v>
      </c>
      <c r="B6" s="25" t="s">
        <v>60</v>
      </c>
      <c r="C6" s="41">
        <v>1</v>
      </c>
      <c r="D6" s="42">
        <v>2</v>
      </c>
      <c r="E6" s="42">
        <v>3</v>
      </c>
      <c r="F6" s="42">
        <v>3</v>
      </c>
      <c r="G6" s="42">
        <v>3</v>
      </c>
      <c r="H6" s="42">
        <v>3</v>
      </c>
      <c r="I6" s="42">
        <v>3</v>
      </c>
      <c r="J6" s="42">
        <v>3</v>
      </c>
      <c r="K6" s="42">
        <v>2</v>
      </c>
      <c r="L6" s="42">
        <v>3</v>
      </c>
      <c r="M6" s="42">
        <v>1</v>
      </c>
      <c r="N6" s="42">
        <v>4</v>
      </c>
      <c r="O6" s="42">
        <v>3</v>
      </c>
      <c r="P6" s="42">
        <v>2</v>
      </c>
      <c r="Q6" s="42">
        <v>2</v>
      </c>
      <c r="R6" s="42">
        <v>2</v>
      </c>
      <c r="S6" s="42">
        <v>4</v>
      </c>
      <c r="T6" s="42">
        <v>0</v>
      </c>
      <c r="U6" s="64">
        <v>3</v>
      </c>
      <c r="V6" s="27">
        <f t="shared" ref="V6:V20" si="0">SUM(C6:U6)</f>
        <v>47</v>
      </c>
    </row>
    <row r="7" spans="1:22">
      <c r="A7" s="1" t="s">
        <v>1</v>
      </c>
      <c r="B7" s="25" t="s">
        <v>61</v>
      </c>
      <c r="C7" s="41">
        <v>6</v>
      </c>
      <c r="D7" s="42">
        <v>5</v>
      </c>
      <c r="E7" s="42">
        <v>1</v>
      </c>
      <c r="F7" s="42">
        <v>5</v>
      </c>
      <c r="G7" s="42">
        <v>3</v>
      </c>
      <c r="H7" s="42">
        <v>5</v>
      </c>
      <c r="I7" s="42">
        <v>3</v>
      </c>
      <c r="J7" s="42">
        <v>3</v>
      </c>
      <c r="K7" s="42">
        <v>5</v>
      </c>
      <c r="L7" s="42">
        <v>2</v>
      </c>
      <c r="M7" s="42">
        <v>4</v>
      </c>
      <c r="N7" s="42">
        <v>4</v>
      </c>
      <c r="O7" s="42">
        <v>2</v>
      </c>
      <c r="P7" s="42">
        <v>3</v>
      </c>
      <c r="Q7" s="42">
        <v>3</v>
      </c>
      <c r="R7" s="42">
        <v>2</v>
      </c>
      <c r="S7" s="42">
        <v>5</v>
      </c>
      <c r="T7" s="42">
        <v>6</v>
      </c>
      <c r="U7" s="64">
        <v>3</v>
      </c>
      <c r="V7" s="27">
        <f t="shared" si="0"/>
        <v>70</v>
      </c>
    </row>
    <row r="8" spans="1:22">
      <c r="A8" s="1" t="s">
        <v>1</v>
      </c>
      <c r="B8" s="25" t="s">
        <v>62</v>
      </c>
      <c r="C8" s="41">
        <v>0</v>
      </c>
      <c r="D8" s="42">
        <v>0</v>
      </c>
      <c r="E8" s="42">
        <v>0</v>
      </c>
      <c r="F8" s="42">
        <v>2</v>
      </c>
      <c r="G8" s="42">
        <v>0</v>
      </c>
      <c r="H8" s="42">
        <v>1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1</v>
      </c>
      <c r="O8" s="42">
        <v>0</v>
      </c>
      <c r="P8" s="42">
        <v>0</v>
      </c>
      <c r="Q8" s="42">
        <v>3</v>
      </c>
      <c r="R8" s="42">
        <v>1</v>
      </c>
      <c r="S8" s="42">
        <v>4</v>
      </c>
      <c r="T8" s="42">
        <v>0</v>
      </c>
      <c r="U8" s="64">
        <v>0</v>
      </c>
      <c r="V8" s="27">
        <f t="shared" si="0"/>
        <v>12</v>
      </c>
    </row>
    <row r="9" spans="1:22">
      <c r="A9" s="1" t="s">
        <v>1</v>
      </c>
      <c r="B9" s="25" t="s">
        <v>63</v>
      </c>
      <c r="C9" s="41">
        <v>3</v>
      </c>
      <c r="D9" s="42">
        <v>1</v>
      </c>
      <c r="E9" s="42">
        <v>1</v>
      </c>
      <c r="F9" s="42">
        <v>1</v>
      </c>
      <c r="G9" s="42">
        <v>1</v>
      </c>
      <c r="H9" s="42">
        <v>3</v>
      </c>
      <c r="I9" s="42">
        <v>1</v>
      </c>
      <c r="J9" s="42">
        <v>0</v>
      </c>
      <c r="K9" s="42">
        <v>3</v>
      </c>
      <c r="L9" s="42">
        <v>0</v>
      </c>
      <c r="M9" s="42">
        <v>0</v>
      </c>
      <c r="N9" s="42">
        <v>2</v>
      </c>
      <c r="O9" s="42">
        <v>1</v>
      </c>
      <c r="P9" s="42">
        <v>1</v>
      </c>
      <c r="Q9" s="42">
        <v>0</v>
      </c>
      <c r="R9" s="42">
        <v>1</v>
      </c>
      <c r="S9" s="42">
        <v>0</v>
      </c>
      <c r="T9" s="42">
        <v>0</v>
      </c>
      <c r="U9" s="64">
        <v>0</v>
      </c>
      <c r="V9" s="27">
        <f t="shared" si="0"/>
        <v>19</v>
      </c>
    </row>
    <row r="10" spans="1:22">
      <c r="A10" s="1" t="s">
        <v>1</v>
      </c>
      <c r="B10" s="25" t="s">
        <v>64</v>
      </c>
      <c r="C10" s="41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64">
        <v>0</v>
      </c>
      <c r="V10" s="27">
        <f t="shared" si="0"/>
        <v>0</v>
      </c>
    </row>
    <row r="11" spans="1:22">
      <c r="A11" s="1" t="s">
        <v>1</v>
      </c>
      <c r="B11" s="25" t="s">
        <v>65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65">
        <v>0</v>
      </c>
      <c r="V11" s="29">
        <f t="shared" si="0"/>
        <v>0</v>
      </c>
    </row>
    <row r="12" spans="1:22">
      <c r="A12" s="1" t="s">
        <v>1</v>
      </c>
      <c r="B12" s="25" t="s">
        <v>66</v>
      </c>
      <c r="C12" s="43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4">
        <v>0</v>
      </c>
      <c r="U12" s="65">
        <v>0</v>
      </c>
      <c r="V12" s="29">
        <f t="shared" si="0"/>
        <v>0</v>
      </c>
    </row>
    <row r="13" spans="1:22">
      <c r="A13" s="1" t="s">
        <v>1</v>
      </c>
      <c r="B13" s="25" t="s">
        <v>67</v>
      </c>
      <c r="C13" s="43">
        <v>0.875</v>
      </c>
      <c r="D13" s="44">
        <v>1.4583333333333333</v>
      </c>
      <c r="E13" s="44">
        <v>0.95833333333333337</v>
      </c>
      <c r="F13" s="44">
        <v>2.5</v>
      </c>
      <c r="G13" s="44">
        <v>1.9583333333333335</v>
      </c>
      <c r="H13" s="44">
        <v>2.375</v>
      </c>
      <c r="I13" s="44">
        <v>2.4583333333333335</v>
      </c>
      <c r="J13" s="44">
        <v>1.875</v>
      </c>
      <c r="K13" s="44">
        <v>1.625</v>
      </c>
      <c r="L13" s="44">
        <v>2.2916666666666665</v>
      </c>
      <c r="M13" s="44">
        <v>1.5</v>
      </c>
      <c r="N13" s="44">
        <v>1</v>
      </c>
      <c r="O13" s="44">
        <v>0.66666666666666663</v>
      </c>
      <c r="P13" s="44">
        <v>2.625</v>
      </c>
      <c r="Q13" s="44">
        <v>1</v>
      </c>
      <c r="R13" s="44">
        <v>0.95833333333333337</v>
      </c>
      <c r="S13" s="44">
        <v>2.7083333333333335</v>
      </c>
      <c r="T13" s="44">
        <v>1.7083333333333335</v>
      </c>
      <c r="U13" s="65">
        <v>1.9583333333333335</v>
      </c>
      <c r="V13" s="29">
        <f t="shared" si="0"/>
        <v>32.5</v>
      </c>
    </row>
    <row r="14" spans="1:22">
      <c r="A14" s="1" t="s">
        <v>1</v>
      </c>
      <c r="B14" s="25" t="s">
        <v>68</v>
      </c>
      <c r="C14" s="43">
        <v>0.41666666666666669</v>
      </c>
      <c r="D14" s="44">
        <v>0.66666666666666663</v>
      </c>
      <c r="E14" s="44">
        <v>0.95833333333333337</v>
      </c>
      <c r="F14" s="44">
        <v>1</v>
      </c>
      <c r="G14" s="44">
        <v>1.0416666666666667</v>
      </c>
      <c r="H14" s="44">
        <v>1.2083333333333333</v>
      </c>
      <c r="I14" s="44">
        <v>1</v>
      </c>
      <c r="J14" s="44">
        <v>1.2916666666666667</v>
      </c>
      <c r="K14" s="44">
        <v>0.5</v>
      </c>
      <c r="L14" s="44">
        <v>1.0833333333333333</v>
      </c>
      <c r="M14" s="44">
        <v>0.20833333333333334</v>
      </c>
      <c r="N14" s="44">
        <v>1.3333333333333333</v>
      </c>
      <c r="O14" s="44">
        <v>0.875</v>
      </c>
      <c r="P14" s="44">
        <v>0.75</v>
      </c>
      <c r="Q14" s="44">
        <v>0.5</v>
      </c>
      <c r="R14" s="44">
        <v>0.33333333333333331</v>
      </c>
      <c r="S14" s="44">
        <v>1.0416666666666667</v>
      </c>
      <c r="T14" s="44">
        <v>0</v>
      </c>
      <c r="U14" s="65">
        <v>1.3333333333333333</v>
      </c>
      <c r="V14" s="29">
        <f t="shared" si="0"/>
        <v>15.541666666666668</v>
      </c>
    </row>
    <row r="15" spans="1:22">
      <c r="A15" s="1" t="s">
        <v>1</v>
      </c>
      <c r="B15" s="25" t="s">
        <v>69</v>
      </c>
      <c r="C15" s="43">
        <v>1.6666666666666665</v>
      </c>
      <c r="D15" s="44">
        <v>1.5</v>
      </c>
      <c r="E15" s="44">
        <v>0.375</v>
      </c>
      <c r="F15" s="44">
        <v>1.4166666666666667</v>
      </c>
      <c r="G15" s="44">
        <v>0.83333333333333337</v>
      </c>
      <c r="H15" s="44">
        <v>1.3333333333333333</v>
      </c>
      <c r="I15" s="44">
        <v>1.0416666666666667</v>
      </c>
      <c r="J15" s="44">
        <v>0.75</v>
      </c>
      <c r="K15" s="44">
        <v>1.5</v>
      </c>
      <c r="L15" s="44">
        <v>0.54166666666666663</v>
      </c>
      <c r="M15" s="44">
        <v>1.8333333333333335</v>
      </c>
      <c r="N15" s="44">
        <v>1.7083333333333335</v>
      </c>
      <c r="O15" s="44">
        <v>0.625</v>
      </c>
      <c r="P15" s="44">
        <v>1</v>
      </c>
      <c r="Q15" s="44">
        <v>0.375</v>
      </c>
      <c r="R15" s="44">
        <v>0.875</v>
      </c>
      <c r="S15" s="44">
        <v>0.79166666666666663</v>
      </c>
      <c r="T15" s="44">
        <v>2.0833333333333335</v>
      </c>
      <c r="U15" s="65">
        <v>0.75</v>
      </c>
      <c r="V15" s="29">
        <f t="shared" si="0"/>
        <v>21</v>
      </c>
    </row>
    <row r="16" spans="1:22">
      <c r="A16" s="1" t="s">
        <v>1</v>
      </c>
      <c r="B16" s="25" t="s">
        <v>70</v>
      </c>
      <c r="C16" s="43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0.16666666666666666</v>
      </c>
      <c r="O16" s="44">
        <v>0</v>
      </c>
      <c r="P16" s="44">
        <v>0</v>
      </c>
      <c r="Q16" s="44">
        <v>0.33333333333333331</v>
      </c>
      <c r="R16" s="44">
        <v>0.5</v>
      </c>
      <c r="S16" s="44">
        <v>0.16666666666666666</v>
      </c>
      <c r="T16" s="44">
        <v>0</v>
      </c>
      <c r="U16" s="65">
        <v>0</v>
      </c>
      <c r="V16" s="29">
        <f t="shared" si="0"/>
        <v>1.1666666666666667</v>
      </c>
    </row>
    <row r="17" spans="1:22">
      <c r="A17" s="1" t="s">
        <v>1</v>
      </c>
      <c r="B17" s="25" t="s">
        <v>71</v>
      </c>
      <c r="C17" s="43">
        <v>0</v>
      </c>
      <c r="D17" s="44">
        <v>0</v>
      </c>
      <c r="E17" s="44">
        <v>0</v>
      </c>
      <c r="F17" s="44">
        <v>0.83333333333333337</v>
      </c>
      <c r="G17" s="44">
        <v>0</v>
      </c>
      <c r="H17" s="44">
        <v>0.29166666666666669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0.75</v>
      </c>
      <c r="R17" s="44">
        <v>0</v>
      </c>
      <c r="S17" s="44">
        <v>1.375</v>
      </c>
      <c r="T17" s="44">
        <v>0</v>
      </c>
      <c r="U17" s="65">
        <v>0</v>
      </c>
      <c r="V17" s="29">
        <f t="shared" si="0"/>
        <v>3.25</v>
      </c>
    </row>
    <row r="18" spans="1:22">
      <c r="A18" s="1" t="s">
        <v>1</v>
      </c>
      <c r="B18" s="25" t="s">
        <v>72</v>
      </c>
      <c r="C18" s="43">
        <v>0</v>
      </c>
      <c r="D18" s="44">
        <v>0</v>
      </c>
      <c r="E18" s="44">
        <v>0</v>
      </c>
      <c r="F18" s="44">
        <v>0.58333333333333337</v>
      </c>
      <c r="G18" s="44">
        <v>0</v>
      </c>
      <c r="H18" s="44">
        <v>0</v>
      </c>
      <c r="I18" s="44">
        <v>0.125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0.125</v>
      </c>
      <c r="Q18" s="44">
        <v>0</v>
      </c>
      <c r="R18" s="44">
        <v>0</v>
      </c>
      <c r="S18" s="44">
        <v>0.70833333333333337</v>
      </c>
      <c r="T18" s="44">
        <v>0</v>
      </c>
      <c r="U18" s="65">
        <v>0</v>
      </c>
      <c r="V18" s="29">
        <f t="shared" si="0"/>
        <v>1.5416666666666667</v>
      </c>
    </row>
    <row r="19" spans="1:22">
      <c r="A19" s="1" t="s">
        <v>1</v>
      </c>
      <c r="B19" s="25" t="s">
        <v>73</v>
      </c>
      <c r="C19" s="43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65">
        <v>0</v>
      </c>
      <c r="V19" s="29">
        <f t="shared" si="0"/>
        <v>0</v>
      </c>
    </row>
    <row r="20" spans="1:22">
      <c r="A20" s="1" t="s">
        <v>1</v>
      </c>
      <c r="B20" s="5" t="s">
        <v>74</v>
      </c>
      <c r="C20" s="45">
        <v>0.375</v>
      </c>
      <c r="D20" s="46">
        <v>0.16666666666666666</v>
      </c>
      <c r="E20" s="46">
        <v>0.41666666666666669</v>
      </c>
      <c r="F20" s="46">
        <v>1.25</v>
      </c>
      <c r="G20" s="46">
        <v>0.91666666666666663</v>
      </c>
      <c r="H20" s="46">
        <v>0.91666666666666663</v>
      </c>
      <c r="I20" s="46">
        <v>0.58333333333333337</v>
      </c>
      <c r="J20" s="46">
        <v>8.3333333333333329E-2</v>
      </c>
      <c r="K20" s="46">
        <v>4.1666666666666664E-2</v>
      </c>
      <c r="L20" s="46">
        <v>0.45833333333333331</v>
      </c>
      <c r="M20" s="46">
        <v>0.41666666666666669</v>
      </c>
      <c r="N20" s="46">
        <v>1.5833333333333335</v>
      </c>
      <c r="O20" s="46">
        <v>0.29166666666666669</v>
      </c>
      <c r="P20" s="46">
        <v>0.91666666666666663</v>
      </c>
      <c r="Q20" s="46">
        <v>1.2916666666666667</v>
      </c>
      <c r="R20" s="46">
        <v>0.20833333333333334</v>
      </c>
      <c r="S20" s="46">
        <v>1.4583333333333333</v>
      </c>
      <c r="T20" s="46">
        <v>8.3333333333333329E-2</v>
      </c>
      <c r="U20" s="66">
        <v>0.20833333333333334</v>
      </c>
      <c r="V20" s="7">
        <f t="shared" si="0"/>
        <v>11.666666666666668</v>
      </c>
    </row>
    <row r="21" spans="1:22">
      <c r="A21" s="1" t="s">
        <v>1</v>
      </c>
      <c r="B21" s="14" t="s">
        <v>75</v>
      </c>
      <c r="C21" s="47">
        <v>19</v>
      </c>
      <c r="D21" s="48">
        <v>18</v>
      </c>
      <c r="E21" s="48">
        <v>39</v>
      </c>
      <c r="F21" s="48">
        <v>35</v>
      </c>
      <c r="G21" s="48">
        <v>37</v>
      </c>
      <c r="H21" s="48">
        <v>35</v>
      </c>
      <c r="I21" s="48">
        <v>34</v>
      </c>
      <c r="J21" s="48">
        <v>27</v>
      </c>
      <c r="K21" s="48">
        <v>36</v>
      </c>
      <c r="L21" s="48">
        <v>39</v>
      </c>
      <c r="M21" s="48">
        <v>18</v>
      </c>
      <c r="N21" s="48">
        <v>17</v>
      </c>
      <c r="O21" s="48">
        <v>32</v>
      </c>
      <c r="P21" s="48">
        <v>16</v>
      </c>
      <c r="Q21" s="48">
        <v>26</v>
      </c>
      <c r="R21" s="48">
        <v>14</v>
      </c>
      <c r="S21" s="48">
        <v>11</v>
      </c>
      <c r="T21" s="48">
        <v>15</v>
      </c>
      <c r="U21" s="67">
        <v>0</v>
      </c>
      <c r="V21" s="16"/>
    </row>
    <row r="22" spans="1:22">
      <c r="A22" s="1" t="s">
        <v>1</v>
      </c>
      <c r="B22" s="30" t="s">
        <v>76</v>
      </c>
      <c r="C22" s="49">
        <v>177000</v>
      </c>
      <c r="D22" s="50">
        <v>187000</v>
      </c>
      <c r="E22" s="50">
        <v>187000</v>
      </c>
      <c r="F22" s="50">
        <v>192000</v>
      </c>
      <c r="G22" s="50">
        <v>187000</v>
      </c>
      <c r="H22" s="50">
        <v>192000</v>
      </c>
      <c r="I22" s="50">
        <v>177000</v>
      </c>
      <c r="J22" s="50">
        <v>177000</v>
      </c>
      <c r="K22" s="50">
        <v>177000</v>
      </c>
      <c r="L22" s="50">
        <v>187000</v>
      </c>
      <c r="M22" s="50">
        <v>177000</v>
      </c>
      <c r="N22" s="50">
        <v>177000</v>
      </c>
      <c r="O22" s="50">
        <v>187000</v>
      </c>
      <c r="P22" s="50">
        <v>170000</v>
      </c>
      <c r="Q22" s="50">
        <v>175000</v>
      </c>
      <c r="R22" s="50">
        <v>170000</v>
      </c>
      <c r="S22" s="50">
        <v>170000</v>
      </c>
      <c r="T22" s="50">
        <v>170000</v>
      </c>
      <c r="U22" s="68">
        <v>170000</v>
      </c>
      <c r="V22" s="32">
        <f>SUM(C22:U22)</f>
        <v>3406000</v>
      </c>
    </row>
    <row r="23" spans="1:22">
      <c r="A23" s="1" t="s">
        <v>1</v>
      </c>
      <c r="B23" s="25" t="s">
        <v>77</v>
      </c>
      <c r="C23" s="51">
        <v>0</v>
      </c>
      <c r="D23" s="52">
        <v>0</v>
      </c>
      <c r="E23" s="52">
        <v>20000</v>
      </c>
      <c r="F23" s="52">
        <v>20000</v>
      </c>
      <c r="G23" s="52">
        <v>5000</v>
      </c>
      <c r="H23" s="52">
        <v>5000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69">
        <v>0</v>
      </c>
      <c r="V23" s="34">
        <f t="shared" ref="V23:V55" si="1">SUM(C23:U23)</f>
        <v>50000</v>
      </c>
    </row>
    <row r="24" spans="1:22">
      <c r="A24" s="1" t="s">
        <v>1</v>
      </c>
      <c r="B24" s="25" t="s">
        <v>78</v>
      </c>
      <c r="C24" s="51">
        <v>0</v>
      </c>
      <c r="D24" s="52">
        <v>0</v>
      </c>
      <c r="E24" s="52">
        <v>3000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69">
        <v>0</v>
      </c>
      <c r="V24" s="34">
        <f t="shared" si="1"/>
        <v>3000</v>
      </c>
    </row>
    <row r="25" spans="1:22">
      <c r="A25" s="1" t="s">
        <v>1</v>
      </c>
      <c r="B25" s="25" t="s">
        <v>79</v>
      </c>
      <c r="C25" s="51">
        <v>0</v>
      </c>
      <c r="D25" s="52">
        <v>0</v>
      </c>
      <c r="E25" s="52">
        <v>54243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10244</v>
      </c>
      <c r="M25" s="52">
        <v>0</v>
      </c>
      <c r="N25" s="52">
        <v>0</v>
      </c>
      <c r="O25" s="52">
        <v>53372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69">
        <v>0</v>
      </c>
      <c r="V25" s="34">
        <f t="shared" si="1"/>
        <v>117859</v>
      </c>
    </row>
    <row r="26" spans="1:22">
      <c r="A26" s="1" t="s">
        <v>1</v>
      </c>
      <c r="B26" s="25" t="s">
        <v>80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69">
        <v>0</v>
      </c>
      <c r="V26" s="34">
        <f t="shared" si="1"/>
        <v>0</v>
      </c>
    </row>
    <row r="27" spans="1:22">
      <c r="A27" s="1" t="s">
        <v>1</v>
      </c>
      <c r="B27" s="25" t="s">
        <v>81</v>
      </c>
      <c r="C27" s="51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69">
        <v>0</v>
      </c>
      <c r="V27" s="34">
        <f t="shared" si="1"/>
        <v>0</v>
      </c>
    </row>
    <row r="28" spans="1:22">
      <c r="A28" s="1" t="s">
        <v>1</v>
      </c>
      <c r="B28" s="25" t="s">
        <v>82</v>
      </c>
      <c r="C28" s="51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69">
        <v>0</v>
      </c>
      <c r="V28" s="34">
        <f t="shared" si="1"/>
        <v>0</v>
      </c>
    </row>
    <row r="29" spans="1:22">
      <c r="A29" s="1" t="s">
        <v>1</v>
      </c>
      <c r="B29" s="25" t="s">
        <v>83</v>
      </c>
      <c r="C29" s="51">
        <v>2000</v>
      </c>
      <c r="D29" s="52">
        <v>2000</v>
      </c>
      <c r="E29" s="52">
        <v>2000</v>
      </c>
      <c r="F29" s="52">
        <v>2000</v>
      </c>
      <c r="G29" s="52">
        <v>0</v>
      </c>
      <c r="H29" s="52">
        <v>2000</v>
      </c>
      <c r="I29" s="52">
        <v>2000</v>
      </c>
      <c r="J29" s="52">
        <v>2000</v>
      </c>
      <c r="K29" s="52">
        <v>2000</v>
      </c>
      <c r="L29" s="52">
        <v>2000</v>
      </c>
      <c r="M29" s="52">
        <v>1000</v>
      </c>
      <c r="N29" s="52">
        <v>2000</v>
      </c>
      <c r="O29" s="52">
        <v>2000</v>
      </c>
      <c r="P29" s="52">
        <v>2000</v>
      </c>
      <c r="Q29" s="52">
        <v>2000</v>
      </c>
      <c r="R29" s="52">
        <v>0</v>
      </c>
      <c r="S29" s="52">
        <v>0</v>
      </c>
      <c r="T29" s="52">
        <v>0</v>
      </c>
      <c r="U29" s="69">
        <v>0</v>
      </c>
      <c r="V29" s="34">
        <f t="shared" si="1"/>
        <v>27000</v>
      </c>
    </row>
    <row r="30" spans="1:22">
      <c r="A30" s="1" t="s">
        <v>1</v>
      </c>
      <c r="B30" s="25" t="s">
        <v>84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69">
        <v>0</v>
      </c>
      <c r="V30" s="34">
        <f t="shared" si="1"/>
        <v>0</v>
      </c>
    </row>
    <row r="31" spans="1:22">
      <c r="A31" s="1" t="s">
        <v>1</v>
      </c>
      <c r="B31" s="25" t="s">
        <v>85</v>
      </c>
      <c r="C31" s="51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69">
        <v>0</v>
      </c>
      <c r="V31" s="34">
        <f t="shared" si="1"/>
        <v>0</v>
      </c>
    </row>
    <row r="32" spans="1:22">
      <c r="A32" s="1" t="s">
        <v>1</v>
      </c>
      <c r="B32" s="25" t="s">
        <v>86</v>
      </c>
      <c r="C32" s="51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69">
        <v>0</v>
      </c>
      <c r="V32" s="34">
        <f t="shared" si="1"/>
        <v>0</v>
      </c>
    </row>
    <row r="33" spans="1:22">
      <c r="A33" s="1" t="s">
        <v>1</v>
      </c>
      <c r="B33" s="25" t="s">
        <v>67</v>
      </c>
      <c r="C33" s="51">
        <v>28140</v>
      </c>
      <c r="D33" s="52">
        <v>49525</v>
      </c>
      <c r="E33" s="52">
        <v>36478</v>
      </c>
      <c r="F33" s="52">
        <v>96060</v>
      </c>
      <c r="G33" s="52">
        <v>67586</v>
      </c>
      <c r="H33" s="52">
        <v>84930</v>
      </c>
      <c r="I33" s="52">
        <v>79060</v>
      </c>
      <c r="J33" s="52">
        <v>60300</v>
      </c>
      <c r="K33" s="52">
        <v>52260</v>
      </c>
      <c r="L33" s="52">
        <v>77825</v>
      </c>
      <c r="M33" s="52">
        <v>47988</v>
      </c>
      <c r="N33" s="52">
        <v>32160</v>
      </c>
      <c r="O33" s="52">
        <v>22640</v>
      </c>
      <c r="P33" s="52">
        <v>81144</v>
      </c>
      <c r="Q33" s="52">
        <v>31800</v>
      </c>
      <c r="R33" s="52">
        <v>29279</v>
      </c>
      <c r="S33" s="52">
        <v>82745</v>
      </c>
      <c r="T33" s="52">
        <v>52193</v>
      </c>
      <c r="U33" s="69">
        <v>59831</v>
      </c>
      <c r="V33" s="34">
        <f t="shared" si="1"/>
        <v>1071944</v>
      </c>
    </row>
    <row r="34" spans="1:22">
      <c r="A34" s="1" t="s">
        <v>1</v>
      </c>
      <c r="B34" s="25" t="s">
        <v>87</v>
      </c>
      <c r="C34" s="51">
        <v>14470</v>
      </c>
      <c r="D34" s="52">
        <v>24448</v>
      </c>
      <c r="E34" s="52">
        <v>39399</v>
      </c>
      <c r="F34" s="52">
        <v>41496</v>
      </c>
      <c r="G34" s="52">
        <v>38825</v>
      </c>
      <c r="H34" s="52">
        <v>46661</v>
      </c>
      <c r="I34" s="52">
        <v>34728</v>
      </c>
      <c r="J34" s="52">
        <v>44857</v>
      </c>
      <c r="K34" s="52">
        <v>17364</v>
      </c>
      <c r="L34" s="52">
        <v>39728</v>
      </c>
      <c r="M34" s="52">
        <v>7195</v>
      </c>
      <c r="N34" s="52">
        <v>46304</v>
      </c>
      <c r="O34" s="52">
        <v>32088</v>
      </c>
      <c r="P34" s="52">
        <v>25038</v>
      </c>
      <c r="Q34" s="52">
        <v>17172</v>
      </c>
      <c r="R34" s="52">
        <v>10992</v>
      </c>
      <c r="S34" s="52">
        <v>34350</v>
      </c>
      <c r="T34" s="52">
        <v>0</v>
      </c>
      <c r="U34" s="69">
        <v>43968</v>
      </c>
      <c r="V34" s="34">
        <f t="shared" si="1"/>
        <v>559083</v>
      </c>
    </row>
    <row r="35" spans="1:22">
      <c r="A35" s="1" t="s">
        <v>1</v>
      </c>
      <c r="B35" s="25" t="s">
        <v>88</v>
      </c>
      <c r="C35" s="51">
        <v>57880</v>
      </c>
      <c r="D35" s="52">
        <v>55008</v>
      </c>
      <c r="E35" s="52">
        <v>15417</v>
      </c>
      <c r="F35" s="52">
        <v>58786</v>
      </c>
      <c r="G35" s="52">
        <v>31060</v>
      </c>
      <c r="H35" s="52">
        <v>51488</v>
      </c>
      <c r="I35" s="52">
        <v>36175</v>
      </c>
      <c r="J35" s="52">
        <v>26046</v>
      </c>
      <c r="K35" s="52">
        <v>52092</v>
      </c>
      <c r="L35" s="52">
        <v>19864</v>
      </c>
      <c r="M35" s="52">
        <v>63316</v>
      </c>
      <c r="N35" s="52">
        <v>59327</v>
      </c>
      <c r="O35" s="52">
        <v>22920</v>
      </c>
      <c r="P35" s="52">
        <v>33384</v>
      </c>
      <c r="Q35" s="52">
        <v>12879</v>
      </c>
      <c r="R35" s="52">
        <v>28854</v>
      </c>
      <c r="S35" s="52">
        <v>26106</v>
      </c>
      <c r="T35" s="52">
        <v>68700</v>
      </c>
      <c r="U35" s="69">
        <v>24732</v>
      </c>
      <c r="V35" s="34">
        <f t="shared" si="1"/>
        <v>744034</v>
      </c>
    </row>
    <row r="36" spans="1:22">
      <c r="A36" s="1" t="s">
        <v>1</v>
      </c>
      <c r="B36" s="25" t="s">
        <v>89</v>
      </c>
      <c r="C36" s="51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1500</v>
      </c>
      <c r="O36" s="52">
        <v>0</v>
      </c>
      <c r="P36" s="52">
        <v>0</v>
      </c>
      <c r="Q36" s="52">
        <v>2968</v>
      </c>
      <c r="R36" s="52">
        <v>4272</v>
      </c>
      <c r="S36" s="52">
        <v>1424</v>
      </c>
      <c r="T36" s="52">
        <v>0</v>
      </c>
      <c r="U36" s="69">
        <v>0</v>
      </c>
      <c r="V36" s="34">
        <f t="shared" si="1"/>
        <v>10164</v>
      </c>
    </row>
    <row r="37" spans="1:22">
      <c r="A37" s="1" t="s">
        <v>1</v>
      </c>
      <c r="B37" s="25" t="s">
        <v>90</v>
      </c>
      <c r="C37" s="51">
        <v>0</v>
      </c>
      <c r="D37" s="52">
        <v>0</v>
      </c>
      <c r="E37" s="52">
        <v>0</v>
      </c>
      <c r="F37" s="52">
        <v>8960</v>
      </c>
      <c r="G37" s="52">
        <v>0</v>
      </c>
      <c r="H37" s="52">
        <v>2919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6678</v>
      </c>
      <c r="R37" s="52">
        <v>0</v>
      </c>
      <c r="S37" s="52">
        <v>11748</v>
      </c>
      <c r="T37" s="52">
        <v>0</v>
      </c>
      <c r="U37" s="69">
        <v>0</v>
      </c>
      <c r="V37" s="34">
        <f t="shared" si="1"/>
        <v>30305</v>
      </c>
    </row>
    <row r="38" spans="1:22">
      <c r="A38" s="1" t="s">
        <v>1</v>
      </c>
      <c r="B38" s="25" t="s">
        <v>72</v>
      </c>
      <c r="C38" s="51">
        <v>0</v>
      </c>
      <c r="D38" s="52">
        <v>0</v>
      </c>
      <c r="E38" s="52">
        <v>0</v>
      </c>
      <c r="F38" s="52">
        <v>4480</v>
      </c>
      <c r="G38" s="52">
        <v>0</v>
      </c>
      <c r="H38" s="52">
        <v>0</v>
      </c>
      <c r="I38" s="52">
        <v>804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774</v>
      </c>
      <c r="Q38" s="52">
        <v>0</v>
      </c>
      <c r="R38" s="52">
        <v>0</v>
      </c>
      <c r="S38" s="52">
        <v>4335</v>
      </c>
      <c r="T38" s="52">
        <v>0</v>
      </c>
      <c r="U38" s="69">
        <v>0</v>
      </c>
      <c r="V38" s="34">
        <f t="shared" si="1"/>
        <v>10393</v>
      </c>
    </row>
    <row r="39" spans="1:22">
      <c r="A39" s="1" t="s">
        <v>1</v>
      </c>
      <c r="B39" s="5" t="s">
        <v>74</v>
      </c>
      <c r="C39" s="53">
        <v>2412</v>
      </c>
      <c r="D39" s="54">
        <v>1132</v>
      </c>
      <c r="E39" s="54">
        <v>3170</v>
      </c>
      <c r="F39" s="54">
        <v>9600</v>
      </c>
      <c r="G39" s="54">
        <v>6336</v>
      </c>
      <c r="H39" s="54">
        <v>6556</v>
      </c>
      <c r="I39" s="54">
        <v>3752</v>
      </c>
      <c r="J39" s="54">
        <v>536</v>
      </c>
      <c r="K39" s="54">
        <v>268</v>
      </c>
      <c r="L39" s="54">
        <v>3113</v>
      </c>
      <c r="M39" s="54">
        <v>2670</v>
      </c>
      <c r="N39" s="54">
        <v>10184</v>
      </c>
      <c r="O39" s="54">
        <v>1981</v>
      </c>
      <c r="P39" s="54">
        <v>5676</v>
      </c>
      <c r="Q39" s="54">
        <v>8215</v>
      </c>
      <c r="R39" s="54">
        <v>1275</v>
      </c>
      <c r="S39" s="54">
        <v>8925</v>
      </c>
      <c r="T39" s="54">
        <v>510</v>
      </c>
      <c r="U39" s="70">
        <v>1275</v>
      </c>
      <c r="V39" s="9">
        <f t="shared" si="1"/>
        <v>77586</v>
      </c>
    </row>
    <row r="40" spans="1:22">
      <c r="A40" s="1" t="s">
        <v>1</v>
      </c>
      <c r="B40" s="14" t="s">
        <v>91</v>
      </c>
      <c r="C40" s="55">
        <v>281902</v>
      </c>
      <c r="D40" s="56">
        <v>319113</v>
      </c>
      <c r="E40" s="56">
        <v>360707</v>
      </c>
      <c r="F40" s="56">
        <v>433382</v>
      </c>
      <c r="G40" s="56">
        <v>335807</v>
      </c>
      <c r="H40" s="56">
        <v>391554</v>
      </c>
      <c r="I40" s="56">
        <v>333519</v>
      </c>
      <c r="J40" s="56">
        <v>310739</v>
      </c>
      <c r="K40" s="56">
        <v>300984</v>
      </c>
      <c r="L40" s="56">
        <v>339774</v>
      </c>
      <c r="M40" s="56">
        <v>299169</v>
      </c>
      <c r="N40" s="56">
        <v>328475</v>
      </c>
      <c r="O40" s="56">
        <v>322001</v>
      </c>
      <c r="P40" s="56">
        <v>318016</v>
      </c>
      <c r="Q40" s="56">
        <v>256712</v>
      </c>
      <c r="R40" s="56">
        <v>244672</v>
      </c>
      <c r="S40" s="56">
        <v>339633</v>
      </c>
      <c r="T40" s="56">
        <v>291403</v>
      </c>
      <c r="U40" s="71">
        <v>299806</v>
      </c>
      <c r="V40" s="18">
        <f t="shared" si="1"/>
        <v>6107368</v>
      </c>
    </row>
    <row r="41" spans="1:22">
      <c r="A41" s="1" t="s">
        <v>1</v>
      </c>
      <c r="B41" s="5" t="s">
        <v>92</v>
      </c>
      <c r="C41" s="53">
        <v>12333</v>
      </c>
      <c r="D41" s="54">
        <v>3340</v>
      </c>
      <c r="E41" s="54">
        <v>5319</v>
      </c>
      <c r="F41" s="54">
        <v>3212</v>
      </c>
      <c r="G41" s="54">
        <v>14774</v>
      </c>
      <c r="H41" s="54">
        <v>2467</v>
      </c>
      <c r="I41" s="54">
        <v>2570</v>
      </c>
      <c r="J41" s="54">
        <v>1336</v>
      </c>
      <c r="K41" s="54">
        <v>3084</v>
      </c>
      <c r="L41" s="54">
        <v>5139</v>
      </c>
      <c r="M41" s="54">
        <v>6424</v>
      </c>
      <c r="N41" s="54">
        <v>4497</v>
      </c>
      <c r="O41" s="54">
        <v>7400</v>
      </c>
      <c r="P41" s="54">
        <v>6167</v>
      </c>
      <c r="Q41" s="54">
        <v>9609</v>
      </c>
      <c r="R41" s="54">
        <v>6783</v>
      </c>
      <c r="S41" s="54">
        <v>9635</v>
      </c>
      <c r="T41" s="54">
        <v>8684</v>
      </c>
      <c r="U41" s="70">
        <v>2672</v>
      </c>
      <c r="V41" s="9">
        <f t="shared" si="1"/>
        <v>115445</v>
      </c>
    </row>
    <row r="42" spans="1:22">
      <c r="A42" s="1" t="s">
        <v>1</v>
      </c>
      <c r="B42" s="19" t="s">
        <v>93</v>
      </c>
      <c r="C42" s="57">
        <v>12333</v>
      </c>
      <c r="D42" s="58">
        <v>3340</v>
      </c>
      <c r="E42" s="58">
        <v>5319</v>
      </c>
      <c r="F42" s="58">
        <v>3212</v>
      </c>
      <c r="G42" s="58">
        <v>14774</v>
      </c>
      <c r="H42" s="58">
        <v>2467</v>
      </c>
      <c r="I42" s="58">
        <v>2570</v>
      </c>
      <c r="J42" s="58">
        <v>1336</v>
      </c>
      <c r="K42" s="58">
        <v>3084</v>
      </c>
      <c r="L42" s="58">
        <v>5139</v>
      </c>
      <c r="M42" s="58">
        <v>6424</v>
      </c>
      <c r="N42" s="58">
        <v>4497</v>
      </c>
      <c r="O42" s="58">
        <v>7400</v>
      </c>
      <c r="P42" s="58">
        <v>6167</v>
      </c>
      <c r="Q42" s="58">
        <v>9609</v>
      </c>
      <c r="R42" s="58">
        <v>6783</v>
      </c>
      <c r="S42" s="58">
        <v>9635</v>
      </c>
      <c r="T42" s="58">
        <v>8684</v>
      </c>
      <c r="U42" s="72">
        <v>2672</v>
      </c>
      <c r="V42" s="21">
        <f t="shared" si="1"/>
        <v>115445</v>
      </c>
    </row>
    <row r="43" spans="1:22">
      <c r="A43" s="1" t="s">
        <v>1</v>
      </c>
      <c r="B43" s="14" t="s">
        <v>94</v>
      </c>
      <c r="C43" s="55">
        <v>294235</v>
      </c>
      <c r="D43" s="56">
        <v>322453</v>
      </c>
      <c r="E43" s="56">
        <v>366026</v>
      </c>
      <c r="F43" s="56">
        <v>436594</v>
      </c>
      <c r="G43" s="56">
        <v>350581</v>
      </c>
      <c r="H43" s="56">
        <v>394021</v>
      </c>
      <c r="I43" s="56">
        <v>336089</v>
      </c>
      <c r="J43" s="56">
        <v>312075</v>
      </c>
      <c r="K43" s="56">
        <v>304068</v>
      </c>
      <c r="L43" s="56">
        <v>344913</v>
      </c>
      <c r="M43" s="56">
        <v>305593</v>
      </c>
      <c r="N43" s="56">
        <v>332972</v>
      </c>
      <c r="O43" s="56">
        <v>329401</v>
      </c>
      <c r="P43" s="56">
        <v>324183</v>
      </c>
      <c r="Q43" s="56">
        <v>266321</v>
      </c>
      <c r="R43" s="56">
        <v>251455</v>
      </c>
      <c r="S43" s="56">
        <v>349268</v>
      </c>
      <c r="T43" s="56">
        <v>300087</v>
      </c>
      <c r="U43" s="71">
        <v>302478</v>
      </c>
      <c r="V43" s="18">
        <f t="shared" si="1"/>
        <v>6222813</v>
      </c>
    </row>
    <row r="44" spans="1:22">
      <c r="A44" s="1" t="s">
        <v>1</v>
      </c>
      <c r="B44" s="30" t="s">
        <v>95</v>
      </c>
      <c r="C44" s="49">
        <v>16320</v>
      </c>
      <c r="D44" s="50">
        <v>19380</v>
      </c>
      <c r="E44" s="50">
        <v>19380</v>
      </c>
      <c r="F44" s="50">
        <v>18360</v>
      </c>
      <c r="G44" s="50">
        <v>16320</v>
      </c>
      <c r="H44" s="50">
        <v>19380</v>
      </c>
      <c r="I44" s="50">
        <v>17340</v>
      </c>
      <c r="J44" s="50">
        <v>16320</v>
      </c>
      <c r="K44" s="50">
        <v>16320</v>
      </c>
      <c r="L44" s="50">
        <v>18360</v>
      </c>
      <c r="M44" s="50">
        <v>15300</v>
      </c>
      <c r="N44" s="50">
        <v>17340</v>
      </c>
      <c r="O44" s="50">
        <v>15300</v>
      </c>
      <c r="P44" s="50">
        <v>17340</v>
      </c>
      <c r="Q44" s="50">
        <v>14280</v>
      </c>
      <c r="R44" s="50">
        <v>13260</v>
      </c>
      <c r="S44" s="50">
        <v>13260</v>
      </c>
      <c r="T44" s="50">
        <v>13260</v>
      </c>
      <c r="U44" s="68">
        <v>13260</v>
      </c>
      <c r="V44" s="32">
        <f t="shared" si="1"/>
        <v>310080</v>
      </c>
    </row>
    <row r="45" spans="1:22">
      <c r="A45" s="1" t="s">
        <v>1</v>
      </c>
      <c r="B45" s="25" t="s">
        <v>96</v>
      </c>
      <c r="C45" s="51">
        <v>2880</v>
      </c>
      <c r="D45" s="52">
        <v>3420</v>
      </c>
      <c r="E45" s="52">
        <v>3420</v>
      </c>
      <c r="F45" s="52">
        <v>3240</v>
      </c>
      <c r="G45" s="52">
        <v>2880</v>
      </c>
      <c r="H45" s="52">
        <v>3420</v>
      </c>
      <c r="I45" s="52">
        <v>3060</v>
      </c>
      <c r="J45" s="52">
        <v>2880</v>
      </c>
      <c r="K45" s="52">
        <v>2880</v>
      </c>
      <c r="L45" s="52">
        <v>3240</v>
      </c>
      <c r="M45" s="52">
        <v>2700</v>
      </c>
      <c r="N45" s="52">
        <v>3060</v>
      </c>
      <c r="O45" s="52">
        <v>2700</v>
      </c>
      <c r="P45" s="52">
        <v>3060</v>
      </c>
      <c r="Q45" s="52">
        <v>2520</v>
      </c>
      <c r="R45" s="52">
        <v>2340</v>
      </c>
      <c r="S45" s="52">
        <v>2340</v>
      </c>
      <c r="T45" s="52">
        <v>2340</v>
      </c>
      <c r="U45" s="69">
        <v>2340</v>
      </c>
      <c r="V45" s="34">
        <f t="shared" si="1"/>
        <v>54720</v>
      </c>
    </row>
    <row r="46" spans="1:22">
      <c r="A46" s="1" t="s">
        <v>1</v>
      </c>
      <c r="B46" s="25" t="s">
        <v>97</v>
      </c>
      <c r="C46" s="51">
        <v>29280</v>
      </c>
      <c r="D46" s="52">
        <v>34770</v>
      </c>
      <c r="E46" s="52">
        <v>34770</v>
      </c>
      <c r="F46" s="52">
        <v>32940</v>
      </c>
      <c r="G46" s="52">
        <v>29280</v>
      </c>
      <c r="H46" s="52">
        <v>34770</v>
      </c>
      <c r="I46" s="52">
        <v>31110</v>
      </c>
      <c r="J46" s="52">
        <v>29280</v>
      </c>
      <c r="K46" s="52">
        <v>29280</v>
      </c>
      <c r="L46" s="52">
        <v>32940</v>
      </c>
      <c r="M46" s="52">
        <v>27450</v>
      </c>
      <c r="N46" s="52">
        <v>31110</v>
      </c>
      <c r="O46" s="52">
        <v>27450</v>
      </c>
      <c r="P46" s="52">
        <v>31110</v>
      </c>
      <c r="Q46" s="52">
        <v>25620</v>
      </c>
      <c r="R46" s="52">
        <v>23790</v>
      </c>
      <c r="S46" s="52">
        <v>23790</v>
      </c>
      <c r="T46" s="52">
        <v>23790</v>
      </c>
      <c r="U46" s="69">
        <v>23790</v>
      </c>
      <c r="V46" s="34">
        <f t="shared" si="1"/>
        <v>556320</v>
      </c>
    </row>
    <row r="47" spans="1:22">
      <c r="A47" s="1" t="s">
        <v>1</v>
      </c>
      <c r="B47" s="101" t="s">
        <v>98</v>
      </c>
      <c r="C47" s="102">
        <v>1765</v>
      </c>
      <c r="D47" s="103">
        <v>1935</v>
      </c>
      <c r="E47" s="103">
        <v>2196</v>
      </c>
      <c r="F47" s="103">
        <v>2620</v>
      </c>
      <c r="G47" s="103">
        <v>2103</v>
      </c>
      <c r="H47" s="103">
        <v>2364</v>
      </c>
      <c r="I47" s="103">
        <v>2017</v>
      </c>
      <c r="J47" s="103">
        <v>1872</v>
      </c>
      <c r="K47" s="103">
        <v>1824</v>
      </c>
      <c r="L47" s="103">
        <v>2069</v>
      </c>
      <c r="M47" s="103">
        <v>1834</v>
      </c>
      <c r="N47" s="103">
        <v>1998</v>
      </c>
      <c r="O47" s="103">
        <v>1976</v>
      </c>
      <c r="P47" s="103">
        <v>1945</v>
      </c>
      <c r="Q47" s="103">
        <v>1598</v>
      </c>
      <c r="R47" s="103">
        <v>1509</v>
      </c>
      <c r="S47" s="103">
        <v>2096</v>
      </c>
      <c r="T47" s="103">
        <v>1801</v>
      </c>
      <c r="U47" s="115">
        <v>1815</v>
      </c>
      <c r="V47" s="105">
        <f t="shared" si="1"/>
        <v>37337</v>
      </c>
    </row>
    <row r="48" spans="1:22">
      <c r="A48" s="1" t="s">
        <v>1</v>
      </c>
      <c r="B48" s="14" t="s">
        <v>99</v>
      </c>
      <c r="C48" s="55">
        <v>50245</v>
      </c>
      <c r="D48" s="56">
        <v>59505</v>
      </c>
      <c r="E48" s="56">
        <v>59766</v>
      </c>
      <c r="F48" s="56">
        <v>57160</v>
      </c>
      <c r="G48" s="56">
        <v>50583</v>
      </c>
      <c r="H48" s="56">
        <v>59934</v>
      </c>
      <c r="I48" s="56">
        <v>53527</v>
      </c>
      <c r="J48" s="56">
        <v>50352</v>
      </c>
      <c r="K48" s="56">
        <v>50304</v>
      </c>
      <c r="L48" s="56">
        <v>56609</v>
      </c>
      <c r="M48" s="56">
        <v>47284</v>
      </c>
      <c r="N48" s="56">
        <v>53508</v>
      </c>
      <c r="O48" s="56">
        <v>47426</v>
      </c>
      <c r="P48" s="56">
        <v>53455</v>
      </c>
      <c r="Q48" s="56">
        <v>44018</v>
      </c>
      <c r="R48" s="56">
        <v>40899</v>
      </c>
      <c r="S48" s="56">
        <v>41486</v>
      </c>
      <c r="T48" s="56">
        <v>41191</v>
      </c>
      <c r="U48" s="71">
        <v>41205</v>
      </c>
      <c r="V48" s="18">
        <f t="shared" si="1"/>
        <v>958457</v>
      </c>
    </row>
    <row r="49" spans="1:22">
      <c r="A49" s="1" t="s">
        <v>1</v>
      </c>
      <c r="B49" s="106" t="s">
        <v>100</v>
      </c>
      <c r="C49" s="107">
        <v>4280</v>
      </c>
      <c r="D49" s="108">
        <v>6890</v>
      </c>
      <c r="E49" s="108">
        <v>6760</v>
      </c>
      <c r="F49" s="108">
        <v>14610</v>
      </c>
      <c r="G49" s="108">
        <v>6190</v>
      </c>
      <c r="H49" s="108">
        <v>10960</v>
      </c>
      <c r="I49" s="108">
        <v>7620</v>
      </c>
      <c r="J49" s="108">
        <v>5310</v>
      </c>
      <c r="K49" s="108">
        <v>6580</v>
      </c>
      <c r="L49" s="108">
        <v>7740</v>
      </c>
      <c r="M49" s="108">
        <v>6620</v>
      </c>
      <c r="N49" s="108">
        <v>7440</v>
      </c>
      <c r="O49" s="108">
        <v>7430</v>
      </c>
      <c r="P49" s="108">
        <v>2220</v>
      </c>
      <c r="Q49" s="108">
        <v>5220</v>
      </c>
      <c r="R49" s="108">
        <v>4900</v>
      </c>
      <c r="S49" s="108">
        <v>6660</v>
      </c>
      <c r="T49" s="108">
        <v>6560</v>
      </c>
      <c r="U49" s="116">
        <v>6860</v>
      </c>
      <c r="V49" s="110">
        <f t="shared" si="1"/>
        <v>130850</v>
      </c>
    </row>
    <row r="50" spans="1:22">
      <c r="A50" s="1" t="s">
        <v>1</v>
      </c>
      <c r="B50" s="25" t="s">
        <v>101</v>
      </c>
      <c r="C50" s="51">
        <v>1300</v>
      </c>
      <c r="D50" s="52">
        <v>1300</v>
      </c>
      <c r="E50" s="52">
        <v>1300</v>
      </c>
      <c r="F50" s="52">
        <v>0</v>
      </c>
      <c r="G50" s="52">
        <v>1300</v>
      </c>
      <c r="H50" s="52">
        <v>1300</v>
      </c>
      <c r="I50" s="52">
        <v>1300</v>
      </c>
      <c r="J50" s="52">
        <v>1300</v>
      </c>
      <c r="K50" s="52">
        <v>1300</v>
      </c>
      <c r="L50" s="52">
        <v>1300</v>
      </c>
      <c r="M50" s="52">
        <v>0</v>
      </c>
      <c r="N50" s="52">
        <v>0</v>
      </c>
      <c r="O50" s="52">
        <v>1300</v>
      </c>
      <c r="P50" s="52">
        <v>1300</v>
      </c>
      <c r="Q50" s="52">
        <v>1300</v>
      </c>
      <c r="R50" s="52">
        <v>0</v>
      </c>
      <c r="S50" s="52">
        <v>1300</v>
      </c>
      <c r="T50" s="52">
        <v>1300</v>
      </c>
      <c r="U50" s="69">
        <v>0</v>
      </c>
      <c r="V50" s="34">
        <f t="shared" si="1"/>
        <v>18200</v>
      </c>
    </row>
    <row r="51" spans="1:22">
      <c r="A51" s="1" t="s">
        <v>1</v>
      </c>
      <c r="B51" s="5" t="s">
        <v>102</v>
      </c>
      <c r="C51" s="53">
        <v>9900</v>
      </c>
      <c r="D51" s="54">
        <v>16100</v>
      </c>
      <c r="E51" s="54">
        <v>15700</v>
      </c>
      <c r="F51" s="54">
        <v>18800</v>
      </c>
      <c r="G51" s="54">
        <v>12100</v>
      </c>
      <c r="H51" s="54">
        <v>18500</v>
      </c>
      <c r="I51" s="54">
        <v>14500</v>
      </c>
      <c r="J51" s="54">
        <v>9300</v>
      </c>
      <c r="K51" s="54">
        <v>13400</v>
      </c>
      <c r="L51" s="54">
        <v>13900</v>
      </c>
      <c r="M51" s="54">
        <v>10400</v>
      </c>
      <c r="N51" s="54">
        <v>24600</v>
      </c>
      <c r="O51" s="54">
        <v>12200</v>
      </c>
      <c r="P51" s="54">
        <v>6700</v>
      </c>
      <c r="Q51" s="54">
        <v>0</v>
      </c>
      <c r="R51" s="54">
        <v>0</v>
      </c>
      <c r="S51" s="54">
        <v>0</v>
      </c>
      <c r="T51" s="54">
        <v>0</v>
      </c>
      <c r="U51" s="70">
        <v>0</v>
      </c>
      <c r="V51" s="9">
        <f t="shared" si="1"/>
        <v>196100</v>
      </c>
    </row>
    <row r="52" spans="1:22">
      <c r="A52" s="1" t="s">
        <v>1</v>
      </c>
      <c r="B52" s="14" t="s">
        <v>103</v>
      </c>
      <c r="C52" s="55">
        <v>65725</v>
      </c>
      <c r="D52" s="56">
        <v>83795</v>
      </c>
      <c r="E52" s="56">
        <v>83526</v>
      </c>
      <c r="F52" s="56">
        <v>90570</v>
      </c>
      <c r="G52" s="56">
        <v>70173</v>
      </c>
      <c r="H52" s="56">
        <v>90694</v>
      </c>
      <c r="I52" s="56">
        <v>76947</v>
      </c>
      <c r="J52" s="56">
        <v>66262</v>
      </c>
      <c r="K52" s="56">
        <v>71584</v>
      </c>
      <c r="L52" s="56">
        <v>79549</v>
      </c>
      <c r="M52" s="56">
        <v>64304</v>
      </c>
      <c r="N52" s="56">
        <v>85548</v>
      </c>
      <c r="O52" s="56">
        <v>68356</v>
      </c>
      <c r="P52" s="56">
        <v>63675</v>
      </c>
      <c r="Q52" s="56">
        <v>50538</v>
      </c>
      <c r="R52" s="56">
        <v>45799</v>
      </c>
      <c r="S52" s="56">
        <v>49446</v>
      </c>
      <c r="T52" s="56">
        <v>49051</v>
      </c>
      <c r="U52" s="71">
        <v>48065</v>
      </c>
      <c r="V52" s="18">
        <f t="shared" si="1"/>
        <v>1303607</v>
      </c>
    </row>
    <row r="53" spans="1:22">
      <c r="A53" s="1" t="s">
        <v>1</v>
      </c>
      <c r="B53" s="5" t="s">
        <v>104</v>
      </c>
      <c r="C53" s="53">
        <v>231657</v>
      </c>
      <c r="D53" s="54">
        <v>259608</v>
      </c>
      <c r="E53" s="54">
        <v>300941</v>
      </c>
      <c r="F53" s="54">
        <v>376222</v>
      </c>
      <c r="G53" s="54">
        <v>285224</v>
      </c>
      <c r="H53" s="54">
        <v>331620</v>
      </c>
      <c r="I53" s="54">
        <v>279992</v>
      </c>
      <c r="J53" s="54">
        <v>260387</v>
      </c>
      <c r="K53" s="54">
        <v>250680</v>
      </c>
      <c r="L53" s="54">
        <v>283165</v>
      </c>
      <c r="M53" s="54">
        <v>251885</v>
      </c>
      <c r="N53" s="54">
        <v>274967</v>
      </c>
      <c r="O53" s="54">
        <v>274575</v>
      </c>
      <c r="P53" s="54">
        <v>264561</v>
      </c>
      <c r="Q53" s="54">
        <v>212694</v>
      </c>
      <c r="R53" s="54">
        <v>203773</v>
      </c>
      <c r="S53" s="54">
        <v>298147</v>
      </c>
      <c r="T53" s="54">
        <v>250212</v>
      </c>
      <c r="U53" s="70">
        <v>258601</v>
      </c>
      <c r="V53" s="9">
        <f t="shared" si="1"/>
        <v>5148911</v>
      </c>
    </row>
    <row r="54" spans="1:22">
      <c r="A54" s="1" t="s">
        <v>1</v>
      </c>
      <c r="B54" s="14" t="s">
        <v>105</v>
      </c>
      <c r="C54" s="55">
        <v>228510</v>
      </c>
      <c r="D54" s="56">
        <v>238658</v>
      </c>
      <c r="E54" s="56">
        <v>282500</v>
      </c>
      <c r="F54" s="56">
        <v>346024</v>
      </c>
      <c r="G54" s="56">
        <v>280408</v>
      </c>
      <c r="H54" s="56">
        <v>303327</v>
      </c>
      <c r="I54" s="56">
        <v>259142</v>
      </c>
      <c r="J54" s="56">
        <v>245813</v>
      </c>
      <c r="K54" s="56">
        <v>232484</v>
      </c>
      <c r="L54" s="56">
        <v>265364</v>
      </c>
      <c r="M54" s="56">
        <v>241289</v>
      </c>
      <c r="N54" s="56">
        <v>247424</v>
      </c>
      <c r="O54" s="56">
        <v>261045</v>
      </c>
      <c r="P54" s="56">
        <v>260508</v>
      </c>
      <c r="Q54" s="56">
        <v>215783</v>
      </c>
      <c r="R54" s="56">
        <v>205656</v>
      </c>
      <c r="S54" s="56">
        <v>299822</v>
      </c>
      <c r="T54" s="56">
        <v>251036</v>
      </c>
      <c r="U54" s="71">
        <v>254413</v>
      </c>
      <c r="V54" s="18">
        <f t="shared" si="1"/>
        <v>4919206</v>
      </c>
    </row>
    <row r="55" spans="1:22">
      <c r="A55" s="1" t="s">
        <v>1</v>
      </c>
      <c r="B55" s="14" t="s">
        <v>106</v>
      </c>
      <c r="C55" s="55">
        <v>228510</v>
      </c>
      <c r="D55" s="56">
        <v>238658</v>
      </c>
      <c r="E55" s="56">
        <v>282500</v>
      </c>
      <c r="F55" s="56">
        <v>346024</v>
      </c>
      <c r="G55" s="56">
        <v>280408</v>
      </c>
      <c r="H55" s="56">
        <v>303327</v>
      </c>
      <c r="I55" s="56">
        <v>259142</v>
      </c>
      <c r="J55" s="56">
        <v>245813</v>
      </c>
      <c r="K55" s="56">
        <v>232484</v>
      </c>
      <c r="L55" s="56">
        <v>265364</v>
      </c>
      <c r="M55" s="56">
        <v>241289</v>
      </c>
      <c r="N55" s="56">
        <v>247424</v>
      </c>
      <c r="O55" s="56">
        <v>261045</v>
      </c>
      <c r="P55" s="56">
        <v>260508</v>
      </c>
      <c r="Q55" s="56">
        <v>215783</v>
      </c>
      <c r="R55" s="56">
        <v>205656</v>
      </c>
      <c r="S55" s="56">
        <v>299822</v>
      </c>
      <c r="T55" s="56">
        <v>251036</v>
      </c>
      <c r="U55" s="71">
        <v>254413</v>
      </c>
      <c r="V55" s="18">
        <f t="shared" si="1"/>
        <v>4919206</v>
      </c>
    </row>
    <row r="56" spans="1:22">
      <c r="A56" s="1" t="s">
        <v>1</v>
      </c>
      <c r="B56" s="14" t="s">
        <v>107</v>
      </c>
      <c r="C56" s="55">
        <v>1</v>
      </c>
      <c r="D56" s="56">
        <v>0</v>
      </c>
      <c r="E56" s="56">
        <v>1</v>
      </c>
      <c r="F56" s="56">
        <v>0</v>
      </c>
      <c r="G56" s="56">
        <v>1</v>
      </c>
      <c r="H56" s="56">
        <v>0</v>
      </c>
      <c r="I56" s="56">
        <v>0</v>
      </c>
      <c r="J56" s="56">
        <v>1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3</v>
      </c>
      <c r="Q56" s="56">
        <v>0</v>
      </c>
      <c r="R56" s="56">
        <v>0</v>
      </c>
      <c r="S56" s="56">
        <v>1</v>
      </c>
      <c r="T56" s="56">
        <v>0</v>
      </c>
      <c r="U56" s="71">
        <v>0</v>
      </c>
      <c r="V56" s="18"/>
    </row>
    <row r="57" spans="1:22" ht="19.5" thickBot="1">
      <c r="A57" s="1" t="s">
        <v>1</v>
      </c>
      <c r="B57" s="10" t="s">
        <v>108</v>
      </c>
      <c r="C57" s="59" t="s">
        <v>109</v>
      </c>
      <c r="D57" s="60" t="s">
        <v>109</v>
      </c>
      <c r="E57" s="60" t="s">
        <v>109</v>
      </c>
      <c r="F57" s="60" t="s">
        <v>109</v>
      </c>
      <c r="G57" s="60" t="s">
        <v>109</v>
      </c>
      <c r="H57" s="60" t="s">
        <v>109</v>
      </c>
      <c r="I57" s="60" t="s">
        <v>109</v>
      </c>
      <c r="J57" s="60" t="s">
        <v>109</v>
      </c>
      <c r="K57" s="60" t="s">
        <v>109</v>
      </c>
      <c r="L57" s="60" t="s">
        <v>109</v>
      </c>
      <c r="M57" s="60" t="s">
        <v>109</v>
      </c>
      <c r="N57" s="60" t="s">
        <v>109</v>
      </c>
      <c r="O57" s="60" t="s">
        <v>109</v>
      </c>
      <c r="P57" s="60" t="s">
        <v>109</v>
      </c>
      <c r="Q57" s="60" t="s">
        <v>109</v>
      </c>
      <c r="R57" s="60" t="s">
        <v>109</v>
      </c>
      <c r="S57" s="60" t="s">
        <v>109</v>
      </c>
      <c r="T57" s="60" t="s">
        <v>109</v>
      </c>
      <c r="U57" s="73" t="s">
        <v>109</v>
      </c>
      <c r="V57" s="12"/>
    </row>
  </sheetData>
  <phoneticPr fontId="3"/>
  <pageMargins left="0.11811023622047245" right="0.70866141732283472" top="0.15748031496062992" bottom="0.15748031496062992" header="0.11811023622047245" footer="0.11811023622047245"/>
  <pageSetup paperSize="12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2023年 5月度給与 (3)</vt:lpstr>
      <vt:lpstr>2023年 5月度給与 (4)</vt:lpstr>
      <vt:lpstr>'2023年 5月度給与 (3)'!Print_Area</vt:lpstr>
      <vt:lpstr>'2023年 5月度給与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2023-06-09T00:37:29Z</cp:lastPrinted>
  <dcterms:created xsi:type="dcterms:W3CDTF">2023-06-08T04:19:09Z</dcterms:created>
  <dcterms:modified xsi:type="dcterms:W3CDTF">2024-09-26T07:07:50Z</dcterms:modified>
</cp:coreProperties>
</file>