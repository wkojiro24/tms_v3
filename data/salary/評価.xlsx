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年9月評価" sheetId="1" r:id="rId4"/>
  </sheets>
  <definedNames/>
  <calcPr/>
</workbook>
</file>

<file path=xl/sharedStrings.xml><?xml version="1.0" encoding="utf-8"?>
<sst xmlns="http://schemas.openxmlformats.org/spreadsheetml/2006/main" count="392" uniqueCount="130">
  <si>
    <t>9月</t>
  </si>
  <si>
    <t>変動</t>
  </si>
  <si>
    <t>固定</t>
  </si>
  <si>
    <t>＃下山田さんと水町さんは賞与評価のとき賞与評価を入れること！</t>
  </si>
  <si>
    <t>2024年度(202409～202508） 基本給</t>
  </si>
  <si>
    <t>2024年度(202409～202508)基本給実績評価</t>
  </si>
  <si>
    <t>2025年度(202509～202608）新基本給</t>
  </si>
  <si>
    <t>備考</t>
  </si>
  <si>
    <t>基本給</t>
  </si>
  <si>
    <t>職位加算</t>
  </si>
  <si>
    <t>職責加算</t>
  </si>
  <si>
    <t>大都市加算</t>
  </si>
  <si>
    <t>調整給</t>
  </si>
  <si>
    <t>基本給2</t>
  </si>
  <si>
    <t>無事故加算</t>
  </si>
  <si>
    <t>有給休暇</t>
  </si>
  <si>
    <t>調整加算</t>
  </si>
  <si>
    <t>欠勤控除</t>
  </si>
  <si>
    <t>平日残業</t>
  </si>
  <si>
    <t>法定休日残業</t>
  </si>
  <si>
    <t>法定外休日残</t>
  </si>
  <si>
    <t>法定代休残業</t>
  </si>
  <si>
    <t>法定外代休残</t>
  </si>
  <si>
    <t>割増残業</t>
  </si>
  <si>
    <t>所定内残業</t>
  </si>
  <si>
    <t>深夜残業</t>
  </si>
  <si>
    <t>課税支給合計</t>
  </si>
  <si>
    <t>増加額</t>
  </si>
  <si>
    <t>想定手取り</t>
  </si>
  <si>
    <t>支給額（手取り）</t>
  </si>
  <si>
    <t>ドライバー</t>
  </si>
  <si>
    <t>管理・事務</t>
  </si>
  <si>
    <t>取締役</t>
  </si>
  <si>
    <t>本社</t>
  </si>
  <si>
    <t>東京</t>
  </si>
  <si>
    <t>川崎</t>
  </si>
  <si>
    <t>小名浜</t>
  </si>
  <si>
    <t>仙台</t>
  </si>
  <si>
    <t>所属</t>
  </si>
  <si>
    <t>氏名</t>
  </si>
  <si>
    <t>職位</t>
  </si>
  <si>
    <t>職責</t>
  </si>
  <si>
    <t>入社年月日</t>
  </si>
  <si>
    <t>勤続年数</t>
  </si>
  <si>
    <t>等級</t>
  </si>
  <si>
    <t>評価</t>
  </si>
  <si>
    <t>評価を点数換算した1年合計（ex.2A+3A)</t>
  </si>
  <si>
    <t>点数1年合計(上半期点数+下半期点数)</t>
  </si>
  <si>
    <t>評価を点数換算した1年合計→評価</t>
  </si>
  <si>
    <t>80時間を超えてはいけない。乗り回しなどで</t>
  </si>
  <si>
    <t>金子 勝彦</t>
  </si>
  <si>
    <t>班長</t>
  </si>
  <si>
    <t>H級</t>
  </si>
  <si>
    <t>3A</t>
  </si>
  <si>
    <t>米山 勝</t>
  </si>
  <si>
    <t>運行管理</t>
  </si>
  <si>
    <t>M級</t>
  </si>
  <si>
    <t>2A</t>
  </si>
  <si>
    <t>銅谷 和久</t>
  </si>
  <si>
    <t>土屋 勝三</t>
  </si>
  <si>
    <t>本間 裕康</t>
  </si>
  <si>
    <t>整備管理補助</t>
  </si>
  <si>
    <t>伊藤 博一</t>
  </si>
  <si>
    <t>G級</t>
  </si>
  <si>
    <t>石川 雄二</t>
  </si>
  <si>
    <t>菅原 幸志</t>
  </si>
  <si>
    <t>伊藤 正典</t>
  </si>
  <si>
    <t>運行管理補助</t>
  </si>
  <si>
    <t>吉田 亨</t>
  </si>
  <si>
    <t>佐藤 守</t>
  </si>
  <si>
    <t>３A</t>
  </si>
  <si>
    <t>高橋 徹</t>
  </si>
  <si>
    <t>毒劇物取扱責任者</t>
  </si>
  <si>
    <t>高橋 英晃</t>
  </si>
  <si>
    <t>土谷 栄</t>
  </si>
  <si>
    <t>小田島 健司</t>
  </si>
  <si>
    <t>白井 博</t>
  </si>
  <si>
    <t>佐藤 ゆうこ</t>
  </si>
  <si>
    <t>運行管理補助・8/1(8/7)～運行管理者</t>
  </si>
  <si>
    <t>総務経理</t>
  </si>
  <si>
    <t>※ほぼ所長代理的になっているので、評価をあげる</t>
  </si>
  <si>
    <t>小林 啓一</t>
  </si>
  <si>
    <t>Ｍ級</t>
  </si>
  <si>
    <t>２A</t>
  </si>
  <si>
    <t>雲藤 順</t>
  </si>
  <si>
    <t>係長</t>
  </si>
  <si>
    <t>鈴木 浩明</t>
  </si>
  <si>
    <t>鵜沼 芳昭</t>
  </si>
  <si>
    <t>契約更新時に決定済</t>
  </si>
  <si>
    <t>大平 正勝</t>
  </si>
  <si>
    <t>味戸 隆典</t>
  </si>
  <si>
    <t>荒木 正朋</t>
  </si>
  <si>
    <t>吉田 哲司</t>
  </si>
  <si>
    <t>菊地 秀和</t>
  </si>
  <si>
    <t>渡邉 浩司</t>
  </si>
  <si>
    <t>S</t>
  </si>
  <si>
    <t>松本 誠治</t>
  </si>
  <si>
    <t>渡邉 進一</t>
  </si>
  <si>
    <t>山口 豊</t>
  </si>
  <si>
    <t>齋藤 健一</t>
  </si>
  <si>
    <t>鈴木 秀和</t>
  </si>
  <si>
    <t>水町 賢土</t>
  </si>
  <si>
    <t>G級/専門職G級</t>
  </si>
  <si>
    <t>下山田 英治</t>
  </si>
  <si>
    <t>整備管理者(小名浜)整備管補(仙台)</t>
  </si>
  <si>
    <t>専門職Ｈ級</t>
  </si>
  <si>
    <t>浅田 恵美子</t>
  </si>
  <si>
    <t>部長</t>
  </si>
  <si>
    <t>渋谷 晶子</t>
  </si>
  <si>
    <t>上原　勉</t>
  </si>
  <si>
    <t>所長</t>
  </si>
  <si>
    <t>新治　泰子</t>
  </si>
  <si>
    <t>伊藤尚</t>
  </si>
  <si>
    <t>鈴木貴雄</t>
  </si>
  <si>
    <t>若松　美宏</t>
  </si>
  <si>
    <t>渡辺 敏男</t>
  </si>
  <si>
    <t>蛭田 孝子</t>
  </si>
  <si>
    <t>鈴木 紀子</t>
  </si>
  <si>
    <t>佐原 三夫</t>
  </si>
  <si>
    <t>松本 正己</t>
  </si>
  <si>
    <t>小沼 康</t>
  </si>
  <si>
    <t>金山　岳夫</t>
  </si>
  <si>
    <t>赤崎　功幸</t>
  </si>
  <si>
    <t>木下　知美</t>
  </si>
  <si>
    <t>若林 孝次郎</t>
  </si>
  <si>
    <t>代表取締役</t>
  </si>
  <si>
    <t>若林 裕子</t>
  </si>
  <si>
    <t>監査役</t>
  </si>
  <si>
    <t>若林 英司</t>
  </si>
  <si>
    <t>若林 作太郎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</si>
</sst>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[$¥-411]#,##0"/>
  </numFmts>
  <fonts count="18">
    <font>
      <sz val="10.0"/>
      <color rgb="FF000000"/>
      <name val="Arial"/>
      <scheme val="minor"/>
    </font>
    <font>
      <sz val="12.0"/>
      <color rgb="FFFF0000"/>
      <name val="&quot;ＭＳ Ｐゴシック&quot;"/>
    </font>
    <font>
      <sz val="12.0"/>
      <color rgb="FF000000"/>
      <name val="&quot;ＭＳ Ｐゴシック&quot;"/>
    </font>
    <font>
      <b/>
      <sz val="12.0"/>
      <color rgb="FF000000"/>
      <name val="&quot;ＭＳ Ｐゴシック&quot;"/>
    </font>
    <font>
      <color theme="1"/>
      <name val="Arial"/>
      <scheme val="minor"/>
    </font>
    <font>
      <sz val="12.0"/>
      <color theme="1"/>
      <name val="Meiryo"/>
    </font>
    <font/>
    <font>
      <sz val="12.0"/>
      <color theme="1"/>
      <name val="Arial"/>
      <scheme val="minor"/>
    </font>
    <font>
      <sz val="12.0"/>
      <color theme="1"/>
      <name val="&quot;Yu Gothic&quot;"/>
    </font>
    <font>
      <sz val="12.0"/>
      <color theme="1"/>
      <name val="Arial"/>
    </font>
    <font>
      <sz val="11.0"/>
      <color theme="1"/>
      <name val="Arial"/>
    </font>
    <font>
      <sz val="11.0"/>
      <color theme="1"/>
      <name val="&quot;Yu Gothic&quot;"/>
    </font>
    <font>
      <sz val="12.0"/>
      <color theme="1"/>
      <name val="Yu Gothic"/>
    </font>
    <font>
      <sz val="11.0"/>
      <color theme="1"/>
      <name val="Yu Gothic"/>
    </font>
    <font>
      <sz val="12.0"/>
      <color rgb="FFA6A6A6"/>
      <name val="&quot;ＭＳ Ｐゴシック&quot;"/>
    </font>
    <font>
      <sz val="12.0"/>
      <color theme="1"/>
      <name val="&quot;ＭＳ Ｐゴシック&quot;"/>
    </font>
    <font>
      <color theme="1"/>
      <name val="Arial"/>
    </font>
    <font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3" xfId="0" applyFont="1" applyNumberFormat="1"/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1" fillId="0" fontId="2" numFmtId="164" xfId="0" applyAlignment="1" applyBorder="1" applyFont="1" applyNumberFormat="1">
      <alignment horizontal="center" readingOrder="0" shrinkToFit="0" wrapText="0"/>
    </xf>
    <xf borderId="2" fillId="0" fontId="2" numFmtId="0" xfId="0" applyAlignment="1" applyBorder="1" applyFont="1">
      <alignment horizontal="center" readingOrder="0"/>
    </xf>
    <xf borderId="4" fillId="0" fontId="6" numFmtId="0" xfId="0" applyBorder="1" applyFont="1"/>
    <xf borderId="3" fillId="0" fontId="3" numFmtId="0" xfId="0" applyAlignment="1" applyBorder="1" applyFont="1">
      <alignment horizontal="center" readingOrder="0" shrinkToFit="0" wrapText="0"/>
    </xf>
    <xf borderId="2" fillId="0" fontId="6" numFmtId="0" xfId="0" applyBorder="1" applyFont="1"/>
    <xf borderId="2" fillId="2" fontId="3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5" numFmtId="3" xfId="0" applyAlignment="1" applyBorder="1" applyFont="1" applyNumberFormat="1">
      <alignment horizontal="left"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5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/>
    </xf>
    <xf borderId="1" fillId="0" fontId="8" numFmtId="3" xfId="0" applyAlignment="1" applyBorder="1" applyFont="1" applyNumberFormat="1">
      <alignment horizontal="center" readingOrder="0" shrinkToFit="0" vertical="bottom" wrapText="0"/>
    </xf>
    <xf borderId="1" fillId="0" fontId="8" numFmtId="3" xfId="0" applyAlignment="1" applyBorder="1" applyFont="1" applyNumberFormat="1">
      <alignment horizontal="center" shrinkToFit="0" vertical="bottom" wrapText="0"/>
    </xf>
    <xf borderId="1" fillId="0" fontId="9" numFmtId="3" xfId="0" applyAlignment="1" applyBorder="1" applyFont="1" applyNumberFormat="1">
      <alignment horizontal="center" readingOrder="0" shrinkToFit="0" vertical="bottom" wrapText="0"/>
    </xf>
    <xf borderId="1" fillId="0" fontId="5" numFmtId="3" xfId="0" applyAlignment="1" applyBorder="1" applyFont="1" applyNumberFormat="1">
      <alignment horizontal="center" readingOrder="0" shrinkToFit="0" vertical="bottom" wrapText="0"/>
    </xf>
    <xf borderId="0" fillId="0" fontId="11" numFmtId="3" xfId="0" applyAlignment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wrapText="0"/>
    </xf>
    <xf borderId="1" fillId="3" fontId="9" numFmtId="3" xfId="0" applyAlignment="1" applyBorder="1" applyFill="1" applyFont="1" applyNumberFormat="1">
      <alignment horizontal="center" vertical="bottom"/>
    </xf>
    <xf borderId="1" fillId="0" fontId="11" numFmtId="3" xfId="0" applyAlignment="1" applyBorder="1" applyFont="1" applyNumberFormat="1">
      <alignment horizontal="right" readingOrder="0" shrinkToFit="0" vertical="bottom" wrapText="0"/>
    </xf>
    <xf borderId="1" fillId="0" fontId="10" numFmtId="3" xfId="0" applyAlignment="1" applyBorder="1" applyFont="1" applyNumberFormat="1">
      <alignment horizontal="right" readingOrder="0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12" numFmtId="3" xfId="0" applyAlignment="1" applyBorder="1" applyFont="1" applyNumberFormat="1">
      <alignment horizontal="center" vertical="bottom"/>
    </xf>
    <xf borderId="1" fillId="0" fontId="5" numFmtId="3" xfId="0" applyAlignment="1" applyBorder="1" applyFont="1" applyNumberFormat="1">
      <alignment horizontal="center" vertical="bottom"/>
    </xf>
    <xf borderId="1" fillId="0" fontId="13" numFmtId="3" xfId="0" applyAlignment="1" applyBorder="1" applyFont="1" applyNumberFormat="1">
      <alignment horizontal="right" vertical="bottom"/>
    </xf>
    <xf borderId="0" fillId="0" fontId="13" numFmtId="3" xfId="0" applyAlignment="1" applyFont="1" applyNumberFormat="1">
      <alignment horizontal="right" vertical="bottom"/>
    </xf>
    <xf borderId="1" fillId="0" fontId="3" numFmtId="0" xfId="0" applyAlignment="1" applyBorder="1" applyFont="1">
      <alignment horizontal="center" shrinkToFit="0" wrapText="0"/>
    </xf>
    <xf borderId="3" fillId="0" fontId="11" numFmtId="3" xfId="0" applyAlignment="1" applyBorder="1" applyFont="1" applyNumberFormat="1">
      <alignment horizontal="right" readingOrder="0" shrinkToFit="0" vertical="bottom" wrapText="0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 shrinkToFit="0" wrapText="0"/>
    </xf>
    <xf borderId="1" fillId="0" fontId="15" numFmtId="164" xfId="0" applyAlignment="1" applyBorder="1" applyFont="1" applyNumberFormat="1">
      <alignment horizontal="center" readingOrder="0" shrinkToFit="0" wrapText="0"/>
    </xf>
    <xf borderId="1" fillId="0" fontId="1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shrinkToFit="0" vertical="bottom" wrapText="0"/>
    </xf>
    <xf borderId="1" fillId="3" fontId="9" numFmtId="3" xfId="0" applyAlignment="1" applyBorder="1" applyFont="1" applyNumberFormat="1">
      <alignment horizontal="center" readingOrder="0" shrinkToFit="0" vertical="bottom" wrapText="0"/>
    </xf>
    <xf borderId="1" fillId="0" fontId="4" numFmtId="0" xfId="0" applyBorder="1" applyFont="1"/>
    <xf borderId="1" fillId="0" fontId="2" numFmtId="0" xfId="0" applyAlignment="1" applyBorder="1" applyFont="1">
      <alignment horizontal="center" readingOrder="0" shrinkToFit="0" vertical="bottom" wrapText="0"/>
    </xf>
    <xf borderId="0" fillId="0" fontId="10" numFmtId="3" xfId="0" applyAlignment="1" applyFont="1" applyNumberFormat="1">
      <alignment horizontal="right" readingOrder="0" shrinkToFit="0" vertical="bottom" wrapText="0"/>
    </xf>
    <xf borderId="1" fillId="0" fontId="11" numFmtId="0" xfId="0" applyAlignment="1" applyBorder="1" applyFont="1">
      <alignment horizontal="right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/>
    </xf>
    <xf borderId="1" fillId="0" fontId="11" numFmtId="3" xfId="0" applyAlignment="1" applyBorder="1" applyFont="1" applyNumberFormat="1">
      <alignment horizontal="right" shrinkToFit="0" vertical="bottom" wrapText="0"/>
    </xf>
    <xf borderId="0" fillId="0" fontId="11" numFmtId="3" xfId="0" applyAlignment="1" applyFont="1" applyNumberFormat="1">
      <alignment horizontal="right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7" numFmtId="3" xfId="0" applyAlignment="1" applyBorder="1" applyFont="1" applyNumberFormat="1">
      <alignment horizontal="center" readingOrder="0"/>
    </xf>
    <xf borderId="1" fillId="0" fontId="9" numFmtId="3" xfId="0" applyAlignment="1" applyBorder="1" applyFont="1" applyNumberFormat="1">
      <alignment horizontal="center" vertical="bottom"/>
    </xf>
    <xf borderId="1" fillId="0" fontId="16" numFmtId="3" xfId="0" applyAlignment="1" applyBorder="1" applyFont="1" applyNumberFormat="1">
      <alignment horizontal="right" vertical="bottom"/>
    </xf>
    <xf borderId="0" fillId="0" fontId="16" numFmtId="3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5" numFmtId="3" xfId="0" applyAlignment="1" applyBorder="1" applyFont="1" applyNumberFormat="1">
      <alignment horizontal="center"/>
    </xf>
    <xf borderId="1" fillId="3" fontId="5" numFmtId="3" xfId="0" applyAlignment="1" applyBorder="1" applyFont="1" applyNumberFormat="1">
      <alignment horizontal="center"/>
    </xf>
    <xf borderId="0" fillId="0" fontId="4" numFmtId="0" xfId="0" applyAlignment="1" applyFont="1">
      <alignment vertical="bottom"/>
    </xf>
    <xf borderId="1" fillId="3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vertical="bottom"/>
    </xf>
    <xf borderId="1" fillId="3" fontId="12" numFmtId="3" xfId="0" applyAlignment="1" applyBorder="1" applyFont="1" applyNumberFormat="1">
      <alignment horizontal="center" vertical="bottom"/>
    </xf>
    <xf borderId="0" fillId="0" fontId="2" numFmtId="0" xfId="0" applyAlignment="1" applyFont="1">
      <alignment shrinkToFit="0" wrapText="0"/>
    </xf>
    <xf borderId="1" fillId="0" fontId="5" numFmtId="3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165" xfId="0" applyBorder="1" applyFont="1" applyNumberFormat="1"/>
    <xf borderId="1" fillId="0" fontId="17" numFmtId="165" xfId="0" applyBorder="1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3" max="3" width="10.38"/>
    <col customWidth="1" min="4" max="4" width="15.25"/>
    <col customWidth="1" min="5" max="5" width="14.0"/>
    <col customWidth="1" min="36" max="39" width="16.0"/>
    <col customWidth="1" min="40" max="41" width="14.88"/>
  </cols>
  <sheetData>
    <row r="1">
      <c r="A1" s="1"/>
      <c r="B1" s="2"/>
      <c r="C1" s="2"/>
      <c r="D1" s="2"/>
      <c r="E1" s="2"/>
      <c r="F1" s="2"/>
      <c r="G1" s="3"/>
      <c r="H1" s="4"/>
      <c r="I1" s="4"/>
      <c r="J1" s="5"/>
      <c r="K1" s="5"/>
      <c r="L1" s="5"/>
      <c r="M1" s="5"/>
      <c r="N1" s="6"/>
      <c r="O1" s="6"/>
      <c r="P1" s="7"/>
      <c r="Q1" s="7" t="s">
        <v>0</v>
      </c>
      <c r="U1" s="7" t="s">
        <v>1</v>
      </c>
      <c r="Y1" s="7" t="s">
        <v>2</v>
      </c>
      <c r="AH1" s="8"/>
    </row>
    <row r="2">
      <c r="A2" s="9" t="s">
        <v>3</v>
      </c>
      <c r="B2" s="10"/>
      <c r="C2" s="10"/>
      <c r="D2" s="10"/>
      <c r="E2" s="11"/>
      <c r="F2" s="12"/>
      <c r="G2" s="13">
        <v>45937.0</v>
      </c>
      <c r="H2" s="14" t="s">
        <v>4</v>
      </c>
      <c r="I2" s="15"/>
      <c r="J2" s="16" t="s">
        <v>5</v>
      </c>
      <c r="K2" s="17"/>
      <c r="L2" s="17"/>
      <c r="M2" s="15"/>
      <c r="N2" s="18" t="s">
        <v>6</v>
      </c>
      <c r="O2" s="15"/>
      <c r="P2" s="19" t="s">
        <v>7</v>
      </c>
      <c r="Q2" s="20" t="s">
        <v>8</v>
      </c>
      <c r="R2" s="20" t="s">
        <v>9</v>
      </c>
      <c r="S2" s="20" t="s">
        <v>10</v>
      </c>
      <c r="T2" s="21" t="s">
        <v>11</v>
      </c>
      <c r="U2" s="20" t="s">
        <v>12</v>
      </c>
      <c r="V2" s="20" t="s">
        <v>13</v>
      </c>
      <c r="W2" s="20" t="s">
        <v>14</v>
      </c>
      <c r="X2" s="20" t="s">
        <v>15</v>
      </c>
      <c r="Y2" s="20" t="s">
        <v>16</v>
      </c>
      <c r="Z2" s="20" t="s">
        <v>17</v>
      </c>
      <c r="AA2" s="20" t="s">
        <v>18</v>
      </c>
      <c r="AB2" s="20" t="s">
        <v>19</v>
      </c>
      <c r="AC2" s="20" t="s">
        <v>20</v>
      </c>
      <c r="AD2" s="20" t="s">
        <v>21</v>
      </c>
      <c r="AE2" s="20" t="s">
        <v>22</v>
      </c>
      <c r="AF2" s="20" t="s">
        <v>23</v>
      </c>
      <c r="AG2" s="20" t="s">
        <v>24</v>
      </c>
      <c r="AH2" s="20" t="s">
        <v>25</v>
      </c>
      <c r="AI2" s="22" t="s">
        <v>26</v>
      </c>
      <c r="AJ2" s="23" t="s">
        <v>27</v>
      </c>
      <c r="AK2" s="23" t="s">
        <v>28</v>
      </c>
      <c r="AL2" s="23" t="s">
        <v>29</v>
      </c>
      <c r="AM2" s="23" t="s">
        <v>30</v>
      </c>
      <c r="AN2" s="23" t="s">
        <v>31</v>
      </c>
      <c r="AO2" s="23" t="s">
        <v>32</v>
      </c>
      <c r="AP2" s="24"/>
      <c r="AQ2" s="24" t="s">
        <v>33</v>
      </c>
      <c r="AR2" s="24" t="s">
        <v>34</v>
      </c>
      <c r="AS2" s="24" t="s">
        <v>35</v>
      </c>
      <c r="AT2" s="24" t="s">
        <v>36</v>
      </c>
      <c r="AU2" s="24" t="s">
        <v>37</v>
      </c>
      <c r="AV2" s="24"/>
      <c r="AW2" s="24"/>
      <c r="AX2" s="24"/>
      <c r="AY2" s="24"/>
      <c r="AZ2" s="24"/>
      <c r="BA2" s="24"/>
      <c r="BB2" s="24"/>
      <c r="BC2" s="24"/>
    </row>
    <row r="3">
      <c r="A3" s="25" t="s">
        <v>38</v>
      </c>
      <c r="B3" s="26" t="s">
        <v>39</v>
      </c>
      <c r="C3" s="26" t="s">
        <v>40</v>
      </c>
      <c r="D3" s="27" t="s">
        <v>41</v>
      </c>
      <c r="E3" s="15"/>
      <c r="F3" s="26" t="s">
        <v>42</v>
      </c>
      <c r="G3" s="26" t="s">
        <v>43</v>
      </c>
      <c r="H3" s="28" t="s">
        <v>44</v>
      </c>
      <c r="I3" s="28" t="s">
        <v>45</v>
      </c>
      <c r="J3" s="29" t="s">
        <v>46</v>
      </c>
      <c r="K3" s="30" t="s">
        <v>47</v>
      </c>
      <c r="L3" s="31" t="s">
        <v>44</v>
      </c>
      <c r="M3" s="30" t="s">
        <v>48</v>
      </c>
      <c r="N3" s="32" t="s">
        <v>44</v>
      </c>
      <c r="O3" s="32" t="s">
        <v>45</v>
      </c>
      <c r="P3" s="33"/>
      <c r="Q3" s="34"/>
      <c r="R3" s="34"/>
      <c r="S3" s="35"/>
      <c r="T3" s="34"/>
      <c r="U3" s="36" t="s">
        <v>49</v>
      </c>
      <c r="V3" s="35"/>
      <c r="W3" s="34"/>
      <c r="X3" s="35"/>
      <c r="Y3" s="34"/>
      <c r="Z3" s="34"/>
      <c r="AA3" s="34"/>
      <c r="AB3" s="34"/>
      <c r="AC3" s="34"/>
      <c r="AD3" s="33"/>
      <c r="AE3" s="33"/>
      <c r="AF3" s="33"/>
      <c r="AG3" s="34"/>
      <c r="AH3" s="37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</row>
    <row r="4">
      <c r="A4" s="39" t="s">
        <v>34</v>
      </c>
      <c r="B4" s="26" t="s">
        <v>50</v>
      </c>
      <c r="C4" s="26" t="s">
        <v>51</v>
      </c>
      <c r="D4" s="10"/>
      <c r="E4" s="10"/>
      <c r="F4" s="13">
        <v>39526.0</v>
      </c>
      <c r="G4" s="26">
        <v>17.0</v>
      </c>
      <c r="H4" s="26" t="s">
        <v>52</v>
      </c>
      <c r="I4" s="26" t="s">
        <v>53</v>
      </c>
      <c r="J4" s="26">
        <v>8.0</v>
      </c>
      <c r="K4" s="26">
        <v>16.93</v>
      </c>
      <c r="L4" s="31" t="s">
        <v>52</v>
      </c>
      <c r="M4" s="31" t="s">
        <v>53</v>
      </c>
      <c r="N4" s="32" t="s">
        <v>52</v>
      </c>
      <c r="O4" s="32" t="s">
        <v>53</v>
      </c>
      <c r="P4" s="33"/>
      <c r="Q4" s="34">
        <v>197000.0</v>
      </c>
      <c r="R4" s="34">
        <v>5000.0</v>
      </c>
      <c r="S4" s="35"/>
      <c r="T4" s="34">
        <v>50000.0</v>
      </c>
      <c r="U4" s="36">
        <v>15000.0</v>
      </c>
      <c r="V4" s="34"/>
      <c r="W4" s="34">
        <v>6000.0</v>
      </c>
      <c r="X4" s="35"/>
      <c r="Y4" s="34">
        <v>10500.0</v>
      </c>
      <c r="Z4" s="34"/>
      <c r="AA4" s="34">
        <v>72360.0</v>
      </c>
      <c r="AB4" s="34">
        <v>8684.0</v>
      </c>
      <c r="AC4" s="34"/>
      <c r="AD4" s="34"/>
      <c r="AE4" s="33"/>
      <c r="AF4" s="33"/>
      <c r="AG4" s="33"/>
      <c r="AH4" s="34">
        <v>2814.0</v>
      </c>
      <c r="AI4" s="37">
        <v>367358.0</v>
      </c>
      <c r="AJ4" s="40">
        <v>20000.0</v>
      </c>
      <c r="AK4" s="41"/>
      <c r="AL4" s="41">
        <v>273975.0</v>
      </c>
      <c r="AM4" s="42">
        <v>1.0</v>
      </c>
      <c r="AN4" s="41"/>
      <c r="AO4" s="41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>
      <c r="A5" s="39" t="s">
        <v>34</v>
      </c>
      <c r="B5" s="26" t="s">
        <v>54</v>
      </c>
      <c r="C5" s="10"/>
      <c r="D5" s="26" t="s">
        <v>55</v>
      </c>
      <c r="E5" s="10"/>
      <c r="F5" s="13">
        <v>40238.0</v>
      </c>
      <c r="G5" s="26">
        <v>15.0</v>
      </c>
      <c r="H5" s="26" t="s">
        <v>56</v>
      </c>
      <c r="I5" s="26" t="s">
        <v>57</v>
      </c>
      <c r="J5" s="26">
        <v>6.0</v>
      </c>
      <c r="K5" s="26">
        <v>14.27</v>
      </c>
      <c r="L5" s="31" t="s">
        <v>56</v>
      </c>
      <c r="M5" s="31" t="s">
        <v>57</v>
      </c>
      <c r="N5" s="32" t="s">
        <v>56</v>
      </c>
      <c r="O5" s="32" t="s">
        <v>57</v>
      </c>
      <c r="P5" s="33"/>
      <c r="Q5" s="34">
        <v>182000.0</v>
      </c>
      <c r="R5" s="35"/>
      <c r="S5" s="34">
        <v>15000.0</v>
      </c>
      <c r="T5" s="34">
        <v>50000.0</v>
      </c>
      <c r="U5" s="35"/>
      <c r="V5" s="34"/>
      <c r="W5" s="34">
        <v>3500.0</v>
      </c>
      <c r="X5" s="35"/>
      <c r="Y5" s="34">
        <v>13500.0</v>
      </c>
      <c r="Z5" s="34"/>
      <c r="AA5" s="34">
        <v>63232.0</v>
      </c>
      <c r="AB5" s="34">
        <v>38412.0</v>
      </c>
      <c r="AC5" s="34"/>
      <c r="AD5" s="34"/>
      <c r="AE5" s="34"/>
      <c r="AF5" s="34"/>
      <c r="AG5" s="34"/>
      <c r="AH5" s="34">
        <v>1975.0</v>
      </c>
      <c r="AI5" s="37">
        <v>367619.0</v>
      </c>
      <c r="AJ5" s="40">
        <v>20000.0</v>
      </c>
      <c r="AK5" s="41"/>
      <c r="AL5" s="41">
        <v>317776.0</v>
      </c>
      <c r="AM5" s="42">
        <v>1.0</v>
      </c>
      <c r="AN5" s="41"/>
      <c r="AO5" s="41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</row>
    <row r="6">
      <c r="A6" s="39" t="s">
        <v>34</v>
      </c>
      <c r="B6" s="26" t="s">
        <v>58</v>
      </c>
      <c r="C6" s="10"/>
      <c r="D6" s="10"/>
      <c r="E6" s="10"/>
      <c r="F6" s="13">
        <v>42695.0</v>
      </c>
      <c r="G6" s="26">
        <v>8.0</v>
      </c>
      <c r="H6" s="26" t="s">
        <v>56</v>
      </c>
      <c r="I6" s="26" t="s">
        <v>57</v>
      </c>
      <c r="J6" s="26">
        <v>6.0</v>
      </c>
      <c r="K6" s="26">
        <v>14.8</v>
      </c>
      <c r="L6" s="31" t="s">
        <v>56</v>
      </c>
      <c r="M6" s="31" t="s">
        <v>57</v>
      </c>
      <c r="N6" s="32" t="s">
        <v>56</v>
      </c>
      <c r="O6" s="32" t="s">
        <v>57</v>
      </c>
      <c r="P6" s="33"/>
      <c r="Q6" s="34">
        <v>182000.0</v>
      </c>
      <c r="R6" s="35"/>
      <c r="S6" s="35"/>
      <c r="T6" s="34">
        <v>50000.0</v>
      </c>
      <c r="U6" s="34">
        <v>15000.0</v>
      </c>
      <c r="V6" s="34"/>
      <c r="W6" s="34">
        <v>6000.0</v>
      </c>
      <c r="X6" s="43"/>
      <c r="Y6" s="34">
        <v>13000.0</v>
      </c>
      <c r="Z6" s="34"/>
      <c r="AA6" s="34">
        <v>46975.0</v>
      </c>
      <c r="AB6" s="34">
        <v>10145.0</v>
      </c>
      <c r="AC6" s="34"/>
      <c r="AD6" s="34"/>
      <c r="AE6" s="34"/>
      <c r="AF6" s="34"/>
      <c r="AG6" s="34"/>
      <c r="AH6" s="34">
        <v>1128.0</v>
      </c>
      <c r="AI6" s="37">
        <v>324248.0</v>
      </c>
      <c r="AJ6" s="40">
        <v>20000.0</v>
      </c>
      <c r="AK6" s="41"/>
      <c r="AL6" s="41">
        <v>252707.0</v>
      </c>
      <c r="AM6" s="42">
        <v>1.0</v>
      </c>
      <c r="AN6" s="41"/>
      <c r="AO6" s="41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</row>
    <row r="7">
      <c r="A7" s="39" t="s">
        <v>34</v>
      </c>
      <c r="B7" s="26" t="s">
        <v>59</v>
      </c>
      <c r="C7" s="10"/>
      <c r="D7" s="10"/>
      <c r="E7" s="10"/>
      <c r="F7" s="13">
        <v>42795.0</v>
      </c>
      <c r="G7" s="26">
        <v>8.0</v>
      </c>
      <c r="H7" s="26" t="s">
        <v>56</v>
      </c>
      <c r="I7" s="26" t="s">
        <v>57</v>
      </c>
      <c r="J7" s="26">
        <v>6.0</v>
      </c>
      <c r="K7" s="26">
        <v>13.26</v>
      </c>
      <c r="L7" s="31" t="s">
        <v>56</v>
      </c>
      <c r="M7" s="31" t="s">
        <v>57</v>
      </c>
      <c r="N7" s="32" t="s">
        <v>56</v>
      </c>
      <c r="O7" s="32" t="s">
        <v>57</v>
      </c>
      <c r="P7" s="33"/>
      <c r="Q7" s="34">
        <v>182000.0</v>
      </c>
      <c r="R7" s="35"/>
      <c r="S7" s="35"/>
      <c r="T7" s="34">
        <v>50000.0</v>
      </c>
      <c r="U7" s="35"/>
      <c r="V7" s="34"/>
      <c r="W7" s="34">
        <v>6000.0</v>
      </c>
      <c r="X7" s="43"/>
      <c r="Y7" s="34">
        <v>13000.0</v>
      </c>
      <c r="Z7" s="34"/>
      <c r="AA7" s="34">
        <v>65765.0</v>
      </c>
      <c r="AB7" s="34">
        <v>18261.0</v>
      </c>
      <c r="AC7" s="34"/>
      <c r="AD7" s="34"/>
      <c r="AE7" s="34"/>
      <c r="AF7" s="34"/>
      <c r="AG7" s="34"/>
      <c r="AH7" s="34">
        <v>2256.0</v>
      </c>
      <c r="AI7" s="37">
        <v>337282.0</v>
      </c>
      <c r="AJ7" s="40">
        <v>20000.0</v>
      </c>
      <c r="AK7" s="41"/>
      <c r="AL7" s="41">
        <v>276916.0</v>
      </c>
      <c r="AM7" s="42">
        <v>1.0</v>
      </c>
      <c r="AN7" s="41"/>
      <c r="AO7" s="41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</row>
    <row r="8">
      <c r="A8" s="39" t="s">
        <v>34</v>
      </c>
      <c r="B8" s="26" t="s">
        <v>60</v>
      </c>
      <c r="C8" s="10"/>
      <c r="D8" s="10"/>
      <c r="E8" s="26" t="s">
        <v>61</v>
      </c>
      <c r="F8" s="13">
        <v>42950.0</v>
      </c>
      <c r="G8" s="26">
        <v>8.0</v>
      </c>
      <c r="H8" s="26" t="s">
        <v>56</v>
      </c>
      <c r="I8" s="26" t="s">
        <v>57</v>
      </c>
      <c r="J8" s="26">
        <v>6.0</v>
      </c>
      <c r="K8" s="26">
        <v>15.2</v>
      </c>
      <c r="L8" s="31" t="s">
        <v>56</v>
      </c>
      <c r="M8" s="31" t="s">
        <v>57</v>
      </c>
      <c r="N8" s="32" t="s">
        <v>56</v>
      </c>
      <c r="O8" s="32" t="s">
        <v>57</v>
      </c>
      <c r="P8" s="33"/>
      <c r="Q8" s="34">
        <v>182000.0</v>
      </c>
      <c r="R8" s="35"/>
      <c r="S8" s="34">
        <v>3000.0</v>
      </c>
      <c r="T8" s="34">
        <v>50000.0</v>
      </c>
      <c r="U8" s="35"/>
      <c r="V8" s="34"/>
      <c r="W8" s="34">
        <v>6000.0</v>
      </c>
      <c r="X8" s="35"/>
      <c r="Y8" s="34">
        <v>13000.0</v>
      </c>
      <c r="Z8" s="34"/>
      <c r="AA8" s="34">
        <v>68436.0</v>
      </c>
      <c r="AB8" s="34">
        <v>22583.0</v>
      </c>
      <c r="AC8" s="34"/>
      <c r="AD8" s="34"/>
      <c r="AE8" s="35"/>
      <c r="AF8" s="34"/>
      <c r="AG8" s="34"/>
      <c r="AH8" s="44">
        <v>2280.0</v>
      </c>
      <c r="AI8" s="45">
        <v>347299.0</v>
      </c>
      <c r="AJ8" s="40">
        <v>20000.0</v>
      </c>
      <c r="AK8" s="41"/>
      <c r="AL8" s="41">
        <v>306937.0</v>
      </c>
      <c r="AM8" s="42">
        <v>1.0</v>
      </c>
      <c r="AN8" s="46"/>
      <c r="AO8" s="46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</row>
    <row r="9">
      <c r="A9" s="39" t="s">
        <v>34</v>
      </c>
      <c r="B9" s="26" t="s">
        <v>62</v>
      </c>
      <c r="C9" s="10"/>
      <c r="D9" s="10"/>
      <c r="E9" s="10"/>
      <c r="F9" s="13">
        <v>45744.0</v>
      </c>
      <c r="G9" s="26">
        <v>0.0</v>
      </c>
      <c r="H9" s="26" t="s">
        <v>63</v>
      </c>
      <c r="I9" s="26" t="s">
        <v>57</v>
      </c>
      <c r="J9" s="26">
        <v>3.0</v>
      </c>
      <c r="K9" s="26">
        <v>6.03</v>
      </c>
      <c r="L9" s="31" t="s">
        <v>63</v>
      </c>
      <c r="M9" s="31" t="s">
        <v>57</v>
      </c>
      <c r="N9" s="32" t="s">
        <v>63</v>
      </c>
      <c r="O9" s="32" t="s">
        <v>57</v>
      </c>
      <c r="P9" s="33"/>
      <c r="Q9" s="34">
        <v>175000.0</v>
      </c>
      <c r="R9" s="35"/>
      <c r="S9" s="35"/>
      <c r="T9" s="34">
        <v>50000.0</v>
      </c>
      <c r="U9" s="35"/>
      <c r="V9" s="35"/>
      <c r="W9" s="35"/>
      <c r="X9" s="35"/>
      <c r="Y9" s="34">
        <v>8000.0</v>
      </c>
      <c r="Z9" s="34"/>
      <c r="AA9" s="34">
        <v>62784.0</v>
      </c>
      <c r="AB9" s="34">
        <v>15064.0</v>
      </c>
      <c r="AC9" s="34"/>
      <c r="AD9" s="34"/>
      <c r="AE9" s="34"/>
      <c r="AF9" s="34"/>
      <c r="AG9" s="34"/>
      <c r="AH9" s="34">
        <v>3839.0</v>
      </c>
      <c r="AI9" s="37">
        <v>314687.0</v>
      </c>
      <c r="AJ9" s="40">
        <v>20000.0</v>
      </c>
      <c r="AK9" s="41"/>
      <c r="AL9" s="41">
        <v>264616.0</v>
      </c>
      <c r="AM9" s="42">
        <v>1.0</v>
      </c>
      <c r="AN9" s="41"/>
      <c r="AO9" s="41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</row>
    <row r="10">
      <c r="A10" s="39" t="s">
        <v>34</v>
      </c>
      <c r="B10" s="26" t="s">
        <v>64</v>
      </c>
      <c r="C10" s="10"/>
      <c r="D10" s="10"/>
      <c r="E10" s="10"/>
      <c r="F10" s="13">
        <v>45855.0</v>
      </c>
      <c r="G10" s="26">
        <v>0.0</v>
      </c>
      <c r="H10" s="26" t="s">
        <v>63</v>
      </c>
      <c r="I10" s="26" t="s">
        <v>57</v>
      </c>
      <c r="J10" s="26" t="e">
        <v>#N/A</v>
      </c>
      <c r="K10" s="26">
        <v>0.0</v>
      </c>
      <c r="L10" s="31" t="s">
        <v>63</v>
      </c>
      <c r="M10" s="48"/>
      <c r="N10" s="32" t="s">
        <v>63</v>
      </c>
      <c r="O10" s="32" t="s">
        <v>57</v>
      </c>
      <c r="P10" s="33"/>
      <c r="Q10" s="34">
        <v>175000.0</v>
      </c>
      <c r="R10" s="35"/>
      <c r="S10" s="35"/>
      <c r="T10" s="34">
        <v>50000.0</v>
      </c>
      <c r="U10" s="35"/>
      <c r="V10" s="35"/>
      <c r="W10" s="35"/>
      <c r="X10" s="35"/>
      <c r="Y10" s="34">
        <v>8000.0</v>
      </c>
      <c r="Z10" s="34"/>
      <c r="AA10" s="34">
        <v>43600.0</v>
      </c>
      <c r="AB10" s="35"/>
      <c r="AC10" s="34"/>
      <c r="AD10" s="34"/>
      <c r="AE10" s="34"/>
      <c r="AF10" s="34"/>
      <c r="AG10" s="34"/>
      <c r="AH10" s="34">
        <v>1047.0</v>
      </c>
      <c r="AI10" s="37">
        <v>277647.0</v>
      </c>
      <c r="AJ10" s="40">
        <v>20000.0</v>
      </c>
      <c r="AK10" s="49"/>
      <c r="AL10" s="49">
        <v>228964.0</v>
      </c>
      <c r="AM10" s="42">
        <v>1.0</v>
      </c>
      <c r="AN10" s="41"/>
      <c r="AO10" s="41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</row>
    <row r="11">
      <c r="A11" s="39" t="s">
        <v>35</v>
      </c>
      <c r="B11" s="26" t="s">
        <v>65</v>
      </c>
      <c r="C11" s="26" t="s">
        <v>51</v>
      </c>
      <c r="D11" s="10"/>
      <c r="E11" s="50" t="s">
        <v>61</v>
      </c>
      <c r="F11" s="13">
        <v>42461.0</v>
      </c>
      <c r="G11" s="26">
        <v>9.0</v>
      </c>
      <c r="H11" s="26" t="s">
        <v>56</v>
      </c>
      <c r="I11" s="26" t="s">
        <v>53</v>
      </c>
      <c r="J11" s="26">
        <v>8.0</v>
      </c>
      <c r="K11" s="26">
        <v>17.34</v>
      </c>
      <c r="L11" s="31" t="s">
        <v>56</v>
      </c>
      <c r="M11" s="31" t="s">
        <v>53</v>
      </c>
      <c r="N11" s="32" t="s">
        <v>56</v>
      </c>
      <c r="O11" s="32" t="s">
        <v>53</v>
      </c>
      <c r="P11" s="33"/>
      <c r="Q11" s="34">
        <v>187000.0</v>
      </c>
      <c r="R11" s="34">
        <v>5000.0</v>
      </c>
      <c r="S11" s="35"/>
      <c r="T11" s="34">
        <v>50000.0</v>
      </c>
      <c r="U11" s="35"/>
      <c r="V11" s="34"/>
      <c r="W11" s="34">
        <v>6000.0</v>
      </c>
      <c r="X11" s="35"/>
      <c r="Y11" s="34"/>
      <c r="Z11" s="34"/>
      <c r="AA11" s="34">
        <v>44544.0</v>
      </c>
      <c r="AB11" s="34"/>
      <c r="AC11" s="34"/>
      <c r="AD11" s="34"/>
      <c r="AE11" s="34"/>
      <c r="AF11" s="33"/>
      <c r="AG11" s="33"/>
      <c r="AH11" s="34">
        <v>371.0</v>
      </c>
      <c r="AI11" s="37">
        <v>292915.0</v>
      </c>
      <c r="AJ11" s="40">
        <v>20000.0</v>
      </c>
      <c r="AK11" s="41"/>
      <c r="AL11" s="41">
        <v>253991.0</v>
      </c>
      <c r="AM11" s="42">
        <v>1.0</v>
      </c>
      <c r="AN11" s="41"/>
      <c r="AO11" s="41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</row>
    <row r="12">
      <c r="A12" s="39" t="s">
        <v>35</v>
      </c>
      <c r="B12" s="26" t="s">
        <v>66</v>
      </c>
      <c r="C12" s="10"/>
      <c r="D12" s="26" t="s">
        <v>67</v>
      </c>
      <c r="E12" s="10"/>
      <c r="F12" s="13">
        <v>42506.0</v>
      </c>
      <c r="G12" s="26">
        <v>9.0</v>
      </c>
      <c r="H12" s="26" t="s">
        <v>52</v>
      </c>
      <c r="I12" s="51" t="s">
        <v>57</v>
      </c>
      <c r="J12" s="26">
        <v>7.0</v>
      </c>
      <c r="K12" s="26">
        <v>16.36</v>
      </c>
      <c r="L12" s="31" t="s">
        <v>52</v>
      </c>
      <c r="M12" s="31" t="s">
        <v>57</v>
      </c>
      <c r="N12" s="32" t="s">
        <v>52</v>
      </c>
      <c r="O12" s="32" t="s">
        <v>57</v>
      </c>
      <c r="P12" s="33"/>
      <c r="Q12" s="34">
        <v>192000.0</v>
      </c>
      <c r="R12" s="43"/>
      <c r="S12" s="34">
        <v>3000.0</v>
      </c>
      <c r="T12" s="34">
        <v>50000.0</v>
      </c>
      <c r="U12" s="35"/>
      <c r="V12" s="34"/>
      <c r="W12" s="34">
        <v>3500.0</v>
      </c>
      <c r="X12" s="34"/>
      <c r="Y12" s="34">
        <v>13000.0</v>
      </c>
      <c r="Z12" s="34"/>
      <c r="AA12" s="34">
        <v>103774.0</v>
      </c>
      <c r="AB12" s="34"/>
      <c r="AC12" s="34"/>
      <c r="AD12" s="33"/>
      <c r="AE12" s="34"/>
      <c r="AF12" s="34"/>
      <c r="AG12" s="35"/>
      <c r="AH12" s="34">
        <v>784.0</v>
      </c>
      <c r="AI12" s="37">
        <v>366058.0</v>
      </c>
      <c r="AJ12" s="40">
        <v>20000.0</v>
      </c>
      <c r="AK12" s="41"/>
      <c r="AL12" s="41">
        <v>272502.0</v>
      </c>
      <c r="AM12" s="42">
        <v>1.0</v>
      </c>
      <c r="AN12" s="41"/>
      <c r="AO12" s="41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</row>
    <row r="13">
      <c r="A13" s="39" t="s">
        <v>35</v>
      </c>
      <c r="B13" s="26" t="s">
        <v>68</v>
      </c>
      <c r="C13" s="10"/>
      <c r="D13" s="28" t="s">
        <v>67</v>
      </c>
      <c r="E13" s="28" t="s">
        <v>61</v>
      </c>
      <c r="F13" s="52">
        <v>45323.0</v>
      </c>
      <c r="G13" s="26">
        <v>1.0</v>
      </c>
      <c r="H13" s="53" t="s">
        <v>52</v>
      </c>
      <c r="I13" s="26" t="s">
        <v>57</v>
      </c>
      <c r="J13" s="26">
        <v>6.0</v>
      </c>
      <c r="K13" s="26">
        <v>13.9</v>
      </c>
      <c r="L13" s="31" t="s">
        <v>52</v>
      </c>
      <c r="M13" s="31" t="s">
        <v>57</v>
      </c>
      <c r="N13" s="32" t="s">
        <v>52</v>
      </c>
      <c r="O13" s="32" t="s">
        <v>57</v>
      </c>
      <c r="P13" s="33"/>
      <c r="Q13" s="34">
        <v>192000.0</v>
      </c>
      <c r="R13" s="35"/>
      <c r="S13" s="34">
        <v>15000.0</v>
      </c>
      <c r="T13" s="34">
        <v>50000.0</v>
      </c>
      <c r="U13" s="34">
        <v>59828.0</v>
      </c>
      <c r="V13" s="35"/>
      <c r="W13" s="35"/>
      <c r="X13" s="34"/>
      <c r="Y13" s="34">
        <v>13000.0</v>
      </c>
      <c r="Z13" s="34"/>
      <c r="AA13" s="34">
        <v>80840.0</v>
      </c>
      <c r="AB13" s="34"/>
      <c r="AC13" s="34"/>
      <c r="AD13" s="34"/>
      <c r="AE13" s="34"/>
      <c r="AF13" s="33"/>
      <c r="AG13" s="33"/>
      <c r="AH13" s="34">
        <v>2828.0</v>
      </c>
      <c r="AI13" s="37">
        <v>413496.0</v>
      </c>
      <c r="AJ13" s="40">
        <v>20000.0</v>
      </c>
      <c r="AK13" s="49"/>
      <c r="AL13" s="49">
        <v>323775.0</v>
      </c>
      <c r="AM13" s="42">
        <v>1.0</v>
      </c>
      <c r="AN13" s="41"/>
      <c r="AO13" s="41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</row>
    <row r="14">
      <c r="A14" s="39" t="s">
        <v>37</v>
      </c>
      <c r="B14" s="26" t="s">
        <v>69</v>
      </c>
      <c r="C14" s="26" t="s">
        <v>51</v>
      </c>
      <c r="D14" s="26" t="s">
        <v>67</v>
      </c>
      <c r="E14" s="26" t="s">
        <v>61</v>
      </c>
      <c r="F14" s="13">
        <v>41092.0</v>
      </c>
      <c r="G14" s="26">
        <v>13.0</v>
      </c>
      <c r="H14" s="26" t="s">
        <v>56</v>
      </c>
      <c r="I14" s="26" t="s">
        <v>53</v>
      </c>
      <c r="J14" s="26">
        <v>8.0</v>
      </c>
      <c r="K14" s="26">
        <v>18.77</v>
      </c>
      <c r="L14" s="31" t="s">
        <v>56</v>
      </c>
      <c r="M14" s="31" t="s">
        <v>53</v>
      </c>
      <c r="N14" s="32" t="s">
        <v>56</v>
      </c>
      <c r="O14" s="32" t="s">
        <v>70</v>
      </c>
      <c r="P14" s="54"/>
      <c r="Q14" s="34">
        <v>187000.0</v>
      </c>
      <c r="R14" s="34">
        <v>5000.0</v>
      </c>
      <c r="S14" s="34">
        <v>6000.0</v>
      </c>
      <c r="T14" s="55"/>
      <c r="U14" s="34"/>
      <c r="V14" s="34"/>
      <c r="W14" s="34">
        <v>6000.0</v>
      </c>
      <c r="X14" s="35"/>
      <c r="Y14" s="34"/>
      <c r="Z14" s="35"/>
      <c r="AA14" s="34">
        <v>70288.0</v>
      </c>
      <c r="AB14" s="34">
        <v>8250.0</v>
      </c>
      <c r="AC14" s="34">
        <v>28050.0</v>
      </c>
      <c r="AD14" s="35"/>
      <c r="AE14" s="35"/>
      <c r="AF14" s="35"/>
      <c r="AG14" s="35"/>
      <c r="AH14" s="34">
        <v>9486.0</v>
      </c>
      <c r="AI14" s="37">
        <v>320074.0</v>
      </c>
      <c r="AJ14" s="40">
        <v>20000.0</v>
      </c>
      <c r="AK14" s="41">
        <f t="shared" ref="AK14:AK37" si="1">(AI14+AJ14)*0.8</f>
        <v>272059.2</v>
      </c>
      <c r="AL14" s="41">
        <v>245468.0</v>
      </c>
      <c r="AM14" s="42">
        <v>1.0</v>
      </c>
      <c r="AN14" s="41"/>
      <c r="AO14" s="41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</row>
    <row r="15">
      <c r="A15" s="39" t="s">
        <v>37</v>
      </c>
      <c r="B15" s="26" t="s">
        <v>71</v>
      </c>
      <c r="C15" s="10"/>
      <c r="D15" s="26" t="s">
        <v>72</v>
      </c>
      <c r="E15" s="10"/>
      <c r="F15" s="13">
        <v>41162.0</v>
      </c>
      <c r="G15" s="26">
        <v>13.0</v>
      </c>
      <c r="H15" s="26" t="s">
        <v>56</v>
      </c>
      <c r="I15" s="26" t="s">
        <v>53</v>
      </c>
      <c r="J15" s="26">
        <v>8.0</v>
      </c>
      <c r="K15" s="26">
        <v>17.74</v>
      </c>
      <c r="L15" s="31" t="s">
        <v>56</v>
      </c>
      <c r="M15" s="31" t="s">
        <v>53</v>
      </c>
      <c r="N15" s="32" t="s">
        <v>56</v>
      </c>
      <c r="O15" s="32" t="s">
        <v>70</v>
      </c>
      <c r="P15" s="54"/>
      <c r="Q15" s="34">
        <v>187000.0</v>
      </c>
      <c r="R15" s="35"/>
      <c r="S15" s="34">
        <v>10000.0</v>
      </c>
      <c r="T15" s="55"/>
      <c r="U15" s="34"/>
      <c r="V15" s="34"/>
      <c r="W15" s="34">
        <v>6000.0</v>
      </c>
      <c r="X15" s="34"/>
      <c r="Y15" s="34">
        <v>7600.0</v>
      </c>
      <c r="Z15" s="34"/>
      <c r="AA15" s="34">
        <v>14184.0</v>
      </c>
      <c r="AB15" s="34">
        <v>27232.0</v>
      </c>
      <c r="AC15" s="34">
        <v>13616.0</v>
      </c>
      <c r="AD15" s="34">
        <v>3528.0</v>
      </c>
      <c r="AE15" s="34">
        <v>3528.0</v>
      </c>
      <c r="AF15" s="43"/>
      <c r="AG15" s="43"/>
      <c r="AH15" s="34">
        <v>24255.0</v>
      </c>
      <c r="AI15" s="37">
        <v>296943.0</v>
      </c>
      <c r="AJ15" s="40">
        <v>20000.0</v>
      </c>
      <c r="AK15" s="41">
        <f t="shared" si="1"/>
        <v>253554.4</v>
      </c>
      <c r="AL15" s="41">
        <v>219399.0</v>
      </c>
      <c r="AM15" s="42">
        <v>1.0</v>
      </c>
      <c r="AN15" s="56"/>
      <c r="AO15" s="56"/>
    </row>
    <row r="16">
      <c r="A16" s="39" t="s">
        <v>37</v>
      </c>
      <c r="B16" s="26" t="s">
        <v>73</v>
      </c>
      <c r="C16" s="10"/>
      <c r="D16" s="10"/>
      <c r="E16" s="10"/>
      <c r="F16" s="13">
        <v>41760.0</v>
      </c>
      <c r="G16" s="26">
        <v>11.0</v>
      </c>
      <c r="H16" s="26" t="s">
        <v>56</v>
      </c>
      <c r="I16" s="26" t="s">
        <v>57</v>
      </c>
      <c r="J16" s="26">
        <v>8.0</v>
      </c>
      <c r="K16" s="26">
        <v>18.43</v>
      </c>
      <c r="L16" s="31" t="s">
        <v>56</v>
      </c>
      <c r="M16" s="31" t="s">
        <v>53</v>
      </c>
      <c r="N16" s="32" t="s">
        <v>56</v>
      </c>
      <c r="O16" s="32" t="s">
        <v>70</v>
      </c>
      <c r="P16" s="54"/>
      <c r="Q16" s="34">
        <v>187000.0</v>
      </c>
      <c r="R16" s="35"/>
      <c r="S16" s="35"/>
      <c r="T16" s="55"/>
      <c r="U16" s="34"/>
      <c r="V16" s="34"/>
      <c r="W16" s="34">
        <v>6000.0</v>
      </c>
      <c r="X16" s="43"/>
      <c r="Y16" s="43"/>
      <c r="Z16" s="34"/>
      <c r="AA16" s="34">
        <v>36125.0</v>
      </c>
      <c r="AB16" s="35"/>
      <c r="AC16" s="34">
        <v>14049.0</v>
      </c>
      <c r="AD16" s="34">
        <v>10935.0</v>
      </c>
      <c r="AE16" s="34">
        <v>3645.0</v>
      </c>
      <c r="AF16" s="35"/>
      <c r="AG16" s="35"/>
      <c r="AH16" s="34">
        <v>19363.0</v>
      </c>
      <c r="AI16" s="37">
        <v>277117.0</v>
      </c>
      <c r="AJ16" s="40">
        <v>20000.0</v>
      </c>
      <c r="AK16" s="41">
        <f t="shared" si="1"/>
        <v>237693.6</v>
      </c>
      <c r="AL16" s="41">
        <v>194051.0</v>
      </c>
      <c r="AM16" s="42">
        <v>1.0</v>
      </c>
      <c r="AN16" s="56"/>
      <c r="AO16" s="56"/>
    </row>
    <row r="17">
      <c r="A17" s="39" t="s">
        <v>37</v>
      </c>
      <c r="B17" s="26" t="s">
        <v>74</v>
      </c>
      <c r="C17" s="10"/>
      <c r="D17" s="10"/>
      <c r="E17" s="10"/>
      <c r="F17" s="13">
        <v>44501.0</v>
      </c>
      <c r="G17" s="26">
        <v>3.0</v>
      </c>
      <c r="H17" s="26" t="s">
        <v>56</v>
      </c>
      <c r="I17" s="26" t="s">
        <v>57</v>
      </c>
      <c r="J17" s="26">
        <v>8.0</v>
      </c>
      <c r="K17" s="26">
        <v>18.93</v>
      </c>
      <c r="L17" s="31" t="s">
        <v>56</v>
      </c>
      <c r="M17" s="31" t="s">
        <v>53</v>
      </c>
      <c r="N17" s="32" t="s">
        <v>56</v>
      </c>
      <c r="O17" s="32" t="s">
        <v>70</v>
      </c>
      <c r="P17" s="54"/>
      <c r="Q17" s="34">
        <v>187000.0</v>
      </c>
      <c r="R17" s="35"/>
      <c r="S17" s="35"/>
      <c r="T17" s="55"/>
      <c r="U17" s="34"/>
      <c r="V17" s="34"/>
      <c r="W17" s="34">
        <v>3500.0</v>
      </c>
      <c r="X17" s="43"/>
      <c r="Y17" s="43"/>
      <c r="Z17" s="34"/>
      <c r="AA17" s="34">
        <v>47058.0</v>
      </c>
      <c r="AB17" s="34">
        <v>24640.0</v>
      </c>
      <c r="AC17" s="34">
        <v>9240.0</v>
      </c>
      <c r="AD17" s="35"/>
      <c r="AE17" s="35"/>
      <c r="AF17" s="35"/>
      <c r="AG17" s="35"/>
      <c r="AH17" s="34">
        <v>5700.0</v>
      </c>
      <c r="AI17" s="37">
        <v>277138.0</v>
      </c>
      <c r="AJ17" s="40">
        <v>20000.0</v>
      </c>
      <c r="AK17" s="41">
        <f t="shared" si="1"/>
        <v>237710.4</v>
      </c>
      <c r="AL17" s="41">
        <v>202216.0</v>
      </c>
      <c r="AM17" s="42">
        <v>1.0</v>
      </c>
      <c r="AN17" s="56"/>
      <c r="AO17" s="56"/>
    </row>
    <row r="18">
      <c r="A18" s="39" t="s">
        <v>37</v>
      </c>
      <c r="B18" s="26" t="s">
        <v>75</v>
      </c>
      <c r="C18" s="10"/>
      <c r="D18" s="10"/>
      <c r="E18" s="10"/>
      <c r="F18" s="52">
        <v>44652.0</v>
      </c>
      <c r="G18" s="26">
        <v>3.0</v>
      </c>
      <c r="H18" s="26" t="s">
        <v>56</v>
      </c>
      <c r="I18" s="26" t="s">
        <v>57</v>
      </c>
      <c r="J18" s="26">
        <v>9.0</v>
      </c>
      <c r="K18" s="26">
        <v>19.87</v>
      </c>
      <c r="L18" s="31" t="s">
        <v>56</v>
      </c>
      <c r="M18" s="31" t="s">
        <v>53</v>
      </c>
      <c r="N18" s="32" t="s">
        <v>56</v>
      </c>
      <c r="O18" s="32" t="s">
        <v>70</v>
      </c>
      <c r="P18" s="54"/>
      <c r="Q18" s="34">
        <v>187000.0</v>
      </c>
      <c r="R18" s="35"/>
      <c r="S18" s="35"/>
      <c r="T18" s="55"/>
      <c r="U18" s="34"/>
      <c r="V18" s="34"/>
      <c r="W18" s="34">
        <v>3500.0</v>
      </c>
      <c r="X18" s="43"/>
      <c r="Y18" s="43"/>
      <c r="Z18" s="34"/>
      <c r="AA18" s="34">
        <v>74152.0</v>
      </c>
      <c r="AB18" s="34">
        <v>43120.0</v>
      </c>
      <c r="AC18" s="34">
        <v>16940.0</v>
      </c>
      <c r="AD18" s="35"/>
      <c r="AE18" s="35"/>
      <c r="AF18" s="35"/>
      <c r="AG18" s="35"/>
      <c r="AH18" s="34">
        <v>8835.0</v>
      </c>
      <c r="AI18" s="37">
        <v>333547.0</v>
      </c>
      <c r="AJ18" s="40">
        <v>20000.0</v>
      </c>
      <c r="AK18" s="41">
        <f t="shared" si="1"/>
        <v>282837.6</v>
      </c>
      <c r="AL18" s="41">
        <v>251504.0</v>
      </c>
      <c r="AM18" s="42">
        <v>1.0</v>
      </c>
      <c r="AN18" s="56"/>
      <c r="AO18" s="56"/>
    </row>
    <row r="19">
      <c r="A19" s="39" t="s">
        <v>37</v>
      </c>
      <c r="B19" s="26" t="s">
        <v>76</v>
      </c>
      <c r="C19" s="10"/>
      <c r="D19" s="10"/>
      <c r="E19" s="10"/>
      <c r="F19" s="52">
        <v>45474.0</v>
      </c>
      <c r="G19" s="26">
        <v>1.0</v>
      </c>
      <c r="H19" s="26" t="s">
        <v>63</v>
      </c>
      <c r="I19" s="26" t="s">
        <v>57</v>
      </c>
      <c r="J19" s="26">
        <v>8.0</v>
      </c>
      <c r="K19" s="26">
        <v>16.9</v>
      </c>
      <c r="L19" s="31" t="s">
        <v>63</v>
      </c>
      <c r="M19" s="31" t="s">
        <v>53</v>
      </c>
      <c r="N19" s="32" t="s">
        <v>63</v>
      </c>
      <c r="O19" s="32" t="s">
        <v>70</v>
      </c>
      <c r="P19" s="54"/>
      <c r="Q19" s="34">
        <v>180000.0</v>
      </c>
      <c r="R19" s="35"/>
      <c r="S19" s="35"/>
      <c r="T19" s="55"/>
      <c r="U19" s="34"/>
      <c r="V19" s="34"/>
      <c r="W19" s="34">
        <v>1000.0</v>
      </c>
      <c r="X19" s="43"/>
      <c r="Y19" s="43"/>
      <c r="Z19" s="34"/>
      <c r="AA19" s="34">
        <v>85365.0</v>
      </c>
      <c r="AB19" s="34">
        <v>13167.0</v>
      </c>
      <c r="AC19" s="34">
        <v>21945.0</v>
      </c>
      <c r="AD19" s="35"/>
      <c r="AE19" s="35"/>
      <c r="AF19" s="34">
        <v>813.0</v>
      </c>
      <c r="AG19" s="35"/>
      <c r="AH19" s="34">
        <v>5420.0</v>
      </c>
      <c r="AI19" s="37">
        <v>307710.0</v>
      </c>
      <c r="AJ19" s="40">
        <v>20000.0</v>
      </c>
      <c r="AK19" s="41">
        <f t="shared" si="1"/>
        <v>262168</v>
      </c>
      <c r="AL19" s="49">
        <v>256898.0</v>
      </c>
      <c r="AM19" s="42">
        <v>1.0</v>
      </c>
      <c r="AN19" s="56"/>
      <c r="AO19" s="56"/>
    </row>
    <row r="20">
      <c r="A20" s="39" t="s">
        <v>37</v>
      </c>
      <c r="B20" s="26" t="s">
        <v>77</v>
      </c>
      <c r="C20" s="10"/>
      <c r="D20" s="28" t="s">
        <v>78</v>
      </c>
      <c r="E20" s="28" t="s">
        <v>61</v>
      </c>
      <c r="F20" s="52">
        <v>44348.0</v>
      </c>
      <c r="G20" s="26">
        <v>4.0</v>
      </c>
      <c r="H20" s="26" t="s">
        <v>79</v>
      </c>
      <c r="I20" s="26" t="s">
        <v>53</v>
      </c>
      <c r="J20" s="26">
        <v>8.0</v>
      </c>
      <c r="K20" s="26">
        <v>17.19</v>
      </c>
      <c r="L20" s="31" t="s">
        <v>79</v>
      </c>
      <c r="M20" s="31" t="s">
        <v>53</v>
      </c>
      <c r="N20" s="32" t="s">
        <v>79</v>
      </c>
      <c r="O20" s="32" t="s">
        <v>70</v>
      </c>
      <c r="P20" s="57" t="s">
        <v>80</v>
      </c>
      <c r="Q20" s="34">
        <v>180000.0</v>
      </c>
      <c r="R20" s="35"/>
      <c r="S20" s="34">
        <v>18000.0</v>
      </c>
      <c r="T20" s="55"/>
      <c r="U20" s="43"/>
      <c r="V20" s="43"/>
      <c r="W20" s="43"/>
      <c r="X20" s="43"/>
      <c r="Y20" s="43"/>
      <c r="Z20" s="34"/>
      <c r="AA20" s="34">
        <v>3390.0</v>
      </c>
      <c r="AB20" s="34">
        <v>23803.0</v>
      </c>
      <c r="AC20" s="34">
        <v>21972.0</v>
      </c>
      <c r="AD20" s="35"/>
      <c r="AE20" s="35"/>
      <c r="AF20" s="35"/>
      <c r="AG20" s="34">
        <v>17628.0</v>
      </c>
      <c r="AH20" s="35"/>
      <c r="AI20" s="37">
        <v>264793.0</v>
      </c>
      <c r="AJ20" s="40"/>
      <c r="AK20" s="41">
        <f t="shared" si="1"/>
        <v>211834.4</v>
      </c>
      <c r="AL20" s="58">
        <v>214354.0</v>
      </c>
      <c r="AM20" s="59"/>
      <c r="AN20" s="60">
        <v>1.0</v>
      </c>
      <c r="AO20" s="59"/>
      <c r="AP20" s="61"/>
      <c r="AQ20" s="61"/>
      <c r="AR20" s="61"/>
      <c r="AS20" s="61"/>
      <c r="AT20" s="61"/>
      <c r="AU20" s="62">
        <v>1.0</v>
      </c>
      <c r="AV20" s="61"/>
      <c r="AW20" s="61"/>
      <c r="AX20" s="61"/>
      <c r="AY20" s="61"/>
      <c r="AZ20" s="61"/>
      <c r="BA20" s="61"/>
      <c r="BB20" s="61"/>
      <c r="BC20" s="61"/>
    </row>
    <row r="21">
      <c r="A21" s="39" t="s">
        <v>36</v>
      </c>
      <c r="B21" s="26" t="s">
        <v>81</v>
      </c>
      <c r="C21" s="10"/>
      <c r="D21" s="10"/>
      <c r="E21" s="10"/>
      <c r="F21" s="13">
        <v>32217.0</v>
      </c>
      <c r="G21" s="26">
        <v>37.0</v>
      </c>
      <c r="H21" s="26" t="s">
        <v>56</v>
      </c>
      <c r="I21" s="26" t="s">
        <v>57</v>
      </c>
      <c r="J21" s="26">
        <v>7.0</v>
      </c>
      <c r="K21" s="26">
        <v>15.73</v>
      </c>
      <c r="L21" s="31" t="s">
        <v>56</v>
      </c>
      <c r="M21" s="31" t="s">
        <v>57</v>
      </c>
      <c r="N21" s="32" t="s">
        <v>82</v>
      </c>
      <c r="O21" s="32" t="s">
        <v>83</v>
      </c>
      <c r="P21" s="54"/>
      <c r="Q21" s="34">
        <v>182000.0</v>
      </c>
      <c r="R21" s="35"/>
      <c r="S21" s="35"/>
      <c r="T21" s="55"/>
      <c r="U21" s="35"/>
      <c r="V21" s="35"/>
      <c r="W21" s="34">
        <v>6000.0</v>
      </c>
      <c r="X21" s="35"/>
      <c r="Y21" s="35"/>
      <c r="Z21" s="34"/>
      <c r="AA21" s="34">
        <v>26752.0</v>
      </c>
      <c r="AB21" s="34">
        <v>28880.0</v>
      </c>
      <c r="AC21" s="34">
        <v>27360.0</v>
      </c>
      <c r="AD21" s="35"/>
      <c r="AE21" s="35"/>
      <c r="AF21" s="34"/>
      <c r="AG21" s="34"/>
      <c r="AH21" s="34">
        <v>1410.0</v>
      </c>
      <c r="AI21" s="37">
        <v>272402.0</v>
      </c>
      <c r="AJ21" s="40"/>
      <c r="AK21" s="41">
        <f t="shared" si="1"/>
        <v>217921.6</v>
      </c>
      <c r="AL21" s="41">
        <v>210427.0</v>
      </c>
      <c r="AM21" s="42">
        <v>1.0</v>
      </c>
      <c r="AN21" s="41"/>
      <c r="AO21" s="41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>
      <c r="A22" s="39" t="s">
        <v>36</v>
      </c>
      <c r="B22" s="26" t="s">
        <v>84</v>
      </c>
      <c r="C22" s="26" t="s">
        <v>85</v>
      </c>
      <c r="D22" s="28" t="s">
        <v>67</v>
      </c>
      <c r="E22" s="63"/>
      <c r="F22" s="13">
        <v>37929.0</v>
      </c>
      <c r="G22" s="26">
        <v>21.0</v>
      </c>
      <c r="H22" s="26" t="s">
        <v>52</v>
      </c>
      <c r="I22" s="51" t="s">
        <v>53</v>
      </c>
      <c r="J22" s="26">
        <v>8.0</v>
      </c>
      <c r="K22" s="26">
        <v>19.7</v>
      </c>
      <c r="L22" s="31" t="s">
        <v>52</v>
      </c>
      <c r="M22" s="31" t="s">
        <v>53</v>
      </c>
      <c r="N22" s="32" t="s">
        <v>52</v>
      </c>
      <c r="O22" s="32" t="s">
        <v>70</v>
      </c>
      <c r="P22" s="54"/>
      <c r="Q22" s="34">
        <v>197000.0</v>
      </c>
      <c r="R22" s="34">
        <v>20000.0</v>
      </c>
      <c r="S22" s="34">
        <v>3000.0</v>
      </c>
      <c r="T22" s="55"/>
      <c r="U22" s="35"/>
      <c r="V22" s="35"/>
      <c r="W22" s="34">
        <v>6000.0</v>
      </c>
      <c r="X22" s="35"/>
      <c r="Y22" s="34"/>
      <c r="Z22" s="34"/>
      <c r="AA22" s="34">
        <v>81168.0</v>
      </c>
      <c r="AB22" s="34">
        <v>43848.0</v>
      </c>
      <c r="AC22" s="34">
        <v>45675.0</v>
      </c>
      <c r="AD22" s="43"/>
      <c r="AE22" s="35"/>
      <c r="AF22" s="34"/>
      <c r="AG22" s="34"/>
      <c r="AH22" s="34">
        <v>5746.0</v>
      </c>
      <c r="AI22" s="37">
        <v>402437.0</v>
      </c>
      <c r="AJ22" s="40"/>
      <c r="AK22" s="41">
        <f t="shared" si="1"/>
        <v>321949.6</v>
      </c>
      <c r="AL22" s="41">
        <v>314755.0</v>
      </c>
      <c r="AM22" s="42">
        <v>1.0</v>
      </c>
      <c r="AN22" s="41"/>
      <c r="AO22" s="41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</row>
    <row r="23">
      <c r="A23" s="39" t="s">
        <v>36</v>
      </c>
      <c r="B23" s="26" t="s">
        <v>86</v>
      </c>
      <c r="C23" s="26" t="s">
        <v>85</v>
      </c>
      <c r="D23" s="10"/>
      <c r="E23" s="10"/>
      <c r="F23" s="13">
        <v>38202.0</v>
      </c>
      <c r="G23" s="26">
        <v>21.0</v>
      </c>
      <c r="H23" s="26" t="s">
        <v>52</v>
      </c>
      <c r="I23" s="51" t="s">
        <v>53</v>
      </c>
      <c r="J23" s="26">
        <v>8.0</v>
      </c>
      <c r="K23" s="26">
        <v>19.23</v>
      </c>
      <c r="L23" s="31" t="s">
        <v>52</v>
      </c>
      <c r="M23" s="31" t="s">
        <v>53</v>
      </c>
      <c r="N23" s="32" t="s">
        <v>52</v>
      </c>
      <c r="O23" s="32" t="s">
        <v>70</v>
      </c>
      <c r="P23" s="54"/>
      <c r="Q23" s="34">
        <v>197000.0</v>
      </c>
      <c r="R23" s="34">
        <v>20000.0</v>
      </c>
      <c r="S23" s="43"/>
      <c r="T23" s="55"/>
      <c r="U23" s="34">
        <v>3047.0</v>
      </c>
      <c r="V23" s="43"/>
      <c r="W23" s="34">
        <v>6000.0</v>
      </c>
      <c r="X23" s="43"/>
      <c r="Y23" s="34"/>
      <c r="Z23" s="43"/>
      <c r="AA23" s="34">
        <v>68429.0</v>
      </c>
      <c r="AB23" s="34">
        <v>7208.0</v>
      </c>
      <c r="AC23" s="34">
        <v>36040.0</v>
      </c>
      <c r="AD23" s="43"/>
      <c r="AE23" s="34"/>
      <c r="AF23" s="34"/>
      <c r="AG23" s="34"/>
      <c r="AH23" s="34">
        <v>6346.0</v>
      </c>
      <c r="AI23" s="37">
        <v>344070.0</v>
      </c>
      <c r="AJ23" s="40"/>
      <c r="AK23" s="41">
        <f t="shared" si="1"/>
        <v>275256</v>
      </c>
      <c r="AL23" s="41">
        <v>249441.0</v>
      </c>
      <c r="AM23" s="42">
        <v>1.0</v>
      </c>
      <c r="AN23" s="41"/>
      <c r="AO23" s="41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</row>
    <row r="24">
      <c r="A24" s="39" t="s">
        <v>36</v>
      </c>
      <c r="B24" s="26" t="s">
        <v>87</v>
      </c>
      <c r="C24" s="10"/>
      <c r="D24" s="10"/>
      <c r="E24" s="10"/>
      <c r="F24" s="13">
        <v>38624.0</v>
      </c>
      <c r="G24" s="26">
        <v>20.0</v>
      </c>
      <c r="H24" s="26" t="s">
        <v>52</v>
      </c>
      <c r="I24" s="51" t="s">
        <v>53</v>
      </c>
      <c r="J24" s="26">
        <v>8.0</v>
      </c>
      <c r="K24" s="26">
        <v>19.62</v>
      </c>
      <c r="L24" s="31" t="s">
        <v>52</v>
      </c>
      <c r="M24" s="31" t="s">
        <v>53</v>
      </c>
      <c r="N24" s="32" t="s">
        <v>63</v>
      </c>
      <c r="O24" s="32" t="s">
        <v>57</v>
      </c>
      <c r="P24" s="57" t="s">
        <v>88</v>
      </c>
      <c r="Q24" s="34">
        <v>175000.0</v>
      </c>
      <c r="R24" s="43"/>
      <c r="S24" s="43"/>
      <c r="T24" s="55"/>
      <c r="U24" s="34">
        <v>2510.0</v>
      </c>
      <c r="V24" s="43"/>
      <c r="W24" s="34">
        <v>6000.0</v>
      </c>
      <c r="X24" s="43"/>
      <c r="Y24" s="43"/>
      <c r="Z24" s="43"/>
      <c r="AA24" s="34">
        <v>52845.0</v>
      </c>
      <c r="AB24" s="34">
        <v>29260.0</v>
      </c>
      <c r="AC24" s="34">
        <v>58520.0</v>
      </c>
      <c r="AD24" s="43"/>
      <c r="AE24" s="34"/>
      <c r="AF24" s="34"/>
      <c r="AG24" s="33"/>
      <c r="AH24" s="34">
        <v>20867.0</v>
      </c>
      <c r="AI24" s="37">
        <v>345002.0</v>
      </c>
      <c r="AJ24" s="40"/>
      <c r="AK24" s="41">
        <f t="shared" si="1"/>
        <v>276001.6</v>
      </c>
      <c r="AL24" s="41">
        <v>261278.0</v>
      </c>
      <c r="AM24" s="42">
        <v>1.0</v>
      </c>
      <c r="AN24" s="64"/>
      <c r="AO24" s="64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</row>
    <row r="25">
      <c r="A25" s="39" t="s">
        <v>36</v>
      </c>
      <c r="B25" s="26" t="s">
        <v>89</v>
      </c>
      <c r="C25" s="10"/>
      <c r="D25" s="10"/>
      <c r="E25" s="10"/>
      <c r="F25" s="13">
        <v>40549.0</v>
      </c>
      <c r="G25" s="26">
        <v>14.0</v>
      </c>
      <c r="H25" s="26" t="s">
        <v>56</v>
      </c>
      <c r="I25" s="51" t="s">
        <v>57</v>
      </c>
      <c r="J25" s="26">
        <v>6.0</v>
      </c>
      <c r="K25" s="26">
        <v>13.26</v>
      </c>
      <c r="L25" s="31" t="s">
        <v>56</v>
      </c>
      <c r="M25" s="31" t="s">
        <v>57</v>
      </c>
      <c r="N25" s="32" t="s">
        <v>56</v>
      </c>
      <c r="O25" s="32" t="s">
        <v>57</v>
      </c>
      <c r="P25" s="54"/>
      <c r="Q25" s="34">
        <v>182000.0</v>
      </c>
      <c r="R25" s="43"/>
      <c r="S25" s="43"/>
      <c r="T25" s="55"/>
      <c r="U25" s="43"/>
      <c r="V25" s="43"/>
      <c r="W25" s="34">
        <v>6000.0</v>
      </c>
      <c r="X25" s="43"/>
      <c r="Y25" s="43"/>
      <c r="Z25" s="34"/>
      <c r="AA25" s="34">
        <v>29568.0</v>
      </c>
      <c r="AB25" s="34">
        <v>36480.0</v>
      </c>
      <c r="AC25" s="34">
        <v>15200.0</v>
      </c>
      <c r="AD25" s="43"/>
      <c r="AE25" s="66"/>
      <c r="AF25" s="34"/>
      <c r="AG25" s="33"/>
      <c r="AH25" s="66">
        <v>564.0</v>
      </c>
      <c r="AI25" s="37">
        <v>269812.0</v>
      </c>
      <c r="AJ25" s="40">
        <v>20000.0</v>
      </c>
      <c r="AK25" s="41">
        <f t="shared" si="1"/>
        <v>231849.6</v>
      </c>
      <c r="AL25" s="41">
        <v>191838.0</v>
      </c>
      <c r="AM25" s="42">
        <v>1.0</v>
      </c>
      <c r="AN25" s="64"/>
      <c r="AO25" s="64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</row>
    <row r="26">
      <c r="A26" s="39" t="s">
        <v>36</v>
      </c>
      <c r="B26" s="26" t="s">
        <v>90</v>
      </c>
      <c r="C26" s="26" t="s">
        <v>51</v>
      </c>
      <c r="D26" s="10"/>
      <c r="E26" s="10"/>
      <c r="F26" s="13">
        <v>40597.0</v>
      </c>
      <c r="G26" s="26">
        <v>14.0</v>
      </c>
      <c r="H26" s="26" t="s">
        <v>56</v>
      </c>
      <c r="I26" s="51" t="s">
        <v>53</v>
      </c>
      <c r="J26" s="26">
        <v>8.0</v>
      </c>
      <c r="K26" s="26">
        <v>19.04</v>
      </c>
      <c r="L26" s="31" t="s">
        <v>56</v>
      </c>
      <c r="M26" s="31" t="s">
        <v>53</v>
      </c>
      <c r="N26" s="32" t="s">
        <v>56</v>
      </c>
      <c r="O26" s="32" t="s">
        <v>53</v>
      </c>
      <c r="P26" s="54"/>
      <c r="Q26" s="34">
        <v>187000.0</v>
      </c>
      <c r="R26" s="34">
        <v>5000.0</v>
      </c>
      <c r="S26" s="43"/>
      <c r="T26" s="55"/>
      <c r="U26" s="43"/>
      <c r="V26" s="43"/>
      <c r="W26" s="34">
        <v>6000.0</v>
      </c>
      <c r="X26" s="43"/>
      <c r="Y26" s="43"/>
      <c r="Z26" s="34"/>
      <c r="AA26" s="34">
        <v>51905.0</v>
      </c>
      <c r="AB26" s="34">
        <v>27217.0</v>
      </c>
      <c r="AC26" s="34">
        <v>22414.0</v>
      </c>
      <c r="AD26" s="43"/>
      <c r="AE26" s="34"/>
      <c r="AF26" s="34"/>
      <c r="AG26" s="33"/>
      <c r="AH26" s="34">
        <v>1188.0</v>
      </c>
      <c r="AI26" s="37">
        <v>300724.0</v>
      </c>
      <c r="AJ26" s="40"/>
      <c r="AK26" s="41">
        <f t="shared" si="1"/>
        <v>240579.2</v>
      </c>
      <c r="AL26" s="41">
        <v>221932.0</v>
      </c>
      <c r="AM26" s="42">
        <v>1.0</v>
      </c>
      <c r="AN26" s="64"/>
      <c r="AO26" s="64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</row>
    <row r="27">
      <c r="A27" s="39" t="s">
        <v>36</v>
      </c>
      <c r="B27" s="26" t="s">
        <v>91</v>
      </c>
      <c r="C27" s="10"/>
      <c r="D27" s="10"/>
      <c r="E27" s="10"/>
      <c r="F27" s="13">
        <v>41183.0</v>
      </c>
      <c r="G27" s="26">
        <v>12.0</v>
      </c>
      <c r="H27" s="26" t="s">
        <v>56</v>
      </c>
      <c r="I27" s="51" t="s">
        <v>57</v>
      </c>
      <c r="J27" s="26">
        <v>5.0</v>
      </c>
      <c r="K27" s="26">
        <v>11.84</v>
      </c>
      <c r="L27" s="31" t="s">
        <v>56</v>
      </c>
      <c r="M27" s="31" t="s">
        <v>57</v>
      </c>
      <c r="N27" s="32" t="s">
        <v>56</v>
      </c>
      <c r="O27" s="32" t="s">
        <v>57</v>
      </c>
      <c r="P27" s="54"/>
      <c r="Q27" s="34">
        <v>182000.0</v>
      </c>
      <c r="R27" s="43"/>
      <c r="S27" s="43"/>
      <c r="T27" s="55"/>
      <c r="U27" s="43"/>
      <c r="V27" s="43"/>
      <c r="W27" s="34">
        <v>6000.0</v>
      </c>
      <c r="X27" s="43"/>
      <c r="Y27" s="43"/>
      <c r="Z27" s="43"/>
      <c r="AA27" s="34">
        <v>49280.0</v>
      </c>
      <c r="AB27" s="34">
        <v>39520.0</v>
      </c>
      <c r="AC27" s="34">
        <v>42560.0</v>
      </c>
      <c r="AD27" s="43"/>
      <c r="AE27" s="34"/>
      <c r="AF27" s="34"/>
      <c r="AG27" s="33"/>
      <c r="AH27" s="34">
        <v>1128.0</v>
      </c>
      <c r="AI27" s="37">
        <v>320488.0</v>
      </c>
      <c r="AJ27" s="40">
        <v>20000.0</v>
      </c>
      <c r="AK27" s="41">
        <f t="shared" si="1"/>
        <v>272390.4</v>
      </c>
      <c r="AL27" s="41">
        <v>244579.0</v>
      </c>
      <c r="AM27" s="42">
        <v>1.0</v>
      </c>
      <c r="AN27" s="64"/>
      <c r="AO27" s="64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</row>
    <row r="28">
      <c r="A28" s="39" t="s">
        <v>36</v>
      </c>
      <c r="B28" s="26" t="s">
        <v>92</v>
      </c>
      <c r="C28" s="10"/>
      <c r="D28" s="10"/>
      <c r="E28" s="10"/>
      <c r="F28" s="13">
        <v>42206.0</v>
      </c>
      <c r="G28" s="26">
        <v>10.0</v>
      </c>
      <c r="H28" s="51" t="s">
        <v>52</v>
      </c>
      <c r="I28" s="51" t="s">
        <v>53</v>
      </c>
      <c r="J28" s="26">
        <v>8.0</v>
      </c>
      <c r="K28" s="26">
        <v>17.98</v>
      </c>
      <c r="L28" s="31" t="s">
        <v>52</v>
      </c>
      <c r="M28" s="31" t="s">
        <v>53</v>
      </c>
      <c r="N28" s="32" t="s">
        <v>52</v>
      </c>
      <c r="O28" s="32" t="s">
        <v>53</v>
      </c>
      <c r="P28" s="54"/>
      <c r="Q28" s="34">
        <v>197000.0</v>
      </c>
      <c r="R28" s="43"/>
      <c r="S28" s="43"/>
      <c r="T28" s="55"/>
      <c r="U28" s="35"/>
      <c r="V28" s="43"/>
      <c r="W28" s="34">
        <v>3500.0</v>
      </c>
      <c r="X28" s="43"/>
      <c r="Y28" s="34">
        <v>15000.0</v>
      </c>
      <c r="Z28" s="43"/>
      <c r="AA28" s="34">
        <v>64520.0</v>
      </c>
      <c r="AB28" s="34">
        <v>12194.0</v>
      </c>
      <c r="AC28" s="34">
        <v>45292.0</v>
      </c>
      <c r="AD28" s="43"/>
      <c r="AE28" s="34"/>
      <c r="AF28" s="34"/>
      <c r="AG28" s="33"/>
      <c r="AH28" s="34">
        <v>5168.0</v>
      </c>
      <c r="AI28" s="37">
        <v>342674.0</v>
      </c>
      <c r="AJ28" s="40">
        <v>20000.0</v>
      </c>
      <c r="AK28" s="41">
        <f t="shared" si="1"/>
        <v>290139.2</v>
      </c>
      <c r="AL28" s="41">
        <v>291140.0</v>
      </c>
      <c r="AM28" s="42">
        <v>1.0</v>
      </c>
      <c r="AN28" s="41"/>
      <c r="AO28" s="41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</row>
    <row r="29">
      <c r="A29" s="39" t="s">
        <v>36</v>
      </c>
      <c r="B29" s="26" t="s">
        <v>93</v>
      </c>
      <c r="C29" s="10"/>
      <c r="D29" s="10"/>
      <c r="E29" s="10"/>
      <c r="F29" s="13">
        <v>43383.0</v>
      </c>
      <c r="G29" s="26">
        <v>6.0</v>
      </c>
      <c r="H29" s="51" t="s">
        <v>52</v>
      </c>
      <c r="I29" s="51" t="s">
        <v>57</v>
      </c>
      <c r="J29" s="26">
        <v>8.0</v>
      </c>
      <c r="K29" s="26">
        <v>17.51</v>
      </c>
      <c r="L29" s="31" t="s">
        <v>52</v>
      </c>
      <c r="M29" s="31" t="s">
        <v>53</v>
      </c>
      <c r="N29" s="32" t="s">
        <v>52</v>
      </c>
      <c r="O29" s="32" t="s">
        <v>53</v>
      </c>
      <c r="P29" s="54"/>
      <c r="Q29" s="34">
        <v>197000.0</v>
      </c>
      <c r="R29" s="43"/>
      <c r="S29" s="43"/>
      <c r="T29" s="55"/>
      <c r="U29" s="43"/>
      <c r="V29" s="43"/>
      <c r="W29" s="34">
        <v>6000.0</v>
      </c>
      <c r="X29" s="43"/>
      <c r="Y29" s="34">
        <v>15000.0</v>
      </c>
      <c r="Z29" s="43"/>
      <c r="AA29" s="34">
        <v>40775.0</v>
      </c>
      <c r="AB29" s="34">
        <v>17620.0</v>
      </c>
      <c r="AC29" s="34">
        <v>54622.0</v>
      </c>
      <c r="AD29" s="43"/>
      <c r="AE29" s="34"/>
      <c r="AF29" s="34"/>
      <c r="AG29" s="33"/>
      <c r="AH29" s="34">
        <v>4238.0</v>
      </c>
      <c r="AI29" s="37">
        <v>335255.0</v>
      </c>
      <c r="AJ29" s="40">
        <v>20000.0</v>
      </c>
      <c r="AK29" s="41">
        <f t="shared" si="1"/>
        <v>284204</v>
      </c>
      <c r="AL29" s="41">
        <v>286898.0</v>
      </c>
      <c r="AM29" s="42">
        <v>1.0</v>
      </c>
      <c r="AN29" s="41"/>
      <c r="AO29" s="41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</row>
    <row r="30">
      <c r="A30" s="39" t="s">
        <v>36</v>
      </c>
      <c r="B30" s="26" t="s">
        <v>94</v>
      </c>
      <c r="C30" s="26" t="s">
        <v>51</v>
      </c>
      <c r="D30" s="10"/>
      <c r="E30" s="10"/>
      <c r="F30" s="13">
        <v>43678.0</v>
      </c>
      <c r="G30" s="26">
        <v>6.0</v>
      </c>
      <c r="H30" s="26" t="s">
        <v>56</v>
      </c>
      <c r="I30" s="51" t="s">
        <v>95</v>
      </c>
      <c r="J30" s="26">
        <v>10.0</v>
      </c>
      <c r="K30" s="26">
        <v>20.33</v>
      </c>
      <c r="L30" s="31" t="s">
        <v>56</v>
      </c>
      <c r="M30" s="31" t="s">
        <v>95</v>
      </c>
      <c r="N30" s="32" t="s">
        <v>56</v>
      </c>
      <c r="O30" s="32" t="s">
        <v>95</v>
      </c>
      <c r="P30" s="54"/>
      <c r="Q30" s="34">
        <v>192000.0</v>
      </c>
      <c r="R30" s="34">
        <v>5000.0</v>
      </c>
      <c r="S30" s="43"/>
      <c r="T30" s="55"/>
      <c r="U30" s="34">
        <v>103460.0</v>
      </c>
      <c r="V30" s="43"/>
      <c r="W30" s="34">
        <v>2000.0</v>
      </c>
      <c r="X30" s="43"/>
      <c r="Y30" s="35"/>
      <c r="Z30" s="43"/>
      <c r="AA30" s="34">
        <v>41720.0</v>
      </c>
      <c r="AB30" s="34">
        <v>16090.0</v>
      </c>
      <c r="AC30" s="35"/>
      <c r="AD30" s="43"/>
      <c r="AE30" s="34"/>
      <c r="AF30" s="34"/>
      <c r="AG30" s="33"/>
      <c r="AH30" s="34">
        <v>2086.0</v>
      </c>
      <c r="AI30" s="37">
        <v>362356.0</v>
      </c>
      <c r="AJ30" s="40">
        <v>20000.0</v>
      </c>
      <c r="AK30" s="41">
        <f t="shared" si="1"/>
        <v>305884.8</v>
      </c>
      <c r="AL30" s="41">
        <v>296504.0</v>
      </c>
      <c r="AM30" s="42">
        <v>1.0</v>
      </c>
      <c r="AN30" s="41"/>
      <c r="AO30" s="41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</row>
    <row r="31">
      <c r="A31" s="39" t="s">
        <v>36</v>
      </c>
      <c r="B31" s="26" t="s">
        <v>96</v>
      </c>
      <c r="C31" s="10"/>
      <c r="D31" s="10"/>
      <c r="E31" s="10"/>
      <c r="F31" s="13">
        <v>43696.0</v>
      </c>
      <c r="G31" s="26">
        <v>6.0</v>
      </c>
      <c r="H31" s="26" t="s">
        <v>56</v>
      </c>
      <c r="I31" s="51" t="s">
        <v>57</v>
      </c>
      <c r="J31" s="26">
        <v>9.0</v>
      </c>
      <c r="K31" s="26">
        <v>19.73</v>
      </c>
      <c r="L31" s="31" t="s">
        <v>56</v>
      </c>
      <c r="M31" s="31" t="s">
        <v>53</v>
      </c>
      <c r="N31" s="32" t="s">
        <v>56</v>
      </c>
      <c r="O31" s="32" t="s">
        <v>53</v>
      </c>
      <c r="P31" s="54"/>
      <c r="Q31" s="34">
        <v>187000.0</v>
      </c>
      <c r="R31" s="43"/>
      <c r="S31" s="43"/>
      <c r="T31" s="55"/>
      <c r="U31" s="34">
        <v>9480.0</v>
      </c>
      <c r="V31" s="43"/>
      <c r="W31" s="34">
        <v>6000.0</v>
      </c>
      <c r="X31" s="43"/>
      <c r="Y31" s="43"/>
      <c r="Z31" s="43"/>
      <c r="AA31" s="34">
        <v>56355.0</v>
      </c>
      <c r="AB31" s="34">
        <v>18732.0</v>
      </c>
      <c r="AC31" s="34">
        <v>46830.0</v>
      </c>
      <c r="AD31" s="43"/>
      <c r="AE31" s="34"/>
      <c r="AF31" s="34"/>
      <c r="AG31" s="33"/>
      <c r="AH31" s="34">
        <v>3179.0</v>
      </c>
      <c r="AI31" s="37">
        <v>327576.0</v>
      </c>
      <c r="AJ31" s="40">
        <v>20000.0</v>
      </c>
      <c r="AK31" s="41">
        <f t="shared" si="1"/>
        <v>278060.8</v>
      </c>
      <c r="AL31" s="41">
        <v>297867.0</v>
      </c>
      <c r="AM31" s="42">
        <v>1.0</v>
      </c>
      <c r="AN31" s="41"/>
      <c r="AO31" s="41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</row>
    <row r="32">
      <c r="A32" s="39" t="s">
        <v>36</v>
      </c>
      <c r="B32" s="26" t="s">
        <v>97</v>
      </c>
      <c r="C32" s="10"/>
      <c r="D32" s="10"/>
      <c r="E32" s="10"/>
      <c r="F32" s="52">
        <v>44867.0</v>
      </c>
      <c r="G32" s="26">
        <v>2.0</v>
      </c>
      <c r="H32" s="26" t="s">
        <v>63</v>
      </c>
      <c r="I32" s="26" t="s">
        <v>57</v>
      </c>
      <c r="J32" s="26">
        <v>9.0</v>
      </c>
      <c r="K32" s="26">
        <v>19.9</v>
      </c>
      <c r="L32" s="31" t="s">
        <v>63</v>
      </c>
      <c r="M32" s="31" t="s">
        <v>53</v>
      </c>
      <c r="N32" s="32" t="s">
        <v>63</v>
      </c>
      <c r="O32" s="32" t="s">
        <v>53</v>
      </c>
      <c r="P32" s="54"/>
      <c r="Q32" s="67">
        <v>180000.0</v>
      </c>
      <c r="R32" s="33"/>
      <c r="S32" s="33"/>
      <c r="T32" s="55"/>
      <c r="U32" s="33"/>
      <c r="V32" s="33"/>
      <c r="W32" s="67">
        <v>2000.0</v>
      </c>
      <c r="X32" s="33"/>
      <c r="Y32" s="33"/>
      <c r="Z32" s="33"/>
      <c r="AA32" s="67">
        <v>94047.0</v>
      </c>
      <c r="AB32" s="67">
        <v>11776.0</v>
      </c>
      <c r="AC32" s="67">
        <v>19136.0</v>
      </c>
      <c r="AD32" s="67"/>
      <c r="AE32" s="67"/>
      <c r="AF32" s="68">
        <v>2457.0</v>
      </c>
      <c r="AG32" s="68"/>
      <c r="AH32" s="68">
        <v>7371.0</v>
      </c>
      <c r="AI32" s="45">
        <v>316787.0</v>
      </c>
      <c r="AJ32" s="40">
        <v>20000.0</v>
      </c>
      <c r="AK32" s="41">
        <f t="shared" si="1"/>
        <v>269429.6</v>
      </c>
      <c r="AL32" s="41">
        <v>255052.0</v>
      </c>
      <c r="AM32" s="42">
        <v>1.0</v>
      </c>
      <c r="AN32" s="69"/>
      <c r="AO32" s="69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</row>
    <row r="33">
      <c r="A33" s="39" t="s">
        <v>36</v>
      </c>
      <c r="B33" s="26" t="s">
        <v>98</v>
      </c>
      <c r="C33" s="10"/>
      <c r="D33" s="10"/>
      <c r="E33" s="10"/>
      <c r="F33" s="52">
        <v>44886.0</v>
      </c>
      <c r="G33" s="26">
        <v>2.0</v>
      </c>
      <c r="H33" s="26" t="s">
        <v>63</v>
      </c>
      <c r="I33" s="26" t="s">
        <v>57</v>
      </c>
      <c r="J33" s="26">
        <v>6.0</v>
      </c>
      <c r="K33" s="26">
        <v>14.64</v>
      </c>
      <c r="L33" s="31" t="s">
        <v>63</v>
      </c>
      <c r="M33" s="31" t="s">
        <v>57</v>
      </c>
      <c r="N33" s="32" t="s">
        <v>63</v>
      </c>
      <c r="O33" s="32" t="s">
        <v>57</v>
      </c>
      <c r="P33" s="54"/>
      <c r="Q33" s="34">
        <v>175000.0</v>
      </c>
      <c r="R33" s="35"/>
      <c r="S33" s="43"/>
      <c r="T33" s="55"/>
      <c r="U33" s="43"/>
      <c r="V33" s="43"/>
      <c r="W33" s="34">
        <v>3500.0</v>
      </c>
      <c r="X33" s="35"/>
      <c r="Y33" s="43"/>
      <c r="Z33" s="43"/>
      <c r="AA33" s="34">
        <v>82832.0</v>
      </c>
      <c r="AB33" s="34">
        <v>33189.0</v>
      </c>
      <c r="AC33" s="34">
        <v>17316.0</v>
      </c>
      <c r="AD33" s="34"/>
      <c r="AE33" s="34"/>
      <c r="AF33" s="44">
        <v>1602.0</v>
      </c>
      <c r="AG33" s="44"/>
      <c r="AH33" s="44">
        <v>9078.0</v>
      </c>
      <c r="AI33" s="45">
        <v>322517.0</v>
      </c>
      <c r="AJ33" s="40">
        <v>20000.0</v>
      </c>
      <c r="AK33" s="41">
        <f t="shared" si="1"/>
        <v>274013.6</v>
      </c>
      <c r="AL33" s="41">
        <v>248752.0</v>
      </c>
      <c r="AM33" s="42">
        <v>1.0</v>
      </c>
      <c r="AN33" s="46"/>
      <c r="AO33" s="46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</row>
    <row r="34">
      <c r="A34" s="39" t="s">
        <v>36</v>
      </c>
      <c r="B34" s="26" t="s">
        <v>99</v>
      </c>
      <c r="C34" s="10"/>
      <c r="D34" s="10"/>
      <c r="E34" s="10"/>
      <c r="F34" s="52">
        <v>44991.0</v>
      </c>
      <c r="G34" s="26">
        <v>2.0</v>
      </c>
      <c r="H34" s="26" t="s">
        <v>63</v>
      </c>
      <c r="I34" s="26" t="s">
        <v>53</v>
      </c>
      <c r="J34" s="26">
        <v>9.0</v>
      </c>
      <c r="K34" s="26">
        <v>19.8</v>
      </c>
      <c r="L34" s="31" t="s">
        <v>63</v>
      </c>
      <c r="M34" s="31" t="s">
        <v>53</v>
      </c>
      <c r="N34" s="32" t="s">
        <v>63</v>
      </c>
      <c r="O34" s="32" t="s">
        <v>53</v>
      </c>
      <c r="P34" s="54"/>
      <c r="Q34" s="34">
        <v>180000.0</v>
      </c>
      <c r="R34" s="43"/>
      <c r="S34" s="43"/>
      <c r="T34" s="55"/>
      <c r="U34" s="34">
        <v>30614.0</v>
      </c>
      <c r="V34" s="43"/>
      <c r="W34" s="34">
        <v>3500.0</v>
      </c>
      <c r="X34" s="43"/>
      <c r="Y34" s="43"/>
      <c r="Z34" s="43"/>
      <c r="AA34" s="34">
        <v>49464.0</v>
      </c>
      <c r="AB34" s="35"/>
      <c r="AC34" s="34">
        <v>32648.0</v>
      </c>
      <c r="AD34" s="43"/>
      <c r="AE34" s="34"/>
      <c r="AF34" s="34"/>
      <c r="AG34" s="33"/>
      <c r="AH34" s="34">
        <v>3025.0</v>
      </c>
      <c r="AI34" s="37">
        <v>299251.0</v>
      </c>
      <c r="AJ34" s="40">
        <v>20000.0</v>
      </c>
      <c r="AK34" s="41">
        <f t="shared" si="1"/>
        <v>255400.8</v>
      </c>
      <c r="AL34" s="41">
        <v>261116.0</v>
      </c>
      <c r="AM34" s="42">
        <v>1.0</v>
      </c>
      <c r="AN34" s="41"/>
      <c r="AO34" s="41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</row>
    <row r="35">
      <c r="A35" s="39" t="s">
        <v>36</v>
      </c>
      <c r="B35" s="26" t="s">
        <v>100</v>
      </c>
      <c r="C35" s="10"/>
      <c r="D35" s="10"/>
      <c r="E35" s="10"/>
      <c r="F35" s="52">
        <v>45789.0</v>
      </c>
      <c r="G35" s="26">
        <v>0.0</v>
      </c>
      <c r="H35" s="26" t="s">
        <v>63</v>
      </c>
      <c r="I35" s="26" t="s">
        <v>57</v>
      </c>
      <c r="J35" s="26">
        <v>3.0</v>
      </c>
      <c r="K35" s="26">
        <v>7.73</v>
      </c>
      <c r="L35" s="31" t="s">
        <v>63</v>
      </c>
      <c r="M35" s="31" t="s">
        <v>57</v>
      </c>
      <c r="N35" s="32" t="s">
        <v>63</v>
      </c>
      <c r="O35" s="32" t="s">
        <v>57</v>
      </c>
      <c r="P35" s="54"/>
      <c r="Q35" s="34">
        <v>175000.0</v>
      </c>
      <c r="R35" s="43"/>
      <c r="S35" s="43"/>
      <c r="T35" s="55"/>
      <c r="U35" s="43"/>
      <c r="V35" s="43"/>
      <c r="W35" s="43"/>
      <c r="X35" s="43"/>
      <c r="Y35" s="43"/>
      <c r="Z35" s="43"/>
      <c r="AA35" s="34">
        <v>28820.0</v>
      </c>
      <c r="AB35" s="34">
        <v>15565.0</v>
      </c>
      <c r="AC35" s="34">
        <v>38205.0</v>
      </c>
      <c r="AD35" s="43"/>
      <c r="AE35" s="43"/>
      <c r="AF35" s="34"/>
      <c r="AG35" s="33"/>
      <c r="AH35" s="33"/>
      <c r="AI35" s="37">
        <v>257590.0</v>
      </c>
      <c r="AJ35" s="40">
        <v>20000.0</v>
      </c>
      <c r="AK35" s="41">
        <f t="shared" si="1"/>
        <v>222072</v>
      </c>
      <c r="AL35" s="41">
        <v>223269.0</v>
      </c>
      <c r="AM35" s="42">
        <v>1.0</v>
      </c>
      <c r="AN35" s="41"/>
      <c r="AO35" s="41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</row>
    <row r="36">
      <c r="A36" s="39" t="s">
        <v>36</v>
      </c>
      <c r="B36" s="26" t="s">
        <v>101</v>
      </c>
      <c r="C36" s="10"/>
      <c r="D36" s="10"/>
      <c r="E36" s="10"/>
      <c r="F36" s="52">
        <v>45597.0</v>
      </c>
      <c r="G36" s="26">
        <v>0.0</v>
      </c>
      <c r="H36" s="28" t="s">
        <v>102</v>
      </c>
      <c r="I36" s="26" t="s">
        <v>57</v>
      </c>
      <c r="J36" s="26">
        <v>6.0</v>
      </c>
      <c r="K36" s="26">
        <v>16.5</v>
      </c>
      <c r="L36" s="31" t="s">
        <v>102</v>
      </c>
      <c r="M36" s="31" t="s">
        <v>57</v>
      </c>
      <c r="N36" s="32" t="s">
        <v>102</v>
      </c>
      <c r="O36" s="32" t="s">
        <v>57</v>
      </c>
      <c r="P36" s="54"/>
      <c r="Q36" s="34">
        <v>225000.0</v>
      </c>
      <c r="R36" s="43"/>
      <c r="S36" s="35"/>
      <c r="T36" s="55"/>
      <c r="U36" s="43"/>
      <c r="V36" s="43"/>
      <c r="W36" s="43"/>
      <c r="X36" s="43"/>
      <c r="Y36" s="43"/>
      <c r="Z36" s="43"/>
      <c r="AA36" s="34">
        <v>13472.0</v>
      </c>
      <c r="AB36" s="34">
        <v>41814.0</v>
      </c>
      <c r="AC36" s="43"/>
      <c r="AD36" s="43"/>
      <c r="AE36" s="43"/>
      <c r="AF36" s="34"/>
      <c r="AG36" s="33"/>
      <c r="AH36" s="33"/>
      <c r="AI36" s="37">
        <v>280286.0</v>
      </c>
      <c r="AJ36" s="40"/>
      <c r="AK36" s="41">
        <f t="shared" si="1"/>
        <v>224228.8</v>
      </c>
      <c r="AL36" s="41">
        <v>232412.0</v>
      </c>
      <c r="AM36" s="42"/>
      <c r="AN36" s="60">
        <v>1.0</v>
      </c>
      <c r="AO36" s="41"/>
      <c r="AP36" s="38"/>
      <c r="AQ36" s="38"/>
      <c r="AR36" s="38"/>
      <c r="AS36" s="38"/>
      <c r="AT36" s="58">
        <v>1.0</v>
      </c>
      <c r="AU36" s="38"/>
      <c r="AV36" s="38"/>
      <c r="AW36" s="38"/>
      <c r="AX36" s="38"/>
      <c r="AY36" s="38"/>
      <c r="AZ36" s="38"/>
      <c r="BA36" s="38"/>
      <c r="BB36" s="38"/>
      <c r="BC36" s="38"/>
    </row>
    <row r="37">
      <c r="A37" s="39" t="s">
        <v>36</v>
      </c>
      <c r="B37" s="26" t="s">
        <v>103</v>
      </c>
      <c r="C37" s="10"/>
      <c r="D37" s="63"/>
      <c r="E37" s="28" t="s">
        <v>104</v>
      </c>
      <c r="F37" s="13">
        <v>37530.0</v>
      </c>
      <c r="G37" s="26">
        <v>22.0</v>
      </c>
      <c r="H37" s="26" t="s">
        <v>105</v>
      </c>
      <c r="I37" s="26" t="s">
        <v>53</v>
      </c>
      <c r="J37" s="26">
        <v>8.0</v>
      </c>
      <c r="K37" s="26">
        <v>21.0</v>
      </c>
      <c r="L37" s="31" t="s">
        <v>105</v>
      </c>
      <c r="M37" s="31" t="s">
        <v>53</v>
      </c>
      <c r="N37" s="32" t="s">
        <v>105</v>
      </c>
      <c r="O37" s="32" t="s">
        <v>53</v>
      </c>
      <c r="P37" s="54"/>
      <c r="Q37" s="34">
        <v>285000.0</v>
      </c>
      <c r="R37" s="43"/>
      <c r="S37" s="34">
        <v>3000.0</v>
      </c>
      <c r="T37" s="55"/>
      <c r="U37" s="43"/>
      <c r="V37" s="43"/>
      <c r="W37" s="43"/>
      <c r="X37" s="43"/>
      <c r="Y37" s="43"/>
      <c r="Z37" s="43"/>
      <c r="AA37" s="34">
        <v>47432.0</v>
      </c>
      <c r="AB37" s="34">
        <v>23290.0</v>
      </c>
      <c r="AC37" s="43"/>
      <c r="AD37" s="43"/>
      <c r="AE37" s="43"/>
      <c r="AF37" s="34"/>
      <c r="AG37" s="33"/>
      <c r="AH37" s="33"/>
      <c r="AI37" s="37">
        <v>358722.0</v>
      </c>
      <c r="AJ37" s="40"/>
      <c r="AK37" s="41">
        <f t="shared" si="1"/>
        <v>286977.6</v>
      </c>
      <c r="AL37" s="41">
        <v>267966.0</v>
      </c>
      <c r="AM37" s="41"/>
      <c r="AN37" s="60">
        <v>1.0</v>
      </c>
      <c r="AO37" s="41"/>
      <c r="AP37" s="38"/>
      <c r="AQ37" s="38"/>
      <c r="AR37" s="38"/>
      <c r="AS37" s="38"/>
      <c r="AT37" s="58">
        <v>1.0</v>
      </c>
      <c r="AU37" s="38"/>
      <c r="AV37" s="38"/>
      <c r="AW37" s="38"/>
      <c r="AX37" s="38"/>
      <c r="AY37" s="38"/>
      <c r="AZ37" s="38"/>
      <c r="BA37" s="38"/>
      <c r="BB37" s="38"/>
      <c r="BC37" s="38"/>
    </row>
    <row r="38">
      <c r="A38" s="71" t="s">
        <v>33</v>
      </c>
      <c r="B38" s="66" t="s">
        <v>106</v>
      </c>
      <c r="C38" s="26" t="s">
        <v>107</v>
      </c>
      <c r="D38" s="10"/>
      <c r="E38" s="10"/>
      <c r="F38" s="54"/>
      <c r="G38" s="54"/>
      <c r="H38" s="10"/>
      <c r="I38" s="10"/>
      <c r="J38" s="54"/>
      <c r="K38" s="54"/>
      <c r="L38" s="54"/>
      <c r="M38" s="10"/>
      <c r="N38" s="54"/>
      <c r="O38" s="54"/>
      <c r="P38" s="33"/>
      <c r="Q38" s="72">
        <v>390000.0</v>
      </c>
      <c r="R38" s="43"/>
      <c r="S38" s="33"/>
      <c r="T38" s="73">
        <v>50000.0</v>
      </c>
      <c r="U38" s="33"/>
      <c r="V38" s="34"/>
      <c r="W38" s="34"/>
      <c r="X38" s="33"/>
      <c r="Y38" s="34"/>
      <c r="Z38" s="34"/>
      <c r="AA38" s="34"/>
      <c r="AB38" s="34"/>
      <c r="AC38" s="34"/>
      <c r="AD38" s="43"/>
      <c r="AE38" s="33"/>
      <c r="AF38" s="33"/>
      <c r="AG38" s="33"/>
      <c r="AH38" s="33"/>
      <c r="AI38" s="74">
        <f t="shared" ref="AI38:AI44" si="2">SUM(C38:AH38)</f>
        <v>440000</v>
      </c>
      <c r="AJ38" s="41"/>
      <c r="AK38" s="41"/>
      <c r="AL38" s="41">
        <v>346605.0</v>
      </c>
      <c r="AM38" s="56"/>
      <c r="AN38" s="60">
        <v>1.0</v>
      </c>
      <c r="AO38" s="56"/>
      <c r="AP38" s="7"/>
      <c r="AQ38" s="7">
        <v>1.0</v>
      </c>
    </row>
    <row r="39">
      <c r="A39" s="71" t="s">
        <v>33</v>
      </c>
      <c r="B39" s="66" t="s">
        <v>108</v>
      </c>
      <c r="C39" s="10"/>
      <c r="D39" s="10"/>
      <c r="E39" s="10"/>
      <c r="F39" s="54"/>
      <c r="G39" s="54"/>
      <c r="H39" s="10"/>
      <c r="I39" s="10"/>
      <c r="J39" s="54"/>
      <c r="K39" s="54"/>
      <c r="L39" s="54"/>
      <c r="M39" s="10"/>
      <c r="N39" s="54"/>
      <c r="O39" s="54"/>
      <c r="P39" s="33"/>
      <c r="Q39" s="43"/>
      <c r="R39" s="43"/>
      <c r="S39" s="33"/>
      <c r="T39" s="33"/>
      <c r="U39" s="67">
        <v>97660.0</v>
      </c>
      <c r="V39" s="43"/>
      <c r="W39" s="36"/>
      <c r="X39" s="36">
        <v>6425.0</v>
      </c>
      <c r="Y39" s="33"/>
      <c r="Z39" s="33"/>
      <c r="AA39" s="33"/>
      <c r="AB39" s="33"/>
      <c r="AC39" s="33"/>
      <c r="AD39" s="43"/>
      <c r="AE39" s="33"/>
      <c r="AF39" s="33"/>
      <c r="AG39" s="33"/>
      <c r="AH39" s="33"/>
      <c r="AI39" s="75">
        <f t="shared" si="2"/>
        <v>104085</v>
      </c>
      <c r="AJ39" s="41"/>
      <c r="AK39" s="41"/>
      <c r="AL39" s="41">
        <v>103038.0</v>
      </c>
      <c r="AM39" s="56"/>
      <c r="AN39" s="60">
        <v>1.0</v>
      </c>
      <c r="AO39" s="56"/>
      <c r="AP39" s="7"/>
      <c r="AQ39" s="7">
        <v>0.0</v>
      </c>
      <c r="AY39" s="76"/>
    </row>
    <row r="40">
      <c r="A40" s="71" t="s">
        <v>34</v>
      </c>
      <c r="B40" s="26" t="s">
        <v>109</v>
      </c>
      <c r="C40" s="26" t="s">
        <v>110</v>
      </c>
      <c r="D40" s="10"/>
      <c r="E40" s="10"/>
      <c r="F40" s="54"/>
      <c r="G40" s="54"/>
      <c r="H40" s="10"/>
      <c r="I40" s="10"/>
      <c r="J40" s="54"/>
      <c r="K40" s="54"/>
      <c r="L40" s="54"/>
      <c r="M40" s="10"/>
      <c r="N40" s="54"/>
      <c r="O40" s="54"/>
      <c r="P40" s="33"/>
      <c r="Q40" s="34">
        <v>370000.0</v>
      </c>
      <c r="R40" s="43"/>
      <c r="S40" s="33"/>
      <c r="T40" s="73">
        <v>50000.0</v>
      </c>
      <c r="U40" s="33"/>
      <c r="V40" s="34"/>
      <c r="W40" s="34"/>
      <c r="X40" s="33"/>
      <c r="Y40" s="33"/>
      <c r="Z40" s="33"/>
      <c r="AA40" s="33"/>
      <c r="AB40" s="33"/>
      <c r="AC40" s="33"/>
      <c r="AD40" s="34"/>
      <c r="AE40" s="33"/>
      <c r="AF40" s="33"/>
      <c r="AG40" s="33"/>
      <c r="AH40" s="73">
        <v>629.0</v>
      </c>
      <c r="AI40" s="74">
        <f t="shared" si="2"/>
        <v>420629</v>
      </c>
      <c r="AJ40" s="41"/>
      <c r="AK40" s="41"/>
      <c r="AL40" s="41">
        <v>334790.0</v>
      </c>
      <c r="AM40" s="56"/>
      <c r="AN40" s="60">
        <v>1.0</v>
      </c>
      <c r="AO40" s="56"/>
      <c r="AR40" s="7">
        <v>1.0</v>
      </c>
    </row>
    <row r="41">
      <c r="A41" s="71" t="s">
        <v>34</v>
      </c>
      <c r="B41" s="73" t="s">
        <v>111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43"/>
      <c r="S41" s="33"/>
      <c r="T41" s="33"/>
      <c r="U41" s="67">
        <v>72210.0</v>
      </c>
      <c r="V41" s="33"/>
      <c r="W41" s="67"/>
      <c r="X41" s="67">
        <v>7470.0</v>
      </c>
      <c r="Y41" s="33"/>
      <c r="Z41" s="33"/>
      <c r="AA41" s="33"/>
      <c r="AB41" s="33"/>
      <c r="AC41" s="33"/>
      <c r="AD41" s="34"/>
      <c r="AE41" s="33"/>
      <c r="AF41" s="33"/>
      <c r="AG41" s="33"/>
      <c r="AH41" s="33"/>
      <c r="AI41" s="75">
        <f t="shared" si="2"/>
        <v>79680</v>
      </c>
      <c r="AJ41" s="41"/>
      <c r="AK41" s="41"/>
      <c r="AL41" s="41">
        <v>83611.0</v>
      </c>
      <c r="AM41" s="56"/>
      <c r="AN41" s="60">
        <v>1.0</v>
      </c>
      <c r="AO41" s="56"/>
      <c r="AR41" s="7">
        <v>0.0</v>
      </c>
    </row>
    <row r="42">
      <c r="A42" s="7" t="s">
        <v>35</v>
      </c>
      <c r="B42" s="73" t="s">
        <v>112</v>
      </c>
      <c r="C42" s="26" t="s">
        <v>110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4">
        <v>370000.0</v>
      </c>
      <c r="R42" s="43"/>
      <c r="S42" s="33"/>
      <c r="T42" s="73">
        <v>50000.0</v>
      </c>
      <c r="U42" s="33"/>
      <c r="V42" s="33"/>
      <c r="W42" s="33"/>
      <c r="X42" s="33"/>
      <c r="Y42" s="33"/>
      <c r="Z42" s="33"/>
      <c r="AA42" s="33"/>
      <c r="AB42" s="33"/>
      <c r="AC42" s="33"/>
      <c r="AD42" s="43"/>
      <c r="AE42" s="33"/>
      <c r="AF42" s="33"/>
      <c r="AG42" s="33"/>
      <c r="AH42" s="33"/>
      <c r="AI42" s="74">
        <f t="shared" si="2"/>
        <v>420000</v>
      </c>
      <c r="AJ42" s="41"/>
      <c r="AK42" s="41"/>
      <c r="AL42" s="41">
        <v>329258.0</v>
      </c>
      <c r="AM42" s="56"/>
      <c r="AN42" s="60">
        <v>1.0</v>
      </c>
      <c r="AO42" s="56"/>
      <c r="AS42" s="7">
        <v>1.0</v>
      </c>
    </row>
    <row r="43">
      <c r="A43" s="7" t="s">
        <v>37</v>
      </c>
      <c r="B43" s="73" t="s">
        <v>113</v>
      </c>
      <c r="C43" s="26" t="s">
        <v>110</v>
      </c>
      <c r="D43" s="33"/>
      <c r="E43" s="33"/>
      <c r="F43" s="33"/>
      <c r="G43" s="43"/>
      <c r="H43" s="33"/>
      <c r="I43" s="33"/>
      <c r="J43" s="33"/>
      <c r="K43" s="33"/>
      <c r="L43" s="33"/>
      <c r="M43" s="33"/>
      <c r="N43" s="33"/>
      <c r="O43" s="33"/>
      <c r="P43" s="33"/>
      <c r="Q43" s="73">
        <v>370000.0</v>
      </c>
      <c r="R43" s="34"/>
      <c r="S43" s="33"/>
      <c r="T43" s="77"/>
      <c r="U43" s="33"/>
      <c r="V43" s="33"/>
      <c r="W43" s="33"/>
      <c r="X43" s="33"/>
      <c r="Y43" s="33"/>
      <c r="Z43" s="33"/>
      <c r="AA43" s="33"/>
      <c r="AB43" s="33"/>
      <c r="AC43" s="33"/>
      <c r="AD43" s="43"/>
      <c r="AE43" s="33"/>
      <c r="AF43" s="33"/>
      <c r="AG43" s="33"/>
      <c r="AH43" s="73">
        <v>1662.0</v>
      </c>
      <c r="AI43" s="74">
        <f t="shared" si="2"/>
        <v>371662</v>
      </c>
      <c r="AJ43" s="40"/>
      <c r="AK43" s="41">
        <f t="shared" ref="AK43:AK44" si="3">(AI43+AJ43)*0.8</f>
        <v>297329.6</v>
      </c>
      <c r="AL43" s="41">
        <v>289195.0</v>
      </c>
      <c r="AM43" s="56"/>
      <c r="AN43" s="60">
        <v>1.0</v>
      </c>
      <c r="AO43" s="56"/>
      <c r="AU43" s="7">
        <v>1.0</v>
      </c>
    </row>
    <row r="44">
      <c r="A44" s="7" t="s">
        <v>36</v>
      </c>
      <c r="B44" s="73" t="s">
        <v>114</v>
      </c>
      <c r="C44" s="26" t="s">
        <v>110</v>
      </c>
      <c r="D44" s="33"/>
      <c r="E44" s="33"/>
      <c r="F44" s="33"/>
      <c r="G44" s="43"/>
      <c r="H44" s="33"/>
      <c r="I44" s="33"/>
      <c r="J44" s="33"/>
      <c r="K44" s="33"/>
      <c r="L44" s="33"/>
      <c r="M44" s="33"/>
      <c r="N44" s="33"/>
      <c r="O44" s="33"/>
      <c r="P44" s="33"/>
      <c r="Q44" s="73">
        <v>380000.0</v>
      </c>
      <c r="R44" s="34"/>
      <c r="S44" s="33"/>
      <c r="T44" s="77"/>
      <c r="U44" s="33"/>
      <c r="V44" s="33"/>
      <c r="W44" s="33"/>
      <c r="X44" s="33"/>
      <c r="Y44" s="33"/>
      <c r="Z44" s="33"/>
      <c r="AA44" s="33"/>
      <c r="AB44" s="33"/>
      <c r="AC44" s="33"/>
      <c r="AD44" s="43"/>
      <c r="AE44" s="33"/>
      <c r="AF44" s="33"/>
      <c r="AG44" s="33"/>
      <c r="AH44" s="33"/>
      <c r="AI44" s="74">
        <f t="shared" si="2"/>
        <v>380000</v>
      </c>
      <c r="AJ44" s="40"/>
      <c r="AK44" s="41">
        <f t="shared" si="3"/>
        <v>304000</v>
      </c>
      <c r="AL44" s="41">
        <v>296086.0</v>
      </c>
      <c r="AM44" s="56"/>
      <c r="AN44" s="60">
        <v>1.0</v>
      </c>
      <c r="AO44" s="56"/>
      <c r="AT44" s="7">
        <v>1.0</v>
      </c>
    </row>
    <row r="45">
      <c r="A45" s="7" t="s">
        <v>36</v>
      </c>
      <c r="B45" s="78" t="s">
        <v>115</v>
      </c>
      <c r="C45" s="43"/>
      <c r="D45" s="43"/>
      <c r="E45" s="43"/>
      <c r="F45" s="43"/>
      <c r="G45" s="34"/>
      <c r="H45" s="79"/>
      <c r="I45" s="34"/>
      <c r="J45" s="43"/>
      <c r="K45" s="43"/>
      <c r="L45" s="43"/>
      <c r="M45" s="43"/>
      <c r="N45" s="43"/>
      <c r="O45" s="43"/>
      <c r="P45" s="34"/>
      <c r="Q45" s="34"/>
      <c r="R45" s="43"/>
      <c r="S45" s="33"/>
      <c r="T45" s="33"/>
      <c r="U45" s="44">
        <v>69225.0</v>
      </c>
      <c r="V45" s="80"/>
      <c r="W45" s="44"/>
      <c r="X45" s="44">
        <v>6825.0</v>
      </c>
      <c r="Y45" s="80"/>
      <c r="Z45" s="80"/>
      <c r="AA45" s="80"/>
      <c r="AB45" s="80"/>
      <c r="AC45" s="80"/>
      <c r="AD45" s="80"/>
      <c r="AE45" s="44"/>
      <c r="AF45" s="44"/>
      <c r="AG45" s="33"/>
      <c r="AH45" s="44">
        <v>12200.0</v>
      </c>
      <c r="AI45" s="81">
        <v>88250.0</v>
      </c>
      <c r="AJ45" s="41"/>
      <c r="AK45" s="41"/>
      <c r="AL45" s="41">
        <v>92831.0</v>
      </c>
      <c r="AM45" s="56"/>
      <c r="AN45" s="60">
        <v>1.0</v>
      </c>
      <c r="AO45" s="56"/>
      <c r="AT45" s="7">
        <v>0.0</v>
      </c>
    </row>
    <row r="46">
      <c r="A46" s="7" t="s">
        <v>36</v>
      </c>
      <c r="B46" s="78" t="s">
        <v>116</v>
      </c>
      <c r="C46" s="33"/>
      <c r="D46" s="33"/>
      <c r="E46" s="33"/>
      <c r="F46" s="33"/>
      <c r="G46" s="34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4"/>
      <c r="S46" s="33"/>
      <c r="T46" s="33"/>
      <c r="U46" s="34">
        <v>81765.0</v>
      </c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75">
        <f t="shared" ref="AI46:AI53" si="4">SUM(C46:AH46)</f>
        <v>81765</v>
      </c>
      <c r="AJ46" s="41"/>
      <c r="AK46" s="41"/>
      <c r="AL46" s="41">
        <v>83777.0</v>
      </c>
      <c r="AM46" s="56"/>
      <c r="AN46" s="60">
        <v>1.0</v>
      </c>
      <c r="AO46" s="56"/>
      <c r="AT46" s="7">
        <v>0.0</v>
      </c>
    </row>
    <row r="47">
      <c r="A47" s="7" t="s">
        <v>36</v>
      </c>
      <c r="B47" s="66" t="s">
        <v>117</v>
      </c>
      <c r="C47" s="66"/>
      <c r="D47" s="66"/>
      <c r="E47" s="66"/>
      <c r="F47" s="66"/>
      <c r="G47" s="79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>
        <v>103790.0</v>
      </c>
      <c r="V47" s="33"/>
      <c r="W47" s="33"/>
      <c r="X47" s="33"/>
      <c r="Y47" s="33"/>
      <c r="Z47" s="33"/>
      <c r="AA47" s="34"/>
      <c r="AB47" s="33"/>
      <c r="AC47" s="33"/>
      <c r="AD47" s="33"/>
      <c r="AE47" s="33"/>
      <c r="AF47" s="33"/>
      <c r="AG47" s="33"/>
      <c r="AH47" s="34"/>
      <c r="AI47" s="74">
        <f t="shared" si="4"/>
        <v>103790</v>
      </c>
      <c r="AJ47" s="41"/>
      <c r="AK47" s="41"/>
      <c r="AL47" s="41">
        <v>102165.0</v>
      </c>
      <c r="AM47" s="56"/>
      <c r="AN47" s="60">
        <v>1.0</v>
      </c>
      <c r="AO47" s="56"/>
      <c r="AT47" s="7">
        <v>1.0</v>
      </c>
    </row>
    <row r="48">
      <c r="A48" s="7" t="s">
        <v>36</v>
      </c>
      <c r="B48" s="78" t="s">
        <v>118</v>
      </c>
      <c r="C48" s="33"/>
      <c r="D48" s="33"/>
      <c r="E48" s="33"/>
      <c r="F48" s="33"/>
      <c r="G48" s="34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>
        <v>44850.0</v>
      </c>
      <c r="V48" s="33"/>
      <c r="W48" s="33"/>
      <c r="X48" s="33"/>
      <c r="Y48" s="33"/>
      <c r="Z48" s="33"/>
      <c r="AA48" s="34">
        <v>2438.0</v>
      </c>
      <c r="AB48" s="33"/>
      <c r="AC48" s="33"/>
      <c r="AD48" s="33"/>
      <c r="AE48" s="33"/>
      <c r="AF48" s="33"/>
      <c r="AG48" s="33"/>
      <c r="AH48" s="34">
        <v>2440.0</v>
      </c>
      <c r="AI48" s="75">
        <f t="shared" si="4"/>
        <v>49728</v>
      </c>
      <c r="AJ48" s="41"/>
      <c r="AK48" s="41"/>
      <c r="AL48" s="41">
        <v>51962.0</v>
      </c>
      <c r="AM48" s="56"/>
      <c r="AN48" s="60">
        <v>1.0</v>
      </c>
      <c r="AO48" s="56"/>
      <c r="AT48" s="7">
        <v>0.0</v>
      </c>
    </row>
    <row r="49">
      <c r="A49" s="7" t="s">
        <v>36</v>
      </c>
      <c r="B49" s="78" t="s">
        <v>119</v>
      </c>
      <c r="C49" s="33"/>
      <c r="D49" s="33"/>
      <c r="E49" s="33"/>
      <c r="F49" s="33"/>
      <c r="G49" s="4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>
        <v>47775.0</v>
      </c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4">
        <v>8540.0</v>
      </c>
      <c r="AI49" s="75">
        <f t="shared" si="4"/>
        <v>56315</v>
      </c>
      <c r="AJ49" s="41"/>
      <c r="AK49" s="41"/>
      <c r="AL49" s="41">
        <v>56196.0</v>
      </c>
      <c r="AM49" s="56"/>
      <c r="AN49" s="60">
        <v>1.0</v>
      </c>
      <c r="AO49" s="56"/>
      <c r="AT49" s="7">
        <v>0.0</v>
      </c>
    </row>
    <row r="50">
      <c r="A50" s="7" t="s">
        <v>36</v>
      </c>
      <c r="B50" s="66" t="s">
        <v>120</v>
      </c>
      <c r="C50" s="33"/>
      <c r="D50" s="33"/>
      <c r="E50" s="33"/>
      <c r="F50" s="33"/>
      <c r="G50" s="4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>
        <v>131625.0</v>
      </c>
      <c r="V50" s="33"/>
      <c r="W50" s="33"/>
      <c r="X50" s="33"/>
      <c r="Y50" s="33"/>
      <c r="Z50" s="33"/>
      <c r="AA50" s="34">
        <v>2438.0</v>
      </c>
      <c r="AB50" s="33"/>
      <c r="AC50" s="33"/>
      <c r="AD50" s="33"/>
      <c r="AE50" s="33"/>
      <c r="AF50" s="33"/>
      <c r="AG50" s="33"/>
      <c r="AH50" s="34">
        <v>13420.0</v>
      </c>
      <c r="AI50" s="75">
        <f t="shared" si="4"/>
        <v>147483</v>
      </c>
      <c r="AJ50" s="49"/>
      <c r="AK50" s="49"/>
      <c r="AL50" s="49">
        <v>125060.0</v>
      </c>
      <c r="AM50" s="56"/>
      <c r="AN50" s="60">
        <v>1.0</v>
      </c>
      <c r="AO50" s="56"/>
      <c r="AT50" s="7">
        <v>1.0</v>
      </c>
    </row>
    <row r="51">
      <c r="A51" s="7" t="s">
        <v>36</v>
      </c>
      <c r="B51" s="73" t="s">
        <v>121</v>
      </c>
      <c r="C51" s="73" t="s">
        <v>107</v>
      </c>
      <c r="D51" s="33"/>
      <c r="E51" s="33"/>
      <c r="F51" s="33"/>
      <c r="G51" s="43"/>
      <c r="H51" s="33"/>
      <c r="I51" s="33"/>
      <c r="J51" s="33"/>
      <c r="K51" s="33"/>
      <c r="L51" s="33"/>
      <c r="M51" s="33"/>
      <c r="N51" s="33"/>
      <c r="O51" s="33"/>
      <c r="P51" s="33"/>
      <c r="Q51" s="34">
        <v>390000.0</v>
      </c>
      <c r="R51" s="33"/>
      <c r="S51" s="33"/>
      <c r="T51" s="77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74">
        <f t="shared" si="4"/>
        <v>390000</v>
      </c>
      <c r="AJ51" s="77"/>
      <c r="AK51" s="41">
        <f t="shared" ref="AK51:AK52" si="5">(AI51+AJ51)*0.8</f>
        <v>312000</v>
      </c>
      <c r="AL51" s="41">
        <v>301190.0</v>
      </c>
      <c r="AM51" s="56"/>
      <c r="AN51" s="60">
        <v>1.0</v>
      </c>
      <c r="AO51" s="56"/>
      <c r="AT51" s="7">
        <v>1.0</v>
      </c>
    </row>
    <row r="52">
      <c r="A52" s="71" t="s">
        <v>33</v>
      </c>
      <c r="B52" s="72" t="s">
        <v>122</v>
      </c>
      <c r="C52" s="26"/>
      <c r="D52" s="10"/>
      <c r="E52" s="10"/>
      <c r="F52" s="54"/>
      <c r="G52" s="54"/>
      <c r="H52" s="10"/>
      <c r="I52" s="10"/>
      <c r="J52" s="54"/>
      <c r="K52" s="54"/>
      <c r="L52" s="54"/>
      <c r="M52" s="10"/>
      <c r="N52" s="54"/>
      <c r="O52" s="54"/>
      <c r="P52" s="33"/>
      <c r="Q52" s="36">
        <v>370000.0</v>
      </c>
      <c r="R52" s="33"/>
      <c r="S52" s="33"/>
      <c r="T52" s="34"/>
      <c r="U52" s="66"/>
      <c r="V52" s="34"/>
      <c r="W52" s="34"/>
      <c r="X52" s="33"/>
      <c r="Y52" s="43"/>
      <c r="Z52" s="43"/>
      <c r="AA52" s="43"/>
      <c r="AB52" s="43"/>
      <c r="AC52" s="43"/>
      <c r="AD52" s="34"/>
      <c r="AE52" s="33"/>
      <c r="AF52" s="33"/>
      <c r="AG52" s="33"/>
      <c r="AH52" s="33"/>
      <c r="AI52" s="74">
        <f t="shared" si="4"/>
        <v>370000</v>
      </c>
      <c r="AJ52" s="77"/>
      <c r="AK52" s="41">
        <f t="shared" si="5"/>
        <v>296000</v>
      </c>
      <c r="AL52" s="41">
        <v>286513.0</v>
      </c>
      <c r="AM52" s="56"/>
      <c r="AN52" s="60">
        <v>1.0</v>
      </c>
      <c r="AO52" s="56"/>
      <c r="AP52" s="7"/>
      <c r="AQ52" s="7">
        <v>1.0</v>
      </c>
    </row>
    <row r="53">
      <c r="A53" s="71" t="s">
        <v>33</v>
      </c>
      <c r="B53" s="72" t="s">
        <v>123</v>
      </c>
      <c r="C53" s="26"/>
      <c r="D53" s="10"/>
      <c r="E53" s="10"/>
      <c r="F53" s="54"/>
      <c r="G53" s="54"/>
      <c r="H53" s="10"/>
      <c r="I53" s="10"/>
      <c r="J53" s="54"/>
      <c r="K53" s="54"/>
      <c r="L53" s="54"/>
      <c r="M53" s="10"/>
      <c r="N53" s="54"/>
      <c r="O53" s="54"/>
      <c r="P53" s="33"/>
      <c r="Q53" s="36"/>
      <c r="R53" s="33"/>
      <c r="S53" s="33"/>
      <c r="T53" s="34"/>
      <c r="U53" s="66"/>
      <c r="V53" s="36">
        <v>79500.0</v>
      </c>
      <c r="W53" s="34"/>
      <c r="X53" s="73">
        <v>5300.0</v>
      </c>
      <c r="Y53" s="43"/>
      <c r="Z53" s="43"/>
      <c r="AA53" s="43"/>
      <c r="AB53" s="43"/>
      <c r="AC53" s="43"/>
      <c r="AD53" s="34"/>
      <c r="AE53" s="33"/>
      <c r="AF53" s="33"/>
      <c r="AG53" s="33"/>
      <c r="AH53" s="33"/>
      <c r="AI53" s="75">
        <f t="shared" si="4"/>
        <v>84800</v>
      </c>
      <c r="AJ53" s="41"/>
      <c r="AK53" s="41"/>
      <c r="AL53" s="41">
        <v>87215.0</v>
      </c>
      <c r="AM53" s="56"/>
      <c r="AN53" s="60">
        <v>1.0</v>
      </c>
      <c r="AO53" s="56"/>
      <c r="AP53" s="7"/>
      <c r="AQ53" s="7">
        <v>0.0</v>
      </c>
    </row>
    <row r="54">
      <c r="A54" s="82"/>
      <c r="B54" s="66" t="s">
        <v>124</v>
      </c>
      <c r="C54" s="26" t="s">
        <v>125</v>
      </c>
      <c r="D54" s="10"/>
      <c r="E54" s="10"/>
      <c r="F54" s="54"/>
      <c r="G54" s="54"/>
      <c r="H54" s="10"/>
      <c r="I54" s="10"/>
      <c r="J54" s="54"/>
      <c r="K54" s="54"/>
      <c r="L54" s="54"/>
      <c r="M54" s="10"/>
      <c r="N54" s="54"/>
      <c r="O54" s="54"/>
      <c r="P54" s="33"/>
      <c r="Q54" s="34"/>
      <c r="R54" s="33"/>
      <c r="S54" s="33"/>
      <c r="T54" s="34"/>
      <c r="U54" s="66"/>
      <c r="V54" s="34"/>
      <c r="W54" s="34"/>
      <c r="X54" s="33"/>
      <c r="Y54" s="43"/>
      <c r="Z54" s="43"/>
      <c r="AA54" s="43"/>
      <c r="AB54" s="43"/>
      <c r="AC54" s="43"/>
      <c r="AD54" s="34"/>
      <c r="AE54" s="33"/>
      <c r="AF54" s="33"/>
      <c r="AG54" s="33"/>
      <c r="AH54" s="33"/>
      <c r="AI54" s="83">
        <v>1000000.0</v>
      </c>
      <c r="AJ54" s="41"/>
      <c r="AK54" s="41"/>
      <c r="AL54" s="41">
        <v>666495.0</v>
      </c>
      <c r="AM54" s="56"/>
      <c r="AN54" s="60"/>
      <c r="AO54" s="84">
        <v>1.0</v>
      </c>
      <c r="AP54" s="7">
        <v>1.0</v>
      </c>
    </row>
    <row r="55">
      <c r="A55" s="82"/>
      <c r="B55" s="66" t="s">
        <v>126</v>
      </c>
      <c r="C55" s="26" t="s">
        <v>127</v>
      </c>
      <c r="D55" s="10"/>
      <c r="E55" s="10"/>
      <c r="F55" s="54"/>
      <c r="G55" s="54"/>
      <c r="H55" s="10"/>
      <c r="I55" s="10"/>
      <c r="J55" s="54"/>
      <c r="K55" s="54"/>
      <c r="L55" s="54"/>
      <c r="M55" s="10"/>
      <c r="N55" s="54"/>
      <c r="O55" s="54"/>
      <c r="P55" s="33"/>
      <c r="Q55" s="43"/>
      <c r="R55" s="33"/>
      <c r="S55" s="33"/>
      <c r="T55" s="34"/>
      <c r="U55" s="33"/>
      <c r="V55" s="43"/>
      <c r="W55" s="35"/>
      <c r="X55" s="33"/>
      <c r="Y55" s="34"/>
      <c r="Z55" s="34"/>
      <c r="AA55" s="34"/>
      <c r="AB55" s="34"/>
      <c r="AC55" s="34"/>
      <c r="AD55" s="43"/>
      <c r="AE55" s="33"/>
      <c r="AF55" s="33"/>
      <c r="AG55" s="33"/>
      <c r="AH55" s="33"/>
      <c r="AI55" s="83">
        <v>200000.0</v>
      </c>
      <c r="AJ55" s="41"/>
      <c r="AK55" s="41"/>
      <c r="AL55" s="41">
        <v>193540.0</v>
      </c>
      <c r="AM55" s="56"/>
      <c r="AN55" s="56"/>
      <c r="AO55" s="84">
        <v>1.0</v>
      </c>
      <c r="AP55" s="7">
        <v>1.0</v>
      </c>
    </row>
    <row r="56">
      <c r="A56" s="82"/>
      <c r="B56" s="66" t="s">
        <v>128</v>
      </c>
      <c r="C56" s="26" t="s">
        <v>32</v>
      </c>
      <c r="D56" s="10"/>
      <c r="E56" s="10"/>
      <c r="F56" s="54"/>
      <c r="G56" s="54"/>
      <c r="H56" s="10"/>
      <c r="I56" s="10"/>
      <c r="J56" s="54"/>
      <c r="K56" s="54"/>
      <c r="L56" s="54"/>
      <c r="M56" s="10"/>
      <c r="N56" s="54"/>
      <c r="O56" s="54"/>
      <c r="P56" s="33"/>
      <c r="Q56" s="43"/>
      <c r="R56" s="34"/>
      <c r="S56" s="33"/>
      <c r="T56" s="33"/>
      <c r="U56" s="33"/>
      <c r="V56" s="43"/>
      <c r="W56" s="43"/>
      <c r="X56" s="33"/>
      <c r="Y56" s="34"/>
      <c r="Z56" s="34"/>
      <c r="AA56" s="34"/>
      <c r="AB56" s="34"/>
      <c r="AC56" s="34"/>
      <c r="AD56" s="35"/>
      <c r="AE56" s="33"/>
      <c r="AF56" s="33"/>
      <c r="AG56" s="33"/>
      <c r="AH56" s="33"/>
      <c r="AI56" s="83">
        <v>300000.0</v>
      </c>
      <c r="AJ56" s="41"/>
      <c r="AK56" s="41"/>
      <c r="AL56" s="41">
        <v>246300.0</v>
      </c>
      <c r="AM56" s="56"/>
      <c r="AN56" s="56"/>
      <c r="AO56" s="84">
        <v>1.0</v>
      </c>
      <c r="AP56" s="7">
        <v>1.0</v>
      </c>
    </row>
    <row r="57">
      <c r="A57" s="82"/>
      <c r="B57" s="66" t="s">
        <v>129</v>
      </c>
      <c r="C57" s="72" t="s">
        <v>32</v>
      </c>
      <c r="D57" s="66"/>
      <c r="E57" s="66"/>
      <c r="F57" s="54"/>
      <c r="G57" s="54"/>
      <c r="H57" s="10"/>
      <c r="I57" s="10"/>
      <c r="J57" s="54"/>
      <c r="K57" s="54"/>
      <c r="L57" s="54"/>
      <c r="M57" s="10"/>
      <c r="N57" s="54"/>
      <c r="O57" s="54"/>
      <c r="P57" s="33"/>
      <c r="Q57" s="34"/>
      <c r="R57" s="43"/>
      <c r="S57" s="33"/>
      <c r="T57" s="33"/>
      <c r="U57" s="33"/>
      <c r="V57" s="43"/>
      <c r="W57" s="43"/>
      <c r="X57" s="33"/>
      <c r="Y57" s="34"/>
      <c r="Z57" s="34"/>
      <c r="AA57" s="35"/>
      <c r="AB57" s="34"/>
      <c r="AC57" s="34"/>
      <c r="AD57" s="43"/>
      <c r="AE57" s="33"/>
      <c r="AF57" s="33"/>
      <c r="AG57" s="33"/>
      <c r="AH57" s="33"/>
      <c r="AI57" s="83">
        <v>100000.0</v>
      </c>
      <c r="AJ57" s="49"/>
      <c r="AK57" s="49"/>
      <c r="AL57" s="49">
        <v>96400.0</v>
      </c>
      <c r="AM57" s="56"/>
      <c r="AN57" s="56"/>
      <c r="AO57" s="84">
        <v>1.0</v>
      </c>
      <c r="AP57" s="7">
        <v>1.0</v>
      </c>
    </row>
    <row r="58">
      <c r="AH58" s="8"/>
    </row>
    <row r="59">
      <c r="AH59" s="8"/>
      <c r="AI59" s="85">
        <f>SUM(AI3:AI57)</f>
        <v>16132067</v>
      </c>
      <c r="AJ59" s="85">
        <f>SUM(AJ4:AJ57)</f>
        <v>520000</v>
      </c>
      <c r="AK59" s="85"/>
      <c r="AL59" s="85">
        <f>SUM(AL3:AL57)</f>
        <v>12883502</v>
      </c>
      <c r="AM59" s="86">
        <f>SUMIF(AM4:AM57,1,AI4:AI57)</f>
        <v>10040079</v>
      </c>
      <c r="AN59" s="86">
        <f>SUMIF(AN4:AN57,1,AI4:AI57)</f>
        <v>4491988</v>
      </c>
      <c r="AO59" s="86">
        <f>SUMIF(AO4:AO57,1,AI4:AI57)</f>
        <v>1600000</v>
      </c>
      <c r="AP59" s="86">
        <f t="shared" ref="AP59:AU59" si="6">SUMIF(AP4:AP57,1,$AI$4:$AI$57)</f>
        <v>1600000</v>
      </c>
      <c r="AQ59" s="86">
        <f t="shared" si="6"/>
        <v>810000</v>
      </c>
      <c r="AR59" s="86">
        <f t="shared" si="6"/>
        <v>420629</v>
      </c>
      <c r="AS59" s="86">
        <f t="shared" si="6"/>
        <v>420000</v>
      </c>
      <c r="AT59" s="86">
        <f t="shared" si="6"/>
        <v>1660281</v>
      </c>
      <c r="AU59" s="86">
        <f t="shared" si="6"/>
        <v>636455</v>
      </c>
    </row>
    <row r="60">
      <c r="AH60" s="8"/>
      <c r="AJ60" s="87">
        <f>AJ59*12</f>
        <v>6240000</v>
      </c>
      <c r="AN60" s="86">
        <f>SUMIF(AN4:AN57,0,AI4:AI57)</f>
        <v>0</v>
      </c>
      <c r="AU60" s="87">
        <f>SUM(AQ59:AU59)</f>
        <v>3947365</v>
      </c>
    </row>
    <row r="61">
      <c r="AH61" s="8"/>
      <c r="AU61" s="87">
        <f>AN59-AU60</f>
        <v>544623</v>
      </c>
    </row>
    <row r="62">
      <c r="AH62" s="8"/>
    </row>
    <row r="63">
      <c r="AH63" s="8"/>
    </row>
    <row r="64">
      <c r="AH64" s="8"/>
    </row>
    <row r="65">
      <c r="AH65" s="8"/>
    </row>
    <row r="66">
      <c r="AH66" s="8"/>
    </row>
    <row r="67">
      <c r="AH67" s="8"/>
    </row>
    <row r="68">
      <c r="AH68" s="8"/>
    </row>
    <row r="69">
      <c r="AH69" s="8"/>
    </row>
    <row r="70">
      <c r="AH70" s="8"/>
    </row>
    <row r="71">
      <c r="AH71" s="8"/>
    </row>
    <row r="72">
      <c r="AH72" s="8"/>
    </row>
    <row r="73">
      <c r="AH73" s="8"/>
    </row>
    <row r="74">
      <c r="AH74" s="8"/>
    </row>
    <row r="75">
      <c r="AH75" s="8"/>
    </row>
    <row r="76">
      <c r="AH76" s="8"/>
    </row>
    <row r="77">
      <c r="AH77" s="8"/>
    </row>
    <row r="78">
      <c r="AH78" s="8"/>
    </row>
    <row r="79">
      <c r="AH79" s="8"/>
    </row>
    <row r="80">
      <c r="AH80" s="8"/>
    </row>
    <row r="81">
      <c r="AH81" s="8"/>
    </row>
    <row r="82">
      <c r="AH82" s="8"/>
    </row>
    <row r="83">
      <c r="AH83" s="8"/>
    </row>
    <row r="84">
      <c r="AH84" s="8"/>
    </row>
    <row r="85">
      <c r="AH85" s="8"/>
    </row>
    <row r="86">
      <c r="AH86" s="8"/>
    </row>
    <row r="87">
      <c r="AH87" s="8"/>
    </row>
    <row r="88">
      <c r="AH88" s="8"/>
    </row>
    <row r="89">
      <c r="AH89" s="8"/>
    </row>
    <row r="90">
      <c r="AH90" s="8"/>
    </row>
    <row r="91">
      <c r="AH91" s="8"/>
    </row>
    <row r="92">
      <c r="AH92" s="8"/>
    </row>
    <row r="93">
      <c r="AH93" s="8"/>
    </row>
    <row r="94">
      <c r="AH94" s="8"/>
    </row>
    <row r="95">
      <c r="AH95" s="8"/>
    </row>
    <row r="96">
      <c r="AH96" s="8"/>
    </row>
    <row r="97">
      <c r="AH97" s="8"/>
    </row>
    <row r="98">
      <c r="AH98" s="8"/>
    </row>
    <row r="99">
      <c r="AH99" s="8"/>
    </row>
    <row r="100">
      <c r="AH100" s="8"/>
    </row>
    <row r="101">
      <c r="AH101" s="8"/>
    </row>
    <row r="102">
      <c r="AH102" s="8"/>
    </row>
    <row r="103">
      <c r="AH103" s="8"/>
    </row>
    <row r="104">
      <c r="AH104" s="8"/>
    </row>
    <row r="105">
      <c r="AH105" s="8"/>
    </row>
    <row r="106">
      <c r="AH106" s="8"/>
    </row>
    <row r="107">
      <c r="AH107" s="8"/>
    </row>
    <row r="108">
      <c r="AH108" s="8"/>
    </row>
    <row r="109">
      <c r="AH109" s="8"/>
    </row>
    <row r="110">
      <c r="AH110" s="8"/>
    </row>
    <row r="111">
      <c r="AH111" s="8"/>
    </row>
    <row r="112">
      <c r="AH112" s="8"/>
    </row>
    <row r="113">
      <c r="AH113" s="8"/>
    </row>
    <row r="114">
      <c r="AH114" s="8"/>
    </row>
    <row r="115">
      <c r="AH115" s="8"/>
    </row>
    <row r="116">
      <c r="AH116" s="8"/>
    </row>
    <row r="117">
      <c r="AH117" s="8"/>
    </row>
    <row r="118">
      <c r="AH118" s="8"/>
    </row>
    <row r="119">
      <c r="AH119" s="8"/>
    </row>
    <row r="120">
      <c r="AH120" s="8"/>
    </row>
    <row r="121">
      <c r="AH121" s="8"/>
    </row>
    <row r="122">
      <c r="AH122" s="8"/>
    </row>
    <row r="123">
      <c r="AH123" s="8"/>
    </row>
    <row r="124">
      <c r="AH124" s="8"/>
    </row>
    <row r="125">
      <c r="AH125" s="8"/>
    </row>
    <row r="126">
      <c r="AH126" s="8"/>
    </row>
    <row r="127">
      <c r="AH127" s="8"/>
    </row>
    <row r="128">
      <c r="AH128" s="8"/>
    </row>
    <row r="129">
      <c r="AH129" s="8"/>
    </row>
    <row r="130">
      <c r="AH130" s="8"/>
    </row>
    <row r="131">
      <c r="AH131" s="8"/>
    </row>
    <row r="132">
      <c r="AH132" s="8"/>
    </row>
    <row r="133">
      <c r="AH133" s="8"/>
    </row>
    <row r="134">
      <c r="AH134" s="8"/>
    </row>
    <row r="135">
      <c r="AH135" s="8"/>
    </row>
    <row r="136">
      <c r="AH136" s="8"/>
    </row>
    <row r="137">
      <c r="AH137" s="8"/>
    </row>
    <row r="138">
      <c r="AH138" s="8"/>
    </row>
    <row r="139">
      <c r="AH139" s="8"/>
    </row>
    <row r="140">
      <c r="AH140" s="8"/>
    </row>
    <row r="141">
      <c r="AH141" s="8"/>
    </row>
    <row r="142">
      <c r="AH142" s="8"/>
    </row>
    <row r="143">
      <c r="AH143" s="8"/>
    </row>
    <row r="144">
      <c r="AH144" s="8"/>
    </row>
    <row r="145">
      <c r="AH145" s="8"/>
    </row>
    <row r="146">
      <c r="AH146" s="8"/>
    </row>
    <row r="147">
      <c r="AH147" s="8"/>
    </row>
    <row r="148">
      <c r="AH148" s="8"/>
    </row>
    <row r="149">
      <c r="AH149" s="8"/>
    </row>
    <row r="150">
      <c r="AH150" s="8"/>
    </row>
    <row r="151">
      <c r="AH151" s="8"/>
    </row>
    <row r="152">
      <c r="AH152" s="8"/>
    </row>
    <row r="153">
      <c r="AH153" s="8"/>
    </row>
    <row r="154">
      <c r="AH154" s="8"/>
    </row>
    <row r="155">
      <c r="AH155" s="8"/>
    </row>
    <row r="156">
      <c r="AH156" s="8"/>
    </row>
    <row r="157">
      <c r="AH157" s="8"/>
    </row>
    <row r="158">
      <c r="AH158" s="8"/>
    </row>
    <row r="159">
      <c r="AH159" s="8"/>
    </row>
    <row r="160">
      <c r="AH160" s="8"/>
    </row>
    <row r="161">
      <c r="AH161" s="8"/>
    </row>
    <row r="162">
      <c r="AH162" s="8"/>
    </row>
    <row r="163">
      <c r="AH163" s="8"/>
    </row>
    <row r="164">
      <c r="AH164" s="8"/>
    </row>
    <row r="165">
      <c r="AH165" s="8"/>
    </row>
    <row r="166">
      <c r="AH166" s="8"/>
    </row>
    <row r="167">
      <c r="AH167" s="8"/>
    </row>
    <row r="168">
      <c r="AH168" s="8"/>
    </row>
    <row r="169">
      <c r="AH169" s="8"/>
    </row>
    <row r="170">
      <c r="AH170" s="8"/>
    </row>
    <row r="171">
      <c r="AH171" s="8"/>
    </row>
    <row r="172">
      <c r="AH172" s="8"/>
    </row>
    <row r="173">
      <c r="AH173" s="8"/>
    </row>
    <row r="174">
      <c r="AH174" s="8"/>
    </row>
    <row r="175">
      <c r="AH175" s="8"/>
    </row>
    <row r="176">
      <c r="AH176" s="8"/>
    </row>
    <row r="177">
      <c r="AH177" s="8"/>
    </row>
    <row r="178">
      <c r="AH178" s="8"/>
    </row>
    <row r="179">
      <c r="AH179" s="8"/>
    </row>
    <row r="180">
      <c r="AH180" s="8"/>
    </row>
    <row r="181">
      <c r="AH181" s="8"/>
    </row>
    <row r="182">
      <c r="AH182" s="8"/>
    </row>
    <row r="183">
      <c r="AH183" s="8"/>
    </row>
    <row r="184">
      <c r="AH184" s="8"/>
    </row>
    <row r="185">
      <c r="AH185" s="8"/>
    </row>
    <row r="186">
      <c r="AH186" s="8"/>
    </row>
    <row r="187">
      <c r="AH187" s="8"/>
    </row>
    <row r="188">
      <c r="AH188" s="8"/>
    </row>
    <row r="189">
      <c r="AH189" s="8"/>
    </row>
    <row r="190">
      <c r="AH190" s="8"/>
    </row>
    <row r="191">
      <c r="AH191" s="8"/>
    </row>
    <row r="192">
      <c r="AH192" s="8"/>
    </row>
    <row r="193">
      <c r="AH193" s="8"/>
    </row>
    <row r="194">
      <c r="AH194" s="8"/>
    </row>
    <row r="195">
      <c r="AH195" s="8"/>
    </row>
    <row r="196">
      <c r="AH196" s="8"/>
    </row>
    <row r="197">
      <c r="AH197" s="8"/>
    </row>
    <row r="198">
      <c r="AH198" s="8"/>
    </row>
    <row r="199">
      <c r="AH199" s="8"/>
    </row>
    <row r="200">
      <c r="AH200" s="8"/>
    </row>
    <row r="201">
      <c r="AH201" s="8"/>
    </row>
    <row r="202">
      <c r="AH202" s="8"/>
    </row>
    <row r="203">
      <c r="AH203" s="8"/>
    </row>
    <row r="204">
      <c r="AH204" s="8"/>
    </row>
    <row r="205">
      <c r="AH205" s="8"/>
    </row>
    <row r="206">
      <c r="AH206" s="8"/>
    </row>
    <row r="207">
      <c r="AH207" s="8"/>
    </row>
    <row r="208">
      <c r="AH208" s="8"/>
    </row>
    <row r="209">
      <c r="AH209" s="8"/>
    </row>
    <row r="210">
      <c r="AH210" s="8"/>
    </row>
    <row r="211">
      <c r="AH211" s="8"/>
    </row>
    <row r="212">
      <c r="AH212" s="8"/>
    </row>
    <row r="213">
      <c r="AH213" s="8"/>
    </row>
    <row r="214">
      <c r="AH214" s="8"/>
    </row>
    <row r="215">
      <c r="AH215" s="8"/>
    </row>
    <row r="216">
      <c r="AH216" s="8"/>
    </row>
    <row r="217">
      <c r="AH217" s="8"/>
    </row>
    <row r="218">
      <c r="AH218" s="8"/>
    </row>
    <row r="219">
      <c r="AH219" s="8"/>
    </row>
    <row r="220">
      <c r="AH220" s="8"/>
    </row>
    <row r="221">
      <c r="AH221" s="8"/>
    </row>
    <row r="222">
      <c r="AH222" s="8"/>
    </row>
    <row r="223">
      <c r="AH223" s="8"/>
    </row>
    <row r="224">
      <c r="AH224" s="8"/>
    </row>
    <row r="225">
      <c r="AH225" s="8"/>
    </row>
    <row r="226">
      <c r="AH226" s="8"/>
    </row>
    <row r="227">
      <c r="AH227" s="8"/>
    </row>
    <row r="228">
      <c r="AH228" s="8"/>
    </row>
    <row r="229">
      <c r="AH229" s="8"/>
    </row>
    <row r="230">
      <c r="AH230" s="8"/>
    </row>
    <row r="231">
      <c r="AH231" s="8"/>
    </row>
    <row r="232">
      <c r="AH232" s="8"/>
    </row>
    <row r="233">
      <c r="AH233" s="8"/>
    </row>
    <row r="234">
      <c r="AH234" s="8"/>
    </row>
    <row r="235">
      <c r="AH235" s="8"/>
    </row>
    <row r="236">
      <c r="AH236" s="8"/>
    </row>
    <row r="237">
      <c r="AH237" s="8"/>
    </row>
    <row r="238">
      <c r="AH238" s="8"/>
    </row>
    <row r="239">
      <c r="AH239" s="8"/>
    </row>
    <row r="240">
      <c r="AH240" s="8"/>
    </row>
    <row r="241">
      <c r="AH241" s="8"/>
    </row>
    <row r="242">
      <c r="AH242" s="8"/>
    </row>
    <row r="243">
      <c r="AH243" s="8"/>
    </row>
    <row r="244">
      <c r="AH244" s="8"/>
    </row>
    <row r="245">
      <c r="AH245" s="8"/>
    </row>
    <row r="246">
      <c r="AH246" s="8"/>
    </row>
    <row r="247">
      <c r="AH247" s="8"/>
    </row>
    <row r="248">
      <c r="AH248" s="8"/>
    </row>
    <row r="249">
      <c r="AH249" s="8"/>
    </row>
    <row r="250">
      <c r="AH250" s="8"/>
    </row>
    <row r="251">
      <c r="AH251" s="8"/>
    </row>
    <row r="252">
      <c r="AH252" s="8"/>
    </row>
    <row r="253">
      <c r="AH253" s="8"/>
    </row>
    <row r="254">
      <c r="AH254" s="8"/>
    </row>
    <row r="255">
      <c r="AH255" s="8"/>
    </row>
    <row r="256">
      <c r="AH256" s="8"/>
    </row>
    <row r="257">
      <c r="AH257" s="8"/>
    </row>
    <row r="258">
      <c r="AH258" s="8"/>
    </row>
    <row r="259">
      <c r="AH259" s="8"/>
    </row>
    <row r="260">
      <c r="AH260" s="8"/>
    </row>
    <row r="261">
      <c r="AH261" s="8"/>
    </row>
    <row r="262">
      <c r="AH262" s="8"/>
    </row>
    <row r="263">
      <c r="AH263" s="8"/>
    </row>
    <row r="264">
      <c r="AH264" s="8"/>
    </row>
    <row r="265">
      <c r="AH265" s="8"/>
    </row>
    <row r="266">
      <c r="AH266" s="8"/>
    </row>
    <row r="267">
      <c r="AH267" s="8"/>
    </row>
    <row r="268">
      <c r="AH268" s="8"/>
    </row>
    <row r="269">
      <c r="AH269" s="8"/>
    </row>
    <row r="270">
      <c r="AH270" s="8"/>
    </row>
    <row r="271">
      <c r="AH271" s="8"/>
    </row>
    <row r="272">
      <c r="AH272" s="8"/>
    </row>
    <row r="273">
      <c r="AH273" s="8"/>
    </row>
    <row r="274">
      <c r="AH274" s="8"/>
    </row>
    <row r="275">
      <c r="AH275" s="8"/>
    </row>
    <row r="276">
      <c r="AH276" s="8"/>
    </row>
    <row r="277">
      <c r="AH277" s="8"/>
    </row>
    <row r="278">
      <c r="AH278" s="8"/>
    </row>
    <row r="279">
      <c r="AH279" s="8"/>
    </row>
    <row r="280">
      <c r="AH280" s="8"/>
    </row>
    <row r="281">
      <c r="AH281" s="8"/>
    </row>
    <row r="282">
      <c r="AH282" s="8"/>
    </row>
    <row r="283">
      <c r="AH283" s="8"/>
    </row>
    <row r="284">
      <c r="AH284" s="8"/>
    </row>
    <row r="285">
      <c r="AH285" s="8"/>
    </row>
    <row r="286">
      <c r="AH286" s="8"/>
    </row>
    <row r="287">
      <c r="AH287" s="8"/>
    </row>
    <row r="288">
      <c r="AH288" s="8"/>
    </row>
    <row r="289">
      <c r="AH289" s="8"/>
    </row>
    <row r="290">
      <c r="AH290" s="8"/>
    </row>
    <row r="291">
      <c r="AH291" s="8"/>
    </row>
    <row r="292">
      <c r="AH292" s="8"/>
    </row>
    <row r="293">
      <c r="AH293" s="8"/>
    </row>
    <row r="294">
      <c r="AH294" s="8"/>
    </row>
    <row r="295">
      <c r="AH295" s="8"/>
    </row>
    <row r="296">
      <c r="AH296" s="8"/>
    </row>
    <row r="297">
      <c r="AH297" s="8"/>
    </row>
    <row r="298">
      <c r="AH298" s="8"/>
    </row>
    <row r="299">
      <c r="AH299" s="8"/>
    </row>
    <row r="300">
      <c r="AH300" s="8"/>
    </row>
    <row r="301">
      <c r="AH301" s="8"/>
    </row>
    <row r="302">
      <c r="AH302" s="8"/>
    </row>
    <row r="303">
      <c r="AH303" s="8"/>
    </row>
    <row r="304">
      <c r="AH304" s="8"/>
    </row>
    <row r="305">
      <c r="AH305" s="8"/>
    </row>
    <row r="306">
      <c r="AH306" s="8"/>
    </row>
    <row r="307">
      <c r="AH307" s="8"/>
    </row>
    <row r="308">
      <c r="AH308" s="8"/>
    </row>
    <row r="309">
      <c r="AH309" s="8"/>
    </row>
    <row r="310">
      <c r="AH310" s="8"/>
    </row>
    <row r="311">
      <c r="AH311" s="8"/>
    </row>
    <row r="312">
      <c r="AH312" s="8"/>
    </row>
    <row r="313">
      <c r="AH313" s="8"/>
    </row>
    <row r="314">
      <c r="AH314" s="8"/>
    </row>
    <row r="315">
      <c r="AH315" s="8"/>
    </row>
    <row r="316">
      <c r="AH316" s="8"/>
    </row>
    <row r="317">
      <c r="AH317" s="8"/>
    </row>
    <row r="318">
      <c r="AH318" s="8"/>
    </row>
    <row r="319">
      <c r="AH319" s="8"/>
    </row>
    <row r="320">
      <c r="AH320" s="8"/>
    </row>
    <row r="321">
      <c r="AH321" s="8"/>
    </row>
    <row r="322">
      <c r="AH322" s="8"/>
    </row>
    <row r="323">
      <c r="AH323" s="8"/>
    </row>
    <row r="324">
      <c r="AH324" s="8"/>
    </row>
    <row r="325">
      <c r="AH325" s="8"/>
    </row>
    <row r="326">
      <c r="AH326" s="8"/>
    </row>
    <row r="327">
      <c r="AH327" s="8"/>
    </row>
    <row r="328">
      <c r="AH328" s="8"/>
    </row>
    <row r="329">
      <c r="AH329" s="8"/>
    </row>
    <row r="330">
      <c r="AH330" s="8"/>
    </row>
    <row r="331">
      <c r="AH331" s="8"/>
    </row>
    <row r="332">
      <c r="AH332" s="8"/>
    </row>
    <row r="333">
      <c r="AH333" s="8"/>
    </row>
    <row r="334">
      <c r="AH334" s="8"/>
    </row>
    <row r="335">
      <c r="AH335" s="8"/>
    </row>
    <row r="336">
      <c r="AH336" s="8"/>
    </row>
    <row r="337">
      <c r="AH337" s="8"/>
    </row>
    <row r="338">
      <c r="AH338" s="8"/>
    </row>
    <row r="339">
      <c r="AH339" s="8"/>
    </row>
    <row r="340">
      <c r="AH340" s="8"/>
    </row>
    <row r="341">
      <c r="AH341" s="8"/>
    </row>
    <row r="342">
      <c r="AH342" s="8"/>
    </row>
    <row r="343">
      <c r="AH343" s="8"/>
    </row>
    <row r="344">
      <c r="AH344" s="8"/>
    </row>
    <row r="345">
      <c r="AH345" s="8"/>
    </row>
    <row r="346">
      <c r="AH346" s="8"/>
    </row>
    <row r="347">
      <c r="AH347" s="8"/>
    </row>
    <row r="348">
      <c r="AH348" s="8"/>
    </row>
    <row r="349">
      <c r="AH349" s="8"/>
    </row>
    <row r="350">
      <c r="AH350" s="8"/>
    </row>
    <row r="351">
      <c r="AH351" s="8"/>
    </row>
    <row r="352">
      <c r="AH352" s="8"/>
    </row>
    <row r="353">
      <c r="AH353" s="8"/>
    </row>
    <row r="354">
      <c r="AH354" s="8"/>
    </row>
    <row r="355">
      <c r="AH355" s="8"/>
    </row>
    <row r="356">
      <c r="AH356" s="8"/>
    </row>
    <row r="357">
      <c r="AH357" s="8"/>
    </row>
    <row r="358">
      <c r="AH358" s="8"/>
    </row>
    <row r="359">
      <c r="AH359" s="8"/>
    </row>
    <row r="360">
      <c r="AH360" s="8"/>
    </row>
    <row r="361">
      <c r="AH361" s="8"/>
    </row>
    <row r="362">
      <c r="AH362" s="8"/>
    </row>
    <row r="363">
      <c r="AH363" s="8"/>
    </row>
    <row r="364">
      <c r="AH364" s="8"/>
    </row>
    <row r="365">
      <c r="AH365" s="8"/>
    </row>
    <row r="366">
      <c r="AH366" s="8"/>
    </row>
    <row r="367">
      <c r="AH367" s="8"/>
    </row>
    <row r="368">
      <c r="AH368" s="8"/>
    </row>
    <row r="369">
      <c r="AH369" s="8"/>
    </row>
    <row r="370">
      <c r="AH370" s="8"/>
    </row>
    <row r="371">
      <c r="AH371" s="8"/>
    </row>
    <row r="372">
      <c r="AH372" s="8"/>
    </row>
    <row r="373">
      <c r="AH373" s="8"/>
    </row>
    <row r="374">
      <c r="AH374" s="8"/>
    </row>
    <row r="375">
      <c r="AH375" s="8"/>
    </row>
    <row r="376">
      <c r="AH376" s="8"/>
    </row>
    <row r="377">
      <c r="AH377" s="8"/>
    </row>
    <row r="378">
      <c r="AH378" s="8"/>
    </row>
    <row r="379">
      <c r="AH379" s="8"/>
    </row>
    <row r="380">
      <c r="AH380" s="8"/>
    </row>
    <row r="381">
      <c r="AH381" s="8"/>
    </row>
    <row r="382">
      <c r="AH382" s="8"/>
    </row>
    <row r="383">
      <c r="AH383" s="8"/>
    </row>
    <row r="384">
      <c r="AH384" s="8"/>
    </row>
    <row r="385">
      <c r="AH385" s="8"/>
    </row>
    <row r="386">
      <c r="AH386" s="8"/>
    </row>
    <row r="387">
      <c r="AH387" s="8"/>
    </row>
    <row r="388">
      <c r="AH388" s="8"/>
    </row>
    <row r="389">
      <c r="AH389" s="8"/>
    </row>
    <row r="390">
      <c r="AH390" s="8"/>
    </row>
    <row r="391">
      <c r="AH391" s="8"/>
    </row>
    <row r="392">
      <c r="AH392" s="8"/>
    </row>
    <row r="393">
      <c r="AH393" s="8"/>
    </row>
    <row r="394">
      <c r="AH394" s="8"/>
    </row>
    <row r="395">
      <c r="AH395" s="8"/>
    </row>
    <row r="396">
      <c r="AH396" s="8"/>
    </row>
    <row r="397">
      <c r="AH397" s="8"/>
    </row>
    <row r="398">
      <c r="AH398" s="8"/>
    </row>
    <row r="399">
      <c r="AH399" s="8"/>
    </row>
    <row r="400">
      <c r="AH400" s="8"/>
    </row>
    <row r="401">
      <c r="AH401" s="8"/>
    </row>
    <row r="402">
      <c r="AH402" s="8"/>
    </row>
    <row r="403">
      <c r="AH403" s="8"/>
    </row>
    <row r="404">
      <c r="AH404" s="8"/>
    </row>
    <row r="405">
      <c r="AH405" s="8"/>
    </row>
    <row r="406">
      <c r="AH406" s="8"/>
    </row>
    <row r="407">
      <c r="AH407" s="8"/>
    </row>
    <row r="408">
      <c r="AH408" s="8"/>
    </row>
    <row r="409">
      <c r="AH409" s="8"/>
    </row>
    <row r="410">
      <c r="AH410" s="8"/>
    </row>
    <row r="411">
      <c r="AH411" s="8"/>
    </row>
    <row r="412">
      <c r="AH412" s="8"/>
    </row>
    <row r="413">
      <c r="AH413" s="8"/>
    </row>
    <row r="414">
      <c r="AH414" s="8"/>
    </row>
    <row r="415">
      <c r="AH415" s="8"/>
    </row>
    <row r="416">
      <c r="AH416" s="8"/>
    </row>
    <row r="417">
      <c r="AH417" s="8"/>
    </row>
    <row r="418">
      <c r="AH418" s="8"/>
    </row>
    <row r="419">
      <c r="AH419" s="8"/>
    </row>
    <row r="420">
      <c r="AH420" s="8"/>
    </row>
    <row r="421">
      <c r="AH421" s="8"/>
    </row>
    <row r="422">
      <c r="AH422" s="8"/>
    </row>
    <row r="423">
      <c r="AH423" s="8"/>
    </row>
    <row r="424">
      <c r="AH424" s="8"/>
    </row>
    <row r="425">
      <c r="AH425" s="8"/>
    </row>
    <row r="426">
      <c r="AH426" s="8"/>
    </row>
    <row r="427">
      <c r="AH427" s="8"/>
    </row>
    <row r="428">
      <c r="AH428" s="8"/>
    </row>
    <row r="429">
      <c r="AH429" s="8"/>
    </row>
    <row r="430">
      <c r="AH430" s="8"/>
    </row>
    <row r="431">
      <c r="AH431" s="8"/>
    </row>
    <row r="432">
      <c r="AH432" s="8"/>
    </row>
    <row r="433">
      <c r="AH433" s="8"/>
    </row>
    <row r="434">
      <c r="AH434" s="8"/>
    </row>
    <row r="435">
      <c r="AH435" s="8"/>
    </row>
    <row r="436">
      <c r="AH436" s="8"/>
    </row>
    <row r="437">
      <c r="AH437" s="8"/>
    </row>
    <row r="438">
      <c r="AH438" s="8"/>
    </row>
    <row r="439">
      <c r="AH439" s="8"/>
    </row>
    <row r="440">
      <c r="AH440" s="8"/>
    </row>
    <row r="441">
      <c r="AH441" s="8"/>
    </row>
    <row r="442">
      <c r="AH442" s="8"/>
    </row>
    <row r="443">
      <c r="AH443" s="8"/>
    </row>
    <row r="444">
      <c r="AH444" s="8"/>
    </row>
    <row r="445">
      <c r="AH445" s="8"/>
    </row>
    <row r="446">
      <c r="AH446" s="8"/>
    </row>
    <row r="447">
      <c r="AH447" s="8"/>
    </row>
    <row r="448">
      <c r="AH448" s="8"/>
    </row>
    <row r="449">
      <c r="AH449" s="8"/>
    </row>
    <row r="450">
      <c r="AH450" s="8"/>
    </row>
    <row r="451">
      <c r="AH451" s="8"/>
    </row>
    <row r="452">
      <c r="AH452" s="8"/>
    </row>
    <row r="453">
      <c r="AH453" s="8"/>
    </row>
    <row r="454">
      <c r="AH454" s="8"/>
    </row>
    <row r="455">
      <c r="AH455" s="8"/>
    </row>
    <row r="456">
      <c r="AH456" s="8"/>
    </row>
    <row r="457">
      <c r="AH457" s="8"/>
    </row>
    <row r="458">
      <c r="AH458" s="8"/>
    </row>
    <row r="459">
      <c r="AH459" s="8"/>
    </row>
    <row r="460">
      <c r="AH460" s="8"/>
    </row>
    <row r="461">
      <c r="AH461" s="8"/>
    </row>
    <row r="462">
      <c r="AH462" s="8"/>
    </row>
    <row r="463">
      <c r="AH463" s="8"/>
    </row>
    <row r="464">
      <c r="AH464" s="8"/>
    </row>
    <row r="465">
      <c r="AH465" s="8"/>
    </row>
    <row r="466">
      <c r="AH466" s="8"/>
    </row>
    <row r="467">
      <c r="AH467" s="8"/>
    </row>
    <row r="468">
      <c r="AH468" s="8"/>
    </row>
    <row r="469">
      <c r="AH469" s="8"/>
    </row>
    <row r="470">
      <c r="AH470" s="8"/>
    </row>
    <row r="471">
      <c r="AH471" s="8"/>
    </row>
    <row r="472">
      <c r="AH472" s="8"/>
    </row>
    <row r="473">
      <c r="AH473" s="8"/>
    </row>
    <row r="474">
      <c r="AH474" s="8"/>
    </row>
    <row r="475">
      <c r="AH475" s="8"/>
    </row>
    <row r="476">
      <c r="AH476" s="8"/>
    </row>
    <row r="477">
      <c r="AH477" s="8"/>
    </row>
    <row r="478">
      <c r="AH478" s="8"/>
    </row>
    <row r="479">
      <c r="AH479" s="8"/>
    </row>
    <row r="480">
      <c r="AH480" s="8"/>
    </row>
    <row r="481">
      <c r="AH481" s="8"/>
    </row>
    <row r="482">
      <c r="AH482" s="8"/>
    </row>
    <row r="483">
      <c r="AH483" s="8"/>
    </row>
    <row r="484">
      <c r="AH484" s="8"/>
    </row>
    <row r="485">
      <c r="AH485" s="8"/>
    </row>
    <row r="486">
      <c r="AH486" s="8"/>
    </row>
    <row r="487">
      <c r="AH487" s="8"/>
    </row>
    <row r="488">
      <c r="AH488" s="8"/>
    </row>
    <row r="489">
      <c r="AH489" s="8"/>
    </row>
    <row r="490">
      <c r="AH490" s="8"/>
    </row>
    <row r="491">
      <c r="AH491" s="8"/>
    </row>
    <row r="492">
      <c r="AH492" s="8"/>
    </row>
    <row r="493">
      <c r="AH493" s="8"/>
    </row>
    <row r="494">
      <c r="AH494" s="8"/>
    </row>
    <row r="495">
      <c r="AH495" s="8"/>
    </row>
    <row r="496">
      <c r="AH496" s="8"/>
    </row>
    <row r="497">
      <c r="AH497" s="8"/>
    </row>
    <row r="498">
      <c r="AH498" s="8"/>
    </row>
    <row r="499">
      <c r="AH499" s="8"/>
    </row>
    <row r="500">
      <c r="AH500" s="8"/>
    </row>
    <row r="501">
      <c r="AH501" s="8"/>
    </row>
    <row r="502">
      <c r="AH502" s="8"/>
    </row>
    <row r="503">
      <c r="AH503" s="8"/>
    </row>
    <row r="504">
      <c r="AH504" s="8"/>
    </row>
    <row r="505">
      <c r="AH505" s="8"/>
    </row>
    <row r="506">
      <c r="AH506" s="8"/>
    </row>
    <row r="507">
      <c r="AH507" s="8"/>
    </row>
    <row r="508">
      <c r="AH508" s="8"/>
    </row>
    <row r="509">
      <c r="AH509" s="8"/>
    </row>
    <row r="510">
      <c r="AH510" s="8"/>
    </row>
    <row r="511">
      <c r="AH511" s="8"/>
    </row>
    <row r="512">
      <c r="AH512" s="8"/>
    </row>
    <row r="513">
      <c r="AH513" s="8"/>
    </row>
    <row r="514">
      <c r="AH514" s="8"/>
    </row>
    <row r="515">
      <c r="AH515" s="8"/>
    </row>
    <row r="516">
      <c r="AH516" s="8"/>
    </row>
    <row r="517">
      <c r="AH517" s="8"/>
    </row>
    <row r="518">
      <c r="AH518" s="8"/>
    </row>
    <row r="519">
      <c r="AH519" s="8"/>
    </row>
    <row r="520">
      <c r="AH520" s="8"/>
    </row>
    <row r="521">
      <c r="AH521" s="8"/>
    </row>
    <row r="522">
      <c r="AH522" s="8"/>
    </row>
    <row r="523">
      <c r="AH523" s="8"/>
    </row>
    <row r="524">
      <c r="AH524" s="8"/>
    </row>
    <row r="525">
      <c r="AH525" s="8"/>
    </row>
    <row r="526">
      <c r="AH526" s="8"/>
    </row>
    <row r="527">
      <c r="AH527" s="8"/>
    </row>
    <row r="528">
      <c r="AH528" s="8"/>
    </row>
    <row r="529">
      <c r="AH529" s="8"/>
    </row>
    <row r="530">
      <c r="AH530" s="8"/>
    </row>
    <row r="531">
      <c r="AH531" s="8"/>
    </row>
    <row r="532">
      <c r="AH532" s="8"/>
    </row>
    <row r="533">
      <c r="AH533" s="8"/>
    </row>
    <row r="534">
      <c r="AH534" s="8"/>
    </row>
    <row r="535">
      <c r="AH535" s="8"/>
    </row>
    <row r="536">
      <c r="AH536" s="8"/>
    </row>
    <row r="537">
      <c r="AH537" s="8"/>
    </row>
    <row r="538">
      <c r="AH538" s="8"/>
    </row>
    <row r="539">
      <c r="AH539" s="8"/>
    </row>
    <row r="540">
      <c r="AH540" s="8"/>
    </row>
    <row r="541">
      <c r="AH541" s="8"/>
    </row>
    <row r="542">
      <c r="AH542" s="8"/>
    </row>
    <row r="543">
      <c r="AH543" s="8"/>
    </row>
    <row r="544">
      <c r="AH544" s="8"/>
    </row>
    <row r="545">
      <c r="AH545" s="8"/>
    </row>
    <row r="546">
      <c r="AH546" s="8"/>
    </row>
    <row r="547">
      <c r="AH547" s="8"/>
    </row>
    <row r="548">
      <c r="AH548" s="8"/>
    </row>
    <row r="549">
      <c r="AH549" s="8"/>
    </row>
    <row r="550">
      <c r="AH550" s="8"/>
    </row>
    <row r="551">
      <c r="AH551" s="8"/>
    </row>
    <row r="552">
      <c r="AH552" s="8"/>
    </row>
    <row r="553">
      <c r="AH553" s="8"/>
    </row>
    <row r="554">
      <c r="AH554" s="8"/>
    </row>
    <row r="555">
      <c r="AH555" s="8"/>
    </row>
    <row r="556">
      <c r="AH556" s="8"/>
    </row>
    <row r="557">
      <c r="AH557" s="8"/>
    </row>
    <row r="558">
      <c r="AH558" s="8"/>
    </row>
    <row r="559">
      <c r="AH559" s="8"/>
    </row>
    <row r="560">
      <c r="AH560" s="8"/>
    </row>
    <row r="561">
      <c r="AH561" s="8"/>
    </row>
    <row r="562">
      <c r="AH562" s="8"/>
    </row>
    <row r="563">
      <c r="AH563" s="8"/>
    </row>
    <row r="564">
      <c r="AH564" s="8"/>
    </row>
    <row r="565">
      <c r="AH565" s="8"/>
    </row>
    <row r="566">
      <c r="AH566" s="8"/>
    </row>
    <row r="567">
      <c r="AH567" s="8"/>
    </row>
    <row r="568">
      <c r="AH568" s="8"/>
    </row>
    <row r="569">
      <c r="AH569" s="8"/>
    </row>
    <row r="570">
      <c r="AH570" s="8"/>
    </row>
    <row r="571">
      <c r="AH571" s="8"/>
    </row>
    <row r="572">
      <c r="AH572" s="8"/>
    </row>
    <row r="573">
      <c r="AH573" s="8"/>
    </row>
    <row r="574">
      <c r="AH574" s="8"/>
    </row>
    <row r="575">
      <c r="AH575" s="8"/>
    </row>
    <row r="576">
      <c r="AH576" s="8"/>
    </row>
    <row r="577">
      <c r="AH577" s="8"/>
    </row>
    <row r="578">
      <c r="AH578" s="8"/>
    </row>
    <row r="579">
      <c r="AH579" s="8"/>
    </row>
    <row r="580">
      <c r="AH580" s="8"/>
    </row>
    <row r="581">
      <c r="AH581" s="8"/>
    </row>
    <row r="582">
      <c r="AH582" s="8"/>
    </row>
    <row r="583">
      <c r="AH583" s="8"/>
    </row>
    <row r="584">
      <c r="AH584" s="8"/>
    </row>
    <row r="585">
      <c r="AH585" s="8"/>
    </row>
    <row r="586">
      <c r="AH586" s="8"/>
    </row>
    <row r="587">
      <c r="AH587" s="8"/>
    </row>
    <row r="588">
      <c r="AH588" s="8"/>
    </row>
    <row r="589">
      <c r="AH589" s="8"/>
    </row>
    <row r="590">
      <c r="AH590" s="8"/>
    </row>
    <row r="591">
      <c r="AH591" s="8"/>
    </row>
    <row r="592">
      <c r="AH592" s="8"/>
    </row>
    <row r="593">
      <c r="AH593" s="8"/>
    </row>
    <row r="594">
      <c r="AH594" s="8"/>
    </row>
    <row r="595">
      <c r="AH595" s="8"/>
    </row>
    <row r="596">
      <c r="AH596" s="8"/>
    </row>
    <row r="597">
      <c r="AH597" s="8"/>
    </row>
    <row r="598">
      <c r="AH598" s="8"/>
    </row>
    <row r="599">
      <c r="AH599" s="8"/>
    </row>
    <row r="600">
      <c r="AH600" s="8"/>
    </row>
    <row r="601">
      <c r="AH601" s="8"/>
    </row>
    <row r="602">
      <c r="AH602" s="8"/>
    </row>
    <row r="603">
      <c r="AH603" s="8"/>
    </row>
    <row r="604">
      <c r="AH604" s="8"/>
    </row>
    <row r="605">
      <c r="AH605" s="8"/>
    </row>
    <row r="606">
      <c r="AH606" s="8"/>
    </row>
    <row r="607">
      <c r="AH607" s="8"/>
    </row>
    <row r="608">
      <c r="AH608" s="8"/>
    </row>
    <row r="609">
      <c r="AH609" s="8"/>
    </row>
    <row r="610">
      <c r="AH610" s="8"/>
    </row>
    <row r="611">
      <c r="AH611" s="8"/>
    </row>
    <row r="612">
      <c r="AH612" s="8"/>
    </row>
    <row r="613">
      <c r="AH613" s="8"/>
    </row>
    <row r="614">
      <c r="AH614" s="8"/>
    </row>
    <row r="615">
      <c r="AH615" s="8"/>
    </row>
    <row r="616">
      <c r="AH616" s="8"/>
    </row>
    <row r="617">
      <c r="AH617" s="8"/>
    </row>
    <row r="618">
      <c r="AH618" s="8"/>
    </row>
    <row r="619">
      <c r="AH619" s="8"/>
    </row>
    <row r="620">
      <c r="AH620" s="8"/>
    </row>
    <row r="621">
      <c r="AH621" s="8"/>
    </row>
    <row r="622">
      <c r="AH622" s="8"/>
    </row>
    <row r="623">
      <c r="AH623" s="8"/>
    </row>
    <row r="624">
      <c r="AH624" s="8"/>
    </row>
    <row r="625">
      <c r="AH625" s="8"/>
    </row>
    <row r="626">
      <c r="AH626" s="8"/>
    </row>
    <row r="627">
      <c r="AH627" s="8"/>
    </row>
    <row r="628">
      <c r="AH628" s="8"/>
    </row>
    <row r="629">
      <c r="AH629" s="8"/>
    </row>
    <row r="630">
      <c r="AH630" s="8"/>
    </row>
    <row r="631">
      <c r="AH631" s="8"/>
    </row>
    <row r="632">
      <c r="AH632" s="8"/>
    </row>
    <row r="633">
      <c r="AH633" s="8"/>
    </row>
    <row r="634">
      <c r="AH634" s="8"/>
    </row>
    <row r="635">
      <c r="AH635" s="8"/>
    </row>
    <row r="636">
      <c r="AH636" s="8"/>
    </row>
    <row r="637">
      <c r="AH637" s="8"/>
    </row>
    <row r="638">
      <c r="AH638" s="8"/>
    </row>
    <row r="639">
      <c r="AH639" s="8"/>
    </row>
    <row r="640">
      <c r="AH640" s="8"/>
    </row>
    <row r="641">
      <c r="AH641" s="8"/>
    </row>
    <row r="642">
      <c r="AH642" s="8"/>
    </row>
    <row r="643">
      <c r="AH643" s="8"/>
    </row>
    <row r="644">
      <c r="AH644" s="8"/>
    </row>
    <row r="645">
      <c r="AH645" s="8"/>
    </row>
    <row r="646">
      <c r="AH646" s="8"/>
    </row>
    <row r="647">
      <c r="AH647" s="8"/>
    </row>
    <row r="648">
      <c r="AH648" s="8"/>
    </row>
    <row r="649">
      <c r="AH649" s="8"/>
    </row>
    <row r="650">
      <c r="AH650" s="8"/>
    </row>
    <row r="651">
      <c r="AH651" s="8"/>
    </row>
    <row r="652">
      <c r="AH652" s="8"/>
    </row>
    <row r="653">
      <c r="AH653" s="8"/>
    </row>
    <row r="654">
      <c r="AH654" s="8"/>
    </row>
    <row r="655">
      <c r="AH655" s="8"/>
    </row>
    <row r="656">
      <c r="AH656" s="8"/>
    </row>
    <row r="657">
      <c r="AH657" s="8"/>
    </row>
    <row r="658">
      <c r="AH658" s="8"/>
    </row>
    <row r="659">
      <c r="AH659" s="8"/>
    </row>
    <row r="660">
      <c r="AH660" s="8"/>
    </row>
    <row r="661">
      <c r="AH661" s="8"/>
    </row>
    <row r="662">
      <c r="AH662" s="8"/>
    </row>
    <row r="663">
      <c r="AH663" s="8"/>
    </row>
    <row r="664">
      <c r="AH664" s="8"/>
    </row>
    <row r="665">
      <c r="AH665" s="8"/>
    </row>
    <row r="666">
      <c r="AH666" s="8"/>
    </row>
    <row r="667">
      <c r="AH667" s="8"/>
    </row>
    <row r="668">
      <c r="AH668" s="8"/>
    </row>
    <row r="669">
      <c r="AH669" s="8"/>
    </row>
    <row r="670">
      <c r="AH670" s="8"/>
    </row>
    <row r="671">
      <c r="AH671" s="8"/>
    </row>
    <row r="672">
      <c r="AH672" s="8"/>
    </row>
    <row r="673">
      <c r="AH673" s="8"/>
    </row>
    <row r="674">
      <c r="AH674" s="8"/>
    </row>
    <row r="675">
      <c r="AH675" s="8"/>
    </row>
    <row r="676">
      <c r="AH676" s="8"/>
    </row>
    <row r="677">
      <c r="AH677" s="8"/>
    </row>
    <row r="678">
      <c r="AH678" s="8"/>
    </row>
    <row r="679">
      <c r="AH679" s="8"/>
    </row>
    <row r="680">
      <c r="AH680" s="8"/>
    </row>
    <row r="681">
      <c r="AH681" s="8"/>
    </row>
    <row r="682">
      <c r="AH682" s="8"/>
    </row>
    <row r="683">
      <c r="AH683" s="8"/>
    </row>
    <row r="684">
      <c r="AH684" s="8"/>
    </row>
    <row r="685">
      <c r="AH685" s="8"/>
    </row>
    <row r="686">
      <c r="AH686" s="8"/>
    </row>
    <row r="687">
      <c r="AH687" s="8"/>
    </row>
    <row r="688">
      <c r="AH688" s="8"/>
    </row>
    <row r="689">
      <c r="AH689" s="8"/>
    </row>
    <row r="690">
      <c r="AH690" s="8"/>
    </row>
    <row r="691">
      <c r="AH691" s="8"/>
    </row>
    <row r="692">
      <c r="AH692" s="8"/>
    </row>
    <row r="693">
      <c r="AH693" s="8"/>
    </row>
    <row r="694">
      <c r="AH694" s="8"/>
    </row>
    <row r="695">
      <c r="AH695" s="8"/>
    </row>
    <row r="696">
      <c r="AH696" s="8"/>
    </row>
    <row r="697">
      <c r="AH697" s="8"/>
    </row>
    <row r="698">
      <c r="AH698" s="8"/>
    </row>
    <row r="699">
      <c r="AH699" s="8"/>
    </row>
    <row r="700">
      <c r="AH700" s="8"/>
    </row>
    <row r="701">
      <c r="AH701" s="8"/>
    </row>
    <row r="702">
      <c r="AH702" s="8"/>
    </row>
    <row r="703">
      <c r="AH703" s="8"/>
    </row>
    <row r="704">
      <c r="AH704" s="8"/>
    </row>
    <row r="705">
      <c r="AH705" s="8"/>
    </row>
    <row r="706">
      <c r="AH706" s="8"/>
    </row>
    <row r="707">
      <c r="AH707" s="8"/>
    </row>
    <row r="708">
      <c r="AH708" s="8"/>
    </row>
    <row r="709">
      <c r="AH709" s="8"/>
    </row>
    <row r="710">
      <c r="AH710" s="8"/>
    </row>
    <row r="711">
      <c r="AH711" s="8"/>
    </row>
    <row r="712">
      <c r="AH712" s="8"/>
    </row>
    <row r="713">
      <c r="AH713" s="8"/>
    </row>
    <row r="714">
      <c r="AH714" s="8"/>
    </row>
    <row r="715">
      <c r="AH715" s="8"/>
    </row>
    <row r="716">
      <c r="AH716" s="8"/>
    </row>
    <row r="717">
      <c r="AH717" s="8"/>
    </row>
    <row r="718">
      <c r="AH718" s="8"/>
    </row>
    <row r="719">
      <c r="AH719" s="8"/>
    </row>
    <row r="720">
      <c r="AH720" s="8"/>
    </row>
    <row r="721">
      <c r="AH721" s="8"/>
    </row>
    <row r="722">
      <c r="AH722" s="8"/>
    </row>
    <row r="723">
      <c r="AH723" s="8"/>
    </row>
    <row r="724">
      <c r="AH724" s="8"/>
    </row>
    <row r="725">
      <c r="AH725" s="8"/>
    </row>
    <row r="726">
      <c r="AH726" s="8"/>
    </row>
    <row r="727">
      <c r="AH727" s="8"/>
    </row>
    <row r="728">
      <c r="AH728" s="8"/>
    </row>
    <row r="729">
      <c r="AH729" s="8"/>
    </row>
    <row r="730">
      <c r="AH730" s="8"/>
    </row>
    <row r="731">
      <c r="AH731" s="8"/>
    </row>
    <row r="732">
      <c r="AH732" s="8"/>
    </row>
    <row r="733">
      <c r="AH733" s="8"/>
    </row>
    <row r="734">
      <c r="AH734" s="8"/>
    </row>
    <row r="735">
      <c r="AH735" s="8"/>
    </row>
    <row r="736">
      <c r="AH736" s="8"/>
    </row>
    <row r="737">
      <c r="AH737" s="8"/>
    </row>
    <row r="738">
      <c r="AH738" s="8"/>
    </row>
    <row r="739">
      <c r="AH739" s="8"/>
    </row>
    <row r="740">
      <c r="AH740" s="8"/>
    </row>
    <row r="741">
      <c r="AH741" s="8"/>
    </row>
    <row r="742">
      <c r="AH742" s="8"/>
    </row>
    <row r="743">
      <c r="AH743" s="8"/>
    </row>
    <row r="744">
      <c r="AH744" s="8"/>
    </row>
    <row r="745">
      <c r="AH745" s="8"/>
    </row>
    <row r="746">
      <c r="AH746" s="8"/>
    </row>
    <row r="747">
      <c r="AH747" s="8"/>
    </row>
    <row r="748">
      <c r="AH748" s="8"/>
    </row>
    <row r="749">
      <c r="AH749" s="8"/>
    </row>
    <row r="750">
      <c r="AH750" s="8"/>
    </row>
    <row r="751">
      <c r="AH751" s="8"/>
    </row>
    <row r="752">
      <c r="AH752" s="8"/>
    </row>
    <row r="753">
      <c r="AH753" s="8"/>
    </row>
    <row r="754">
      <c r="AH754" s="8"/>
    </row>
    <row r="755">
      <c r="AH755" s="8"/>
    </row>
    <row r="756">
      <c r="AH756" s="8"/>
    </row>
    <row r="757">
      <c r="AH757" s="8"/>
    </row>
    <row r="758">
      <c r="AH758" s="8"/>
    </row>
    <row r="759">
      <c r="AH759" s="8"/>
    </row>
    <row r="760">
      <c r="AH760" s="8"/>
    </row>
    <row r="761">
      <c r="AH761" s="8"/>
    </row>
    <row r="762">
      <c r="AH762" s="8"/>
    </row>
    <row r="763">
      <c r="AH763" s="8"/>
    </row>
    <row r="764">
      <c r="AH764" s="8"/>
    </row>
    <row r="765">
      <c r="AH765" s="8"/>
    </row>
    <row r="766">
      <c r="AH766" s="8"/>
    </row>
    <row r="767">
      <c r="AH767" s="8"/>
    </row>
    <row r="768">
      <c r="AH768" s="8"/>
    </row>
    <row r="769">
      <c r="AH769" s="8"/>
    </row>
    <row r="770">
      <c r="AH770" s="8"/>
    </row>
    <row r="771">
      <c r="AH771" s="8"/>
    </row>
    <row r="772">
      <c r="AH772" s="8"/>
    </row>
    <row r="773">
      <c r="AH773" s="8"/>
    </row>
    <row r="774">
      <c r="AH774" s="8"/>
    </row>
    <row r="775">
      <c r="AH775" s="8"/>
    </row>
    <row r="776">
      <c r="AH776" s="8"/>
    </row>
    <row r="777">
      <c r="AH777" s="8"/>
    </row>
    <row r="778">
      <c r="AH778" s="8"/>
    </row>
    <row r="779">
      <c r="AH779" s="8"/>
    </row>
    <row r="780">
      <c r="AH780" s="8"/>
    </row>
    <row r="781">
      <c r="AH781" s="8"/>
    </row>
    <row r="782">
      <c r="AH782" s="8"/>
    </row>
    <row r="783">
      <c r="AH783" s="8"/>
    </row>
    <row r="784">
      <c r="AH784" s="8"/>
    </row>
    <row r="785">
      <c r="AH785" s="8"/>
    </row>
    <row r="786">
      <c r="AH786" s="8"/>
    </row>
    <row r="787">
      <c r="AH787" s="8"/>
    </row>
    <row r="788">
      <c r="AH788" s="8"/>
    </row>
    <row r="789">
      <c r="AH789" s="8"/>
    </row>
    <row r="790">
      <c r="AH790" s="8"/>
    </row>
    <row r="791">
      <c r="AH791" s="8"/>
    </row>
    <row r="792">
      <c r="AH792" s="8"/>
    </row>
    <row r="793">
      <c r="AH793" s="8"/>
    </row>
    <row r="794">
      <c r="AH794" s="8"/>
    </row>
    <row r="795">
      <c r="AH795" s="8"/>
    </row>
    <row r="796">
      <c r="AH796" s="8"/>
    </row>
    <row r="797">
      <c r="AH797" s="8"/>
    </row>
    <row r="798">
      <c r="AH798" s="8"/>
    </row>
    <row r="799">
      <c r="AH799" s="8"/>
    </row>
    <row r="800">
      <c r="AH800" s="8"/>
    </row>
    <row r="801">
      <c r="AH801" s="8"/>
    </row>
    <row r="802">
      <c r="AH802" s="8"/>
    </row>
    <row r="803">
      <c r="AH803" s="8"/>
    </row>
    <row r="804">
      <c r="AH804" s="8"/>
    </row>
    <row r="805">
      <c r="AH805" s="8"/>
    </row>
    <row r="806">
      <c r="AH806" s="8"/>
    </row>
    <row r="807">
      <c r="AH807" s="8"/>
    </row>
    <row r="808">
      <c r="AH808" s="8"/>
    </row>
    <row r="809">
      <c r="AH809" s="8"/>
    </row>
    <row r="810">
      <c r="AH810" s="8"/>
    </row>
    <row r="811">
      <c r="AH811" s="8"/>
    </row>
    <row r="812">
      <c r="AH812" s="8"/>
    </row>
    <row r="813">
      <c r="AH813" s="8"/>
    </row>
    <row r="814">
      <c r="AH814" s="8"/>
    </row>
    <row r="815">
      <c r="AH815" s="8"/>
    </row>
    <row r="816">
      <c r="AH816" s="8"/>
    </row>
    <row r="817">
      <c r="AH817" s="8"/>
    </row>
    <row r="818">
      <c r="AH818" s="8"/>
    </row>
    <row r="819">
      <c r="AH819" s="8"/>
    </row>
    <row r="820">
      <c r="AH820" s="8"/>
    </row>
    <row r="821">
      <c r="AH821" s="8"/>
    </row>
    <row r="822">
      <c r="AH822" s="8"/>
    </row>
    <row r="823">
      <c r="AH823" s="8"/>
    </row>
    <row r="824">
      <c r="AH824" s="8"/>
    </row>
    <row r="825">
      <c r="AH825" s="8"/>
    </row>
    <row r="826">
      <c r="AH826" s="8"/>
    </row>
    <row r="827">
      <c r="AH827" s="8"/>
    </row>
    <row r="828">
      <c r="AH828" s="8"/>
    </row>
    <row r="829">
      <c r="AH829" s="8"/>
    </row>
    <row r="830">
      <c r="AH830" s="8"/>
    </row>
    <row r="831">
      <c r="AH831" s="8"/>
    </row>
    <row r="832">
      <c r="AH832" s="8"/>
    </row>
    <row r="833">
      <c r="AH833" s="8"/>
    </row>
    <row r="834">
      <c r="AH834" s="8"/>
    </row>
    <row r="835">
      <c r="AH835" s="8"/>
    </row>
    <row r="836">
      <c r="AH836" s="8"/>
    </row>
    <row r="837">
      <c r="AH837" s="8"/>
    </row>
    <row r="838">
      <c r="AH838" s="8"/>
    </row>
    <row r="839">
      <c r="AH839" s="8"/>
    </row>
    <row r="840">
      <c r="AH840" s="8"/>
    </row>
    <row r="841">
      <c r="AH841" s="8"/>
    </row>
    <row r="842">
      <c r="AH842" s="8"/>
    </row>
    <row r="843">
      <c r="AH843" s="8"/>
    </row>
    <row r="844">
      <c r="AH844" s="8"/>
    </row>
    <row r="845">
      <c r="AH845" s="8"/>
    </row>
    <row r="846">
      <c r="AH846" s="8"/>
    </row>
    <row r="847">
      <c r="AH847" s="8"/>
    </row>
    <row r="848">
      <c r="AH848" s="8"/>
    </row>
    <row r="849">
      <c r="AH849" s="8"/>
    </row>
    <row r="850">
      <c r="AH850" s="8"/>
    </row>
    <row r="851">
      <c r="AH851" s="8"/>
    </row>
    <row r="852">
      <c r="AH852" s="8"/>
    </row>
    <row r="853">
      <c r="AH853" s="8"/>
    </row>
    <row r="854">
      <c r="AH854" s="8"/>
    </row>
    <row r="855">
      <c r="AH855" s="8"/>
    </row>
    <row r="856">
      <c r="AH856" s="8"/>
    </row>
    <row r="857">
      <c r="AH857" s="8"/>
    </row>
    <row r="858">
      <c r="AH858" s="8"/>
    </row>
    <row r="859">
      <c r="AH859" s="8"/>
    </row>
    <row r="860">
      <c r="AH860" s="8"/>
    </row>
    <row r="861">
      <c r="AH861" s="8"/>
    </row>
    <row r="862">
      <c r="AH862" s="8"/>
    </row>
    <row r="863">
      <c r="AH863" s="8"/>
    </row>
    <row r="864">
      <c r="AH864" s="8"/>
    </row>
    <row r="865">
      <c r="AH865" s="8"/>
    </row>
    <row r="866">
      <c r="AH866" s="8"/>
    </row>
    <row r="867">
      <c r="AH867" s="8"/>
    </row>
    <row r="868">
      <c r="AH868" s="8"/>
    </row>
    <row r="869">
      <c r="AH869" s="8"/>
    </row>
    <row r="870">
      <c r="AH870" s="8"/>
    </row>
    <row r="871">
      <c r="AH871" s="8"/>
    </row>
    <row r="872">
      <c r="AH872" s="8"/>
    </row>
    <row r="873">
      <c r="AH873" s="8"/>
    </row>
    <row r="874">
      <c r="AH874" s="8"/>
    </row>
    <row r="875">
      <c r="AH875" s="8"/>
    </row>
    <row r="876">
      <c r="AH876" s="8"/>
    </row>
    <row r="877">
      <c r="AH877" s="8"/>
    </row>
    <row r="878">
      <c r="AH878" s="8"/>
    </row>
    <row r="879">
      <c r="AH879" s="8"/>
    </row>
    <row r="880">
      <c r="AH880" s="8"/>
    </row>
    <row r="881">
      <c r="AH881" s="8"/>
    </row>
    <row r="882">
      <c r="AH882" s="8"/>
    </row>
    <row r="883">
      <c r="AH883" s="8"/>
    </row>
    <row r="884">
      <c r="AH884" s="8"/>
    </row>
    <row r="885">
      <c r="AH885" s="8"/>
    </row>
    <row r="886">
      <c r="AH886" s="8"/>
    </row>
    <row r="887">
      <c r="AH887" s="8"/>
    </row>
    <row r="888">
      <c r="AH888" s="8"/>
    </row>
    <row r="889">
      <c r="AH889" s="8"/>
    </row>
    <row r="890">
      <c r="AH890" s="8"/>
    </row>
    <row r="891">
      <c r="AH891" s="8"/>
    </row>
    <row r="892">
      <c r="AH892" s="8"/>
    </row>
    <row r="893">
      <c r="AH893" s="8"/>
    </row>
    <row r="894">
      <c r="AH894" s="8"/>
    </row>
    <row r="895">
      <c r="AH895" s="8"/>
    </row>
    <row r="896">
      <c r="AH896" s="8"/>
    </row>
    <row r="897">
      <c r="AH897" s="8"/>
    </row>
    <row r="898">
      <c r="AH898" s="8"/>
    </row>
    <row r="899">
      <c r="AH899" s="8"/>
    </row>
    <row r="900">
      <c r="AH900" s="8"/>
    </row>
    <row r="901">
      <c r="AH901" s="8"/>
    </row>
    <row r="902">
      <c r="AH902" s="8"/>
    </row>
    <row r="903">
      <c r="AH903" s="8"/>
    </row>
    <row r="904">
      <c r="AH904" s="8"/>
    </row>
    <row r="905">
      <c r="AH905" s="8"/>
    </row>
    <row r="906">
      <c r="AH906" s="8"/>
    </row>
    <row r="907">
      <c r="AH907" s="8"/>
    </row>
    <row r="908">
      <c r="AH908" s="8"/>
    </row>
    <row r="909">
      <c r="AH909" s="8"/>
    </row>
    <row r="910">
      <c r="AH910" s="8"/>
    </row>
    <row r="911">
      <c r="AH911" s="8"/>
    </row>
    <row r="912">
      <c r="AH912" s="8"/>
    </row>
    <row r="913">
      <c r="AH913" s="8"/>
    </row>
    <row r="914">
      <c r="AH914" s="8"/>
    </row>
    <row r="915">
      <c r="AH915" s="8"/>
    </row>
    <row r="916">
      <c r="AH916" s="8"/>
    </row>
    <row r="917">
      <c r="AH917" s="8"/>
    </row>
    <row r="918">
      <c r="AH918" s="8"/>
    </row>
    <row r="919">
      <c r="AH919" s="8"/>
    </row>
    <row r="920">
      <c r="AH920" s="8"/>
    </row>
    <row r="921">
      <c r="AH921" s="8"/>
    </row>
    <row r="922">
      <c r="AH922" s="8"/>
    </row>
    <row r="923">
      <c r="AH923" s="8"/>
    </row>
    <row r="924">
      <c r="AH924" s="8"/>
    </row>
    <row r="925">
      <c r="AH925" s="8"/>
    </row>
    <row r="926">
      <c r="AH926" s="8"/>
    </row>
    <row r="927">
      <c r="AH927" s="8"/>
    </row>
    <row r="928">
      <c r="AH928" s="8"/>
    </row>
    <row r="929">
      <c r="AH929" s="8"/>
    </row>
    <row r="930">
      <c r="AH930" s="8"/>
    </row>
    <row r="931">
      <c r="AH931" s="8"/>
    </row>
    <row r="932">
      <c r="AH932" s="8"/>
    </row>
    <row r="933">
      <c r="AH933" s="8"/>
    </row>
    <row r="934">
      <c r="AH934" s="8"/>
    </row>
    <row r="935">
      <c r="AH935" s="8"/>
    </row>
    <row r="936">
      <c r="AH936" s="8"/>
    </row>
    <row r="937">
      <c r="AH937" s="8"/>
    </row>
    <row r="938">
      <c r="AH938" s="8"/>
    </row>
    <row r="939">
      <c r="AH939" s="8"/>
    </row>
    <row r="940">
      <c r="AH940" s="8"/>
    </row>
    <row r="941">
      <c r="AH941" s="8"/>
    </row>
    <row r="942">
      <c r="AH942" s="8"/>
    </row>
    <row r="943">
      <c r="AH943" s="8"/>
    </row>
    <row r="944">
      <c r="AH944" s="8"/>
    </row>
    <row r="945">
      <c r="AH945" s="8"/>
    </row>
    <row r="946">
      <c r="AH946" s="8"/>
    </row>
    <row r="947">
      <c r="AH947" s="8"/>
    </row>
    <row r="948">
      <c r="AH948" s="8"/>
    </row>
    <row r="949">
      <c r="AH949" s="8"/>
    </row>
    <row r="950">
      <c r="AH950" s="8"/>
    </row>
    <row r="951">
      <c r="AH951" s="8"/>
    </row>
    <row r="952">
      <c r="AH952" s="8"/>
    </row>
    <row r="953">
      <c r="AH953" s="8"/>
    </row>
    <row r="954">
      <c r="AH954" s="8"/>
    </row>
    <row r="955">
      <c r="AH955" s="8"/>
    </row>
    <row r="956">
      <c r="AH956" s="8"/>
    </row>
    <row r="957">
      <c r="AH957" s="8"/>
    </row>
    <row r="958">
      <c r="AH958" s="8"/>
    </row>
    <row r="959">
      <c r="AH959" s="8"/>
    </row>
    <row r="960">
      <c r="AH960" s="8"/>
    </row>
    <row r="961">
      <c r="AH961" s="8"/>
    </row>
    <row r="962">
      <c r="AH962" s="8"/>
    </row>
    <row r="963">
      <c r="AH963" s="8"/>
    </row>
    <row r="964">
      <c r="AH964" s="8"/>
    </row>
    <row r="965">
      <c r="AH965" s="8"/>
    </row>
    <row r="966">
      <c r="AH966" s="8"/>
    </row>
    <row r="967">
      <c r="AH967" s="8"/>
    </row>
    <row r="968">
      <c r="AH968" s="8"/>
    </row>
    <row r="969">
      <c r="AH969" s="8"/>
    </row>
    <row r="970">
      <c r="AH970" s="8"/>
    </row>
    <row r="971">
      <c r="AH971" s="8"/>
    </row>
    <row r="972">
      <c r="AH972" s="8"/>
    </row>
    <row r="973">
      <c r="AH973" s="8"/>
    </row>
    <row r="974">
      <c r="AH974" s="8"/>
    </row>
    <row r="975">
      <c r="AH975" s="8"/>
    </row>
    <row r="976">
      <c r="AH976" s="8"/>
    </row>
    <row r="977">
      <c r="AH977" s="8"/>
    </row>
    <row r="978">
      <c r="AH978" s="8"/>
    </row>
    <row r="979">
      <c r="AH979" s="8"/>
    </row>
    <row r="980">
      <c r="AH980" s="8"/>
    </row>
    <row r="981">
      <c r="AH981" s="8"/>
    </row>
    <row r="982">
      <c r="AH982" s="8"/>
    </row>
    <row r="983">
      <c r="AH983" s="8"/>
    </row>
    <row r="984">
      <c r="AH984" s="8"/>
    </row>
    <row r="985">
      <c r="AH985" s="8"/>
    </row>
    <row r="986">
      <c r="AH986" s="8"/>
    </row>
    <row r="987">
      <c r="AH987" s="8"/>
    </row>
  </sheetData>
  <mergeCells count="4">
    <mergeCell ref="H2:I2"/>
    <mergeCell ref="J2:M2"/>
    <mergeCell ref="N2:O2"/>
    <mergeCell ref="D3:E3"/>
  </mergeCells>
  <drawing r:id="rId1"/>
</worksheet>
</file>