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ファミリー ルーム\36協定\2024年度\"/>
    </mc:Choice>
  </mc:AlternateContent>
  <xr:revisionPtr revIDLastSave="0" documentId="13_ncr:1_{EE236B3F-93FA-4C6B-AEA0-2CBF7B05FE8F}" xr6:coauthVersionLast="47" xr6:coauthVersionMax="47" xr10:uidLastSave="{00000000-0000-0000-0000-000000000000}"/>
  <bookViews>
    <workbookView xWindow="-120" yWindow="-120" windowWidth="20730" windowHeight="11160" xr2:uid="{DB08F104-6998-674B-87D6-E9A942BE60EB}"/>
  </bookViews>
  <sheets>
    <sheet name="年間勤務表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" l="1"/>
  <c r="P9" i="1" s="1"/>
  <c r="J60" i="1" l="1"/>
  <c r="F64" i="1"/>
  <c r="I64" i="1"/>
  <c r="F60" i="1" l="1"/>
  <c r="I62" i="1"/>
  <c r="I60" i="1"/>
  <c r="I5" i="1" s="1"/>
  <c r="Q64" i="1" l="1"/>
  <c r="P64" i="1"/>
  <c r="O64" i="1"/>
  <c r="N64" i="1"/>
  <c r="M64" i="1"/>
  <c r="L64" i="1"/>
  <c r="K64" i="1"/>
  <c r="J64" i="1"/>
  <c r="H64" i="1"/>
  <c r="G64" i="1"/>
  <c r="Q62" i="1"/>
  <c r="Q7" i="1" s="1"/>
  <c r="P62" i="1"/>
  <c r="P7" i="1" s="1"/>
  <c r="O62" i="1"/>
  <c r="O7" i="1" s="1"/>
  <c r="N62" i="1"/>
  <c r="N7" i="1" s="1"/>
  <c r="M62" i="1"/>
  <c r="M7" i="1" s="1"/>
  <c r="M60" i="1"/>
  <c r="M61" i="1"/>
  <c r="M6" i="1" s="1"/>
  <c r="L62" i="1"/>
  <c r="L7" i="1" s="1"/>
  <c r="K62" i="1"/>
  <c r="K7" i="1" s="1"/>
  <c r="J62" i="1"/>
  <c r="J7" i="1" s="1"/>
  <c r="I7" i="1"/>
  <c r="I61" i="1"/>
  <c r="I6" i="1" s="1"/>
  <c r="H62" i="1"/>
  <c r="H7" i="1" s="1"/>
  <c r="G62" i="1"/>
  <c r="G7" i="1" s="1"/>
  <c r="F62" i="1"/>
  <c r="Q61" i="1"/>
  <c r="Q6" i="1" s="1"/>
  <c r="P61" i="1"/>
  <c r="P6" i="1" s="1"/>
  <c r="O61" i="1"/>
  <c r="O6" i="1" s="1"/>
  <c r="N61" i="1"/>
  <c r="N6" i="1" s="1"/>
  <c r="N60" i="1"/>
  <c r="L61" i="1"/>
  <c r="L6" i="1" s="1"/>
  <c r="K61" i="1"/>
  <c r="K6" i="1" s="1"/>
  <c r="J61" i="1"/>
  <c r="J6" i="1" s="1"/>
  <c r="H61" i="1"/>
  <c r="H6" i="1" s="1"/>
  <c r="G61" i="1"/>
  <c r="F61" i="1"/>
  <c r="F6" i="1" s="1"/>
  <c r="Q60" i="1"/>
  <c r="Q5" i="1" s="1"/>
  <c r="P60" i="1"/>
  <c r="O60" i="1"/>
  <c r="L60" i="1"/>
  <c r="K60" i="1"/>
  <c r="H60" i="1"/>
  <c r="G60" i="1"/>
  <c r="G5" i="1" s="1"/>
  <c r="R14" i="1"/>
  <c r="R13" i="1"/>
  <c r="T10" i="1"/>
  <c r="L63" i="1" l="1"/>
  <c r="K63" i="1"/>
  <c r="J63" i="1"/>
  <c r="N63" i="1"/>
  <c r="Q8" i="1"/>
  <c r="Q15" i="1" s="1"/>
  <c r="P63" i="1"/>
  <c r="P5" i="1"/>
  <c r="P8" i="1" s="1"/>
  <c r="O63" i="1"/>
  <c r="O5" i="1"/>
  <c r="O8" i="1" s="1"/>
  <c r="N5" i="1"/>
  <c r="N8" i="1" s="1"/>
  <c r="N15" i="1" s="1"/>
  <c r="M63" i="1"/>
  <c r="M5" i="1"/>
  <c r="M8" i="1" s="1"/>
  <c r="I63" i="1"/>
  <c r="I8" i="1"/>
  <c r="H63" i="1"/>
  <c r="H5" i="1"/>
  <c r="H8" i="1" s="1"/>
  <c r="H15" i="1" s="1"/>
  <c r="R60" i="1"/>
  <c r="K5" i="1"/>
  <c r="K8" i="1" s="1"/>
  <c r="Q63" i="1"/>
  <c r="L5" i="1"/>
  <c r="L8" i="1" s="1"/>
  <c r="J5" i="1"/>
  <c r="J8" i="1" s="1"/>
  <c r="R62" i="1"/>
  <c r="G63" i="1"/>
  <c r="G6" i="1"/>
  <c r="G8" i="1" s="1"/>
  <c r="G2" i="1" s="1"/>
  <c r="R64" i="1"/>
  <c r="R61" i="1"/>
  <c r="F7" i="1"/>
  <c r="R7" i="1" s="1"/>
  <c r="F5" i="1"/>
  <c r="F63" i="1"/>
  <c r="P4" i="1" l="1"/>
  <c r="P17" i="1" s="1"/>
  <c r="O15" i="1"/>
  <c r="O2" i="1"/>
  <c r="O4" i="1" s="1"/>
  <c r="O17" i="1" s="1"/>
  <c r="N2" i="1"/>
  <c r="N9" i="1" s="1"/>
  <c r="N16" i="1" s="1"/>
  <c r="Q2" i="1"/>
  <c r="Q9" i="1" s="1"/>
  <c r="Q16" i="1" s="1"/>
  <c r="P15" i="1"/>
  <c r="M2" i="1"/>
  <c r="M15" i="1"/>
  <c r="I15" i="1"/>
  <c r="I2" i="1"/>
  <c r="R65" i="1"/>
  <c r="H2" i="1"/>
  <c r="H9" i="1" s="1"/>
  <c r="H16" i="1" s="1"/>
  <c r="J2" i="1"/>
  <c r="J15" i="1"/>
  <c r="K2" i="1"/>
  <c r="K15" i="1"/>
  <c r="L15" i="1"/>
  <c r="L2" i="1"/>
  <c r="R63" i="1"/>
  <c r="R6" i="1"/>
  <c r="G15" i="1"/>
  <c r="G9" i="1"/>
  <c r="G4" i="1"/>
  <c r="G17" i="1" s="1"/>
  <c r="R5" i="1"/>
  <c r="F8" i="1"/>
  <c r="F2" i="1" s="1"/>
  <c r="F4" i="1" s="1"/>
  <c r="P16" i="1" l="1"/>
  <c r="G16" i="1"/>
  <c r="O9" i="1"/>
  <c r="O16" i="1" s="1"/>
  <c r="N4" i="1"/>
  <c r="N17" i="1" s="1"/>
  <c r="Q4" i="1"/>
  <c r="Q17" i="1" s="1"/>
  <c r="M4" i="1"/>
  <c r="M17" i="1" s="1"/>
  <c r="M9" i="1"/>
  <c r="M16" i="1" s="1"/>
  <c r="I4" i="1"/>
  <c r="I17" i="1" s="1"/>
  <c r="I9" i="1"/>
  <c r="I16" i="1" s="1"/>
  <c r="H4" i="1"/>
  <c r="H17" i="1" s="1"/>
  <c r="L9" i="1"/>
  <c r="L16" i="1" s="1"/>
  <c r="L4" i="1"/>
  <c r="L17" i="1" s="1"/>
  <c r="J4" i="1"/>
  <c r="J17" i="1" s="1"/>
  <c r="J9" i="1"/>
  <c r="J16" i="1" s="1"/>
  <c r="K9" i="1"/>
  <c r="K16" i="1" s="1"/>
  <c r="K4" i="1"/>
  <c r="K17" i="1" s="1"/>
  <c r="R8" i="1"/>
  <c r="F15" i="1"/>
  <c r="R15" i="1" l="1"/>
  <c r="F9" i="1"/>
  <c r="R2" i="1"/>
  <c r="R4" i="1" l="1"/>
  <c r="F17" i="1"/>
  <c r="R17" i="1" s="1"/>
  <c r="R9" i="1"/>
  <c r="F16" i="1"/>
  <c r="R16" i="1" s="1"/>
  <c r="N12" i="1" l="1"/>
  <c r="N10" i="1" s="1"/>
  <c r="M12" i="1"/>
  <c r="M10" i="1" s="1"/>
  <c r="O12" i="1"/>
  <c r="O10" i="1" s="1"/>
  <c r="G12" i="1"/>
  <c r="G10" i="1" s="1"/>
  <c r="L12" i="1"/>
  <c r="L10" i="1" s="1"/>
  <c r="F12" i="1"/>
  <c r="Q12" i="1"/>
  <c r="Q10" i="1" s="1"/>
  <c r="I12" i="1"/>
  <c r="I10" i="1" s="1"/>
  <c r="K12" i="1"/>
  <c r="K10" i="1" s="1"/>
  <c r="P12" i="1"/>
  <c r="P10" i="1" s="1"/>
  <c r="H12" i="1"/>
  <c r="H10" i="1" s="1"/>
  <c r="J12" i="1"/>
  <c r="J10" i="1" s="1"/>
  <c r="K11" i="1" l="1"/>
  <c r="K18" i="1"/>
  <c r="J18" i="1"/>
  <c r="J11" i="1"/>
  <c r="I18" i="1"/>
  <c r="I11" i="1"/>
  <c r="G18" i="1"/>
  <c r="G11" i="1"/>
  <c r="Q18" i="1"/>
  <c r="Q11" i="1"/>
  <c r="O11" i="1"/>
  <c r="O18" i="1"/>
  <c r="P18" i="1"/>
  <c r="P11" i="1"/>
  <c r="R12" i="1"/>
  <c r="F10" i="1"/>
  <c r="M11" i="1"/>
  <c r="M18" i="1"/>
  <c r="H18" i="1"/>
  <c r="H11" i="1"/>
  <c r="L18" i="1"/>
  <c r="L11" i="1"/>
  <c r="N18" i="1"/>
  <c r="N11" i="1"/>
  <c r="F11" i="1" l="1"/>
  <c r="F18" i="1"/>
  <c r="R18" i="1" s="1"/>
  <c r="R10" i="1"/>
  <c r="T11" i="1" l="1"/>
  <c r="R11" i="1"/>
</calcChain>
</file>

<file path=xl/sharedStrings.xml><?xml version="1.0" encoding="utf-8"?>
<sst xmlns="http://schemas.openxmlformats.org/spreadsheetml/2006/main" count="502" uniqueCount="95">
  <si>
    <t>4月</t>
    <rPh sb="1" eb="2">
      <t>ガツ</t>
    </rPh>
    <phoneticPr fontId="2"/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</si>
  <si>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</si>
  <si>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</si>
  <si>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</si>
  <si>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</si>
  <si>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</si>
  <si>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</si>
  <si>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</si>
  <si>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</si>
  <si>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</si>
  <si>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</si>
  <si>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</si>
  <si>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年間</t>
    <rPh sb="0" eb="2">
      <t>ネンカン</t>
    </rPh>
    <phoneticPr fontId="2"/>
  </si>
  <si>
    <t>月度所定労働日数</t>
    <rPh sb="0" eb="1">
      <t>ゲツ</t>
    </rPh>
    <rPh sb="1" eb="2">
      <t>ド</t>
    </rPh>
    <rPh sb="2" eb="4">
      <t>ショテイ</t>
    </rPh>
    <rPh sb="4" eb="6">
      <t>ロウドウ</t>
    </rPh>
    <rPh sb="6" eb="8">
      <t>ニッスウ</t>
    </rPh>
    <phoneticPr fontId="2"/>
  </si>
  <si>
    <t>1日所定労働時間</t>
    <rPh sb="1" eb="2">
      <t>ニチ</t>
    </rPh>
    <rPh sb="2" eb="4">
      <t>ショテイ</t>
    </rPh>
    <rPh sb="4" eb="6">
      <t>ロウドウ</t>
    </rPh>
    <rPh sb="6" eb="8">
      <t>ジカン</t>
    </rPh>
    <phoneticPr fontId="2"/>
  </si>
  <si>
    <t>月度所定労働時間</t>
    <rPh sb="0" eb="1">
      <t>ゲツ</t>
    </rPh>
    <rPh sb="1" eb="2">
      <t>ド</t>
    </rPh>
    <rPh sb="2" eb="4">
      <t>ショテイ</t>
    </rPh>
    <rPh sb="4" eb="6">
      <t>ロウドウ</t>
    </rPh>
    <rPh sb="6" eb="8">
      <t>ジカン</t>
    </rPh>
    <phoneticPr fontId="2"/>
  </si>
  <si>
    <t>休日</t>
    <rPh sb="0" eb="2">
      <t>キュウジツ</t>
    </rPh>
    <phoneticPr fontId="2"/>
  </si>
  <si>
    <t>法定休日</t>
    <rPh sb="0" eb="2">
      <t>ホウテイ</t>
    </rPh>
    <rPh sb="2" eb="4">
      <t>キュウジツ</t>
    </rPh>
    <phoneticPr fontId="2"/>
  </si>
  <si>
    <t>国民の祝日・休日</t>
    <rPh sb="0" eb="2">
      <t>コクミン</t>
    </rPh>
    <rPh sb="3" eb="5">
      <t>シュクジツ</t>
    </rPh>
    <phoneticPr fontId="2"/>
  </si>
  <si>
    <t>社定休日（週休）</t>
    <rPh sb="0" eb="1">
      <t>シャ</t>
    </rPh>
    <rPh sb="1" eb="2">
      <t>テイ</t>
    </rPh>
    <rPh sb="2" eb="4">
      <t>キュウジツ</t>
    </rPh>
    <rPh sb="5" eb="7">
      <t>シュウキュウ</t>
    </rPh>
    <phoneticPr fontId="2"/>
  </si>
  <si>
    <t>休日　計</t>
    <rPh sb="0" eb="2">
      <t>キュウジツ</t>
    </rPh>
    <rPh sb="3" eb="4">
      <t>ケイ</t>
    </rPh>
    <phoneticPr fontId="2"/>
  </si>
  <si>
    <t>月間合計日数</t>
    <rPh sb="0" eb="2">
      <t>ゲッカン</t>
    </rPh>
    <rPh sb="2" eb="4">
      <t>ゴウケイ</t>
    </rPh>
    <rPh sb="4" eb="6">
      <t>ニッスウ</t>
    </rPh>
    <phoneticPr fontId="2"/>
  </si>
  <si>
    <t>必達</t>
    <rPh sb="0" eb="2">
      <t>ヒッタツ</t>
    </rPh>
    <phoneticPr fontId="2"/>
  </si>
  <si>
    <t>拘束時間</t>
    <rPh sb="0" eb="2">
      <t>コウソク</t>
    </rPh>
    <rPh sb="2" eb="4">
      <t>ジカン</t>
    </rPh>
    <phoneticPr fontId="2"/>
  </si>
  <si>
    <t>月間残業
時間数</t>
    <rPh sb="0" eb="2">
      <t>ゲッカン</t>
    </rPh>
    <rPh sb="2" eb="4">
      <t>ザンギョウ</t>
    </rPh>
    <rPh sb="5" eb="8">
      <t>ジカンスウ</t>
    </rPh>
    <phoneticPr fontId="2"/>
  </si>
  <si>
    <t>1日当たり
拘束時間</t>
    <rPh sb="1" eb="2">
      <t>ニチ</t>
    </rPh>
    <rPh sb="2" eb="3">
      <t>ア</t>
    </rPh>
    <rPh sb="6" eb="8">
      <t>コウソク</t>
    </rPh>
    <rPh sb="8" eb="10">
      <t>ジカン</t>
    </rPh>
    <phoneticPr fontId="2"/>
  </si>
  <si>
    <t>社・祝
出勤（10H ）</t>
    <rPh sb="0" eb="1">
      <t>シャ</t>
    </rPh>
    <rPh sb="2" eb="3">
      <t>シュク</t>
    </rPh>
    <rPh sb="4" eb="6">
      <t>シュッキン</t>
    </rPh>
    <phoneticPr fontId="2"/>
  </si>
  <si>
    <t>法休出勤
（8H ）</t>
    <rPh sb="0" eb="1">
      <t>ホウ</t>
    </rPh>
    <rPh sb="1" eb="2">
      <t>キュウ</t>
    </rPh>
    <rPh sb="2" eb="4">
      <t>シュッキン</t>
    </rPh>
    <phoneticPr fontId="2"/>
  </si>
  <si>
    <t>目標</t>
    <rPh sb="0" eb="2">
      <t>モクヒョウ</t>
    </rPh>
    <phoneticPr fontId="2"/>
  </si>
  <si>
    <t>休日
取得日数</t>
    <rPh sb="0" eb="2">
      <t>キュウジツ</t>
    </rPh>
    <rPh sb="3" eb="5">
      <t>シュトク</t>
    </rPh>
    <rPh sb="5" eb="7">
      <t>ニッスウ</t>
    </rPh>
    <phoneticPr fontId="2"/>
  </si>
  <si>
    <t>休日／日数</t>
    <rPh sb="0" eb="2">
      <t>キュウジツ</t>
    </rPh>
    <rPh sb="3" eb="5">
      <t>ニッスウ</t>
    </rPh>
    <phoneticPr fontId="2"/>
  </si>
  <si>
    <t>拘束時間
試算</t>
    <rPh sb="0" eb="2">
      <t>コウソク</t>
    </rPh>
    <rPh sb="2" eb="4">
      <t>ジカン</t>
    </rPh>
    <rPh sb="5" eb="7">
      <t>シサン</t>
    </rPh>
    <phoneticPr fontId="2"/>
  </si>
  <si>
    <t>余裕時間</t>
    <rPh sb="0" eb="2">
      <t>ヨユウ</t>
    </rPh>
    <rPh sb="2" eb="4">
      <t>ジカン</t>
    </rPh>
    <phoneticPr fontId="2"/>
  </si>
  <si>
    <t>４～１１月</t>
    <rPh sb="4" eb="5">
      <t>ガツ</t>
    </rPh>
    <phoneticPr fontId="2"/>
  </si>
  <si>
    <t>１２～３月</t>
    <rPh sb="4" eb="5">
      <t>ガツ</t>
    </rPh>
    <phoneticPr fontId="2"/>
  </si>
  <si>
    <t>平日拘束時間</t>
    <rPh sb="0" eb="2">
      <t>ヘイジツ</t>
    </rPh>
    <rPh sb="2" eb="4">
      <t>コウソク</t>
    </rPh>
    <rPh sb="4" eb="6">
      <t>ジカン</t>
    </rPh>
    <phoneticPr fontId="2"/>
  </si>
  <si>
    <t>12時間　=　8（所定内）+1（休憩）+3（残業）</t>
    <rPh sb="2" eb="4">
      <t>ジカン</t>
    </rPh>
    <rPh sb="9" eb="12">
      <t>ショテイナイ</t>
    </rPh>
    <rPh sb="16" eb="18">
      <t>キュウケイ</t>
    </rPh>
    <rPh sb="22" eb="24">
      <t>ザンギョウ</t>
    </rPh>
    <phoneticPr fontId="2"/>
  </si>
  <si>
    <t>12.5時間　=　8（所定内）+1（休憩）+3.5（残業）</t>
    <rPh sb="4" eb="6">
      <t>ジカン</t>
    </rPh>
    <rPh sb="11" eb="14">
      <t>ショテイナイ</t>
    </rPh>
    <rPh sb="18" eb="20">
      <t>キュウケイ</t>
    </rPh>
    <rPh sb="26" eb="28">
      <t>ザンギョウ</t>
    </rPh>
    <phoneticPr fontId="2"/>
  </si>
  <si>
    <t>社・祝
拘束時間</t>
    <rPh sb="0" eb="1">
      <t>シャ</t>
    </rPh>
    <rPh sb="2" eb="3">
      <t>シュク</t>
    </rPh>
    <rPh sb="4" eb="6">
      <t>コウソク</t>
    </rPh>
    <rPh sb="6" eb="8">
      <t>ジカン</t>
    </rPh>
    <phoneticPr fontId="2"/>
  </si>
  <si>
    <t>10時間</t>
    <rPh sb="2" eb="4">
      <t>ジカン</t>
    </rPh>
    <phoneticPr fontId="2"/>
  </si>
  <si>
    <t>法休
拘束時間</t>
    <rPh sb="0" eb="1">
      <t>ホウ</t>
    </rPh>
    <rPh sb="1" eb="2">
      <t>キュウ</t>
    </rPh>
    <rPh sb="3" eb="5">
      <t>コウソク</t>
    </rPh>
    <rPh sb="5" eb="7">
      <t>ジカン</t>
    </rPh>
    <phoneticPr fontId="2"/>
  </si>
  <si>
    <t>8時間</t>
    <rPh sb="1" eb="3">
      <t>ジカン</t>
    </rPh>
    <phoneticPr fontId="2"/>
  </si>
  <si>
    <t>＜月別年間勤務表＞</t>
    <rPh sb="1" eb="3">
      <t>ツキベツ</t>
    </rPh>
    <rPh sb="3" eb="5">
      <t>ネンカン</t>
    </rPh>
    <rPh sb="5" eb="7">
      <t>キンム</t>
    </rPh>
    <rPh sb="7" eb="8">
      <t>ヒョウ</t>
    </rPh>
    <phoneticPr fontId="2"/>
  </si>
  <si>
    <t>社</t>
    <rPh sb="0" eb="1">
      <t>シャ</t>
    </rPh>
    <phoneticPr fontId="2"/>
  </si>
  <si>
    <t>・・・社定休日</t>
    <rPh sb="3" eb="4">
      <t>シャ</t>
    </rPh>
    <rPh sb="4" eb="5">
      <t>テイ</t>
    </rPh>
    <rPh sb="5" eb="7">
      <t>キュウジツ</t>
    </rPh>
    <phoneticPr fontId="2"/>
  </si>
  <si>
    <t>・・・法定休日</t>
    <rPh sb="3" eb="5">
      <t>ホウテイ</t>
    </rPh>
    <rPh sb="5" eb="7">
      <t>キュウジツ</t>
    </rPh>
    <phoneticPr fontId="2"/>
  </si>
  <si>
    <t>祝</t>
    <rPh sb="0" eb="1">
      <t>シュク</t>
    </rPh>
    <phoneticPr fontId="2"/>
  </si>
  <si>
    <r>
      <t>・・・国民の祝日・</t>
    </r>
    <r>
      <rPr>
        <b/>
        <sz val="11"/>
        <color rgb="FFFF0000"/>
        <rFont val="ＭＳ Ｐゴシック"/>
        <family val="3"/>
        <charset val="128"/>
      </rPr>
      <t>休日</t>
    </r>
    <rPh sb="3" eb="5">
      <t>コクミン</t>
    </rPh>
    <rPh sb="6" eb="8">
      <t>シュクジツ</t>
    </rPh>
    <rPh sb="9" eb="11">
      <t>キュウジツ</t>
    </rPh>
    <phoneticPr fontId="2"/>
  </si>
  <si>
    <t>1日</t>
    <rPh sb="1" eb="2">
      <t>ニチ</t>
    </rPh>
    <phoneticPr fontId="2"/>
  </si>
  <si>
    <t>2日</t>
    <rPh sb="1" eb="2">
      <t>ニチ</t>
    </rPh>
    <phoneticPr fontId="2"/>
  </si>
  <si>
    <t>土</t>
    <rPh sb="0" eb="1">
      <t>ド</t>
    </rPh>
    <phoneticPr fontId="2"/>
  </si>
  <si>
    <t>3日</t>
    <rPh sb="1" eb="2">
      <t>ニチ</t>
    </rPh>
    <phoneticPr fontId="2"/>
  </si>
  <si>
    <t>4日</t>
    <rPh sb="1" eb="2">
      <t>ニチ</t>
    </rPh>
    <phoneticPr fontId="2"/>
  </si>
  <si>
    <t>5日</t>
    <rPh sb="1" eb="2">
      <t>ニチ</t>
    </rPh>
    <phoneticPr fontId="2"/>
  </si>
  <si>
    <t>6日</t>
    <rPh sb="1" eb="2">
      <t>ニチ</t>
    </rPh>
    <phoneticPr fontId="2"/>
  </si>
  <si>
    <t>7日</t>
    <rPh sb="1" eb="2">
      <t>ニチ</t>
    </rPh>
    <phoneticPr fontId="2"/>
  </si>
  <si>
    <t>8日</t>
    <rPh sb="1" eb="2">
      <t>ニチ</t>
    </rPh>
    <phoneticPr fontId="2"/>
  </si>
  <si>
    <t>9日</t>
    <rPh sb="1" eb="2">
      <t>ニチ</t>
    </rPh>
    <phoneticPr fontId="2"/>
  </si>
  <si>
    <t>10日</t>
    <rPh sb="2" eb="3">
      <t>ニチ</t>
    </rPh>
    <phoneticPr fontId="2"/>
  </si>
  <si>
    <t>11日</t>
    <rPh sb="2" eb="3">
      <t>ニチ</t>
    </rPh>
    <phoneticPr fontId="2"/>
  </si>
  <si>
    <t>12日</t>
    <rPh sb="2" eb="3">
      <t>ニチ</t>
    </rPh>
    <phoneticPr fontId="2"/>
  </si>
  <si>
    <t>13日</t>
    <rPh sb="2" eb="3">
      <t>ニチ</t>
    </rPh>
    <phoneticPr fontId="2"/>
  </si>
  <si>
    <t>14日</t>
    <rPh sb="2" eb="3">
      <t>ニチ</t>
    </rPh>
    <phoneticPr fontId="2"/>
  </si>
  <si>
    <t>15日</t>
    <rPh sb="2" eb="3">
      <t>ニチ</t>
    </rPh>
    <phoneticPr fontId="2"/>
  </si>
  <si>
    <t>16日</t>
    <rPh sb="2" eb="3">
      <t>ニチ</t>
    </rPh>
    <phoneticPr fontId="2"/>
  </si>
  <si>
    <t>17日</t>
    <rPh sb="2" eb="3">
      <t>ニチ</t>
    </rPh>
    <phoneticPr fontId="2"/>
  </si>
  <si>
    <t>18日</t>
    <rPh sb="2" eb="3">
      <t>ニチ</t>
    </rPh>
    <phoneticPr fontId="2"/>
  </si>
  <si>
    <t>19日</t>
    <rPh sb="2" eb="3">
      <t>ニチ</t>
    </rPh>
    <phoneticPr fontId="2"/>
  </si>
  <si>
    <t>20日</t>
    <rPh sb="2" eb="3">
      <t>ニチ</t>
    </rPh>
    <phoneticPr fontId="2"/>
  </si>
  <si>
    <t>21日</t>
    <rPh sb="2" eb="3">
      <t>ニチ</t>
    </rPh>
    <phoneticPr fontId="2"/>
  </si>
  <si>
    <t>22日</t>
    <rPh sb="2" eb="3">
      <t>ニチ</t>
    </rPh>
    <phoneticPr fontId="2"/>
  </si>
  <si>
    <t>23日</t>
    <rPh sb="2" eb="3">
      <t>ニチ</t>
    </rPh>
    <phoneticPr fontId="2"/>
  </si>
  <si>
    <t>24日</t>
    <rPh sb="2" eb="3">
      <t>ニチ</t>
    </rPh>
    <phoneticPr fontId="2"/>
  </si>
  <si>
    <t>25日</t>
    <rPh sb="2" eb="3">
      <t>ニチ</t>
    </rPh>
    <phoneticPr fontId="2"/>
  </si>
  <si>
    <t>26日</t>
    <rPh sb="2" eb="3">
      <t>ニチ</t>
    </rPh>
    <phoneticPr fontId="2"/>
  </si>
  <si>
    <t>27日</t>
    <rPh sb="2" eb="3">
      <t>ニチ</t>
    </rPh>
    <phoneticPr fontId="2"/>
  </si>
  <si>
    <t>28日</t>
    <rPh sb="2" eb="3">
      <t>ニチ</t>
    </rPh>
    <phoneticPr fontId="2"/>
  </si>
  <si>
    <t>29日</t>
    <rPh sb="2" eb="3">
      <t>ニチ</t>
    </rPh>
    <phoneticPr fontId="2"/>
  </si>
  <si>
    <t>30日</t>
    <rPh sb="2" eb="3">
      <t>ニチ</t>
    </rPh>
    <phoneticPr fontId="2"/>
  </si>
  <si>
    <t>31日</t>
    <rPh sb="2" eb="3">
      <t>ニチ</t>
    </rPh>
    <phoneticPr fontId="2"/>
  </si>
  <si>
    <t>○</t>
  </si>
  <si>
    <t>休日計</t>
    <rPh sb="0" eb="2">
      <t>キュウジツ</t>
    </rPh>
    <rPh sb="2" eb="3">
      <t>ケイ</t>
    </rPh>
    <phoneticPr fontId="2"/>
  </si>
  <si>
    <t>水</t>
  </si>
  <si>
    <t>木</t>
  </si>
  <si>
    <t>金</t>
  </si>
  <si>
    <t>月</t>
  </si>
  <si>
    <t>火</t>
  </si>
  <si>
    <t>法</t>
    <rPh sb="0" eb="1">
      <t>ホ</t>
    </rPh>
    <phoneticPr fontId="2"/>
  </si>
  <si>
    <t>法</t>
    <rPh sb="0" eb="1">
      <t>ホウ</t>
    </rPh>
    <phoneticPr fontId="2"/>
  </si>
  <si>
    <t>月</t>
    <phoneticPr fontId="2"/>
  </si>
  <si>
    <t>木</t>
    <phoneticPr fontId="2"/>
  </si>
  <si>
    <t>火</t>
    <phoneticPr fontId="2"/>
  </si>
  <si>
    <t>金</t>
    <phoneticPr fontId="2"/>
  </si>
  <si>
    <t>社</t>
    <rPh sb="0" eb="1">
      <t>シャ</t>
    </rPh>
    <phoneticPr fontId="2"/>
  </si>
  <si>
    <r>
      <t>※社定休日（年末年始休暇を含む）　年間：</t>
    </r>
    <r>
      <rPr>
        <b/>
        <sz val="11"/>
        <color rgb="FFFF0000"/>
        <rFont val="ＭＳ Ｐゴシック"/>
        <family val="3"/>
        <charset val="128"/>
      </rPr>
      <t>　５６日</t>
    </r>
    <rPh sb="1" eb="2">
      <t>シャ</t>
    </rPh>
    <rPh sb="2" eb="3">
      <t>テイ</t>
    </rPh>
    <rPh sb="3" eb="5">
      <t>キュウジツ</t>
    </rPh>
    <rPh sb="6" eb="8">
      <t>ネンマツ</t>
    </rPh>
    <rPh sb="8" eb="10">
      <t>ネンシ</t>
    </rPh>
    <rPh sb="10" eb="12">
      <t>キュウカ</t>
    </rPh>
    <rPh sb="13" eb="14">
      <t>フク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</si>
</sst>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name val="ＭＳ Ｐゴシック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lightUp"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>
      <alignment vertical="center"/>
    </xf>
    <xf numFmtId="0" fontId="0" fillId="0" borderId="4" xfId="0" applyBorder="1">
      <alignment vertical="center"/>
    </xf>
    <xf numFmtId="0" fontId="4" fillId="0" borderId="4" xfId="0" applyFont="1" applyBorder="1">
      <alignment vertical="center"/>
    </xf>
    <xf numFmtId="0" fontId="3" fillId="2" borderId="4" xfId="0" applyFont="1" applyFill="1" applyBorder="1">
      <alignment vertical="center"/>
    </xf>
    <xf numFmtId="0" fontId="5" fillId="0" borderId="4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wrapText="1" shrinkToFit="1"/>
    </xf>
    <xf numFmtId="38" fontId="0" fillId="0" borderId="0" xfId="0" applyNumberFormat="1">
      <alignment vertical="center"/>
    </xf>
    <xf numFmtId="176" fontId="3" fillId="0" borderId="4" xfId="1" applyNumberFormat="1" applyFont="1" applyBorder="1">
      <alignment vertical="center"/>
    </xf>
    <xf numFmtId="176" fontId="0" fillId="0" borderId="4" xfId="1" applyNumberFormat="1" applyFont="1" applyBorder="1">
      <alignment vertical="center"/>
    </xf>
    <xf numFmtId="38" fontId="3" fillId="0" borderId="4" xfId="1" applyFont="1" applyBorder="1">
      <alignment vertical="center"/>
    </xf>
    <xf numFmtId="38" fontId="0" fillId="0" borderId="4" xfId="1" applyFont="1" applyBorder="1">
      <alignment vertical="center"/>
    </xf>
    <xf numFmtId="9" fontId="3" fillId="0" borderId="4" xfId="2" applyFont="1" applyBorder="1">
      <alignment vertical="center"/>
    </xf>
    <xf numFmtId="9" fontId="0" fillId="0" borderId="4" xfId="2" applyFont="1" applyBorder="1">
      <alignment vertical="center"/>
    </xf>
    <xf numFmtId="0" fontId="5" fillId="0" borderId="0" xfId="0" applyFont="1" applyAlignment="1">
      <alignment horizontal="center" vertical="center" shrinkToFit="1"/>
    </xf>
    <xf numFmtId="0" fontId="3" fillId="0" borderId="0" xfId="0" applyFont="1">
      <alignment vertical="center"/>
    </xf>
    <xf numFmtId="176" fontId="0" fillId="0" borderId="0" xfId="1" applyNumberFormat="1" applyFont="1" applyBorder="1" applyAlignment="1">
      <alignment horizontal="right" vertical="center"/>
    </xf>
    <xf numFmtId="176" fontId="3" fillId="0" borderId="0" xfId="1" applyNumberFormat="1" applyFont="1" applyBorder="1">
      <alignment vertical="center"/>
    </xf>
    <xf numFmtId="176" fontId="0" fillId="0" borderId="0" xfId="1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2" fontId="0" fillId="0" borderId="0" xfId="0" applyNumberFormat="1">
      <alignment vertical="center"/>
    </xf>
    <xf numFmtId="0" fontId="0" fillId="6" borderId="4" xfId="0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0" fillId="0" borderId="4" xfId="1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38" fontId="0" fillId="0" borderId="4" xfId="1" applyFont="1" applyBorder="1" applyAlignment="1">
      <alignment horizontal="center" vertical="center"/>
    </xf>
    <xf numFmtId="176" fontId="0" fillId="0" borderId="4" xfId="1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 shrinkToFit="1"/>
    </xf>
    <xf numFmtId="9" fontId="0" fillId="0" borderId="4" xfId="2" applyFont="1" applyBorder="1" applyAlignment="1">
      <alignment horizontal="right" vertical="center"/>
    </xf>
    <xf numFmtId="38" fontId="0" fillId="0" borderId="4" xfId="1" applyFont="1" applyBorder="1" applyAlignment="1">
      <alignment horizontal="right" vertical="center"/>
    </xf>
    <xf numFmtId="0" fontId="0" fillId="0" borderId="4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shrinkToFit="1"/>
    </xf>
    <xf numFmtId="0" fontId="0" fillId="0" borderId="4" xfId="0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0" fillId="2" borderId="4" xfId="0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</xdr:colOff>
      <xdr:row>9</xdr:row>
      <xdr:rowOff>0</xdr:rowOff>
    </xdr:from>
    <xdr:to>
      <xdr:col>16</xdr:col>
      <xdr:colOff>391042</xdr:colOff>
      <xdr:row>9</xdr:row>
      <xdr:rowOff>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693DB3EB-5645-E442-9384-A8E50FA1FC81}"/>
            </a:ext>
          </a:extLst>
        </xdr:cNvPr>
        <xdr:cNvSpPr/>
      </xdr:nvSpPr>
      <xdr:spPr>
        <a:xfrm rot="5400000">
          <a:off x="6779836" y="1575494"/>
          <a:ext cx="0" cy="1675012"/>
        </a:xfrm>
        <a:prstGeom prst="rightBrace">
          <a:avLst>
            <a:gd name="adj1" fmla="val 8333"/>
            <a:gd name="adj2" fmla="val 16667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11430</xdr:colOff>
      <xdr:row>9</xdr:row>
      <xdr:rowOff>0</xdr:rowOff>
    </xdr:from>
    <xdr:to>
      <xdr:col>16</xdr:col>
      <xdr:colOff>391042</xdr:colOff>
      <xdr:row>9</xdr:row>
      <xdr:rowOff>0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3CED1DD2-A659-2C44-AA1C-A6AC4A8D3414}"/>
            </a:ext>
            <a:ext uri="{147F2762-F138-4A5C-976F-8EAC2B608ADB}">
              <a16:predDERef xmlns:a16="http://schemas.microsoft.com/office/drawing/2014/main" pred="{B4598507-C0D2-E649-A144-410B89DDA602}"/>
            </a:ext>
          </a:extLst>
        </xdr:cNvPr>
        <xdr:cNvSpPr/>
      </xdr:nvSpPr>
      <xdr:spPr>
        <a:xfrm rot="5400000">
          <a:off x="6779836" y="1575494"/>
          <a:ext cx="0" cy="1675012"/>
        </a:xfrm>
        <a:prstGeom prst="rightBrace">
          <a:avLst>
            <a:gd name="adj1" fmla="val 8333"/>
            <a:gd name="adj2" fmla="val 16667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11430</xdr:colOff>
      <xdr:row>9</xdr:row>
      <xdr:rowOff>0</xdr:rowOff>
    </xdr:from>
    <xdr:to>
      <xdr:col>16</xdr:col>
      <xdr:colOff>391042</xdr:colOff>
      <xdr:row>9</xdr:row>
      <xdr:rowOff>0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0C8C1BDF-3F17-DB47-9EB6-EE359105AAF7}"/>
            </a:ext>
            <a:ext uri="{147F2762-F138-4A5C-976F-8EAC2B608ADB}">
              <a16:predDERef xmlns:a16="http://schemas.microsoft.com/office/drawing/2014/main" pred="{2F04C035-2311-4A4B-B7DE-2F3843C5CDDA}"/>
            </a:ext>
          </a:extLst>
        </xdr:cNvPr>
        <xdr:cNvSpPr/>
      </xdr:nvSpPr>
      <xdr:spPr>
        <a:xfrm rot="5400000">
          <a:off x="6779836" y="1575494"/>
          <a:ext cx="0" cy="1675012"/>
        </a:xfrm>
        <a:prstGeom prst="rightBrace">
          <a:avLst>
            <a:gd name="adj1" fmla="val 8333"/>
            <a:gd name="adj2" fmla="val 16667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94EB-A606-2B40-A140-D4236215D510}">
  <sheetPr>
    <pageSetUpPr fitToPage="1"/>
  </sheetPr>
  <dimension ref="B1:T73"/>
  <sheetViews>
    <sheetView tabSelected="1" view="pageLayout" zoomScaleNormal="100" workbookViewId="0">
      <selection activeCell="Q4" sqref="Q4"/>
    </sheetView>
  </sheetViews>
  <sheetFormatPr defaultColWidth="8.875" defaultRowHeight="13.5" outlineLevelRow="2" outlineLevelCol="1" x14ac:dyDescent="0.15"/>
  <cols>
    <col min="1" max="1" width="5.125" bestFit="1" customWidth="1"/>
    <col min="2" max="2" width="5.5" customWidth="1"/>
    <col min="3" max="3" width="7.125" customWidth="1"/>
    <col min="4" max="4" width="6.125" customWidth="1"/>
    <col min="5" max="5" width="8.5" bestFit="1" customWidth="1"/>
    <col min="6" max="17" width="5.625" customWidth="1"/>
    <col min="18" max="18" width="8.625" customWidth="1"/>
    <col min="19" max="19" width="8.875" customWidth="1"/>
    <col min="20" max="20" width="5.625" customWidth="1" outlineLevel="1"/>
    <col min="21" max="25" width="5.625" customWidth="1"/>
  </cols>
  <sheetData>
    <row r="1" spans="2:20" s="1" customFormat="1" x14ac:dyDescent="0.15">
      <c r="B1" s="2"/>
      <c r="C1" s="3"/>
      <c r="D1" s="3"/>
      <c r="E1" s="4"/>
      <c r="F1" s="5" t="s">
        <v>0</v>
      </c>
      <c r="G1" s="6" t="s">
        <v>1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56" t="s">
        <v>12</v>
      </c>
      <c r="S1" s="56"/>
    </row>
    <row r="2" spans="2:20" ht="21.95" customHeight="1" x14ac:dyDescent="0.15">
      <c r="B2" s="52" t="s">
        <v>13</v>
      </c>
      <c r="C2" s="52"/>
      <c r="D2" s="52"/>
      <c r="E2" s="52"/>
      <c r="F2" s="7">
        <f>30-F8</f>
        <v>21</v>
      </c>
      <c r="G2" s="7">
        <f>31-G8</f>
        <v>21</v>
      </c>
      <c r="H2" s="7">
        <f t="shared" ref="H2" si="0">30-H8</f>
        <v>20</v>
      </c>
      <c r="I2" s="7">
        <f>31-I8</f>
        <v>22</v>
      </c>
      <c r="J2" s="7">
        <f>31-J8</f>
        <v>21</v>
      </c>
      <c r="K2" s="7">
        <f>30-K8</f>
        <v>19</v>
      </c>
      <c r="L2" s="7">
        <f>31-L8</f>
        <v>22</v>
      </c>
      <c r="M2" s="7">
        <f>30-M8</f>
        <v>20</v>
      </c>
      <c r="N2" s="7">
        <f>31-N8</f>
        <v>20</v>
      </c>
      <c r="O2" s="7">
        <f>31-O8</f>
        <v>19</v>
      </c>
      <c r="P2" s="7">
        <f>28-P8</f>
        <v>18</v>
      </c>
      <c r="Q2" s="7">
        <f>31-Q8</f>
        <v>20</v>
      </c>
      <c r="R2" s="53">
        <f>SUM(F2:Q2)</f>
        <v>243</v>
      </c>
      <c r="S2" s="53"/>
    </row>
    <row r="3" spans="2:20" ht="21.95" customHeight="1" x14ac:dyDescent="0.15">
      <c r="B3" s="52" t="s">
        <v>14</v>
      </c>
      <c r="C3" s="52"/>
      <c r="D3" s="52"/>
      <c r="E3" s="52"/>
      <c r="F3" s="7">
        <v>7</v>
      </c>
      <c r="G3" s="8">
        <v>7</v>
      </c>
      <c r="H3" s="8">
        <v>7</v>
      </c>
      <c r="I3" s="8">
        <v>7</v>
      </c>
      <c r="J3" s="8">
        <v>7</v>
      </c>
      <c r="K3" s="8">
        <v>7</v>
      </c>
      <c r="L3" s="8">
        <v>7</v>
      </c>
      <c r="M3" s="8">
        <v>7</v>
      </c>
      <c r="N3" s="8">
        <v>7</v>
      </c>
      <c r="O3" s="8">
        <v>7</v>
      </c>
      <c r="P3" s="8">
        <v>7</v>
      </c>
      <c r="Q3" s="8">
        <v>7</v>
      </c>
      <c r="R3" s="53"/>
      <c r="S3" s="53"/>
    </row>
    <row r="4" spans="2:20" ht="21.95" customHeight="1" x14ac:dyDescent="0.15">
      <c r="B4" s="52" t="s">
        <v>15</v>
      </c>
      <c r="C4" s="52"/>
      <c r="D4" s="52"/>
      <c r="E4" s="52"/>
      <c r="F4" s="7">
        <f>F2*F3</f>
        <v>147</v>
      </c>
      <c r="G4" s="8">
        <f t="shared" ref="G4:Q4" si="1">G2*G3</f>
        <v>147</v>
      </c>
      <c r="H4" s="8">
        <f t="shared" si="1"/>
        <v>140</v>
      </c>
      <c r="I4" s="8">
        <f t="shared" si="1"/>
        <v>154</v>
      </c>
      <c r="J4" s="8">
        <f t="shared" si="1"/>
        <v>147</v>
      </c>
      <c r="K4" s="8">
        <f t="shared" si="1"/>
        <v>133</v>
      </c>
      <c r="L4" s="8">
        <f t="shared" si="1"/>
        <v>154</v>
      </c>
      <c r="M4" s="8">
        <f t="shared" si="1"/>
        <v>140</v>
      </c>
      <c r="N4" s="8">
        <f t="shared" si="1"/>
        <v>140</v>
      </c>
      <c r="O4" s="8">
        <f t="shared" si="1"/>
        <v>133</v>
      </c>
      <c r="P4" s="8">
        <f t="shared" si="1"/>
        <v>126</v>
      </c>
      <c r="Q4" s="8">
        <f t="shared" si="1"/>
        <v>140</v>
      </c>
      <c r="R4" s="50">
        <f t="shared" ref="R4:R11" si="2">SUM(F4:Q4)</f>
        <v>1701</v>
      </c>
      <c r="S4" s="50"/>
    </row>
    <row r="5" spans="2:20" ht="21.95" customHeight="1" x14ac:dyDescent="0.15">
      <c r="B5" s="51" t="s">
        <v>16</v>
      </c>
      <c r="C5" s="52" t="s">
        <v>17</v>
      </c>
      <c r="D5" s="52"/>
      <c r="E5" s="52"/>
      <c r="F5" s="7">
        <f t="shared" ref="F5:Q7" si="3">F60</f>
        <v>4</v>
      </c>
      <c r="G5" s="8">
        <f t="shared" si="3"/>
        <v>4</v>
      </c>
      <c r="H5" s="8">
        <f t="shared" si="3"/>
        <v>5</v>
      </c>
      <c r="I5" s="8">
        <f>I60</f>
        <v>4</v>
      </c>
      <c r="J5" s="8">
        <f t="shared" si="3"/>
        <v>5</v>
      </c>
      <c r="K5" s="8">
        <f t="shared" si="3"/>
        <v>4</v>
      </c>
      <c r="L5" s="8">
        <f t="shared" si="3"/>
        <v>4</v>
      </c>
      <c r="M5" s="8">
        <f t="shared" si="3"/>
        <v>5</v>
      </c>
      <c r="N5" s="8">
        <f t="shared" si="3"/>
        <v>4</v>
      </c>
      <c r="O5" s="8">
        <f t="shared" si="3"/>
        <v>4</v>
      </c>
      <c r="P5" s="8">
        <f t="shared" si="3"/>
        <v>4</v>
      </c>
      <c r="Q5" s="8">
        <f t="shared" si="3"/>
        <v>5</v>
      </c>
      <c r="R5" s="53">
        <f t="shared" si="2"/>
        <v>52</v>
      </c>
      <c r="S5" s="53"/>
    </row>
    <row r="6" spans="2:20" ht="21.95" customHeight="1" x14ac:dyDescent="0.15">
      <c r="B6" s="51"/>
      <c r="C6" s="52" t="s">
        <v>18</v>
      </c>
      <c r="D6" s="52"/>
      <c r="E6" s="52"/>
      <c r="F6" s="7">
        <f t="shared" si="3"/>
        <v>1</v>
      </c>
      <c r="G6" s="8">
        <f t="shared" si="3"/>
        <v>2</v>
      </c>
      <c r="H6" s="8">
        <f t="shared" si="3"/>
        <v>0</v>
      </c>
      <c r="I6" s="8">
        <f t="shared" si="3"/>
        <v>1</v>
      </c>
      <c r="J6" s="8">
        <f t="shared" si="3"/>
        <v>1</v>
      </c>
      <c r="K6" s="8">
        <f t="shared" si="3"/>
        <v>2</v>
      </c>
      <c r="L6" s="9">
        <f t="shared" si="3"/>
        <v>1</v>
      </c>
      <c r="M6" s="8">
        <f t="shared" si="3"/>
        <v>1</v>
      </c>
      <c r="N6" s="8">
        <f t="shared" si="3"/>
        <v>0</v>
      </c>
      <c r="O6" s="8">
        <f t="shared" si="3"/>
        <v>2</v>
      </c>
      <c r="P6" s="8">
        <f t="shared" si="3"/>
        <v>2</v>
      </c>
      <c r="Q6" s="8">
        <f t="shared" si="3"/>
        <v>1</v>
      </c>
      <c r="R6" s="54">
        <f t="shared" si="2"/>
        <v>14</v>
      </c>
      <c r="S6" s="54"/>
    </row>
    <row r="7" spans="2:20" ht="21.95" customHeight="1" x14ac:dyDescent="0.15">
      <c r="B7" s="51"/>
      <c r="C7" s="55" t="s">
        <v>19</v>
      </c>
      <c r="D7" s="55"/>
      <c r="E7" s="55"/>
      <c r="F7" s="10">
        <f t="shared" si="3"/>
        <v>4</v>
      </c>
      <c r="G7" s="10">
        <f t="shared" si="3"/>
        <v>4</v>
      </c>
      <c r="H7" s="10">
        <f t="shared" si="3"/>
        <v>5</v>
      </c>
      <c r="I7" s="10">
        <f t="shared" si="3"/>
        <v>4</v>
      </c>
      <c r="J7" s="10">
        <f t="shared" si="3"/>
        <v>4</v>
      </c>
      <c r="K7" s="10">
        <f t="shared" si="3"/>
        <v>5</v>
      </c>
      <c r="L7" s="10">
        <f t="shared" si="3"/>
        <v>4</v>
      </c>
      <c r="M7" s="10">
        <f t="shared" si="3"/>
        <v>4</v>
      </c>
      <c r="N7" s="10">
        <f t="shared" si="3"/>
        <v>7</v>
      </c>
      <c r="O7" s="10">
        <f t="shared" si="3"/>
        <v>6</v>
      </c>
      <c r="P7" s="10">
        <f t="shared" si="3"/>
        <v>4</v>
      </c>
      <c r="Q7" s="10">
        <f t="shared" si="3"/>
        <v>5</v>
      </c>
      <c r="R7" s="54">
        <f t="shared" si="2"/>
        <v>56</v>
      </c>
      <c r="S7" s="54"/>
    </row>
    <row r="8" spans="2:20" ht="21.95" customHeight="1" x14ac:dyDescent="0.15">
      <c r="B8" s="51"/>
      <c r="C8" s="52" t="s">
        <v>20</v>
      </c>
      <c r="D8" s="52"/>
      <c r="E8" s="52"/>
      <c r="F8" s="7">
        <f t="shared" ref="F8:Q8" si="4">SUM(F5:F7)</f>
        <v>9</v>
      </c>
      <c r="G8" s="8">
        <f t="shared" si="4"/>
        <v>10</v>
      </c>
      <c r="H8" s="8">
        <f t="shared" si="4"/>
        <v>10</v>
      </c>
      <c r="I8" s="8">
        <f t="shared" si="4"/>
        <v>9</v>
      </c>
      <c r="J8" s="8">
        <f t="shared" si="4"/>
        <v>10</v>
      </c>
      <c r="K8" s="8">
        <f t="shared" si="4"/>
        <v>11</v>
      </c>
      <c r="L8" s="8">
        <f t="shared" si="4"/>
        <v>9</v>
      </c>
      <c r="M8" s="8">
        <f t="shared" si="4"/>
        <v>10</v>
      </c>
      <c r="N8" s="8">
        <f t="shared" si="4"/>
        <v>11</v>
      </c>
      <c r="O8" s="8">
        <f t="shared" si="4"/>
        <v>12</v>
      </c>
      <c r="P8" s="8">
        <f>SUM(P5:P7)</f>
        <v>10</v>
      </c>
      <c r="Q8" s="8">
        <f t="shared" si="4"/>
        <v>11</v>
      </c>
      <c r="R8" s="53">
        <f>SUM(F8:Q8)</f>
        <v>122</v>
      </c>
      <c r="S8" s="53"/>
    </row>
    <row r="9" spans="2:20" ht="21.95" customHeight="1" x14ac:dyDescent="0.15">
      <c r="B9" s="8"/>
      <c r="C9" s="48" t="s">
        <v>21</v>
      </c>
      <c r="D9" s="48"/>
      <c r="E9" s="48"/>
      <c r="F9" s="7">
        <f>F2+F8</f>
        <v>30</v>
      </c>
      <c r="G9" s="7">
        <f t="shared" ref="G9:Q9" si="5">G2+G8</f>
        <v>31</v>
      </c>
      <c r="H9" s="7">
        <f t="shared" si="5"/>
        <v>30</v>
      </c>
      <c r="I9" s="7">
        <f t="shared" si="5"/>
        <v>31</v>
      </c>
      <c r="J9" s="7">
        <f t="shared" si="5"/>
        <v>31</v>
      </c>
      <c r="K9" s="7">
        <f t="shared" si="5"/>
        <v>30</v>
      </c>
      <c r="L9" s="7">
        <f t="shared" si="5"/>
        <v>31</v>
      </c>
      <c r="M9" s="7">
        <f t="shared" si="5"/>
        <v>30</v>
      </c>
      <c r="N9" s="7">
        <f t="shared" si="5"/>
        <v>31</v>
      </c>
      <c r="O9" s="7">
        <f t="shared" si="5"/>
        <v>31</v>
      </c>
      <c r="P9" s="7">
        <f>P2+P8</f>
        <v>28</v>
      </c>
      <c r="Q9" s="7">
        <f t="shared" si="5"/>
        <v>31</v>
      </c>
      <c r="R9" s="53">
        <f>SUM(F9:Q9)</f>
        <v>365</v>
      </c>
      <c r="S9" s="53"/>
    </row>
    <row r="10" spans="2:20" ht="21.95" hidden="1" customHeight="1" outlineLevel="1" x14ac:dyDescent="0.15">
      <c r="C10" s="48" t="s">
        <v>22</v>
      </c>
      <c r="D10" s="48"/>
      <c r="E10" s="11" t="s">
        <v>23</v>
      </c>
      <c r="F10" s="7">
        <f t="shared" ref="F10:Q10" si="6">ROUND(F9*F12,0)</f>
        <v>288</v>
      </c>
      <c r="G10" s="8">
        <f t="shared" si="6"/>
        <v>298</v>
      </c>
      <c r="H10" s="8">
        <f t="shared" si="6"/>
        <v>288</v>
      </c>
      <c r="I10" s="8">
        <f t="shared" si="6"/>
        <v>298</v>
      </c>
      <c r="J10" s="8">
        <f t="shared" si="6"/>
        <v>298</v>
      </c>
      <c r="K10" s="8">
        <f t="shared" si="6"/>
        <v>288</v>
      </c>
      <c r="L10" s="8">
        <f t="shared" si="6"/>
        <v>298</v>
      </c>
      <c r="M10" s="8">
        <f t="shared" si="6"/>
        <v>288</v>
      </c>
      <c r="N10" s="8">
        <f t="shared" si="6"/>
        <v>298</v>
      </c>
      <c r="O10" s="8">
        <f t="shared" si="6"/>
        <v>298</v>
      </c>
      <c r="P10" s="8">
        <f t="shared" si="6"/>
        <v>269</v>
      </c>
      <c r="Q10" s="8">
        <f t="shared" si="6"/>
        <v>298</v>
      </c>
      <c r="R10" s="50">
        <f t="shared" si="2"/>
        <v>3507</v>
      </c>
      <c r="S10" s="50"/>
      <c r="T10">
        <f>293*12</f>
        <v>3516</v>
      </c>
    </row>
    <row r="11" spans="2:20" ht="21.95" hidden="1" customHeight="1" outlineLevel="1" x14ac:dyDescent="0.15">
      <c r="C11" s="48"/>
      <c r="D11" s="48"/>
      <c r="E11" s="12" t="s">
        <v>24</v>
      </c>
      <c r="F11" s="7">
        <f>F10-F4-1*F2</f>
        <v>120</v>
      </c>
      <c r="G11" s="8">
        <f t="shared" ref="G11:Q11" si="7">G10-G4-1*G2</f>
        <v>130</v>
      </c>
      <c r="H11" s="8">
        <f t="shared" si="7"/>
        <v>128</v>
      </c>
      <c r="I11" s="8">
        <f t="shared" si="7"/>
        <v>122</v>
      </c>
      <c r="J11" s="8">
        <f t="shared" si="7"/>
        <v>130</v>
      </c>
      <c r="K11" s="8">
        <f t="shared" si="7"/>
        <v>136</v>
      </c>
      <c r="L11" s="8">
        <f t="shared" si="7"/>
        <v>122</v>
      </c>
      <c r="M11" s="8">
        <f t="shared" si="7"/>
        <v>128</v>
      </c>
      <c r="N11" s="8">
        <f t="shared" si="7"/>
        <v>138</v>
      </c>
      <c r="O11" s="8">
        <f t="shared" si="7"/>
        <v>146</v>
      </c>
      <c r="P11" s="8">
        <f t="shared" si="7"/>
        <v>125</v>
      </c>
      <c r="Q11" s="8">
        <f t="shared" si="7"/>
        <v>138</v>
      </c>
      <c r="R11" s="50">
        <f t="shared" si="2"/>
        <v>1563</v>
      </c>
      <c r="S11" s="50"/>
      <c r="T11" s="13">
        <f>MAX(F11:Q11)</f>
        <v>146</v>
      </c>
    </row>
    <row r="12" spans="2:20" ht="21.95" hidden="1" customHeight="1" outlineLevel="2" x14ac:dyDescent="0.15">
      <c r="C12" s="11"/>
      <c r="D12" s="11"/>
      <c r="E12" s="12" t="s">
        <v>25</v>
      </c>
      <c r="F12" s="14">
        <f t="shared" ref="F12:Q12" si="8">ROUND(293*12/$R9,1)</f>
        <v>9.6</v>
      </c>
      <c r="G12" s="15">
        <f t="shared" si="8"/>
        <v>9.6</v>
      </c>
      <c r="H12" s="15">
        <f t="shared" si="8"/>
        <v>9.6</v>
      </c>
      <c r="I12" s="15">
        <f t="shared" si="8"/>
        <v>9.6</v>
      </c>
      <c r="J12" s="15">
        <f t="shared" si="8"/>
        <v>9.6</v>
      </c>
      <c r="K12" s="15">
        <f t="shared" si="8"/>
        <v>9.6</v>
      </c>
      <c r="L12" s="15">
        <f t="shared" si="8"/>
        <v>9.6</v>
      </c>
      <c r="M12" s="15">
        <f t="shared" si="8"/>
        <v>9.6</v>
      </c>
      <c r="N12" s="15">
        <f t="shared" si="8"/>
        <v>9.6</v>
      </c>
      <c r="O12" s="15">
        <f t="shared" si="8"/>
        <v>9.6</v>
      </c>
      <c r="P12" s="15">
        <f t="shared" si="8"/>
        <v>9.6</v>
      </c>
      <c r="Q12" s="15">
        <f t="shared" si="8"/>
        <v>9.6</v>
      </c>
      <c r="R12" s="47">
        <f>AVERAGE(F12:Q12)</f>
        <v>9.5999999999999979</v>
      </c>
      <c r="S12" s="47"/>
    </row>
    <row r="13" spans="2:20" ht="21.95" hidden="1" customHeight="1" outlineLevel="2" x14ac:dyDescent="0.15">
      <c r="C13" s="11"/>
      <c r="D13" s="11"/>
      <c r="E13" s="12" t="s">
        <v>26</v>
      </c>
      <c r="F13" s="16">
        <v>1</v>
      </c>
      <c r="G13" s="17">
        <v>3</v>
      </c>
      <c r="H13" s="17">
        <v>1</v>
      </c>
      <c r="I13" s="17">
        <v>2</v>
      </c>
      <c r="J13" s="17">
        <v>3</v>
      </c>
      <c r="K13" s="17">
        <v>2</v>
      </c>
      <c r="L13" s="17">
        <v>2</v>
      </c>
      <c r="M13" s="17">
        <v>2</v>
      </c>
      <c r="N13" s="17">
        <v>1</v>
      </c>
      <c r="O13" s="17">
        <v>3</v>
      </c>
      <c r="P13" s="17">
        <v>1</v>
      </c>
      <c r="Q13" s="17">
        <v>1</v>
      </c>
      <c r="R13" s="47">
        <f>AVERAGE(F13:Q13)</f>
        <v>1.8333333333333333</v>
      </c>
      <c r="S13" s="47"/>
    </row>
    <row r="14" spans="2:20" ht="21.95" hidden="1" customHeight="1" outlineLevel="2" x14ac:dyDescent="0.15">
      <c r="C14" s="11"/>
      <c r="D14" s="11"/>
      <c r="E14" s="12" t="s">
        <v>27</v>
      </c>
      <c r="F14" s="16">
        <v>1</v>
      </c>
      <c r="G14" s="17">
        <v>1</v>
      </c>
      <c r="H14" s="17">
        <v>1</v>
      </c>
      <c r="I14" s="17">
        <v>1</v>
      </c>
      <c r="J14" s="17">
        <v>1</v>
      </c>
      <c r="K14" s="17">
        <v>1</v>
      </c>
      <c r="L14" s="17">
        <v>1</v>
      </c>
      <c r="M14" s="17">
        <v>1</v>
      </c>
      <c r="N14" s="17">
        <v>0</v>
      </c>
      <c r="O14" s="17">
        <v>0</v>
      </c>
      <c r="P14" s="17">
        <v>0</v>
      </c>
      <c r="Q14" s="17">
        <v>0</v>
      </c>
      <c r="R14" s="47">
        <f>AVERAGE(F14:Q14)</f>
        <v>0.66666666666666663</v>
      </c>
      <c r="S14" s="47"/>
    </row>
    <row r="15" spans="2:20" ht="21.95" hidden="1" customHeight="1" outlineLevel="2" x14ac:dyDescent="0.15">
      <c r="C15" s="48" t="s">
        <v>28</v>
      </c>
      <c r="D15" s="48"/>
      <c r="E15" s="12" t="s">
        <v>29</v>
      </c>
      <c r="F15" s="16">
        <f t="shared" ref="F15:Q15" si="9">F8-F13-F14</f>
        <v>7</v>
      </c>
      <c r="G15" s="17">
        <f t="shared" si="9"/>
        <v>6</v>
      </c>
      <c r="H15" s="17">
        <f t="shared" si="9"/>
        <v>8</v>
      </c>
      <c r="I15" s="17">
        <f t="shared" si="9"/>
        <v>6</v>
      </c>
      <c r="J15" s="17">
        <f t="shared" si="9"/>
        <v>6</v>
      </c>
      <c r="K15" s="17">
        <f t="shared" si="9"/>
        <v>8</v>
      </c>
      <c r="L15" s="17">
        <f t="shared" si="9"/>
        <v>6</v>
      </c>
      <c r="M15" s="17">
        <f t="shared" si="9"/>
        <v>7</v>
      </c>
      <c r="N15" s="17">
        <f t="shared" si="9"/>
        <v>10</v>
      </c>
      <c r="O15" s="17">
        <f t="shared" si="9"/>
        <v>9</v>
      </c>
      <c r="P15" s="17">
        <f t="shared" si="9"/>
        <v>9</v>
      </c>
      <c r="Q15" s="17">
        <f t="shared" si="9"/>
        <v>10</v>
      </c>
      <c r="R15" s="47">
        <f>AVERAGE(F15:Q15)</f>
        <v>7.666666666666667</v>
      </c>
      <c r="S15" s="47"/>
    </row>
    <row r="16" spans="2:20" ht="21.95" hidden="1" customHeight="1" outlineLevel="2" x14ac:dyDescent="0.15">
      <c r="C16" s="48"/>
      <c r="D16" s="48"/>
      <c r="E16" s="11" t="s">
        <v>30</v>
      </c>
      <c r="F16" s="18">
        <f t="shared" ref="F16:Q16" si="10">F15/F9</f>
        <v>0.23333333333333334</v>
      </c>
      <c r="G16" s="19">
        <f t="shared" si="10"/>
        <v>0.19354838709677419</v>
      </c>
      <c r="H16" s="19">
        <f t="shared" si="10"/>
        <v>0.26666666666666666</v>
      </c>
      <c r="I16" s="19">
        <f t="shared" si="10"/>
        <v>0.19354838709677419</v>
      </c>
      <c r="J16" s="19">
        <f t="shared" si="10"/>
        <v>0.19354838709677419</v>
      </c>
      <c r="K16" s="19">
        <f t="shared" si="10"/>
        <v>0.26666666666666666</v>
      </c>
      <c r="L16" s="19">
        <f t="shared" si="10"/>
        <v>0.19354838709677419</v>
      </c>
      <c r="M16" s="19">
        <f t="shared" si="10"/>
        <v>0.23333333333333334</v>
      </c>
      <c r="N16" s="19">
        <f t="shared" si="10"/>
        <v>0.32258064516129031</v>
      </c>
      <c r="O16" s="19">
        <f t="shared" si="10"/>
        <v>0.29032258064516131</v>
      </c>
      <c r="P16" s="19">
        <f t="shared" si="10"/>
        <v>0.32142857142857145</v>
      </c>
      <c r="Q16" s="19">
        <f t="shared" si="10"/>
        <v>0.32258064516129031</v>
      </c>
      <c r="R16" s="49">
        <f>AVERAGE(F16:Q16)</f>
        <v>0.2525921658986176</v>
      </c>
      <c r="S16" s="49"/>
    </row>
    <row r="17" spans="2:19" ht="21.95" hidden="1" customHeight="1" outlineLevel="2" collapsed="1" x14ac:dyDescent="0.15">
      <c r="C17" s="48"/>
      <c r="D17" s="48"/>
      <c r="E17" s="12" t="s">
        <v>31</v>
      </c>
      <c r="F17" s="16">
        <f t="shared" ref="F17:M17" si="11">F4+F2*1+3*F2+F13*10+F14*8</f>
        <v>249</v>
      </c>
      <c r="G17" s="17">
        <f t="shared" si="11"/>
        <v>269</v>
      </c>
      <c r="H17" s="17">
        <f t="shared" si="11"/>
        <v>238</v>
      </c>
      <c r="I17" s="17">
        <f t="shared" si="11"/>
        <v>270</v>
      </c>
      <c r="J17" s="17">
        <f t="shared" si="11"/>
        <v>269</v>
      </c>
      <c r="K17" s="17">
        <f t="shared" si="11"/>
        <v>237</v>
      </c>
      <c r="L17" s="17">
        <f t="shared" si="11"/>
        <v>270</v>
      </c>
      <c r="M17" s="17">
        <f t="shared" si="11"/>
        <v>248</v>
      </c>
      <c r="N17" s="17">
        <f>N4+N2*1+3.5*N2+N13*10+N14*8</f>
        <v>240</v>
      </c>
      <c r="O17" s="17">
        <f>O4+O2*1+3.5*O2+O13*10+O14*8</f>
        <v>248.5</v>
      </c>
      <c r="P17" s="17">
        <f>P4+P2*1+3.5*P2+P13*10+P14*8</f>
        <v>217</v>
      </c>
      <c r="Q17" s="17">
        <f>Q4+Q2*1+3.5*Q2+Q13*10+Q14*8</f>
        <v>240</v>
      </c>
      <c r="R17" s="50">
        <f>SUM(F17:Q17)</f>
        <v>2995.5</v>
      </c>
      <c r="S17" s="50"/>
    </row>
    <row r="18" spans="2:19" ht="21.95" hidden="1" customHeight="1" outlineLevel="2" x14ac:dyDescent="0.15">
      <c r="C18" s="48"/>
      <c r="D18" s="48"/>
      <c r="E18" s="11" t="s">
        <v>32</v>
      </c>
      <c r="F18" s="16">
        <f t="shared" ref="F18:Q18" si="12">F10-F17</f>
        <v>39</v>
      </c>
      <c r="G18" s="17">
        <f t="shared" si="12"/>
        <v>29</v>
      </c>
      <c r="H18" s="17">
        <f t="shared" si="12"/>
        <v>50</v>
      </c>
      <c r="I18" s="17">
        <f t="shared" si="12"/>
        <v>28</v>
      </c>
      <c r="J18" s="17">
        <f t="shared" si="12"/>
        <v>29</v>
      </c>
      <c r="K18" s="17">
        <f t="shared" si="12"/>
        <v>51</v>
      </c>
      <c r="L18" s="17">
        <f t="shared" si="12"/>
        <v>28</v>
      </c>
      <c r="M18" s="17">
        <f t="shared" si="12"/>
        <v>40</v>
      </c>
      <c r="N18" s="17">
        <f t="shared" si="12"/>
        <v>58</v>
      </c>
      <c r="O18" s="17">
        <f t="shared" si="12"/>
        <v>49.5</v>
      </c>
      <c r="P18" s="17">
        <f t="shared" si="12"/>
        <v>52</v>
      </c>
      <c r="Q18" s="17">
        <f t="shared" si="12"/>
        <v>58</v>
      </c>
      <c r="R18" s="47">
        <f>AVERAGE(F18:Q18)</f>
        <v>42.625</v>
      </c>
      <c r="S18" s="47"/>
    </row>
    <row r="19" spans="2:19" ht="21.95" hidden="1" customHeight="1" outlineLevel="1" x14ac:dyDescent="0.15">
      <c r="C19" s="20"/>
      <c r="D19" s="20"/>
      <c r="F19" s="21"/>
      <c r="R19" s="22"/>
      <c r="S19" s="22"/>
    </row>
    <row r="20" spans="2:19" ht="21.95" hidden="1" customHeight="1" outlineLevel="1" x14ac:dyDescent="0.15">
      <c r="C20" s="20"/>
      <c r="D20" s="20"/>
      <c r="F20" s="44" t="s">
        <v>33</v>
      </c>
      <c r="G20" s="44"/>
      <c r="H20" s="44"/>
      <c r="I20" s="44"/>
      <c r="J20" s="44"/>
      <c r="K20" s="44"/>
      <c r="L20" s="44"/>
      <c r="M20" s="44"/>
      <c r="N20" s="45" t="s">
        <v>34</v>
      </c>
      <c r="O20" s="45"/>
      <c r="P20" s="45"/>
      <c r="Q20" s="45"/>
      <c r="R20" s="45"/>
      <c r="S20" s="45"/>
    </row>
    <row r="21" spans="2:19" ht="21.95" hidden="1" customHeight="1" outlineLevel="1" x14ac:dyDescent="0.15">
      <c r="C21" s="20"/>
      <c r="D21" s="20"/>
      <c r="E21" s="11" t="s">
        <v>35</v>
      </c>
      <c r="F21" s="46" t="s">
        <v>36</v>
      </c>
      <c r="G21" s="46"/>
      <c r="H21" s="46"/>
      <c r="I21" s="46"/>
      <c r="J21" s="46"/>
      <c r="K21" s="46"/>
      <c r="L21" s="46"/>
      <c r="M21" s="46"/>
      <c r="N21" s="46" t="s">
        <v>37</v>
      </c>
      <c r="O21" s="46"/>
      <c r="P21" s="46"/>
      <c r="Q21" s="46"/>
      <c r="R21" s="46"/>
      <c r="S21" s="46"/>
    </row>
    <row r="22" spans="2:19" ht="21.95" hidden="1" customHeight="1" outlineLevel="1" x14ac:dyDescent="0.15">
      <c r="C22" s="20"/>
      <c r="D22" s="20"/>
      <c r="E22" s="12" t="s">
        <v>38</v>
      </c>
      <c r="F22" s="46" t="s">
        <v>39</v>
      </c>
      <c r="G22" s="46"/>
      <c r="H22" s="46"/>
      <c r="I22" s="46"/>
      <c r="J22" s="46"/>
      <c r="K22" s="46"/>
      <c r="L22" s="46"/>
      <c r="M22" s="46"/>
      <c r="N22" s="46" t="s">
        <v>39</v>
      </c>
      <c r="O22" s="46"/>
      <c r="P22" s="46"/>
      <c r="Q22" s="46"/>
      <c r="R22" s="46"/>
      <c r="S22" s="46"/>
    </row>
    <row r="23" spans="2:19" ht="21.95" hidden="1" customHeight="1" outlineLevel="1" x14ac:dyDescent="0.15">
      <c r="C23" s="20"/>
      <c r="D23" s="20"/>
      <c r="E23" s="12" t="s">
        <v>40</v>
      </c>
      <c r="F23" s="43" t="s">
        <v>41</v>
      </c>
      <c r="G23" s="43"/>
      <c r="H23" s="43"/>
      <c r="I23" s="43"/>
      <c r="J23" s="43"/>
      <c r="K23" s="43"/>
      <c r="L23" s="43"/>
      <c r="M23" s="43"/>
      <c r="N23" s="43" t="s">
        <v>41</v>
      </c>
      <c r="O23" s="43"/>
      <c r="P23" s="43"/>
      <c r="Q23" s="43"/>
      <c r="R23" s="43"/>
      <c r="S23" s="43"/>
    </row>
    <row r="24" spans="2:19" ht="21.95" customHeight="1" collapsed="1" x14ac:dyDescent="0.15">
      <c r="C24" s="20"/>
      <c r="D24" s="20"/>
      <c r="E24" s="20"/>
      <c r="F24" s="23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5"/>
      <c r="S24" s="25"/>
    </row>
    <row r="25" spans="2:19" x14ac:dyDescent="0.15">
      <c r="B25" t="s">
        <v>42</v>
      </c>
      <c r="E25" s="26" t="s">
        <v>43</v>
      </c>
      <c r="F25" s="21" t="s">
        <v>44</v>
      </c>
      <c r="I25" s="27" t="s">
        <v>88</v>
      </c>
      <c r="J25" t="s">
        <v>45</v>
      </c>
      <c r="M25" s="28" t="s">
        <v>46</v>
      </c>
      <c r="N25" t="s">
        <v>47</v>
      </c>
    </row>
    <row r="26" spans="2:19" x14ac:dyDescent="0.15">
      <c r="F26" s="21"/>
    </row>
    <row r="27" spans="2:19" x14ac:dyDescent="0.15">
      <c r="E27" s="29"/>
      <c r="F27" s="30" t="s">
        <v>0</v>
      </c>
      <c r="G27" s="6" t="s">
        <v>1</v>
      </c>
      <c r="H27" s="6" t="s">
        <v>2</v>
      </c>
      <c r="I27" s="6" t="s">
        <v>3</v>
      </c>
      <c r="J27" s="6" t="s">
        <v>4</v>
      </c>
      <c r="K27" s="6" t="s">
        <v>5</v>
      </c>
      <c r="L27" s="6" t="s">
        <v>6</v>
      </c>
      <c r="M27" s="6" t="s">
        <v>7</v>
      </c>
      <c r="N27" s="6" t="s">
        <v>8</v>
      </c>
      <c r="O27" s="6" t="s">
        <v>9</v>
      </c>
      <c r="P27" s="6" t="s">
        <v>10</v>
      </c>
      <c r="Q27" s="6" t="s">
        <v>11</v>
      </c>
      <c r="R27" s="29"/>
    </row>
    <row r="28" spans="2:19" x14ac:dyDescent="0.15">
      <c r="E28" s="29" t="s">
        <v>48</v>
      </c>
      <c r="F28" s="6" t="s">
        <v>85</v>
      </c>
      <c r="G28" s="30" t="s">
        <v>82</v>
      </c>
      <c r="H28" s="27" t="s">
        <v>88</v>
      </c>
      <c r="I28" s="6" t="s">
        <v>85</v>
      </c>
      <c r="J28" s="6" t="s">
        <v>83</v>
      </c>
      <c r="K28" s="26" t="s">
        <v>43</v>
      </c>
      <c r="L28" s="6" t="s">
        <v>86</v>
      </c>
      <c r="M28" s="6" t="s">
        <v>84</v>
      </c>
      <c r="N28" s="26" t="s">
        <v>43</v>
      </c>
      <c r="O28" s="28" t="s">
        <v>46</v>
      </c>
      <c r="P28" s="27" t="s">
        <v>88</v>
      </c>
      <c r="Q28" s="27" t="s">
        <v>88</v>
      </c>
      <c r="R28" s="29" t="s">
        <v>48</v>
      </c>
    </row>
    <row r="29" spans="2:19" x14ac:dyDescent="0.15">
      <c r="E29" s="29" t="s">
        <v>49</v>
      </c>
      <c r="F29" s="30" t="s">
        <v>86</v>
      </c>
      <c r="G29" s="30" t="s">
        <v>83</v>
      </c>
      <c r="H29" s="26" t="s">
        <v>43</v>
      </c>
      <c r="I29" s="6" t="s">
        <v>86</v>
      </c>
      <c r="J29" s="6" t="s">
        <v>84</v>
      </c>
      <c r="K29" s="6" t="s">
        <v>85</v>
      </c>
      <c r="L29" s="6" t="s">
        <v>82</v>
      </c>
      <c r="M29" s="27" t="s">
        <v>88</v>
      </c>
      <c r="N29" s="6" t="s">
        <v>85</v>
      </c>
      <c r="O29" s="26" t="s">
        <v>43</v>
      </c>
      <c r="P29" s="26" t="s">
        <v>43</v>
      </c>
      <c r="Q29" s="26" t="s">
        <v>43</v>
      </c>
      <c r="R29" s="29" t="s">
        <v>49</v>
      </c>
    </row>
    <row r="30" spans="2:19" x14ac:dyDescent="0.15">
      <c r="E30" s="29" t="s">
        <v>51</v>
      </c>
      <c r="F30" s="30" t="s">
        <v>82</v>
      </c>
      <c r="G30" s="28" t="s">
        <v>46</v>
      </c>
      <c r="H30" s="6" t="s">
        <v>85</v>
      </c>
      <c r="I30" s="6" t="s">
        <v>82</v>
      </c>
      <c r="J30" s="27" t="s">
        <v>88</v>
      </c>
      <c r="K30" s="6" t="s">
        <v>86</v>
      </c>
      <c r="L30" s="6" t="s">
        <v>83</v>
      </c>
      <c r="M30" s="28" t="s">
        <v>46</v>
      </c>
      <c r="N30" s="6" t="s">
        <v>86</v>
      </c>
      <c r="O30" s="26" t="s">
        <v>93</v>
      </c>
      <c r="P30" s="6" t="s">
        <v>85</v>
      </c>
      <c r="Q30" s="6" t="s">
        <v>85</v>
      </c>
      <c r="R30" s="29" t="s">
        <v>51</v>
      </c>
    </row>
    <row r="31" spans="2:19" x14ac:dyDescent="0.15">
      <c r="E31" s="29" t="s">
        <v>52</v>
      </c>
      <c r="F31" s="30" t="s">
        <v>83</v>
      </c>
      <c r="G31" s="27" t="s">
        <v>88</v>
      </c>
      <c r="H31" s="6" t="s">
        <v>86</v>
      </c>
      <c r="I31" s="6" t="s">
        <v>83</v>
      </c>
      <c r="J31" s="26" t="s">
        <v>43</v>
      </c>
      <c r="K31" s="6" t="s">
        <v>82</v>
      </c>
      <c r="L31" s="6" t="s">
        <v>84</v>
      </c>
      <c r="M31" s="26" t="s">
        <v>43</v>
      </c>
      <c r="N31" s="6" t="s">
        <v>82</v>
      </c>
      <c r="O31" s="27" t="s">
        <v>88</v>
      </c>
      <c r="P31" s="6" t="s">
        <v>86</v>
      </c>
      <c r="Q31" s="6" t="s">
        <v>86</v>
      </c>
      <c r="R31" s="29" t="s">
        <v>52</v>
      </c>
    </row>
    <row r="32" spans="2:19" x14ac:dyDescent="0.15">
      <c r="E32" s="29" t="s">
        <v>53</v>
      </c>
      <c r="F32" s="30" t="s">
        <v>84</v>
      </c>
      <c r="G32" s="28" t="s">
        <v>46</v>
      </c>
      <c r="H32" s="6" t="s">
        <v>82</v>
      </c>
      <c r="I32" s="6" t="s">
        <v>84</v>
      </c>
      <c r="J32" s="6" t="s">
        <v>85</v>
      </c>
      <c r="K32" s="6" t="s">
        <v>83</v>
      </c>
      <c r="L32" s="27" t="s">
        <v>88</v>
      </c>
      <c r="M32" s="6" t="s">
        <v>86</v>
      </c>
      <c r="N32" s="6" t="s">
        <v>83</v>
      </c>
      <c r="O32" s="26" t="s">
        <v>43</v>
      </c>
      <c r="P32" s="6" t="s">
        <v>82</v>
      </c>
      <c r="Q32" s="6" t="s">
        <v>82</v>
      </c>
      <c r="R32" s="29" t="s">
        <v>53</v>
      </c>
    </row>
    <row r="33" spans="5:18" x14ac:dyDescent="0.15">
      <c r="E33" s="29" t="s">
        <v>54</v>
      </c>
      <c r="F33" s="39" t="s">
        <v>88</v>
      </c>
      <c r="G33" s="26" t="s">
        <v>43</v>
      </c>
      <c r="H33" s="6" t="s">
        <v>83</v>
      </c>
      <c r="I33" s="27" t="s">
        <v>88</v>
      </c>
      <c r="J33" s="6" t="s">
        <v>86</v>
      </c>
      <c r="K33" s="6" t="s">
        <v>84</v>
      </c>
      <c r="L33" s="26" t="s">
        <v>43</v>
      </c>
      <c r="M33" s="6" t="s">
        <v>82</v>
      </c>
      <c r="N33" s="6" t="s">
        <v>84</v>
      </c>
      <c r="O33" s="6" t="s">
        <v>85</v>
      </c>
      <c r="P33" s="6" t="s">
        <v>83</v>
      </c>
      <c r="Q33" s="6" t="s">
        <v>83</v>
      </c>
      <c r="R33" s="29" t="s">
        <v>54</v>
      </c>
    </row>
    <row r="34" spans="5:18" x14ac:dyDescent="0.15">
      <c r="E34" s="29" t="s">
        <v>55</v>
      </c>
      <c r="F34" s="26" t="s">
        <v>43</v>
      </c>
      <c r="G34" s="30" t="s">
        <v>86</v>
      </c>
      <c r="H34" s="6" t="s">
        <v>84</v>
      </c>
      <c r="I34" s="26" t="s">
        <v>43</v>
      </c>
      <c r="J34" s="6" t="s">
        <v>82</v>
      </c>
      <c r="K34" s="27" t="s">
        <v>88</v>
      </c>
      <c r="L34" s="6" t="s">
        <v>85</v>
      </c>
      <c r="M34" s="6" t="s">
        <v>83</v>
      </c>
      <c r="N34" s="27" t="s">
        <v>88</v>
      </c>
      <c r="O34" s="6" t="s">
        <v>86</v>
      </c>
      <c r="P34" s="6" t="s">
        <v>84</v>
      </c>
      <c r="Q34" s="6" t="s">
        <v>84</v>
      </c>
      <c r="R34" s="29" t="s">
        <v>55</v>
      </c>
    </row>
    <row r="35" spans="5:18" x14ac:dyDescent="0.15">
      <c r="E35" s="29" t="s">
        <v>56</v>
      </c>
      <c r="F35" s="6" t="s">
        <v>85</v>
      </c>
      <c r="G35" s="30" t="s">
        <v>82</v>
      </c>
      <c r="H35" s="27" t="s">
        <v>88</v>
      </c>
      <c r="I35" s="6" t="s">
        <v>85</v>
      </c>
      <c r="J35" s="6" t="s">
        <v>83</v>
      </c>
      <c r="K35" s="26" t="s">
        <v>43</v>
      </c>
      <c r="L35" s="6" t="s">
        <v>86</v>
      </c>
      <c r="M35" s="6" t="s">
        <v>84</v>
      </c>
      <c r="N35" s="26" t="s">
        <v>43</v>
      </c>
      <c r="O35" s="6" t="s">
        <v>82</v>
      </c>
      <c r="P35" s="27" t="s">
        <v>88</v>
      </c>
      <c r="Q35" s="27" t="s">
        <v>88</v>
      </c>
      <c r="R35" s="29" t="s">
        <v>56</v>
      </c>
    </row>
    <row r="36" spans="5:18" x14ac:dyDescent="0.15">
      <c r="E36" s="29" t="s">
        <v>57</v>
      </c>
      <c r="F36" s="30" t="s">
        <v>86</v>
      </c>
      <c r="G36" s="30" t="s">
        <v>83</v>
      </c>
      <c r="H36" s="26" t="s">
        <v>43</v>
      </c>
      <c r="I36" s="6" t="s">
        <v>86</v>
      </c>
      <c r="J36" s="6" t="s">
        <v>84</v>
      </c>
      <c r="K36" s="6" t="s">
        <v>85</v>
      </c>
      <c r="L36" s="6" t="s">
        <v>82</v>
      </c>
      <c r="M36" s="27" t="s">
        <v>88</v>
      </c>
      <c r="N36" s="6" t="s">
        <v>85</v>
      </c>
      <c r="O36" s="6" t="s">
        <v>83</v>
      </c>
      <c r="P36" s="26" t="s">
        <v>43</v>
      </c>
      <c r="Q36" s="26" t="s">
        <v>43</v>
      </c>
      <c r="R36" s="29" t="s">
        <v>57</v>
      </c>
    </row>
    <row r="37" spans="5:18" x14ac:dyDescent="0.15">
      <c r="E37" s="29" t="s">
        <v>58</v>
      </c>
      <c r="F37" s="30" t="s">
        <v>82</v>
      </c>
      <c r="G37" s="30" t="s">
        <v>84</v>
      </c>
      <c r="H37" s="6" t="s">
        <v>85</v>
      </c>
      <c r="I37" s="6" t="s">
        <v>82</v>
      </c>
      <c r="J37" s="27" t="s">
        <v>88</v>
      </c>
      <c r="K37" s="6" t="s">
        <v>86</v>
      </c>
      <c r="L37" s="6" t="s">
        <v>83</v>
      </c>
      <c r="M37" s="26" t="s">
        <v>43</v>
      </c>
      <c r="N37" s="6" t="s">
        <v>86</v>
      </c>
      <c r="O37" s="6" t="s">
        <v>84</v>
      </c>
      <c r="P37" s="6" t="s">
        <v>85</v>
      </c>
      <c r="Q37" s="6" t="s">
        <v>85</v>
      </c>
      <c r="R37" s="29" t="s">
        <v>58</v>
      </c>
    </row>
    <row r="38" spans="5:18" x14ac:dyDescent="0.15">
      <c r="E38" s="29" t="s">
        <v>59</v>
      </c>
      <c r="F38" s="30" t="s">
        <v>83</v>
      </c>
      <c r="G38" s="39" t="s">
        <v>88</v>
      </c>
      <c r="H38" s="6" t="s">
        <v>86</v>
      </c>
      <c r="I38" s="6" t="s">
        <v>83</v>
      </c>
      <c r="J38" s="28" t="s">
        <v>46</v>
      </c>
      <c r="K38" s="6" t="s">
        <v>82</v>
      </c>
      <c r="L38" s="6" t="s">
        <v>84</v>
      </c>
      <c r="M38" s="6" t="s">
        <v>85</v>
      </c>
      <c r="N38" s="6" t="s">
        <v>82</v>
      </c>
      <c r="O38" s="27" t="s">
        <v>88</v>
      </c>
      <c r="P38" s="28" t="s">
        <v>46</v>
      </c>
      <c r="Q38" s="6" t="s">
        <v>86</v>
      </c>
      <c r="R38" s="29" t="s">
        <v>59</v>
      </c>
    </row>
    <row r="39" spans="5:18" x14ac:dyDescent="0.15">
      <c r="E39" s="29" t="s">
        <v>60</v>
      </c>
      <c r="F39" s="30" t="s">
        <v>84</v>
      </c>
      <c r="G39" s="26" t="s">
        <v>43</v>
      </c>
      <c r="H39" s="6" t="s">
        <v>82</v>
      </c>
      <c r="I39" s="6" t="s">
        <v>84</v>
      </c>
      <c r="J39" s="26" t="s">
        <v>43</v>
      </c>
      <c r="K39" s="6" t="s">
        <v>83</v>
      </c>
      <c r="L39" s="27" t="s">
        <v>88</v>
      </c>
      <c r="M39" s="6" t="s">
        <v>86</v>
      </c>
      <c r="N39" s="6" t="s">
        <v>83</v>
      </c>
      <c r="O39" s="26" t="s">
        <v>43</v>
      </c>
      <c r="P39" s="6" t="s">
        <v>82</v>
      </c>
      <c r="Q39" s="6" t="s">
        <v>82</v>
      </c>
      <c r="R39" s="29" t="s">
        <v>60</v>
      </c>
    </row>
    <row r="40" spans="5:18" x14ac:dyDescent="0.15">
      <c r="E40" s="29" t="s">
        <v>61</v>
      </c>
      <c r="F40" s="39" t="s">
        <v>88</v>
      </c>
      <c r="G40" s="6" t="s">
        <v>85</v>
      </c>
      <c r="H40" s="6" t="s">
        <v>83</v>
      </c>
      <c r="I40" s="27" t="s">
        <v>88</v>
      </c>
      <c r="J40" s="6" t="s">
        <v>86</v>
      </c>
      <c r="K40" s="6" t="s">
        <v>84</v>
      </c>
      <c r="L40" s="26" t="s">
        <v>43</v>
      </c>
      <c r="M40" s="6" t="s">
        <v>82</v>
      </c>
      <c r="N40" s="6" t="s">
        <v>84</v>
      </c>
      <c r="O40" s="28" t="s">
        <v>46</v>
      </c>
      <c r="P40" s="6" t="s">
        <v>83</v>
      </c>
      <c r="Q40" s="6" t="s">
        <v>83</v>
      </c>
      <c r="R40" s="29" t="s">
        <v>61</v>
      </c>
    </row>
    <row r="41" spans="5:18" x14ac:dyDescent="0.15">
      <c r="E41" s="29" t="s">
        <v>62</v>
      </c>
      <c r="F41" s="26" t="s">
        <v>43</v>
      </c>
      <c r="G41" s="30" t="s">
        <v>86</v>
      </c>
      <c r="H41" s="6" t="s">
        <v>84</v>
      </c>
      <c r="I41" s="26" t="s">
        <v>43</v>
      </c>
      <c r="J41" s="6" t="s">
        <v>82</v>
      </c>
      <c r="K41" s="27" t="s">
        <v>88</v>
      </c>
      <c r="L41" s="28" t="s">
        <v>46</v>
      </c>
      <c r="M41" s="6" t="s">
        <v>83</v>
      </c>
      <c r="N41" s="27" t="s">
        <v>88</v>
      </c>
      <c r="O41" s="6" t="s">
        <v>86</v>
      </c>
      <c r="P41" s="6" t="s">
        <v>84</v>
      </c>
      <c r="Q41" s="6" t="s">
        <v>84</v>
      </c>
      <c r="R41" s="29" t="s">
        <v>62</v>
      </c>
    </row>
    <row r="42" spans="5:18" x14ac:dyDescent="0.15">
      <c r="E42" s="29" t="s">
        <v>63</v>
      </c>
      <c r="F42" s="6" t="s">
        <v>85</v>
      </c>
      <c r="G42" s="30" t="s">
        <v>82</v>
      </c>
      <c r="H42" s="27" t="s">
        <v>88</v>
      </c>
      <c r="I42" s="28" t="s">
        <v>46</v>
      </c>
      <c r="J42" s="6" t="s">
        <v>83</v>
      </c>
      <c r="K42" s="26" t="s">
        <v>43</v>
      </c>
      <c r="L42" s="6" t="s">
        <v>86</v>
      </c>
      <c r="M42" s="6" t="s">
        <v>84</v>
      </c>
      <c r="N42" s="26" t="s">
        <v>43</v>
      </c>
      <c r="O42" s="6" t="s">
        <v>82</v>
      </c>
      <c r="P42" s="27" t="s">
        <v>88</v>
      </c>
      <c r="Q42" s="27" t="s">
        <v>88</v>
      </c>
      <c r="R42" s="29" t="s">
        <v>63</v>
      </c>
    </row>
    <row r="43" spans="5:18" x14ac:dyDescent="0.15">
      <c r="E43" s="29" t="s">
        <v>64</v>
      </c>
      <c r="F43" s="30" t="s">
        <v>86</v>
      </c>
      <c r="G43" s="30" t="s">
        <v>83</v>
      </c>
      <c r="H43" s="26" t="s">
        <v>43</v>
      </c>
      <c r="I43" s="6" t="s">
        <v>86</v>
      </c>
      <c r="J43" s="6" t="s">
        <v>84</v>
      </c>
      <c r="K43" s="28" t="s">
        <v>46</v>
      </c>
      <c r="L43" s="6" t="s">
        <v>82</v>
      </c>
      <c r="M43" s="27" t="s">
        <v>88</v>
      </c>
      <c r="N43" s="6" t="s">
        <v>85</v>
      </c>
      <c r="O43" s="6" t="s">
        <v>83</v>
      </c>
      <c r="P43" s="26" t="s">
        <v>43</v>
      </c>
      <c r="Q43" s="26" t="s">
        <v>43</v>
      </c>
      <c r="R43" s="29" t="s">
        <v>64</v>
      </c>
    </row>
    <row r="44" spans="5:18" x14ac:dyDescent="0.15">
      <c r="E44" s="29" t="s">
        <v>65</v>
      </c>
      <c r="F44" s="30" t="s">
        <v>82</v>
      </c>
      <c r="G44" s="30" t="s">
        <v>84</v>
      </c>
      <c r="H44" s="6" t="s">
        <v>85</v>
      </c>
      <c r="I44" s="6" t="s">
        <v>82</v>
      </c>
      <c r="J44" s="27" t="s">
        <v>88</v>
      </c>
      <c r="K44" s="6" t="s">
        <v>86</v>
      </c>
      <c r="L44" s="6" t="s">
        <v>83</v>
      </c>
      <c r="M44" s="26" t="s">
        <v>43</v>
      </c>
      <c r="N44" s="6" t="s">
        <v>86</v>
      </c>
      <c r="O44" s="6" t="s">
        <v>84</v>
      </c>
      <c r="P44" s="6" t="s">
        <v>85</v>
      </c>
      <c r="Q44" s="6" t="s">
        <v>85</v>
      </c>
      <c r="R44" s="29" t="s">
        <v>65</v>
      </c>
    </row>
    <row r="45" spans="5:18" x14ac:dyDescent="0.15">
      <c r="E45" s="29" t="s">
        <v>66</v>
      </c>
      <c r="F45" s="30" t="s">
        <v>83</v>
      </c>
      <c r="G45" s="39" t="s">
        <v>88</v>
      </c>
      <c r="H45" s="6" t="s">
        <v>86</v>
      </c>
      <c r="I45" s="6" t="s">
        <v>83</v>
      </c>
      <c r="J45" s="26" t="s">
        <v>43</v>
      </c>
      <c r="K45" s="6" t="s">
        <v>82</v>
      </c>
      <c r="L45" s="6" t="s">
        <v>84</v>
      </c>
      <c r="M45" s="6" t="s">
        <v>85</v>
      </c>
      <c r="N45" s="6" t="s">
        <v>82</v>
      </c>
      <c r="O45" s="27" t="s">
        <v>88</v>
      </c>
      <c r="P45" s="6" t="s">
        <v>86</v>
      </c>
      <c r="Q45" s="6" t="s">
        <v>86</v>
      </c>
      <c r="R45" s="29" t="s">
        <v>66</v>
      </c>
    </row>
    <row r="46" spans="5:18" x14ac:dyDescent="0.15">
      <c r="E46" s="29" t="s">
        <v>67</v>
      </c>
      <c r="F46" s="30" t="s">
        <v>84</v>
      </c>
      <c r="G46" s="26" t="s">
        <v>43</v>
      </c>
      <c r="H46" s="6" t="s">
        <v>82</v>
      </c>
      <c r="I46" s="6" t="s">
        <v>84</v>
      </c>
      <c r="J46" s="6" t="s">
        <v>85</v>
      </c>
      <c r="K46" s="6" t="s">
        <v>83</v>
      </c>
      <c r="L46" s="27" t="s">
        <v>88</v>
      </c>
      <c r="M46" s="6" t="s">
        <v>86</v>
      </c>
      <c r="N46" s="6" t="s">
        <v>83</v>
      </c>
      <c r="O46" s="26" t="s">
        <v>43</v>
      </c>
      <c r="P46" s="6" t="s">
        <v>82</v>
      </c>
      <c r="Q46" s="6" t="s">
        <v>82</v>
      </c>
      <c r="R46" s="29" t="s">
        <v>67</v>
      </c>
    </row>
    <row r="47" spans="5:18" x14ac:dyDescent="0.15">
      <c r="E47" s="29" t="s">
        <v>68</v>
      </c>
      <c r="F47" s="39" t="s">
        <v>88</v>
      </c>
      <c r="G47" s="6" t="s">
        <v>85</v>
      </c>
      <c r="H47" s="6" t="s">
        <v>83</v>
      </c>
      <c r="I47" s="27" t="s">
        <v>88</v>
      </c>
      <c r="J47" s="6" t="s">
        <v>86</v>
      </c>
      <c r="K47" s="6" t="s">
        <v>84</v>
      </c>
      <c r="L47" s="26" t="s">
        <v>43</v>
      </c>
      <c r="M47" s="6" t="s">
        <v>82</v>
      </c>
      <c r="N47" s="6" t="s">
        <v>84</v>
      </c>
      <c r="O47" s="6" t="s">
        <v>85</v>
      </c>
      <c r="P47" s="6" t="s">
        <v>83</v>
      </c>
      <c r="Q47" s="28" t="s">
        <v>46</v>
      </c>
      <c r="R47" s="29" t="s">
        <v>68</v>
      </c>
    </row>
    <row r="48" spans="5:18" x14ac:dyDescent="0.15">
      <c r="E48" s="29" t="s">
        <v>69</v>
      </c>
      <c r="F48" s="26" t="s">
        <v>43</v>
      </c>
      <c r="G48" s="30" t="s">
        <v>86</v>
      </c>
      <c r="H48" s="6" t="s">
        <v>84</v>
      </c>
      <c r="I48" s="26" t="s">
        <v>43</v>
      </c>
      <c r="J48" s="6" t="s">
        <v>82</v>
      </c>
      <c r="K48" s="27" t="s">
        <v>88</v>
      </c>
      <c r="L48" s="6" t="s">
        <v>85</v>
      </c>
      <c r="M48" s="6" t="s">
        <v>90</v>
      </c>
      <c r="N48" s="27" t="s">
        <v>88</v>
      </c>
      <c r="O48" s="6" t="s">
        <v>86</v>
      </c>
      <c r="P48" s="6" t="s">
        <v>84</v>
      </c>
      <c r="Q48" s="6" t="s">
        <v>84</v>
      </c>
      <c r="R48" s="29" t="s">
        <v>69</v>
      </c>
    </row>
    <row r="49" spans="5:18" x14ac:dyDescent="0.15">
      <c r="E49" s="29" t="s">
        <v>70</v>
      </c>
      <c r="F49" s="6" t="s">
        <v>85</v>
      </c>
      <c r="G49" s="30" t="s">
        <v>82</v>
      </c>
      <c r="H49" s="27" t="s">
        <v>88</v>
      </c>
      <c r="I49" s="6" t="s">
        <v>85</v>
      </c>
      <c r="J49" s="6" t="s">
        <v>90</v>
      </c>
      <c r="K49" s="28" t="s">
        <v>46</v>
      </c>
      <c r="L49" s="6" t="s">
        <v>86</v>
      </c>
      <c r="M49" s="6" t="s">
        <v>92</v>
      </c>
      <c r="N49" s="26" t="s">
        <v>43</v>
      </c>
      <c r="O49" s="6" t="s">
        <v>82</v>
      </c>
      <c r="P49" s="27" t="s">
        <v>88</v>
      </c>
      <c r="Q49" s="27" t="s">
        <v>88</v>
      </c>
      <c r="R49" s="29" t="s">
        <v>70</v>
      </c>
    </row>
    <row r="50" spans="5:18" x14ac:dyDescent="0.15">
      <c r="E50" s="29" t="s">
        <v>71</v>
      </c>
      <c r="F50" s="30" t="s">
        <v>86</v>
      </c>
      <c r="G50" s="30" t="s">
        <v>90</v>
      </c>
      <c r="H50" s="26" t="s">
        <v>43</v>
      </c>
      <c r="I50" s="6" t="s">
        <v>86</v>
      </c>
      <c r="J50" s="6" t="s">
        <v>92</v>
      </c>
      <c r="K50" s="26" t="s">
        <v>43</v>
      </c>
      <c r="L50" s="6" t="s">
        <v>82</v>
      </c>
      <c r="M50" s="27" t="s">
        <v>88</v>
      </c>
      <c r="N50" s="6" t="s">
        <v>85</v>
      </c>
      <c r="O50" s="6" t="s">
        <v>83</v>
      </c>
      <c r="P50" s="28" t="s">
        <v>46</v>
      </c>
      <c r="Q50" s="26" t="s">
        <v>43</v>
      </c>
      <c r="R50" s="29" t="s">
        <v>71</v>
      </c>
    </row>
    <row r="51" spans="5:18" x14ac:dyDescent="0.15">
      <c r="E51" s="29" t="s">
        <v>72</v>
      </c>
      <c r="F51" s="30" t="s">
        <v>82</v>
      </c>
      <c r="G51" s="6" t="s">
        <v>84</v>
      </c>
      <c r="H51" s="6" t="s">
        <v>85</v>
      </c>
      <c r="I51" s="6" t="s">
        <v>82</v>
      </c>
      <c r="J51" s="27" t="s">
        <v>88</v>
      </c>
      <c r="K51" s="6" t="s">
        <v>86</v>
      </c>
      <c r="L51" s="6" t="s">
        <v>90</v>
      </c>
      <c r="M51" s="26" t="s">
        <v>43</v>
      </c>
      <c r="N51" s="6" t="s">
        <v>86</v>
      </c>
      <c r="O51" s="6" t="s">
        <v>84</v>
      </c>
      <c r="P51" s="26" t="s">
        <v>43</v>
      </c>
      <c r="Q51" s="6" t="s">
        <v>85</v>
      </c>
      <c r="R51" s="29" t="s">
        <v>72</v>
      </c>
    </row>
    <row r="52" spans="5:18" x14ac:dyDescent="0.15">
      <c r="E52" s="29" t="s">
        <v>73</v>
      </c>
      <c r="F52" s="30" t="s">
        <v>90</v>
      </c>
      <c r="G52" s="39" t="s">
        <v>88</v>
      </c>
      <c r="H52" s="6" t="s">
        <v>86</v>
      </c>
      <c r="I52" s="6" t="s">
        <v>90</v>
      </c>
      <c r="J52" s="26" t="s">
        <v>43</v>
      </c>
      <c r="K52" s="6" t="s">
        <v>82</v>
      </c>
      <c r="L52" s="6" t="s">
        <v>92</v>
      </c>
      <c r="M52" s="6" t="s">
        <v>85</v>
      </c>
      <c r="N52" s="6" t="s">
        <v>82</v>
      </c>
      <c r="O52" s="27" t="s">
        <v>88</v>
      </c>
      <c r="P52" s="6" t="s">
        <v>86</v>
      </c>
      <c r="Q52" s="6" t="s">
        <v>86</v>
      </c>
      <c r="R52" s="29" t="s">
        <v>73</v>
      </c>
    </row>
    <row r="53" spans="5:18" x14ac:dyDescent="0.15">
      <c r="E53" s="29" t="s">
        <v>74</v>
      </c>
      <c r="F53" s="6" t="s">
        <v>84</v>
      </c>
      <c r="G53" s="26" t="s">
        <v>43</v>
      </c>
      <c r="H53" s="6" t="s">
        <v>82</v>
      </c>
      <c r="I53" s="6" t="s">
        <v>92</v>
      </c>
      <c r="J53" s="6" t="s">
        <v>85</v>
      </c>
      <c r="K53" s="6" t="s">
        <v>90</v>
      </c>
      <c r="L53" s="27" t="s">
        <v>88</v>
      </c>
      <c r="M53" s="6" t="s">
        <v>86</v>
      </c>
      <c r="N53" s="6" t="s">
        <v>90</v>
      </c>
      <c r="O53" s="26" t="s">
        <v>43</v>
      </c>
      <c r="P53" s="6" t="s">
        <v>82</v>
      </c>
      <c r="Q53" s="6" t="s">
        <v>82</v>
      </c>
      <c r="R53" s="29" t="s">
        <v>74</v>
      </c>
    </row>
    <row r="54" spans="5:18" x14ac:dyDescent="0.15">
      <c r="E54" s="29" t="s">
        <v>75</v>
      </c>
      <c r="F54" s="39" t="s">
        <v>88</v>
      </c>
      <c r="G54" s="6" t="s">
        <v>85</v>
      </c>
      <c r="H54" s="6" t="s">
        <v>90</v>
      </c>
      <c r="I54" s="27" t="s">
        <v>88</v>
      </c>
      <c r="J54" s="6" t="s">
        <v>86</v>
      </c>
      <c r="K54" s="6" t="s">
        <v>92</v>
      </c>
      <c r="L54" s="26" t="s">
        <v>43</v>
      </c>
      <c r="M54" s="6" t="s">
        <v>82</v>
      </c>
      <c r="N54" s="6" t="s">
        <v>92</v>
      </c>
      <c r="O54" s="6" t="s">
        <v>85</v>
      </c>
      <c r="P54" s="6" t="s">
        <v>90</v>
      </c>
      <c r="Q54" s="6" t="s">
        <v>90</v>
      </c>
      <c r="R54" s="29" t="s">
        <v>75</v>
      </c>
    </row>
    <row r="55" spans="5:18" x14ac:dyDescent="0.15">
      <c r="E55" s="29" t="s">
        <v>76</v>
      </c>
      <c r="F55" s="26" t="s">
        <v>43</v>
      </c>
      <c r="G55" s="30" t="s">
        <v>86</v>
      </c>
      <c r="H55" s="6" t="s">
        <v>92</v>
      </c>
      <c r="I55" s="26" t="s">
        <v>43</v>
      </c>
      <c r="J55" s="6" t="s">
        <v>82</v>
      </c>
      <c r="K55" s="27" t="s">
        <v>88</v>
      </c>
      <c r="L55" s="6" t="s">
        <v>85</v>
      </c>
      <c r="M55" s="6" t="s">
        <v>90</v>
      </c>
      <c r="N55" s="27" t="s">
        <v>88</v>
      </c>
      <c r="O55" s="6" t="s">
        <v>86</v>
      </c>
      <c r="P55" s="6" t="s">
        <v>92</v>
      </c>
      <c r="Q55" s="6" t="s">
        <v>92</v>
      </c>
      <c r="R55" s="29" t="s">
        <v>76</v>
      </c>
    </row>
    <row r="56" spans="5:18" x14ac:dyDescent="0.15">
      <c r="E56" s="29" t="s">
        <v>77</v>
      </c>
      <c r="F56" s="28" t="s">
        <v>46</v>
      </c>
      <c r="G56" s="30" t="s">
        <v>82</v>
      </c>
      <c r="H56" s="27" t="s">
        <v>88</v>
      </c>
      <c r="I56" s="6" t="s">
        <v>85</v>
      </c>
      <c r="J56" s="6" t="s">
        <v>90</v>
      </c>
      <c r="K56" s="26" t="s">
        <v>43</v>
      </c>
      <c r="L56" s="6" t="s">
        <v>86</v>
      </c>
      <c r="M56" s="6" t="s">
        <v>92</v>
      </c>
      <c r="N56" s="26" t="s">
        <v>43</v>
      </c>
      <c r="O56" s="6" t="s">
        <v>82</v>
      </c>
      <c r="P56" s="6"/>
      <c r="Q56" s="27" t="s">
        <v>88</v>
      </c>
      <c r="R56" s="29" t="s">
        <v>77</v>
      </c>
    </row>
    <row r="57" spans="5:18" x14ac:dyDescent="0.15">
      <c r="E57" s="29" t="s">
        <v>78</v>
      </c>
      <c r="F57" s="6" t="s">
        <v>91</v>
      </c>
      <c r="G57" s="30" t="s">
        <v>90</v>
      </c>
      <c r="H57" s="26" t="s">
        <v>43</v>
      </c>
      <c r="I57" s="6" t="s">
        <v>86</v>
      </c>
      <c r="J57" s="6" t="s">
        <v>92</v>
      </c>
      <c r="K57" s="6" t="s">
        <v>89</v>
      </c>
      <c r="L57" s="6" t="s">
        <v>82</v>
      </c>
      <c r="M57" s="27" t="s">
        <v>88</v>
      </c>
      <c r="N57" s="26" t="s">
        <v>43</v>
      </c>
      <c r="O57" s="6" t="s">
        <v>90</v>
      </c>
      <c r="P57" s="6"/>
      <c r="Q57" s="26" t="s">
        <v>43</v>
      </c>
      <c r="R57" s="29" t="s">
        <v>78</v>
      </c>
    </row>
    <row r="58" spans="5:18" x14ac:dyDescent="0.15">
      <c r="E58" s="29" t="s">
        <v>79</v>
      </c>
      <c r="F58" s="31"/>
      <c r="G58" s="6" t="s">
        <v>84</v>
      </c>
      <c r="H58" s="32"/>
      <c r="I58" s="6" t="s">
        <v>82</v>
      </c>
      <c r="J58" s="27" t="s">
        <v>88</v>
      </c>
      <c r="K58" s="6"/>
      <c r="L58" s="6" t="s">
        <v>90</v>
      </c>
      <c r="M58" s="32"/>
      <c r="N58" s="26" t="s">
        <v>43</v>
      </c>
      <c r="O58" s="6" t="s">
        <v>92</v>
      </c>
      <c r="P58" s="6"/>
      <c r="Q58" s="6" t="s">
        <v>85</v>
      </c>
      <c r="R58" s="29" t="s">
        <v>79</v>
      </c>
    </row>
    <row r="59" spans="5:18" s="1" customFormat="1" x14ac:dyDescent="0.15">
      <c r="F59" s="33" t="s">
        <v>80</v>
      </c>
      <c r="G59" s="33" t="s">
        <v>80</v>
      </c>
      <c r="J59" s="33" t="s">
        <v>80</v>
      </c>
      <c r="L59" s="33" t="s">
        <v>80</v>
      </c>
      <c r="O59" s="33" t="s">
        <v>80</v>
      </c>
      <c r="P59" s="33" t="s">
        <v>80</v>
      </c>
    </row>
    <row r="60" spans="5:18" ht="13.5" customHeight="1" outlineLevel="1" x14ac:dyDescent="0.15">
      <c r="E60" s="39" t="s">
        <v>87</v>
      </c>
      <c r="F60" s="21">
        <f>COUNTIF(F$28:F$58,$E60)</f>
        <v>4</v>
      </c>
      <c r="G60" s="21">
        <f t="shared" ref="G60:Q60" si="13">COUNTIF(G$28:G$58,$E60)</f>
        <v>4</v>
      </c>
      <c r="H60" s="21">
        <f>COUNTIF(H$28:H$58,$E60)</f>
        <v>5</v>
      </c>
      <c r="I60" s="21">
        <f>COUNTIF(I$28:I$58,$E60)</f>
        <v>4</v>
      </c>
      <c r="J60" s="21">
        <f>COUNTIF(J$28:J$58,$E60)</f>
        <v>5</v>
      </c>
      <c r="K60" s="21">
        <f t="shared" si="13"/>
        <v>4</v>
      </c>
      <c r="L60" s="21">
        <f t="shared" si="13"/>
        <v>4</v>
      </c>
      <c r="M60" s="21">
        <f t="shared" si="13"/>
        <v>5</v>
      </c>
      <c r="N60" s="21">
        <f t="shared" si="13"/>
        <v>4</v>
      </c>
      <c r="O60" s="21">
        <f t="shared" si="13"/>
        <v>4</v>
      </c>
      <c r="P60" s="21">
        <f>COUNTIF(P$28:P$58,$E60)</f>
        <v>4</v>
      </c>
      <c r="Q60" s="21">
        <f t="shared" si="13"/>
        <v>5</v>
      </c>
      <c r="R60">
        <f>SUM(F60:Q60)</f>
        <v>52</v>
      </c>
    </row>
    <row r="61" spans="5:18" ht="13.5" customHeight="1" outlineLevel="1" x14ac:dyDescent="0.15">
      <c r="E61" s="41" t="s">
        <v>46</v>
      </c>
      <c r="F61" s="21">
        <f t="shared" ref="F61:Q64" si="14">COUNTIF(F$28:F$58,$E61)</f>
        <v>1</v>
      </c>
      <c r="G61" s="21">
        <f t="shared" si="14"/>
        <v>2</v>
      </c>
      <c r="H61" s="21">
        <f t="shared" si="14"/>
        <v>0</v>
      </c>
      <c r="I61" s="21">
        <f t="shared" si="14"/>
        <v>1</v>
      </c>
      <c r="J61" s="21">
        <f t="shared" si="14"/>
        <v>1</v>
      </c>
      <c r="K61" s="21">
        <f t="shared" si="14"/>
        <v>2</v>
      </c>
      <c r="L61" s="34">
        <f t="shared" si="14"/>
        <v>1</v>
      </c>
      <c r="M61" s="21">
        <f t="shared" si="14"/>
        <v>1</v>
      </c>
      <c r="N61" s="21">
        <f t="shared" si="14"/>
        <v>0</v>
      </c>
      <c r="O61" s="21">
        <f t="shared" si="14"/>
        <v>2</v>
      </c>
      <c r="P61" s="21">
        <f t="shared" si="14"/>
        <v>2</v>
      </c>
      <c r="Q61" s="21">
        <f t="shared" si="14"/>
        <v>1</v>
      </c>
      <c r="R61" s="34">
        <f>SUM(F61:Q61)</f>
        <v>14</v>
      </c>
    </row>
    <row r="62" spans="5:18" ht="13.5" customHeight="1" outlineLevel="1" x14ac:dyDescent="0.15">
      <c r="E62" s="40" t="s">
        <v>43</v>
      </c>
      <c r="F62" s="21">
        <f>COUNTIF(F$28:F$58,$E62)</f>
        <v>4</v>
      </c>
      <c r="G62" s="21">
        <f t="shared" si="14"/>
        <v>4</v>
      </c>
      <c r="H62" s="21">
        <f t="shared" si="14"/>
        <v>5</v>
      </c>
      <c r="I62" s="21">
        <f>COUNTIF(I$28:I$58,$E62)</f>
        <v>4</v>
      </c>
      <c r="J62" s="21">
        <f t="shared" si="14"/>
        <v>4</v>
      </c>
      <c r="K62" s="21">
        <f t="shared" si="14"/>
        <v>5</v>
      </c>
      <c r="L62" s="21">
        <f t="shared" si="14"/>
        <v>4</v>
      </c>
      <c r="M62" s="21">
        <f t="shared" si="14"/>
        <v>4</v>
      </c>
      <c r="N62" s="21">
        <f t="shared" si="14"/>
        <v>7</v>
      </c>
      <c r="O62" s="21">
        <f t="shared" si="14"/>
        <v>6</v>
      </c>
      <c r="P62" s="21">
        <f>COUNTIF(P$28:P$58,$E62)</f>
        <v>4</v>
      </c>
      <c r="Q62" s="21">
        <f t="shared" si="14"/>
        <v>5</v>
      </c>
      <c r="R62" s="34">
        <f>SUM(F62:Q62)</f>
        <v>56</v>
      </c>
    </row>
    <row r="63" spans="5:18" ht="13.5" customHeight="1" outlineLevel="1" x14ac:dyDescent="0.15">
      <c r="E63" s="42" t="s">
        <v>81</v>
      </c>
      <c r="F63" s="35">
        <f t="shared" ref="F63:Q63" si="15">SUM(F60:F62)</f>
        <v>9</v>
      </c>
      <c r="G63" s="35">
        <f t="shared" si="15"/>
        <v>10</v>
      </c>
      <c r="H63" s="35">
        <f t="shared" si="15"/>
        <v>10</v>
      </c>
      <c r="I63" s="35">
        <f t="shared" si="15"/>
        <v>9</v>
      </c>
      <c r="J63" s="35">
        <f t="shared" si="15"/>
        <v>10</v>
      </c>
      <c r="K63" s="35">
        <f t="shared" si="15"/>
        <v>11</v>
      </c>
      <c r="L63" s="35">
        <f t="shared" si="15"/>
        <v>9</v>
      </c>
      <c r="M63" s="34">
        <f t="shared" si="15"/>
        <v>10</v>
      </c>
      <c r="N63" s="35">
        <f t="shared" si="15"/>
        <v>11</v>
      </c>
      <c r="O63" s="35">
        <f t="shared" si="15"/>
        <v>12</v>
      </c>
      <c r="P63" s="35">
        <f t="shared" si="15"/>
        <v>10</v>
      </c>
      <c r="Q63" s="35">
        <f t="shared" si="15"/>
        <v>11</v>
      </c>
      <c r="R63">
        <f>SUM(F63:Q63)</f>
        <v>122</v>
      </c>
    </row>
    <row r="64" spans="5:18" ht="13.5" customHeight="1" outlineLevel="1" x14ac:dyDescent="0.15">
      <c r="E64" s="38" t="s">
        <v>50</v>
      </c>
      <c r="F64" s="21">
        <f>COUNTIF(F$28:F$58,$E64)</f>
        <v>0</v>
      </c>
      <c r="G64" s="21">
        <f t="shared" si="14"/>
        <v>0</v>
      </c>
      <c r="H64" s="21">
        <f t="shared" si="14"/>
        <v>0</v>
      </c>
      <c r="I64" s="21">
        <f>COUNTIF(I$28:I$58,$E64)</f>
        <v>0</v>
      </c>
      <c r="J64" s="21">
        <f t="shared" si="14"/>
        <v>0</v>
      </c>
      <c r="K64" s="21">
        <f t="shared" si="14"/>
        <v>0</v>
      </c>
      <c r="L64" s="21">
        <f t="shared" si="14"/>
        <v>0</v>
      </c>
      <c r="M64" s="21">
        <f t="shared" si="14"/>
        <v>0</v>
      </c>
      <c r="N64" s="21">
        <f t="shared" si="14"/>
        <v>0</v>
      </c>
      <c r="O64" s="21">
        <f t="shared" si="14"/>
        <v>0</v>
      </c>
      <c r="P64" s="21">
        <f t="shared" si="14"/>
        <v>0</v>
      </c>
      <c r="Q64" s="21">
        <f t="shared" si="14"/>
        <v>0</v>
      </c>
      <c r="R64" s="34">
        <f>SUM(F64:Q64)</f>
        <v>0</v>
      </c>
    </row>
    <row r="65" spans="5:18" ht="13.5" customHeight="1" outlineLevel="1" x14ac:dyDescent="0.15">
      <c r="E65" s="33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>
        <f>SUM(R60:R62)</f>
        <v>122</v>
      </c>
    </row>
    <row r="66" spans="5:18" ht="21.95" customHeight="1" x14ac:dyDescent="0.15">
      <c r="E66" t="s">
        <v>94</v>
      </c>
      <c r="F66" s="21"/>
      <c r="R66" s="36"/>
    </row>
    <row r="67" spans="5:18" ht="21.95" customHeight="1" x14ac:dyDescent="0.15">
      <c r="F67" s="21"/>
      <c r="O67" s="37"/>
      <c r="R67" s="36"/>
    </row>
    <row r="68" spans="5:18" ht="21.95" customHeight="1" x14ac:dyDescent="0.15">
      <c r="F68" s="21"/>
    </row>
    <row r="69" spans="5:18" ht="21.95" customHeight="1" x14ac:dyDescent="0.15">
      <c r="F69" s="21"/>
    </row>
    <row r="70" spans="5:18" ht="21.95" customHeight="1" x14ac:dyDescent="0.15">
      <c r="F70" s="21"/>
    </row>
    <row r="71" spans="5:18" ht="21.95" customHeight="1" x14ac:dyDescent="0.15"/>
    <row r="72" spans="5:18" ht="21.95" customHeight="1" x14ac:dyDescent="0.15"/>
    <row r="73" spans="5:18" ht="21.95" customHeight="1" x14ac:dyDescent="0.15"/>
  </sheetData>
  <mergeCells count="37">
    <mergeCell ref="B4:E4"/>
    <mergeCell ref="R4:S4"/>
    <mergeCell ref="R1:S1"/>
    <mergeCell ref="B2:E2"/>
    <mergeCell ref="R2:S2"/>
    <mergeCell ref="B3:E3"/>
    <mergeCell ref="R3:S3"/>
    <mergeCell ref="R12:S12"/>
    <mergeCell ref="B5:B8"/>
    <mergeCell ref="C5:E5"/>
    <mergeCell ref="R5:S5"/>
    <mergeCell ref="C6:E6"/>
    <mergeCell ref="R6:S6"/>
    <mergeCell ref="C7:E7"/>
    <mergeCell ref="R7:S7"/>
    <mergeCell ref="C8:E8"/>
    <mergeCell ref="R8:S8"/>
    <mergeCell ref="C9:E9"/>
    <mergeCell ref="R9:S9"/>
    <mergeCell ref="C10:D11"/>
    <mergeCell ref="R10:S10"/>
    <mergeCell ref="R11:S11"/>
    <mergeCell ref="R13:S13"/>
    <mergeCell ref="R14:S14"/>
    <mergeCell ref="C15:D18"/>
    <mergeCell ref="R15:S15"/>
    <mergeCell ref="R16:S16"/>
    <mergeCell ref="R17:S17"/>
    <mergeCell ref="R18:S18"/>
    <mergeCell ref="F23:M23"/>
    <mergeCell ref="N23:S23"/>
    <mergeCell ref="F20:M20"/>
    <mergeCell ref="N20:S20"/>
    <mergeCell ref="F21:M21"/>
    <mergeCell ref="N21:S21"/>
    <mergeCell ref="F22:M22"/>
    <mergeCell ref="N22:S22"/>
  </mergeCells>
  <phoneticPr fontId="2"/>
  <pageMargins left="0.19685039370078741" right="0.27559055118110237" top="0.98425196850393704" bottom="0.35433070866141736" header="0.51181102362204722" footer="0.19685039370078741"/>
  <pageSetup paperSize="9" scale="85" orientation="portrait" horizontalDpi="4294967293" r:id="rId1"/>
  <headerFooter alignWithMargins="0">
    <oddHeader>&amp;L＜別紙＞&amp;C&amp;"ＭＳ Ｐゴシック,太字"&amp;14&amp;U&amp;A
（2024年4月１日～2025年3月31日）&amp;R2024年2月14日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年間勤務表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kentaro.wakabayashi</dc:creator>
  <cp:lastModifiedBy>asada</cp:lastModifiedBy>
  <cp:lastPrinted>2020-03-03T05:02:12Z</cp:lastPrinted>
  <dcterms:created xsi:type="dcterms:W3CDTF">2019-03-08T05:36:39Z</dcterms:created>
  <dcterms:modified xsi:type="dcterms:W3CDTF">2024-02-14T07:45:27Z</dcterms:modified>
</cp:coreProperties>
</file>