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7\"/>
    </mc:Choice>
  </mc:AlternateContent>
  <xr:revisionPtr revIDLastSave="0" documentId="13_ncr:1_{BC79F44B-00E5-494B-B61C-3822666D0605}" xr6:coauthVersionLast="47" xr6:coauthVersionMax="47" xr10:uidLastSave="{00000000-0000-0000-0000-000000000000}"/>
  <bookViews>
    <workbookView xWindow="-120" yWindow="-120" windowWidth="20730" windowHeight="11160" xr2:uid="{FFF03FF3-6C70-4DA3-AFA6-FE480DA01A32}"/>
  </bookViews>
  <sheets>
    <sheet name="2024年 7月度給与 (2)" sheetId="3" r:id="rId1"/>
  </sheets>
  <definedNames>
    <definedName name="_xlnm.Print_Area" localSheetId="0">'2024年 7月度給与 (2)'!$A$1:$M$47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3" l="1"/>
  <c r="M24" i="3"/>
  <c r="M28" i="3"/>
  <c r="M32" i="3"/>
  <c r="M36" i="3"/>
  <c r="M40" i="3"/>
  <c r="M46" i="3"/>
  <c r="M8" i="3"/>
  <c r="M12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5" i="3"/>
  <c r="L46" i="3"/>
  <c r="L16" i="3"/>
  <c r="L6" i="3"/>
  <c r="M6" i="3" s="1"/>
  <c r="L7" i="3"/>
  <c r="M7" i="3" s="1"/>
  <c r="L8" i="3"/>
  <c r="L9" i="3"/>
  <c r="M9" i="3" s="1"/>
  <c r="L10" i="3"/>
  <c r="M10" i="3" s="1"/>
  <c r="L11" i="3"/>
  <c r="M11" i="3" s="1"/>
  <c r="L12" i="3"/>
  <c r="L13" i="3"/>
  <c r="M13" i="3" s="1"/>
  <c r="L14" i="3"/>
  <c r="M14" i="3" s="1"/>
  <c r="L5" i="3"/>
  <c r="M5" i="3" s="1"/>
  <c r="E17" i="3"/>
  <c r="M17" i="3" s="1"/>
  <c r="E18" i="3"/>
  <c r="M18" i="3" s="1"/>
  <c r="E19" i="3"/>
  <c r="M19" i="3" s="1"/>
  <c r="E20" i="3"/>
  <c r="E21" i="3"/>
  <c r="M21" i="3" s="1"/>
  <c r="E22" i="3"/>
  <c r="M22" i="3" s="1"/>
  <c r="E23" i="3"/>
  <c r="M23" i="3" s="1"/>
  <c r="E24" i="3"/>
  <c r="E25" i="3"/>
  <c r="M25" i="3" s="1"/>
  <c r="E26" i="3"/>
  <c r="M26" i="3" s="1"/>
  <c r="E27" i="3"/>
  <c r="M27" i="3" s="1"/>
  <c r="E28" i="3"/>
  <c r="E29" i="3"/>
  <c r="M29" i="3" s="1"/>
  <c r="E30" i="3"/>
  <c r="M30" i="3" s="1"/>
  <c r="E31" i="3"/>
  <c r="M31" i="3" s="1"/>
  <c r="E32" i="3"/>
  <c r="E33" i="3"/>
  <c r="M33" i="3" s="1"/>
  <c r="E34" i="3"/>
  <c r="M34" i="3" s="1"/>
  <c r="E35" i="3"/>
  <c r="M35" i="3" s="1"/>
  <c r="E36" i="3"/>
  <c r="E37" i="3"/>
  <c r="M37" i="3" s="1"/>
  <c r="E38" i="3"/>
  <c r="M38" i="3" s="1"/>
  <c r="E39" i="3"/>
  <c r="M39" i="3" s="1"/>
  <c r="E40" i="3"/>
  <c r="E41" i="3"/>
  <c r="M41" i="3" s="1"/>
  <c r="E42" i="3"/>
  <c r="M42" i="3" s="1"/>
  <c r="E45" i="3"/>
  <c r="M45" i="3" s="1"/>
  <c r="E46" i="3"/>
  <c r="E16" i="3"/>
  <c r="M16" i="3" s="1"/>
  <c r="E6" i="3"/>
  <c r="E7" i="3"/>
  <c r="E8" i="3"/>
  <c r="E9" i="3"/>
  <c r="E10" i="3"/>
  <c r="E11" i="3"/>
  <c r="E12" i="3"/>
  <c r="E13" i="3"/>
  <c r="E14" i="3"/>
  <c r="E5" i="3"/>
</calcChain>
</file>

<file path=xl/sharedStrings.xml><?xml version="1.0" encoding="utf-8"?>
<sst xmlns="http://schemas.openxmlformats.org/spreadsheetml/2006/main" count="118" uniqueCount="66">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</sst>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6" xfId="1" applyNumberFormat="1" applyFont="1" applyBorder="1"/>
    <xf numFmtId="49" fontId="2" fillId="0" borderId="5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176" fontId="2" fillId="0" borderId="17" xfId="1" applyNumberFormat="1" applyFont="1" applyBorder="1"/>
    <xf numFmtId="176" fontId="2" fillId="0" borderId="18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0" fontId="2" fillId="0" borderId="2" xfId="1" applyFont="1" applyBorder="1"/>
  </cellXfs>
  <cellStyles count="2">
    <cellStyle name="標準" xfId="0" builtinId="0"/>
    <cellStyle name="標準 2" xfId="1" xr:uid="{2DAD32C2-2E13-4298-8949-1932C1BD9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14D8-45FF-4006-8DDF-21381B789309}">
  <sheetPr>
    <pageSetUpPr fitToPage="1"/>
  </sheetPr>
  <dimension ref="A1:M4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J6" sqref="J6"/>
    </sheetView>
  </sheetViews>
  <sheetFormatPr defaultRowHeight="18.75"/>
  <cols>
    <col min="1" max="1" width="2.375" style="2" customWidth="1"/>
    <col min="2" max="2" width="13.25" style="2" bestFit="1" customWidth="1"/>
    <col min="3" max="13" width="11.8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62</v>
      </c>
    </row>
    <row r="3" spans="1:13">
      <c r="B3" s="3"/>
      <c r="C3" s="33" t="s">
        <v>4</v>
      </c>
      <c r="D3" s="60" t="s">
        <v>9</v>
      </c>
      <c r="E3" s="61" t="s">
        <v>63</v>
      </c>
      <c r="F3" s="32" t="s">
        <v>2</v>
      </c>
      <c r="G3" s="33" t="s">
        <v>3</v>
      </c>
      <c r="H3" s="33" t="s">
        <v>5</v>
      </c>
      <c r="I3" s="33" t="s">
        <v>6</v>
      </c>
      <c r="J3" s="33" t="s">
        <v>7</v>
      </c>
      <c r="K3" s="63" t="s">
        <v>8</v>
      </c>
      <c r="L3" s="61" t="s">
        <v>63</v>
      </c>
      <c r="M3" s="76"/>
    </row>
    <row r="4" spans="1:13" ht="19.5" thickBot="1">
      <c r="B4" s="56" t="s">
        <v>10</v>
      </c>
      <c r="C4" s="58" t="s">
        <v>13</v>
      </c>
      <c r="D4" s="59" t="s">
        <v>18</v>
      </c>
      <c r="E4" s="62" t="s">
        <v>64</v>
      </c>
      <c r="F4" s="57" t="s">
        <v>11</v>
      </c>
      <c r="G4" s="58" t="s">
        <v>12</v>
      </c>
      <c r="H4" s="58" t="s">
        <v>14</v>
      </c>
      <c r="I4" s="58" t="s">
        <v>15</v>
      </c>
      <c r="J4" s="58" t="s">
        <v>16</v>
      </c>
      <c r="K4" s="64" t="s">
        <v>17</v>
      </c>
      <c r="L4" s="62" t="s">
        <v>65</v>
      </c>
      <c r="M4" s="56" t="s">
        <v>19</v>
      </c>
    </row>
    <row r="5" spans="1:13">
      <c r="A5" s="1" t="s">
        <v>1</v>
      </c>
      <c r="B5" s="15" t="s">
        <v>20</v>
      </c>
      <c r="C5" s="35">
        <v>23</v>
      </c>
      <c r="D5" s="16">
        <v>11</v>
      </c>
      <c r="E5" s="17">
        <f>SUM(C5:D5)</f>
        <v>34</v>
      </c>
      <c r="F5" s="34">
        <v>19</v>
      </c>
      <c r="G5" s="35">
        <v>19</v>
      </c>
      <c r="H5" s="35">
        <v>19</v>
      </c>
      <c r="I5" s="35">
        <v>18</v>
      </c>
      <c r="J5" s="35">
        <v>22</v>
      </c>
      <c r="K5" s="65">
        <v>20</v>
      </c>
      <c r="L5" s="17">
        <f>SUM(F5:K5)</f>
        <v>117</v>
      </c>
      <c r="M5" s="17">
        <f>SUM(L5,E5)</f>
        <v>151</v>
      </c>
    </row>
    <row r="6" spans="1:13">
      <c r="A6" s="1" t="s">
        <v>1</v>
      </c>
      <c r="B6" s="18" t="s">
        <v>21</v>
      </c>
      <c r="C6" s="37">
        <v>0</v>
      </c>
      <c r="D6" s="19">
        <v>0</v>
      </c>
      <c r="E6" s="20">
        <f t="shared" ref="E6:E14" si="0">SUM(C6:D6)</f>
        <v>0</v>
      </c>
      <c r="F6" s="36">
        <v>0</v>
      </c>
      <c r="G6" s="37">
        <v>0</v>
      </c>
      <c r="H6" s="37">
        <v>2</v>
      </c>
      <c r="I6" s="37">
        <v>0</v>
      </c>
      <c r="J6" s="37">
        <v>2</v>
      </c>
      <c r="K6" s="66">
        <v>3</v>
      </c>
      <c r="L6" s="20">
        <f t="shared" ref="L6:L14" si="1">SUM(F6:K6)</f>
        <v>7</v>
      </c>
      <c r="M6" s="20">
        <f t="shared" ref="M6:M14" si="2">SUM(L6,E6)</f>
        <v>7</v>
      </c>
    </row>
    <row r="7" spans="1:13">
      <c r="A7" s="1" t="s">
        <v>1</v>
      </c>
      <c r="B7" s="18" t="s">
        <v>22</v>
      </c>
      <c r="C7" s="37">
        <v>0</v>
      </c>
      <c r="D7" s="19">
        <v>0</v>
      </c>
      <c r="E7" s="20">
        <f t="shared" si="0"/>
        <v>0</v>
      </c>
      <c r="F7" s="36">
        <v>1</v>
      </c>
      <c r="G7" s="37">
        <v>0</v>
      </c>
      <c r="H7" s="37">
        <v>1</v>
      </c>
      <c r="I7" s="37">
        <v>0</v>
      </c>
      <c r="J7" s="37">
        <v>1</v>
      </c>
      <c r="K7" s="66">
        <v>1</v>
      </c>
      <c r="L7" s="20">
        <f t="shared" si="1"/>
        <v>4</v>
      </c>
      <c r="M7" s="20">
        <f t="shared" si="2"/>
        <v>4</v>
      </c>
    </row>
    <row r="8" spans="1:13">
      <c r="A8" s="1" t="s">
        <v>1</v>
      </c>
      <c r="B8" s="18" t="s">
        <v>23</v>
      </c>
      <c r="C8" s="37">
        <v>0</v>
      </c>
      <c r="D8" s="19">
        <v>1</v>
      </c>
      <c r="E8" s="20">
        <f t="shared" si="0"/>
        <v>1</v>
      </c>
      <c r="F8" s="36">
        <v>4</v>
      </c>
      <c r="G8" s="37">
        <v>4</v>
      </c>
      <c r="H8" s="37">
        <v>4</v>
      </c>
      <c r="I8" s="37">
        <v>5</v>
      </c>
      <c r="J8" s="37">
        <v>1</v>
      </c>
      <c r="K8" s="66">
        <v>3</v>
      </c>
      <c r="L8" s="20">
        <f t="shared" si="1"/>
        <v>21</v>
      </c>
      <c r="M8" s="20">
        <f t="shared" si="2"/>
        <v>22</v>
      </c>
    </row>
    <row r="9" spans="1:13">
      <c r="A9" s="1" t="s">
        <v>1</v>
      </c>
      <c r="B9" s="18" t="s">
        <v>24</v>
      </c>
      <c r="C9" s="39">
        <v>0</v>
      </c>
      <c r="D9" s="21">
        <v>3.0416666666666665</v>
      </c>
      <c r="E9" s="22">
        <f t="shared" si="0"/>
        <v>3.0416666666666665</v>
      </c>
      <c r="F9" s="38">
        <v>0</v>
      </c>
      <c r="G9" s="39">
        <v>0</v>
      </c>
      <c r="H9" s="39">
        <v>0</v>
      </c>
      <c r="I9" s="39">
        <v>0</v>
      </c>
      <c r="J9" s="39">
        <v>0</v>
      </c>
      <c r="K9" s="67">
        <v>0</v>
      </c>
      <c r="L9" s="22">
        <f t="shared" si="1"/>
        <v>0</v>
      </c>
      <c r="M9" s="22">
        <f t="shared" si="2"/>
        <v>3.0416666666666665</v>
      </c>
    </row>
    <row r="10" spans="1:13">
      <c r="A10" s="1" t="s">
        <v>1</v>
      </c>
      <c r="B10" s="18" t="s">
        <v>25</v>
      </c>
      <c r="C10" s="39">
        <v>0</v>
      </c>
      <c r="D10" s="21">
        <v>0</v>
      </c>
      <c r="E10" s="22">
        <f t="shared" si="0"/>
        <v>0</v>
      </c>
      <c r="F10" s="38">
        <v>2.1666666666666665</v>
      </c>
      <c r="G10" s="39">
        <v>1.75</v>
      </c>
      <c r="H10" s="39">
        <v>1.6666666666666665</v>
      </c>
      <c r="I10" s="39">
        <v>1.5416666666666665</v>
      </c>
      <c r="J10" s="39">
        <v>1.2916666666666667</v>
      </c>
      <c r="K10" s="67">
        <v>1.75</v>
      </c>
      <c r="L10" s="22">
        <f t="shared" si="1"/>
        <v>10.166666666666666</v>
      </c>
      <c r="M10" s="22">
        <f t="shared" si="2"/>
        <v>10.166666666666666</v>
      </c>
    </row>
    <row r="11" spans="1:13">
      <c r="A11" s="1" t="s">
        <v>1</v>
      </c>
      <c r="B11" s="18" t="s">
        <v>26</v>
      </c>
      <c r="C11" s="39">
        <v>0</v>
      </c>
      <c r="D11" s="21">
        <v>0</v>
      </c>
      <c r="E11" s="22">
        <f t="shared" si="0"/>
        <v>0</v>
      </c>
      <c r="F11" s="38">
        <v>0</v>
      </c>
      <c r="G11" s="39">
        <v>0</v>
      </c>
      <c r="H11" s="39">
        <v>0.625</v>
      </c>
      <c r="I11" s="39">
        <v>0</v>
      </c>
      <c r="J11" s="39">
        <v>0.91666666666666663</v>
      </c>
      <c r="K11" s="67">
        <v>0.79166666666666663</v>
      </c>
      <c r="L11" s="22">
        <f t="shared" si="1"/>
        <v>2.333333333333333</v>
      </c>
      <c r="M11" s="22">
        <f t="shared" si="2"/>
        <v>2.333333333333333</v>
      </c>
    </row>
    <row r="12" spans="1:13">
      <c r="A12" s="1" t="s">
        <v>1</v>
      </c>
      <c r="B12" s="18" t="s">
        <v>27</v>
      </c>
      <c r="C12" s="39">
        <v>0</v>
      </c>
      <c r="D12" s="21">
        <v>0</v>
      </c>
      <c r="E12" s="22">
        <f t="shared" si="0"/>
        <v>0</v>
      </c>
      <c r="F12" s="38">
        <v>0.25</v>
      </c>
      <c r="G12" s="39">
        <v>0</v>
      </c>
      <c r="H12" s="39">
        <v>0.25</v>
      </c>
      <c r="I12" s="39">
        <v>0</v>
      </c>
      <c r="J12" s="39">
        <v>0.20833333333333334</v>
      </c>
      <c r="K12" s="67">
        <v>0.33333333333333331</v>
      </c>
      <c r="L12" s="22">
        <f t="shared" si="1"/>
        <v>1.0416666666666667</v>
      </c>
      <c r="M12" s="22">
        <f t="shared" si="2"/>
        <v>1.0416666666666667</v>
      </c>
    </row>
    <row r="13" spans="1:13">
      <c r="A13" s="1" t="s">
        <v>1</v>
      </c>
      <c r="B13" s="18" t="s">
        <v>28</v>
      </c>
      <c r="C13" s="39">
        <v>0</v>
      </c>
      <c r="D13" s="21">
        <v>0.29166666666666669</v>
      </c>
      <c r="E13" s="22">
        <f t="shared" si="0"/>
        <v>0.29166666666666669</v>
      </c>
      <c r="F13" s="38">
        <v>0</v>
      </c>
      <c r="G13" s="39">
        <v>0</v>
      </c>
      <c r="H13" s="39">
        <v>0</v>
      </c>
      <c r="I13" s="39">
        <v>0</v>
      </c>
      <c r="J13" s="39">
        <v>0</v>
      </c>
      <c r="K13" s="67">
        <v>0</v>
      </c>
      <c r="L13" s="22">
        <f t="shared" si="1"/>
        <v>0</v>
      </c>
      <c r="M13" s="22">
        <f t="shared" si="2"/>
        <v>0.29166666666666669</v>
      </c>
    </row>
    <row r="14" spans="1:13">
      <c r="A14" s="1" t="s">
        <v>1</v>
      </c>
      <c r="B14" s="4" t="s">
        <v>29</v>
      </c>
      <c r="C14" s="41">
        <v>0</v>
      </c>
      <c r="D14" s="5">
        <v>0</v>
      </c>
      <c r="E14" s="6">
        <f t="shared" si="0"/>
        <v>0</v>
      </c>
      <c r="F14" s="40">
        <v>0.41666666666666669</v>
      </c>
      <c r="G14" s="41">
        <v>0.33333333333333331</v>
      </c>
      <c r="H14" s="41">
        <v>0.20833333333333334</v>
      </c>
      <c r="I14" s="41">
        <v>0.45833333333333331</v>
      </c>
      <c r="J14" s="41">
        <v>0.20833333333333334</v>
      </c>
      <c r="K14" s="68">
        <v>0.33333333333333331</v>
      </c>
      <c r="L14" s="6">
        <f t="shared" si="1"/>
        <v>1.9583333333333333</v>
      </c>
      <c r="M14" s="6">
        <f t="shared" si="2"/>
        <v>1.9583333333333333</v>
      </c>
    </row>
    <row r="15" spans="1:13">
      <c r="A15" s="1" t="s">
        <v>1</v>
      </c>
      <c r="B15" s="12" t="s">
        <v>30</v>
      </c>
      <c r="C15" s="43">
        <v>39</v>
      </c>
      <c r="D15" s="13">
        <v>8</v>
      </c>
      <c r="E15" s="14"/>
      <c r="F15" s="42">
        <v>25</v>
      </c>
      <c r="G15" s="43">
        <v>28</v>
      </c>
      <c r="H15" s="43">
        <v>34</v>
      </c>
      <c r="I15" s="43">
        <v>16</v>
      </c>
      <c r="J15" s="43">
        <v>34</v>
      </c>
      <c r="K15" s="69">
        <v>34</v>
      </c>
      <c r="L15" s="14"/>
      <c r="M15" s="14"/>
    </row>
    <row r="16" spans="1:13">
      <c r="A16" s="1" t="s">
        <v>1</v>
      </c>
      <c r="B16" s="25" t="s">
        <v>31</v>
      </c>
      <c r="C16" s="49">
        <v>355000</v>
      </c>
      <c r="D16" s="26">
        <v>0</v>
      </c>
      <c r="E16" s="27">
        <f>SUM(C16:D16)</f>
        <v>355000</v>
      </c>
      <c r="F16" s="48">
        <v>177000</v>
      </c>
      <c r="G16" s="49">
        <v>192000</v>
      </c>
      <c r="H16" s="49">
        <v>177000</v>
      </c>
      <c r="I16" s="49">
        <v>177000</v>
      </c>
      <c r="J16" s="49">
        <v>177000</v>
      </c>
      <c r="K16" s="70">
        <v>170000</v>
      </c>
      <c r="L16" s="27">
        <f>SUM(F16:K16)</f>
        <v>1070000</v>
      </c>
      <c r="M16" s="27">
        <f>E16+L16</f>
        <v>1425000</v>
      </c>
    </row>
    <row r="17" spans="1:13">
      <c r="A17" s="1" t="s">
        <v>1</v>
      </c>
      <c r="B17" s="18" t="s">
        <v>32</v>
      </c>
      <c r="C17" s="51">
        <v>0</v>
      </c>
      <c r="D17" s="28">
        <v>0</v>
      </c>
      <c r="E17" s="29">
        <f t="shared" ref="E17:E46" si="3">SUM(C17:D17)</f>
        <v>0</v>
      </c>
      <c r="F17" s="50">
        <v>0</v>
      </c>
      <c r="G17" s="51">
        <v>5000</v>
      </c>
      <c r="H17" s="51">
        <v>0</v>
      </c>
      <c r="I17" s="51">
        <v>0</v>
      </c>
      <c r="J17" s="51">
        <v>0</v>
      </c>
      <c r="K17" s="71">
        <v>0</v>
      </c>
      <c r="L17" s="29">
        <f t="shared" ref="L17:L46" si="4">SUM(F17:K17)</f>
        <v>5000</v>
      </c>
      <c r="M17" s="29">
        <f t="shared" ref="M17:M46" si="5">E17+L17</f>
        <v>5000</v>
      </c>
    </row>
    <row r="18" spans="1:13">
      <c r="A18" s="1" t="s">
        <v>1</v>
      </c>
      <c r="B18" s="18" t="s">
        <v>33</v>
      </c>
      <c r="C18" s="51">
        <v>0</v>
      </c>
      <c r="D18" s="28">
        <v>0</v>
      </c>
      <c r="E18" s="29">
        <f t="shared" si="3"/>
        <v>0</v>
      </c>
      <c r="F18" s="50">
        <v>6000</v>
      </c>
      <c r="G18" s="51">
        <v>0</v>
      </c>
      <c r="H18" s="51">
        <v>15000</v>
      </c>
      <c r="I18" s="51">
        <v>0</v>
      </c>
      <c r="J18" s="51">
        <v>0</v>
      </c>
      <c r="K18" s="71">
        <v>0</v>
      </c>
      <c r="L18" s="29">
        <f t="shared" si="4"/>
        <v>21000</v>
      </c>
      <c r="M18" s="29">
        <f t="shared" si="5"/>
        <v>21000</v>
      </c>
    </row>
    <row r="19" spans="1:13">
      <c r="A19" s="1" t="s">
        <v>1</v>
      </c>
      <c r="B19" s="18" t="s">
        <v>34</v>
      </c>
      <c r="C19" s="51">
        <v>50000</v>
      </c>
      <c r="D19" s="28">
        <v>0</v>
      </c>
      <c r="E19" s="29">
        <f t="shared" si="3"/>
        <v>50000</v>
      </c>
      <c r="F19" s="50">
        <v>50000</v>
      </c>
      <c r="G19" s="51">
        <v>50000</v>
      </c>
      <c r="H19" s="51">
        <v>50000</v>
      </c>
      <c r="I19" s="51">
        <v>50000</v>
      </c>
      <c r="J19" s="51">
        <v>50000</v>
      </c>
      <c r="K19" s="71">
        <v>50000</v>
      </c>
      <c r="L19" s="29">
        <f t="shared" si="4"/>
        <v>300000</v>
      </c>
      <c r="M19" s="29">
        <f t="shared" si="5"/>
        <v>350000</v>
      </c>
    </row>
    <row r="20" spans="1:13">
      <c r="A20" s="1" t="s">
        <v>1</v>
      </c>
      <c r="B20" s="18" t="s">
        <v>35</v>
      </c>
      <c r="C20" s="51">
        <v>0</v>
      </c>
      <c r="D20" s="28">
        <v>87600</v>
      </c>
      <c r="E20" s="29">
        <f t="shared" si="3"/>
        <v>87600</v>
      </c>
      <c r="F20" s="50">
        <v>0</v>
      </c>
      <c r="G20" s="51">
        <v>0</v>
      </c>
      <c r="H20" s="51">
        <v>0</v>
      </c>
      <c r="I20" s="51">
        <v>0</v>
      </c>
      <c r="J20" s="51">
        <v>0</v>
      </c>
      <c r="K20" s="71">
        <v>0</v>
      </c>
      <c r="L20" s="29">
        <f t="shared" si="4"/>
        <v>0</v>
      </c>
      <c r="M20" s="29">
        <f t="shared" si="5"/>
        <v>87600</v>
      </c>
    </row>
    <row r="21" spans="1:13">
      <c r="A21" s="1" t="s">
        <v>1</v>
      </c>
      <c r="B21" s="18" t="s">
        <v>36</v>
      </c>
      <c r="C21" s="51">
        <v>0</v>
      </c>
      <c r="D21" s="28">
        <v>0</v>
      </c>
      <c r="E21" s="29">
        <f t="shared" si="3"/>
        <v>0</v>
      </c>
      <c r="F21" s="50">
        <v>3500</v>
      </c>
      <c r="G21" s="51">
        <v>3500</v>
      </c>
      <c r="H21" s="51">
        <v>1000</v>
      </c>
      <c r="I21" s="51">
        <v>3500</v>
      </c>
      <c r="J21" s="51">
        <v>3500</v>
      </c>
      <c r="K21" s="71">
        <v>3500</v>
      </c>
      <c r="L21" s="29">
        <f t="shared" si="4"/>
        <v>18500</v>
      </c>
      <c r="M21" s="29">
        <f t="shared" si="5"/>
        <v>18500</v>
      </c>
    </row>
    <row r="22" spans="1:13">
      <c r="A22" s="1" t="s">
        <v>1</v>
      </c>
      <c r="B22" s="18" t="s">
        <v>37</v>
      </c>
      <c r="C22" s="51">
        <v>0</v>
      </c>
      <c r="D22" s="28">
        <v>8400</v>
      </c>
      <c r="E22" s="29">
        <f t="shared" si="3"/>
        <v>8400</v>
      </c>
      <c r="F22" s="50">
        <v>0</v>
      </c>
      <c r="G22" s="51">
        <v>0</v>
      </c>
      <c r="H22" s="51">
        <v>0</v>
      </c>
      <c r="I22" s="51">
        <v>0</v>
      </c>
      <c r="J22" s="51">
        <v>0</v>
      </c>
      <c r="K22" s="71">
        <v>0</v>
      </c>
      <c r="L22" s="29">
        <f t="shared" si="4"/>
        <v>0</v>
      </c>
      <c r="M22" s="29">
        <f t="shared" si="5"/>
        <v>8400</v>
      </c>
    </row>
    <row r="23" spans="1:13">
      <c r="A23" s="1" t="s">
        <v>1</v>
      </c>
      <c r="B23" s="18" t="s">
        <v>38</v>
      </c>
      <c r="C23" s="51">
        <v>0</v>
      </c>
      <c r="D23" s="28">
        <v>0</v>
      </c>
      <c r="E23" s="29">
        <f t="shared" si="3"/>
        <v>0</v>
      </c>
      <c r="F23" s="50">
        <v>13500</v>
      </c>
      <c r="G23" s="51">
        <v>10500</v>
      </c>
      <c r="H23" s="51">
        <v>13500</v>
      </c>
      <c r="I23" s="51">
        <v>13000</v>
      </c>
      <c r="J23" s="51">
        <v>13000</v>
      </c>
      <c r="K23" s="71">
        <v>15000</v>
      </c>
      <c r="L23" s="29">
        <f t="shared" si="4"/>
        <v>78500</v>
      </c>
      <c r="M23" s="29">
        <f t="shared" si="5"/>
        <v>78500</v>
      </c>
    </row>
    <row r="24" spans="1:13">
      <c r="A24" s="1" t="s">
        <v>1</v>
      </c>
      <c r="B24" s="18" t="s">
        <v>25</v>
      </c>
      <c r="C24" s="51">
        <v>0</v>
      </c>
      <c r="D24" s="28">
        <v>0</v>
      </c>
      <c r="E24" s="29">
        <f t="shared" si="3"/>
        <v>0</v>
      </c>
      <c r="F24" s="50">
        <v>97292</v>
      </c>
      <c r="G24" s="51">
        <v>82068</v>
      </c>
      <c r="H24" s="51">
        <v>76800</v>
      </c>
      <c r="I24" s="51">
        <v>67451</v>
      </c>
      <c r="J24" s="51">
        <v>56513</v>
      </c>
      <c r="K24" s="71">
        <v>74970</v>
      </c>
      <c r="L24" s="29">
        <f t="shared" si="4"/>
        <v>455094</v>
      </c>
      <c r="M24" s="29">
        <f t="shared" si="5"/>
        <v>455094</v>
      </c>
    </row>
    <row r="25" spans="1:13">
      <c r="A25" s="1" t="s">
        <v>1</v>
      </c>
      <c r="B25" s="18" t="s">
        <v>39</v>
      </c>
      <c r="C25" s="51">
        <v>0</v>
      </c>
      <c r="D25" s="28">
        <v>0</v>
      </c>
      <c r="E25" s="29">
        <f t="shared" si="3"/>
        <v>0</v>
      </c>
      <c r="F25" s="50">
        <v>0</v>
      </c>
      <c r="G25" s="51">
        <v>0</v>
      </c>
      <c r="H25" s="51">
        <v>31110</v>
      </c>
      <c r="I25" s="51">
        <v>0</v>
      </c>
      <c r="J25" s="51">
        <v>43296</v>
      </c>
      <c r="K25" s="71">
        <v>36632</v>
      </c>
      <c r="L25" s="29">
        <f t="shared" si="4"/>
        <v>111038</v>
      </c>
      <c r="M25" s="29">
        <f t="shared" si="5"/>
        <v>111038</v>
      </c>
    </row>
    <row r="26" spans="1:13">
      <c r="A26" s="1" t="s">
        <v>1</v>
      </c>
      <c r="B26" s="18" t="s">
        <v>40</v>
      </c>
      <c r="C26" s="51">
        <v>0</v>
      </c>
      <c r="D26" s="28">
        <v>0</v>
      </c>
      <c r="E26" s="29">
        <f t="shared" si="3"/>
        <v>0</v>
      </c>
      <c r="F26" s="50">
        <v>12126</v>
      </c>
      <c r="G26" s="51">
        <v>0</v>
      </c>
      <c r="H26" s="51">
        <v>12444</v>
      </c>
      <c r="I26" s="51">
        <v>0</v>
      </c>
      <c r="J26" s="51">
        <v>9840</v>
      </c>
      <c r="K26" s="71">
        <v>15424</v>
      </c>
      <c r="L26" s="29">
        <f t="shared" si="4"/>
        <v>49834</v>
      </c>
      <c r="M26" s="29">
        <f t="shared" si="5"/>
        <v>49834</v>
      </c>
    </row>
    <row r="27" spans="1:13">
      <c r="A27" s="1" t="s">
        <v>1</v>
      </c>
      <c r="B27" s="4" t="s">
        <v>29</v>
      </c>
      <c r="C27" s="45">
        <v>0</v>
      </c>
      <c r="D27" s="7">
        <v>0</v>
      </c>
      <c r="E27" s="8">
        <f t="shared" si="3"/>
        <v>0</v>
      </c>
      <c r="F27" s="44">
        <v>3740</v>
      </c>
      <c r="G27" s="45">
        <v>3128</v>
      </c>
      <c r="H27" s="45">
        <v>1920</v>
      </c>
      <c r="I27" s="45">
        <v>4015</v>
      </c>
      <c r="J27" s="45">
        <v>1825</v>
      </c>
      <c r="K27" s="72">
        <v>2856</v>
      </c>
      <c r="L27" s="8">
        <f t="shared" si="4"/>
        <v>17484</v>
      </c>
      <c r="M27" s="8">
        <f t="shared" si="5"/>
        <v>17484</v>
      </c>
    </row>
    <row r="28" spans="1:13">
      <c r="A28" s="1" t="s">
        <v>1</v>
      </c>
      <c r="B28" s="12" t="s">
        <v>41</v>
      </c>
      <c r="C28" s="47">
        <v>405000</v>
      </c>
      <c r="D28" s="23">
        <v>96000</v>
      </c>
      <c r="E28" s="24">
        <f t="shared" si="3"/>
        <v>501000</v>
      </c>
      <c r="F28" s="46">
        <v>363158</v>
      </c>
      <c r="G28" s="47">
        <v>346196</v>
      </c>
      <c r="H28" s="47">
        <v>378774</v>
      </c>
      <c r="I28" s="47">
        <v>314966</v>
      </c>
      <c r="J28" s="47">
        <v>354974</v>
      </c>
      <c r="K28" s="73">
        <v>368382</v>
      </c>
      <c r="L28" s="24">
        <f t="shared" si="4"/>
        <v>2126450</v>
      </c>
      <c r="M28" s="24">
        <f t="shared" si="5"/>
        <v>2627450</v>
      </c>
    </row>
    <row r="29" spans="1:13">
      <c r="A29" s="1" t="s">
        <v>1</v>
      </c>
      <c r="B29" s="25" t="s">
        <v>42</v>
      </c>
      <c r="C29" s="49">
        <v>14098</v>
      </c>
      <c r="D29" s="26">
        <v>3960</v>
      </c>
      <c r="E29" s="27">
        <f t="shared" si="3"/>
        <v>18058</v>
      </c>
      <c r="F29" s="48">
        <v>5619</v>
      </c>
      <c r="G29" s="49">
        <v>4853</v>
      </c>
      <c r="H29" s="49">
        <v>9060</v>
      </c>
      <c r="I29" s="49">
        <v>4170</v>
      </c>
      <c r="J29" s="49">
        <v>4291</v>
      </c>
      <c r="K29" s="70">
        <v>6130</v>
      </c>
      <c r="L29" s="27">
        <f t="shared" si="4"/>
        <v>34123</v>
      </c>
      <c r="M29" s="27">
        <f t="shared" si="5"/>
        <v>52181</v>
      </c>
    </row>
    <row r="30" spans="1:13">
      <c r="A30" s="1" t="s">
        <v>1</v>
      </c>
      <c r="B30" s="4" t="s">
        <v>43</v>
      </c>
      <c r="C30" s="45">
        <v>14098</v>
      </c>
      <c r="D30" s="7">
        <v>3960</v>
      </c>
      <c r="E30" s="8">
        <f t="shared" si="3"/>
        <v>18058</v>
      </c>
      <c r="F30" s="44">
        <v>5619</v>
      </c>
      <c r="G30" s="45">
        <v>4853</v>
      </c>
      <c r="H30" s="45">
        <v>9060</v>
      </c>
      <c r="I30" s="45">
        <v>4170</v>
      </c>
      <c r="J30" s="45">
        <v>4291</v>
      </c>
      <c r="K30" s="72">
        <v>6130</v>
      </c>
      <c r="L30" s="8">
        <f t="shared" si="4"/>
        <v>34123</v>
      </c>
      <c r="M30" s="8">
        <f t="shared" si="5"/>
        <v>52181</v>
      </c>
    </row>
    <row r="31" spans="1:13">
      <c r="A31" s="1" t="s">
        <v>1</v>
      </c>
      <c r="B31" s="12" t="s">
        <v>44</v>
      </c>
      <c r="C31" s="47">
        <v>419098</v>
      </c>
      <c r="D31" s="23">
        <v>99960</v>
      </c>
      <c r="E31" s="24">
        <f t="shared" si="3"/>
        <v>519058</v>
      </c>
      <c r="F31" s="46">
        <v>368777</v>
      </c>
      <c r="G31" s="47">
        <v>351049</v>
      </c>
      <c r="H31" s="47">
        <v>387834</v>
      </c>
      <c r="I31" s="47">
        <v>319136</v>
      </c>
      <c r="J31" s="47">
        <v>359265</v>
      </c>
      <c r="K31" s="73">
        <v>374512</v>
      </c>
      <c r="L31" s="24">
        <f t="shared" si="4"/>
        <v>2160573</v>
      </c>
      <c r="M31" s="24">
        <f t="shared" si="5"/>
        <v>2679631</v>
      </c>
    </row>
    <row r="32" spans="1:13">
      <c r="A32" s="1" t="s">
        <v>1</v>
      </c>
      <c r="B32" s="25" t="s">
        <v>45</v>
      </c>
      <c r="C32" s="49">
        <v>20910</v>
      </c>
      <c r="D32" s="26">
        <v>0</v>
      </c>
      <c r="E32" s="27">
        <f t="shared" si="3"/>
        <v>20910</v>
      </c>
      <c r="F32" s="48">
        <v>19380</v>
      </c>
      <c r="G32" s="49">
        <v>19380</v>
      </c>
      <c r="H32" s="49">
        <v>18360</v>
      </c>
      <c r="I32" s="49">
        <v>15300</v>
      </c>
      <c r="J32" s="49">
        <v>19380</v>
      </c>
      <c r="K32" s="70">
        <v>17340</v>
      </c>
      <c r="L32" s="27">
        <f t="shared" si="4"/>
        <v>109140</v>
      </c>
      <c r="M32" s="27">
        <f t="shared" si="5"/>
        <v>130050</v>
      </c>
    </row>
    <row r="33" spans="1:13">
      <c r="A33" s="1" t="s">
        <v>1</v>
      </c>
      <c r="B33" s="18" t="s">
        <v>46</v>
      </c>
      <c r="C33" s="51">
        <v>3690</v>
      </c>
      <c r="D33" s="28">
        <v>0</v>
      </c>
      <c r="E33" s="29">
        <f t="shared" si="3"/>
        <v>3690</v>
      </c>
      <c r="F33" s="50">
        <v>3420</v>
      </c>
      <c r="G33" s="51">
        <v>3420</v>
      </c>
      <c r="H33" s="51">
        <v>3240</v>
      </c>
      <c r="I33" s="51">
        <v>2700</v>
      </c>
      <c r="J33" s="51">
        <v>3420</v>
      </c>
      <c r="K33" s="71">
        <v>3060</v>
      </c>
      <c r="L33" s="29">
        <f t="shared" si="4"/>
        <v>19260</v>
      </c>
      <c r="M33" s="29">
        <f t="shared" si="5"/>
        <v>22950</v>
      </c>
    </row>
    <row r="34" spans="1:13">
      <c r="A34" s="1" t="s">
        <v>1</v>
      </c>
      <c r="B34" s="18" t="s">
        <v>47</v>
      </c>
      <c r="C34" s="51">
        <v>37515</v>
      </c>
      <c r="D34" s="28">
        <v>0</v>
      </c>
      <c r="E34" s="29">
        <f t="shared" si="3"/>
        <v>37515</v>
      </c>
      <c r="F34" s="50">
        <v>34770</v>
      </c>
      <c r="G34" s="51">
        <v>34770</v>
      </c>
      <c r="H34" s="51">
        <v>32940</v>
      </c>
      <c r="I34" s="51">
        <v>27450</v>
      </c>
      <c r="J34" s="51">
        <v>34770</v>
      </c>
      <c r="K34" s="71">
        <v>31110</v>
      </c>
      <c r="L34" s="29">
        <f t="shared" si="4"/>
        <v>195810</v>
      </c>
      <c r="M34" s="29">
        <f t="shared" si="5"/>
        <v>233325</v>
      </c>
    </row>
    <row r="35" spans="1:13">
      <c r="A35" s="1" t="s">
        <v>1</v>
      </c>
      <c r="B35" s="4" t="s">
        <v>48</v>
      </c>
      <c r="C35" s="45">
        <v>2515</v>
      </c>
      <c r="D35" s="7">
        <v>600</v>
      </c>
      <c r="E35" s="8">
        <f t="shared" si="3"/>
        <v>3115</v>
      </c>
      <c r="F35" s="44">
        <v>2213</v>
      </c>
      <c r="G35" s="45">
        <v>2106</v>
      </c>
      <c r="H35" s="45">
        <v>2327</v>
      </c>
      <c r="I35" s="45">
        <v>1915</v>
      </c>
      <c r="J35" s="45">
        <v>2156</v>
      </c>
      <c r="K35" s="72">
        <v>2247</v>
      </c>
      <c r="L35" s="8">
        <f t="shared" si="4"/>
        <v>12964</v>
      </c>
      <c r="M35" s="8">
        <f t="shared" si="5"/>
        <v>16079</v>
      </c>
    </row>
    <row r="36" spans="1:13">
      <c r="A36" s="1" t="s">
        <v>1</v>
      </c>
      <c r="B36" s="12" t="s">
        <v>49</v>
      </c>
      <c r="C36" s="47">
        <v>64630</v>
      </c>
      <c r="D36" s="23">
        <v>600</v>
      </c>
      <c r="E36" s="24">
        <f t="shared" si="3"/>
        <v>65230</v>
      </c>
      <c r="F36" s="46">
        <v>59783</v>
      </c>
      <c r="G36" s="47">
        <v>59676</v>
      </c>
      <c r="H36" s="47">
        <v>56867</v>
      </c>
      <c r="I36" s="47">
        <v>47365</v>
      </c>
      <c r="J36" s="47">
        <v>59726</v>
      </c>
      <c r="K36" s="73">
        <v>53757</v>
      </c>
      <c r="L36" s="24">
        <f t="shared" si="4"/>
        <v>337174</v>
      </c>
      <c r="M36" s="24">
        <f t="shared" si="5"/>
        <v>402404</v>
      </c>
    </row>
    <row r="37" spans="1:13">
      <c r="A37" s="1" t="s">
        <v>1</v>
      </c>
      <c r="B37" s="25" t="s">
        <v>50</v>
      </c>
      <c r="C37" s="49">
        <v>0</v>
      </c>
      <c r="D37" s="26">
        <v>0</v>
      </c>
      <c r="E37" s="27">
        <f t="shared" si="3"/>
        <v>0</v>
      </c>
      <c r="F37" s="48">
        <v>0</v>
      </c>
      <c r="G37" s="49">
        <v>4876</v>
      </c>
      <c r="H37" s="49">
        <v>0</v>
      </c>
      <c r="I37" s="49">
        <v>0</v>
      </c>
      <c r="J37" s="49">
        <v>0</v>
      </c>
      <c r="K37" s="70">
        <v>0</v>
      </c>
      <c r="L37" s="27">
        <f t="shared" si="4"/>
        <v>4876</v>
      </c>
      <c r="M37" s="27">
        <f t="shared" si="5"/>
        <v>4876</v>
      </c>
    </row>
    <row r="38" spans="1:13">
      <c r="A38" s="1" t="s">
        <v>1</v>
      </c>
      <c r="B38" s="4" t="s">
        <v>51</v>
      </c>
      <c r="C38" s="45">
        <v>23800</v>
      </c>
      <c r="D38" s="7">
        <v>5000</v>
      </c>
      <c r="E38" s="8">
        <f t="shared" si="3"/>
        <v>28800</v>
      </c>
      <c r="F38" s="44">
        <v>14200</v>
      </c>
      <c r="G38" s="45">
        <v>19000</v>
      </c>
      <c r="H38" s="45">
        <v>13000</v>
      </c>
      <c r="I38" s="45">
        <v>6500</v>
      </c>
      <c r="J38" s="45">
        <v>17000</v>
      </c>
      <c r="K38" s="72">
        <v>3300</v>
      </c>
      <c r="L38" s="8">
        <f t="shared" si="4"/>
        <v>73000</v>
      </c>
      <c r="M38" s="8">
        <f t="shared" si="5"/>
        <v>101800</v>
      </c>
    </row>
    <row r="39" spans="1:13">
      <c r="A39" s="1" t="s">
        <v>1</v>
      </c>
      <c r="B39" s="12" t="s">
        <v>52</v>
      </c>
      <c r="C39" s="47">
        <v>88430</v>
      </c>
      <c r="D39" s="23">
        <v>5600</v>
      </c>
      <c r="E39" s="24">
        <f t="shared" si="3"/>
        <v>94030</v>
      </c>
      <c r="F39" s="46">
        <v>73983</v>
      </c>
      <c r="G39" s="47">
        <v>83552</v>
      </c>
      <c r="H39" s="47">
        <v>69867</v>
      </c>
      <c r="I39" s="47">
        <v>53865</v>
      </c>
      <c r="J39" s="47">
        <v>76726</v>
      </c>
      <c r="K39" s="73">
        <v>57057</v>
      </c>
      <c r="L39" s="24">
        <f t="shared" si="4"/>
        <v>415050</v>
      </c>
      <c r="M39" s="24">
        <f t="shared" si="5"/>
        <v>509080</v>
      </c>
    </row>
    <row r="40" spans="1:13">
      <c r="A40" s="1" t="s">
        <v>1</v>
      </c>
      <c r="B40" s="12" t="s">
        <v>53</v>
      </c>
      <c r="C40" s="47">
        <v>340370</v>
      </c>
      <c r="D40" s="23">
        <v>95400</v>
      </c>
      <c r="E40" s="24">
        <f t="shared" si="3"/>
        <v>435770</v>
      </c>
      <c r="F40" s="46">
        <v>303375</v>
      </c>
      <c r="G40" s="47">
        <v>286520</v>
      </c>
      <c r="H40" s="47">
        <v>321907</v>
      </c>
      <c r="I40" s="47">
        <v>267601</v>
      </c>
      <c r="J40" s="47">
        <v>295248</v>
      </c>
      <c r="K40" s="73">
        <v>314625</v>
      </c>
      <c r="L40" s="24">
        <f t="shared" si="4"/>
        <v>1789276</v>
      </c>
      <c r="M40" s="24">
        <f t="shared" si="5"/>
        <v>2225046</v>
      </c>
    </row>
    <row r="41" spans="1:13">
      <c r="A41" s="1" t="s">
        <v>1</v>
      </c>
      <c r="B41" s="12" t="s">
        <v>54</v>
      </c>
      <c r="C41" s="47">
        <v>330668</v>
      </c>
      <c r="D41" s="23">
        <v>94360</v>
      </c>
      <c r="E41" s="24">
        <f t="shared" si="3"/>
        <v>425028</v>
      </c>
      <c r="F41" s="46">
        <v>294794</v>
      </c>
      <c r="G41" s="47">
        <v>267497</v>
      </c>
      <c r="H41" s="47">
        <v>317967</v>
      </c>
      <c r="I41" s="47">
        <v>265271</v>
      </c>
      <c r="J41" s="47">
        <v>282539</v>
      </c>
      <c r="K41" s="73">
        <v>317455</v>
      </c>
      <c r="L41" s="24">
        <f t="shared" si="4"/>
        <v>1745523</v>
      </c>
      <c r="M41" s="24">
        <f t="shared" si="5"/>
        <v>2170551</v>
      </c>
    </row>
    <row r="42" spans="1:13">
      <c r="A42" s="1" t="s">
        <v>1</v>
      </c>
      <c r="B42" s="12" t="s">
        <v>55</v>
      </c>
      <c r="C42" s="47">
        <v>330668</v>
      </c>
      <c r="D42" s="23">
        <v>94360</v>
      </c>
      <c r="E42" s="24">
        <f t="shared" si="3"/>
        <v>425028</v>
      </c>
      <c r="F42" s="46">
        <v>294794</v>
      </c>
      <c r="G42" s="47">
        <v>267497</v>
      </c>
      <c r="H42" s="47">
        <v>317967</v>
      </c>
      <c r="I42" s="47">
        <v>265271</v>
      </c>
      <c r="J42" s="47">
        <v>282539</v>
      </c>
      <c r="K42" s="73">
        <v>317455</v>
      </c>
      <c r="L42" s="24">
        <f t="shared" si="4"/>
        <v>1745523</v>
      </c>
      <c r="M42" s="24">
        <f t="shared" si="5"/>
        <v>2170551</v>
      </c>
    </row>
    <row r="43" spans="1:13">
      <c r="A43" s="1" t="s">
        <v>1</v>
      </c>
      <c r="B43" s="12" t="s">
        <v>56</v>
      </c>
      <c r="C43" s="47">
        <v>2</v>
      </c>
      <c r="D43" s="23">
        <v>0</v>
      </c>
      <c r="E43" s="24"/>
      <c r="F43" s="46">
        <v>1</v>
      </c>
      <c r="G43" s="47">
        <v>0</v>
      </c>
      <c r="H43" s="47">
        <v>1</v>
      </c>
      <c r="I43" s="47">
        <v>2</v>
      </c>
      <c r="J43" s="47">
        <v>0</v>
      </c>
      <c r="K43" s="73">
        <v>2</v>
      </c>
      <c r="L43" s="24"/>
      <c r="M43" s="24"/>
    </row>
    <row r="44" spans="1:13">
      <c r="A44" s="1" t="s">
        <v>1</v>
      </c>
      <c r="B44" s="12" t="s">
        <v>57</v>
      </c>
      <c r="C44" s="53" t="s">
        <v>58</v>
      </c>
      <c r="D44" s="30" t="s">
        <v>58</v>
      </c>
      <c r="E44" s="31"/>
      <c r="F44" s="52" t="s">
        <v>58</v>
      </c>
      <c r="G44" s="53" t="s">
        <v>58</v>
      </c>
      <c r="H44" s="53" t="s">
        <v>58</v>
      </c>
      <c r="I44" s="53" t="s">
        <v>58</v>
      </c>
      <c r="J44" s="53" t="s">
        <v>58</v>
      </c>
      <c r="K44" s="74" t="s">
        <v>58</v>
      </c>
      <c r="L44" s="31"/>
      <c r="M44" s="31"/>
    </row>
    <row r="45" spans="1:13">
      <c r="A45" s="1" t="s">
        <v>1</v>
      </c>
      <c r="B45" s="12" t="s">
        <v>59</v>
      </c>
      <c r="C45" s="47">
        <v>6750</v>
      </c>
      <c r="D45" s="23">
        <v>490</v>
      </c>
      <c r="E45" s="24">
        <f t="shared" si="3"/>
        <v>7240</v>
      </c>
      <c r="F45" s="46">
        <v>6860</v>
      </c>
      <c r="G45" s="47">
        <v>7860</v>
      </c>
      <c r="H45" s="47">
        <v>7620</v>
      </c>
      <c r="I45" s="47">
        <v>3950</v>
      </c>
      <c r="J45" s="47">
        <v>8170</v>
      </c>
      <c r="K45" s="73">
        <v>5700</v>
      </c>
      <c r="L45" s="24">
        <f t="shared" si="4"/>
        <v>40160</v>
      </c>
      <c r="M45" s="24">
        <f t="shared" si="5"/>
        <v>47400</v>
      </c>
    </row>
    <row r="46" spans="1:13">
      <c r="A46" s="1" t="s">
        <v>1</v>
      </c>
      <c r="B46" s="12" t="s">
        <v>60</v>
      </c>
      <c r="C46" s="47">
        <v>6750</v>
      </c>
      <c r="D46" s="23">
        <v>490</v>
      </c>
      <c r="E46" s="24">
        <f t="shared" si="3"/>
        <v>7240</v>
      </c>
      <c r="F46" s="46">
        <v>6860</v>
      </c>
      <c r="G46" s="47">
        <v>2984</v>
      </c>
      <c r="H46" s="47">
        <v>7620</v>
      </c>
      <c r="I46" s="47">
        <v>3950</v>
      </c>
      <c r="J46" s="47">
        <v>8170</v>
      </c>
      <c r="K46" s="73">
        <v>5700</v>
      </c>
      <c r="L46" s="24">
        <f t="shared" si="4"/>
        <v>35284</v>
      </c>
      <c r="M46" s="24">
        <f t="shared" si="5"/>
        <v>42524</v>
      </c>
    </row>
    <row r="47" spans="1:13" ht="19.5" thickBot="1">
      <c r="A47" s="1" t="s">
        <v>1</v>
      </c>
      <c r="B47" s="9" t="s">
        <v>61</v>
      </c>
      <c r="C47" s="55">
        <v>90000</v>
      </c>
      <c r="D47" s="10">
        <v>30000</v>
      </c>
      <c r="E47" s="11"/>
      <c r="F47" s="54">
        <v>60000</v>
      </c>
      <c r="G47" s="55">
        <v>30000</v>
      </c>
      <c r="H47" s="55">
        <v>60000</v>
      </c>
      <c r="I47" s="55">
        <v>60000</v>
      </c>
      <c r="J47" s="55">
        <v>30000</v>
      </c>
      <c r="K47" s="75">
        <v>60000</v>
      </c>
      <c r="L47" s="11"/>
      <c r="M47" s="11"/>
    </row>
  </sheetData>
  <phoneticPr fontId="4"/>
  <pageMargins left="0.31496062992125984" right="0.11811023622047245" top="0.15748031496062992" bottom="0.15748031496062992" header="0.31496062992125984" footer="0.31496062992125984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7月度給与 (2)</vt:lpstr>
      <vt:lpstr>'2024年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2024-08-09T04:14:40Z</cp:lastPrinted>
  <dcterms:created xsi:type="dcterms:W3CDTF">2024-08-06T03:50:56Z</dcterms:created>
  <dcterms:modified xsi:type="dcterms:W3CDTF">2024-08-13T00:30:56Z</dcterms:modified>
</cp:coreProperties>
</file>