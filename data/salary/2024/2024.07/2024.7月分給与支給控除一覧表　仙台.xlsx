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7\"/>
    </mc:Choice>
  </mc:AlternateContent>
  <xr:revisionPtr revIDLastSave="0" documentId="13_ncr:1_{3D396951-59F5-4776-89F5-68DD096393F4}" xr6:coauthVersionLast="47" xr6:coauthVersionMax="47" xr10:uidLastSave="{00000000-0000-0000-0000-000000000000}"/>
  <bookViews>
    <workbookView xWindow="-120" yWindow="-120" windowWidth="20730" windowHeight="11160" xr2:uid="{1A12E1A6-9EAB-4147-B135-C5CCDD922276}"/>
  </bookViews>
  <sheets>
    <sheet name="2024年 7月度給与 (2)" sheetId="3" r:id="rId1"/>
  </sheets>
  <definedNames>
    <definedName name="_xlnm.Print_Area" localSheetId="0">'2024年 7月度給与 (2)'!$A$1:$O$52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3" l="1"/>
  <c r="N7" i="3"/>
  <c r="O7" i="3" s="1"/>
  <c r="N8" i="3"/>
  <c r="O8" i="3" s="1"/>
  <c r="N9" i="3"/>
  <c r="N10" i="3"/>
  <c r="N11" i="3"/>
  <c r="O11" i="3" s="1"/>
  <c r="N12" i="3"/>
  <c r="O12" i="3" s="1"/>
  <c r="N13" i="3"/>
  <c r="N14" i="3"/>
  <c r="N15" i="3"/>
  <c r="O15" i="3" s="1"/>
  <c r="N16" i="3"/>
  <c r="O16" i="3" s="1"/>
  <c r="N17" i="3"/>
  <c r="N18" i="3"/>
  <c r="N19" i="3"/>
  <c r="O19" i="3" s="1"/>
  <c r="N20" i="3"/>
  <c r="O20" i="3" s="1"/>
  <c r="N21" i="3"/>
  <c r="O21" i="3" s="1"/>
  <c r="N22" i="3"/>
  <c r="N23" i="3"/>
  <c r="O23" i="3" s="1"/>
  <c r="N24" i="3"/>
  <c r="O24" i="3" s="1"/>
  <c r="N25" i="3"/>
  <c r="O25" i="3" s="1"/>
  <c r="N26" i="3"/>
  <c r="N27" i="3"/>
  <c r="O27" i="3" s="1"/>
  <c r="N28" i="3"/>
  <c r="O28" i="3" s="1"/>
  <c r="N29" i="3"/>
  <c r="O29" i="3" s="1"/>
  <c r="N30" i="3"/>
  <c r="N31" i="3"/>
  <c r="O31" i="3" s="1"/>
  <c r="N32" i="3"/>
  <c r="O32" i="3" s="1"/>
  <c r="N33" i="3"/>
  <c r="O33" i="3" s="1"/>
  <c r="N34" i="3"/>
  <c r="N35" i="3"/>
  <c r="O35" i="3" s="1"/>
  <c r="N36" i="3"/>
  <c r="O36" i="3" s="1"/>
  <c r="N37" i="3"/>
  <c r="O37" i="3" s="1"/>
  <c r="N38" i="3"/>
  <c r="N39" i="3"/>
  <c r="O39" i="3" s="1"/>
  <c r="N40" i="3"/>
  <c r="O40" i="3" s="1"/>
  <c r="N41" i="3"/>
  <c r="O41" i="3" s="1"/>
  <c r="N42" i="3"/>
  <c r="N43" i="3"/>
  <c r="O43" i="3" s="1"/>
  <c r="N44" i="3"/>
  <c r="O44" i="3" s="1"/>
  <c r="N45" i="3"/>
  <c r="O45" i="3" s="1"/>
  <c r="N46" i="3"/>
  <c r="N47" i="3"/>
  <c r="O47" i="3" s="1"/>
  <c r="N50" i="3"/>
  <c r="N51" i="3"/>
  <c r="O51" i="3" s="1"/>
  <c r="N5" i="3"/>
  <c r="O5" i="3" s="1"/>
  <c r="F6" i="3"/>
  <c r="O6" i="3" s="1"/>
  <c r="F7" i="3"/>
  <c r="F8" i="3"/>
  <c r="F9" i="3"/>
  <c r="O9" i="3" s="1"/>
  <c r="F10" i="3"/>
  <c r="O10" i="3" s="1"/>
  <c r="F11" i="3"/>
  <c r="F12" i="3"/>
  <c r="F13" i="3"/>
  <c r="O13" i="3" s="1"/>
  <c r="F14" i="3"/>
  <c r="O14" i="3" s="1"/>
  <c r="F15" i="3"/>
  <c r="F16" i="3"/>
  <c r="F17" i="3"/>
  <c r="O17" i="3" s="1"/>
  <c r="F18" i="3"/>
  <c r="F19" i="3"/>
  <c r="F20" i="3"/>
  <c r="F21" i="3"/>
  <c r="F22" i="3"/>
  <c r="O22" i="3" s="1"/>
  <c r="F23" i="3"/>
  <c r="F24" i="3"/>
  <c r="F25" i="3"/>
  <c r="F26" i="3"/>
  <c r="O26" i="3" s="1"/>
  <c r="F27" i="3"/>
  <c r="F28" i="3"/>
  <c r="F29" i="3"/>
  <c r="F30" i="3"/>
  <c r="O30" i="3" s="1"/>
  <c r="F31" i="3"/>
  <c r="F32" i="3"/>
  <c r="F33" i="3"/>
  <c r="F34" i="3"/>
  <c r="O34" i="3" s="1"/>
  <c r="F35" i="3"/>
  <c r="F36" i="3"/>
  <c r="F37" i="3"/>
  <c r="F38" i="3"/>
  <c r="O38" i="3" s="1"/>
  <c r="F39" i="3"/>
  <c r="F40" i="3"/>
  <c r="F41" i="3"/>
  <c r="F42" i="3"/>
  <c r="O42" i="3" s="1"/>
  <c r="F43" i="3"/>
  <c r="F44" i="3"/>
  <c r="F45" i="3"/>
  <c r="F46" i="3"/>
  <c r="O46" i="3" s="1"/>
  <c r="F47" i="3"/>
  <c r="F50" i="3"/>
  <c r="O50" i="3" s="1"/>
  <c r="F51" i="3"/>
  <c r="F5" i="3"/>
</calcChain>
</file>

<file path=xl/sharedStrings.xml><?xml version="1.0" encoding="utf-8"?>
<sst xmlns="http://schemas.openxmlformats.org/spreadsheetml/2006/main" count="135" uniqueCount="74">
  <si>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</si>
  <si>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</si>
  <si>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</si>
  <si>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</si>
  <si>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</si>
  <si>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</si>
  <si>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</si>
  <si>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</si>
  <si>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</si>
  <si>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</si>
  <si>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</si>
  <si>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</si>
  <si>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</si>
  <si>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</si>
  <si>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</si>
  <si>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</si>
  <si>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</si>
  <si>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</si>
  <si>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</si>
  <si>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</si>
  <si>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白井博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</si>
  <si>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</si>
  <si>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</si>
  <si>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</si>
  <si>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</si>
  <si>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</si>
  <si>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</si>
  <si>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</si>
  <si>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</si>
  <si>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</si>
  <si>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</si>
  <si>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</si>
  <si>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</si>
  <si>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</si>
  <si>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</si>
  <si>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</si>
  <si>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</si>
  <si>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</si>
  <si>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</si>
  <si>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</si>
  <si>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</si>
  <si>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</si>
  <si>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</si>
  <si>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</si>
  <si>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</si>
  <si>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</si>
  <si>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</si>
  <si>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</si>
  <si>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</si>
  <si>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</si>
  <si>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</si>
  <si>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</si>
  <si>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</si>
  <si>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</si>
  <si>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</si>
  <si>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</si>
  <si>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</si>
  <si>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</si>
  <si>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</si>
  <si>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</si>
  <si>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</si>
  <si>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</si>
  <si>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</si>
  <si>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</si>
  <si>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</si>
  <si>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</si>
  <si>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7月度給与</t>
    <phoneticPr fontId="4"/>
  </si>
  <si>
    <t>小田島健司</t>
    <phoneticPr fontId="4"/>
  </si>
  <si>
    <t>佐藤ゆうこ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</si>
  <si>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</si>
  <si>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</si>
  <si>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</si>
  <si>
    <t>合計</t>
    <rPh sb="0" eb="2">
      <t>ゴウケイ</t>
    </rPh>
    <phoneticPr fontId="4"/>
  </si>
  <si>
    <t>１０名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</si>
</sst>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6" xfId="1" applyNumberFormat="1" applyFont="1" applyBorder="1"/>
    <xf numFmtId="49" fontId="2" fillId="0" borderId="5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2" fontId="2" fillId="0" borderId="9" xfId="1" applyNumberFormat="1" applyFont="1" applyBorder="1"/>
    <xf numFmtId="176" fontId="2" fillId="0" borderId="10" xfId="1" applyNumberFormat="1" applyFont="1" applyBorder="1"/>
    <xf numFmtId="176" fontId="2" fillId="0" borderId="9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3" xfId="1" applyNumberFormat="1" applyFont="1" applyBorder="1"/>
    <xf numFmtId="49" fontId="2" fillId="0" borderId="2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</cellXfs>
  <cellStyles count="2">
    <cellStyle name="標準" xfId="0" builtinId="0"/>
    <cellStyle name="標準 2" xfId="1" xr:uid="{115C4DB8-FB7F-431E-B1C4-481E1D672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A24A-8CFE-46C5-A676-04AFFC24FBC0}">
  <sheetPr>
    <pageSetUpPr fitToPage="1"/>
  </sheetPr>
  <dimension ref="A1:O5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1.625" style="2" customWidth="1"/>
    <col min="16" max="256" width="9" style="2"/>
    <col min="257" max="257" width="2.375" style="2" customWidth="1"/>
    <col min="258" max="258" width="13.25" style="2" bestFit="1" customWidth="1"/>
    <col min="259" max="260" width="9" style="2"/>
    <col min="261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/>
    <col min="267" max="267" width="13.25" style="2" bestFit="1" customWidth="1"/>
    <col min="268" max="268" width="8" style="2" bestFit="1" customWidth="1"/>
    <col min="269" max="269" width="9.625" style="2" bestFit="1" customWidth="1"/>
    <col min="270" max="512" width="9" style="2"/>
    <col min="513" max="513" width="2.375" style="2" customWidth="1"/>
    <col min="514" max="514" width="13.25" style="2" bestFit="1" customWidth="1"/>
    <col min="515" max="516" width="9" style="2"/>
    <col min="517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/>
    <col min="523" max="523" width="13.25" style="2" bestFit="1" customWidth="1"/>
    <col min="524" max="524" width="8" style="2" bestFit="1" customWidth="1"/>
    <col min="525" max="525" width="9.625" style="2" bestFit="1" customWidth="1"/>
    <col min="526" max="768" width="9" style="2"/>
    <col min="769" max="769" width="2.375" style="2" customWidth="1"/>
    <col min="770" max="770" width="13.25" style="2" bestFit="1" customWidth="1"/>
    <col min="771" max="772" width="9" style="2"/>
    <col min="773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/>
    <col min="779" max="779" width="13.25" style="2" bestFit="1" customWidth="1"/>
    <col min="780" max="780" width="8" style="2" bestFit="1" customWidth="1"/>
    <col min="781" max="781" width="9.625" style="2" bestFit="1" customWidth="1"/>
    <col min="782" max="1024" width="9" style="2"/>
    <col min="1025" max="1025" width="2.375" style="2" customWidth="1"/>
    <col min="1026" max="1026" width="13.25" style="2" bestFit="1" customWidth="1"/>
    <col min="1027" max="1028" width="9" style="2"/>
    <col min="1029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/>
    <col min="1035" max="1035" width="13.25" style="2" bestFit="1" customWidth="1"/>
    <col min="1036" max="1036" width="8" style="2" bestFit="1" customWidth="1"/>
    <col min="1037" max="1037" width="9.625" style="2" bestFit="1" customWidth="1"/>
    <col min="1038" max="1280" width="9" style="2"/>
    <col min="1281" max="1281" width="2.375" style="2" customWidth="1"/>
    <col min="1282" max="1282" width="13.25" style="2" bestFit="1" customWidth="1"/>
    <col min="1283" max="1284" width="9" style="2"/>
    <col min="1285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/>
    <col min="1291" max="1291" width="13.25" style="2" bestFit="1" customWidth="1"/>
    <col min="1292" max="1292" width="8" style="2" bestFit="1" customWidth="1"/>
    <col min="1293" max="1293" width="9.625" style="2" bestFit="1" customWidth="1"/>
    <col min="1294" max="1536" width="9" style="2"/>
    <col min="1537" max="1537" width="2.375" style="2" customWidth="1"/>
    <col min="1538" max="1538" width="13.25" style="2" bestFit="1" customWidth="1"/>
    <col min="1539" max="1540" width="9" style="2"/>
    <col min="1541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/>
    <col min="1547" max="1547" width="13.25" style="2" bestFit="1" customWidth="1"/>
    <col min="1548" max="1548" width="8" style="2" bestFit="1" customWidth="1"/>
    <col min="1549" max="1549" width="9.625" style="2" bestFit="1" customWidth="1"/>
    <col min="1550" max="1792" width="9" style="2"/>
    <col min="1793" max="1793" width="2.375" style="2" customWidth="1"/>
    <col min="1794" max="1794" width="13.25" style="2" bestFit="1" customWidth="1"/>
    <col min="1795" max="1796" width="9" style="2"/>
    <col min="1797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/>
    <col min="1803" max="1803" width="13.25" style="2" bestFit="1" customWidth="1"/>
    <col min="1804" max="1804" width="8" style="2" bestFit="1" customWidth="1"/>
    <col min="1805" max="1805" width="9.625" style="2" bestFit="1" customWidth="1"/>
    <col min="1806" max="2048" width="9" style="2"/>
    <col min="2049" max="2049" width="2.375" style="2" customWidth="1"/>
    <col min="2050" max="2050" width="13.25" style="2" bestFit="1" customWidth="1"/>
    <col min="2051" max="2052" width="9" style="2"/>
    <col min="2053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/>
    <col min="2059" max="2059" width="13.25" style="2" bestFit="1" customWidth="1"/>
    <col min="2060" max="2060" width="8" style="2" bestFit="1" customWidth="1"/>
    <col min="2061" max="2061" width="9.625" style="2" bestFit="1" customWidth="1"/>
    <col min="2062" max="2304" width="9" style="2"/>
    <col min="2305" max="2305" width="2.375" style="2" customWidth="1"/>
    <col min="2306" max="2306" width="13.25" style="2" bestFit="1" customWidth="1"/>
    <col min="2307" max="2308" width="9" style="2"/>
    <col min="2309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/>
    <col min="2315" max="2315" width="13.25" style="2" bestFit="1" customWidth="1"/>
    <col min="2316" max="2316" width="8" style="2" bestFit="1" customWidth="1"/>
    <col min="2317" max="2317" width="9.625" style="2" bestFit="1" customWidth="1"/>
    <col min="2318" max="2560" width="9" style="2"/>
    <col min="2561" max="2561" width="2.375" style="2" customWidth="1"/>
    <col min="2562" max="2562" width="13.25" style="2" bestFit="1" customWidth="1"/>
    <col min="2563" max="2564" width="9" style="2"/>
    <col min="2565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/>
    <col min="2571" max="2571" width="13.25" style="2" bestFit="1" customWidth="1"/>
    <col min="2572" max="2572" width="8" style="2" bestFit="1" customWidth="1"/>
    <col min="2573" max="2573" width="9.625" style="2" bestFit="1" customWidth="1"/>
    <col min="2574" max="2816" width="9" style="2"/>
    <col min="2817" max="2817" width="2.375" style="2" customWidth="1"/>
    <col min="2818" max="2818" width="13.25" style="2" bestFit="1" customWidth="1"/>
    <col min="2819" max="2820" width="9" style="2"/>
    <col min="2821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/>
    <col min="2827" max="2827" width="13.25" style="2" bestFit="1" customWidth="1"/>
    <col min="2828" max="2828" width="8" style="2" bestFit="1" customWidth="1"/>
    <col min="2829" max="2829" width="9.625" style="2" bestFit="1" customWidth="1"/>
    <col min="2830" max="3072" width="9" style="2"/>
    <col min="3073" max="3073" width="2.375" style="2" customWidth="1"/>
    <col min="3074" max="3074" width="13.25" style="2" bestFit="1" customWidth="1"/>
    <col min="3075" max="3076" width="9" style="2"/>
    <col min="3077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/>
    <col min="3083" max="3083" width="13.25" style="2" bestFit="1" customWidth="1"/>
    <col min="3084" max="3084" width="8" style="2" bestFit="1" customWidth="1"/>
    <col min="3085" max="3085" width="9.625" style="2" bestFit="1" customWidth="1"/>
    <col min="3086" max="3328" width="9" style="2"/>
    <col min="3329" max="3329" width="2.375" style="2" customWidth="1"/>
    <col min="3330" max="3330" width="13.25" style="2" bestFit="1" customWidth="1"/>
    <col min="3331" max="3332" width="9" style="2"/>
    <col min="3333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/>
    <col min="3339" max="3339" width="13.25" style="2" bestFit="1" customWidth="1"/>
    <col min="3340" max="3340" width="8" style="2" bestFit="1" customWidth="1"/>
    <col min="3341" max="3341" width="9.625" style="2" bestFit="1" customWidth="1"/>
    <col min="3342" max="3584" width="9" style="2"/>
    <col min="3585" max="3585" width="2.375" style="2" customWidth="1"/>
    <col min="3586" max="3586" width="13.25" style="2" bestFit="1" customWidth="1"/>
    <col min="3587" max="3588" width="9" style="2"/>
    <col min="3589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/>
    <col min="3595" max="3595" width="13.25" style="2" bestFit="1" customWidth="1"/>
    <col min="3596" max="3596" width="8" style="2" bestFit="1" customWidth="1"/>
    <col min="3597" max="3597" width="9.625" style="2" bestFit="1" customWidth="1"/>
    <col min="3598" max="3840" width="9" style="2"/>
    <col min="3841" max="3841" width="2.375" style="2" customWidth="1"/>
    <col min="3842" max="3842" width="13.25" style="2" bestFit="1" customWidth="1"/>
    <col min="3843" max="3844" width="9" style="2"/>
    <col min="3845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/>
    <col min="3851" max="3851" width="13.25" style="2" bestFit="1" customWidth="1"/>
    <col min="3852" max="3852" width="8" style="2" bestFit="1" customWidth="1"/>
    <col min="3853" max="3853" width="9.625" style="2" bestFit="1" customWidth="1"/>
    <col min="3854" max="4096" width="9" style="2"/>
    <col min="4097" max="4097" width="2.375" style="2" customWidth="1"/>
    <col min="4098" max="4098" width="13.25" style="2" bestFit="1" customWidth="1"/>
    <col min="4099" max="4100" width="9" style="2"/>
    <col min="4101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/>
    <col min="4107" max="4107" width="13.25" style="2" bestFit="1" customWidth="1"/>
    <col min="4108" max="4108" width="8" style="2" bestFit="1" customWidth="1"/>
    <col min="4109" max="4109" width="9.625" style="2" bestFit="1" customWidth="1"/>
    <col min="4110" max="4352" width="9" style="2"/>
    <col min="4353" max="4353" width="2.375" style="2" customWidth="1"/>
    <col min="4354" max="4354" width="13.25" style="2" bestFit="1" customWidth="1"/>
    <col min="4355" max="4356" width="9" style="2"/>
    <col min="4357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/>
    <col min="4363" max="4363" width="13.25" style="2" bestFit="1" customWidth="1"/>
    <col min="4364" max="4364" width="8" style="2" bestFit="1" customWidth="1"/>
    <col min="4365" max="4365" width="9.625" style="2" bestFit="1" customWidth="1"/>
    <col min="4366" max="4608" width="9" style="2"/>
    <col min="4609" max="4609" width="2.375" style="2" customWidth="1"/>
    <col min="4610" max="4610" width="13.25" style="2" bestFit="1" customWidth="1"/>
    <col min="4611" max="4612" width="9" style="2"/>
    <col min="4613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/>
    <col min="4619" max="4619" width="13.25" style="2" bestFit="1" customWidth="1"/>
    <col min="4620" max="4620" width="8" style="2" bestFit="1" customWidth="1"/>
    <col min="4621" max="4621" width="9.625" style="2" bestFit="1" customWidth="1"/>
    <col min="4622" max="4864" width="9" style="2"/>
    <col min="4865" max="4865" width="2.375" style="2" customWidth="1"/>
    <col min="4866" max="4866" width="13.25" style="2" bestFit="1" customWidth="1"/>
    <col min="4867" max="4868" width="9" style="2"/>
    <col min="4869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/>
    <col min="4875" max="4875" width="13.25" style="2" bestFit="1" customWidth="1"/>
    <col min="4876" max="4876" width="8" style="2" bestFit="1" customWidth="1"/>
    <col min="4877" max="4877" width="9.625" style="2" bestFit="1" customWidth="1"/>
    <col min="4878" max="5120" width="9" style="2"/>
    <col min="5121" max="5121" width="2.375" style="2" customWidth="1"/>
    <col min="5122" max="5122" width="13.25" style="2" bestFit="1" customWidth="1"/>
    <col min="5123" max="5124" width="9" style="2"/>
    <col min="5125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/>
    <col min="5131" max="5131" width="13.25" style="2" bestFit="1" customWidth="1"/>
    <col min="5132" max="5132" width="8" style="2" bestFit="1" customWidth="1"/>
    <col min="5133" max="5133" width="9.625" style="2" bestFit="1" customWidth="1"/>
    <col min="5134" max="5376" width="9" style="2"/>
    <col min="5377" max="5377" width="2.375" style="2" customWidth="1"/>
    <col min="5378" max="5378" width="13.25" style="2" bestFit="1" customWidth="1"/>
    <col min="5379" max="5380" width="9" style="2"/>
    <col min="5381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/>
    <col min="5387" max="5387" width="13.25" style="2" bestFit="1" customWidth="1"/>
    <col min="5388" max="5388" width="8" style="2" bestFit="1" customWidth="1"/>
    <col min="5389" max="5389" width="9.625" style="2" bestFit="1" customWidth="1"/>
    <col min="5390" max="5632" width="9" style="2"/>
    <col min="5633" max="5633" width="2.375" style="2" customWidth="1"/>
    <col min="5634" max="5634" width="13.25" style="2" bestFit="1" customWidth="1"/>
    <col min="5635" max="5636" width="9" style="2"/>
    <col min="5637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/>
    <col min="5643" max="5643" width="13.25" style="2" bestFit="1" customWidth="1"/>
    <col min="5644" max="5644" width="8" style="2" bestFit="1" customWidth="1"/>
    <col min="5645" max="5645" width="9.625" style="2" bestFit="1" customWidth="1"/>
    <col min="5646" max="5888" width="9" style="2"/>
    <col min="5889" max="5889" width="2.375" style="2" customWidth="1"/>
    <col min="5890" max="5890" width="13.25" style="2" bestFit="1" customWidth="1"/>
    <col min="5891" max="5892" width="9" style="2"/>
    <col min="5893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/>
    <col min="5899" max="5899" width="13.25" style="2" bestFit="1" customWidth="1"/>
    <col min="5900" max="5900" width="8" style="2" bestFit="1" customWidth="1"/>
    <col min="5901" max="5901" width="9.625" style="2" bestFit="1" customWidth="1"/>
    <col min="5902" max="6144" width="9" style="2"/>
    <col min="6145" max="6145" width="2.375" style="2" customWidth="1"/>
    <col min="6146" max="6146" width="13.25" style="2" bestFit="1" customWidth="1"/>
    <col min="6147" max="6148" width="9" style="2"/>
    <col min="6149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/>
    <col min="6155" max="6155" width="13.25" style="2" bestFit="1" customWidth="1"/>
    <col min="6156" max="6156" width="8" style="2" bestFit="1" customWidth="1"/>
    <col min="6157" max="6157" width="9.625" style="2" bestFit="1" customWidth="1"/>
    <col min="6158" max="6400" width="9" style="2"/>
    <col min="6401" max="6401" width="2.375" style="2" customWidth="1"/>
    <col min="6402" max="6402" width="13.25" style="2" bestFit="1" customWidth="1"/>
    <col min="6403" max="6404" width="9" style="2"/>
    <col min="6405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/>
    <col min="6411" max="6411" width="13.25" style="2" bestFit="1" customWidth="1"/>
    <col min="6412" max="6412" width="8" style="2" bestFit="1" customWidth="1"/>
    <col min="6413" max="6413" width="9.625" style="2" bestFit="1" customWidth="1"/>
    <col min="6414" max="6656" width="9" style="2"/>
    <col min="6657" max="6657" width="2.375" style="2" customWidth="1"/>
    <col min="6658" max="6658" width="13.25" style="2" bestFit="1" customWidth="1"/>
    <col min="6659" max="6660" width="9" style="2"/>
    <col min="6661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/>
    <col min="6667" max="6667" width="13.25" style="2" bestFit="1" customWidth="1"/>
    <col min="6668" max="6668" width="8" style="2" bestFit="1" customWidth="1"/>
    <col min="6669" max="6669" width="9.625" style="2" bestFit="1" customWidth="1"/>
    <col min="6670" max="6912" width="9" style="2"/>
    <col min="6913" max="6913" width="2.375" style="2" customWidth="1"/>
    <col min="6914" max="6914" width="13.25" style="2" bestFit="1" customWidth="1"/>
    <col min="6915" max="6916" width="9" style="2"/>
    <col min="6917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/>
    <col min="6923" max="6923" width="13.25" style="2" bestFit="1" customWidth="1"/>
    <col min="6924" max="6924" width="8" style="2" bestFit="1" customWidth="1"/>
    <col min="6925" max="6925" width="9.625" style="2" bestFit="1" customWidth="1"/>
    <col min="6926" max="7168" width="9" style="2"/>
    <col min="7169" max="7169" width="2.375" style="2" customWidth="1"/>
    <col min="7170" max="7170" width="13.25" style="2" bestFit="1" customWidth="1"/>
    <col min="7171" max="7172" width="9" style="2"/>
    <col min="7173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/>
    <col min="7179" max="7179" width="13.25" style="2" bestFit="1" customWidth="1"/>
    <col min="7180" max="7180" width="8" style="2" bestFit="1" customWidth="1"/>
    <col min="7181" max="7181" width="9.625" style="2" bestFit="1" customWidth="1"/>
    <col min="7182" max="7424" width="9" style="2"/>
    <col min="7425" max="7425" width="2.375" style="2" customWidth="1"/>
    <col min="7426" max="7426" width="13.25" style="2" bestFit="1" customWidth="1"/>
    <col min="7427" max="7428" width="9" style="2"/>
    <col min="7429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/>
    <col min="7435" max="7435" width="13.25" style="2" bestFit="1" customWidth="1"/>
    <col min="7436" max="7436" width="8" style="2" bestFit="1" customWidth="1"/>
    <col min="7437" max="7437" width="9.625" style="2" bestFit="1" customWidth="1"/>
    <col min="7438" max="7680" width="9" style="2"/>
    <col min="7681" max="7681" width="2.375" style="2" customWidth="1"/>
    <col min="7682" max="7682" width="13.25" style="2" bestFit="1" customWidth="1"/>
    <col min="7683" max="7684" width="9" style="2"/>
    <col min="7685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/>
    <col min="7691" max="7691" width="13.25" style="2" bestFit="1" customWidth="1"/>
    <col min="7692" max="7692" width="8" style="2" bestFit="1" customWidth="1"/>
    <col min="7693" max="7693" width="9.625" style="2" bestFit="1" customWidth="1"/>
    <col min="7694" max="7936" width="9" style="2"/>
    <col min="7937" max="7937" width="2.375" style="2" customWidth="1"/>
    <col min="7938" max="7938" width="13.25" style="2" bestFit="1" customWidth="1"/>
    <col min="7939" max="7940" width="9" style="2"/>
    <col min="7941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/>
    <col min="7947" max="7947" width="13.25" style="2" bestFit="1" customWidth="1"/>
    <col min="7948" max="7948" width="8" style="2" bestFit="1" customWidth="1"/>
    <col min="7949" max="7949" width="9.625" style="2" bestFit="1" customWidth="1"/>
    <col min="7950" max="8192" width="9" style="2"/>
    <col min="8193" max="8193" width="2.375" style="2" customWidth="1"/>
    <col min="8194" max="8194" width="13.25" style="2" bestFit="1" customWidth="1"/>
    <col min="8195" max="8196" width="9" style="2"/>
    <col min="8197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/>
    <col min="8203" max="8203" width="13.25" style="2" bestFit="1" customWidth="1"/>
    <col min="8204" max="8204" width="8" style="2" bestFit="1" customWidth="1"/>
    <col min="8205" max="8205" width="9.625" style="2" bestFit="1" customWidth="1"/>
    <col min="8206" max="8448" width="9" style="2"/>
    <col min="8449" max="8449" width="2.375" style="2" customWidth="1"/>
    <col min="8450" max="8450" width="13.25" style="2" bestFit="1" customWidth="1"/>
    <col min="8451" max="8452" width="9" style="2"/>
    <col min="8453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/>
    <col min="8459" max="8459" width="13.25" style="2" bestFit="1" customWidth="1"/>
    <col min="8460" max="8460" width="8" style="2" bestFit="1" customWidth="1"/>
    <col min="8461" max="8461" width="9.625" style="2" bestFit="1" customWidth="1"/>
    <col min="8462" max="8704" width="9" style="2"/>
    <col min="8705" max="8705" width="2.375" style="2" customWidth="1"/>
    <col min="8706" max="8706" width="13.25" style="2" bestFit="1" customWidth="1"/>
    <col min="8707" max="8708" width="9" style="2"/>
    <col min="8709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/>
    <col min="8715" max="8715" width="13.25" style="2" bestFit="1" customWidth="1"/>
    <col min="8716" max="8716" width="8" style="2" bestFit="1" customWidth="1"/>
    <col min="8717" max="8717" width="9.625" style="2" bestFit="1" customWidth="1"/>
    <col min="8718" max="8960" width="9" style="2"/>
    <col min="8961" max="8961" width="2.375" style="2" customWidth="1"/>
    <col min="8962" max="8962" width="13.25" style="2" bestFit="1" customWidth="1"/>
    <col min="8963" max="8964" width="9" style="2"/>
    <col min="8965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/>
    <col min="8971" max="8971" width="13.25" style="2" bestFit="1" customWidth="1"/>
    <col min="8972" max="8972" width="8" style="2" bestFit="1" customWidth="1"/>
    <col min="8973" max="8973" width="9.625" style="2" bestFit="1" customWidth="1"/>
    <col min="8974" max="9216" width="9" style="2"/>
    <col min="9217" max="9217" width="2.375" style="2" customWidth="1"/>
    <col min="9218" max="9218" width="13.25" style="2" bestFit="1" customWidth="1"/>
    <col min="9219" max="9220" width="9" style="2"/>
    <col min="9221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/>
    <col min="9227" max="9227" width="13.25" style="2" bestFit="1" customWidth="1"/>
    <col min="9228" max="9228" width="8" style="2" bestFit="1" customWidth="1"/>
    <col min="9229" max="9229" width="9.625" style="2" bestFit="1" customWidth="1"/>
    <col min="9230" max="9472" width="9" style="2"/>
    <col min="9473" max="9473" width="2.375" style="2" customWidth="1"/>
    <col min="9474" max="9474" width="13.25" style="2" bestFit="1" customWidth="1"/>
    <col min="9475" max="9476" width="9" style="2"/>
    <col min="9477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/>
    <col min="9483" max="9483" width="13.25" style="2" bestFit="1" customWidth="1"/>
    <col min="9484" max="9484" width="8" style="2" bestFit="1" customWidth="1"/>
    <col min="9485" max="9485" width="9.625" style="2" bestFit="1" customWidth="1"/>
    <col min="9486" max="9728" width="9" style="2"/>
    <col min="9729" max="9729" width="2.375" style="2" customWidth="1"/>
    <col min="9730" max="9730" width="13.25" style="2" bestFit="1" customWidth="1"/>
    <col min="9731" max="9732" width="9" style="2"/>
    <col min="9733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/>
    <col min="9739" max="9739" width="13.25" style="2" bestFit="1" customWidth="1"/>
    <col min="9740" max="9740" width="8" style="2" bestFit="1" customWidth="1"/>
    <col min="9741" max="9741" width="9.625" style="2" bestFit="1" customWidth="1"/>
    <col min="9742" max="9984" width="9" style="2"/>
    <col min="9985" max="9985" width="2.375" style="2" customWidth="1"/>
    <col min="9986" max="9986" width="13.25" style="2" bestFit="1" customWidth="1"/>
    <col min="9987" max="9988" width="9" style="2"/>
    <col min="9989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/>
    <col min="9995" max="9995" width="13.25" style="2" bestFit="1" customWidth="1"/>
    <col min="9996" max="9996" width="8" style="2" bestFit="1" customWidth="1"/>
    <col min="9997" max="9997" width="9.625" style="2" bestFit="1" customWidth="1"/>
    <col min="9998" max="10240" width="9" style="2"/>
    <col min="10241" max="10241" width="2.375" style="2" customWidth="1"/>
    <col min="10242" max="10242" width="13.25" style="2" bestFit="1" customWidth="1"/>
    <col min="10243" max="10244" width="9" style="2"/>
    <col min="10245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/>
    <col min="10251" max="10251" width="13.25" style="2" bestFit="1" customWidth="1"/>
    <col min="10252" max="10252" width="8" style="2" bestFit="1" customWidth="1"/>
    <col min="10253" max="10253" width="9.625" style="2" bestFit="1" customWidth="1"/>
    <col min="10254" max="10496" width="9" style="2"/>
    <col min="10497" max="10497" width="2.375" style="2" customWidth="1"/>
    <col min="10498" max="10498" width="13.25" style="2" bestFit="1" customWidth="1"/>
    <col min="10499" max="10500" width="9" style="2"/>
    <col min="10501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/>
    <col min="10507" max="10507" width="13.25" style="2" bestFit="1" customWidth="1"/>
    <col min="10508" max="10508" width="8" style="2" bestFit="1" customWidth="1"/>
    <col min="10509" max="10509" width="9.625" style="2" bestFit="1" customWidth="1"/>
    <col min="10510" max="10752" width="9" style="2"/>
    <col min="10753" max="10753" width="2.375" style="2" customWidth="1"/>
    <col min="10754" max="10754" width="13.25" style="2" bestFit="1" customWidth="1"/>
    <col min="10755" max="10756" width="9" style="2"/>
    <col min="10757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/>
    <col min="10763" max="10763" width="13.25" style="2" bestFit="1" customWidth="1"/>
    <col min="10764" max="10764" width="8" style="2" bestFit="1" customWidth="1"/>
    <col min="10765" max="10765" width="9.625" style="2" bestFit="1" customWidth="1"/>
    <col min="10766" max="11008" width="9" style="2"/>
    <col min="11009" max="11009" width="2.375" style="2" customWidth="1"/>
    <col min="11010" max="11010" width="13.25" style="2" bestFit="1" customWidth="1"/>
    <col min="11011" max="11012" width="9" style="2"/>
    <col min="11013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/>
    <col min="11019" max="11019" width="13.25" style="2" bestFit="1" customWidth="1"/>
    <col min="11020" max="11020" width="8" style="2" bestFit="1" customWidth="1"/>
    <col min="11021" max="11021" width="9.625" style="2" bestFit="1" customWidth="1"/>
    <col min="11022" max="11264" width="9" style="2"/>
    <col min="11265" max="11265" width="2.375" style="2" customWidth="1"/>
    <col min="11266" max="11266" width="13.25" style="2" bestFit="1" customWidth="1"/>
    <col min="11267" max="11268" width="9" style="2"/>
    <col min="11269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/>
    <col min="11275" max="11275" width="13.25" style="2" bestFit="1" customWidth="1"/>
    <col min="11276" max="11276" width="8" style="2" bestFit="1" customWidth="1"/>
    <col min="11277" max="11277" width="9.625" style="2" bestFit="1" customWidth="1"/>
    <col min="11278" max="11520" width="9" style="2"/>
    <col min="11521" max="11521" width="2.375" style="2" customWidth="1"/>
    <col min="11522" max="11522" width="13.25" style="2" bestFit="1" customWidth="1"/>
    <col min="11523" max="11524" width="9" style="2"/>
    <col min="11525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/>
    <col min="11531" max="11531" width="13.25" style="2" bestFit="1" customWidth="1"/>
    <col min="11532" max="11532" width="8" style="2" bestFit="1" customWidth="1"/>
    <col min="11533" max="11533" width="9.625" style="2" bestFit="1" customWidth="1"/>
    <col min="11534" max="11776" width="9" style="2"/>
    <col min="11777" max="11777" width="2.375" style="2" customWidth="1"/>
    <col min="11778" max="11778" width="13.25" style="2" bestFit="1" customWidth="1"/>
    <col min="11779" max="11780" width="9" style="2"/>
    <col min="11781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/>
    <col min="11787" max="11787" width="13.25" style="2" bestFit="1" customWidth="1"/>
    <col min="11788" max="11788" width="8" style="2" bestFit="1" customWidth="1"/>
    <col min="11789" max="11789" width="9.625" style="2" bestFit="1" customWidth="1"/>
    <col min="11790" max="12032" width="9" style="2"/>
    <col min="12033" max="12033" width="2.375" style="2" customWidth="1"/>
    <col min="12034" max="12034" width="13.25" style="2" bestFit="1" customWidth="1"/>
    <col min="12035" max="12036" width="9" style="2"/>
    <col min="12037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/>
    <col min="12043" max="12043" width="13.25" style="2" bestFit="1" customWidth="1"/>
    <col min="12044" max="12044" width="8" style="2" bestFit="1" customWidth="1"/>
    <col min="12045" max="12045" width="9.625" style="2" bestFit="1" customWidth="1"/>
    <col min="12046" max="12288" width="9" style="2"/>
    <col min="12289" max="12289" width="2.375" style="2" customWidth="1"/>
    <col min="12290" max="12290" width="13.25" style="2" bestFit="1" customWidth="1"/>
    <col min="12291" max="12292" width="9" style="2"/>
    <col min="12293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/>
    <col min="12299" max="12299" width="13.25" style="2" bestFit="1" customWidth="1"/>
    <col min="12300" max="12300" width="8" style="2" bestFit="1" customWidth="1"/>
    <col min="12301" max="12301" width="9.625" style="2" bestFit="1" customWidth="1"/>
    <col min="12302" max="12544" width="9" style="2"/>
    <col min="12545" max="12545" width="2.375" style="2" customWidth="1"/>
    <col min="12546" max="12546" width="13.25" style="2" bestFit="1" customWidth="1"/>
    <col min="12547" max="12548" width="9" style="2"/>
    <col min="12549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/>
    <col min="12555" max="12555" width="13.25" style="2" bestFit="1" customWidth="1"/>
    <col min="12556" max="12556" width="8" style="2" bestFit="1" customWidth="1"/>
    <col min="12557" max="12557" width="9.625" style="2" bestFit="1" customWidth="1"/>
    <col min="12558" max="12800" width="9" style="2"/>
    <col min="12801" max="12801" width="2.375" style="2" customWidth="1"/>
    <col min="12802" max="12802" width="13.25" style="2" bestFit="1" customWidth="1"/>
    <col min="12803" max="12804" width="9" style="2"/>
    <col min="12805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/>
    <col min="12811" max="12811" width="13.25" style="2" bestFit="1" customWidth="1"/>
    <col min="12812" max="12812" width="8" style="2" bestFit="1" customWidth="1"/>
    <col min="12813" max="12813" width="9.625" style="2" bestFit="1" customWidth="1"/>
    <col min="12814" max="13056" width="9" style="2"/>
    <col min="13057" max="13057" width="2.375" style="2" customWidth="1"/>
    <col min="13058" max="13058" width="13.25" style="2" bestFit="1" customWidth="1"/>
    <col min="13059" max="13060" width="9" style="2"/>
    <col min="13061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/>
    <col min="13067" max="13067" width="13.25" style="2" bestFit="1" customWidth="1"/>
    <col min="13068" max="13068" width="8" style="2" bestFit="1" customWidth="1"/>
    <col min="13069" max="13069" width="9.625" style="2" bestFit="1" customWidth="1"/>
    <col min="13070" max="13312" width="9" style="2"/>
    <col min="13313" max="13313" width="2.375" style="2" customWidth="1"/>
    <col min="13314" max="13314" width="13.25" style="2" bestFit="1" customWidth="1"/>
    <col min="13315" max="13316" width="9" style="2"/>
    <col min="13317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/>
    <col min="13323" max="13323" width="13.25" style="2" bestFit="1" customWidth="1"/>
    <col min="13324" max="13324" width="8" style="2" bestFit="1" customWidth="1"/>
    <col min="13325" max="13325" width="9.625" style="2" bestFit="1" customWidth="1"/>
    <col min="13326" max="13568" width="9" style="2"/>
    <col min="13569" max="13569" width="2.375" style="2" customWidth="1"/>
    <col min="13570" max="13570" width="13.25" style="2" bestFit="1" customWidth="1"/>
    <col min="13571" max="13572" width="9" style="2"/>
    <col min="13573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/>
    <col min="13579" max="13579" width="13.25" style="2" bestFit="1" customWidth="1"/>
    <col min="13580" max="13580" width="8" style="2" bestFit="1" customWidth="1"/>
    <col min="13581" max="13581" width="9.625" style="2" bestFit="1" customWidth="1"/>
    <col min="13582" max="13824" width="9" style="2"/>
    <col min="13825" max="13825" width="2.375" style="2" customWidth="1"/>
    <col min="13826" max="13826" width="13.25" style="2" bestFit="1" customWidth="1"/>
    <col min="13827" max="13828" width="9" style="2"/>
    <col min="13829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/>
    <col min="13835" max="13835" width="13.25" style="2" bestFit="1" customWidth="1"/>
    <col min="13836" max="13836" width="8" style="2" bestFit="1" customWidth="1"/>
    <col min="13837" max="13837" width="9.625" style="2" bestFit="1" customWidth="1"/>
    <col min="13838" max="14080" width="9" style="2"/>
    <col min="14081" max="14081" width="2.375" style="2" customWidth="1"/>
    <col min="14082" max="14082" width="13.25" style="2" bestFit="1" customWidth="1"/>
    <col min="14083" max="14084" width="9" style="2"/>
    <col min="14085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/>
    <col min="14091" max="14091" width="13.25" style="2" bestFit="1" customWidth="1"/>
    <col min="14092" max="14092" width="8" style="2" bestFit="1" customWidth="1"/>
    <col min="14093" max="14093" width="9.625" style="2" bestFit="1" customWidth="1"/>
    <col min="14094" max="14336" width="9" style="2"/>
    <col min="14337" max="14337" width="2.375" style="2" customWidth="1"/>
    <col min="14338" max="14338" width="13.25" style="2" bestFit="1" customWidth="1"/>
    <col min="14339" max="14340" width="9" style="2"/>
    <col min="14341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/>
    <col min="14347" max="14347" width="13.25" style="2" bestFit="1" customWidth="1"/>
    <col min="14348" max="14348" width="8" style="2" bestFit="1" customWidth="1"/>
    <col min="14349" max="14349" width="9.625" style="2" bestFit="1" customWidth="1"/>
    <col min="14350" max="14592" width="9" style="2"/>
    <col min="14593" max="14593" width="2.375" style="2" customWidth="1"/>
    <col min="14594" max="14594" width="13.25" style="2" bestFit="1" customWidth="1"/>
    <col min="14595" max="14596" width="9" style="2"/>
    <col min="14597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/>
    <col min="14603" max="14603" width="13.25" style="2" bestFit="1" customWidth="1"/>
    <col min="14604" max="14604" width="8" style="2" bestFit="1" customWidth="1"/>
    <col min="14605" max="14605" width="9.625" style="2" bestFit="1" customWidth="1"/>
    <col min="14606" max="14848" width="9" style="2"/>
    <col min="14849" max="14849" width="2.375" style="2" customWidth="1"/>
    <col min="14850" max="14850" width="13.25" style="2" bestFit="1" customWidth="1"/>
    <col min="14851" max="14852" width="9" style="2"/>
    <col min="14853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/>
    <col min="14859" max="14859" width="13.25" style="2" bestFit="1" customWidth="1"/>
    <col min="14860" max="14860" width="8" style="2" bestFit="1" customWidth="1"/>
    <col min="14861" max="14861" width="9.625" style="2" bestFit="1" customWidth="1"/>
    <col min="14862" max="15104" width="9" style="2"/>
    <col min="15105" max="15105" width="2.375" style="2" customWidth="1"/>
    <col min="15106" max="15106" width="13.25" style="2" bestFit="1" customWidth="1"/>
    <col min="15107" max="15108" width="9" style="2"/>
    <col min="15109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/>
    <col min="15115" max="15115" width="13.25" style="2" bestFit="1" customWidth="1"/>
    <col min="15116" max="15116" width="8" style="2" bestFit="1" customWidth="1"/>
    <col min="15117" max="15117" width="9.625" style="2" bestFit="1" customWidth="1"/>
    <col min="15118" max="15360" width="9" style="2"/>
    <col min="15361" max="15361" width="2.375" style="2" customWidth="1"/>
    <col min="15362" max="15362" width="13.25" style="2" bestFit="1" customWidth="1"/>
    <col min="15363" max="15364" width="9" style="2"/>
    <col min="15365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/>
    <col min="15371" max="15371" width="13.25" style="2" bestFit="1" customWidth="1"/>
    <col min="15372" max="15372" width="8" style="2" bestFit="1" customWidth="1"/>
    <col min="15373" max="15373" width="9.625" style="2" bestFit="1" customWidth="1"/>
    <col min="15374" max="15616" width="9" style="2"/>
    <col min="15617" max="15617" width="2.375" style="2" customWidth="1"/>
    <col min="15618" max="15618" width="13.25" style="2" bestFit="1" customWidth="1"/>
    <col min="15619" max="15620" width="9" style="2"/>
    <col min="15621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/>
    <col min="15627" max="15627" width="13.25" style="2" bestFit="1" customWidth="1"/>
    <col min="15628" max="15628" width="8" style="2" bestFit="1" customWidth="1"/>
    <col min="15629" max="15629" width="9.625" style="2" bestFit="1" customWidth="1"/>
    <col min="15630" max="15872" width="9" style="2"/>
    <col min="15873" max="15873" width="2.375" style="2" customWidth="1"/>
    <col min="15874" max="15874" width="13.25" style="2" bestFit="1" customWidth="1"/>
    <col min="15875" max="15876" width="9" style="2"/>
    <col min="15877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/>
    <col min="15883" max="15883" width="13.25" style="2" bestFit="1" customWidth="1"/>
    <col min="15884" max="15884" width="8" style="2" bestFit="1" customWidth="1"/>
    <col min="15885" max="15885" width="9.625" style="2" bestFit="1" customWidth="1"/>
    <col min="15886" max="16128" width="9" style="2"/>
    <col min="16129" max="16129" width="2.375" style="2" customWidth="1"/>
    <col min="16130" max="16130" width="13.25" style="2" bestFit="1" customWidth="1"/>
    <col min="16131" max="16132" width="9" style="2"/>
    <col min="16133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/>
    <col min="16139" max="16139" width="13.25" style="2" bestFit="1" customWidth="1"/>
    <col min="16140" max="16140" width="8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66</v>
      </c>
    </row>
    <row r="3" spans="1:15">
      <c r="B3" s="13"/>
      <c r="C3" s="35" t="s">
        <v>5</v>
      </c>
      <c r="D3" s="35" t="s">
        <v>8</v>
      </c>
      <c r="E3" s="63" t="s">
        <v>7</v>
      </c>
      <c r="F3" s="61" t="s">
        <v>69</v>
      </c>
      <c r="G3" s="34" t="s">
        <v>2</v>
      </c>
      <c r="H3" s="35" t="s">
        <v>3</v>
      </c>
      <c r="I3" s="35" t="s">
        <v>4</v>
      </c>
      <c r="J3" s="35" t="s">
        <v>6</v>
      </c>
      <c r="K3" s="35" t="s">
        <v>9</v>
      </c>
      <c r="L3" s="35" t="s">
        <v>10</v>
      </c>
      <c r="M3" s="60" t="s">
        <v>11</v>
      </c>
      <c r="N3" s="61" t="s">
        <v>69</v>
      </c>
      <c r="O3" s="61" t="s">
        <v>72</v>
      </c>
    </row>
    <row r="4" spans="1:15" ht="19.5" thickBot="1">
      <c r="B4" s="4" t="s">
        <v>12</v>
      </c>
      <c r="C4" s="37" t="s">
        <v>16</v>
      </c>
      <c r="D4" s="37" t="s">
        <v>18</v>
      </c>
      <c r="E4" s="64" t="s">
        <v>68</v>
      </c>
      <c r="F4" s="62" t="s">
        <v>70</v>
      </c>
      <c r="G4" s="36" t="s">
        <v>13</v>
      </c>
      <c r="H4" s="37" t="s">
        <v>14</v>
      </c>
      <c r="I4" s="37" t="s">
        <v>15</v>
      </c>
      <c r="J4" s="37" t="s">
        <v>17</v>
      </c>
      <c r="K4" s="37" t="s">
        <v>19</v>
      </c>
      <c r="L4" s="37" t="s">
        <v>67</v>
      </c>
      <c r="M4" s="3" t="s">
        <v>20</v>
      </c>
      <c r="N4" s="62" t="s">
        <v>71</v>
      </c>
      <c r="O4" s="62" t="s">
        <v>73</v>
      </c>
    </row>
    <row r="5" spans="1:15">
      <c r="A5" s="1" t="s">
        <v>1</v>
      </c>
      <c r="B5" s="27" t="s">
        <v>21</v>
      </c>
      <c r="C5" s="39">
        <v>22</v>
      </c>
      <c r="D5" s="39">
        <v>22</v>
      </c>
      <c r="E5" s="65">
        <v>22</v>
      </c>
      <c r="F5" s="29">
        <f>SUM(C5:E5)</f>
        <v>66</v>
      </c>
      <c r="G5" s="38">
        <v>21</v>
      </c>
      <c r="H5" s="39">
        <v>21</v>
      </c>
      <c r="I5" s="39">
        <v>19</v>
      </c>
      <c r="J5" s="39">
        <v>20</v>
      </c>
      <c r="K5" s="39">
        <v>21</v>
      </c>
      <c r="L5" s="39">
        <v>23</v>
      </c>
      <c r="M5" s="28">
        <v>23</v>
      </c>
      <c r="N5" s="29">
        <f>SUM(G5:M5)</f>
        <v>148</v>
      </c>
      <c r="O5" s="29">
        <f>SUM(N5,F5)</f>
        <v>214</v>
      </c>
    </row>
    <row r="6" spans="1:15">
      <c r="A6" s="1" t="s">
        <v>1</v>
      </c>
      <c r="B6" s="22" t="s">
        <v>22</v>
      </c>
      <c r="C6" s="41">
        <v>0</v>
      </c>
      <c r="D6" s="41">
        <v>0</v>
      </c>
      <c r="E6" s="66">
        <v>2</v>
      </c>
      <c r="F6" s="31">
        <f t="shared" ref="F6:F51" si="0">SUM(C6:E6)</f>
        <v>2</v>
      </c>
      <c r="G6" s="40">
        <v>2</v>
      </c>
      <c r="H6" s="41">
        <v>3</v>
      </c>
      <c r="I6" s="41">
        <v>3</v>
      </c>
      <c r="J6" s="41">
        <v>2</v>
      </c>
      <c r="K6" s="41">
        <v>3</v>
      </c>
      <c r="L6" s="41">
        <v>2</v>
      </c>
      <c r="M6" s="30">
        <v>2</v>
      </c>
      <c r="N6" s="31">
        <f t="shared" ref="N6:N51" si="1">SUM(G6:M6)</f>
        <v>17</v>
      </c>
      <c r="O6" s="31">
        <f t="shared" ref="O6:O51" si="2">SUM(N6,F6)</f>
        <v>19</v>
      </c>
    </row>
    <row r="7" spans="1:15">
      <c r="A7" s="1" t="s">
        <v>1</v>
      </c>
      <c r="B7" s="22" t="s">
        <v>23</v>
      </c>
      <c r="C7" s="41">
        <v>0</v>
      </c>
      <c r="D7" s="41">
        <v>0</v>
      </c>
      <c r="E7" s="66">
        <v>1</v>
      </c>
      <c r="F7" s="31">
        <f t="shared" si="0"/>
        <v>1</v>
      </c>
      <c r="G7" s="40">
        <v>1</v>
      </c>
      <c r="H7" s="41">
        <v>3</v>
      </c>
      <c r="I7" s="41">
        <v>3</v>
      </c>
      <c r="J7" s="41">
        <v>2</v>
      </c>
      <c r="K7" s="41">
        <v>2</v>
      </c>
      <c r="L7" s="41">
        <v>0</v>
      </c>
      <c r="M7" s="30">
        <v>1</v>
      </c>
      <c r="N7" s="31">
        <f t="shared" si="1"/>
        <v>12</v>
      </c>
      <c r="O7" s="31">
        <f t="shared" si="2"/>
        <v>13</v>
      </c>
    </row>
    <row r="8" spans="1:15">
      <c r="A8" s="1" t="s">
        <v>1</v>
      </c>
      <c r="B8" s="22" t="s">
        <v>24</v>
      </c>
      <c r="C8" s="41">
        <v>0</v>
      </c>
      <c r="D8" s="41">
        <v>0</v>
      </c>
      <c r="E8" s="66">
        <v>0</v>
      </c>
      <c r="F8" s="31">
        <f t="shared" si="0"/>
        <v>0</v>
      </c>
      <c r="G8" s="40">
        <v>0</v>
      </c>
      <c r="H8" s="41">
        <v>0</v>
      </c>
      <c r="I8" s="41">
        <v>1</v>
      </c>
      <c r="J8" s="41">
        <v>0</v>
      </c>
      <c r="K8" s="41">
        <v>1</v>
      </c>
      <c r="L8" s="41">
        <v>0</v>
      </c>
      <c r="M8" s="30">
        <v>0</v>
      </c>
      <c r="N8" s="31">
        <f t="shared" si="1"/>
        <v>2</v>
      </c>
      <c r="O8" s="31">
        <f t="shared" si="2"/>
        <v>2</v>
      </c>
    </row>
    <row r="9" spans="1:15">
      <c r="A9" s="1" t="s">
        <v>1</v>
      </c>
      <c r="B9" s="22" t="s">
        <v>25</v>
      </c>
      <c r="C9" s="41">
        <v>0</v>
      </c>
      <c r="D9" s="41">
        <v>0.5</v>
      </c>
      <c r="E9" s="66">
        <v>1</v>
      </c>
      <c r="F9" s="31">
        <f t="shared" si="0"/>
        <v>1.5</v>
      </c>
      <c r="G9" s="40">
        <v>2</v>
      </c>
      <c r="H9" s="41">
        <v>2</v>
      </c>
      <c r="I9" s="41">
        <v>3</v>
      </c>
      <c r="J9" s="41">
        <v>3</v>
      </c>
      <c r="K9" s="41">
        <v>1</v>
      </c>
      <c r="L9" s="41">
        <v>0</v>
      </c>
      <c r="M9" s="30">
        <v>0</v>
      </c>
      <c r="N9" s="31">
        <f t="shared" si="1"/>
        <v>11</v>
      </c>
      <c r="O9" s="31">
        <f t="shared" si="2"/>
        <v>12.5</v>
      </c>
    </row>
    <row r="10" spans="1:15">
      <c r="A10" s="1" t="s">
        <v>1</v>
      </c>
      <c r="B10" s="22" t="s">
        <v>26</v>
      </c>
      <c r="C10" s="43">
        <v>0</v>
      </c>
      <c r="D10" s="43">
        <v>0</v>
      </c>
      <c r="E10" s="67">
        <v>4.1666666666666664E-2</v>
      </c>
      <c r="F10" s="33">
        <f t="shared" si="0"/>
        <v>4.1666666666666664E-2</v>
      </c>
      <c r="G10" s="42">
        <v>2.1666666666666665</v>
      </c>
      <c r="H10" s="43">
        <v>0.625</v>
      </c>
      <c r="I10" s="43">
        <v>1.125</v>
      </c>
      <c r="J10" s="43">
        <v>1.875</v>
      </c>
      <c r="K10" s="43">
        <v>1.5416666666666665</v>
      </c>
      <c r="L10" s="43">
        <v>2.5416666666666665</v>
      </c>
      <c r="M10" s="32">
        <v>1.5</v>
      </c>
      <c r="N10" s="33">
        <f t="shared" si="1"/>
        <v>11.374999999999998</v>
      </c>
      <c r="O10" s="33">
        <f t="shared" si="2"/>
        <v>11.416666666666664</v>
      </c>
    </row>
    <row r="11" spans="1:15">
      <c r="A11" s="1" t="s">
        <v>1</v>
      </c>
      <c r="B11" s="22" t="s">
        <v>27</v>
      </c>
      <c r="C11" s="43">
        <v>0</v>
      </c>
      <c r="D11" s="43">
        <v>0</v>
      </c>
      <c r="E11" s="67">
        <v>0.54166666666666663</v>
      </c>
      <c r="F11" s="33">
        <f t="shared" si="0"/>
        <v>0.54166666666666663</v>
      </c>
      <c r="G11" s="42">
        <v>0.79166666666666663</v>
      </c>
      <c r="H11" s="43">
        <v>1</v>
      </c>
      <c r="I11" s="43">
        <v>1.1666666666666667</v>
      </c>
      <c r="J11" s="43">
        <v>0.75</v>
      </c>
      <c r="K11" s="43">
        <v>0.79166666666666663</v>
      </c>
      <c r="L11" s="43">
        <v>0.875</v>
      </c>
      <c r="M11" s="32">
        <v>0.66666666666666663</v>
      </c>
      <c r="N11" s="33">
        <f t="shared" si="1"/>
        <v>6.041666666666667</v>
      </c>
      <c r="O11" s="33">
        <f t="shared" si="2"/>
        <v>6.5833333333333339</v>
      </c>
    </row>
    <row r="12" spans="1:15">
      <c r="A12" s="1" t="s">
        <v>1</v>
      </c>
      <c r="B12" s="22" t="s">
        <v>28</v>
      </c>
      <c r="C12" s="43">
        <v>0</v>
      </c>
      <c r="D12" s="43">
        <v>0</v>
      </c>
      <c r="E12" s="67">
        <v>0.29166666666666669</v>
      </c>
      <c r="F12" s="33">
        <f t="shared" si="0"/>
        <v>0.29166666666666669</v>
      </c>
      <c r="G12" s="42">
        <v>0.25</v>
      </c>
      <c r="H12" s="43">
        <v>1.0416666666666667</v>
      </c>
      <c r="I12" s="43">
        <v>0.75</v>
      </c>
      <c r="J12" s="43">
        <v>0.79166666666666663</v>
      </c>
      <c r="K12" s="43">
        <v>0.79166666666666663</v>
      </c>
      <c r="L12" s="43">
        <v>0</v>
      </c>
      <c r="M12" s="32">
        <v>0.29166666666666669</v>
      </c>
      <c r="N12" s="33">
        <f t="shared" si="1"/>
        <v>3.9166666666666665</v>
      </c>
      <c r="O12" s="33">
        <f t="shared" si="2"/>
        <v>4.208333333333333</v>
      </c>
    </row>
    <row r="13" spans="1:15">
      <c r="A13" s="1" t="s">
        <v>1</v>
      </c>
      <c r="B13" s="22" t="s">
        <v>29</v>
      </c>
      <c r="C13" s="43">
        <v>0</v>
      </c>
      <c r="D13" s="43">
        <v>0</v>
      </c>
      <c r="E13" s="67">
        <v>0</v>
      </c>
      <c r="F13" s="33">
        <f t="shared" si="0"/>
        <v>0</v>
      </c>
      <c r="G13" s="42">
        <v>0</v>
      </c>
      <c r="H13" s="43">
        <v>0</v>
      </c>
      <c r="I13" s="43">
        <v>0</v>
      </c>
      <c r="J13" s="43">
        <v>0</v>
      </c>
      <c r="K13" s="43">
        <v>0.29166666666666669</v>
      </c>
      <c r="L13" s="43">
        <v>0</v>
      </c>
      <c r="M13" s="32">
        <v>0</v>
      </c>
      <c r="N13" s="33">
        <f t="shared" si="1"/>
        <v>0.29166666666666669</v>
      </c>
      <c r="O13" s="33">
        <f t="shared" si="2"/>
        <v>0.29166666666666669</v>
      </c>
    </row>
    <row r="14" spans="1:15">
      <c r="A14" s="1" t="s">
        <v>1</v>
      </c>
      <c r="B14" s="22" t="s">
        <v>30</v>
      </c>
      <c r="C14" s="43">
        <v>0</v>
      </c>
      <c r="D14" s="43">
        <v>0</v>
      </c>
      <c r="E14" s="67">
        <v>0</v>
      </c>
      <c r="F14" s="33">
        <f t="shared" si="0"/>
        <v>0</v>
      </c>
      <c r="G14" s="42">
        <v>0</v>
      </c>
      <c r="H14" s="43">
        <v>0</v>
      </c>
      <c r="I14" s="43">
        <v>0.33333333333333331</v>
      </c>
      <c r="J14" s="43">
        <v>0</v>
      </c>
      <c r="K14" s="43">
        <v>0</v>
      </c>
      <c r="L14" s="43">
        <v>0</v>
      </c>
      <c r="M14" s="32">
        <v>0</v>
      </c>
      <c r="N14" s="33">
        <f t="shared" si="1"/>
        <v>0.33333333333333331</v>
      </c>
      <c r="O14" s="33">
        <f t="shared" si="2"/>
        <v>0.33333333333333331</v>
      </c>
    </row>
    <row r="15" spans="1:15">
      <c r="A15" s="1" t="s">
        <v>1</v>
      </c>
      <c r="B15" s="22" t="s">
        <v>31</v>
      </c>
      <c r="C15" s="43">
        <v>0</v>
      </c>
      <c r="D15" s="43">
        <v>0</v>
      </c>
      <c r="E15" s="67">
        <v>0</v>
      </c>
      <c r="F15" s="33">
        <f t="shared" si="0"/>
        <v>0</v>
      </c>
      <c r="G15" s="42">
        <v>0</v>
      </c>
      <c r="H15" s="43">
        <v>0</v>
      </c>
      <c r="I15" s="43">
        <v>0</v>
      </c>
      <c r="J15" s="43">
        <v>0</v>
      </c>
      <c r="K15" s="43">
        <v>0</v>
      </c>
      <c r="L15" s="43">
        <v>4.1666666666666664E-2</v>
      </c>
      <c r="M15" s="32">
        <v>0</v>
      </c>
      <c r="N15" s="33">
        <f t="shared" si="1"/>
        <v>4.1666666666666664E-2</v>
      </c>
      <c r="O15" s="33">
        <f t="shared" si="2"/>
        <v>4.1666666666666664E-2</v>
      </c>
    </row>
    <row r="16" spans="1:15">
      <c r="A16" s="1" t="s">
        <v>1</v>
      </c>
      <c r="B16" s="22" t="s">
        <v>32</v>
      </c>
      <c r="C16" s="43">
        <v>0</v>
      </c>
      <c r="D16" s="43">
        <v>0</v>
      </c>
      <c r="E16" s="67">
        <v>0.25</v>
      </c>
      <c r="F16" s="33">
        <f t="shared" si="0"/>
        <v>0.25</v>
      </c>
      <c r="G16" s="42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32">
        <v>0</v>
      </c>
      <c r="N16" s="33">
        <f t="shared" si="1"/>
        <v>0</v>
      </c>
      <c r="O16" s="33">
        <f t="shared" si="2"/>
        <v>0.25</v>
      </c>
    </row>
    <row r="17" spans="1:15">
      <c r="A17" s="1" t="s">
        <v>1</v>
      </c>
      <c r="B17" s="5" t="s">
        <v>33</v>
      </c>
      <c r="C17" s="45">
        <v>0.16666666666666666</v>
      </c>
      <c r="D17" s="45">
        <v>0</v>
      </c>
      <c r="E17" s="68">
        <v>0</v>
      </c>
      <c r="F17" s="7">
        <f t="shared" si="0"/>
        <v>0.16666666666666666</v>
      </c>
      <c r="G17" s="44">
        <v>1.2083333333333333</v>
      </c>
      <c r="H17" s="45">
        <v>3.2916666666666665</v>
      </c>
      <c r="I17" s="45">
        <v>2.6666666666666665</v>
      </c>
      <c r="J17" s="45">
        <v>1.75</v>
      </c>
      <c r="K17" s="45">
        <v>0.70833333333333337</v>
      </c>
      <c r="L17" s="45">
        <v>1.2083333333333333</v>
      </c>
      <c r="M17" s="6">
        <v>0.66666666666666663</v>
      </c>
      <c r="N17" s="7">
        <f t="shared" si="1"/>
        <v>11.5</v>
      </c>
      <c r="O17" s="7">
        <f t="shared" si="2"/>
        <v>11.666666666666666</v>
      </c>
    </row>
    <row r="18" spans="1:15">
      <c r="A18" s="1" t="s">
        <v>1</v>
      </c>
      <c r="B18" s="14" t="s">
        <v>34</v>
      </c>
      <c r="C18" s="47">
        <v>38.5</v>
      </c>
      <c r="D18" s="47">
        <v>22.5</v>
      </c>
      <c r="E18" s="69">
        <v>28.5</v>
      </c>
      <c r="F18" s="16">
        <f t="shared" si="0"/>
        <v>89.5</v>
      </c>
      <c r="G18" s="46">
        <v>34</v>
      </c>
      <c r="H18" s="47">
        <v>32</v>
      </c>
      <c r="I18" s="47">
        <v>28</v>
      </c>
      <c r="J18" s="47">
        <v>31</v>
      </c>
      <c r="K18" s="47">
        <v>17</v>
      </c>
      <c r="L18" s="47">
        <v>9</v>
      </c>
      <c r="M18" s="15">
        <v>0</v>
      </c>
      <c r="N18" s="16">
        <f t="shared" si="1"/>
        <v>151</v>
      </c>
      <c r="O18" s="16"/>
    </row>
    <row r="19" spans="1:15">
      <c r="A19" s="1" t="s">
        <v>1</v>
      </c>
      <c r="B19" s="19" t="s">
        <v>35</v>
      </c>
      <c r="C19" s="49">
        <v>365000</v>
      </c>
      <c r="D19" s="49">
        <v>365000</v>
      </c>
      <c r="E19" s="70">
        <v>170000</v>
      </c>
      <c r="F19" s="21">
        <f t="shared" si="0"/>
        <v>900000</v>
      </c>
      <c r="G19" s="48">
        <v>182000</v>
      </c>
      <c r="H19" s="49">
        <v>177000</v>
      </c>
      <c r="I19" s="49">
        <v>177000</v>
      </c>
      <c r="J19" s="49">
        <v>187000</v>
      </c>
      <c r="K19" s="49">
        <v>170000</v>
      </c>
      <c r="L19" s="49">
        <v>170000</v>
      </c>
      <c r="M19" s="20">
        <v>170000</v>
      </c>
      <c r="N19" s="21">
        <f t="shared" si="1"/>
        <v>1233000</v>
      </c>
      <c r="O19" s="21">
        <f t="shared" si="2"/>
        <v>2133000</v>
      </c>
    </row>
    <row r="20" spans="1:15">
      <c r="A20" s="1" t="s">
        <v>1</v>
      </c>
      <c r="B20" s="22" t="s">
        <v>36</v>
      </c>
      <c r="C20" s="51">
        <v>0</v>
      </c>
      <c r="D20" s="51">
        <v>0</v>
      </c>
      <c r="E20" s="71">
        <v>0</v>
      </c>
      <c r="F20" s="24">
        <f t="shared" si="0"/>
        <v>0</v>
      </c>
      <c r="G20" s="50">
        <v>5000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23">
        <v>0</v>
      </c>
      <c r="N20" s="24">
        <f t="shared" si="1"/>
        <v>5000</v>
      </c>
      <c r="O20" s="24">
        <f t="shared" si="2"/>
        <v>5000</v>
      </c>
    </row>
    <row r="21" spans="1:15">
      <c r="A21" s="1" t="s">
        <v>1</v>
      </c>
      <c r="B21" s="22" t="s">
        <v>37</v>
      </c>
      <c r="C21" s="51">
        <v>0</v>
      </c>
      <c r="D21" s="51">
        <v>0</v>
      </c>
      <c r="E21" s="71">
        <v>6000</v>
      </c>
      <c r="F21" s="24">
        <f t="shared" si="0"/>
        <v>6000</v>
      </c>
      <c r="G21" s="50">
        <v>6000</v>
      </c>
      <c r="H21" s="51">
        <v>10000</v>
      </c>
      <c r="I21" s="51">
        <v>0</v>
      </c>
      <c r="J21" s="51">
        <v>0</v>
      </c>
      <c r="K21" s="51">
        <v>0</v>
      </c>
      <c r="L21" s="51">
        <v>0</v>
      </c>
      <c r="M21" s="23">
        <v>0</v>
      </c>
      <c r="N21" s="24">
        <f t="shared" si="1"/>
        <v>16000</v>
      </c>
      <c r="O21" s="24">
        <f t="shared" si="2"/>
        <v>22000</v>
      </c>
    </row>
    <row r="22" spans="1:15">
      <c r="A22" s="1" t="s">
        <v>1</v>
      </c>
      <c r="B22" s="22" t="s">
        <v>38</v>
      </c>
      <c r="C22" s="51">
        <v>0</v>
      </c>
      <c r="D22" s="51">
        <v>0</v>
      </c>
      <c r="E22" s="71">
        <v>0</v>
      </c>
      <c r="F22" s="24">
        <f t="shared" si="0"/>
        <v>0</v>
      </c>
      <c r="G22" s="50">
        <v>6696</v>
      </c>
      <c r="H22" s="51">
        <v>0</v>
      </c>
      <c r="I22" s="51">
        <v>0</v>
      </c>
      <c r="J22" s="51">
        <v>5884</v>
      </c>
      <c r="K22" s="51">
        <v>0</v>
      </c>
      <c r="L22" s="51">
        <v>0</v>
      </c>
      <c r="M22" s="23">
        <v>0</v>
      </c>
      <c r="N22" s="24">
        <f t="shared" si="1"/>
        <v>12580</v>
      </c>
      <c r="O22" s="24">
        <f t="shared" si="2"/>
        <v>12580</v>
      </c>
    </row>
    <row r="23" spans="1:15">
      <c r="A23" s="1" t="s">
        <v>1</v>
      </c>
      <c r="B23" s="22" t="s">
        <v>39</v>
      </c>
      <c r="C23" s="51">
        <v>0</v>
      </c>
      <c r="D23" s="51">
        <v>0</v>
      </c>
      <c r="E23" s="71">
        <v>0</v>
      </c>
      <c r="F23" s="24">
        <f t="shared" si="0"/>
        <v>0</v>
      </c>
      <c r="G23" s="50">
        <v>3500</v>
      </c>
      <c r="H23" s="51">
        <v>3500</v>
      </c>
      <c r="I23" s="51">
        <v>3500</v>
      </c>
      <c r="J23" s="51">
        <v>3500</v>
      </c>
      <c r="K23" s="51">
        <v>2000</v>
      </c>
      <c r="L23" s="51">
        <v>2000</v>
      </c>
      <c r="M23" s="23">
        <v>0</v>
      </c>
      <c r="N23" s="24">
        <f t="shared" si="1"/>
        <v>18000</v>
      </c>
      <c r="O23" s="24">
        <f t="shared" si="2"/>
        <v>18000</v>
      </c>
    </row>
    <row r="24" spans="1:15">
      <c r="A24" s="1" t="s">
        <v>1</v>
      </c>
      <c r="B24" s="22" t="s">
        <v>40</v>
      </c>
      <c r="C24" s="51">
        <v>0</v>
      </c>
      <c r="D24" s="51">
        <v>0</v>
      </c>
      <c r="E24" s="71">
        <v>0</v>
      </c>
      <c r="F24" s="24">
        <f t="shared" si="0"/>
        <v>0</v>
      </c>
      <c r="G24" s="50">
        <v>0</v>
      </c>
      <c r="H24" s="51">
        <v>12600</v>
      </c>
      <c r="I24" s="51">
        <v>0</v>
      </c>
      <c r="J24" s="51">
        <v>0</v>
      </c>
      <c r="K24" s="51">
        <v>0</v>
      </c>
      <c r="L24" s="51">
        <v>0</v>
      </c>
      <c r="M24" s="23">
        <v>0</v>
      </c>
      <c r="N24" s="24">
        <f t="shared" si="1"/>
        <v>12600</v>
      </c>
      <c r="O24" s="24">
        <f t="shared" si="2"/>
        <v>12600</v>
      </c>
    </row>
    <row r="25" spans="1:15">
      <c r="A25" s="1" t="s">
        <v>1</v>
      </c>
      <c r="B25" s="22" t="s">
        <v>26</v>
      </c>
      <c r="C25" s="51">
        <v>0</v>
      </c>
      <c r="D25" s="51">
        <v>0</v>
      </c>
      <c r="E25" s="71">
        <v>1506</v>
      </c>
      <c r="F25" s="24">
        <f t="shared" si="0"/>
        <v>1506</v>
      </c>
      <c r="G25" s="50">
        <v>76492</v>
      </c>
      <c r="H25" s="51">
        <v>22800</v>
      </c>
      <c r="I25" s="51">
        <v>36477</v>
      </c>
      <c r="J25" s="51">
        <v>64170</v>
      </c>
      <c r="K25" s="51">
        <v>47656</v>
      </c>
      <c r="L25" s="51">
        <v>78568</v>
      </c>
      <c r="M25" s="23">
        <v>45828</v>
      </c>
      <c r="N25" s="24">
        <f t="shared" si="1"/>
        <v>371991</v>
      </c>
      <c r="O25" s="24">
        <f t="shared" si="2"/>
        <v>373497</v>
      </c>
    </row>
    <row r="26" spans="1:15">
      <c r="A26" s="1" t="s">
        <v>1</v>
      </c>
      <c r="B26" s="22" t="s">
        <v>41</v>
      </c>
      <c r="C26" s="51">
        <v>0</v>
      </c>
      <c r="D26" s="51">
        <v>0</v>
      </c>
      <c r="E26" s="71">
        <v>21151</v>
      </c>
      <c r="F26" s="24">
        <f t="shared" si="0"/>
        <v>21151</v>
      </c>
      <c r="G26" s="50">
        <v>30191</v>
      </c>
      <c r="H26" s="51">
        <v>39408</v>
      </c>
      <c r="I26" s="51">
        <v>40852</v>
      </c>
      <c r="J26" s="51">
        <v>27720</v>
      </c>
      <c r="K26" s="51">
        <v>26429</v>
      </c>
      <c r="L26" s="51">
        <v>29211</v>
      </c>
      <c r="M26" s="23">
        <v>21984</v>
      </c>
      <c r="N26" s="24">
        <f t="shared" si="1"/>
        <v>215795</v>
      </c>
      <c r="O26" s="24">
        <f t="shared" si="2"/>
        <v>236946</v>
      </c>
    </row>
    <row r="27" spans="1:15">
      <c r="A27" s="1" t="s">
        <v>1</v>
      </c>
      <c r="B27" s="22" t="s">
        <v>42</v>
      </c>
      <c r="C27" s="51">
        <v>0</v>
      </c>
      <c r="D27" s="51">
        <v>0</v>
      </c>
      <c r="E27" s="71">
        <v>11389</v>
      </c>
      <c r="F27" s="24">
        <f t="shared" si="0"/>
        <v>11389</v>
      </c>
      <c r="G27" s="50">
        <v>9534</v>
      </c>
      <c r="H27" s="51">
        <v>41050</v>
      </c>
      <c r="I27" s="51">
        <v>26262</v>
      </c>
      <c r="J27" s="51">
        <v>29260</v>
      </c>
      <c r="K27" s="51">
        <v>26429</v>
      </c>
      <c r="L27" s="51">
        <v>0</v>
      </c>
      <c r="M27" s="23">
        <v>9618</v>
      </c>
      <c r="N27" s="24">
        <f t="shared" si="1"/>
        <v>142153</v>
      </c>
      <c r="O27" s="24">
        <f t="shared" si="2"/>
        <v>153542</v>
      </c>
    </row>
    <row r="28" spans="1:15">
      <c r="A28" s="1" t="s">
        <v>1</v>
      </c>
      <c r="B28" s="22" t="s">
        <v>43</v>
      </c>
      <c r="C28" s="51">
        <v>0</v>
      </c>
      <c r="D28" s="51">
        <v>0</v>
      </c>
      <c r="E28" s="71">
        <v>0</v>
      </c>
      <c r="F28" s="24">
        <f t="shared" si="0"/>
        <v>0</v>
      </c>
      <c r="G28" s="50">
        <v>0</v>
      </c>
      <c r="H28" s="51">
        <v>0</v>
      </c>
      <c r="I28" s="51">
        <v>0</v>
      </c>
      <c r="J28" s="51">
        <v>0</v>
      </c>
      <c r="K28" s="51">
        <v>2527</v>
      </c>
      <c r="L28" s="51">
        <v>0</v>
      </c>
      <c r="M28" s="23">
        <v>0</v>
      </c>
      <c r="N28" s="24">
        <f t="shared" si="1"/>
        <v>2527</v>
      </c>
      <c r="O28" s="24">
        <f t="shared" si="2"/>
        <v>2527</v>
      </c>
    </row>
    <row r="29" spans="1:15">
      <c r="A29" s="1" t="s">
        <v>1</v>
      </c>
      <c r="B29" s="22" t="s">
        <v>44</v>
      </c>
      <c r="C29" s="51">
        <v>0</v>
      </c>
      <c r="D29" s="51">
        <v>0</v>
      </c>
      <c r="E29" s="71">
        <v>0</v>
      </c>
      <c r="F29" s="24">
        <f t="shared" si="0"/>
        <v>0</v>
      </c>
      <c r="G29" s="50">
        <v>0</v>
      </c>
      <c r="H29" s="51">
        <v>0</v>
      </c>
      <c r="I29" s="51">
        <v>3024</v>
      </c>
      <c r="J29" s="51">
        <v>0</v>
      </c>
      <c r="K29" s="51">
        <v>0</v>
      </c>
      <c r="L29" s="51">
        <v>0</v>
      </c>
      <c r="M29" s="23">
        <v>0</v>
      </c>
      <c r="N29" s="24">
        <f t="shared" si="1"/>
        <v>3024</v>
      </c>
      <c r="O29" s="24">
        <f t="shared" si="2"/>
        <v>3024</v>
      </c>
    </row>
    <row r="30" spans="1:15">
      <c r="A30" s="1" t="s">
        <v>1</v>
      </c>
      <c r="B30" s="22" t="s">
        <v>31</v>
      </c>
      <c r="C30" s="51">
        <v>0</v>
      </c>
      <c r="D30" s="51">
        <v>0</v>
      </c>
      <c r="E30" s="71">
        <v>0</v>
      </c>
      <c r="F30" s="24">
        <f t="shared" si="0"/>
        <v>0</v>
      </c>
      <c r="G30" s="50">
        <v>0</v>
      </c>
      <c r="H30" s="51">
        <v>0</v>
      </c>
      <c r="I30" s="51">
        <v>0</v>
      </c>
      <c r="J30" s="51">
        <v>0</v>
      </c>
      <c r="K30" s="51">
        <v>0</v>
      </c>
      <c r="L30" s="51">
        <v>258</v>
      </c>
      <c r="M30" s="23">
        <v>0</v>
      </c>
      <c r="N30" s="24">
        <f t="shared" si="1"/>
        <v>258</v>
      </c>
      <c r="O30" s="24">
        <f t="shared" si="2"/>
        <v>258</v>
      </c>
    </row>
    <row r="31" spans="1:15">
      <c r="A31" s="1" t="s">
        <v>1</v>
      </c>
      <c r="B31" s="22" t="s">
        <v>32</v>
      </c>
      <c r="C31" s="51">
        <v>0</v>
      </c>
      <c r="D31" s="51">
        <v>0</v>
      </c>
      <c r="E31" s="71">
        <v>7230</v>
      </c>
      <c r="F31" s="24">
        <f t="shared" si="0"/>
        <v>7230</v>
      </c>
      <c r="G31" s="50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23">
        <v>0</v>
      </c>
      <c r="N31" s="24">
        <f t="shared" si="1"/>
        <v>0</v>
      </c>
      <c r="O31" s="24">
        <f t="shared" si="2"/>
        <v>7230</v>
      </c>
    </row>
    <row r="32" spans="1:15">
      <c r="A32" s="1" t="s">
        <v>1</v>
      </c>
      <c r="B32" s="5" t="s">
        <v>33</v>
      </c>
      <c r="C32" s="53">
        <v>2188</v>
      </c>
      <c r="D32" s="53">
        <v>0</v>
      </c>
      <c r="E32" s="72">
        <v>0</v>
      </c>
      <c r="F32" s="9">
        <f t="shared" si="0"/>
        <v>2188</v>
      </c>
      <c r="G32" s="52">
        <v>8526</v>
      </c>
      <c r="H32" s="53">
        <v>24016</v>
      </c>
      <c r="I32" s="53">
        <v>17280</v>
      </c>
      <c r="J32" s="53">
        <v>11970</v>
      </c>
      <c r="K32" s="53">
        <v>4386</v>
      </c>
      <c r="L32" s="53">
        <v>7482</v>
      </c>
      <c r="M32" s="8">
        <v>4080</v>
      </c>
      <c r="N32" s="9">
        <f t="shared" si="1"/>
        <v>77740</v>
      </c>
      <c r="O32" s="9">
        <f t="shared" si="2"/>
        <v>79928</v>
      </c>
    </row>
    <row r="33" spans="1:15">
      <c r="A33" s="1" t="s">
        <v>1</v>
      </c>
      <c r="B33" s="14" t="s">
        <v>45</v>
      </c>
      <c r="C33" s="55">
        <v>367188</v>
      </c>
      <c r="D33" s="55">
        <v>365000</v>
      </c>
      <c r="E33" s="73">
        <v>217276</v>
      </c>
      <c r="F33" s="18">
        <f t="shared" si="0"/>
        <v>949464</v>
      </c>
      <c r="G33" s="54">
        <v>327939</v>
      </c>
      <c r="H33" s="55">
        <v>330374</v>
      </c>
      <c r="I33" s="55">
        <v>304395</v>
      </c>
      <c r="J33" s="55">
        <v>329504</v>
      </c>
      <c r="K33" s="55">
        <v>279427</v>
      </c>
      <c r="L33" s="55">
        <v>287519</v>
      </c>
      <c r="M33" s="17">
        <v>251510</v>
      </c>
      <c r="N33" s="18">
        <f t="shared" si="1"/>
        <v>2110668</v>
      </c>
      <c r="O33" s="18">
        <f t="shared" si="2"/>
        <v>3060132</v>
      </c>
    </row>
    <row r="34" spans="1:15">
      <c r="A34" s="1" t="s">
        <v>1</v>
      </c>
      <c r="B34" s="19" t="s">
        <v>46</v>
      </c>
      <c r="C34" s="49">
        <v>7774</v>
      </c>
      <c r="D34" s="49">
        <v>18304</v>
      </c>
      <c r="E34" s="70">
        <v>650</v>
      </c>
      <c r="F34" s="21">
        <f t="shared" si="0"/>
        <v>26728</v>
      </c>
      <c r="G34" s="48">
        <v>9360</v>
      </c>
      <c r="H34" s="49">
        <v>2808</v>
      </c>
      <c r="I34" s="49">
        <v>2600</v>
      </c>
      <c r="J34" s="49">
        <v>11856</v>
      </c>
      <c r="K34" s="49">
        <v>8112</v>
      </c>
      <c r="L34" s="49">
        <v>1300</v>
      </c>
      <c r="M34" s="20">
        <v>6760</v>
      </c>
      <c r="N34" s="21">
        <f t="shared" si="1"/>
        <v>42796</v>
      </c>
      <c r="O34" s="21">
        <f t="shared" si="2"/>
        <v>69524</v>
      </c>
    </row>
    <row r="35" spans="1:15">
      <c r="A35" s="1" t="s">
        <v>1</v>
      </c>
      <c r="B35" s="5" t="s">
        <v>47</v>
      </c>
      <c r="C35" s="53">
        <v>7774</v>
      </c>
      <c r="D35" s="53">
        <v>18304</v>
      </c>
      <c r="E35" s="72">
        <v>650</v>
      </c>
      <c r="F35" s="9">
        <f t="shared" si="0"/>
        <v>26728</v>
      </c>
      <c r="G35" s="52">
        <v>9360</v>
      </c>
      <c r="H35" s="53">
        <v>2808</v>
      </c>
      <c r="I35" s="53">
        <v>2600</v>
      </c>
      <c r="J35" s="53">
        <v>11856</v>
      </c>
      <c r="K35" s="53">
        <v>8112</v>
      </c>
      <c r="L35" s="53">
        <v>1300</v>
      </c>
      <c r="M35" s="8">
        <v>6760</v>
      </c>
      <c r="N35" s="9">
        <f t="shared" si="1"/>
        <v>42796</v>
      </c>
      <c r="O35" s="9">
        <f t="shared" si="2"/>
        <v>69524</v>
      </c>
    </row>
    <row r="36" spans="1:15">
      <c r="A36" s="1" t="s">
        <v>1</v>
      </c>
      <c r="B36" s="14" t="s">
        <v>48</v>
      </c>
      <c r="C36" s="55">
        <v>374962</v>
      </c>
      <c r="D36" s="55">
        <v>383304</v>
      </c>
      <c r="E36" s="73">
        <v>217926</v>
      </c>
      <c r="F36" s="18">
        <f t="shared" si="0"/>
        <v>976192</v>
      </c>
      <c r="G36" s="54">
        <v>337299</v>
      </c>
      <c r="H36" s="55">
        <v>333182</v>
      </c>
      <c r="I36" s="55">
        <v>306995</v>
      </c>
      <c r="J36" s="55">
        <v>341360</v>
      </c>
      <c r="K36" s="55">
        <v>287539</v>
      </c>
      <c r="L36" s="55">
        <v>288819</v>
      </c>
      <c r="M36" s="17">
        <v>258270</v>
      </c>
      <c r="N36" s="18">
        <f t="shared" si="1"/>
        <v>2153464</v>
      </c>
      <c r="O36" s="18">
        <f t="shared" si="2"/>
        <v>3129656</v>
      </c>
    </row>
    <row r="37" spans="1:15">
      <c r="A37" s="1" t="s">
        <v>1</v>
      </c>
      <c r="B37" s="19" t="s">
        <v>49</v>
      </c>
      <c r="C37" s="49">
        <v>18360</v>
      </c>
      <c r="D37" s="49">
        <v>19380</v>
      </c>
      <c r="E37" s="70">
        <v>11220</v>
      </c>
      <c r="F37" s="21">
        <f t="shared" si="0"/>
        <v>48960</v>
      </c>
      <c r="G37" s="48">
        <v>16320</v>
      </c>
      <c r="H37" s="49">
        <v>15300</v>
      </c>
      <c r="I37" s="49">
        <v>14280</v>
      </c>
      <c r="J37" s="49">
        <v>17340</v>
      </c>
      <c r="K37" s="49">
        <v>14280</v>
      </c>
      <c r="L37" s="49">
        <v>15300</v>
      </c>
      <c r="M37" s="20">
        <v>13260</v>
      </c>
      <c r="N37" s="21">
        <f t="shared" si="1"/>
        <v>106080</v>
      </c>
      <c r="O37" s="21">
        <f t="shared" si="2"/>
        <v>155040</v>
      </c>
    </row>
    <row r="38" spans="1:15">
      <c r="A38" s="1" t="s">
        <v>1</v>
      </c>
      <c r="B38" s="22" t="s">
        <v>50</v>
      </c>
      <c r="C38" s="51">
        <v>3240</v>
      </c>
      <c r="D38" s="51">
        <v>3420</v>
      </c>
      <c r="E38" s="71">
        <v>0</v>
      </c>
      <c r="F38" s="24">
        <f t="shared" si="0"/>
        <v>6660</v>
      </c>
      <c r="G38" s="50">
        <v>2880</v>
      </c>
      <c r="H38" s="51">
        <v>2700</v>
      </c>
      <c r="I38" s="51">
        <v>2520</v>
      </c>
      <c r="J38" s="51">
        <v>3060</v>
      </c>
      <c r="K38" s="51">
        <v>2520</v>
      </c>
      <c r="L38" s="51">
        <v>2700</v>
      </c>
      <c r="M38" s="23">
        <v>2340</v>
      </c>
      <c r="N38" s="24">
        <f t="shared" si="1"/>
        <v>18720</v>
      </c>
      <c r="O38" s="24">
        <f t="shared" si="2"/>
        <v>25380</v>
      </c>
    </row>
    <row r="39" spans="1:15">
      <c r="A39" s="1" t="s">
        <v>1</v>
      </c>
      <c r="B39" s="22" t="s">
        <v>51</v>
      </c>
      <c r="C39" s="51">
        <v>32940</v>
      </c>
      <c r="D39" s="51">
        <v>34770</v>
      </c>
      <c r="E39" s="71">
        <v>20130</v>
      </c>
      <c r="F39" s="24">
        <f t="shared" si="0"/>
        <v>87840</v>
      </c>
      <c r="G39" s="50">
        <v>29280</v>
      </c>
      <c r="H39" s="51">
        <v>27450</v>
      </c>
      <c r="I39" s="51">
        <v>25620</v>
      </c>
      <c r="J39" s="51">
        <v>31110</v>
      </c>
      <c r="K39" s="51">
        <v>25620</v>
      </c>
      <c r="L39" s="51">
        <v>27450</v>
      </c>
      <c r="M39" s="23">
        <v>23790</v>
      </c>
      <c r="N39" s="24">
        <f t="shared" si="1"/>
        <v>190320</v>
      </c>
      <c r="O39" s="24">
        <f t="shared" si="2"/>
        <v>278160</v>
      </c>
    </row>
    <row r="40" spans="1:15">
      <c r="A40" s="1" t="s">
        <v>1</v>
      </c>
      <c r="B40" s="5" t="s">
        <v>52</v>
      </c>
      <c r="C40" s="53">
        <v>2250</v>
      </c>
      <c r="D40" s="53">
        <v>2300</v>
      </c>
      <c r="E40" s="72">
        <v>1308</v>
      </c>
      <c r="F40" s="9">
        <f t="shared" si="0"/>
        <v>5858</v>
      </c>
      <c r="G40" s="52">
        <v>2024</v>
      </c>
      <c r="H40" s="53">
        <v>1999</v>
      </c>
      <c r="I40" s="53">
        <v>1842</v>
      </c>
      <c r="J40" s="53">
        <v>2048</v>
      </c>
      <c r="K40" s="53">
        <v>1725</v>
      </c>
      <c r="L40" s="53">
        <v>1733</v>
      </c>
      <c r="M40" s="8">
        <v>1550</v>
      </c>
      <c r="N40" s="9">
        <f t="shared" si="1"/>
        <v>12921</v>
      </c>
      <c r="O40" s="9">
        <f t="shared" si="2"/>
        <v>18779</v>
      </c>
    </row>
    <row r="41" spans="1:15">
      <c r="A41" s="1" t="s">
        <v>1</v>
      </c>
      <c r="B41" s="14" t="s">
        <v>53</v>
      </c>
      <c r="C41" s="55">
        <v>56790</v>
      </c>
      <c r="D41" s="55">
        <v>59870</v>
      </c>
      <c r="E41" s="73">
        <v>32658</v>
      </c>
      <c r="F41" s="18">
        <f t="shared" si="0"/>
        <v>149318</v>
      </c>
      <c r="G41" s="54">
        <v>50504</v>
      </c>
      <c r="H41" s="55">
        <v>47449</v>
      </c>
      <c r="I41" s="55">
        <v>44262</v>
      </c>
      <c r="J41" s="55">
        <v>53558</v>
      </c>
      <c r="K41" s="55">
        <v>44145</v>
      </c>
      <c r="L41" s="55">
        <v>47183</v>
      </c>
      <c r="M41" s="17">
        <v>40940</v>
      </c>
      <c r="N41" s="18">
        <f t="shared" si="1"/>
        <v>328041</v>
      </c>
      <c r="O41" s="18">
        <f t="shared" si="2"/>
        <v>477359</v>
      </c>
    </row>
    <row r="42" spans="1:15">
      <c r="A42" s="1" t="s">
        <v>1</v>
      </c>
      <c r="B42" s="19" t="s">
        <v>54</v>
      </c>
      <c r="C42" s="49">
        <v>0</v>
      </c>
      <c r="D42" s="49">
        <v>8800</v>
      </c>
      <c r="E42" s="70">
        <v>0</v>
      </c>
      <c r="F42" s="21">
        <f t="shared" si="0"/>
        <v>8800</v>
      </c>
      <c r="G42" s="48">
        <v>0</v>
      </c>
      <c r="H42" s="49">
        <v>0</v>
      </c>
      <c r="I42" s="49">
        <v>0</v>
      </c>
      <c r="J42" s="49">
        <v>0</v>
      </c>
      <c r="K42" s="49">
        <v>0</v>
      </c>
      <c r="L42" s="49">
        <v>0</v>
      </c>
      <c r="M42" s="20">
        <v>3530</v>
      </c>
      <c r="N42" s="21">
        <f t="shared" si="1"/>
        <v>3530</v>
      </c>
      <c r="O42" s="21">
        <f t="shared" si="2"/>
        <v>12330</v>
      </c>
    </row>
    <row r="43" spans="1:15">
      <c r="A43" s="1" t="s">
        <v>1</v>
      </c>
      <c r="B43" s="5" t="s">
        <v>55</v>
      </c>
      <c r="C43" s="53">
        <v>19700</v>
      </c>
      <c r="D43" s="53">
        <v>21400</v>
      </c>
      <c r="E43" s="72">
        <v>9200</v>
      </c>
      <c r="F43" s="9">
        <f t="shared" si="0"/>
        <v>50300</v>
      </c>
      <c r="G43" s="52">
        <v>3200</v>
      </c>
      <c r="H43" s="53">
        <v>9900</v>
      </c>
      <c r="I43" s="53">
        <v>11400</v>
      </c>
      <c r="J43" s="53">
        <v>15300</v>
      </c>
      <c r="K43" s="53">
        <v>10500</v>
      </c>
      <c r="L43" s="53">
        <v>6800</v>
      </c>
      <c r="M43" s="8">
        <v>0</v>
      </c>
      <c r="N43" s="9">
        <f t="shared" si="1"/>
        <v>57100</v>
      </c>
      <c r="O43" s="9">
        <f t="shared" si="2"/>
        <v>107400</v>
      </c>
    </row>
    <row r="44" spans="1:15">
      <c r="A44" s="1" t="s">
        <v>1</v>
      </c>
      <c r="B44" s="14" t="s">
        <v>56</v>
      </c>
      <c r="C44" s="55">
        <v>76490</v>
      </c>
      <c r="D44" s="55">
        <v>90070</v>
      </c>
      <c r="E44" s="73">
        <v>41858</v>
      </c>
      <c r="F44" s="18">
        <f t="shared" si="0"/>
        <v>208418</v>
      </c>
      <c r="G44" s="54">
        <v>53704</v>
      </c>
      <c r="H44" s="55">
        <v>57349</v>
      </c>
      <c r="I44" s="55">
        <v>55662</v>
      </c>
      <c r="J44" s="55">
        <v>68858</v>
      </c>
      <c r="K44" s="55">
        <v>54645</v>
      </c>
      <c r="L44" s="55">
        <v>53983</v>
      </c>
      <c r="M44" s="17">
        <v>44470</v>
      </c>
      <c r="N44" s="18">
        <f t="shared" si="1"/>
        <v>388671</v>
      </c>
      <c r="O44" s="18">
        <f t="shared" si="2"/>
        <v>597089</v>
      </c>
    </row>
    <row r="45" spans="1:15">
      <c r="A45" s="1" t="s">
        <v>1</v>
      </c>
      <c r="B45" s="14" t="s">
        <v>57</v>
      </c>
      <c r="C45" s="55">
        <v>310398</v>
      </c>
      <c r="D45" s="55">
        <v>305130</v>
      </c>
      <c r="E45" s="73">
        <v>184618</v>
      </c>
      <c r="F45" s="18">
        <f t="shared" si="0"/>
        <v>800146</v>
      </c>
      <c r="G45" s="54">
        <v>277435</v>
      </c>
      <c r="H45" s="55">
        <v>282925</v>
      </c>
      <c r="I45" s="55">
        <v>260133</v>
      </c>
      <c r="J45" s="55">
        <v>275946</v>
      </c>
      <c r="K45" s="55">
        <v>235282</v>
      </c>
      <c r="L45" s="55">
        <v>240336</v>
      </c>
      <c r="M45" s="17">
        <v>210570</v>
      </c>
      <c r="N45" s="18">
        <f t="shared" si="1"/>
        <v>1782627</v>
      </c>
      <c r="O45" s="18">
        <f t="shared" si="2"/>
        <v>2582773</v>
      </c>
    </row>
    <row r="46" spans="1:15">
      <c r="A46" s="1" t="s">
        <v>1</v>
      </c>
      <c r="B46" s="14" t="s">
        <v>58</v>
      </c>
      <c r="C46" s="55">
        <v>298472</v>
      </c>
      <c r="D46" s="55">
        <v>293234</v>
      </c>
      <c r="E46" s="73">
        <v>176068</v>
      </c>
      <c r="F46" s="18">
        <f t="shared" si="0"/>
        <v>767774</v>
      </c>
      <c r="G46" s="54">
        <v>283595</v>
      </c>
      <c r="H46" s="55">
        <v>275833</v>
      </c>
      <c r="I46" s="55">
        <v>251333</v>
      </c>
      <c r="J46" s="55">
        <v>272502</v>
      </c>
      <c r="K46" s="55">
        <v>232894</v>
      </c>
      <c r="L46" s="55">
        <v>234836</v>
      </c>
      <c r="M46" s="17">
        <v>213800</v>
      </c>
      <c r="N46" s="18">
        <f t="shared" si="1"/>
        <v>1764793</v>
      </c>
      <c r="O46" s="18">
        <f t="shared" si="2"/>
        <v>2532567</v>
      </c>
    </row>
    <row r="47" spans="1:15">
      <c r="A47" s="1" t="s">
        <v>1</v>
      </c>
      <c r="B47" s="14" t="s">
        <v>59</v>
      </c>
      <c r="C47" s="55">
        <v>298472</v>
      </c>
      <c r="D47" s="55">
        <v>293234</v>
      </c>
      <c r="E47" s="73">
        <v>176068</v>
      </c>
      <c r="F47" s="18">
        <f t="shared" si="0"/>
        <v>767774</v>
      </c>
      <c r="G47" s="54">
        <v>283595</v>
      </c>
      <c r="H47" s="55">
        <v>275833</v>
      </c>
      <c r="I47" s="55">
        <v>251333</v>
      </c>
      <c r="J47" s="55">
        <v>272502</v>
      </c>
      <c r="K47" s="55">
        <v>232894</v>
      </c>
      <c r="L47" s="55">
        <v>234836</v>
      </c>
      <c r="M47" s="17">
        <v>213800</v>
      </c>
      <c r="N47" s="18">
        <f t="shared" si="1"/>
        <v>1764793</v>
      </c>
      <c r="O47" s="18">
        <f t="shared" si="2"/>
        <v>2532567</v>
      </c>
    </row>
    <row r="48" spans="1:15">
      <c r="A48" s="1" t="s">
        <v>1</v>
      </c>
      <c r="B48" s="14" t="s">
        <v>60</v>
      </c>
      <c r="C48" s="55">
        <v>0</v>
      </c>
      <c r="D48" s="55">
        <v>0</v>
      </c>
      <c r="E48" s="73">
        <v>0</v>
      </c>
      <c r="F48" s="18"/>
      <c r="G48" s="54">
        <v>2</v>
      </c>
      <c r="H48" s="55">
        <v>1</v>
      </c>
      <c r="I48" s="55">
        <v>0</v>
      </c>
      <c r="J48" s="55">
        <v>0</v>
      </c>
      <c r="K48" s="55">
        <v>0</v>
      </c>
      <c r="L48" s="55">
        <v>1</v>
      </c>
      <c r="M48" s="17">
        <v>1</v>
      </c>
      <c r="N48" s="18"/>
      <c r="O48" s="18"/>
    </row>
    <row r="49" spans="1:15">
      <c r="A49" s="1" t="s">
        <v>1</v>
      </c>
      <c r="B49" s="14" t="s">
        <v>61</v>
      </c>
      <c r="C49" s="57" t="s">
        <v>62</v>
      </c>
      <c r="D49" s="57" t="s">
        <v>62</v>
      </c>
      <c r="E49" s="74" t="s">
        <v>62</v>
      </c>
      <c r="F49" s="26"/>
      <c r="G49" s="56" t="s">
        <v>62</v>
      </c>
      <c r="H49" s="57" t="s">
        <v>62</v>
      </c>
      <c r="I49" s="57" t="s">
        <v>62</v>
      </c>
      <c r="J49" s="57" t="s">
        <v>62</v>
      </c>
      <c r="K49" s="57" t="s">
        <v>62</v>
      </c>
      <c r="L49" s="57" t="s">
        <v>62</v>
      </c>
      <c r="M49" s="25" t="s">
        <v>62</v>
      </c>
      <c r="N49" s="26"/>
      <c r="O49" s="26"/>
    </row>
    <row r="50" spans="1:15">
      <c r="A50" s="1" t="s">
        <v>1</v>
      </c>
      <c r="B50" s="14" t="s">
        <v>63</v>
      </c>
      <c r="C50" s="55">
        <v>9230</v>
      </c>
      <c r="D50" s="55">
        <v>8800</v>
      </c>
      <c r="E50" s="73">
        <v>4210</v>
      </c>
      <c r="F50" s="18">
        <f t="shared" si="0"/>
        <v>22240</v>
      </c>
      <c r="G50" s="54">
        <v>4300</v>
      </c>
      <c r="H50" s="55">
        <v>6110</v>
      </c>
      <c r="I50" s="55">
        <v>6910</v>
      </c>
      <c r="J50" s="55">
        <v>7480</v>
      </c>
      <c r="K50" s="55">
        <v>6030</v>
      </c>
      <c r="L50" s="55">
        <v>4590</v>
      </c>
      <c r="M50" s="17">
        <v>3530</v>
      </c>
      <c r="N50" s="18">
        <f t="shared" si="1"/>
        <v>38950</v>
      </c>
      <c r="O50" s="18">
        <f t="shared" si="2"/>
        <v>61190</v>
      </c>
    </row>
    <row r="51" spans="1:15">
      <c r="A51" s="1" t="s">
        <v>1</v>
      </c>
      <c r="B51" s="14" t="s">
        <v>64</v>
      </c>
      <c r="C51" s="55">
        <v>9230</v>
      </c>
      <c r="D51" s="55">
        <v>0</v>
      </c>
      <c r="E51" s="73">
        <v>4210</v>
      </c>
      <c r="F51" s="18">
        <f t="shared" si="0"/>
        <v>13440</v>
      </c>
      <c r="G51" s="54">
        <v>4300</v>
      </c>
      <c r="H51" s="55">
        <v>6110</v>
      </c>
      <c r="I51" s="55">
        <v>6910</v>
      </c>
      <c r="J51" s="55">
        <v>7480</v>
      </c>
      <c r="K51" s="55">
        <v>6030</v>
      </c>
      <c r="L51" s="55">
        <v>4590</v>
      </c>
      <c r="M51" s="17">
        <v>0</v>
      </c>
      <c r="N51" s="18">
        <f t="shared" si="1"/>
        <v>35420</v>
      </c>
      <c r="O51" s="18">
        <f t="shared" si="2"/>
        <v>48860</v>
      </c>
    </row>
    <row r="52" spans="1:15" ht="19.5" thickBot="1">
      <c r="A52" s="1" t="s">
        <v>1</v>
      </c>
      <c r="B52" s="10" t="s">
        <v>65</v>
      </c>
      <c r="C52" s="59">
        <v>60000</v>
      </c>
      <c r="D52" s="59">
        <v>30000</v>
      </c>
      <c r="E52" s="75">
        <v>30000</v>
      </c>
      <c r="F52" s="12"/>
      <c r="G52" s="58">
        <v>120000</v>
      </c>
      <c r="H52" s="59">
        <v>30000</v>
      </c>
      <c r="I52" s="59">
        <v>30000</v>
      </c>
      <c r="J52" s="59">
        <v>30000</v>
      </c>
      <c r="K52" s="59">
        <v>30000</v>
      </c>
      <c r="L52" s="59">
        <v>90000</v>
      </c>
      <c r="M52" s="11">
        <v>0</v>
      </c>
      <c r="N52" s="12"/>
      <c r="O52" s="12"/>
    </row>
  </sheetData>
  <phoneticPr fontId="4"/>
  <pageMargins left="0.11811023622047245" right="0.11811023622047245" top="0.35433070866141736" bottom="0.35433070866141736" header="0.11811023622047245" footer="0.11811023622047245"/>
  <pageSetup paperSize="12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7月度給与 (2)</vt:lpstr>
      <vt:lpstr>'2024年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2024-08-09T04:10:20Z</cp:lastPrinted>
  <dcterms:created xsi:type="dcterms:W3CDTF">2024-08-06T05:07:21Z</dcterms:created>
  <dcterms:modified xsi:type="dcterms:W3CDTF">2024-08-09T04:10:23Z</dcterms:modified>
</cp:coreProperties>
</file>