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305D286C-71F2-435A-8471-5A02BA90052D}" xr6:coauthVersionLast="47" xr6:coauthVersionMax="47" xr10:uidLastSave="{00000000-0000-0000-0000-000000000000}"/>
  <bookViews>
    <workbookView xWindow="-120" yWindow="-120" windowWidth="20730" windowHeight="11160" xr2:uid="{70C6F88C-14B5-4FFA-885C-1E7D4C2F96A9}"/>
  </bookViews>
  <sheets>
    <sheet name="2024年 7月度給与 (2)" sheetId="3" r:id="rId1"/>
  </sheets>
  <definedNames>
    <definedName name="_xlnm.Print_Area" localSheetId="0">'2024年 7月度給与 (2)'!$A$1:$K$44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" i="3" l="1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2" i="3"/>
  <c r="J43" i="3"/>
  <c r="K43" i="3" s="1"/>
  <c r="J16" i="3"/>
  <c r="J6" i="3"/>
  <c r="K6" i="3" s="1"/>
  <c r="J7" i="3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5" i="3"/>
  <c r="K5" i="3" s="1"/>
  <c r="E17" i="3"/>
  <c r="K17" i="3" s="1"/>
  <c r="E18" i="3"/>
  <c r="K18" i="3" s="1"/>
  <c r="E19" i="3"/>
  <c r="K19" i="3" s="1"/>
  <c r="E20" i="3"/>
  <c r="K20" i="3" s="1"/>
  <c r="E21" i="3"/>
  <c r="K21" i="3" s="1"/>
  <c r="E22" i="3"/>
  <c r="K22" i="3" s="1"/>
  <c r="E23" i="3"/>
  <c r="K23" i="3" s="1"/>
  <c r="E24" i="3"/>
  <c r="K24" i="3" s="1"/>
  <c r="E25" i="3"/>
  <c r="K25" i="3" s="1"/>
  <c r="E26" i="3"/>
  <c r="K26" i="3" s="1"/>
  <c r="E27" i="3"/>
  <c r="K27" i="3" s="1"/>
  <c r="E28" i="3"/>
  <c r="K28" i="3" s="1"/>
  <c r="E29" i="3"/>
  <c r="K29" i="3" s="1"/>
  <c r="E30" i="3"/>
  <c r="K30" i="3" s="1"/>
  <c r="E31" i="3"/>
  <c r="K31" i="3" s="1"/>
  <c r="E32" i="3"/>
  <c r="K32" i="3" s="1"/>
  <c r="E33" i="3"/>
  <c r="K33" i="3" s="1"/>
  <c r="E34" i="3"/>
  <c r="K34" i="3" s="1"/>
  <c r="E35" i="3"/>
  <c r="K35" i="3" s="1"/>
  <c r="E36" i="3"/>
  <c r="K36" i="3" s="1"/>
  <c r="E37" i="3"/>
  <c r="K37" i="3" s="1"/>
  <c r="E38" i="3"/>
  <c r="K38" i="3" s="1"/>
  <c r="E39" i="3"/>
  <c r="K39" i="3" s="1"/>
  <c r="E40" i="3"/>
  <c r="E42" i="3"/>
  <c r="K42" i="3" s="1"/>
  <c r="E16" i="3"/>
  <c r="K16" i="3" s="1"/>
  <c r="E6" i="3"/>
  <c r="E7" i="3"/>
  <c r="E8" i="3"/>
  <c r="E9" i="3"/>
  <c r="E10" i="3"/>
  <c r="E11" i="3"/>
  <c r="E12" i="3"/>
  <c r="E13" i="3"/>
  <c r="E14" i="3"/>
  <c r="E5" i="3"/>
</calcChain>
</file>

<file path=xl/sharedStrings.xml><?xml version="1.0" encoding="utf-8"?>
<sst xmlns="http://schemas.openxmlformats.org/spreadsheetml/2006/main" count="107" uniqueCount="60">
  <si>
    <t>支給控除一覧表</t>
    <phoneticPr fontId="4"/>
  </si>
  <si>
    <t/>
  </si>
  <si>
    <t>1056</t>
    <phoneticPr fontId="4"/>
  </si>
  <si>
    <t>1057</t>
    <phoneticPr fontId="4"/>
  </si>
  <si>
    <t>1061</t>
    <phoneticPr fontId="4"/>
  </si>
  <si>
    <t>1067</t>
    <phoneticPr fontId="4"/>
  </si>
  <si>
    <t>1115</t>
    <phoneticPr fontId="4"/>
  </si>
  <si>
    <t>1063</t>
    <phoneticPr fontId="4"/>
  </si>
  <si>
    <t>項目名</t>
    <phoneticPr fontId="4"/>
  </si>
  <si>
    <t>河村　智春</t>
    <phoneticPr fontId="4"/>
  </si>
  <si>
    <t>赤﨑　功幸</t>
    <phoneticPr fontId="4"/>
  </si>
  <si>
    <t>櫻木　諭治</t>
    <phoneticPr fontId="4"/>
  </si>
  <si>
    <t>米澤　敬</t>
    <phoneticPr fontId="4"/>
  </si>
  <si>
    <t>松井毎</t>
    <phoneticPr fontId="4"/>
  </si>
  <si>
    <t>木下　知美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</si>
  <si>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</si>
  <si>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</si>
  <si>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</si>
  <si>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</si>
  <si>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</si>
  <si>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</si>
  <si>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</si>
  <si>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</si>
  <si>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</si>
  <si>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法定外代時間</t>
    <phoneticPr fontId="4"/>
  </si>
  <si>
    <t>深夜残業</t>
    <phoneticPr fontId="4"/>
  </si>
  <si>
    <t>有休残日数</t>
    <phoneticPr fontId="4"/>
  </si>
  <si>
    <t>基本給</t>
    <phoneticPr fontId="4"/>
  </si>
  <si>
    <t>職責加算</t>
    <phoneticPr fontId="4"/>
  </si>
  <si>
    <t>調整給</t>
    <phoneticPr fontId="4"/>
  </si>
  <si>
    <t>基本給2</t>
    <phoneticPr fontId="4"/>
  </si>
  <si>
    <t>無事故加算</t>
    <phoneticPr fontId="4"/>
  </si>
  <si>
    <t>法定休日残業</t>
    <phoneticPr fontId="4"/>
  </si>
  <si>
    <t>法定外代休残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</si>
  <si>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</si>
  <si>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</si>
  <si>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</si>
  <si>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</si>
  <si>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</si>
  <si>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</si>
  <si>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</si>
  <si>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</si>
  <si>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</si>
  <si>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</si>
  <si>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</si>
  <si>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</si>
  <si>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</si>
  <si>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</si>
  <si>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</si>
  <si>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</si>
  <si>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</si>
  <si>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</si>
  <si>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</si>
  <si>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</si>
  <si>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</si>
  <si>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</si>
  <si>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</si>
  <si>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</si>
  <si>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4名</t>
    <rPh sb="1" eb="2">
      <t>メイ</t>
    </rPh>
    <phoneticPr fontId="3"/>
  </si>
  <si>
    <t>６名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</si>
</sst>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7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5" xfId="1" applyNumberFormat="1" applyFont="1" applyBorder="1" applyAlignment="1">
      <alignment horizontal="left"/>
    </xf>
    <xf numFmtId="2" fontId="2" fillId="0" borderId="6" xfId="1" applyNumberFormat="1" applyFont="1" applyBorder="1"/>
    <xf numFmtId="2" fontId="2" fillId="0" borderId="5" xfId="1" applyNumberFormat="1" applyFont="1" applyBorder="1"/>
    <xf numFmtId="3" fontId="2" fillId="0" borderId="6" xfId="1" applyNumberFormat="1" applyFont="1" applyBorder="1"/>
    <xf numFmtId="3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6" xfId="1" applyNumberFormat="1" applyFont="1" applyBorder="1"/>
    <xf numFmtId="49" fontId="2" fillId="0" borderId="5" xfId="1" applyNumberFormat="1" applyFont="1" applyBorder="1"/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176" fontId="2" fillId="0" borderId="13" xfId="1" applyNumberFormat="1" applyFont="1" applyBorder="1"/>
    <xf numFmtId="176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3" fontId="2" fillId="0" borderId="13" xfId="1" applyNumberFormat="1" applyFont="1" applyBorder="1"/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49" fontId="2" fillId="0" borderId="15" xfId="1" applyNumberFormat="1" applyFont="1" applyBorder="1"/>
    <xf numFmtId="49" fontId="2" fillId="0" borderId="16" xfId="1" applyNumberFormat="1" applyFont="1" applyBorder="1"/>
    <xf numFmtId="3" fontId="2" fillId="0" borderId="11" xfId="1" applyNumberFormat="1" applyFont="1" applyBorder="1"/>
    <xf numFmtId="3" fontId="2" fillId="0" borderId="12" xfId="1" applyNumberFormat="1" applyFont="1" applyBorder="1"/>
    <xf numFmtId="49" fontId="2" fillId="0" borderId="19" xfId="1" applyNumberFormat="1" applyFont="1" applyBorder="1" applyAlignment="1">
      <alignment horizontal="left"/>
    </xf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19" xfId="1" applyNumberFormat="1" applyFont="1" applyBorder="1"/>
    <xf numFmtId="49" fontId="2" fillId="0" borderId="23" xfId="1" applyNumberFormat="1" applyFont="1" applyBorder="1" applyAlignment="1">
      <alignment horizontal="left"/>
    </xf>
    <xf numFmtId="2" fontId="2" fillId="0" borderId="24" xfId="1" applyNumberFormat="1" applyFont="1" applyBorder="1"/>
    <xf numFmtId="2" fontId="2" fillId="0" borderId="25" xfId="1" applyNumberFormat="1" applyFont="1" applyBorder="1"/>
    <xf numFmtId="2" fontId="2" fillId="0" borderId="26" xfId="1" applyNumberFormat="1" applyFont="1" applyBorder="1"/>
    <xf numFmtId="2" fontId="2" fillId="0" borderId="23" xfId="1" applyNumberFormat="1" applyFont="1" applyBorder="1"/>
    <xf numFmtId="2" fontId="2" fillId="0" borderId="20" xfId="1" applyNumberFormat="1" applyFont="1" applyBorder="1"/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19" xfId="1" applyNumberFormat="1" applyFont="1" applyBorder="1"/>
    <xf numFmtId="176" fontId="2" fillId="0" borderId="20" xfId="1" applyNumberFormat="1" applyFont="1" applyBorder="1"/>
    <xf numFmtId="176" fontId="2" fillId="0" borderId="21" xfId="1" applyNumberFormat="1" applyFont="1" applyBorder="1"/>
    <xf numFmtId="176" fontId="2" fillId="0" borderId="22" xfId="1" applyNumberFormat="1" applyFont="1" applyBorder="1"/>
    <xf numFmtId="176" fontId="2" fillId="0" borderId="19" xfId="1" applyNumberFormat="1" applyFont="1" applyBorder="1"/>
    <xf numFmtId="49" fontId="2" fillId="0" borderId="27" xfId="1" applyNumberFormat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28" xfId="1" applyNumberFormat="1" applyFont="1" applyBorder="1" applyAlignment="1">
      <alignment horizontal="center"/>
    </xf>
    <xf numFmtId="49" fontId="2" fillId="0" borderId="29" xfId="1" applyNumberFormat="1" applyFont="1" applyBorder="1" applyAlignment="1">
      <alignment horizontal="center"/>
    </xf>
    <xf numFmtId="2" fontId="2" fillId="0" borderId="30" xfId="1" applyNumberFormat="1" applyFont="1" applyBorder="1"/>
    <xf numFmtId="2" fontId="2" fillId="0" borderId="31" xfId="1" applyNumberFormat="1" applyFont="1" applyBorder="1"/>
    <xf numFmtId="176" fontId="2" fillId="0" borderId="31" xfId="1" applyNumberFormat="1" applyFont="1" applyBorder="1"/>
    <xf numFmtId="176" fontId="2" fillId="0" borderId="32" xfId="1" applyNumberFormat="1" applyFont="1" applyBorder="1"/>
    <xf numFmtId="2" fontId="2" fillId="0" borderId="33" xfId="1" applyNumberFormat="1" applyFont="1" applyBorder="1"/>
    <xf numFmtId="3" fontId="2" fillId="0" borderId="34" xfId="1" applyNumberFormat="1" applyFont="1" applyBorder="1"/>
    <xf numFmtId="3" fontId="2" fillId="0" borderId="31" xfId="1" applyNumberFormat="1" applyFont="1" applyBorder="1"/>
    <xf numFmtId="3" fontId="2" fillId="0" borderId="32" xfId="1" applyNumberFormat="1" applyFont="1" applyBorder="1"/>
    <xf numFmtId="3" fontId="2" fillId="0" borderId="33" xfId="1" applyNumberFormat="1" applyFont="1" applyBorder="1"/>
    <xf numFmtId="49" fontId="2" fillId="0" borderId="33" xfId="1" applyNumberFormat="1" applyFont="1" applyBorder="1"/>
    <xf numFmtId="3" fontId="2" fillId="0" borderId="29" xfId="1" applyNumberFormat="1" applyFont="1" applyBorder="1"/>
    <xf numFmtId="0" fontId="2" fillId="0" borderId="4" xfId="1" applyFont="1" applyBorder="1"/>
  </cellXfs>
  <cellStyles count="2">
    <cellStyle name="標準" xfId="0" builtinId="0"/>
    <cellStyle name="標準 2" xfId="1" xr:uid="{5628AA4D-B0AB-42EF-9EF9-6806673ED8D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BAF06-B4A2-4C1D-A19C-53500DA738DB}">
  <sheetPr>
    <pageSetUpPr fitToPage="1"/>
  </sheetPr>
  <dimension ref="A1:K44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1" width="12.87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4" width="8" style="2" bestFit="1" customWidth="1"/>
    <col min="265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0" width="8" style="2" bestFit="1" customWidth="1"/>
    <col min="521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6" width="8" style="2" bestFit="1" customWidth="1"/>
    <col min="777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2" width="8" style="2" bestFit="1" customWidth="1"/>
    <col min="1033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8" width="8" style="2" bestFit="1" customWidth="1"/>
    <col min="1289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4" width="8" style="2" bestFit="1" customWidth="1"/>
    <col min="1545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0" width="8" style="2" bestFit="1" customWidth="1"/>
    <col min="1801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6" width="8" style="2" bestFit="1" customWidth="1"/>
    <col min="2057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2" width="8" style="2" bestFit="1" customWidth="1"/>
    <col min="2313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8" width="8" style="2" bestFit="1" customWidth="1"/>
    <col min="2569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4" width="8" style="2" bestFit="1" customWidth="1"/>
    <col min="2825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0" width="8" style="2" bestFit="1" customWidth="1"/>
    <col min="3081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6" width="8" style="2" bestFit="1" customWidth="1"/>
    <col min="3337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2" width="8" style="2" bestFit="1" customWidth="1"/>
    <col min="3593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8" width="8" style="2" bestFit="1" customWidth="1"/>
    <col min="3849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4" width="8" style="2" bestFit="1" customWidth="1"/>
    <col min="4105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0" width="8" style="2" bestFit="1" customWidth="1"/>
    <col min="4361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6" width="8" style="2" bestFit="1" customWidth="1"/>
    <col min="4617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2" width="8" style="2" bestFit="1" customWidth="1"/>
    <col min="4873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8" width="8" style="2" bestFit="1" customWidth="1"/>
    <col min="5129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4" width="8" style="2" bestFit="1" customWidth="1"/>
    <col min="5385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0" width="8" style="2" bestFit="1" customWidth="1"/>
    <col min="5641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6" width="8" style="2" bestFit="1" customWidth="1"/>
    <col min="5897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2" width="8" style="2" bestFit="1" customWidth="1"/>
    <col min="6153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8" width="8" style="2" bestFit="1" customWidth="1"/>
    <col min="6409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4" width="8" style="2" bestFit="1" customWidth="1"/>
    <col min="6665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0" width="8" style="2" bestFit="1" customWidth="1"/>
    <col min="6921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6" width="8" style="2" bestFit="1" customWidth="1"/>
    <col min="7177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2" width="8" style="2" bestFit="1" customWidth="1"/>
    <col min="7433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8" width="8" style="2" bestFit="1" customWidth="1"/>
    <col min="7689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4" width="8" style="2" bestFit="1" customWidth="1"/>
    <col min="7945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0" width="8" style="2" bestFit="1" customWidth="1"/>
    <col min="8201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6" width="8" style="2" bestFit="1" customWidth="1"/>
    <col min="8457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2" width="8" style="2" bestFit="1" customWidth="1"/>
    <col min="8713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8" width="8" style="2" bestFit="1" customWidth="1"/>
    <col min="8969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4" width="8" style="2" bestFit="1" customWidth="1"/>
    <col min="9225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0" width="8" style="2" bestFit="1" customWidth="1"/>
    <col min="9481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6" width="8" style="2" bestFit="1" customWidth="1"/>
    <col min="9737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2" width="8" style="2" bestFit="1" customWidth="1"/>
    <col min="9993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8" width="8" style="2" bestFit="1" customWidth="1"/>
    <col min="10249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4" width="8" style="2" bestFit="1" customWidth="1"/>
    <col min="10505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0" width="8" style="2" bestFit="1" customWidth="1"/>
    <col min="10761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6" width="8" style="2" bestFit="1" customWidth="1"/>
    <col min="11017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2" width="8" style="2" bestFit="1" customWidth="1"/>
    <col min="11273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8" width="8" style="2" bestFit="1" customWidth="1"/>
    <col min="11529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4" width="8" style="2" bestFit="1" customWidth="1"/>
    <col min="11785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0" width="8" style="2" bestFit="1" customWidth="1"/>
    <col min="12041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6" width="8" style="2" bestFit="1" customWidth="1"/>
    <col min="12297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2" width="8" style="2" bestFit="1" customWidth="1"/>
    <col min="12553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8" width="8" style="2" bestFit="1" customWidth="1"/>
    <col min="12809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4" width="8" style="2" bestFit="1" customWidth="1"/>
    <col min="13065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0" width="8" style="2" bestFit="1" customWidth="1"/>
    <col min="13321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6" width="8" style="2" bestFit="1" customWidth="1"/>
    <col min="13577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2" width="8" style="2" bestFit="1" customWidth="1"/>
    <col min="13833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8" width="8" style="2" bestFit="1" customWidth="1"/>
    <col min="14089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4" width="8" style="2" bestFit="1" customWidth="1"/>
    <col min="14345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0" width="8" style="2" bestFit="1" customWidth="1"/>
    <col min="14601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6" width="8" style="2" bestFit="1" customWidth="1"/>
    <col min="14857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2" width="8" style="2" bestFit="1" customWidth="1"/>
    <col min="15113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8" width="8" style="2" bestFit="1" customWidth="1"/>
    <col min="15369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4" width="8" style="2" bestFit="1" customWidth="1"/>
    <col min="15625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0" width="8" style="2" bestFit="1" customWidth="1"/>
    <col min="15881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6" width="8" style="2" bestFit="1" customWidth="1"/>
    <col min="16137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55</v>
      </c>
    </row>
    <row r="3" spans="1:11">
      <c r="B3" s="13"/>
      <c r="C3" s="25" t="s">
        <v>3</v>
      </c>
      <c r="D3" s="60" t="s">
        <v>7</v>
      </c>
      <c r="E3" s="61" t="s">
        <v>56</v>
      </c>
      <c r="F3" s="24" t="s">
        <v>2</v>
      </c>
      <c r="G3" s="25" t="s">
        <v>4</v>
      </c>
      <c r="H3" s="25" t="s">
        <v>5</v>
      </c>
      <c r="I3" s="63" t="s">
        <v>6</v>
      </c>
      <c r="J3" s="61" t="s">
        <v>56</v>
      </c>
      <c r="K3" s="76" t="s">
        <v>15</v>
      </c>
    </row>
    <row r="4" spans="1:11" ht="19.5" thickBot="1">
      <c r="B4" s="4" t="s">
        <v>8</v>
      </c>
      <c r="C4" s="27" t="s">
        <v>10</v>
      </c>
      <c r="D4" s="3" t="s">
        <v>14</v>
      </c>
      <c r="E4" s="62" t="s">
        <v>57</v>
      </c>
      <c r="F4" s="26" t="s">
        <v>9</v>
      </c>
      <c r="G4" s="27" t="s">
        <v>11</v>
      </c>
      <c r="H4" s="27" t="s">
        <v>12</v>
      </c>
      <c r="I4" s="64" t="s">
        <v>13</v>
      </c>
      <c r="J4" s="62" t="s">
        <v>58</v>
      </c>
      <c r="K4" s="4" t="s">
        <v>59</v>
      </c>
    </row>
    <row r="5" spans="1:11">
      <c r="A5" s="1" t="s">
        <v>1</v>
      </c>
      <c r="B5" s="47" t="s">
        <v>16</v>
      </c>
      <c r="C5" s="49">
        <v>23</v>
      </c>
      <c r="D5" s="50">
        <v>17</v>
      </c>
      <c r="E5" s="51">
        <f>SUM(C5:D5)</f>
        <v>40</v>
      </c>
      <c r="F5" s="48">
        <v>17</v>
      </c>
      <c r="G5" s="49">
        <v>19</v>
      </c>
      <c r="H5" s="49">
        <v>21</v>
      </c>
      <c r="I5" s="65">
        <v>23</v>
      </c>
      <c r="J5" s="51">
        <f>SUM(F5:I5)</f>
        <v>80</v>
      </c>
      <c r="K5" s="51">
        <f>SUM(J5,E5)</f>
        <v>120</v>
      </c>
    </row>
    <row r="6" spans="1:11">
      <c r="A6" s="1" t="s">
        <v>1</v>
      </c>
      <c r="B6" s="42" t="s">
        <v>17</v>
      </c>
      <c r="C6" s="53">
        <v>0</v>
      </c>
      <c r="D6" s="54">
        <v>0</v>
      </c>
      <c r="E6" s="55">
        <f t="shared" ref="E6:E14" si="0">SUM(C6:D6)</f>
        <v>0</v>
      </c>
      <c r="F6" s="52">
        <v>1</v>
      </c>
      <c r="G6" s="53">
        <v>2</v>
      </c>
      <c r="H6" s="53">
        <v>2</v>
      </c>
      <c r="I6" s="66">
        <v>2</v>
      </c>
      <c r="J6" s="55">
        <f t="shared" ref="J6:J14" si="1">SUM(F6:I6)</f>
        <v>7</v>
      </c>
      <c r="K6" s="55">
        <f t="shared" ref="K6:K14" si="2">SUM(J6,E6)</f>
        <v>7</v>
      </c>
    </row>
    <row r="7" spans="1:11">
      <c r="A7" s="1" t="s">
        <v>1</v>
      </c>
      <c r="B7" s="42" t="s">
        <v>18</v>
      </c>
      <c r="C7" s="53">
        <v>0</v>
      </c>
      <c r="D7" s="54">
        <v>0</v>
      </c>
      <c r="E7" s="55">
        <f t="shared" si="0"/>
        <v>0</v>
      </c>
      <c r="F7" s="52">
        <v>1</v>
      </c>
      <c r="G7" s="53">
        <v>0</v>
      </c>
      <c r="H7" s="53">
        <v>0</v>
      </c>
      <c r="I7" s="66">
        <v>0</v>
      </c>
      <c r="J7" s="55">
        <f t="shared" si="1"/>
        <v>1</v>
      </c>
      <c r="K7" s="55">
        <f t="shared" si="2"/>
        <v>1</v>
      </c>
    </row>
    <row r="8" spans="1:11">
      <c r="A8" s="1" t="s">
        <v>1</v>
      </c>
      <c r="B8" s="42" t="s">
        <v>19</v>
      </c>
      <c r="C8" s="53">
        <v>0</v>
      </c>
      <c r="D8" s="54">
        <v>0</v>
      </c>
      <c r="E8" s="55">
        <f t="shared" si="0"/>
        <v>0</v>
      </c>
      <c r="F8" s="52">
        <v>1</v>
      </c>
      <c r="G8" s="53">
        <v>0</v>
      </c>
      <c r="H8" s="53">
        <v>0</v>
      </c>
      <c r="I8" s="66">
        <v>0</v>
      </c>
      <c r="J8" s="55">
        <f t="shared" si="1"/>
        <v>1</v>
      </c>
      <c r="K8" s="55">
        <f t="shared" si="2"/>
        <v>1</v>
      </c>
    </row>
    <row r="9" spans="1:11">
      <c r="A9" s="1" t="s">
        <v>1</v>
      </c>
      <c r="B9" s="42" t="s">
        <v>20</v>
      </c>
      <c r="C9" s="53">
        <v>0.5</v>
      </c>
      <c r="D9" s="54">
        <v>0</v>
      </c>
      <c r="E9" s="55">
        <f t="shared" si="0"/>
        <v>0.5</v>
      </c>
      <c r="F9" s="52">
        <v>5</v>
      </c>
      <c r="G9" s="53">
        <v>4</v>
      </c>
      <c r="H9" s="53">
        <v>2</v>
      </c>
      <c r="I9" s="66">
        <v>0</v>
      </c>
      <c r="J9" s="55">
        <f t="shared" si="1"/>
        <v>11</v>
      </c>
      <c r="K9" s="55">
        <f t="shared" si="2"/>
        <v>11.5</v>
      </c>
    </row>
    <row r="10" spans="1:11">
      <c r="A10" s="1" t="s">
        <v>1</v>
      </c>
      <c r="B10" s="42" t="s">
        <v>21</v>
      </c>
      <c r="C10" s="57">
        <v>0</v>
      </c>
      <c r="D10" s="58">
        <v>3.5416666666666665</v>
      </c>
      <c r="E10" s="59">
        <f t="shared" si="0"/>
        <v>3.5416666666666665</v>
      </c>
      <c r="F10" s="56">
        <v>0</v>
      </c>
      <c r="G10" s="57">
        <v>0</v>
      </c>
      <c r="H10" s="57">
        <v>0</v>
      </c>
      <c r="I10" s="67">
        <v>0</v>
      </c>
      <c r="J10" s="59">
        <f t="shared" si="1"/>
        <v>0</v>
      </c>
      <c r="K10" s="59">
        <f t="shared" si="2"/>
        <v>3.5416666666666665</v>
      </c>
    </row>
    <row r="11" spans="1:11">
      <c r="A11" s="1" t="s">
        <v>1</v>
      </c>
      <c r="B11" s="42" t="s">
        <v>22</v>
      </c>
      <c r="C11" s="57">
        <v>0</v>
      </c>
      <c r="D11" s="58">
        <v>0</v>
      </c>
      <c r="E11" s="59">
        <f t="shared" si="0"/>
        <v>0</v>
      </c>
      <c r="F11" s="56">
        <v>0.625</v>
      </c>
      <c r="G11" s="57">
        <v>1.875</v>
      </c>
      <c r="H11" s="57">
        <v>0.83333333333333337</v>
      </c>
      <c r="I11" s="67">
        <v>1.25</v>
      </c>
      <c r="J11" s="59">
        <f t="shared" si="1"/>
        <v>4.5833333333333339</v>
      </c>
      <c r="K11" s="59">
        <f t="shared" si="2"/>
        <v>4.5833333333333339</v>
      </c>
    </row>
    <row r="12" spans="1:11">
      <c r="A12" s="1" t="s">
        <v>1</v>
      </c>
      <c r="B12" s="42" t="s">
        <v>23</v>
      </c>
      <c r="C12" s="57">
        <v>0</v>
      </c>
      <c r="D12" s="58">
        <v>0</v>
      </c>
      <c r="E12" s="59">
        <f t="shared" si="0"/>
        <v>0</v>
      </c>
      <c r="F12" s="56">
        <v>0.45833333333333331</v>
      </c>
      <c r="G12" s="57">
        <v>1.0416666666666667</v>
      </c>
      <c r="H12" s="57">
        <v>0.54166666666666663</v>
      </c>
      <c r="I12" s="67">
        <v>0.70833333333333337</v>
      </c>
      <c r="J12" s="59">
        <f t="shared" si="1"/>
        <v>2.75</v>
      </c>
      <c r="K12" s="59">
        <f t="shared" si="2"/>
        <v>2.75</v>
      </c>
    </row>
    <row r="13" spans="1:11">
      <c r="A13" s="1" t="s">
        <v>1</v>
      </c>
      <c r="B13" s="42" t="s">
        <v>24</v>
      </c>
      <c r="C13" s="57">
        <v>0</v>
      </c>
      <c r="D13" s="58">
        <v>0</v>
      </c>
      <c r="E13" s="59">
        <f t="shared" si="0"/>
        <v>0</v>
      </c>
      <c r="F13" s="56">
        <v>0.29166666666666669</v>
      </c>
      <c r="G13" s="57">
        <v>0</v>
      </c>
      <c r="H13" s="57">
        <v>0</v>
      </c>
      <c r="I13" s="67">
        <v>0</v>
      </c>
      <c r="J13" s="59">
        <f t="shared" si="1"/>
        <v>0.29166666666666669</v>
      </c>
      <c r="K13" s="59">
        <f t="shared" si="2"/>
        <v>0.29166666666666669</v>
      </c>
    </row>
    <row r="14" spans="1:11">
      <c r="A14" s="1" t="s">
        <v>1</v>
      </c>
      <c r="B14" s="5" t="s">
        <v>25</v>
      </c>
      <c r="C14" s="29">
        <v>0</v>
      </c>
      <c r="D14" s="6">
        <v>0</v>
      </c>
      <c r="E14" s="7">
        <f t="shared" si="0"/>
        <v>0</v>
      </c>
      <c r="F14" s="28">
        <v>0.25</v>
      </c>
      <c r="G14" s="29">
        <v>0.70833333333333337</v>
      </c>
      <c r="H14" s="29">
        <v>0.25</v>
      </c>
      <c r="I14" s="68">
        <v>0.41666666666666669</v>
      </c>
      <c r="J14" s="7">
        <f t="shared" si="1"/>
        <v>1.6250000000000002</v>
      </c>
      <c r="K14" s="7">
        <f t="shared" si="2"/>
        <v>1.6250000000000002</v>
      </c>
    </row>
    <row r="15" spans="1:11">
      <c r="A15" s="1" t="s">
        <v>1</v>
      </c>
      <c r="B15" s="14" t="s">
        <v>26</v>
      </c>
      <c r="C15" s="31">
        <v>37.5</v>
      </c>
      <c r="D15" s="15">
        <v>38</v>
      </c>
      <c r="E15" s="16"/>
      <c r="F15" s="30">
        <v>11</v>
      </c>
      <c r="G15" s="31">
        <v>29</v>
      </c>
      <c r="H15" s="31">
        <v>34</v>
      </c>
      <c r="I15" s="69">
        <v>14</v>
      </c>
      <c r="J15" s="16"/>
      <c r="K15" s="16"/>
    </row>
    <row r="16" spans="1:11">
      <c r="A16" s="1" t="s">
        <v>1</v>
      </c>
      <c r="B16" s="19" t="s">
        <v>27</v>
      </c>
      <c r="C16" s="37">
        <v>365000</v>
      </c>
      <c r="D16" s="20">
        <v>0</v>
      </c>
      <c r="E16" s="21">
        <f>SUM(C16:D16)</f>
        <v>365000</v>
      </c>
      <c r="F16" s="36">
        <v>187000</v>
      </c>
      <c r="G16" s="37">
        <v>187000</v>
      </c>
      <c r="H16" s="37">
        <v>182000</v>
      </c>
      <c r="I16" s="70">
        <v>187000</v>
      </c>
      <c r="J16" s="21">
        <f>SUM(F16:I16)</f>
        <v>743000</v>
      </c>
      <c r="K16" s="21">
        <f>SUM(E16,J16)</f>
        <v>1108000</v>
      </c>
    </row>
    <row r="17" spans="1:11">
      <c r="A17" s="1" t="s">
        <v>1</v>
      </c>
      <c r="B17" s="42" t="s">
        <v>28</v>
      </c>
      <c r="C17" s="44">
        <v>0</v>
      </c>
      <c r="D17" s="45">
        <v>0</v>
      </c>
      <c r="E17" s="46">
        <f t="shared" ref="E17:E42" si="3">SUM(C17:D17)</f>
        <v>0</v>
      </c>
      <c r="F17" s="43">
        <v>6000</v>
      </c>
      <c r="G17" s="44">
        <v>0</v>
      </c>
      <c r="H17" s="44">
        <v>6000</v>
      </c>
      <c r="I17" s="71">
        <v>0</v>
      </c>
      <c r="J17" s="46">
        <f t="shared" ref="J17:J43" si="4">SUM(F17:I17)</f>
        <v>12000</v>
      </c>
      <c r="K17" s="46">
        <f t="shared" ref="K17:K43" si="5">SUM(E17,J17)</f>
        <v>12000</v>
      </c>
    </row>
    <row r="18" spans="1:11">
      <c r="A18" s="1" t="s">
        <v>1</v>
      </c>
      <c r="B18" s="42" t="s">
        <v>29</v>
      </c>
      <c r="C18" s="44">
        <v>0</v>
      </c>
      <c r="D18" s="45">
        <v>0</v>
      </c>
      <c r="E18" s="46">
        <f t="shared" si="3"/>
        <v>0</v>
      </c>
      <c r="F18" s="43">
        <v>82080</v>
      </c>
      <c r="G18" s="44">
        <v>36789</v>
      </c>
      <c r="H18" s="44">
        <v>76291</v>
      </c>
      <c r="I18" s="71">
        <v>42000</v>
      </c>
      <c r="J18" s="46">
        <f t="shared" si="4"/>
        <v>237160</v>
      </c>
      <c r="K18" s="46">
        <f t="shared" si="5"/>
        <v>237160</v>
      </c>
    </row>
    <row r="19" spans="1:11">
      <c r="A19" s="1" t="s">
        <v>1</v>
      </c>
      <c r="B19" s="42" t="s">
        <v>30</v>
      </c>
      <c r="C19" s="44">
        <v>0</v>
      </c>
      <c r="D19" s="45">
        <v>86700</v>
      </c>
      <c r="E19" s="46">
        <f t="shared" si="3"/>
        <v>86700</v>
      </c>
      <c r="F19" s="43">
        <v>0</v>
      </c>
      <c r="G19" s="44">
        <v>0</v>
      </c>
      <c r="H19" s="44">
        <v>0</v>
      </c>
      <c r="I19" s="71">
        <v>0</v>
      </c>
      <c r="J19" s="46">
        <f t="shared" si="4"/>
        <v>0</v>
      </c>
      <c r="K19" s="46">
        <f t="shared" si="5"/>
        <v>86700</v>
      </c>
    </row>
    <row r="20" spans="1:11">
      <c r="A20" s="1" t="s">
        <v>1</v>
      </c>
      <c r="B20" s="42" t="s">
        <v>31</v>
      </c>
      <c r="C20" s="44">
        <v>0</v>
      </c>
      <c r="D20" s="45">
        <v>0</v>
      </c>
      <c r="E20" s="46">
        <f t="shared" si="3"/>
        <v>0</v>
      </c>
      <c r="F20" s="43">
        <v>3500</v>
      </c>
      <c r="G20" s="44">
        <v>3500</v>
      </c>
      <c r="H20" s="44">
        <v>3500</v>
      </c>
      <c r="I20" s="71">
        <v>0</v>
      </c>
      <c r="J20" s="46">
        <f t="shared" si="4"/>
        <v>10500</v>
      </c>
      <c r="K20" s="46">
        <f t="shared" si="5"/>
        <v>10500</v>
      </c>
    </row>
    <row r="21" spans="1:11">
      <c r="A21" s="1" t="s">
        <v>1</v>
      </c>
      <c r="B21" s="42" t="s">
        <v>22</v>
      </c>
      <c r="C21" s="44">
        <v>0</v>
      </c>
      <c r="D21" s="45">
        <v>0</v>
      </c>
      <c r="E21" s="46">
        <f t="shared" si="3"/>
        <v>0</v>
      </c>
      <c r="F21" s="43">
        <v>22065</v>
      </c>
      <c r="G21" s="44">
        <v>64170</v>
      </c>
      <c r="H21" s="44">
        <v>28680</v>
      </c>
      <c r="I21" s="71">
        <v>42000</v>
      </c>
      <c r="J21" s="46">
        <f t="shared" si="4"/>
        <v>156915</v>
      </c>
      <c r="K21" s="46">
        <f t="shared" si="5"/>
        <v>156915</v>
      </c>
    </row>
    <row r="22" spans="1:11">
      <c r="A22" s="1" t="s">
        <v>1</v>
      </c>
      <c r="B22" s="42" t="s">
        <v>32</v>
      </c>
      <c r="C22" s="44">
        <v>0</v>
      </c>
      <c r="D22" s="45">
        <v>0</v>
      </c>
      <c r="E22" s="46">
        <f t="shared" si="3"/>
        <v>0</v>
      </c>
      <c r="F22" s="43">
        <v>17479</v>
      </c>
      <c r="G22" s="44">
        <v>38500</v>
      </c>
      <c r="H22" s="44">
        <v>20124</v>
      </c>
      <c r="I22" s="71">
        <v>25704</v>
      </c>
      <c r="J22" s="46">
        <f t="shared" si="4"/>
        <v>101807</v>
      </c>
      <c r="K22" s="46">
        <f t="shared" si="5"/>
        <v>101807</v>
      </c>
    </row>
    <row r="23" spans="1:11">
      <c r="A23" s="1" t="s">
        <v>1</v>
      </c>
      <c r="B23" s="42" t="s">
        <v>33</v>
      </c>
      <c r="C23" s="44">
        <v>0</v>
      </c>
      <c r="D23" s="45">
        <v>0</v>
      </c>
      <c r="E23" s="46">
        <f t="shared" si="3"/>
        <v>0</v>
      </c>
      <c r="F23" s="43">
        <v>2884</v>
      </c>
      <c r="G23" s="44">
        <v>0</v>
      </c>
      <c r="H23" s="44">
        <v>0</v>
      </c>
      <c r="I23" s="71">
        <v>0</v>
      </c>
      <c r="J23" s="46">
        <f t="shared" si="4"/>
        <v>2884</v>
      </c>
      <c r="K23" s="46">
        <f t="shared" si="5"/>
        <v>2884</v>
      </c>
    </row>
    <row r="24" spans="1:11">
      <c r="A24" s="1" t="s">
        <v>1</v>
      </c>
      <c r="B24" s="5" t="s">
        <v>25</v>
      </c>
      <c r="C24" s="33">
        <v>0</v>
      </c>
      <c r="D24" s="8">
        <v>0</v>
      </c>
      <c r="E24" s="9">
        <f t="shared" si="3"/>
        <v>0</v>
      </c>
      <c r="F24" s="32">
        <v>1764</v>
      </c>
      <c r="G24" s="33">
        <v>4845</v>
      </c>
      <c r="H24" s="33">
        <v>1722</v>
      </c>
      <c r="I24" s="72">
        <v>2800</v>
      </c>
      <c r="J24" s="9">
        <f t="shared" si="4"/>
        <v>11131</v>
      </c>
      <c r="K24" s="9">
        <f t="shared" si="5"/>
        <v>11131</v>
      </c>
    </row>
    <row r="25" spans="1:11">
      <c r="A25" s="1" t="s">
        <v>1</v>
      </c>
      <c r="B25" s="14" t="s">
        <v>34</v>
      </c>
      <c r="C25" s="35">
        <v>365000</v>
      </c>
      <c r="D25" s="17">
        <v>86700</v>
      </c>
      <c r="E25" s="18">
        <f t="shared" si="3"/>
        <v>451700</v>
      </c>
      <c r="F25" s="34">
        <v>322772</v>
      </c>
      <c r="G25" s="35">
        <v>334804</v>
      </c>
      <c r="H25" s="35">
        <v>318317</v>
      </c>
      <c r="I25" s="73">
        <v>299504</v>
      </c>
      <c r="J25" s="18">
        <f t="shared" si="4"/>
        <v>1275397</v>
      </c>
      <c r="K25" s="18">
        <f t="shared" si="5"/>
        <v>1727097</v>
      </c>
    </row>
    <row r="26" spans="1:11">
      <c r="A26" s="1" t="s">
        <v>1</v>
      </c>
      <c r="B26" s="19" t="s">
        <v>35</v>
      </c>
      <c r="C26" s="37">
        <v>5421</v>
      </c>
      <c r="D26" s="20">
        <v>3102</v>
      </c>
      <c r="E26" s="21">
        <f t="shared" si="3"/>
        <v>8523</v>
      </c>
      <c r="F26" s="36">
        <v>1486</v>
      </c>
      <c r="G26" s="37">
        <v>4926</v>
      </c>
      <c r="H26" s="37">
        <v>10191</v>
      </c>
      <c r="I26" s="70">
        <v>10425</v>
      </c>
      <c r="J26" s="21">
        <f t="shared" si="4"/>
        <v>27028</v>
      </c>
      <c r="K26" s="21">
        <f t="shared" si="5"/>
        <v>35551</v>
      </c>
    </row>
    <row r="27" spans="1:11">
      <c r="A27" s="1" t="s">
        <v>1</v>
      </c>
      <c r="B27" s="5" t="s">
        <v>36</v>
      </c>
      <c r="C27" s="33">
        <v>5421</v>
      </c>
      <c r="D27" s="8">
        <v>3102</v>
      </c>
      <c r="E27" s="9">
        <f t="shared" si="3"/>
        <v>8523</v>
      </c>
      <c r="F27" s="32">
        <v>1486</v>
      </c>
      <c r="G27" s="33">
        <v>4926</v>
      </c>
      <c r="H27" s="33">
        <v>10191</v>
      </c>
      <c r="I27" s="72">
        <v>10425</v>
      </c>
      <c r="J27" s="9">
        <f t="shared" si="4"/>
        <v>27028</v>
      </c>
      <c r="K27" s="9">
        <f t="shared" si="5"/>
        <v>35551</v>
      </c>
    </row>
    <row r="28" spans="1:11">
      <c r="A28" s="1" t="s">
        <v>1</v>
      </c>
      <c r="B28" s="14" t="s">
        <v>37</v>
      </c>
      <c r="C28" s="35">
        <v>370421</v>
      </c>
      <c r="D28" s="17">
        <v>89802</v>
      </c>
      <c r="E28" s="18">
        <f t="shared" si="3"/>
        <v>460223</v>
      </c>
      <c r="F28" s="34">
        <v>324258</v>
      </c>
      <c r="G28" s="35">
        <v>339730</v>
      </c>
      <c r="H28" s="35">
        <v>328508</v>
      </c>
      <c r="I28" s="73">
        <v>309929</v>
      </c>
      <c r="J28" s="18">
        <f t="shared" si="4"/>
        <v>1302425</v>
      </c>
      <c r="K28" s="18">
        <f t="shared" si="5"/>
        <v>1762648</v>
      </c>
    </row>
    <row r="29" spans="1:11">
      <c r="A29" s="1" t="s">
        <v>1</v>
      </c>
      <c r="B29" s="19" t="s">
        <v>38</v>
      </c>
      <c r="C29" s="37">
        <v>19380</v>
      </c>
      <c r="D29" s="20">
        <v>0</v>
      </c>
      <c r="E29" s="21">
        <f t="shared" si="3"/>
        <v>19380</v>
      </c>
      <c r="F29" s="36">
        <v>17340</v>
      </c>
      <c r="G29" s="37">
        <v>17340</v>
      </c>
      <c r="H29" s="37">
        <v>17340</v>
      </c>
      <c r="I29" s="70">
        <v>14280</v>
      </c>
      <c r="J29" s="21">
        <f t="shared" si="4"/>
        <v>66300</v>
      </c>
      <c r="K29" s="21">
        <f t="shared" si="5"/>
        <v>85680</v>
      </c>
    </row>
    <row r="30" spans="1:11">
      <c r="A30" s="1" t="s">
        <v>1</v>
      </c>
      <c r="B30" s="42" t="s">
        <v>39</v>
      </c>
      <c r="C30" s="44">
        <v>3420</v>
      </c>
      <c r="D30" s="45">
        <v>0</v>
      </c>
      <c r="E30" s="46">
        <f t="shared" si="3"/>
        <v>3420</v>
      </c>
      <c r="F30" s="43">
        <v>0</v>
      </c>
      <c r="G30" s="44">
        <v>3060</v>
      </c>
      <c r="H30" s="44">
        <v>3060</v>
      </c>
      <c r="I30" s="71">
        <v>2520</v>
      </c>
      <c r="J30" s="46">
        <f t="shared" si="4"/>
        <v>8640</v>
      </c>
      <c r="K30" s="46">
        <f t="shared" si="5"/>
        <v>12060</v>
      </c>
    </row>
    <row r="31" spans="1:11">
      <c r="A31" s="1" t="s">
        <v>1</v>
      </c>
      <c r="B31" s="42" t="s">
        <v>40</v>
      </c>
      <c r="C31" s="44">
        <v>34770</v>
      </c>
      <c r="D31" s="45">
        <v>0</v>
      </c>
      <c r="E31" s="46">
        <f t="shared" si="3"/>
        <v>34770</v>
      </c>
      <c r="F31" s="43">
        <v>31110</v>
      </c>
      <c r="G31" s="44">
        <v>31110</v>
      </c>
      <c r="H31" s="44">
        <v>31110</v>
      </c>
      <c r="I31" s="71">
        <v>25620</v>
      </c>
      <c r="J31" s="46">
        <f t="shared" si="4"/>
        <v>118950</v>
      </c>
      <c r="K31" s="46">
        <f t="shared" si="5"/>
        <v>153720</v>
      </c>
    </row>
    <row r="32" spans="1:11">
      <c r="A32" s="1" t="s">
        <v>1</v>
      </c>
      <c r="B32" s="5" t="s">
        <v>41</v>
      </c>
      <c r="C32" s="33">
        <v>2223</v>
      </c>
      <c r="D32" s="8">
        <v>539</v>
      </c>
      <c r="E32" s="9">
        <f t="shared" si="3"/>
        <v>2762</v>
      </c>
      <c r="F32" s="32">
        <v>1946</v>
      </c>
      <c r="G32" s="33">
        <v>2038</v>
      </c>
      <c r="H32" s="33">
        <v>1971</v>
      </c>
      <c r="I32" s="72">
        <v>1860</v>
      </c>
      <c r="J32" s="9">
        <f t="shared" si="4"/>
        <v>7815</v>
      </c>
      <c r="K32" s="9">
        <f t="shared" si="5"/>
        <v>10577</v>
      </c>
    </row>
    <row r="33" spans="1:11">
      <c r="A33" s="1" t="s">
        <v>1</v>
      </c>
      <c r="B33" s="14" t="s">
        <v>42</v>
      </c>
      <c r="C33" s="35">
        <v>59793</v>
      </c>
      <c r="D33" s="17">
        <v>539</v>
      </c>
      <c r="E33" s="18">
        <f t="shared" si="3"/>
        <v>60332</v>
      </c>
      <c r="F33" s="34">
        <v>50396</v>
      </c>
      <c r="G33" s="35">
        <v>53548</v>
      </c>
      <c r="H33" s="35">
        <v>53481</v>
      </c>
      <c r="I33" s="73">
        <v>44280</v>
      </c>
      <c r="J33" s="18">
        <f t="shared" si="4"/>
        <v>201705</v>
      </c>
      <c r="K33" s="18">
        <f t="shared" si="5"/>
        <v>262037</v>
      </c>
    </row>
    <row r="34" spans="1:11">
      <c r="A34" s="1" t="s">
        <v>1</v>
      </c>
      <c r="B34" s="19" t="s">
        <v>43</v>
      </c>
      <c r="C34" s="37">
        <v>8810</v>
      </c>
      <c r="D34" s="20">
        <v>20</v>
      </c>
      <c r="E34" s="21">
        <f t="shared" si="3"/>
        <v>8830</v>
      </c>
      <c r="F34" s="36">
        <v>0</v>
      </c>
      <c r="G34" s="37">
        <v>0</v>
      </c>
      <c r="H34" s="37">
        <v>0</v>
      </c>
      <c r="I34" s="70">
        <v>0</v>
      </c>
      <c r="J34" s="21">
        <f t="shared" si="4"/>
        <v>0</v>
      </c>
      <c r="K34" s="21">
        <f t="shared" si="5"/>
        <v>8830</v>
      </c>
    </row>
    <row r="35" spans="1:11">
      <c r="A35" s="1" t="s">
        <v>1</v>
      </c>
      <c r="B35" s="5" t="s">
        <v>44</v>
      </c>
      <c r="C35" s="33">
        <v>21700</v>
      </c>
      <c r="D35" s="8">
        <v>5500</v>
      </c>
      <c r="E35" s="9">
        <f t="shared" si="3"/>
        <v>27200</v>
      </c>
      <c r="F35" s="32">
        <v>13000</v>
      </c>
      <c r="G35" s="33">
        <v>11300</v>
      </c>
      <c r="H35" s="33">
        <v>9300</v>
      </c>
      <c r="I35" s="72">
        <v>10100</v>
      </c>
      <c r="J35" s="9">
        <f t="shared" si="4"/>
        <v>43700</v>
      </c>
      <c r="K35" s="9">
        <f t="shared" si="5"/>
        <v>70900</v>
      </c>
    </row>
    <row r="36" spans="1:11">
      <c r="A36" s="1" t="s">
        <v>1</v>
      </c>
      <c r="B36" s="14" t="s">
        <v>45</v>
      </c>
      <c r="C36" s="35">
        <v>90303</v>
      </c>
      <c r="D36" s="17">
        <v>6059</v>
      </c>
      <c r="E36" s="18">
        <f t="shared" si="3"/>
        <v>96362</v>
      </c>
      <c r="F36" s="34">
        <v>63396</v>
      </c>
      <c r="G36" s="35">
        <v>64848</v>
      </c>
      <c r="H36" s="35">
        <v>62781</v>
      </c>
      <c r="I36" s="73">
        <v>54380</v>
      </c>
      <c r="J36" s="18">
        <f t="shared" si="4"/>
        <v>245405</v>
      </c>
      <c r="K36" s="18">
        <f t="shared" si="5"/>
        <v>341767</v>
      </c>
    </row>
    <row r="37" spans="1:11">
      <c r="A37" s="1" t="s">
        <v>1</v>
      </c>
      <c r="B37" s="14" t="s">
        <v>46</v>
      </c>
      <c r="C37" s="35">
        <v>305207</v>
      </c>
      <c r="D37" s="17">
        <v>86161</v>
      </c>
      <c r="E37" s="18">
        <f t="shared" si="3"/>
        <v>391368</v>
      </c>
      <c r="F37" s="34">
        <v>272376</v>
      </c>
      <c r="G37" s="35">
        <v>281256</v>
      </c>
      <c r="H37" s="35">
        <v>264836</v>
      </c>
      <c r="I37" s="73">
        <v>255224</v>
      </c>
      <c r="J37" s="18">
        <f t="shared" si="4"/>
        <v>1073692</v>
      </c>
      <c r="K37" s="18">
        <f t="shared" si="5"/>
        <v>1465060</v>
      </c>
    </row>
    <row r="38" spans="1:11">
      <c r="A38" s="1" t="s">
        <v>1</v>
      </c>
      <c r="B38" s="14" t="s">
        <v>47</v>
      </c>
      <c r="C38" s="35">
        <v>280118</v>
      </c>
      <c r="D38" s="17">
        <v>83743</v>
      </c>
      <c r="E38" s="18">
        <f t="shared" si="3"/>
        <v>363861</v>
      </c>
      <c r="F38" s="34">
        <v>260862</v>
      </c>
      <c r="G38" s="35">
        <v>274882</v>
      </c>
      <c r="H38" s="35">
        <v>265727</v>
      </c>
      <c r="I38" s="73">
        <v>255549</v>
      </c>
      <c r="J38" s="18">
        <f t="shared" si="4"/>
        <v>1057020</v>
      </c>
      <c r="K38" s="18">
        <f t="shared" si="5"/>
        <v>1420881</v>
      </c>
    </row>
    <row r="39" spans="1:11">
      <c r="A39" s="1" t="s">
        <v>1</v>
      </c>
      <c r="B39" s="14" t="s">
        <v>48</v>
      </c>
      <c r="C39" s="35">
        <v>280118</v>
      </c>
      <c r="D39" s="17">
        <v>83743</v>
      </c>
      <c r="E39" s="18">
        <f t="shared" si="3"/>
        <v>363861</v>
      </c>
      <c r="F39" s="34">
        <v>260862</v>
      </c>
      <c r="G39" s="35">
        <v>274882</v>
      </c>
      <c r="H39" s="35">
        <v>265727</v>
      </c>
      <c r="I39" s="73">
        <v>255549</v>
      </c>
      <c r="J39" s="18">
        <f t="shared" si="4"/>
        <v>1057020</v>
      </c>
      <c r="K39" s="18">
        <f t="shared" si="5"/>
        <v>1420881</v>
      </c>
    </row>
    <row r="40" spans="1:11">
      <c r="A40" s="1" t="s">
        <v>1</v>
      </c>
      <c r="B40" s="14" t="s">
        <v>49</v>
      </c>
      <c r="C40" s="35">
        <v>0</v>
      </c>
      <c r="D40" s="17">
        <v>0</v>
      </c>
      <c r="E40" s="18">
        <f t="shared" si="3"/>
        <v>0</v>
      </c>
      <c r="F40" s="34">
        <v>0</v>
      </c>
      <c r="G40" s="35">
        <v>1</v>
      </c>
      <c r="H40" s="35">
        <v>0</v>
      </c>
      <c r="I40" s="73">
        <v>2</v>
      </c>
      <c r="J40" s="18"/>
      <c r="K40" s="18"/>
    </row>
    <row r="41" spans="1:11">
      <c r="A41" s="1" t="s">
        <v>1</v>
      </c>
      <c r="B41" s="14" t="s">
        <v>50</v>
      </c>
      <c r="C41" s="39" t="s">
        <v>51</v>
      </c>
      <c r="D41" s="22" t="s">
        <v>51</v>
      </c>
      <c r="E41" s="23"/>
      <c r="F41" s="38" t="s">
        <v>51</v>
      </c>
      <c r="G41" s="39" t="s">
        <v>51</v>
      </c>
      <c r="H41" s="39" t="s">
        <v>51</v>
      </c>
      <c r="I41" s="74" t="s">
        <v>51</v>
      </c>
      <c r="J41" s="23"/>
      <c r="K41" s="23"/>
    </row>
    <row r="42" spans="1:11">
      <c r="A42" s="1" t="s">
        <v>1</v>
      </c>
      <c r="B42" s="14" t="s">
        <v>52</v>
      </c>
      <c r="C42" s="35">
        <v>8810</v>
      </c>
      <c r="D42" s="17">
        <v>20</v>
      </c>
      <c r="E42" s="18">
        <f t="shared" si="3"/>
        <v>8830</v>
      </c>
      <c r="F42" s="34">
        <v>7350</v>
      </c>
      <c r="G42" s="35">
        <v>6050</v>
      </c>
      <c r="H42" s="35">
        <v>7080</v>
      </c>
      <c r="I42" s="73">
        <v>3500</v>
      </c>
      <c r="J42" s="18">
        <f t="shared" si="4"/>
        <v>23980</v>
      </c>
      <c r="K42" s="18">
        <f t="shared" si="5"/>
        <v>32810</v>
      </c>
    </row>
    <row r="43" spans="1:11">
      <c r="A43" s="1" t="s">
        <v>1</v>
      </c>
      <c r="B43" s="14" t="s">
        <v>53</v>
      </c>
      <c r="C43" s="35">
        <v>0</v>
      </c>
      <c r="D43" s="17">
        <v>0</v>
      </c>
      <c r="E43" s="18"/>
      <c r="F43" s="34">
        <v>7350</v>
      </c>
      <c r="G43" s="35">
        <v>6050</v>
      </c>
      <c r="H43" s="35">
        <v>7080</v>
      </c>
      <c r="I43" s="73">
        <v>3500</v>
      </c>
      <c r="J43" s="18">
        <f t="shared" si="4"/>
        <v>23980</v>
      </c>
      <c r="K43" s="18">
        <f t="shared" si="5"/>
        <v>23980</v>
      </c>
    </row>
    <row r="44" spans="1:11" ht="19.5" thickBot="1">
      <c r="A44" s="1" t="s">
        <v>1</v>
      </c>
      <c r="B44" s="10" t="s">
        <v>54</v>
      </c>
      <c r="C44" s="41">
        <v>30000</v>
      </c>
      <c r="D44" s="11">
        <v>0</v>
      </c>
      <c r="E44" s="12"/>
      <c r="F44" s="40">
        <v>30000</v>
      </c>
      <c r="G44" s="41">
        <v>60000</v>
      </c>
      <c r="H44" s="41">
        <v>60000</v>
      </c>
      <c r="I44" s="75">
        <v>60000</v>
      </c>
      <c r="J44" s="12"/>
      <c r="K44" s="12"/>
    </row>
  </sheetData>
  <phoneticPr fontId="4"/>
  <pageMargins left="0.51181102362204722" right="0.51181102362204722" top="0.35433070866141736" bottom="0.35433070866141736" header="0.11811023622047245" footer="0.11811023622047245"/>
  <pageSetup paperSize="12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 7月度給与 (2)</vt:lpstr>
      <vt:lpstr>'2024年 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2024-08-06T07:28:07Z</cp:lastPrinted>
  <dcterms:created xsi:type="dcterms:W3CDTF">2024-08-06T07:04:03Z</dcterms:created>
  <dcterms:modified xsi:type="dcterms:W3CDTF">2024-08-08T05:13:42Z</dcterms:modified>
</cp:coreProperties>
</file>