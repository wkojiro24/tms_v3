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8\"/>
    </mc:Choice>
  </mc:AlternateContent>
  <xr:revisionPtr revIDLastSave="0" documentId="13_ncr:1_{064F8C77-0D7A-450B-9A24-038BC8783AF2}" xr6:coauthVersionLast="47" xr6:coauthVersionMax="47" xr10:uidLastSave="{00000000-0000-0000-0000-000000000000}"/>
  <bookViews>
    <workbookView xWindow="-120" yWindow="-120" windowWidth="20730" windowHeight="11040" activeTab="1" xr2:uid="{16DF2A8F-CAC7-4307-92FB-CB29B30F0C26}"/>
  </bookViews>
  <sheets>
    <sheet name="2024年 8月度給与 (2)" sheetId="3" r:id="rId1"/>
    <sheet name="2024年 8月度給与 (3)" sheetId="4" r:id="rId2"/>
    <sheet name="2024年 8月度給与 (4)" sheetId="5" r:id="rId3"/>
  </sheets>
  <definedNames>
    <definedName name="_xlnm.Print_Area" localSheetId="1">'2024年 8月度給与 (3)'!$A$1:$N$53</definedName>
    <definedName name="_xlnm.Print_Area" localSheetId="2">'2024年 8月度給与 (4)'!$A$1:$U$53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4" l="1"/>
  <c r="E55" i="4"/>
  <c r="U52" i="5"/>
  <c r="U51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M52" i="4"/>
  <c r="K52" i="4"/>
  <c r="M51" i="4"/>
  <c r="K51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AG19" i="3"/>
  <c r="AG28" i="3"/>
  <c r="AG29" i="3"/>
  <c r="AG30" i="3"/>
  <c r="AG31" i="3"/>
  <c r="AG40" i="3"/>
  <c r="AG41" i="3"/>
  <c r="AG42" i="3"/>
  <c r="AG43" i="3"/>
  <c r="AF6" i="3"/>
  <c r="AG6" i="3" s="1"/>
  <c r="AF7" i="3"/>
  <c r="AG7" i="3" s="1"/>
  <c r="AF8" i="3"/>
  <c r="AG8" i="3" s="1"/>
  <c r="AF9" i="3"/>
  <c r="AG9" i="3" s="1"/>
  <c r="AF10" i="3"/>
  <c r="AG10" i="3" s="1"/>
  <c r="AF11" i="3"/>
  <c r="AG11" i="3" s="1"/>
  <c r="AF12" i="3"/>
  <c r="AG12" i="3" s="1"/>
  <c r="AF13" i="3"/>
  <c r="AG13" i="3" s="1"/>
  <c r="AF14" i="3"/>
  <c r="AG14" i="3" s="1"/>
  <c r="AF15" i="3"/>
  <c r="AG15" i="3" s="1"/>
  <c r="AF16" i="3"/>
  <c r="AG16" i="3" s="1"/>
  <c r="AF17" i="3"/>
  <c r="AG17" i="3" s="1"/>
  <c r="AF19" i="3"/>
  <c r="AF20" i="3"/>
  <c r="AG20" i="3" s="1"/>
  <c r="AF21" i="3"/>
  <c r="AG21" i="3" s="1"/>
  <c r="AF22" i="3"/>
  <c r="AG22" i="3" s="1"/>
  <c r="AF23" i="3"/>
  <c r="AF24" i="3"/>
  <c r="AF25" i="3"/>
  <c r="AG25" i="3" s="1"/>
  <c r="AF26" i="3"/>
  <c r="AF27" i="3"/>
  <c r="AF28" i="3"/>
  <c r="AF29" i="3"/>
  <c r="AF30" i="3"/>
  <c r="AF31" i="3"/>
  <c r="AF32" i="3"/>
  <c r="AG32" i="3" s="1"/>
  <c r="AF33" i="3"/>
  <c r="AG33" i="3" s="1"/>
  <c r="AF34" i="3"/>
  <c r="AG34" i="3" s="1"/>
  <c r="AF35" i="3"/>
  <c r="AF36" i="3"/>
  <c r="AF37" i="3"/>
  <c r="AG37" i="3" s="1"/>
  <c r="AF38" i="3"/>
  <c r="AF39" i="3"/>
  <c r="AF40" i="3"/>
  <c r="AF41" i="3"/>
  <c r="AF42" i="3"/>
  <c r="AF43" i="3"/>
  <c r="AF44" i="3"/>
  <c r="AG44" i="3" s="1"/>
  <c r="AF45" i="3"/>
  <c r="AG45" i="3" s="1"/>
  <c r="AF46" i="3"/>
  <c r="AG46" i="3" s="1"/>
  <c r="AF47" i="3"/>
  <c r="AF48" i="3"/>
  <c r="AF51" i="3"/>
  <c r="AG51" i="3" s="1"/>
  <c r="AF52" i="3"/>
  <c r="AF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G23" i="3" s="1"/>
  <c r="AD24" i="3"/>
  <c r="AG24" i="3" s="1"/>
  <c r="AD25" i="3"/>
  <c r="AD26" i="3"/>
  <c r="AG26" i="3" s="1"/>
  <c r="AD27" i="3"/>
  <c r="AD28" i="3"/>
  <c r="AD29" i="3"/>
  <c r="AD30" i="3"/>
  <c r="AD31" i="3"/>
  <c r="AD32" i="3"/>
  <c r="AD33" i="3"/>
  <c r="AD34" i="3"/>
  <c r="AD35" i="3"/>
  <c r="AG35" i="3" s="1"/>
  <c r="AD36" i="3"/>
  <c r="AG36" i="3" s="1"/>
  <c r="AD37" i="3"/>
  <c r="AD38" i="3"/>
  <c r="AG38" i="3" s="1"/>
  <c r="AD39" i="3"/>
  <c r="AD40" i="3"/>
  <c r="AD41" i="3"/>
  <c r="AD42" i="3"/>
  <c r="AD43" i="3"/>
  <c r="AD44" i="3"/>
  <c r="AD45" i="3"/>
  <c r="AD46" i="3"/>
  <c r="AD47" i="3"/>
  <c r="AG47" i="3" s="1"/>
  <c r="AD48" i="3"/>
  <c r="AG48" i="3" s="1"/>
  <c r="AD51" i="3"/>
  <c r="AD52" i="3"/>
  <c r="AG52" i="3" s="1"/>
  <c r="AD5" i="3"/>
  <c r="U6" i="3"/>
  <c r="U7" i="3"/>
  <c r="U8" i="3"/>
  <c r="U9" i="3"/>
  <c r="U10" i="3"/>
  <c r="U11" i="3"/>
  <c r="U12" i="3"/>
  <c r="U13" i="3"/>
  <c r="U14" i="3"/>
  <c r="U15" i="3"/>
  <c r="U16" i="3"/>
  <c r="U17" i="3"/>
  <c r="U19" i="3"/>
  <c r="U20" i="3"/>
  <c r="U21" i="3"/>
  <c r="U22" i="3"/>
  <c r="U23" i="3"/>
  <c r="U24" i="3"/>
  <c r="U25" i="3"/>
  <c r="U26" i="3"/>
  <c r="U27" i="3"/>
  <c r="AG27" i="3" s="1"/>
  <c r="U28" i="3"/>
  <c r="U29" i="3"/>
  <c r="U30" i="3"/>
  <c r="U31" i="3"/>
  <c r="U32" i="3"/>
  <c r="U33" i="3"/>
  <c r="U34" i="3"/>
  <c r="U35" i="3"/>
  <c r="U36" i="3"/>
  <c r="U37" i="3"/>
  <c r="U38" i="3"/>
  <c r="U39" i="3"/>
  <c r="AG39" i="3" s="1"/>
  <c r="U40" i="3"/>
  <c r="U41" i="3"/>
  <c r="U42" i="3"/>
  <c r="U43" i="3"/>
  <c r="U44" i="3"/>
  <c r="U45" i="3"/>
  <c r="U46" i="3"/>
  <c r="U47" i="3"/>
  <c r="U48" i="3"/>
  <c r="U51" i="3"/>
  <c r="U52" i="3"/>
  <c r="U5" i="3"/>
  <c r="AG5" i="3" s="1"/>
</calcChain>
</file>

<file path=xl/sharedStrings.xml><?xml version="1.0" encoding="utf-8"?>
<sst xmlns="http://schemas.openxmlformats.org/spreadsheetml/2006/main" count="481" uniqueCount="111">
  <si>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</si>
  <si>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</si>
  <si>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</si>
  <si>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</si>
  <si>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</si>
  <si>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</si>
  <si>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</si>
  <si>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</si>
  <si>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</si>
  <si>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</si>
  <si>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</si>
  <si>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</si>
  <si>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</si>
  <si>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</si>
  <si>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</si>
  <si>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</si>
  <si>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</si>
  <si>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</si>
  <si>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</si>
  <si>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</si>
  <si>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</si>
  <si>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</si>
  <si>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1112</t>
    <phoneticPr fontId="4"/>
  </si>
  <si>
    <t>1002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</si>
  <si>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</si>
  <si>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</si>
  <si>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</si>
  <si>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</si>
  <si>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</si>
  <si>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</si>
  <si>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</si>
  <si>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</si>
  <si>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</si>
  <si>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</si>
  <si>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</si>
  <si>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</si>
  <si>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</si>
  <si>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</si>
  <si>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</si>
  <si>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</si>
  <si>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</si>
  <si>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</si>
  <si>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</si>
  <si>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</si>
  <si>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</si>
  <si>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</si>
  <si>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</si>
  <si>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</si>
  <si>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</si>
  <si>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齋藤　健一</t>
    <phoneticPr fontId="4"/>
  </si>
  <si>
    <t>瀬野尾　勉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</si>
  <si>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</si>
  <si>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</si>
  <si>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</si>
  <si>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</si>
  <si>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</si>
  <si>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</si>
  <si>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</si>
  <si>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</si>
  <si>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</si>
  <si>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</si>
  <si>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</si>
  <si>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</si>
  <si>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</si>
  <si>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</si>
  <si>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</si>
  <si>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</si>
  <si>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割増残業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</si>
  <si>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</si>
  <si>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</si>
  <si>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</si>
  <si>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</si>
  <si>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</si>
  <si>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</si>
  <si>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</si>
  <si>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</si>
  <si>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</si>
  <si>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</si>
  <si>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過不足調整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</si>
  <si>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</si>
  <si>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</si>
  <si>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</si>
  <si>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</si>
  <si>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</si>
  <si>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</si>
  <si>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</si>
  <si>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</si>
  <si>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</si>
  <si>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</si>
  <si>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</si>
  <si>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</si>
  <si>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</si>
  <si>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</si>
  <si>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</si>
  <si>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</si>
  <si>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</si>
  <si>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</si>
  <si>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</si>
  <si>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</si>
  <si>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</si>
  <si>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</si>
  <si>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</si>
  <si>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</si>
  <si>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</si>
  <si>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8月度給与</t>
    <phoneticPr fontId="4"/>
  </si>
  <si>
    <t>下山田英治</t>
    <phoneticPr fontId="4"/>
  </si>
  <si>
    <t>小計</t>
    <rPh sb="0" eb="2">
      <t>ショウケイ</t>
    </rPh>
    <phoneticPr fontId="3"/>
  </si>
  <si>
    <t>18名</t>
    <rPh sb="2" eb="3">
      <t>メイ</t>
    </rPh>
    <phoneticPr fontId="3"/>
  </si>
  <si>
    <t>８名</t>
    <rPh sb="1" eb="2">
      <t>メイ</t>
    </rPh>
    <phoneticPr fontId="3"/>
  </si>
  <si>
    <t>１名</t>
    <rPh sb="1" eb="2">
      <t>メイ</t>
    </rPh>
    <phoneticPr fontId="3"/>
  </si>
  <si>
    <t>２７名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</si>
</sst>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2" xfId="1" applyNumberFormat="1" applyFont="1" applyBorder="1"/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2" fontId="2" fillId="0" borderId="4" xfId="1" applyNumberFormat="1" applyFont="1" applyBorder="1"/>
    <xf numFmtId="0" fontId="2" fillId="0" borderId="6" xfId="1" applyFont="1" applyBorder="1" applyAlignment="1">
      <alignment horizontal="center"/>
    </xf>
    <xf numFmtId="3" fontId="2" fillId="0" borderId="5" xfId="1" applyNumberFormat="1" applyFont="1" applyBorder="1"/>
    <xf numFmtId="3" fontId="2" fillId="0" borderId="4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176" fontId="2" fillId="0" borderId="12" xfId="1" applyNumberFormat="1" applyFont="1" applyBorder="1"/>
    <xf numFmtId="176" fontId="2" fillId="0" borderId="11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5" xfId="1" applyNumberFormat="1" applyFont="1" applyBorder="1"/>
    <xf numFmtId="49" fontId="2" fillId="0" borderId="4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3" xfId="1" applyNumberFormat="1" applyFont="1" applyBorder="1"/>
    <xf numFmtId="49" fontId="2" fillId="0" borderId="2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176" fontId="2" fillId="0" borderId="31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32" xfId="1" applyNumberFormat="1" applyFont="1" applyBorder="1"/>
    <xf numFmtId="3" fontId="2" fillId="0" borderId="28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176" fontId="2" fillId="0" borderId="38" xfId="1" applyNumberFormat="1" applyFont="1" applyBorder="1"/>
    <xf numFmtId="2" fontId="2" fillId="0" borderId="39" xfId="1" applyNumberFormat="1" applyFont="1" applyBorder="1"/>
    <xf numFmtId="3" fontId="2" fillId="0" borderId="40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39" xfId="1" applyNumberFormat="1" applyFont="1" applyBorder="1"/>
    <xf numFmtId="3" fontId="2" fillId="0" borderId="35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41" xfId="1" applyNumberFormat="1" applyFont="1" applyBorder="1" applyAlignment="1">
      <alignment horizontal="center"/>
    </xf>
    <xf numFmtId="0" fontId="2" fillId="0" borderId="6" xfId="1" applyFont="1" applyBorder="1"/>
  </cellXfs>
  <cellStyles count="2">
    <cellStyle name="標準" xfId="0" builtinId="0"/>
    <cellStyle name="標準 2" xfId="1" xr:uid="{F1573847-FC8B-4BF5-ACE0-6329B0E58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977A-40F2-46C7-9970-D47D8077EE36}">
  <dimension ref="A1:AG53"/>
  <sheetViews>
    <sheetView workbookViewId="0">
      <pane xSplit="2" ySplit="4" topLeftCell="P5" activePane="bottomRight" state="frozen"/>
      <selection pane="topRight" activeCell="C1" sqref="C1"/>
      <selection pane="bottomLeft" activeCell="A9" sqref="A9"/>
      <selection pane="bottomRight" activeCell="AH3" sqref="AH3"/>
    </sheetView>
  </sheetViews>
  <sheetFormatPr defaultRowHeight="18.75"/>
  <cols>
    <col min="1" max="1" width="2.375" style="2" customWidth="1"/>
    <col min="2" max="2" width="13.25" style="2" bestFit="1" customWidth="1"/>
    <col min="3" max="33" width="11.125" style="2" customWidth="1"/>
    <col min="34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/>
    <col min="266" max="266" width="11.125" style="2" bestFit="1" customWidth="1"/>
    <col min="267" max="267" width="9" style="2"/>
    <col min="268" max="279" width="11.125" style="2" bestFit="1" customWidth="1"/>
    <col min="280" max="280" width="9" style="2"/>
    <col min="281" max="287" width="11.125" style="2" bestFit="1" customWidth="1"/>
    <col min="288" max="288" width="9.625" style="2" bestFit="1" customWidth="1"/>
    <col min="289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/>
    <col min="522" max="522" width="11.125" style="2" bestFit="1" customWidth="1"/>
    <col min="523" max="523" width="9" style="2"/>
    <col min="524" max="535" width="11.125" style="2" bestFit="1" customWidth="1"/>
    <col min="536" max="536" width="9" style="2"/>
    <col min="537" max="543" width="11.125" style="2" bestFit="1" customWidth="1"/>
    <col min="544" max="544" width="9.625" style="2" bestFit="1" customWidth="1"/>
    <col min="545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/>
    <col min="778" max="778" width="11.125" style="2" bestFit="1" customWidth="1"/>
    <col min="779" max="779" width="9" style="2"/>
    <col min="780" max="791" width="11.125" style="2" bestFit="1" customWidth="1"/>
    <col min="792" max="792" width="9" style="2"/>
    <col min="793" max="799" width="11.125" style="2" bestFit="1" customWidth="1"/>
    <col min="800" max="800" width="9.625" style="2" bestFit="1" customWidth="1"/>
    <col min="801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/>
    <col min="1034" max="1034" width="11.125" style="2" bestFit="1" customWidth="1"/>
    <col min="1035" max="1035" width="9" style="2"/>
    <col min="1036" max="1047" width="11.125" style="2" bestFit="1" customWidth="1"/>
    <col min="1048" max="1048" width="9" style="2"/>
    <col min="1049" max="1055" width="11.125" style="2" bestFit="1" customWidth="1"/>
    <col min="1056" max="1056" width="9.625" style="2" bestFit="1" customWidth="1"/>
    <col min="1057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/>
    <col min="1290" max="1290" width="11.125" style="2" bestFit="1" customWidth="1"/>
    <col min="1291" max="1291" width="9" style="2"/>
    <col min="1292" max="1303" width="11.125" style="2" bestFit="1" customWidth="1"/>
    <col min="1304" max="1304" width="9" style="2"/>
    <col min="1305" max="1311" width="11.125" style="2" bestFit="1" customWidth="1"/>
    <col min="1312" max="1312" width="9.625" style="2" bestFit="1" customWidth="1"/>
    <col min="1313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/>
    <col min="1546" max="1546" width="11.125" style="2" bestFit="1" customWidth="1"/>
    <col min="1547" max="1547" width="9" style="2"/>
    <col min="1548" max="1559" width="11.125" style="2" bestFit="1" customWidth="1"/>
    <col min="1560" max="1560" width="9" style="2"/>
    <col min="1561" max="1567" width="11.125" style="2" bestFit="1" customWidth="1"/>
    <col min="1568" max="1568" width="9.625" style="2" bestFit="1" customWidth="1"/>
    <col min="1569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/>
    <col min="1802" max="1802" width="11.125" style="2" bestFit="1" customWidth="1"/>
    <col min="1803" max="1803" width="9" style="2"/>
    <col min="1804" max="1815" width="11.125" style="2" bestFit="1" customWidth="1"/>
    <col min="1816" max="1816" width="9" style="2"/>
    <col min="1817" max="1823" width="11.125" style="2" bestFit="1" customWidth="1"/>
    <col min="1824" max="1824" width="9.625" style="2" bestFit="1" customWidth="1"/>
    <col min="1825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/>
    <col min="2058" max="2058" width="11.125" style="2" bestFit="1" customWidth="1"/>
    <col min="2059" max="2059" width="9" style="2"/>
    <col min="2060" max="2071" width="11.125" style="2" bestFit="1" customWidth="1"/>
    <col min="2072" max="2072" width="9" style="2"/>
    <col min="2073" max="2079" width="11.125" style="2" bestFit="1" customWidth="1"/>
    <col min="2080" max="2080" width="9.625" style="2" bestFit="1" customWidth="1"/>
    <col min="2081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/>
    <col min="2314" max="2314" width="11.125" style="2" bestFit="1" customWidth="1"/>
    <col min="2315" max="2315" width="9" style="2"/>
    <col min="2316" max="2327" width="11.125" style="2" bestFit="1" customWidth="1"/>
    <col min="2328" max="2328" width="9" style="2"/>
    <col min="2329" max="2335" width="11.125" style="2" bestFit="1" customWidth="1"/>
    <col min="2336" max="2336" width="9.625" style="2" bestFit="1" customWidth="1"/>
    <col min="2337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/>
    <col min="2570" max="2570" width="11.125" style="2" bestFit="1" customWidth="1"/>
    <col min="2571" max="2571" width="9" style="2"/>
    <col min="2572" max="2583" width="11.125" style="2" bestFit="1" customWidth="1"/>
    <col min="2584" max="2584" width="9" style="2"/>
    <col min="2585" max="2591" width="11.125" style="2" bestFit="1" customWidth="1"/>
    <col min="2592" max="2592" width="9.625" style="2" bestFit="1" customWidth="1"/>
    <col min="2593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/>
    <col min="2826" max="2826" width="11.125" style="2" bestFit="1" customWidth="1"/>
    <col min="2827" max="2827" width="9" style="2"/>
    <col min="2828" max="2839" width="11.125" style="2" bestFit="1" customWidth="1"/>
    <col min="2840" max="2840" width="9" style="2"/>
    <col min="2841" max="2847" width="11.125" style="2" bestFit="1" customWidth="1"/>
    <col min="2848" max="2848" width="9.625" style="2" bestFit="1" customWidth="1"/>
    <col min="2849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/>
    <col min="3082" max="3082" width="11.125" style="2" bestFit="1" customWidth="1"/>
    <col min="3083" max="3083" width="9" style="2"/>
    <col min="3084" max="3095" width="11.125" style="2" bestFit="1" customWidth="1"/>
    <col min="3096" max="3096" width="9" style="2"/>
    <col min="3097" max="3103" width="11.125" style="2" bestFit="1" customWidth="1"/>
    <col min="3104" max="3104" width="9.625" style="2" bestFit="1" customWidth="1"/>
    <col min="3105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/>
    <col min="3338" max="3338" width="11.125" style="2" bestFit="1" customWidth="1"/>
    <col min="3339" max="3339" width="9" style="2"/>
    <col min="3340" max="3351" width="11.125" style="2" bestFit="1" customWidth="1"/>
    <col min="3352" max="3352" width="9" style="2"/>
    <col min="3353" max="3359" width="11.125" style="2" bestFit="1" customWidth="1"/>
    <col min="3360" max="3360" width="9.625" style="2" bestFit="1" customWidth="1"/>
    <col min="3361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/>
    <col min="3594" max="3594" width="11.125" style="2" bestFit="1" customWidth="1"/>
    <col min="3595" max="3595" width="9" style="2"/>
    <col min="3596" max="3607" width="11.125" style="2" bestFit="1" customWidth="1"/>
    <col min="3608" max="3608" width="9" style="2"/>
    <col min="3609" max="3615" width="11.125" style="2" bestFit="1" customWidth="1"/>
    <col min="3616" max="3616" width="9.625" style="2" bestFit="1" customWidth="1"/>
    <col min="3617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/>
    <col min="3850" max="3850" width="11.125" style="2" bestFit="1" customWidth="1"/>
    <col min="3851" max="3851" width="9" style="2"/>
    <col min="3852" max="3863" width="11.125" style="2" bestFit="1" customWidth="1"/>
    <col min="3864" max="3864" width="9" style="2"/>
    <col min="3865" max="3871" width="11.125" style="2" bestFit="1" customWidth="1"/>
    <col min="3872" max="3872" width="9.625" style="2" bestFit="1" customWidth="1"/>
    <col min="3873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/>
    <col min="4106" max="4106" width="11.125" style="2" bestFit="1" customWidth="1"/>
    <col min="4107" max="4107" width="9" style="2"/>
    <col min="4108" max="4119" width="11.125" style="2" bestFit="1" customWidth="1"/>
    <col min="4120" max="4120" width="9" style="2"/>
    <col min="4121" max="4127" width="11.125" style="2" bestFit="1" customWidth="1"/>
    <col min="4128" max="4128" width="9.625" style="2" bestFit="1" customWidth="1"/>
    <col min="4129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/>
    <col min="4362" max="4362" width="11.125" style="2" bestFit="1" customWidth="1"/>
    <col min="4363" max="4363" width="9" style="2"/>
    <col min="4364" max="4375" width="11.125" style="2" bestFit="1" customWidth="1"/>
    <col min="4376" max="4376" width="9" style="2"/>
    <col min="4377" max="4383" width="11.125" style="2" bestFit="1" customWidth="1"/>
    <col min="4384" max="4384" width="9.625" style="2" bestFit="1" customWidth="1"/>
    <col min="4385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/>
    <col min="4618" max="4618" width="11.125" style="2" bestFit="1" customWidth="1"/>
    <col min="4619" max="4619" width="9" style="2"/>
    <col min="4620" max="4631" width="11.125" style="2" bestFit="1" customWidth="1"/>
    <col min="4632" max="4632" width="9" style="2"/>
    <col min="4633" max="4639" width="11.125" style="2" bestFit="1" customWidth="1"/>
    <col min="4640" max="4640" width="9.625" style="2" bestFit="1" customWidth="1"/>
    <col min="4641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/>
    <col min="4874" max="4874" width="11.125" style="2" bestFit="1" customWidth="1"/>
    <col min="4875" max="4875" width="9" style="2"/>
    <col min="4876" max="4887" width="11.125" style="2" bestFit="1" customWidth="1"/>
    <col min="4888" max="4888" width="9" style="2"/>
    <col min="4889" max="4895" width="11.125" style="2" bestFit="1" customWidth="1"/>
    <col min="4896" max="4896" width="9.625" style="2" bestFit="1" customWidth="1"/>
    <col min="4897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/>
    <col min="5130" max="5130" width="11.125" style="2" bestFit="1" customWidth="1"/>
    <col min="5131" max="5131" width="9" style="2"/>
    <col min="5132" max="5143" width="11.125" style="2" bestFit="1" customWidth="1"/>
    <col min="5144" max="5144" width="9" style="2"/>
    <col min="5145" max="5151" width="11.125" style="2" bestFit="1" customWidth="1"/>
    <col min="5152" max="5152" width="9.625" style="2" bestFit="1" customWidth="1"/>
    <col min="5153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/>
    <col min="5386" max="5386" width="11.125" style="2" bestFit="1" customWidth="1"/>
    <col min="5387" max="5387" width="9" style="2"/>
    <col min="5388" max="5399" width="11.125" style="2" bestFit="1" customWidth="1"/>
    <col min="5400" max="5400" width="9" style="2"/>
    <col min="5401" max="5407" width="11.125" style="2" bestFit="1" customWidth="1"/>
    <col min="5408" max="5408" width="9.625" style="2" bestFit="1" customWidth="1"/>
    <col min="5409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/>
    <col min="5642" max="5642" width="11.125" style="2" bestFit="1" customWidth="1"/>
    <col min="5643" max="5643" width="9" style="2"/>
    <col min="5644" max="5655" width="11.125" style="2" bestFit="1" customWidth="1"/>
    <col min="5656" max="5656" width="9" style="2"/>
    <col min="5657" max="5663" width="11.125" style="2" bestFit="1" customWidth="1"/>
    <col min="5664" max="5664" width="9.625" style="2" bestFit="1" customWidth="1"/>
    <col min="5665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/>
    <col min="5898" max="5898" width="11.125" style="2" bestFit="1" customWidth="1"/>
    <col min="5899" max="5899" width="9" style="2"/>
    <col min="5900" max="5911" width="11.125" style="2" bestFit="1" customWidth="1"/>
    <col min="5912" max="5912" width="9" style="2"/>
    <col min="5913" max="5919" width="11.125" style="2" bestFit="1" customWidth="1"/>
    <col min="5920" max="5920" width="9.625" style="2" bestFit="1" customWidth="1"/>
    <col min="5921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/>
    <col min="6154" max="6154" width="11.125" style="2" bestFit="1" customWidth="1"/>
    <col min="6155" max="6155" width="9" style="2"/>
    <col min="6156" max="6167" width="11.125" style="2" bestFit="1" customWidth="1"/>
    <col min="6168" max="6168" width="9" style="2"/>
    <col min="6169" max="6175" width="11.125" style="2" bestFit="1" customWidth="1"/>
    <col min="6176" max="6176" width="9.625" style="2" bestFit="1" customWidth="1"/>
    <col min="6177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/>
    <col min="6410" max="6410" width="11.125" style="2" bestFit="1" customWidth="1"/>
    <col min="6411" max="6411" width="9" style="2"/>
    <col min="6412" max="6423" width="11.125" style="2" bestFit="1" customWidth="1"/>
    <col min="6424" max="6424" width="9" style="2"/>
    <col min="6425" max="6431" width="11.125" style="2" bestFit="1" customWidth="1"/>
    <col min="6432" max="6432" width="9.625" style="2" bestFit="1" customWidth="1"/>
    <col min="6433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/>
    <col min="6666" max="6666" width="11.125" style="2" bestFit="1" customWidth="1"/>
    <col min="6667" max="6667" width="9" style="2"/>
    <col min="6668" max="6679" width="11.125" style="2" bestFit="1" customWidth="1"/>
    <col min="6680" max="6680" width="9" style="2"/>
    <col min="6681" max="6687" width="11.125" style="2" bestFit="1" customWidth="1"/>
    <col min="6688" max="6688" width="9.625" style="2" bestFit="1" customWidth="1"/>
    <col min="6689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/>
    <col min="6922" max="6922" width="11.125" style="2" bestFit="1" customWidth="1"/>
    <col min="6923" max="6923" width="9" style="2"/>
    <col min="6924" max="6935" width="11.125" style="2" bestFit="1" customWidth="1"/>
    <col min="6936" max="6936" width="9" style="2"/>
    <col min="6937" max="6943" width="11.125" style="2" bestFit="1" customWidth="1"/>
    <col min="6944" max="6944" width="9.625" style="2" bestFit="1" customWidth="1"/>
    <col min="6945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/>
    <col min="7178" max="7178" width="11.125" style="2" bestFit="1" customWidth="1"/>
    <col min="7179" max="7179" width="9" style="2"/>
    <col min="7180" max="7191" width="11.125" style="2" bestFit="1" customWidth="1"/>
    <col min="7192" max="7192" width="9" style="2"/>
    <col min="7193" max="7199" width="11.125" style="2" bestFit="1" customWidth="1"/>
    <col min="7200" max="7200" width="9.625" style="2" bestFit="1" customWidth="1"/>
    <col min="7201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/>
    <col min="7434" max="7434" width="11.125" style="2" bestFit="1" customWidth="1"/>
    <col min="7435" max="7435" width="9" style="2"/>
    <col min="7436" max="7447" width="11.125" style="2" bestFit="1" customWidth="1"/>
    <col min="7448" max="7448" width="9" style="2"/>
    <col min="7449" max="7455" width="11.125" style="2" bestFit="1" customWidth="1"/>
    <col min="7456" max="7456" width="9.625" style="2" bestFit="1" customWidth="1"/>
    <col min="7457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/>
    <col min="7690" max="7690" width="11.125" style="2" bestFit="1" customWidth="1"/>
    <col min="7691" max="7691" width="9" style="2"/>
    <col min="7692" max="7703" width="11.125" style="2" bestFit="1" customWidth="1"/>
    <col min="7704" max="7704" width="9" style="2"/>
    <col min="7705" max="7711" width="11.125" style="2" bestFit="1" customWidth="1"/>
    <col min="7712" max="7712" width="9.625" style="2" bestFit="1" customWidth="1"/>
    <col min="7713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/>
    <col min="7946" max="7946" width="11.125" style="2" bestFit="1" customWidth="1"/>
    <col min="7947" max="7947" width="9" style="2"/>
    <col min="7948" max="7959" width="11.125" style="2" bestFit="1" customWidth="1"/>
    <col min="7960" max="7960" width="9" style="2"/>
    <col min="7961" max="7967" width="11.125" style="2" bestFit="1" customWidth="1"/>
    <col min="7968" max="7968" width="9.625" style="2" bestFit="1" customWidth="1"/>
    <col min="7969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/>
    <col min="8202" max="8202" width="11.125" style="2" bestFit="1" customWidth="1"/>
    <col min="8203" max="8203" width="9" style="2"/>
    <col min="8204" max="8215" width="11.125" style="2" bestFit="1" customWidth="1"/>
    <col min="8216" max="8216" width="9" style="2"/>
    <col min="8217" max="8223" width="11.125" style="2" bestFit="1" customWidth="1"/>
    <col min="8224" max="8224" width="9.625" style="2" bestFit="1" customWidth="1"/>
    <col min="8225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/>
    <col min="8458" max="8458" width="11.125" style="2" bestFit="1" customWidth="1"/>
    <col min="8459" max="8459" width="9" style="2"/>
    <col min="8460" max="8471" width="11.125" style="2" bestFit="1" customWidth="1"/>
    <col min="8472" max="8472" width="9" style="2"/>
    <col min="8473" max="8479" width="11.125" style="2" bestFit="1" customWidth="1"/>
    <col min="8480" max="8480" width="9.625" style="2" bestFit="1" customWidth="1"/>
    <col min="8481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/>
    <col min="8714" max="8714" width="11.125" style="2" bestFit="1" customWidth="1"/>
    <col min="8715" max="8715" width="9" style="2"/>
    <col min="8716" max="8727" width="11.125" style="2" bestFit="1" customWidth="1"/>
    <col min="8728" max="8728" width="9" style="2"/>
    <col min="8729" max="8735" width="11.125" style="2" bestFit="1" customWidth="1"/>
    <col min="8736" max="8736" width="9.625" style="2" bestFit="1" customWidth="1"/>
    <col min="8737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/>
    <col min="8970" max="8970" width="11.125" style="2" bestFit="1" customWidth="1"/>
    <col min="8971" max="8971" width="9" style="2"/>
    <col min="8972" max="8983" width="11.125" style="2" bestFit="1" customWidth="1"/>
    <col min="8984" max="8984" width="9" style="2"/>
    <col min="8985" max="8991" width="11.125" style="2" bestFit="1" customWidth="1"/>
    <col min="8992" max="8992" width="9.625" style="2" bestFit="1" customWidth="1"/>
    <col min="8993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/>
    <col min="9226" max="9226" width="11.125" style="2" bestFit="1" customWidth="1"/>
    <col min="9227" max="9227" width="9" style="2"/>
    <col min="9228" max="9239" width="11.125" style="2" bestFit="1" customWidth="1"/>
    <col min="9240" max="9240" width="9" style="2"/>
    <col min="9241" max="9247" width="11.125" style="2" bestFit="1" customWidth="1"/>
    <col min="9248" max="9248" width="9.625" style="2" bestFit="1" customWidth="1"/>
    <col min="9249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/>
    <col min="9482" max="9482" width="11.125" style="2" bestFit="1" customWidth="1"/>
    <col min="9483" max="9483" width="9" style="2"/>
    <col min="9484" max="9495" width="11.125" style="2" bestFit="1" customWidth="1"/>
    <col min="9496" max="9496" width="9" style="2"/>
    <col min="9497" max="9503" width="11.125" style="2" bestFit="1" customWidth="1"/>
    <col min="9504" max="9504" width="9.625" style="2" bestFit="1" customWidth="1"/>
    <col min="9505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/>
    <col min="9738" max="9738" width="11.125" style="2" bestFit="1" customWidth="1"/>
    <col min="9739" max="9739" width="9" style="2"/>
    <col min="9740" max="9751" width="11.125" style="2" bestFit="1" customWidth="1"/>
    <col min="9752" max="9752" width="9" style="2"/>
    <col min="9753" max="9759" width="11.125" style="2" bestFit="1" customWidth="1"/>
    <col min="9760" max="9760" width="9.625" style="2" bestFit="1" customWidth="1"/>
    <col min="9761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/>
    <col min="9994" max="9994" width="11.125" style="2" bestFit="1" customWidth="1"/>
    <col min="9995" max="9995" width="9" style="2"/>
    <col min="9996" max="10007" width="11.125" style="2" bestFit="1" customWidth="1"/>
    <col min="10008" max="10008" width="9" style="2"/>
    <col min="10009" max="10015" width="11.125" style="2" bestFit="1" customWidth="1"/>
    <col min="10016" max="10016" width="9.625" style="2" bestFit="1" customWidth="1"/>
    <col min="10017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/>
    <col min="10250" max="10250" width="11.125" style="2" bestFit="1" customWidth="1"/>
    <col min="10251" max="10251" width="9" style="2"/>
    <col min="10252" max="10263" width="11.125" style="2" bestFit="1" customWidth="1"/>
    <col min="10264" max="10264" width="9" style="2"/>
    <col min="10265" max="10271" width="11.125" style="2" bestFit="1" customWidth="1"/>
    <col min="10272" max="10272" width="9.625" style="2" bestFit="1" customWidth="1"/>
    <col min="10273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/>
    <col min="10506" max="10506" width="11.125" style="2" bestFit="1" customWidth="1"/>
    <col min="10507" max="10507" width="9" style="2"/>
    <col min="10508" max="10519" width="11.125" style="2" bestFit="1" customWidth="1"/>
    <col min="10520" max="10520" width="9" style="2"/>
    <col min="10521" max="10527" width="11.125" style="2" bestFit="1" customWidth="1"/>
    <col min="10528" max="10528" width="9.625" style="2" bestFit="1" customWidth="1"/>
    <col min="10529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/>
    <col min="10762" max="10762" width="11.125" style="2" bestFit="1" customWidth="1"/>
    <col min="10763" max="10763" width="9" style="2"/>
    <col min="10764" max="10775" width="11.125" style="2" bestFit="1" customWidth="1"/>
    <col min="10776" max="10776" width="9" style="2"/>
    <col min="10777" max="10783" width="11.125" style="2" bestFit="1" customWidth="1"/>
    <col min="10784" max="10784" width="9.625" style="2" bestFit="1" customWidth="1"/>
    <col min="10785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/>
    <col min="11018" max="11018" width="11.125" style="2" bestFit="1" customWidth="1"/>
    <col min="11019" max="11019" width="9" style="2"/>
    <col min="11020" max="11031" width="11.125" style="2" bestFit="1" customWidth="1"/>
    <col min="11032" max="11032" width="9" style="2"/>
    <col min="11033" max="11039" width="11.125" style="2" bestFit="1" customWidth="1"/>
    <col min="11040" max="11040" width="9.625" style="2" bestFit="1" customWidth="1"/>
    <col min="11041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/>
    <col min="11274" max="11274" width="11.125" style="2" bestFit="1" customWidth="1"/>
    <col min="11275" max="11275" width="9" style="2"/>
    <col min="11276" max="11287" width="11.125" style="2" bestFit="1" customWidth="1"/>
    <col min="11288" max="11288" width="9" style="2"/>
    <col min="11289" max="11295" width="11.125" style="2" bestFit="1" customWidth="1"/>
    <col min="11296" max="11296" width="9.625" style="2" bestFit="1" customWidth="1"/>
    <col min="11297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/>
    <col min="11530" max="11530" width="11.125" style="2" bestFit="1" customWidth="1"/>
    <col min="11531" max="11531" width="9" style="2"/>
    <col min="11532" max="11543" width="11.125" style="2" bestFit="1" customWidth="1"/>
    <col min="11544" max="11544" width="9" style="2"/>
    <col min="11545" max="11551" width="11.125" style="2" bestFit="1" customWidth="1"/>
    <col min="11552" max="11552" width="9.625" style="2" bestFit="1" customWidth="1"/>
    <col min="11553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/>
    <col min="11786" max="11786" width="11.125" style="2" bestFit="1" customWidth="1"/>
    <col min="11787" max="11787" width="9" style="2"/>
    <col min="11788" max="11799" width="11.125" style="2" bestFit="1" customWidth="1"/>
    <col min="11800" max="11800" width="9" style="2"/>
    <col min="11801" max="11807" width="11.125" style="2" bestFit="1" customWidth="1"/>
    <col min="11808" max="11808" width="9.625" style="2" bestFit="1" customWidth="1"/>
    <col min="11809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/>
    <col min="12042" max="12042" width="11.125" style="2" bestFit="1" customWidth="1"/>
    <col min="12043" max="12043" width="9" style="2"/>
    <col min="12044" max="12055" width="11.125" style="2" bestFit="1" customWidth="1"/>
    <col min="12056" max="12056" width="9" style="2"/>
    <col min="12057" max="12063" width="11.125" style="2" bestFit="1" customWidth="1"/>
    <col min="12064" max="12064" width="9.625" style="2" bestFit="1" customWidth="1"/>
    <col min="12065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/>
    <col min="12298" max="12298" width="11.125" style="2" bestFit="1" customWidth="1"/>
    <col min="12299" max="12299" width="9" style="2"/>
    <col min="12300" max="12311" width="11.125" style="2" bestFit="1" customWidth="1"/>
    <col min="12312" max="12312" width="9" style="2"/>
    <col min="12313" max="12319" width="11.125" style="2" bestFit="1" customWidth="1"/>
    <col min="12320" max="12320" width="9.625" style="2" bestFit="1" customWidth="1"/>
    <col min="12321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/>
    <col min="12554" max="12554" width="11.125" style="2" bestFit="1" customWidth="1"/>
    <col min="12555" max="12555" width="9" style="2"/>
    <col min="12556" max="12567" width="11.125" style="2" bestFit="1" customWidth="1"/>
    <col min="12568" max="12568" width="9" style="2"/>
    <col min="12569" max="12575" width="11.125" style="2" bestFit="1" customWidth="1"/>
    <col min="12576" max="12576" width="9.625" style="2" bestFit="1" customWidth="1"/>
    <col min="12577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/>
    <col min="12810" max="12810" width="11.125" style="2" bestFit="1" customWidth="1"/>
    <col min="12811" max="12811" width="9" style="2"/>
    <col min="12812" max="12823" width="11.125" style="2" bestFit="1" customWidth="1"/>
    <col min="12824" max="12824" width="9" style="2"/>
    <col min="12825" max="12831" width="11.125" style="2" bestFit="1" customWidth="1"/>
    <col min="12832" max="12832" width="9.625" style="2" bestFit="1" customWidth="1"/>
    <col min="12833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/>
    <col min="13066" max="13066" width="11.125" style="2" bestFit="1" customWidth="1"/>
    <col min="13067" max="13067" width="9" style="2"/>
    <col min="13068" max="13079" width="11.125" style="2" bestFit="1" customWidth="1"/>
    <col min="13080" max="13080" width="9" style="2"/>
    <col min="13081" max="13087" width="11.125" style="2" bestFit="1" customWidth="1"/>
    <col min="13088" max="13088" width="9.625" style="2" bestFit="1" customWidth="1"/>
    <col min="13089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/>
    <col min="13322" max="13322" width="11.125" style="2" bestFit="1" customWidth="1"/>
    <col min="13323" max="13323" width="9" style="2"/>
    <col min="13324" max="13335" width="11.125" style="2" bestFit="1" customWidth="1"/>
    <col min="13336" max="13336" width="9" style="2"/>
    <col min="13337" max="13343" width="11.125" style="2" bestFit="1" customWidth="1"/>
    <col min="13344" max="13344" width="9.625" style="2" bestFit="1" customWidth="1"/>
    <col min="13345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/>
    <col min="13578" max="13578" width="11.125" style="2" bestFit="1" customWidth="1"/>
    <col min="13579" max="13579" width="9" style="2"/>
    <col min="13580" max="13591" width="11.125" style="2" bestFit="1" customWidth="1"/>
    <col min="13592" max="13592" width="9" style="2"/>
    <col min="13593" max="13599" width="11.125" style="2" bestFit="1" customWidth="1"/>
    <col min="13600" max="13600" width="9.625" style="2" bestFit="1" customWidth="1"/>
    <col min="13601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/>
    <col min="13834" max="13834" width="11.125" style="2" bestFit="1" customWidth="1"/>
    <col min="13835" max="13835" width="9" style="2"/>
    <col min="13836" max="13847" width="11.125" style="2" bestFit="1" customWidth="1"/>
    <col min="13848" max="13848" width="9" style="2"/>
    <col min="13849" max="13855" width="11.125" style="2" bestFit="1" customWidth="1"/>
    <col min="13856" max="13856" width="9.625" style="2" bestFit="1" customWidth="1"/>
    <col min="13857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/>
    <col min="14090" max="14090" width="11.125" style="2" bestFit="1" customWidth="1"/>
    <col min="14091" max="14091" width="9" style="2"/>
    <col min="14092" max="14103" width="11.125" style="2" bestFit="1" customWidth="1"/>
    <col min="14104" max="14104" width="9" style="2"/>
    <col min="14105" max="14111" width="11.125" style="2" bestFit="1" customWidth="1"/>
    <col min="14112" max="14112" width="9.625" style="2" bestFit="1" customWidth="1"/>
    <col min="14113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/>
    <col min="14346" max="14346" width="11.125" style="2" bestFit="1" customWidth="1"/>
    <col min="14347" max="14347" width="9" style="2"/>
    <col min="14348" max="14359" width="11.125" style="2" bestFit="1" customWidth="1"/>
    <col min="14360" max="14360" width="9" style="2"/>
    <col min="14361" max="14367" width="11.125" style="2" bestFit="1" customWidth="1"/>
    <col min="14368" max="14368" width="9.625" style="2" bestFit="1" customWidth="1"/>
    <col min="14369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/>
    <col min="14602" max="14602" width="11.125" style="2" bestFit="1" customWidth="1"/>
    <col min="14603" max="14603" width="9" style="2"/>
    <col min="14604" max="14615" width="11.125" style="2" bestFit="1" customWidth="1"/>
    <col min="14616" max="14616" width="9" style="2"/>
    <col min="14617" max="14623" width="11.125" style="2" bestFit="1" customWidth="1"/>
    <col min="14624" max="14624" width="9.625" style="2" bestFit="1" customWidth="1"/>
    <col min="14625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/>
    <col min="14858" max="14858" width="11.125" style="2" bestFit="1" customWidth="1"/>
    <col min="14859" max="14859" width="9" style="2"/>
    <col min="14860" max="14871" width="11.125" style="2" bestFit="1" customWidth="1"/>
    <col min="14872" max="14872" width="9" style="2"/>
    <col min="14873" max="14879" width="11.125" style="2" bestFit="1" customWidth="1"/>
    <col min="14880" max="14880" width="9.625" style="2" bestFit="1" customWidth="1"/>
    <col min="14881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/>
    <col min="15114" max="15114" width="11.125" style="2" bestFit="1" customWidth="1"/>
    <col min="15115" max="15115" width="9" style="2"/>
    <col min="15116" max="15127" width="11.125" style="2" bestFit="1" customWidth="1"/>
    <col min="15128" max="15128" width="9" style="2"/>
    <col min="15129" max="15135" width="11.125" style="2" bestFit="1" customWidth="1"/>
    <col min="15136" max="15136" width="9.625" style="2" bestFit="1" customWidth="1"/>
    <col min="15137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/>
    <col min="15370" max="15370" width="11.125" style="2" bestFit="1" customWidth="1"/>
    <col min="15371" max="15371" width="9" style="2"/>
    <col min="15372" max="15383" width="11.125" style="2" bestFit="1" customWidth="1"/>
    <col min="15384" max="15384" width="9" style="2"/>
    <col min="15385" max="15391" width="11.125" style="2" bestFit="1" customWidth="1"/>
    <col min="15392" max="15392" width="9.625" style="2" bestFit="1" customWidth="1"/>
    <col min="15393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/>
    <col min="15626" max="15626" width="11.125" style="2" bestFit="1" customWidth="1"/>
    <col min="15627" max="15627" width="9" style="2"/>
    <col min="15628" max="15639" width="11.125" style="2" bestFit="1" customWidth="1"/>
    <col min="15640" max="15640" width="9" style="2"/>
    <col min="15641" max="15647" width="11.125" style="2" bestFit="1" customWidth="1"/>
    <col min="15648" max="15648" width="9.625" style="2" bestFit="1" customWidth="1"/>
    <col min="15649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/>
    <col min="15882" max="15882" width="11.125" style="2" bestFit="1" customWidth="1"/>
    <col min="15883" max="15883" width="9" style="2"/>
    <col min="15884" max="15895" width="11.125" style="2" bestFit="1" customWidth="1"/>
    <col min="15896" max="15896" width="9" style="2"/>
    <col min="15897" max="15903" width="11.125" style="2" bestFit="1" customWidth="1"/>
    <col min="15904" max="15904" width="9.625" style="2" bestFit="1" customWidth="1"/>
    <col min="15905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/>
    <col min="16138" max="16138" width="11.125" style="2" bestFit="1" customWidth="1"/>
    <col min="16139" max="16139" width="9" style="2"/>
    <col min="16140" max="16151" width="11.125" style="2" bestFit="1" customWidth="1"/>
    <col min="16152" max="16152" width="9" style="2"/>
    <col min="16153" max="16159" width="11.125" style="2" bestFit="1" customWidth="1"/>
    <col min="16160" max="16160" width="9.625" style="2" bestFit="1" customWidth="1"/>
    <col min="16161" max="16384" width="9" style="2"/>
  </cols>
  <sheetData>
    <row r="1" spans="1:33">
      <c r="A1" s="1" t="s">
        <v>0</v>
      </c>
    </row>
    <row r="2" spans="1:33" ht="19.5" thickBot="1">
      <c r="A2" s="1" t="s">
        <v>104</v>
      </c>
    </row>
    <row r="3" spans="1:33">
      <c r="B3" s="16"/>
      <c r="C3" s="34" t="s">
        <v>2</v>
      </c>
      <c r="D3" s="35" t="s">
        <v>3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5" t="s">
        <v>13</v>
      </c>
      <c r="M3" s="35" t="s">
        <v>14</v>
      </c>
      <c r="N3" s="35" t="s">
        <v>15</v>
      </c>
      <c r="O3" s="35" t="s">
        <v>17</v>
      </c>
      <c r="P3" s="35" t="s">
        <v>18</v>
      </c>
      <c r="Q3" s="35" t="s">
        <v>19</v>
      </c>
      <c r="R3" s="35" t="s">
        <v>20</v>
      </c>
      <c r="S3" s="35" t="s">
        <v>21</v>
      </c>
      <c r="T3" s="60" t="s">
        <v>22</v>
      </c>
      <c r="U3" s="86" t="s">
        <v>106</v>
      </c>
      <c r="V3" s="73" t="s">
        <v>16</v>
      </c>
      <c r="W3" s="35" t="s">
        <v>4</v>
      </c>
      <c r="X3" s="35" t="s">
        <v>25</v>
      </c>
      <c r="Y3" s="35" t="s">
        <v>26</v>
      </c>
      <c r="Z3" s="35" t="s">
        <v>23</v>
      </c>
      <c r="AA3" s="35" t="s">
        <v>24</v>
      </c>
      <c r="AB3" s="35" t="s">
        <v>27</v>
      </c>
      <c r="AC3" s="88" t="s">
        <v>28</v>
      </c>
      <c r="AD3" s="86" t="s">
        <v>106</v>
      </c>
      <c r="AE3" s="88" t="s">
        <v>5</v>
      </c>
      <c r="AF3" s="86" t="s">
        <v>106</v>
      </c>
      <c r="AG3" s="89" t="s">
        <v>56</v>
      </c>
    </row>
    <row r="4" spans="1:33" ht="19.5" thickBot="1">
      <c r="B4" s="4" t="s">
        <v>29</v>
      </c>
      <c r="C4" s="36" t="s">
        <v>30</v>
      </c>
      <c r="D4" s="37" t="s">
        <v>31</v>
      </c>
      <c r="E4" s="37" t="s">
        <v>33</v>
      </c>
      <c r="F4" s="37" t="s">
        <v>34</v>
      </c>
      <c r="G4" s="37" t="s">
        <v>35</v>
      </c>
      <c r="H4" s="37" t="s">
        <v>36</v>
      </c>
      <c r="I4" s="37" t="s">
        <v>37</v>
      </c>
      <c r="J4" s="37" t="s">
        <v>38</v>
      </c>
      <c r="K4" s="37" t="s">
        <v>39</v>
      </c>
      <c r="L4" s="37" t="s">
        <v>40</v>
      </c>
      <c r="M4" s="37" t="s">
        <v>41</v>
      </c>
      <c r="N4" s="37" t="s">
        <v>42</v>
      </c>
      <c r="O4" s="37" t="s">
        <v>44</v>
      </c>
      <c r="P4" s="37" t="s">
        <v>45</v>
      </c>
      <c r="Q4" s="37" t="s">
        <v>46</v>
      </c>
      <c r="R4" s="37" t="s">
        <v>47</v>
      </c>
      <c r="S4" s="37" t="s">
        <v>48</v>
      </c>
      <c r="T4" s="61" t="s">
        <v>49</v>
      </c>
      <c r="U4" s="87" t="s">
        <v>107</v>
      </c>
      <c r="V4" s="74" t="s">
        <v>43</v>
      </c>
      <c r="W4" s="37" t="s">
        <v>105</v>
      </c>
      <c r="X4" s="37" t="s">
        <v>52</v>
      </c>
      <c r="Y4" s="37" t="s">
        <v>53</v>
      </c>
      <c r="Z4" s="37" t="s">
        <v>50</v>
      </c>
      <c r="AA4" s="37" t="s">
        <v>51</v>
      </c>
      <c r="AB4" s="37" t="s">
        <v>54</v>
      </c>
      <c r="AC4" s="3" t="s">
        <v>55</v>
      </c>
      <c r="AD4" s="87" t="s">
        <v>108</v>
      </c>
      <c r="AE4" s="3" t="s">
        <v>32</v>
      </c>
      <c r="AF4" s="87" t="s">
        <v>109</v>
      </c>
      <c r="AG4" s="4" t="s">
        <v>110</v>
      </c>
    </row>
    <row r="5" spans="1:33">
      <c r="A5" s="1" t="s">
        <v>1</v>
      </c>
      <c r="B5" s="22" t="s">
        <v>57</v>
      </c>
      <c r="C5" s="38">
        <v>18</v>
      </c>
      <c r="D5" s="39">
        <v>20</v>
      </c>
      <c r="E5" s="39">
        <v>18</v>
      </c>
      <c r="F5" s="39">
        <v>18</v>
      </c>
      <c r="G5" s="39">
        <v>6</v>
      </c>
      <c r="H5" s="39">
        <v>19</v>
      </c>
      <c r="I5" s="39">
        <v>19</v>
      </c>
      <c r="J5" s="39">
        <v>18</v>
      </c>
      <c r="K5" s="39">
        <v>19</v>
      </c>
      <c r="L5" s="39">
        <v>18</v>
      </c>
      <c r="M5" s="39">
        <v>17</v>
      </c>
      <c r="N5" s="39">
        <v>20</v>
      </c>
      <c r="O5" s="39">
        <v>19</v>
      </c>
      <c r="P5" s="39">
        <v>18</v>
      </c>
      <c r="Q5" s="39">
        <v>21</v>
      </c>
      <c r="R5" s="39">
        <v>21</v>
      </c>
      <c r="S5" s="39">
        <v>22</v>
      </c>
      <c r="T5" s="62">
        <v>19</v>
      </c>
      <c r="U5" s="24">
        <f>SUM(C5:T5)</f>
        <v>330</v>
      </c>
      <c r="V5" s="75">
        <v>22</v>
      </c>
      <c r="W5" s="39">
        <v>21</v>
      </c>
      <c r="X5" s="39">
        <v>12</v>
      </c>
      <c r="Y5" s="39">
        <v>17</v>
      </c>
      <c r="Z5" s="39">
        <v>10</v>
      </c>
      <c r="AA5" s="39">
        <v>10</v>
      </c>
      <c r="AB5" s="39">
        <v>9</v>
      </c>
      <c r="AC5" s="23">
        <v>19</v>
      </c>
      <c r="AD5" s="24">
        <f>SUM(V5:AC5)</f>
        <v>120</v>
      </c>
      <c r="AE5" s="23">
        <v>20</v>
      </c>
      <c r="AF5" s="24">
        <f>SUM(AE5)</f>
        <v>20</v>
      </c>
      <c r="AG5" s="24">
        <f>SUM(AF5,AD5,U5)</f>
        <v>470</v>
      </c>
    </row>
    <row r="6" spans="1:33">
      <c r="A6" s="1" t="s">
        <v>1</v>
      </c>
      <c r="B6" s="25" t="s">
        <v>58</v>
      </c>
      <c r="C6" s="40">
        <v>5</v>
      </c>
      <c r="D6" s="41">
        <v>4</v>
      </c>
      <c r="E6" s="41">
        <v>2</v>
      </c>
      <c r="F6" s="41">
        <v>1</v>
      </c>
      <c r="G6" s="41">
        <v>1</v>
      </c>
      <c r="H6" s="41">
        <v>3</v>
      </c>
      <c r="I6" s="41">
        <v>3</v>
      </c>
      <c r="J6" s="41">
        <v>2</v>
      </c>
      <c r="K6" s="41">
        <v>3</v>
      </c>
      <c r="L6" s="41">
        <v>4</v>
      </c>
      <c r="M6" s="41">
        <v>2</v>
      </c>
      <c r="N6" s="41">
        <v>2</v>
      </c>
      <c r="O6" s="41">
        <v>2</v>
      </c>
      <c r="P6" s="41">
        <v>1</v>
      </c>
      <c r="Q6" s="41">
        <v>1</v>
      </c>
      <c r="R6" s="41">
        <v>1</v>
      </c>
      <c r="S6" s="41">
        <v>3</v>
      </c>
      <c r="T6" s="63">
        <v>3</v>
      </c>
      <c r="U6" s="27">
        <f t="shared" ref="U6:U52" si="0">SUM(C6:T6)</f>
        <v>43</v>
      </c>
      <c r="V6" s="76">
        <v>0</v>
      </c>
      <c r="W6" s="41">
        <v>2</v>
      </c>
      <c r="X6" s="41">
        <v>0</v>
      </c>
      <c r="Y6" s="41">
        <v>0</v>
      </c>
      <c r="Z6" s="41">
        <v>0</v>
      </c>
      <c r="AA6" s="41">
        <v>0</v>
      </c>
      <c r="AB6" s="41">
        <v>0</v>
      </c>
      <c r="AC6" s="26">
        <v>0</v>
      </c>
      <c r="AD6" s="27">
        <f t="shared" ref="AD6:AD52" si="1">SUM(V6:AC6)</f>
        <v>2</v>
      </c>
      <c r="AE6" s="26">
        <v>0</v>
      </c>
      <c r="AF6" s="27">
        <f t="shared" ref="AF6:AF52" si="2">SUM(AE6)</f>
        <v>0</v>
      </c>
      <c r="AG6" s="27">
        <f t="shared" ref="AG6:AG52" si="3">SUM(AF6,AD6,U6)</f>
        <v>45</v>
      </c>
    </row>
    <row r="7" spans="1:33">
      <c r="A7" s="1" t="s">
        <v>1</v>
      </c>
      <c r="B7" s="25" t="s">
        <v>59</v>
      </c>
      <c r="C7" s="40">
        <v>2</v>
      </c>
      <c r="D7" s="41">
        <v>2</v>
      </c>
      <c r="E7" s="41">
        <v>0</v>
      </c>
      <c r="F7" s="41">
        <v>1</v>
      </c>
      <c r="G7" s="41">
        <v>0</v>
      </c>
      <c r="H7" s="41">
        <v>0</v>
      </c>
      <c r="I7" s="41">
        <v>1</v>
      </c>
      <c r="J7" s="41">
        <v>0</v>
      </c>
      <c r="K7" s="41">
        <v>2</v>
      </c>
      <c r="L7" s="41">
        <v>2</v>
      </c>
      <c r="M7" s="41">
        <v>0</v>
      </c>
      <c r="N7" s="41">
        <v>0</v>
      </c>
      <c r="O7" s="41">
        <v>2</v>
      </c>
      <c r="P7" s="41">
        <v>0</v>
      </c>
      <c r="Q7" s="41">
        <v>0</v>
      </c>
      <c r="R7" s="41">
        <v>0</v>
      </c>
      <c r="S7" s="41">
        <v>2</v>
      </c>
      <c r="T7" s="63">
        <v>1</v>
      </c>
      <c r="U7" s="27">
        <f t="shared" si="0"/>
        <v>15</v>
      </c>
      <c r="V7" s="76">
        <v>0</v>
      </c>
      <c r="W7" s="41">
        <v>0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26">
        <v>0</v>
      </c>
      <c r="AD7" s="27">
        <f t="shared" si="1"/>
        <v>0</v>
      </c>
      <c r="AE7" s="26">
        <v>0</v>
      </c>
      <c r="AF7" s="27">
        <f t="shared" si="2"/>
        <v>0</v>
      </c>
      <c r="AG7" s="27">
        <f t="shared" si="3"/>
        <v>15</v>
      </c>
    </row>
    <row r="8" spans="1:33">
      <c r="A8" s="1" t="s">
        <v>1</v>
      </c>
      <c r="B8" s="25" t="s">
        <v>60</v>
      </c>
      <c r="C8" s="40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1</v>
      </c>
      <c r="Q8" s="41">
        <v>1</v>
      </c>
      <c r="R8" s="41">
        <v>1</v>
      </c>
      <c r="S8" s="41">
        <v>0</v>
      </c>
      <c r="T8" s="63">
        <v>0</v>
      </c>
      <c r="U8" s="27">
        <f t="shared" si="0"/>
        <v>3</v>
      </c>
      <c r="V8" s="76">
        <v>0</v>
      </c>
      <c r="W8" s="41">
        <v>0</v>
      </c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26">
        <v>0</v>
      </c>
      <c r="AD8" s="27">
        <f t="shared" si="1"/>
        <v>0</v>
      </c>
      <c r="AE8" s="26">
        <v>0</v>
      </c>
      <c r="AF8" s="27">
        <f t="shared" si="2"/>
        <v>0</v>
      </c>
      <c r="AG8" s="27">
        <f t="shared" si="3"/>
        <v>3</v>
      </c>
    </row>
    <row r="9" spans="1:33">
      <c r="A9" s="1" t="s">
        <v>1</v>
      </c>
      <c r="B9" s="25" t="s">
        <v>61</v>
      </c>
      <c r="C9" s="40">
        <v>5</v>
      </c>
      <c r="D9" s="41">
        <v>3</v>
      </c>
      <c r="E9" s="41">
        <v>5</v>
      </c>
      <c r="F9" s="41">
        <v>5</v>
      </c>
      <c r="G9" s="41">
        <v>17</v>
      </c>
      <c r="H9" s="41">
        <v>4</v>
      </c>
      <c r="I9" s="41">
        <v>4</v>
      </c>
      <c r="J9" s="41">
        <v>5</v>
      </c>
      <c r="K9" s="41">
        <v>4</v>
      </c>
      <c r="L9" s="41">
        <v>5</v>
      </c>
      <c r="M9" s="41">
        <v>6</v>
      </c>
      <c r="N9" s="41">
        <v>3</v>
      </c>
      <c r="O9" s="41">
        <v>4</v>
      </c>
      <c r="P9" s="41">
        <v>4</v>
      </c>
      <c r="Q9" s="41">
        <v>1</v>
      </c>
      <c r="R9" s="41">
        <v>1</v>
      </c>
      <c r="S9" s="41">
        <v>1</v>
      </c>
      <c r="T9" s="63">
        <v>4</v>
      </c>
      <c r="U9" s="27">
        <f t="shared" si="0"/>
        <v>81</v>
      </c>
      <c r="V9" s="76">
        <v>1.5</v>
      </c>
      <c r="W9" s="41">
        <v>2.5</v>
      </c>
      <c r="X9" s="41">
        <v>3</v>
      </c>
      <c r="Y9" s="41">
        <v>1</v>
      </c>
      <c r="Z9" s="41">
        <v>2</v>
      </c>
      <c r="AA9" s="41">
        <v>1</v>
      </c>
      <c r="AB9" s="41">
        <v>0</v>
      </c>
      <c r="AC9" s="26">
        <v>0</v>
      </c>
      <c r="AD9" s="27">
        <f t="shared" si="1"/>
        <v>11</v>
      </c>
      <c r="AE9" s="26">
        <v>3</v>
      </c>
      <c r="AF9" s="27">
        <f t="shared" si="2"/>
        <v>3</v>
      </c>
      <c r="AG9" s="27">
        <f t="shared" si="3"/>
        <v>95</v>
      </c>
    </row>
    <row r="10" spans="1:33">
      <c r="A10" s="1" t="s">
        <v>1</v>
      </c>
      <c r="B10" s="25" t="s">
        <v>62</v>
      </c>
      <c r="C10" s="42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64">
        <v>0</v>
      </c>
      <c r="U10" s="29">
        <f t="shared" si="0"/>
        <v>0</v>
      </c>
      <c r="V10" s="77">
        <v>0</v>
      </c>
      <c r="W10" s="43">
        <v>0</v>
      </c>
      <c r="X10" s="43">
        <v>2.75</v>
      </c>
      <c r="Y10" s="43">
        <v>4.041666666666667</v>
      </c>
      <c r="Z10" s="43">
        <v>2.9583333333333335</v>
      </c>
      <c r="AA10" s="43">
        <v>2.9166666666666665</v>
      </c>
      <c r="AB10" s="43">
        <v>2.7916666666666665</v>
      </c>
      <c r="AC10" s="28">
        <v>3.6666666666666665</v>
      </c>
      <c r="AD10" s="29">
        <f t="shared" si="1"/>
        <v>19.125</v>
      </c>
      <c r="AE10" s="28">
        <v>0</v>
      </c>
      <c r="AF10" s="29">
        <f t="shared" si="2"/>
        <v>0</v>
      </c>
      <c r="AG10" s="29">
        <f t="shared" si="3"/>
        <v>19.125</v>
      </c>
    </row>
    <row r="11" spans="1:33">
      <c r="A11" s="1" t="s">
        <v>1</v>
      </c>
      <c r="B11" s="25" t="s">
        <v>63</v>
      </c>
      <c r="C11" s="42">
        <v>0.83333333333333337</v>
      </c>
      <c r="D11" s="43">
        <v>0.95833333333333337</v>
      </c>
      <c r="E11" s="43">
        <v>0.58333333333333337</v>
      </c>
      <c r="F11" s="43">
        <v>1.4583333333333333</v>
      </c>
      <c r="G11" s="43">
        <v>0.33333333333333331</v>
      </c>
      <c r="H11" s="43">
        <v>2.2916666666666665</v>
      </c>
      <c r="I11" s="43">
        <v>2.0416666666666665</v>
      </c>
      <c r="J11" s="43">
        <v>1.25</v>
      </c>
      <c r="K11" s="43">
        <v>1.75</v>
      </c>
      <c r="L11" s="43">
        <v>1.375</v>
      </c>
      <c r="M11" s="43">
        <v>0.5</v>
      </c>
      <c r="N11" s="43">
        <v>0.95833333333333337</v>
      </c>
      <c r="O11" s="43">
        <v>2.4583333333333335</v>
      </c>
      <c r="P11" s="43">
        <v>0.625</v>
      </c>
      <c r="Q11" s="43">
        <v>1.2916666666666667</v>
      </c>
      <c r="R11" s="43">
        <v>2.2916666666666665</v>
      </c>
      <c r="S11" s="43">
        <v>1.875</v>
      </c>
      <c r="T11" s="64">
        <v>0.45833333333333331</v>
      </c>
      <c r="U11" s="29">
        <f t="shared" si="0"/>
        <v>23.333333333333332</v>
      </c>
      <c r="V11" s="77">
        <v>0</v>
      </c>
      <c r="W11" s="43">
        <v>0.83333333333333337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28">
        <v>0</v>
      </c>
      <c r="AD11" s="29">
        <f t="shared" si="1"/>
        <v>0.83333333333333337</v>
      </c>
      <c r="AE11" s="28">
        <v>0</v>
      </c>
      <c r="AF11" s="29">
        <f t="shared" si="2"/>
        <v>0</v>
      </c>
      <c r="AG11" s="29">
        <f t="shared" si="3"/>
        <v>24.166666666666664</v>
      </c>
    </row>
    <row r="12" spans="1:33">
      <c r="A12" s="1" t="s">
        <v>1</v>
      </c>
      <c r="B12" s="25" t="s">
        <v>64</v>
      </c>
      <c r="C12" s="42">
        <v>1.3333333333333333</v>
      </c>
      <c r="D12" s="43">
        <v>1.25</v>
      </c>
      <c r="E12" s="43">
        <v>0.79166666666666663</v>
      </c>
      <c r="F12" s="43">
        <v>0.16666666666666666</v>
      </c>
      <c r="G12" s="43">
        <v>0.33333333333333331</v>
      </c>
      <c r="H12" s="43">
        <v>0.83333333333333337</v>
      </c>
      <c r="I12" s="43">
        <v>0.95833333333333337</v>
      </c>
      <c r="J12" s="43">
        <v>0.58333333333333337</v>
      </c>
      <c r="K12" s="43">
        <v>1.0416666666666667</v>
      </c>
      <c r="L12" s="43">
        <v>1.4583333333333333</v>
      </c>
      <c r="M12" s="43">
        <v>0.79166666666666663</v>
      </c>
      <c r="N12" s="43">
        <v>0.54166666666666663</v>
      </c>
      <c r="O12" s="43">
        <v>0.625</v>
      </c>
      <c r="P12" s="43">
        <v>0</v>
      </c>
      <c r="Q12" s="43">
        <v>0</v>
      </c>
      <c r="R12" s="43">
        <v>0</v>
      </c>
      <c r="S12" s="43">
        <v>0.91666666666666663</v>
      </c>
      <c r="T12" s="64">
        <v>0.625</v>
      </c>
      <c r="U12" s="29">
        <f t="shared" si="0"/>
        <v>12.249999999999998</v>
      </c>
      <c r="V12" s="77">
        <v>0</v>
      </c>
      <c r="W12" s="43">
        <v>0.41666666666666669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28">
        <v>0</v>
      </c>
      <c r="AD12" s="29">
        <f t="shared" si="1"/>
        <v>0.41666666666666669</v>
      </c>
      <c r="AE12" s="28">
        <v>0</v>
      </c>
      <c r="AF12" s="29">
        <f t="shared" si="2"/>
        <v>0</v>
      </c>
      <c r="AG12" s="29">
        <f t="shared" si="3"/>
        <v>12.666666666666664</v>
      </c>
    </row>
    <row r="13" spans="1:33">
      <c r="A13" s="1" t="s">
        <v>1</v>
      </c>
      <c r="B13" s="25" t="s">
        <v>65</v>
      </c>
      <c r="C13" s="42">
        <v>0.70833333333333337</v>
      </c>
      <c r="D13" s="43">
        <v>0.66666666666666663</v>
      </c>
      <c r="E13" s="43">
        <v>0</v>
      </c>
      <c r="F13" s="43">
        <v>0.375</v>
      </c>
      <c r="G13" s="43">
        <v>0</v>
      </c>
      <c r="H13" s="43">
        <v>0</v>
      </c>
      <c r="I13" s="43">
        <v>0.41666666666666669</v>
      </c>
      <c r="J13" s="43">
        <v>0</v>
      </c>
      <c r="K13" s="43">
        <v>0.625</v>
      </c>
      <c r="L13" s="43">
        <v>0.66666666666666663</v>
      </c>
      <c r="M13" s="43">
        <v>0</v>
      </c>
      <c r="N13" s="43">
        <v>0</v>
      </c>
      <c r="O13" s="43">
        <v>0.75</v>
      </c>
      <c r="P13" s="43">
        <v>0</v>
      </c>
      <c r="Q13" s="43">
        <v>0</v>
      </c>
      <c r="R13" s="43">
        <v>0</v>
      </c>
      <c r="S13" s="43">
        <v>0.625</v>
      </c>
      <c r="T13" s="64">
        <v>0.20833333333333334</v>
      </c>
      <c r="U13" s="29">
        <f t="shared" si="0"/>
        <v>5.0416666666666661</v>
      </c>
      <c r="V13" s="77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28">
        <v>0</v>
      </c>
      <c r="AD13" s="29">
        <f t="shared" si="1"/>
        <v>0</v>
      </c>
      <c r="AE13" s="28">
        <v>0</v>
      </c>
      <c r="AF13" s="29">
        <f t="shared" si="2"/>
        <v>0</v>
      </c>
      <c r="AG13" s="29">
        <f t="shared" si="3"/>
        <v>5.0416666666666661</v>
      </c>
    </row>
    <row r="14" spans="1:33">
      <c r="A14" s="1" t="s">
        <v>1</v>
      </c>
      <c r="B14" s="25" t="s">
        <v>66</v>
      </c>
      <c r="C14" s="42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0.20833333333333334</v>
      </c>
      <c r="Q14" s="43">
        <v>0.16666666666666666</v>
      </c>
      <c r="R14" s="43">
        <v>0.5</v>
      </c>
      <c r="S14" s="43">
        <v>0</v>
      </c>
      <c r="T14" s="64">
        <v>0</v>
      </c>
      <c r="U14" s="29">
        <f t="shared" si="0"/>
        <v>0.875</v>
      </c>
      <c r="V14" s="77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28">
        <v>0</v>
      </c>
      <c r="AD14" s="29">
        <f t="shared" si="1"/>
        <v>0</v>
      </c>
      <c r="AE14" s="28">
        <v>0</v>
      </c>
      <c r="AF14" s="29">
        <f t="shared" si="2"/>
        <v>0</v>
      </c>
      <c r="AG14" s="29">
        <f t="shared" si="3"/>
        <v>0.875</v>
      </c>
    </row>
    <row r="15" spans="1:33">
      <c r="A15" s="1" t="s">
        <v>1</v>
      </c>
      <c r="B15" s="25" t="s">
        <v>67</v>
      </c>
      <c r="C15" s="42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8.3333333333333329E-2</v>
      </c>
      <c r="P15" s="43">
        <v>0</v>
      </c>
      <c r="Q15" s="43">
        <v>0</v>
      </c>
      <c r="R15" s="43">
        <v>0</v>
      </c>
      <c r="S15" s="43">
        <v>0</v>
      </c>
      <c r="T15" s="64">
        <v>0</v>
      </c>
      <c r="U15" s="29">
        <f t="shared" si="0"/>
        <v>8.3333333333333329E-2</v>
      </c>
      <c r="V15" s="77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28">
        <v>0</v>
      </c>
      <c r="AD15" s="29">
        <f t="shared" si="1"/>
        <v>0</v>
      </c>
      <c r="AE15" s="28">
        <v>0</v>
      </c>
      <c r="AF15" s="29">
        <f t="shared" si="2"/>
        <v>0</v>
      </c>
      <c r="AG15" s="29">
        <f t="shared" si="3"/>
        <v>8.3333333333333329E-2</v>
      </c>
    </row>
    <row r="16" spans="1:33">
      <c r="A16" s="1" t="s">
        <v>1</v>
      </c>
      <c r="B16" s="25" t="s">
        <v>68</v>
      </c>
      <c r="C16" s="42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64">
        <v>0</v>
      </c>
      <c r="U16" s="29">
        <f t="shared" si="0"/>
        <v>0</v>
      </c>
      <c r="V16" s="77">
        <v>0</v>
      </c>
      <c r="W16" s="43">
        <v>0</v>
      </c>
      <c r="X16" s="43">
        <v>0.75</v>
      </c>
      <c r="Y16" s="43">
        <v>0.29166666666666669</v>
      </c>
      <c r="Z16" s="43">
        <v>0.58333333333333337</v>
      </c>
      <c r="AA16" s="43">
        <v>0.29166666666666669</v>
      </c>
      <c r="AB16" s="43">
        <v>0</v>
      </c>
      <c r="AC16" s="28">
        <v>0</v>
      </c>
      <c r="AD16" s="29">
        <f t="shared" si="1"/>
        <v>1.9166666666666667</v>
      </c>
      <c r="AE16" s="28">
        <v>0</v>
      </c>
      <c r="AF16" s="29">
        <f t="shared" si="2"/>
        <v>0</v>
      </c>
      <c r="AG16" s="29">
        <f t="shared" si="3"/>
        <v>1.9166666666666667</v>
      </c>
    </row>
    <row r="17" spans="1:33">
      <c r="A17" s="1" t="s">
        <v>1</v>
      </c>
      <c r="B17" s="5" t="s">
        <v>69</v>
      </c>
      <c r="C17" s="44">
        <v>0.25</v>
      </c>
      <c r="D17" s="45">
        <v>8.3333333333333329E-2</v>
      </c>
      <c r="E17" s="45">
        <v>0.20833333333333334</v>
      </c>
      <c r="F17" s="45">
        <v>0.66666666666666663</v>
      </c>
      <c r="G17" s="45">
        <v>8.3333333333333329E-2</v>
      </c>
      <c r="H17" s="45">
        <v>0.54166666666666663</v>
      </c>
      <c r="I17" s="45">
        <v>0.625</v>
      </c>
      <c r="J17" s="45">
        <v>8.3333333333333329E-2</v>
      </c>
      <c r="K17" s="45">
        <v>0.41666666666666669</v>
      </c>
      <c r="L17" s="45">
        <v>0.58333333333333337</v>
      </c>
      <c r="M17" s="45">
        <v>0.33333333333333331</v>
      </c>
      <c r="N17" s="45">
        <v>0.625</v>
      </c>
      <c r="O17" s="45">
        <v>1.0416666666666667</v>
      </c>
      <c r="P17" s="45">
        <v>0.41666666666666669</v>
      </c>
      <c r="Q17" s="45">
        <v>4.1666666666666664E-2</v>
      </c>
      <c r="R17" s="45">
        <v>1.125</v>
      </c>
      <c r="S17" s="45">
        <v>0.625</v>
      </c>
      <c r="T17" s="65">
        <v>4.1666666666666664E-2</v>
      </c>
      <c r="U17" s="7">
        <f t="shared" si="0"/>
        <v>7.7916666666666679</v>
      </c>
      <c r="V17" s="78">
        <v>0.125</v>
      </c>
      <c r="W17" s="45">
        <v>0</v>
      </c>
      <c r="X17" s="45">
        <v>0</v>
      </c>
      <c r="Y17" s="45">
        <v>0</v>
      </c>
      <c r="Z17" s="45">
        <v>2.0833333333333335</v>
      </c>
      <c r="AA17" s="45">
        <v>2.0833333333333335</v>
      </c>
      <c r="AB17" s="45">
        <v>1.0416666666666667</v>
      </c>
      <c r="AC17" s="6">
        <v>1.25</v>
      </c>
      <c r="AD17" s="7">
        <f t="shared" si="1"/>
        <v>6.5833333333333339</v>
      </c>
      <c r="AE17" s="6">
        <v>0</v>
      </c>
      <c r="AF17" s="7">
        <f t="shared" si="2"/>
        <v>0</v>
      </c>
      <c r="AG17" s="7">
        <f t="shared" si="3"/>
        <v>14.375000000000002</v>
      </c>
    </row>
    <row r="18" spans="1:33">
      <c r="A18" s="1" t="s">
        <v>1</v>
      </c>
      <c r="B18" s="13" t="s">
        <v>70</v>
      </c>
      <c r="C18" s="46">
        <v>13</v>
      </c>
      <c r="D18" s="47">
        <v>10</v>
      </c>
      <c r="E18" s="47">
        <v>25</v>
      </c>
      <c r="F18" s="47">
        <v>27</v>
      </c>
      <c r="G18" s="47">
        <v>6</v>
      </c>
      <c r="H18" s="47">
        <v>22</v>
      </c>
      <c r="I18" s="47">
        <v>15</v>
      </c>
      <c r="J18" s="47">
        <v>25</v>
      </c>
      <c r="K18" s="47">
        <v>20.5</v>
      </c>
      <c r="L18" s="47">
        <v>29</v>
      </c>
      <c r="M18" s="47">
        <v>0</v>
      </c>
      <c r="N18" s="47">
        <v>35</v>
      </c>
      <c r="O18" s="47">
        <v>14</v>
      </c>
      <c r="P18" s="47">
        <v>21.5</v>
      </c>
      <c r="Q18" s="47">
        <v>9</v>
      </c>
      <c r="R18" s="47">
        <v>5</v>
      </c>
      <c r="S18" s="47">
        <v>10</v>
      </c>
      <c r="T18" s="66">
        <v>14</v>
      </c>
      <c r="U18" s="15"/>
      <c r="V18" s="79">
        <v>15.5</v>
      </c>
      <c r="W18" s="47">
        <v>35.5</v>
      </c>
      <c r="X18" s="47">
        <v>15</v>
      </c>
      <c r="Y18" s="47">
        <v>18</v>
      </c>
      <c r="Z18" s="47">
        <v>2</v>
      </c>
      <c r="AA18" s="47">
        <v>3</v>
      </c>
      <c r="AB18" s="47">
        <v>4</v>
      </c>
      <c r="AC18" s="14">
        <v>26</v>
      </c>
      <c r="AD18" s="15">
        <f t="shared" si="1"/>
        <v>119</v>
      </c>
      <c r="AE18" s="14">
        <v>34</v>
      </c>
      <c r="AF18" s="15"/>
      <c r="AG18" s="15"/>
    </row>
    <row r="19" spans="1:33">
      <c r="A19" s="1" t="s">
        <v>1</v>
      </c>
      <c r="B19" s="19" t="s">
        <v>71</v>
      </c>
      <c r="C19" s="48">
        <v>177000</v>
      </c>
      <c r="D19" s="49">
        <v>187000</v>
      </c>
      <c r="E19" s="49">
        <v>192000</v>
      </c>
      <c r="F19" s="49">
        <v>192000</v>
      </c>
      <c r="G19" s="49">
        <v>187000</v>
      </c>
      <c r="H19" s="49">
        <v>192000</v>
      </c>
      <c r="I19" s="49">
        <v>177000</v>
      </c>
      <c r="J19" s="49">
        <v>182000</v>
      </c>
      <c r="K19" s="49">
        <v>177000</v>
      </c>
      <c r="L19" s="49">
        <v>187000</v>
      </c>
      <c r="M19" s="49">
        <v>182000</v>
      </c>
      <c r="N19" s="49">
        <v>187000</v>
      </c>
      <c r="O19" s="49">
        <v>177000</v>
      </c>
      <c r="P19" s="49">
        <v>170000</v>
      </c>
      <c r="Q19" s="49">
        <v>170000</v>
      </c>
      <c r="R19" s="49">
        <v>170000</v>
      </c>
      <c r="S19" s="49">
        <v>170000</v>
      </c>
      <c r="T19" s="67">
        <v>170000</v>
      </c>
      <c r="U19" s="21">
        <f t="shared" si="0"/>
        <v>3246000</v>
      </c>
      <c r="V19" s="80">
        <v>365000</v>
      </c>
      <c r="W19" s="49">
        <v>270000</v>
      </c>
      <c r="X19" s="49">
        <v>0</v>
      </c>
      <c r="Y19" s="49">
        <v>0</v>
      </c>
      <c r="Z19" s="49">
        <v>0</v>
      </c>
      <c r="AA19" s="49">
        <v>0</v>
      </c>
      <c r="AB19" s="49">
        <v>0</v>
      </c>
      <c r="AC19" s="20">
        <v>0</v>
      </c>
      <c r="AD19" s="21">
        <f t="shared" si="1"/>
        <v>635000</v>
      </c>
      <c r="AE19" s="20">
        <v>385000</v>
      </c>
      <c r="AF19" s="21">
        <f t="shared" si="2"/>
        <v>385000</v>
      </c>
      <c r="AG19" s="21">
        <f t="shared" si="3"/>
        <v>4266000</v>
      </c>
    </row>
    <row r="20" spans="1:33">
      <c r="A20" s="1" t="s">
        <v>1</v>
      </c>
      <c r="B20" s="25" t="s">
        <v>72</v>
      </c>
      <c r="C20" s="50">
        <v>0</v>
      </c>
      <c r="D20" s="51">
        <v>0</v>
      </c>
      <c r="E20" s="51">
        <v>20000</v>
      </c>
      <c r="F20" s="51">
        <v>20000</v>
      </c>
      <c r="G20" s="51">
        <v>0</v>
      </c>
      <c r="H20" s="51">
        <v>0</v>
      </c>
      <c r="I20" s="51">
        <v>0</v>
      </c>
      <c r="J20" s="51">
        <v>5000</v>
      </c>
      <c r="K20" s="51">
        <v>0</v>
      </c>
      <c r="L20" s="51">
        <v>0</v>
      </c>
      <c r="M20" s="51">
        <v>0</v>
      </c>
      <c r="N20" s="51">
        <v>0</v>
      </c>
      <c r="O20" s="51">
        <v>5000</v>
      </c>
      <c r="P20" s="51">
        <v>0</v>
      </c>
      <c r="Q20" s="51">
        <v>0</v>
      </c>
      <c r="R20" s="51">
        <v>0</v>
      </c>
      <c r="S20" s="51">
        <v>0</v>
      </c>
      <c r="T20" s="68">
        <v>0</v>
      </c>
      <c r="U20" s="31">
        <f t="shared" si="0"/>
        <v>50000</v>
      </c>
      <c r="V20" s="8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30">
        <v>0</v>
      </c>
      <c r="AD20" s="31">
        <f t="shared" si="1"/>
        <v>0</v>
      </c>
      <c r="AE20" s="30">
        <v>0</v>
      </c>
      <c r="AF20" s="31">
        <f t="shared" si="2"/>
        <v>0</v>
      </c>
      <c r="AG20" s="31">
        <f t="shared" si="3"/>
        <v>50000</v>
      </c>
    </row>
    <row r="21" spans="1:33">
      <c r="A21" s="1" t="s">
        <v>1</v>
      </c>
      <c r="B21" s="25" t="s">
        <v>73</v>
      </c>
      <c r="C21" s="50">
        <v>0</v>
      </c>
      <c r="D21" s="51">
        <v>0</v>
      </c>
      <c r="E21" s="51">
        <v>3000</v>
      </c>
      <c r="F21" s="51">
        <v>0</v>
      </c>
      <c r="G21" s="51">
        <v>3000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68">
        <v>0</v>
      </c>
      <c r="U21" s="31">
        <f t="shared" si="0"/>
        <v>6000</v>
      </c>
      <c r="V21" s="81">
        <v>0</v>
      </c>
      <c r="W21" s="51">
        <v>3000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30">
        <v>0</v>
      </c>
      <c r="AD21" s="31">
        <f t="shared" si="1"/>
        <v>3000</v>
      </c>
      <c r="AE21" s="30">
        <v>0</v>
      </c>
      <c r="AF21" s="31">
        <f t="shared" si="2"/>
        <v>0</v>
      </c>
      <c r="AG21" s="31">
        <f t="shared" si="3"/>
        <v>9000</v>
      </c>
    </row>
    <row r="22" spans="1:33">
      <c r="A22" s="1" t="s">
        <v>1</v>
      </c>
      <c r="B22" s="25" t="s">
        <v>74</v>
      </c>
      <c r="C22" s="50">
        <v>0</v>
      </c>
      <c r="D22" s="51">
        <v>5730</v>
      </c>
      <c r="E22" s="51">
        <v>0</v>
      </c>
      <c r="F22" s="51">
        <v>20113</v>
      </c>
      <c r="G22" s="51">
        <v>0</v>
      </c>
      <c r="H22" s="51">
        <v>18772</v>
      </c>
      <c r="I22" s="51">
        <v>4341</v>
      </c>
      <c r="J22" s="51">
        <v>0</v>
      </c>
      <c r="K22" s="51">
        <v>5427</v>
      </c>
      <c r="L22" s="51">
        <v>0</v>
      </c>
      <c r="M22" s="51">
        <v>0</v>
      </c>
      <c r="N22" s="51">
        <v>0</v>
      </c>
      <c r="O22" s="51">
        <v>9236</v>
      </c>
      <c r="P22" s="51">
        <v>52434</v>
      </c>
      <c r="Q22" s="51">
        <v>61016</v>
      </c>
      <c r="R22" s="51">
        <v>0</v>
      </c>
      <c r="S22" s="51">
        <v>0</v>
      </c>
      <c r="T22" s="68">
        <v>60666</v>
      </c>
      <c r="U22" s="31">
        <f t="shared" si="0"/>
        <v>237735</v>
      </c>
      <c r="V22" s="8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30">
        <v>0</v>
      </c>
      <c r="AD22" s="31">
        <f t="shared" si="1"/>
        <v>0</v>
      </c>
      <c r="AE22" s="30">
        <v>0</v>
      </c>
      <c r="AF22" s="31">
        <f t="shared" si="2"/>
        <v>0</v>
      </c>
      <c r="AG22" s="31">
        <f t="shared" si="3"/>
        <v>237735</v>
      </c>
    </row>
    <row r="23" spans="1:33">
      <c r="A23" s="1" t="s">
        <v>1</v>
      </c>
      <c r="B23" s="25" t="s">
        <v>75</v>
      </c>
      <c r="C23" s="50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68">
        <v>0</v>
      </c>
      <c r="U23" s="31">
        <f t="shared" si="0"/>
        <v>0</v>
      </c>
      <c r="V23" s="81">
        <v>0</v>
      </c>
      <c r="W23" s="51">
        <v>0</v>
      </c>
      <c r="X23" s="51">
        <v>64680</v>
      </c>
      <c r="Y23" s="51">
        <v>97000</v>
      </c>
      <c r="Z23" s="51">
        <v>65320</v>
      </c>
      <c r="AA23" s="51">
        <v>64400</v>
      </c>
      <c r="AB23" s="51">
        <v>61640</v>
      </c>
      <c r="AC23" s="30">
        <v>80960</v>
      </c>
      <c r="AD23" s="31">
        <f t="shared" si="1"/>
        <v>434000</v>
      </c>
      <c r="AE23" s="30">
        <v>0</v>
      </c>
      <c r="AF23" s="31">
        <f t="shared" si="2"/>
        <v>0</v>
      </c>
      <c r="AG23" s="31">
        <f t="shared" si="3"/>
        <v>434000</v>
      </c>
    </row>
    <row r="24" spans="1:33">
      <c r="A24" s="1" t="s">
        <v>1</v>
      </c>
      <c r="B24" s="25" t="s">
        <v>76</v>
      </c>
      <c r="C24" s="50">
        <v>3500</v>
      </c>
      <c r="D24" s="51">
        <v>1000</v>
      </c>
      <c r="E24" s="51">
        <v>3500</v>
      </c>
      <c r="F24" s="51">
        <v>3500</v>
      </c>
      <c r="G24" s="51">
        <v>1000</v>
      </c>
      <c r="H24" s="51">
        <v>3500</v>
      </c>
      <c r="I24" s="51">
        <v>3500</v>
      </c>
      <c r="J24" s="51">
        <v>3500</v>
      </c>
      <c r="K24" s="51">
        <v>3500</v>
      </c>
      <c r="L24" s="51">
        <v>3500</v>
      </c>
      <c r="M24" s="51">
        <v>3500</v>
      </c>
      <c r="N24" s="51">
        <v>3500</v>
      </c>
      <c r="O24" s="51">
        <v>3500</v>
      </c>
      <c r="P24" s="51">
        <v>3500</v>
      </c>
      <c r="Q24" s="51">
        <v>1000</v>
      </c>
      <c r="R24" s="51">
        <v>0</v>
      </c>
      <c r="S24" s="51">
        <v>1000</v>
      </c>
      <c r="T24" s="68">
        <v>1000</v>
      </c>
      <c r="U24" s="31">
        <f t="shared" si="0"/>
        <v>47000</v>
      </c>
      <c r="V24" s="8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30">
        <v>0</v>
      </c>
      <c r="AD24" s="31">
        <f t="shared" si="1"/>
        <v>0</v>
      </c>
      <c r="AE24" s="30">
        <v>0</v>
      </c>
      <c r="AF24" s="31">
        <f t="shared" si="2"/>
        <v>0</v>
      </c>
      <c r="AG24" s="31">
        <f t="shared" si="3"/>
        <v>47000</v>
      </c>
    </row>
    <row r="25" spans="1:33">
      <c r="A25" s="1" t="s">
        <v>1</v>
      </c>
      <c r="B25" s="25" t="s">
        <v>77</v>
      </c>
      <c r="C25" s="50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68">
        <v>0</v>
      </c>
      <c r="U25" s="31">
        <f t="shared" si="0"/>
        <v>0</v>
      </c>
      <c r="V25" s="81">
        <v>0</v>
      </c>
      <c r="W25" s="51">
        <v>0</v>
      </c>
      <c r="X25" s="51">
        <v>17640</v>
      </c>
      <c r="Y25" s="51">
        <v>7000</v>
      </c>
      <c r="Z25" s="51">
        <v>12880</v>
      </c>
      <c r="AA25" s="51">
        <v>6440</v>
      </c>
      <c r="AB25" s="51">
        <v>0</v>
      </c>
      <c r="AC25" s="30">
        <v>0</v>
      </c>
      <c r="AD25" s="31">
        <f t="shared" si="1"/>
        <v>43960</v>
      </c>
      <c r="AE25" s="30">
        <v>0</v>
      </c>
      <c r="AF25" s="31">
        <f t="shared" si="2"/>
        <v>0</v>
      </c>
      <c r="AG25" s="31">
        <f t="shared" si="3"/>
        <v>43960</v>
      </c>
    </row>
    <row r="26" spans="1:33">
      <c r="A26" s="1" t="s">
        <v>1</v>
      </c>
      <c r="B26" s="25" t="s">
        <v>78</v>
      </c>
      <c r="C26" s="50">
        <v>0</v>
      </c>
      <c r="D26" s="51">
        <v>0</v>
      </c>
      <c r="E26" s="51">
        <v>6020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68">
        <v>0</v>
      </c>
      <c r="U26" s="31">
        <f t="shared" si="0"/>
        <v>6020</v>
      </c>
      <c r="V26" s="8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30">
        <v>0</v>
      </c>
      <c r="AD26" s="31">
        <f t="shared" si="1"/>
        <v>0</v>
      </c>
      <c r="AE26" s="30">
        <v>0</v>
      </c>
      <c r="AF26" s="31">
        <f t="shared" si="2"/>
        <v>0</v>
      </c>
      <c r="AG26" s="31">
        <f t="shared" si="3"/>
        <v>6020</v>
      </c>
    </row>
    <row r="27" spans="1:33">
      <c r="A27" s="1" t="s">
        <v>1</v>
      </c>
      <c r="B27" s="25" t="s">
        <v>63</v>
      </c>
      <c r="C27" s="50">
        <v>27020</v>
      </c>
      <c r="D27" s="51">
        <v>32384</v>
      </c>
      <c r="E27" s="51">
        <v>22890</v>
      </c>
      <c r="F27" s="51">
        <v>56455</v>
      </c>
      <c r="G27" s="51">
        <v>11440</v>
      </c>
      <c r="H27" s="51">
        <v>80520</v>
      </c>
      <c r="I27" s="51">
        <v>66199</v>
      </c>
      <c r="J27" s="51">
        <v>42780</v>
      </c>
      <c r="K27" s="51">
        <v>56742</v>
      </c>
      <c r="L27" s="51">
        <v>47058</v>
      </c>
      <c r="M27" s="51">
        <v>16668</v>
      </c>
      <c r="N27" s="51">
        <v>32798</v>
      </c>
      <c r="O27" s="51">
        <v>81951</v>
      </c>
      <c r="P27" s="51">
        <v>19485</v>
      </c>
      <c r="Q27" s="51">
        <v>39680</v>
      </c>
      <c r="R27" s="51">
        <v>70015</v>
      </c>
      <c r="S27" s="51">
        <v>57600</v>
      </c>
      <c r="T27" s="68">
        <v>14080</v>
      </c>
      <c r="U27" s="31">
        <f t="shared" si="0"/>
        <v>775765</v>
      </c>
      <c r="V27" s="81">
        <v>0</v>
      </c>
      <c r="W27" s="51">
        <v>40880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30">
        <v>0</v>
      </c>
      <c r="AD27" s="31">
        <f t="shared" si="1"/>
        <v>40880</v>
      </c>
      <c r="AE27" s="30">
        <v>0</v>
      </c>
      <c r="AF27" s="31">
        <f t="shared" si="2"/>
        <v>0</v>
      </c>
      <c r="AG27" s="31">
        <f t="shared" si="3"/>
        <v>816645</v>
      </c>
    </row>
    <row r="28" spans="1:33">
      <c r="A28" s="1" t="s">
        <v>1</v>
      </c>
      <c r="B28" s="25" t="s">
        <v>79</v>
      </c>
      <c r="C28" s="50">
        <v>46688</v>
      </c>
      <c r="D28" s="51">
        <v>45600</v>
      </c>
      <c r="E28" s="51">
        <v>33554</v>
      </c>
      <c r="F28" s="51">
        <v>6968</v>
      </c>
      <c r="G28" s="51">
        <v>12352</v>
      </c>
      <c r="H28" s="51">
        <v>31620</v>
      </c>
      <c r="I28" s="51">
        <v>33557</v>
      </c>
      <c r="J28" s="51">
        <v>21560</v>
      </c>
      <c r="K28" s="51">
        <v>36475</v>
      </c>
      <c r="L28" s="51">
        <v>53900</v>
      </c>
      <c r="M28" s="51">
        <v>28500</v>
      </c>
      <c r="N28" s="51">
        <v>20020</v>
      </c>
      <c r="O28" s="51">
        <v>22500</v>
      </c>
      <c r="P28" s="51">
        <v>0</v>
      </c>
      <c r="Q28" s="51">
        <v>0</v>
      </c>
      <c r="R28" s="51">
        <v>0</v>
      </c>
      <c r="S28" s="51">
        <v>30404</v>
      </c>
      <c r="T28" s="68">
        <v>20730</v>
      </c>
      <c r="U28" s="31">
        <f t="shared" si="0"/>
        <v>444428</v>
      </c>
      <c r="V28" s="81">
        <v>0</v>
      </c>
      <c r="W28" s="51">
        <v>22070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30">
        <v>0</v>
      </c>
      <c r="AD28" s="31">
        <f t="shared" si="1"/>
        <v>22070</v>
      </c>
      <c r="AE28" s="30">
        <v>0</v>
      </c>
      <c r="AF28" s="31">
        <f t="shared" si="2"/>
        <v>0</v>
      </c>
      <c r="AG28" s="31">
        <f t="shared" si="3"/>
        <v>466498</v>
      </c>
    </row>
    <row r="29" spans="1:33">
      <c r="A29" s="1" t="s">
        <v>1</v>
      </c>
      <c r="B29" s="25" t="s">
        <v>80</v>
      </c>
      <c r="C29" s="50">
        <v>24803</v>
      </c>
      <c r="D29" s="51">
        <v>24320</v>
      </c>
      <c r="E29" s="51">
        <v>0</v>
      </c>
      <c r="F29" s="51">
        <v>15678</v>
      </c>
      <c r="G29" s="51">
        <v>0</v>
      </c>
      <c r="H29" s="51">
        <v>0</v>
      </c>
      <c r="I29" s="51">
        <v>14590</v>
      </c>
      <c r="J29" s="51">
        <v>0</v>
      </c>
      <c r="K29" s="51">
        <v>21885</v>
      </c>
      <c r="L29" s="51">
        <v>24640</v>
      </c>
      <c r="M29" s="51">
        <v>0</v>
      </c>
      <c r="N29" s="51">
        <v>0</v>
      </c>
      <c r="O29" s="51">
        <v>27000</v>
      </c>
      <c r="P29" s="51">
        <v>0</v>
      </c>
      <c r="Q29" s="51">
        <v>0</v>
      </c>
      <c r="R29" s="51">
        <v>0</v>
      </c>
      <c r="S29" s="51">
        <v>20730</v>
      </c>
      <c r="T29" s="68">
        <v>6910</v>
      </c>
      <c r="U29" s="31">
        <f t="shared" si="0"/>
        <v>180556</v>
      </c>
      <c r="V29" s="8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30">
        <v>0</v>
      </c>
      <c r="AD29" s="31">
        <f t="shared" si="1"/>
        <v>0</v>
      </c>
      <c r="AE29" s="30">
        <v>0</v>
      </c>
      <c r="AF29" s="31">
        <f t="shared" si="2"/>
        <v>0</v>
      </c>
      <c r="AG29" s="31">
        <f t="shared" si="3"/>
        <v>180556</v>
      </c>
    </row>
    <row r="30" spans="1:33">
      <c r="A30" s="1" t="s">
        <v>1</v>
      </c>
      <c r="B30" s="25" t="s">
        <v>81</v>
      </c>
      <c r="C30" s="50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1820</v>
      </c>
      <c r="Q30" s="51">
        <v>1432</v>
      </c>
      <c r="R30" s="51">
        <v>4272</v>
      </c>
      <c r="S30" s="51">
        <v>0</v>
      </c>
      <c r="T30" s="68">
        <v>0</v>
      </c>
      <c r="U30" s="31">
        <f t="shared" si="0"/>
        <v>7524</v>
      </c>
      <c r="V30" s="8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30">
        <v>0</v>
      </c>
      <c r="AD30" s="31">
        <f t="shared" si="1"/>
        <v>0</v>
      </c>
      <c r="AE30" s="30">
        <v>0</v>
      </c>
      <c r="AF30" s="31">
        <f t="shared" si="2"/>
        <v>0</v>
      </c>
      <c r="AG30" s="31">
        <f t="shared" si="3"/>
        <v>7524</v>
      </c>
    </row>
    <row r="31" spans="1:33">
      <c r="A31" s="1" t="s">
        <v>1</v>
      </c>
      <c r="B31" s="25" t="s">
        <v>67</v>
      </c>
      <c r="C31" s="50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556</v>
      </c>
      <c r="P31" s="51">
        <v>0</v>
      </c>
      <c r="Q31" s="51">
        <v>0</v>
      </c>
      <c r="R31" s="51">
        <v>0</v>
      </c>
      <c r="S31" s="51">
        <v>0</v>
      </c>
      <c r="T31" s="68">
        <v>0</v>
      </c>
      <c r="U31" s="31">
        <f t="shared" si="0"/>
        <v>556</v>
      </c>
      <c r="V31" s="8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30">
        <v>0</v>
      </c>
      <c r="AD31" s="31">
        <f t="shared" si="1"/>
        <v>0</v>
      </c>
      <c r="AE31" s="30">
        <v>0</v>
      </c>
      <c r="AF31" s="31">
        <f t="shared" si="2"/>
        <v>0</v>
      </c>
      <c r="AG31" s="31">
        <f t="shared" si="3"/>
        <v>556</v>
      </c>
    </row>
    <row r="32" spans="1:33">
      <c r="A32" s="1" t="s">
        <v>1</v>
      </c>
      <c r="B32" s="5" t="s">
        <v>69</v>
      </c>
      <c r="C32" s="52">
        <v>1620</v>
      </c>
      <c r="D32" s="53">
        <v>564</v>
      </c>
      <c r="E32" s="53">
        <v>1635</v>
      </c>
      <c r="F32" s="53">
        <v>5168</v>
      </c>
      <c r="G32" s="53">
        <v>572</v>
      </c>
      <c r="H32" s="53">
        <v>3809</v>
      </c>
      <c r="I32" s="53">
        <v>4050</v>
      </c>
      <c r="J32" s="53">
        <v>570</v>
      </c>
      <c r="K32" s="53">
        <v>2700</v>
      </c>
      <c r="L32" s="53">
        <v>3990</v>
      </c>
      <c r="M32" s="53">
        <v>2224</v>
      </c>
      <c r="N32" s="53">
        <v>4275</v>
      </c>
      <c r="O32" s="53">
        <v>6950</v>
      </c>
      <c r="P32" s="53">
        <v>2600</v>
      </c>
      <c r="Q32" s="53">
        <v>256</v>
      </c>
      <c r="R32" s="53">
        <v>6885</v>
      </c>
      <c r="S32" s="53">
        <v>3840</v>
      </c>
      <c r="T32" s="69">
        <v>256</v>
      </c>
      <c r="U32" s="9">
        <f t="shared" si="0"/>
        <v>51964</v>
      </c>
      <c r="V32" s="82">
        <v>1641</v>
      </c>
      <c r="W32" s="53">
        <v>0</v>
      </c>
      <c r="X32" s="53">
        <v>0</v>
      </c>
      <c r="Y32" s="53">
        <v>0</v>
      </c>
      <c r="Z32" s="53">
        <v>11500</v>
      </c>
      <c r="AA32" s="53">
        <v>11500</v>
      </c>
      <c r="AB32" s="53">
        <v>5750</v>
      </c>
      <c r="AC32" s="8">
        <v>6900</v>
      </c>
      <c r="AD32" s="9">
        <f t="shared" si="1"/>
        <v>37291</v>
      </c>
      <c r="AE32" s="8">
        <v>0</v>
      </c>
      <c r="AF32" s="9">
        <f t="shared" si="2"/>
        <v>0</v>
      </c>
      <c r="AG32" s="9">
        <f t="shared" si="3"/>
        <v>89255</v>
      </c>
    </row>
    <row r="33" spans="1:33">
      <c r="A33" s="1" t="s">
        <v>1</v>
      </c>
      <c r="B33" s="13" t="s">
        <v>82</v>
      </c>
      <c r="C33" s="54">
        <v>280631</v>
      </c>
      <c r="D33" s="55">
        <v>296598</v>
      </c>
      <c r="E33" s="55">
        <v>282599</v>
      </c>
      <c r="F33" s="55">
        <v>319882</v>
      </c>
      <c r="G33" s="55">
        <v>215364</v>
      </c>
      <c r="H33" s="55">
        <v>330221</v>
      </c>
      <c r="I33" s="55">
        <v>303237</v>
      </c>
      <c r="J33" s="55">
        <v>255410</v>
      </c>
      <c r="K33" s="55">
        <v>303729</v>
      </c>
      <c r="L33" s="55">
        <v>320088</v>
      </c>
      <c r="M33" s="55">
        <v>232892</v>
      </c>
      <c r="N33" s="55">
        <v>247593</v>
      </c>
      <c r="O33" s="55">
        <v>333693</v>
      </c>
      <c r="P33" s="55">
        <v>249839</v>
      </c>
      <c r="Q33" s="55">
        <v>273384</v>
      </c>
      <c r="R33" s="55">
        <v>251172</v>
      </c>
      <c r="S33" s="55">
        <v>283574</v>
      </c>
      <c r="T33" s="70">
        <v>273642</v>
      </c>
      <c r="U33" s="18">
        <f t="shared" si="0"/>
        <v>5053548</v>
      </c>
      <c r="V33" s="83">
        <v>366641</v>
      </c>
      <c r="W33" s="55">
        <v>335950</v>
      </c>
      <c r="X33" s="55">
        <v>82320</v>
      </c>
      <c r="Y33" s="55">
        <v>104000</v>
      </c>
      <c r="Z33" s="55">
        <v>89700</v>
      </c>
      <c r="AA33" s="55">
        <v>82340</v>
      </c>
      <c r="AB33" s="55">
        <v>67390</v>
      </c>
      <c r="AC33" s="17">
        <v>87860</v>
      </c>
      <c r="AD33" s="18">
        <f t="shared" si="1"/>
        <v>1216201</v>
      </c>
      <c r="AE33" s="17">
        <v>385000</v>
      </c>
      <c r="AF33" s="18">
        <f t="shared" si="2"/>
        <v>385000</v>
      </c>
      <c r="AG33" s="18">
        <f t="shared" si="3"/>
        <v>6654749</v>
      </c>
    </row>
    <row r="34" spans="1:33">
      <c r="A34" s="1" t="s">
        <v>1</v>
      </c>
      <c r="B34" s="19" t="s">
        <v>83</v>
      </c>
      <c r="C34" s="48">
        <v>13493</v>
      </c>
      <c r="D34" s="49">
        <v>3508</v>
      </c>
      <c r="E34" s="49">
        <v>4858</v>
      </c>
      <c r="F34" s="49">
        <v>2699</v>
      </c>
      <c r="G34" s="49">
        <v>4345</v>
      </c>
      <c r="H34" s="49">
        <v>2375</v>
      </c>
      <c r="I34" s="49">
        <v>2483</v>
      </c>
      <c r="J34" s="49">
        <v>1080</v>
      </c>
      <c r="K34" s="49">
        <v>3239</v>
      </c>
      <c r="L34" s="49">
        <v>5182</v>
      </c>
      <c r="M34" s="49">
        <v>3589</v>
      </c>
      <c r="N34" s="49">
        <v>7124</v>
      </c>
      <c r="O34" s="49">
        <v>6207</v>
      </c>
      <c r="P34" s="49">
        <v>8717</v>
      </c>
      <c r="Q34" s="49">
        <v>7124</v>
      </c>
      <c r="R34" s="49">
        <v>8905</v>
      </c>
      <c r="S34" s="49">
        <v>9472</v>
      </c>
      <c r="T34" s="67">
        <v>2483</v>
      </c>
      <c r="U34" s="21">
        <f t="shared" si="0"/>
        <v>96883</v>
      </c>
      <c r="V34" s="80">
        <v>3724</v>
      </c>
      <c r="W34" s="49">
        <v>5586</v>
      </c>
      <c r="X34" s="49">
        <v>2591</v>
      </c>
      <c r="Y34" s="49">
        <v>2294</v>
      </c>
      <c r="Z34" s="49">
        <v>3239</v>
      </c>
      <c r="AA34" s="49">
        <v>4318</v>
      </c>
      <c r="AB34" s="49">
        <v>3158</v>
      </c>
      <c r="AC34" s="20">
        <v>7178</v>
      </c>
      <c r="AD34" s="21">
        <f t="shared" si="1"/>
        <v>32088</v>
      </c>
      <c r="AE34" s="20">
        <v>7367</v>
      </c>
      <c r="AF34" s="21">
        <f t="shared" si="2"/>
        <v>7367</v>
      </c>
      <c r="AG34" s="21">
        <f t="shared" si="3"/>
        <v>136338</v>
      </c>
    </row>
    <row r="35" spans="1:33">
      <c r="A35" s="1" t="s">
        <v>1</v>
      </c>
      <c r="B35" s="5" t="s">
        <v>84</v>
      </c>
      <c r="C35" s="52">
        <v>13493</v>
      </c>
      <c r="D35" s="53">
        <v>3508</v>
      </c>
      <c r="E35" s="53">
        <v>4858</v>
      </c>
      <c r="F35" s="53">
        <v>2699</v>
      </c>
      <c r="G35" s="53">
        <v>4345</v>
      </c>
      <c r="H35" s="53">
        <v>2375</v>
      </c>
      <c r="I35" s="53">
        <v>2483</v>
      </c>
      <c r="J35" s="53">
        <v>1080</v>
      </c>
      <c r="K35" s="53">
        <v>3239</v>
      </c>
      <c r="L35" s="53">
        <v>5182</v>
      </c>
      <c r="M35" s="53">
        <v>3589</v>
      </c>
      <c r="N35" s="53">
        <v>7124</v>
      </c>
      <c r="O35" s="53">
        <v>6207</v>
      </c>
      <c r="P35" s="53">
        <v>8717</v>
      </c>
      <c r="Q35" s="53">
        <v>7124</v>
      </c>
      <c r="R35" s="53">
        <v>8905</v>
      </c>
      <c r="S35" s="53">
        <v>9472</v>
      </c>
      <c r="T35" s="69">
        <v>2483</v>
      </c>
      <c r="U35" s="9">
        <f t="shared" si="0"/>
        <v>96883</v>
      </c>
      <c r="V35" s="82">
        <v>3724</v>
      </c>
      <c r="W35" s="53">
        <v>5586</v>
      </c>
      <c r="X35" s="53">
        <v>2591</v>
      </c>
      <c r="Y35" s="53">
        <v>2294</v>
      </c>
      <c r="Z35" s="53">
        <v>3239</v>
      </c>
      <c r="AA35" s="53">
        <v>4318</v>
      </c>
      <c r="AB35" s="53">
        <v>3158</v>
      </c>
      <c r="AC35" s="8">
        <v>7178</v>
      </c>
      <c r="AD35" s="9">
        <f t="shared" si="1"/>
        <v>32088</v>
      </c>
      <c r="AE35" s="8">
        <v>7367</v>
      </c>
      <c r="AF35" s="9">
        <f t="shared" si="2"/>
        <v>7367</v>
      </c>
      <c r="AG35" s="9">
        <f t="shared" si="3"/>
        <v>136338</v>
      </c>
    </row>
    <row r="36" spans="1:33">
      <c r="A36" s="1" t="s">
        <v>1</v>
      </c>
      <c r="B36" s="13" t="s">
        <v>85</v>
      </c>
      <c r="C36" s="54">
        <v>294124</v>
      </c>
      <c r="D36" s="55">
        <v>300106</v>
      </c>
      <c r="E36" s="55">
        <v>287457</v>
      </c>
      <c r="F36" s="55">
        <v>322581</v>
      </c>
      <c r="G36" s="55">
        <v>219709</v>
      </c>
      <c r="H36" s="55">
        <v>332596</v>
      </c>
      <c r="I36" s="55">
        <v>305720</v>
      </c>
      <c r="J36" s="55">
        <v>256490</v>
      </c>
      <c r="K36" s="55">
        <v>306968</v>
      </c>
      <c r="L36" s="55">
        <v>325270</v>
      </c>
      <c r="M36" s="55">
        <v>236481</v>
      </c>
      <c r="N36" s="55">
        <v>254717</v>
      </c>
      <c r="O36" s="55">
        <v>339900</v>
      </c>
      <c r="P36" s="55">
        <v>258556</v>
      </c>
      <c r="Q36" s="55">
        <v>280508</v>
      </c>
      <c r="R36" s="55">
        <v>260077</v>
      </c>
      <c r="S36" s="55">
        <v>293046</v>
      </c>
      <c r="T36" s="70">
        <v>276125</v>
      </c>
      <c r="U36" s="18">
        <f t="shared" si="0"/>
        <v>5150431</v>
      </c>
      <c r="V36" s="83">
        <v>370365</v>
      </c>
      <c r="W36" s="55">
        <v>341536</v>
      </c>
      <c r="X36" s="55">
        <v>84911</v>
      </c>
      <c r="Y36" s="55">
        <v>106294</v>
      </c>
      <c r="Z36" s="55">
        <v>92939</v>
      </c>
      <c r="AA36" s="55">
        <v>86658</v>
      </c>
      <c r="AB36" s="55">
        <v>70548</v>
      </c>
      <c r="AC36" s="17">
        <v>95038</v>
      </c>
      <c r="AD36" s="18">
        <f t="shared" si="1"/>
        <v>1248289</v>
      </c>
      <c r="AE36" s="17">
        <v>392367</v>
      </c>
      <c r="AF36" s="18">
        <f t="shared" si="2"/>
        <v>392367</v>
      </c>
      <c r="AG36" s="18">
        <f t="shared" si="3"/>
        <v>6791087</v>
      </c>
    </row>
    <row r="37" spans="1:33">
      <c r="A37" s="1" t="s">
        <v>1</v>
      </c>
      <c r="B37" s="19" t="s">
        <v>86</v>
      </c>
      <c r="C37" s="48">
        <v>15300</v>
      </c>
      <c r="D37" s="49">
        <v>16320</v>
      </c>
      <c r="E37" s="49">
        <v>19380</v>
      </c>
      <c r="F37" s="49">
        <v>20910</v>
      </c>
      <c r="G37" s="49">
        <v>17340</v>
      </c>
      <c r="H37" s="49">
        <v>19380</v>
      </c>
      <c r="I37" s="49">
        <v>16320</v>
      </c>
      <c r="J37" s="49">
        <v>16320</v>
      </c>
      <c r="K37" s="49">
        <v>16320</v>
      </c>
      <c r="L37" s="49">
        <v>18360</v>
      </c>
      <c r="M37" s="49">
        <v>16320</v>
      </c>
      <c r="N37" s="49">
        <v>16320</v>
      </c>
      <c r="O37" s="49">
        <v>17340</v>
      </c>
      <c r="P37" s="49">
        <v>14280</v>
      </c>
      <c r="Q37" s="49">
        <v>14280</v>
      </c>
      <c r="R37" s="49">
        <v>16320</v>
      </c>
      <c r="S37" s="49">
        <v>14280</v>
      </c>
      <c r="T37" s="67">
        <v>15300</v>
      </c>
      <c r="U37" s="21">
        <f t="shared" si="0"/>
        <v>300390</v>
      </c>
      <c r="V37" s="80">
        <v>18360</v>
      </c>
      <c r="W37" s="49">
        <v>19380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20">
        <v>0</v>
      </c>
      <c r="AD37" s="21">
        <f t="shared" si="1"/>
        <v>37740</v>
      </c>
      <c r="AE37" s="20">
        <v>19380</v>
      </c>
      <c r="AF37" s="21">
        <f t="shared" si="2"/>
        <v>19380</v>
      </c>
      <c r="AG37" s="21">
        <f t="shared" si="3"/>
        <v>357510</v>
      </c>
    </row>
    <row r="38" spans="1:33">
      <c r="A38" s="1" t="s">
        <v>1</v>
      </c>
      <c r="B38" s="25" t="s">
        <v>87</v>
      </c>
      <c r="C38" s="50">
        <v>2700</v>
      </c>
      <c r="D38" s="51">
        <v>2880</v>
      </c>
      <c r="E38" s="51">
        <v>3420</v>
      </c>
      <c r="F38" s="51">
        <v>3690</v>
      </c>
      <c r="G38" s="51">
        <v>0</v>
      </c>
      <c r="H38" s="51">
        <v>3420</v>
      </c>
      <c r="I38" s="51">
        <v>2880</v>
      </c>
      <c r="J38" s="51">
        <v>2880</v>
      </c>
      <c r="K38" s="51">
        <v>2880</v>
      </c>
      <c r="L38" s="51">
        <v>3240</v>
      </c>
      <c r="M38" s="51">
        <v>2880</v>
      </c>
      <c r="N38" s="51">
        <v>2880</v>
      </c>
      <c r="O38" s="51">
        <v>3060</v>
      </c>
      <c r="P38" s="51">
        <v>2520</v>
      </c>
      <c r="Q38" s="51">
        <v>2520</v>
      </c>
      <c r="R38" s="51">
        <v>2880</v>
      </c>
      <c r="S38" s="51">
        <v>2520</v>
      </c>
      <c r="T38" s="68">
        <v>2700</v>
      </c>
      <c r="U38" s="31">
        <f t="shared" si="0"/>
        <v>49950</v>
      </c>
      <c r="V38" s="81">
        <v>3240</v>
      </c>
      <c r="W38" s="51">
        <v>3420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30">
        <v>0</v>
      </c>
      <c r="AD38" s="31">
        <f t="shared" si="1"/>
        <v>6660</v>
      </c>
      <c r="AE38" s="30">
        <v>3420</v>
      </c>
      <c r="AF38" s="31">
        <f t="shared" si="2"/>
        <v>3420</v>
      </c>
      <c r="AG38" s="31">
        <f t="shared" si="3"/>
        <v>60030</v>
      </c>
    </row>
    <row r="39" spans="1:33">
      <c r="A39" s="1" t="s">
        <v>1</v>
      </c>
      <c r="B39" s="25" t="s">
        <v>88</v>
      </c>
      <c r="C39" s="50">
        <v>27450</v>
      </c>
      <c r="D39" s="51">
        <v>29280</v>
      </c>
      <c r="E39" s="51">
        <v>34770</v>
      </c>
      <c r="F39" s="51">
        <v>37515</v>
      </c>
      <c r="G39" s="51">
        <v>31110</v>
      </c>
      <c r="H39" s="51">
        <v>34770</v>
      </c>
      <c r="I39" s="51">
        <v>29280</v>
      </c>
      <c r="J39" s="51">
        <v>29280</v>
      </c>
      <c r="K39" s="51">
        <v>29280</v>
      </c>
      <c r="L39" s="51">
        <v>32940</v>
      </c>
      <c r="M39" s="51">
        <v>29280</v>
      </c>
      <c r="N39" s="51">
        <v>29280</v>
      </c>
      <c r="O39" s="51">
        <v>31110</v>
      </c>
      <c r="P39" s="51">
        <v>25620</v>
      </c>
      <c r="Q39" s="51">
        <v>25620</v>
      </c>
      <c r="R39" s="51">
        <v>29280</v>
      </c>
      <c r="S39" s="51">
        <v>25620</v>
      </c>
      <c r="T39" s="68">
        <v>27450</v>
      </c>
      <c r="U39" s="31">
        <f t="shared" si="0"/>
        <v>538935</v>
      </c>
      <c r="V39" s="81">
        <v>32940</v>
      </c>
      <c r="W39" s="51">
        <v>34770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30">
        <v>0</v>
      </c>
      <c r="AD39" s="31">
        <f t="shared" si="1"/>
        <v>67710</v>
      </c>
      <c r="AE39" s="30">
        <v>34770</v>
      </c>
      <c r="AF39" s="31">
        <f t="shared" si="2"/>
        <v>34770</v>
      </c>
      <c r="AG39" s="31">
        <f t="shared" si="3"/>
        <v>641415</v>
      </c>
    </row>
    <row r="40" spans="1:33">
      <c r="A40" s="1" t="s">
        <v>1</v>
      </c>
      <c r="B40" s="5" t="s">
        <v>89</v>
      </c>
      <c r="C40" s="52">
        <v>1765</v>
      </c>
      <c r="D40" s="53">
        <v>1801</v>
      </c>
      <c r="E40" s="53">
        <v>1725</v>
      </c>
      <c r="F40" s="53">
        <v>1935</v>
      </c>
      <c r="G40" s="53">
        <v>1318</v>
      </c>
      <c r="H40" s="53">
        <v>1996</v>
      </c>
      <c r="I40" s="53">
        <v>1834</v>
      </c>
      <c r="J40" s="53">
        <v>1539</v>
      </c>
      <c r="K40" s="53">
        <v>1842</v>
      </c>
      <c r="L40" s="53">
        <v>1952</v>
      </c>
      <c r="M40" s="53">
        <v>1419</v>
      </c>
      <c r="N40" s="53">
        <v>1528</v>
      </c>
      <c r="O40" s="53">
        <v>2039</v>
      </c>
      <c r="P40" s="53">
        <v>1551</v>
      </c>
      <c r="Q40" s="53">
        <v>1683</v>
      </c>
      <c r="R40" s="53">
        <v>1560</v>
      </c>
      <c r="S40" s="53">
        <v>1758</v>
      </c>
      <c r="T40" s="69">
        <v>1657</v>
      </c>
      <c r="U40" s="9">
        <f t="shared" si="0"/>
        <v>30902</v>
      </c>
      <c r="V40" s="82">
        <v>2222</v>
      </c>
      <c r="W40" s="53">
        <v>2049</v>
      </c>
      <c r="X40" s="53">
        <v>509</v>
      </c>
      <c r="Y40" s="53">
        <v>638</v>
      </c>
      <c r="Z40" s="53">
        <v>0</v>
      </c>
      <c r="AA40" s="53">
        <v>0</v>
      </c>
      <c r="AB40" s="53">
        <v>0</v>
      </c>
      <c r="AC40" s="8">
        <v>570</v>
      </c>
      <c r="AD40" s="9">
        <f t="shared" si="1"/>
        <v>5988</v>
      </c>
      <c r="AE40" s="8">
        <v>2354</v>
      </c>
      <c r="AF40" s="9">
        <f t="shared" si="2"/>
        <v>2354</v>
      </c>
      <c r="AG40" s="9">
        <f t="shared" si="3"/>
        <v>39244</v>
      </c>
    </row>
    <row r="41" spans="1:33">
      <c r="A41" s="1" t="s">
        <v>1</v>
      </c>
      <c r="B41" s="13" t="s">
        <v>90</v>
      </c>
      <c r="C41" s="54">
        <v>47215</v>
      </c>
      <c r="D41" s="55">
        <v>50281</v>
      </c>
      <c r="E41" s="55">
        <v>59295</v>
      </c>
      <c r="F41" s="55">
        <v>64050</v>
      </c>
      <c r="G41" s="55">
        <v>49768</v>
      </c>
      <c r="H41" s="55">
        <v>59566</v>
      </c>
      <c r="I41" s="55">
        <v>50314</v>
      </c>
      <c r="J41" s="55">
        <v>50019</v>
      </c>
      <c r="K41" s="55">
        <v>50322</v>
      </c>
      <c r="L41" s="55">
        <v>56492</v>
      </c>
      <c r="M41" s="55">
        <v>49899</v>
      </c>
      <c r="N41" s="55">
        <v>50008</v>
      </c>
      <c r="O41" s="55">
        <v>53549</v>
      </c>
      <c r="P41" s="55">
        <v>43971</v>
      </c>
      <c r="Q41" s="55">
        <v>44103</v>
      </c>
      <c r="R41" s="55">
        <v>50040</v>
      </c>
      <c r="S41" s="55">
        <v>44178</v>
      </c>
      <c r="T41" s="70">
        <v>47107</v>
      </c>
      <c r="U41" s="18">
        <f t="shared" si="0"/>
        <v>920177</v>
      </c>
      <c r="V41" s="83">
        <v>56762</v>
      </c>
      <c r="W41" s="55">
        <v>59619</v>
      </c>
      <c r="X41" s="55">
        <v>509</v>
      </c>
      <c r="Y41" s="55">
        <v>638</v>
      </c>
      <c r="Z41" s="55">
        <v>0</v>
      </c>
      <c r="AA41" s="55">
        <v>0</v>
      </c>
      <c r="AB41" s="55">
        <v>0</v>
      </c>
      <c r="AC41" s="17">
        <v>570</v>
      </c>
      <c r="AD41" s="18">
        <f t="shared" si="1"/>
        <v>118098</v>
      </c>
      <c r="AE41" s="17">
        <v>59924</v>
      </c>
      <c r="AF41" s="18">
        <f t="shared" si="2"/>
        <v>59924</v>
      </c>
      <c r="AG41" s="18">
        <f t="shared" si="3"/>
        <v>1098199</v>
      </c>
    </row>
    <row r="42" spans="1:33">
      <c r="A42" s="1" t="s">
        <v>1</v>
      </c>
      <c r="B42" s="19" t="s">
        <v>91</v>
      </c>
      <c r="C42" s="48">
        <v>0</v>
      </c>
      <c r="D42" s="49">
        <v>218</v>
      </c>
      <c r="E42" s="49">
        <v>0</v>
      </c>
      <c r="F42" s="49">
        <v>6760</v>
      </c>
      <c r="G42" s="49">
        <v>0</v>
      </c>
      <c r="H42" s="49">
        <v>7290</v>
      </c>
      <c r="I42" s="49">
        <v>0</v>
      </c>
      <c r="J42" s="49">
        <v>0</v>
      </c>
      <c r="K42" s="49">
        <v>0</v>
      </c>
      <c r="L42" s="49">
        <v>7040</v>
      </c>
      <c r="M42" s="49">
        <v>1158</v>
      </c>
      <c r="N42" s="49">
        <v>1498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67">
        <v>0</v>
      </c>
      <c r="U42" s="21">
        <f t="shared" si="0"/>
        <v>23964</v>
      </c>
      <c r="V42" s="80">
        <v>0</v>
      </c>
      <c r="W42" s="49">
        <v>0</v>
      </c>
      <c r="X42" s="49">
        <v>0</v>
      </c>
      <c r="Y42" s="49">
        <v>0</v>
      </c>
      <c r="Z42" s="49">
        <v>0</v>
      </c>
      <c r="AA42" s="49">
        <v>0</v>
      </c>
      <c r="AB42" s="49">
        <v>0</v>
      </c>
      <c r="AC42" s="20">
        <v>0</v>
      </c>
      <c r="AD42" s="21">
        <f t="shared" si="1"/>
        <v>0</v>
      </c>
      <c r="AE42" s="20">
        <v>10430</v>
      </c>
      <c r="AF42" s="21">
        <f t="shared" si="2"/>
        <v>10430</v>
      </c>
      <c r="AG42" s="21">
        <f t="shared" si="3"/>
        <v>34394</v>
      </c>
    </row>
    <row r="43" spans="1:33">
      <c r="A43" s="1" t="s">
        <v>1</v>
      </c>
      <c r="B43" s="25" t="s">
        <v>92</v>
      </c>
      <c r="C43" s="50">
        <v>1300</v>
      </c>
      <c r="D43" s="51">
        <v>1300</v>
      </c>
      <c r="E43" s="51">
        <v>1300</v>
      </c>
      <c r="F43" s="51">
        <v>0</v>
      </c>
      <c r="G43" s="51">
        <v>0</v>
      </c>
      <c r="H43" s="51">
        <v>1300</v>
      </c>
      <c r="I43" s="51">
        <v>1300</v>
      </c>
      <c r="J43" s="51">
        <v>1300</v>
      </c>
      <c r="K43" s="51">
        <v>1300</v>
      </c>
      <c r="L43" s="51">
        <v>1300</v>
      </c>
      <c r="M43" s="51">
        <v>0</v>
      </c>
      <c r="N43" s="51">
        <v>1300</v>
      </c>
      <c r="O43" s="51">
        <v>1300</v>
      </c>
      <c r="P43" s="51">
        <v>1300</v>
      </c>
      <c r="Q43" s="51">
        <v>1300</v>
      </c>
      <c r="R43" s="51">
        <v>1300</v>
      </c>
      <c r="S43" s="51">
        <v>1300</v>
      </c>
      <c r="T43" s="68">
        <v>0</v>
      </c>
      <c r="U43" s="31">
        <f t="shared" si="0"/>
        <v>18200</v>
      </c>
      <c r="V43" s="8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30">
        <v>0</v>
      </c>
      <c r="AD43" s="31">
        <f t="shared" si="1"/>
        <v>0</v>
      </c>
      <c r="AE43" s="30">
        <v>0</v>
      </c>
      <c r="AF43" s="31">
        <f t="shared" si="2"/>
        <v>0</v>
      </c>
      <c r="AG43" s="31">
        <f t="shared" si="3"/>
        <v>18200</v>
      </c>
    </row>
    <row r="44" spans="1:33">
      <c r="A44" s="1" t="s">
        <v>1</v>
      </c>
      <c r="B44" s="5" t="s">
        <v>93</v>
      </c>
      <c r="C44" s="52">
        <v>6700</v>
      </c>
      <c r="D44" s="53">
        <v>15100</v>
      </c>
      <c r="E44" s="53">
        <v>18200</v>
      </c>
      <c r="F44" s="53">
        <v>20200</v>
      </c>
      <c r="G44" s="53">
        <v>10700</v>
      </c>
      <c r="H44" s="53">
        <v>19000</v>
      </c>
      <c r="I44" s="53">
        <v>13900</v>
      </c>
      <c r="J44" s="53">
        <v>9200</v>
      </c>
      <c r="K44" s="53">
        <v>13900</v>
      </c>
      <c r="L44" s="53">
        <v>16500</v>
      </c>
      <c r="M44" s="53">
        <v>15100</v>
      </c>
      <c r="N44" s="53">
        <v>14300</v>
      </c>
      <c r="O44" s="53">
        <v>1900</v>
      </c>
      <c r="P44" s="53">
        <v>0</v>
      </c>
      <c r="Q44" s="53">
        <v>5900</v>
      </c>
      <c r="R44" s="53">
        <v>12900</v>
      </c>
      <c r="S44" s="53">
        <v>10500</v>
      </c>
      <c r="T44" s="69">
        <v>5300</v>
      </c>
      <c r="U44" s="9">
        <f t="shared" si="0"/>
        <v>209300</v>
      </c>
      <c r="V44" s="82">
        <v>18600</v>
      </c>
      <c r="W44" s="53">
        <v>17000</v>
      </c>
      <c r="X44" s="53">
        <v>0</v>
      </c>
      <c r="Y44" s="53">
        <v>0</v>
      </c>
      <c r="Z44" s="53">
        <v>0</v>
      </c>
      <c r="AA44" s="53">
        <v>0</v>
      </c>
      <c r="AB44" s="53">
        <v>0</v>
      </c>
      <c r="AC44" s="8">
        <v>2700</v>
      </c>
      <c r="AD44" s="9">
        <f t="shared" si="1"/>
        <v>38300</v>
      </c>
      <c r="AE44" s="8">
        <v>21700</v>
      </c>
      <c r="AF44" s="9">
        <f t="shared" si="2"/>
        <v>21700</v>
      </c>
      <c r="AG44" s="9">
        <f t="shared" si="3"/>
        <v>269300</v>
      </c>
    </row>
    <row r="45" spans="1:33">
      <c r="A45" s="1" t="s">
        <v>1</v>
      </c>
      <c r="B45" s="13" t="s">
        <v>94</v>
      </c>
      <c r="C45" s="54">
        <v>55215</v>
      </c>
      <c r="D45" s="55">
        <v>66899</v>
      </c>
      <c r="E45" s="55">
        <v>78795</v>
      </c>
      <c r="F45" s="55">
        <v>91010</v>
      </c>
      <c r="G45" s="55">
        <v>60468</v>
      </c>
      <c r="H45" s="55">
        <v>87156</v>
      </c>
      <c r="I45" s="55">
        <v>65514</v>
      </c>
      <c r="J45" s="55">
        <v>60519</v>
      </c>
      <c r="K45" s="55">
        <v>65522</v>
      </c>
      <c r="L45" s="55">
        <v>81332</v>
      </c>
      <c r="M45" s="55">
        <v>66157</v>
      </c>
      <c r="N45" s="55">
        <v>67106</v>
      </c>
      <c r="O45" s="55">
        <v>56749</v>
      </c>
      <c r="P45" s="55">
        <v>45271</v>
      </c>
      <c r="Q45" s="55">
        <v>51303</v>
      </c>
      <c r="R45" s="55">
        <v>64240</v>
      </c>
      <c r="S45" s="55">
        <v>55978</v>
      </c>
      <c r="T45" s="70">
        <v>52407</v>
      </c>
      <c r="U45" s="18">
        <f t="shared" si="0"/>
        <v>1171641</v>
      </c>
      <c r="V45" s="83">
        <v>75362</v>
      </c>
      <c r="W45" s="55">
        <v>76619</v>
      </c>
      <c r="X45" s="55">
        <v>509</v>
      </c>
      <c r="Y45" s="55">
        <v>638</v>
      </c>
      <c r="Z45" s="55">
        <v>0</v>
      </c>
      <c r="AA45" s="55">
        <v>0</v>
      </c>
      <c r="AB45" s="55">
        <v>0</v>
      </c>
      <c r="AC45" s="17">
        <v>3270</v>
      </c>
      <c r="AD45" s="18">
        <f t="shared" si="1"/>
        <v>156398</v>
      </c>
      <c r="AE45" s="17">
        <v>92054</v>
      </c>
      <c r="AF45" s="18">
        <f t="shared" si="2"/>
        <v>92054</v>
      </c>
      <c r="AG45" s="18">
        <f t="shared" si="3"/>
        <v>1420093</v>
      </c>
    </row>
    <row r="46" spans="1:33">
      <c r="A46" s="1" t="s">
        <v>1</v>
      </c>
      <c r="B46" s="13" t="s">
        <v>95</v>
      </c>
      <c r="C46" s="54">
        <v>233416</v>
      </c>
      <c r="D46" s="55">
        <v>246317</v>
      </c>
      <c r="E46" s="55">
        <v>223304</v>
      </c>
      <c r="F46" s="55">
        <v>255832</v>
      </c>
      <c r="G46" s="55">
        <v>165596</v>
      </c>
      <c r="H46" s="55">
        <v>270655</v>
      </c>
      <c r="I46" s="55">
        <v>252923</v>
      </c>
      <c r="J46" s="55">
        <v>205391</v>
      </c>
      <c r="K46" s="55">
        <v>253407</v>
      </c>
      <c r="L46" s="55">
        <v>263596</v>
      </c>
      <c r="M46" s="55">
        <v>182993</v>
      </c>
      <c r="N46" s="55">
        <v>197585</v>
      </c>
      <c r="O46" s="55">
        <v>280144</v>
      </c>
      <c r="P46" s="55">
        <v>205868</v>
      </c>
      <c r="Q46" s="55">
        <v>229281</v>
      </c>
      <c r="R46" s="55">
        <v>201132</v>
      </c>
      <c r="S46" s="55">
        <v>239396</v>
      </c>
      <c r="T46" s="70">
        <v>226535</v>
      </c>
      <c r="U46" s="18">
        <f t="shared" si="0"/>
        <v>4133371</v>
      </c>
      <c r="V46" s="83">
        <v>309879</v>
      </c>
      <c r="W46" s="55">
        <v>276331</v>
      </c>
      <c r="X46" s="55">
        <v>81811</v>
      </c>
      <c r="Y46" s="55">
        <v>103362</v>
      </c>
      <c r="Z46" s="55">
        <v>89700</v>
      </c>
      <c r="AA46" s="55">
        <v>82340</v>
      </c>
      <c r="AB46" s="55">
        <v>67390</v>
      </c>
      <c r="AC46" s="17">
        <v>87290</v>
      </c>
      <c r="AD46" s="18">
        <f t="shared" si="1"/>
        <v>1098103</v>
      </c>
      <c r="AE46" s="17">
        <v>325076</v>
      </c>
      <c r="AF46" s="18">
        <f t="shared" si="2"/>
        <v>325076</v>
      </c>
      <c r="AG46" s="18">
        <f t="shared" si="3"/>
        <v>5556550</v>
      </c>
    </row>
    <row r="47" spans="1:33">
      <c r="A47" s="1" t="s">
        <v>1</v>
      </c>
      <c r="B47" s="13" t="s">
        <v>96</v>
      </c>
      <c r="C47" s="54">
        <v>238909</v>
      </c>
      <c r="D47" s="55">
        <v>233207</v>
      </c>
      <c r="E47" s="55">
        <v>208662</v>
      </c>
      <c r="F47" s="55">
        <v>231571</v>
      </c>
      <c r="G47" s="55">
        <v>159241</v>
      </c>
      <c r="H47" s="55">
        <v>245440</v>
      </c>
      <c r="I47" s="55">
        <v>240206</v>
      </c>
      <c r="J47" s="55">
        <v>195971</v>
      </c>
      <c r="K47" s="55">
        <v>241446</v>
      </c>
      <c r="L47" s="55">
        <v>243938</v>
      </c>
      <c r="M47" s="55">
        <v>170324</v>
      </c>
      <c r="N47" s="55">
        <v>187611</v>
      </c>
      <c r="O47" s="55">
        <v>283151</v>
      </c>
      <c r="P47" s="55">
        <v>213285</v>
      </c>
      <c r="Q47" s="55">
        <v>229205</v>
      </c>
      <c r="R47" s="55">
        <v>195837</v>
      </c>
      <c r="S47" s="55">
        <v>237068</v>
      </c>
      <c r="T47" s="70">
        <v>223718</v>
      </c>
      <c r="U47" s="18">
        <f t="shared" si="0"/>
        <v>3978790</v>
      </c>
      <c r="V47" s="83">
        <v>295003</v>
      </c>
      <c r="W47" s="55">
        <v>264917</v>
      </c>
      <c r="X47" s="55">
        <v>84402</v>
      </c>
      <c r="Y47" s="55">
        <v>105656</v>
      </c>
      <c r="Z47" s="55">
        <v>92939</v>
      </c>
      <c r="AA47" s="55">
        <v>86658</v>
      </c>
      <c r="AB47" s="55">
        <v>70548</v>
      </c>
      <c r="AC47" s="17">
        <v>91768</v>
      </c>
      <c r="AD47" s="18">
        <f t="shared" si="1"/>
        <v>1091891</v>
      </c>
      <c r="AE47" s="17">
        <v>300313</v>
      </c>
      <c r="AF47" s="18">
        <f t="shared" si="2"/>
        <v>300313</v>
      </c>
      <c r="AG47" s="18">
        <f t="shared" si="3"/>
        <v>5370994</v>
      </c>
    </row>
    <row r="48" spans="1:33">
      <c r="A48" s="1" t="s">
        <v>1</v>
      </c>
      <c r="B48" s="13" t="s">
        <v>97</v>
      </c>
      <c r="C48" s="54">
        <v>238909</v>
      </c>
      <c r="D48" s="55">
        <v>233207</v>
      </c>
      <c r="E48" s="55">
        <v>208662</v>
      </c>
      <c r="F48" s="55">
        <v>231571</v>
      </c>
      <c r="G48" s="55">
        <v>159241</v>
      </c>
      <c r="H48" s="55">
        <v>245440</v>
      </c>
      <c r="I48" s="55">
        <v>240206</v>
      </c>
      <c r="J48" s="55">
        <v>195971</v>
      </c>
      <c r="K48" s="55">
        <v>241446</v>
      </c>
      <c r="L48" s="55">
        <v>243938</v>
      </c>
      <c r="M48" s="55">
        <v>170324</v>
      </c>
      <c r="N48" s="55">
        <v>187611</v>
      </c>
      <c r="O48" s="55">
        <v>283151</v>
      </c>
      <c r="P48" s="55">
        <v>213285</v>
      </c>
      <c r="Q48" s="55">
        <v>229205</v>
      </c>
      <c r="R48" s="55">
        <v>195837</v>
      </c>
      <c r="S48" s="55">
        <v>237068</v>
      </c>
      <c r="T48" s="70">
        <v>223718</v>
      </c>
      <c r="U48" s="18">
        <f t="shared" si="0"/>
        <v>3978790</v>
      </c>
      <c r="V48" s="83">
        <v>295003</v>
      </c>
      <c r="W48" s="55">
        <v>264917</v>
      </c>
      <c r="X48" s="55">
        <v>84402</v>
      </c>
      <c r="Y48" s="55">
        <v>105656</v>
      </c>
      <c r="Z48" s="55">
        <v>92939</v>
      </c>
      <c r="AA48" s="55">
        <v>86658</v>
      </c>
      <c r="AB48" s="55">
        <v>70548</v>
      </c>
      <c r="AC48" s="17">
        <v>91768</v>
      </c>
      <c r="AD48" s="18">
        <f t="shared" si="1"/>
        <v>1091891</v>
      </c>
      <c r="AE48" s="17">
        <v>300313</v>
      </c>
      <c r="AF48" s="18">
        <f t="shared" si="2"/>
        <v>300313</v>
      </c>
      <c r="AG48" s="18">
        <f t="shared" si="3"/>
        <v>5370994</v>
      </c>
    </row>
    <row r="49" spans="1:33">
      <c r="A49" s="1" t="s">
        <v>1</v>
      </c>
      <c r="B49" s="13" t="s">
        <v>98</v>
      </c>
      <c r="C49" s="54">
        <v>1</v>
      </c>
      <c r="D49" s="55">
        <v>0</v>
      </c>
      <c r="E49" s="55">
        <v>1</v>
      </c>
      <c r="F49" s="55">
        <v>0</v>
      </c>
      <c r="G49" s="55">
        <v>1</v>
      </c>
      <c r="H49" s="55">
        <v>0</v>
      </c>
      <c r="I49" s="55">
        <v>0</v>
      </c>
      <c r="J49" s="55">
        <v>1</v>
      </c>
      <c r="K49" s="55">
        <v>0</v>
      </c>
      <c r="L49" s="55">
        <v>0</v>
      </c>
      <c r="M49" s="55">
        <v>0</v>
      </c>
      <c r="N49" s="55">
        <v>0</v>
      </c>
      <c r="O49" s="55">
        <v>4</v>
      </c>
      <c r="P49" s="55">
        <v>0</v>
      </c>
      <c r="Q49" s="55">
        <v>0</v>
      </c>
      <c r="R49" s="55">
        <v>1</v>
      </c>
      <c r="S49" s="55">
        <v>0</v>
      </c>
      <c r="T49" s="70">
        <v>0</v>
      </c>
      <c r="U49" s="18"/>
      <c r="V49" s="83">
        <v>0</v>
      </c>
      <c r="W49" s="55">
        <v>1</v>
      </c>
      <c r="X49" s="55">
        <v>0</v>
      </c>
      <c r="Y49" s="55">
        <v>0</v>
      </c>
      <c r="Z49" s="55">
        <v>1</v>
      </c>
      <c r="AA49" s="55">
        <v>1</v>
      </c>
      <c r="AB49" s="55">
        <v>1</v>
      </c>
      <c r="AC49" s="17">
        <v>1</v>
      </c>
      <c r="AD49" s="18"/>
      <c r="AE49" s="17">
        <v>0</v>
      </c>
      <c r="AF49" s="18"/>
      <c r="AG49" s="18"/>
    </row>
    <row r="50" spans="1:33">
      <c r="A50" s="1" t="s">
        <v>1</v>
      </c>
      <c r="B50" s="13" t="s">
        <v>99</v>
      </c>
      <c r="C50" s="56" t="s">
        <v>100</v>
      </c>
      <c r="D50" s="57" t="s">
        <v>100</v>
      </c>
      <c r="E50" s="57" t="s">
        <v>100</v>
      </c>
      <c r="F50" s="57" t="s">
        <v>100</v>
      </c>
      <c r="G50" s="57" t="s">
        <v>100</v>
      </c>
      <c r="H50" s="57" t="s">
        <v>100</v>
      </c>
      <c r="I50" s="57" t="s">
        <v>100</v>
      </c>
      <c r="J50" s="57" t="s">
        <v>100</v>
      </c>
      <c r="K50" s="57" t="s">
        <v>100</v>
      </c>
      <c r="L50" s="57" t="s">
        <v>100</v>
      </c>
      <c r="M50" s="57" t="s">
        <v>100</v>
      </c>
      <c r="N50" s="57" t="s">
        <v>100</v>
      </c>
      <c r="O50" s="57" t="s">
        <v>100</v>
      </c>
      <c r="P50" s="57" t="s">
        <v>100</v>
      </c>
      <c r="Q50" s="57" t="s">
        <v>100</v>
      </c>
      <c r="R50" s="57" t="s">
        <v>100</v>
      </c>
      <c r="S50" s="57" t="s">
        <v>100</v>
      </c>
      <c r="T50" s="71" t="s">
        <v>100</v>
      </c>
      <c r="U50" s="33"/>
      <c r="V50" s="84" t="s">
        <v>100</v>
      </c>
      <c r="W50" s="57" t="s">
        <v>100</v>
      </c>
      <c r="X50" s="57" t="s">
        <v>100</v>
      </c>
      <c r="Y50" s="57" t="s">
        <v>100</v>
      </c>
      <c r="Z50" s="57" t="s">
        <v>100</v>
      </c>
      <c r="AA50" s="57" t="s">
        <v>100</v>
      </c>
      <c r="AB50" s="57" t="s">
        <v>100</v>
      </c>
      <c r="AC50" s="32" t="s">
        <v>100</v>
      </c>
      <c r="AD50" s="33"/>
      <c r="AE50" s="32" t="s">
        <v>100</v>
      </c>
      <c r="AF50" s="33"/>
      <c r="AG50" s="33"/>
    </row>
    <row r="51" spans="1:33">
      <c r="A51" s="1" t="s">
        <v>1</v>
      </c>
      <c r="B51" s="13" t="s">
        <v>101</v>
      </c>
      <c r="C51" s="54">
        <v>4340</v>
      </c>
      <c r="D51" s="55">
        <v>6420</v>
      </c>
      <c r="E51" s="55">
        <v>3980</v>
      </c>
      <c r="F51" s="55">
        <v>6760</v>
      </c>
      <c r="G51" s="55">
        <v>1920</v>
      </c>
      <c r="H51" s="55">
        <v>7290</v>
      </c>
      <c r="I51" s="55">
        <v>6660</v>
      </c>
      <c r="J51" s="55">
        <v>3340</v>
      </c>
      <c r="K51" s="55">
        <v>6670</v>
      </c>
      <c r="L51" s="55">
        <v>7040</v>
      </c>
      <c r="M51" s="55">
        <v>4160</v>
      </c>
      <c r="N51" s="55">
        <v>4680</v>
      </c>
      <c r="O51" s="55">
        <v>1160</v>
      </c>
      <c r="P51" s="55">
        <v>4970</v>
      </c>
      <c r="Q51" s="55">
        <v>5810</v>
      </c>
      <c r="R51" s="55">
        <v>3190</v>
      </c>
      <c r="S51" s="55">
        <v>6170</v>
      </c>
      <c r="T51" s="70">
        <v>5710</v>
      </c>
      <c r="U51" s="18">
        <f t="shared" si="0"/>
        <v>90270</v>
      </c>
      <c r="V51" s="83">
        <v>9190</v>
      </c>
      <c r="W51" s="55">
        <v>5880</v>
      </c>
      <c r="X51" s="55">
        <v>0</v>
      </c>
      <c r="Y51" s="55">
        <v>890</v>
      </c>
      <c r="Z51" s="55">
        <v>0</v>
      </c>
      <c r="AA51" s="55">
        <v>0</v>
      </c>
      <c r="AB51" s="55">
        <v>0</v>
      </c>
      <c r="AC51" s="17">
        <v>0</v>
      </c>
      <c r="AD51" s="18">
        <f t="shared" si="1"/>
        <v>15960</v>
      </c>
      <c r="AE51" s="17">
        <v>10430</v>
      </c>
      <c r="AF51" s="18">
        <f t="shared" si="2"/>
        <v>10430</v>
      </c>
      <c r="AG51" s="18">
        <f t="shared" si="3"/>
        <v>116660</v>
      </c>
    </row>
    <row r="52" spans="1:33">
      <c r="A52" s="1" t="s">
        <v>1</v>
      </c>
      <c r="B52" s="13" t="s">
        <v>102</v>
      </c>
      <c r="C52" s="54">
        <v>4340</v>
      </c>
      <c r="D52" s="55">
        <v>6202</v>
      </c>
      <c r="E52" s="55">
        <v>3980</v>
      </c>
      <c r="F52" s="55">
        <v>0</v>
      </c>
      <c r="G52" s="55">
        <v>1920</v>
      </c>
      <c r="H52" s="55">
        <v>0</v>
      </c>
      <c r="I52" s="55">
        <v>6660</v>
      </c>
      <c r="J52" s="55">
        <v>3340</v>
      </c>
      <c r="K52" s="55">
        <v>6670</v>
      </c>
      <c r="L52" s="55">
        <v>0</v>
      </c>
      <c r="M52" s="55">
        <v>3002</v>
      </c>
      <c r="N52" s="55">
        <v>3182</v>
      </c>
      <c r="O52" s="55">
        <v>1160</v>
      </c>
      <c r="P52" s="55">
        <v>4970</v>
      </c>
      <c r="Q52" s="55">
        <v>5810</v>
      </c>
      <c r="R52" s="55">
        <v>3190</v>
      </c>
      <c r="S52" s="55">
        <v>6170</v>
      </c>
      <c r="T52" s="70">
        <v>5710</v>
      </c>
      <c r="U52" s="18">
        <f t="shared" si="0"/>
        <v>66306</v>
      </c>
      <c r="V52" s="83">
        <v>9190</v>
      </c>
      <c r="W52" s="55">
        <v>5880</v>
      </c>
      <c r="X52" s="55">
        <v>0</v>
      </c>
      <c r="Y52" s="55">
        <v>890</v>
      </c>
      <c r="Z52" s="55">
        <v>0</v>
      </c>
      <c r="AA52" s="55">
        <v>0</v>
      </c>
      <c r="AB52" s="55">
        <v>0</v>
      </c>
      <c r="AC52" s="17">
        <v>0</v>
      </c>
      <c r="AD52" s="18">
        <f t="shared" si="1"/>
        <v>15960</v>
      </c>
      <c r="AE52" s="17">
        <v>0</v>
      </c>
      <c r="AF52" s="18">
        <f t="shared" si="2"/>
        <v>0</v>
      </c>
      <c r="AG52" s="18">
        <f t="shared" si="3"/>
        <v>82266</v>
      </c>
    </row>
    <row r="53" spans="1:33" ht="19.5" thickBot="1">
      <c r="A53" s="1" t="s">
        <v>1</v>
      </c>
      <c r="B53" s="10" t="s">
        <v>103</v>
      </c>
      <c r="C53" s="58">
        <v>60000</v>
      </c>
      <c r="D53" s="59">
        <v>30000</v>
      </c>
      <c r="E53" s="59">
        <v>60000</v>
      </c>
      <c r="F53" s="59">
        <v>30000</v>
      </c>
      <c r="G53" s="59">
        <v>30000</v>
      </c>
      <c r="H53" s="59">
        <v>30000</v>
      </c>
      <c r="I53" s="59">
        <v>30000</v>
      </c>
      <c r="J53" s="59">
        <v>60000</v>
      </c>
      <c r="K53" s="59">
        <v>30000</v>
      </c>
      <c r="L53" s="59">
        <v>30000</v>
      </c>
      <c r="M53" s="59">
        <v>30000</v>
      </c>
      <c r="N53" s="59">
        <v>30000</v>
      </c>
      <c r="O53" s="59">
        <v>150000</v>
      </c>
      <c r="P53" s="59">
        <v>30000</v>
      </c>
      <c r="Q53" s="59">
        <v>30000</v>
      </c>
      <c r="R53" s="59">
        <v>60000</v>
      </c>
      <c r="S53" s="59">
        <v>30000</v>
      </c>
      <c r="T53" s="72">
        <v>30000</v>
      </c>
      <c r="U53" s="12"/>
      <c r="V53" s="85">
        <v>90000</v>
      </c>
      <c r="W53" s="59">
        <v>60000</v>
      </c>
      <c r="X53" s="59">
        <v>0</v>
      </c>
      <c r="Y53" s="59">
        <v>30000</v>
      </c>
      <c r="Z53" s="59">
        <v>60000</v>
      </c>
      <c r="AA53" s="59">
        <v>60000</v>
      </c>
      <c r="AB53" s="59">
        <v>60000</v>
      </c>
      <c r="AC53" s="11">
        <v>60000</v>
      </c>
      <c r="AD53" s="12"/>
      <c r="AE53" s="11">
        <v>30000</v>
      </c>
      <c r="AF53" s="12"/>
      <c r="AG53" s="12"/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A1E4-B894-4204-889A-2D28C3DFA72A}">
  <sheetPr>
    <pageSetUpPr fitToPage="1"/>
  </sheetPr>
  <dimension ref="A1:N55"/>
  <sheetViews>
    <sheetView tabSelected="1" workbookViewId="0">
      <pane xSplit="2" ySplit="4" topLeftCell="C53" activePane="bottomRight" state="frozen"/>
      <selection pane="topRight" activeCell="C1" sqref="C1"/>
      <selection pane="bottomLeft" activeCell="A9" sqref="A9"/>
      <selection pane="bottomRight" activeCell="F56" sqref="F56"/>
    </sheetView>
  </sheetViews>
  <sheetFormatPr defaultRowHeight="18.75"/>
  <cols>
    <col min="1" max="1" width="2.375" style="2" customWidth="1"/>
    <col min="2" max="2" width="13.25" style="2" bestFit="1" customWidth="1"/>
    <col min="3" max="14" width="11.125" style="2" customWidth="1"/>
    <col min="15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59" width="11.125" style="2" bestFit="1" customWidth="1"/>
    <col min="260" max="260" width="9" style="2"/>
    <col min="261" max="267" width="11.125" style="2" bestFit="1" customWidth="1"/>
    <col min="268" max="268" width="9.625" style="2" bestFit="1" customWidth="1"/>
    <col min="269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5" width="11.125" style="2" bestFit="1" customWidth="1"/>
    <col min="516" max="516" width="9" style="2"/>
    <col min="517" max="523" width="11.125" style="2" bestFit="1" customWidth="1"/>
    <col min="524" max="524" width="9.625" style="2" bestFit="1" customWidth="1"/>
    <col min="525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1" width="11.125" style="2" bestFit="1" customWidth="1"/>
    <col min="772" max="772" width="9" style="2"/>
    <col min="773" max="779" width="11.125" style="2" bestFit="1" customWidth="1"/>
    <col min="780" max="780" width="9.625" style="2" bestFit="1" customWidth="1"/>
    <col min="781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7" width="11.125" style="2" bestFit="1" customWidth="1"/>
    <col min="1028" max="1028" width="9" style="2"/>
    <col min="1029" max="1035" width="11.125" style="2" bestFit="1" customWidth="1"/>
    <col min="1036" max="1036" width="9.625" style="2" bestFit="1" customWidth="1"/>
    <col min="1037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3" width="11.125" style="2" bestFit="1" customWidth="1"/>
    <col min="1284" max="1284" width="9" style="2"/>
    <col min="1285" max="1291" width="11.125" style="2" bestFit="1" customWidth="1"/>
    <col min="1292" max="1292" width="9.625" style="2" bestFit="1" customWidth="1"/>
    <col min="1293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39" width="11.125" style="2" bestFit="1" customWidth="1"/>
    <col min="1540" max="1540" width="9" style="2"/>
    <col min="1541" max="1547" width="11.125" style="2" bestFit="1" customWidth="1"/>
    <col min="1548" max="1548" width="9.625" style="2" bestFit="1" customWidth="1"/>
    <col min="1549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5" width="11.125" style="2" bestFit="1" customWidth="1"/>
    <col min="1796" max="1796" width="9" style="2"/>
    <col min="1797" max="1803" width="11.125" style="2" bestFit="1" customWidth="1"/>
    <col min="1804" max="1804" width="9.625" style="2" bestFit="1" customWidth="1"/>
    <col min="1805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1" width="11.125" style="2" bestFit="1" customWidth="1"/>
    <col min="2052" max="2052" width="9" style="2"/>
    <col min="2053" max="2059" width="11.125" style="2" bestFit="1" customWidth="1"/>
    <col min="2060" max="2060" width="9.625" style="2" bestFit="1" customWidth="1"/>
    <col min="2061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7" width="11.125" style="2" bestFit="1" customWidth="1"/>
    <col min="2308" max="2308" width="9" style="2"/>
    <col min="2309" max="2315" width="11.125" style="2" bestFit="1" customWidth="1"/>
    <col min="2316" max="2316" width="9.625" style="2" bestFit="1" customWidth="1"/>
    <col min="2317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3" width="11.125" style="2" bestFit="1" customWidth="1"/>
    <col min="2564" max="2564" width="9" style="2"/>
    <col min="2565" max="2571" width="11.125" style="2" bestFit="1" customWidth="1"/>
    <col min="2572" max="2572" width="9.625" style="2" bestFit="1" customWidth="1"/>
    <col min="2573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19" width="11.125" style="2" bestFit="1" customWidth="1"/>
    <col min="2820" max="2820" width="9" style="2"/>
    <col min="2821" max="2827" width="11.125" style="2" bestFit="1" customWidth="1"/>
    <col min="2828" max="2828" width="9.625" style="2" bestFit="1" customWidth="1"/>
    <col min="2829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5" width="11.125" style="2" bestFit="1" customWidth="1"/>
    <col min="3076" max="3076" width="9" style="2"/>
    <col min="3077" max="3083" width="11.125" style="2" bestFit="1" customWidth="1"/>
    <col min="3084" max="3084" width="9.625" style="2" bestFit="1" customWidth="1"/>
    <col min="3085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1" width="11.125" style="2" bestFit="1" customWidth="1"/>
    <col min="3332" max="3332" width="9" style="2"/>
    <col min="3333" max="3339" width="11.125" style="2" bestFit="1" customWidth="1"/>
    <col min="3340" max="3340" width="9.625" style="2" bestFit="1" customWidth="1"/>
    <col min="3341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7" width="11.125" style="2" bestFit="1" customWidth="1"/>
    <col min="3588" max="3588" width="9" style="2"/>
    <col min="3589" max="3595" width="11.125" style="2" bestFit="1" customWidth="1"/>
    <col min="3596" max="3596" width="9.625" style="2" bestFit="1" customWidth="1"/>
    <col min="3597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3" width="11.125" style="2" bestFit="1" customWidth="1"/>
    <col min="3844" max="3844" width="9" style="2"/>
    <col min="3845" max="3851" width="11.125" style="2" bestFit="1" customWidth="1"/>
    <col min="3852" max="3852" width="9.625" style="2" bestFit="1" customWidth="1"/>
    <col min="3853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099" width="11.125" style="2" bestFit="1" customWidth="1"/>
    <col min="4100" max="4100" width="9" style="2"/>
    <col min="4101" max="4107" width="11.125" style="2" bestFit="1" customWidth="1"/>
    <col min="4108" max="4108" width="9.625" style="2" bestFit="1" customWidth="1"/>
    <col min="4109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5" width="11.125" style="2" bestFit="1" customWidth="1"/>
    <col min="4356" max="4356" width="9" style="2"/>
    <col min="4357" max="4363" width="11.125" style="2" bestFit="1" customWidth="1"/>
    <col min="4364" max="4364" width="9.625" style="2" bestFit="1" customWidth="1"/>
    <col min="4365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1" width="11.125" style="2" bestFit="1" customWidth="1"/>
    <col min="4612" max="4612" width="9" style="2"/>
    <col min="4613" max="4619" width="11.125" style="2" bestFit="1" customWidth="1"/>
    <col min="4620" max="4620" width="9.625" style="2" bestFit="1" customWidth="1"/>
    <col min="4621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7" width="11.125" style="2" bestFit="1" customWidth="1"/>
    <col min="4868" max="4868" width="9" style="2"/>
    <col min="4869" max="4875" width="11.125" style="2" bestFit="1" customWidth="1"/>
    <col min="4876" max="4876" width="9.625" style="2" bestFit="1" customWidth="1"/>
    <col min="4877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3" width="11.125" style="2" bestFit="1" customWidth="1"/>
    <col min="5124" max="5124" width="9" style="2"/>
    <col min="5125" max="5131" width="11.125" style="2" bestFit="1" customWidth="1"/>
    <col min="5132" max="5132" width="9.625" style="2" bestFit="1" customWidth="1"/>
    <col min="5133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79" width="11.125" style="2" bestFit="1" customWidth="1"/>
    <col min="5380" max="5380" width="9" style="2"/>
    <col min="5381" max="5387" width="11.125" style="2" bestFit="1" customWidth="1"/>
    <col min="5388" max="5388" width="9.625" style="2" bestFit="1" customWidth="1"/>
    <col min="5389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5" width="11.125" style="2" bestFit="1" customWidth="1"/>
    <col min="5636" max="5636" width="9" style="2"/>
    <col min="5637" max="5643" width="11.125" style="2" bestFit="1" customWidth="1"/>
    <col min="5644" max="5644" width="9.625" style="2" bestFit="1" customWidth="1"/>
    <col min="5645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1" width="11.125" style="2" bestFit="1" customWidth="1"/>
    <col min="5892" max="5892" width="9" style="2"/>
    <col min="5893" max="5899" width="11.125" style="2" bestFit="1" customWidth="1"/>
    <col min="5900" max="5900" width="9.625" style="2" bestFit="1" customWidth="1"/>
    <col min="5901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7" width="11.125" style="2" bestFit="1" customWidth="1"/>
    <col min="6148" max="6148" width="9" style="2"/>
    <col min="6149" max="6155" width="11.125" style="2" bestFit="1" customWidth="1"/>
    <col min="6156" max="6156" width="9.625" style="2" bestFit="1" customWidth="1"/>
    <col min="6157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3" width="11.125" style="2" bestFit="1" customWidth="1"/>
    <col min="6404" max="6404" width="9" style="2"/>
    <col min="6405" max="6411" width="11.125" style="2" bestFit="1" customWidth="1"/>
    <col min="6412" max="6412" width="9.625" style="2" bestFit="1" customWidth="1"/>
    <col min="6413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59" width="11.125" style="2" bestFit="1" customWidth="1"/>
    <col min="6660" max="6660" width="9" style="2"/>
    <col min="6661" max="6667" width="11.125" style="2" bestFit="1" customWidth="1"/>
    <col min="6668" max="6668" width="9.625" style="2" bestFit="1" customWidth="1"/>
    <col min="6669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5" width="11.125" style="2" bestFit="1" customWidth="1"/>
    <col min="6916" max="6916" width="9" style="2"/>
    <col min="6917" max="6923" width="11.125" style="2" bestFit="1" customWidth="1"/>
    <col min="6924" max="6924" width="9.625" style="2" bestFit="1" customWidth="1"/>
    <col min="6925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1" width="11.125" style="2" bestFit="1" customWidth="1"/>
    <col min="7172" max="7172" width="9" style="2"/>
    <col min="7173" max="7179" width="11.125" style="2" bestFit="1" customWidth="1"/>
    <col min="7180" max="7180" width="9.625" style="2" bestFit="1" customWidth="1"/>
    <col min="7181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7" width="11.125" style="2" bestFit="1" customWidth="1"/>
    <col min="7428" max="7428" width="9" style="2"/>
    <col min="7429" max="7435" width="11.125" style="2" bestFit="1" customWidth="1"/>
    <col min="7436" max="7436" width="9.625" style="2" bestFit="1" customWidth="1"/>
    <col min="7437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3" width="11.125" style="2" bestFit="1" customWidth="1"/>
    <col min="7684" max="7684" width="9" style="2"/>
    <col min="7685" max="7691" width="11.125" style="2" bestFit="1" customWidth="1"/>
    <col min="7692" max="7692" width="9.625" style="2" bestFit="1" customWidth="1"/>
    <col min="7693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39" width="11.125" style="2" bestFit="1" customWidth="1"/>
    <col min="7940" max="7940" width="9" style="2"/>
    <col min="7941" max="7947" width="11.125" style="2" bestFit="1" customWidth="1"/>
    <col min="7948" max="7948" width="9.625" style="2" bestFit="1" customWidth="1"/>
    <col min="7949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5" width="11.125" style="2" bestFit="1" customWidth="1"/>
    <col min="8196" max="8196" width="9" style="2"/>
    <col min="8197" max="8203" width="11.125" style="2" bestFit="1" customWidth="1"/>
    <col min="8204" max="8204" width="9.625" style="2" bestFit="1" customWidth="1"/>
    <col min="8205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1" width="11.125" style="2" bestFit="1" customWidth="1"/>
    <col min="8452" max="8452" width="9" style="2"/>
    <col min="8453" max="8459" width="11.125" style="2" bestFit="1" customWidth="1"/>
    <col min="8460" max="8460" width="9.625" style="2" bestFit="1" customWidth="1"/>
    <col min="8461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7" width="11.125" style="2" bestFit="1" customWidth="1"/>
    <col min="8708" max="8708" width="9" style="2"/>
    <col min="8709" max="8715" width="11.125" style="2" bestFit="1" customWidth="1"/>
    <col min="8716" max="8716" width="9.625" style="2" bestFit="1" customWidth="1"/>
    <col min="8717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3" width="11.125" style="2" bestFit="1" customWidth="1"/>
    <col min="8964" max="8964" width="9" style="2"/>
    <col min="8965" max="8971" width="11.125" style="2" bestFit="1" customWidth="1"/>
    <col min="8972" max="8972" width="9.625" style="2" bestFit="1" customWidth="1"/>
    <col min="8973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19" width="11.125" style="2" bestFit="1" customWidth="1"/>
    <col min="9220" max="9220" width="9" style="2"/>
    <col min="9221" max="9227" width="11.125" style="2" bestFit="1" customWidth="1"/>
    <col min="9228" max="9228" width="9.625" style="2" bestFit="1" customWidth="1"/>
    <col min="9229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5" width="11.125" style="2" bestFit="1" customWidth="1"/>
    <col min="9476" max="9476" width="9" style="2"/>
    <col min="9477" max="9483" width="11.125" style="2" bestFit="1" customWidth="1"/>
    <col min="9484" max="9484" width="9.625" style="2" bestFit="1" customWidth="1"/>
    <col min="9485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1" width="11.125" style="2" bestFit="1" customWidth="1"/>
    <col min="9732" max="9732" width="9" style="2"/>
    <col min="9733" max="9739" width="11.125" style="2" bestFit="1" customWidth="1"/>
    <col min="9740" max="9740" width="9.625" style="2" bestFit="1" customWidth="1"/>
    <col min="9741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7" width="11.125" style="2" bestFit="1" customWidth="1"/>
    <col min="9988" max="9988" width="9" style="2"/>
    <col min="9989" max="9995" width="11.125" style="2" bestFit="1" customWidth="1"/>
    <col min="9996" max="9996" width="9.625" style="2" bestFit="1" customWidth="1"/>
    <col min="9997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3" width="11.125" style="2" bestFit="1" customWidth="1"/>
    <col min="10244" max="10244" width="9" style="2"/>
    <col min="10245" max="10251" width="11.125" style="2" bestFit="1" customWidth="1"/>
    <col min="10252" max="10252" width="9.625" style="2" bestFit="1" customWidth="1"/>
    <col min="10253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499" width="11.125" style="2" bestFit="1" customWidth="1"/>
    <col min="10500" max="10500" width="9" style="2"/>
    <col min="10501" max="10507" width="11.125" style="2" bestFit="1" customWidth="1"/>
    <col min="10508" max="10508" width="9.625" style="2" bestFit="1" customWidth="1"/>
    <col min="10509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5" width="11.125" style="2" bestFit="1" customWidth="1"/>
    <col min="10756" max="10756" width="9" style="2"/>
    <col min="10757" max="10763" width="11.125" style="2" bestFit="1" customWidth="1"/>
    <col min="10764" max="10764" width="9.625" style="2" bestFit="1" customWidth="1"/>
    <col min="10765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1" width="11.125" style="2" bestFit="1" customWidth="1"/>
    <col min="11012" max="11012" width="9" style="2"/>
    <col min="11013" max="11019" width="11.125" style="2" bestFit="1" customWidth="1"/>
    <col min="11020" max="11020" width="9.625" style="2" bestFit="1" customWidth="1"/>
    <col min="11021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7" width="11.125" style="2" bestFit="1" customWidth="1"/>
    <col min="11268" max="11268" width="9" style="2"/>
    <col min="11269" max="11275" width="11.125" style="2" bestFit="1" customWidth="1"/>
    <col min="11276" max="11276" width="9.625" style="2" bestFit="1" customWidth="1"/>
    <col min="11277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3" width="11.125" style="2" bestFit="1" customWidth="1"/>
    <col min="11524" max="11524" width="9" style="2"/>
    <col min="11525" max="11531" width="11.125" style="2" bestFit="1" customWidth="1"/>
    <col min="11532" max="11532" width="9.625" style="2" bestFit="1" customWidth="1"/>
    <col min="11533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79" width="11.125" style="2" bestFit="1" customWidth="1"/>
    <col min="11780" max="11780" width="9" style="2"/>
    <col min="11781" max="11787" width="11.125" style="2" bestFit="1" customWidth="1"/>
    <col min="11788" max="11788" width="9.625" style="2" bestFit="1" customWidth="1"/>
    <col min="11789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5" width="11.125" style="2" bestFit="1" customWidth="1"/>
    <col min="12036" max="12036" width="9" style="2"/>
    <col min="12037" max="12043" width="11.125" style="2" bestFit="1" customWidth="1"/>
    <col min="12044" max="12044" width="9.625" style="2" bestFit="1" customWidth="1"/>
    <col min="12045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1" width="11.125" style="2" bestFit="1" customWidth="1"/>
    <col min="12292" max="12292" width="9" style="2"/>
    <col min="12293" max="12299" width="11.125" style="2" bestFit="1" customWidth="1"/>
    <col min="12300" max="12300" width="9.625" style="2" bestFit="1" customWidth="1"/>
    <col min="12301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7" width="11.125" style="2" bestFit="1" customWidth="1"/>
    <col min="12548" max="12548" width="9" style="2"/>
    <col min="12549" max="12555" width="11.125" style="2" bestFit="1" customWidth="1"/>
    <col min="12556" max="12556" width="9.625" style="2" bestFit="1" customWidth="1"/>
    <col min="12557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3" width="11.125" style="2" bestFit="1" customWidth="1"/>
    <col min="12804" max="12804" width="9" style="2"/>
    <col min="12805" max="12811" width="11.125" style="2" bestFit="1" customWidth="1"/>
    <col min="12812" max="12812" width="9.625" style="2" bestFit="1" customWidth="1"/>
    <col min="12813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59" width="11.125" style="2" bestFit="1" customWidth="1"/>
    <col min="13060" max="13060" width="9" style="2"/>
    <col min="13061" max="13067" width="11.125" style="2" bestFit="1" customWidth="1"/>
    <col min="13068" max="13068" width="9.625" style="2" bestFit="1" customWidth="1"/>
    <col min="13069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5" width="11.125" style="2" bestFit="1" customWidth="1"/>
    <col min="13316" max="13316" width="9" style="2"/>
    <col min="13317" max="13323" width="11.125" style="2" bestFit="1" customWidth="1"/>
    <col min="13324" max="13324" width="9.625" style="2" bestFit="1" customWidth="1"/>
    <col min="13325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1" width="11.125" style="2" bestFit="1" customWidth="1"/>
    <col min="13572" max="13572" width="9" style="2"/>
    <col min="13573" max="13579" width="11.125" style="2" bestFit="1" customWidth="1"/>
    <col min="13580" max="13580" width="9.625" style="2" bestFit="1" customWidth="1"/>
    <col min="13581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7" width="11.125" style="2" bestFit="1" customWidth="1"/>
    <col min="13828" max="13828" width="9" style="2"/>
    <col min="13829" max="13835" width="11.125" style="2" bestFit="1" customWidth="1"/>
    <col min="13836" max="13836" width="9.625" style="2" bestFit="1" customWidth="1"/>
    <col min="13837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3" width="11.125" style="2" bestFit="1" customWidth="1"/>
    <col min="14084" max="14084" width="9" style="2"/>
    <col min="14085" max="14091" width="11.125" style="2" bestFit="1" customWidth="1"/>
    <col min="14092" max="14092" width="9.625" style="2" bestFit="1" customWidth="1"/>
    <col min="14093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39" width="11.125" style="2" bestFit="1" customWidth="1"/>
    <col min="14340" max="14340" width="9" style="2"/>
    <col min="14341" max="14347" width="11.125" style="2" bestFit="1" customWidth="1"/>
    <col min="14348" max="14348" width="9.625" style="2" bestFit="1" customWidth="1"/>
    <col min="14349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5" width="11.125" style="2" bestFit="1" customWidth="1"/>
    <col min="14596" max="14596" width="9" style="2"/>
    <col min="14597" max="14603" width="11.125" style="2" bestFit="1" customWidth="1"/>
    <col min="14604" max="14604" width="9.625" style="2" bestFit="1" customWidth="1"/>
    <col min="14605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1" width="11.125" style="2" bestFit="1" customWidth="1"/>
    <col min="14852" max="14852" width="9" style="2"/>
    <col min="14853" max="14859" width="11.125" style="2" bestFit="1" customWidth="1"/>
    <col min="14860" max="14860" width="9.625" style="2" bestFit="1" customWidth="1"/>
    <col min="14861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7" width="11.125" style="2" bestFit="1" customWidth="1"/>
    <col min="15108" max="15108" width="9" style="2"/>
    <col min="15109" max="15115" width="11.125" style="2" bestFit="1" customWidth="1"/>
    <col min="15116" max="15116" width="9.625" style="2" bestFit="1" customWidth="1"/>
    <col min="15117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3" width="11.125" style="2" bestFit="1" customWidth="1"/>
    <col min="15364" max="15364" width="9" style="2"/>
    <col min="15365" max="15371" width="11.125" style="2" bestFit="1" customWidth="1"/>
    <col min="15372" max="15372" width="9.625" style="2" bestFit="1" customWidth="1"/>
    <col min="15373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19" width="11.125" style="2" bestFit="1" customWidth="1"/>
    <col min="15620" max="15620" width="9" style="2"/>
    <col min="15621" max="15627" width="11.125" style="2" bestFit="1" customWidth="1"/>
    <col min="15628" max="15628" width="9.625" style="2" bestFit="1" customWidth="1"/>
    <col min="15629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5" width="11.125" style="2" bestFit="1" customWidth="1"/>
    <col min="15876" max="15876" width="9" style="2"/>
    <col min="15877" max="15883" width="11.125" style="2" bestFit="1" customWidth="1"/>
    <col min="15884" max="15884" width="9.625" style="2" bestFit="1" customWidth="1"/>
    <col min="15885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1" width="11.125" style="2" bestFit="1" customWidth="1"/>
    <col min="16132" max="16132" width="9" style="2"/>
    <col min="16133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 ht="19.5" thickBot="1">
      <c r="A2" s="1" t="s">
        <v>104</v>
      </c>
    </row>
    <row r="3" spans="1:14">
      <c r="B3" s="16"/>
      <c r="C3" s="73" t="s">
        <v>16</v>
      </c>
      <c r="D3" s="35" t="s">
        <v>4</v>
      </c>
      <c r="E3" s="35" t="s">
        <v>25</v>
      </c>
      <c r="F3" s="35" t="s">
        <v>26</v>
      </c>
      <c r="G3" s="35" t="s">
        <v>23</v>
      </c>
      <c r="H3" s="35" t="s">
        <v>24</v>
      </c>
      <c r="I3" s="35" t="s">
        <v>27</v>
      </c>
      <c r="J3" s="88" t="s">
        <v>28</v>
      </c>
      <c r="K3" s="86" t="s">
        <v>106</v>
      </c>
      <c r="L3" s="88" t="s">
        <v>5</v>
      </c>
      <c r="M3" s="86" t="s">
        <v>106</v>
      </c>
      <c r="N3" s="89" t="s">
        <v>56</v>
      </c>
    </row>
    <row r="4" spans="1:14" ht="19.5" thickBot="1">
      <c r="B4" s="4" t="s">
        <v>29</v>
      </c>
      <c r="C4" s="74" t="s">
        <v>43</v>
      </c>
      <c r="D4" s="37" t="s">
        <v>105</v>
      </c>
      <c r="E4" s="37" t="s">
        <v>52</v>
      </c>
      <c r="F4" s="37" t="s">
        <v>53</v>
      </c>
      <c r="G4" s="37" t="s">
        <v>50</v>
      </c>
      <c r="H4" s="37" t="s">
        <v>51</v>
      </c>
      <c r="I4" s="37" t="s">
        <v>54</v>
      </c>
      <c r="J4" s="3" t="s">
        <v>55</v>
      </c>
      <c r="K4" s="87" t="s">
        <v>108</v>
      </c>
      <c r="L4" s="3" t="s">
        <v>32</v>
      </c>
      <c r="M4" s="87" t="s">
        <v>109</v>
      </c>
      <c r="N4" s="4" t="s">
        <v>110</v>
      </c>
    </row>
    <row r="5" spans="1:14">
      <c r="A5" s="1" t="s">
        <v>1</v>
      </c>
      <c r="B5" s="22" t="s">
        <v>57</v>
      </c>
      <c r="C5" s="75">
        <v>22</v>
      </c>
      <c r="D5" s="39">
        <v>21</v>
      </c>
      <c r="E5" s="39">
        <v>12</v>
      </c>
      <c r="F5" s="39">
        <v>17</v>
      </c>
      <c r="G5" s="39">
        <v>10</v>
      </c>
      <c r="H5" s="39">
        <v>10</v>
      </c>
      <c r="I5" s="39">
        <v>9</v>
      </c>
      <c r="J5" s="23">
        <v>19</v>
      </c>
      <c r="K5" s="24">
        <f>SUM(C5:J5)</f>
        <v>120</v>
      </c>
      <c r="L5" s="23">
        <v>20</v>
      </c>
      <c r="M5" s="24">
        <f>SUM(L5)</f>
        <v>20</v>
      </c>
      <c r="N5" s="24">
        <v>470</v>
      </c>
    </row>
    <row r="6" spans="1:14">
      <c r="A6" s="1" t="s">
        <v>1</v>
      </c>
      <c r="B6" s="25" t="s">
        <v>58</v>
      </c>
      <c r="C6" s="76">
        <v>0</v>
      </c>
      <c r="D6" s="41">
        <v>2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26">
        <v>0</v>
      </c>
      <c r="K6" s="27">
        <f t="shared" ref="K6:K52" si="0">SUM(C6:J6)</f>
        <v>2</v>
      </c>
      <c r="L6" s="26">
        <v>0</v>
      </c>
      <c r="M6" s="27">
        <f t="shared" ref="M6:M52" si="1">SUM(L6)</f>
        <v>0</v>
      </c>
      <c r="N6" s="27">
        <v>45</v>
      </c>
    </row>
    <row r="7" spans="1:14">
      <c r="A7" s="1" t="s">
        <v>1</v>
      </c>
      <c r="B7" s="25" t="s">
        <v>59</v>
      </c>
      <c r="C7" s="76">
        <v>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26">
        <v>0</v>
      </c>
      <c r="K7" s="27">
        <f t="shared" si="0"/>
        <v>0</v>
      </c>
      <c r="L7" s="26">
        <v>0</v>
      </c>
      <c r="M7" s="27">
        <f t="shared" si="1"/>
        <v>0</v>
      </c>
      <c r="N7" s="27">
        <v>15</v>
      </c>
    </row>
    <row r="8" spans="1:14">
      <c r="A8" s="1" t="s">
        <v>1</v>
      </c>
      <c r="B8" s="25" t="s">
        <v>60</v>
      </c>
      <c r="C8" s="76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26">
        <v>0</v>
      </c>
      <c r="K8" s="27">
        <f t="shared" si="0"/>
        <v>0</v>
      </c>
      <c r="L8" s="26">
        <v>0</v>
      </c>
      <c r="M8" s="27">
        <f t="shared" si="1"/>
        <v>0</v>
      </c>
      <c r="N8" s="27">
        <v>3</v>
      </c>
    </row>
    <row r="9" spans="1:14">
      <c r="A9" s="1" t="s">
        <v>1</v>
      </c>
      <c r="B9" s="25" t="s">
        <v>61</v>
      </c>
      <c r="C9" s="76">
        <v>1.5</v>
      </c>
      <c r="D9" s="41">
        <v>2.5</v>
      </c>
      <c r="E9" s="41">
        <v>3</v>
      </c>
      <c r="F9" s="41">
        <v>1</v>
      </c>
      <c r="G9" s="41">
        <v>2</v>
      </c>
      <c r="H9" s="41">
        <v>1</v>
      </c>
      <c r="I9" s="41">
        <v>0</v>
      </c>
      <c r="J9" s="26">
        <v>0</v>
      </c>
      <c r="K9" s="27">
        <f t="shared" si="0"/>
        <v>11</v>
      </c>
      <c r="L9" s="26">
        <v>3</v>
      </c>
      <c r="M9" s="27">
        <f t="shared" si="1"/>
        <v>3</v>
      </c>
      <c r="N9" s="27">
        <v>95</v>
      </c>
    </row>
    <row r="10" spans="1:14">
      <c r="A10" s="1" t="s">
        <v>1</v>
      </c>
      <c r="B10" s="25" t="s">
        <v>62</v>
      </c>
      <c r="C10" s="77">
        <v>0</v>
      </c>
      <c r="D10" s="43">
        <v>0</v>
      </c>
      <c r="E10" s="43">
        <v>2.75</v>
      </c>
      <c r="F10" s="43">
        <v>4.041666666666667</v>
      </c>
      <c r="G10" s="43">
        <v>2.9583333333333335</v>
      </c>
      <c r="H10" s="43">
        <v>2.9166666666666665</v>
      </c>
      <c r="I10" s="43">
        <v>2.7916666666666665</v>
      </c>
      <c r="J10" s="28">
        <v>3.6666666666666665</v>
      </c>
      <c r="K10" s="29">
        <f t="shared" si="0"/>
        <v>19.125</v>
      </c>
      <c r="L10" s="28">
        <v>0</v>
      </c>
      <c r="M10" s="29">
        <f t="shared" si="1"/>
        <v>0</v>
      </c>
      <c r="N10" s="29">
        <v>19.125</v>
      </c>
    </row>
    <row r="11" spans="1:14">
      <c r="A11" s="1" t="s">
        <v>1</v>
      </c>
      <c r="B11" s="25" t="s">
        <v>63</v>
      </c>
      <c r="C11" s="77">
        <v>0</v>
      </c>
      <c r="D11" s="43">
        <v>0.83333333333333337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28">
        <v>0</v>
      </c>
      <c r="K11" s="29">
        <f t="shared" si="0"/>
        <v>0.83333333333333337</v>
      </c>
      <c r="L11" s="28">
        <v>0</v>
      </c>
      <c r="M11" s="29">
        <f t="shared" si="1"/>
        <v>0</v>
      </c>
      <c r="N11" s="29">
        <v>24.166666666666664</v>
      </c>
    </row>
    <row r="12" spans="1:14">
      <c r="A12" s="1" t="s">
        <v>1</v>
      </c>
      <c r="B12" s="25" t="s">
        <v>64</v>
      </c>
      <c r="C12" s="77">
        <v>0</v>
      </c>
      <c r="D12" s="43">
        <v>0.41666666666666669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28">
        <v>0</v>
      </c>
      <c r="K12" s="29">
        <f t="shared" si="0"/>
        <v>0.41666666666666669</v>
      </c>
      <c r="L12" s="28">
        <v>0</v>
      </c>
      <c r="M12" s="29">
        <f t="shared" si="1"/>
        <v>0</v>
      </c>
      <c r="N12" s="29">
        <v>12.666666666666664</v>
      </c>
    </row>
    <row r="13" spans="1:14">
      <c r="A13" s="1" t="s">
        <v>1</v>
      </c>
      <c r="B13" s="25" t="s">
        <v>65</v>
      </c>
      <c r="C13" s="77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28">
        <v>0</v>
      </c>
      <c r="K13" s="29">
        <f t="shared" si="0"/>
        <v>0</v>
      </c>
      <c r="L13" s="28">
        <v>0</v>
      </c>
      <c r="M13" s="29">
        <f t="shared" si="1"/>
        <v>0</v>
      </c>
      <c r="N13" s="29">
        <v>5.0416666666666661</v>
      </c>
    </row>
    <row r="14" spans="1:14">
      <c r="A14" s="1" t="s">
        <v>1</v>
      </c>
      <c r="B14" s="25" t="s">
        <v>66</v>
      </c>
      <c r="C14" s="77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28">
        <v>0</v>
      </c>
      <c r="K14" s="29">
        <f t="shared" si="0"/>
        <v>0</v>
      </c>
      <c r="L14" s="28">
        <v>0</v>
      </c>
      <c r="M14" s="29">
        <f t="shared" si="1"/>
        <v>0</v>
      </c>
      <c r="N14" s="29">
        <v>0.875</v>
      </c>
    </row>
    <row r="15" spans="1:14">
      <c r="A15" s="1" t="s">
        <v>1</v>
      </c>
      <c r="B15" s="25" t="s">
        <v>67</v>
      </c>
      <c r="C15" s="77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28">
        <v>0</v>
      </c>
      <c r="K15" s="29">
        <f t="shared" si="0"/>
        <v>0</v>
      </c>
      <c r="L15" s="28">
        <v>0</v>
      </c>
      <c r="M15" s="29">
        <f t="shared" si="1"/>
        <v>0</v>
      </c>
      <c r="N15" s="29">
        <v>8.3333333333333329E-2</v>
      </c>
    </row>
    <row r="16" spans="1:14">
      <c r="A16" s="1" t="s">
        <v>1</v>
      </c>
      <c r="B16" s="25" t="s">
        <v>68</v>
      </c>
      <c r="C16" s="77">
        <v>0</v>
      </c>
      <c r="D16" s="43">
        <v>0</v>
      </c>
      <c r="E16" s="43">
        <v>0.75</v>
      </c>
      <c r="F16" s="43">
        <v>0.29166666666666669</v>
      </c>
      <c r="G16" s="43">
        <v>0.58333333333333337</v>
      </c>
      <c r="H16" s="43">
        <v>0.29166666666666669</v>
      </c>
      <c r="I16" s="43">
        <v>0</v>
      </c>
      <c r="J16" s="28">
        <v>0</v>
      </c>
      <c r="K16" s="29">
        <f t="shared" si="0"/>
        <v>1.9166666666666667</v>
      </c>
      <c r="L16" s="28">
        <v>0</v>
      </c>
      <c r="M16" s="29">
        <f t="shared" si="1"/>
        <v>0</v>
      </c>
      <c r="N16" s="29">
        <v>1.9166666666666667</v>
      </c>
    </row>
    <row r="17" spans="1:14">
      <c r="A17" s="1" t="s">
        <v>1</v>
      </c>
      <c r="B17" s="5" t="s">
        <v>69</v>
      </c>
      <c r="C17" s="78">
        <v>0.125</v>
      </c>
      <c r="D17" s="45">
        <v>0</v>
      </c>
      <c r="E17" s="45">
        <v>0</v>
      </c>
      <c r="F17" s="45">
        <v>0</v>
      </c>
      <c r="G17" s="45">
        <v>2.0833333333333335</v>
      </c>
      <c r="H17" s="45">
        <v>2.0833333333333335</v>
      </c>
      <c r="I17" s="45">
        <v>1.0416666666666667</v>
      </c>
      <c r="J17" s="6">
        <v>1.25</v>
      </c>
      <c r="K17" s="7">
        <f t="shared" si="0"/>
        <v>6.5833333333333339</v>
      </c>
      <c r="L17" s="6">
        <v>0</v>
      </c>
      <c r="M17" s="7">
        <f t="shared" si="1"/>
        <v>0</v>
      </c>
      <c r="N17" s="7">
        <v>14.375000000000002</v>
      </c>
    </row>
    <row r="18" spans="1:14">
      <c r="A18" s="1" t="s">
        <v>1</v>
      </c>
      <c r="B18" s="13" t="s">
        <v>70</v>
      </c>
      <c r="C18" s="79">
        <v>15.5</v>
      </c>
      <c r="D18" s="47">
        <v>35.5</v>
      </c>
      <c r="E18" s="47">
        <v>15</v>
      </c>
      <c r="F18" s="47">
        <v>18</v>
      </c>
      <c r="G18" s="47">
        <v>2</v>
      </c>
      <c r="H18" s="47">
        <v>3</v>
      </c>
      <c r="I18" s="47">
        <v>4</v>
      </c>
      <c r="J18" s="14">
        <v>26</v>
      </c>
      <c r="K18" s="15">
        <f t="shared" si="0"/>
        <v>119</v>
      </c>
      <c r="L18" s="14">
        <v>34</v>
      </c>
      <c r="M18" s="15"/>
      <c r="N18" s="15"/>
    </row>
    <row r="19" spans="1:14">
      <c r="A19" s="1" t="s">
        <v>1</v>
      </c>
      <c r="B19" s="19" t="s">
        <v>71</v>
      </c>
      <c r="C19" s="80">
        <v>365000</v>
      </c>
      <c r="D19" s="49">
        <v>270000</v>
      </c>
      <c r="E19" s="49">
        <v>0</v>
      </c>
      <c r="F19" s="49">
        <v>0</v>
      </c>
      <c r="G19" s="49">
        <v>0</v>
      </c>
      <c r="H19" s="49">
        <v>0</v>
      </c>
      <c r="I19" s="49">
        <v>0</v>
      </c>
      <c r="J19" s="20">
        <v>0</v>
      </c>
      <c r="K19" s="21">
        <f t="shared" si="0"/>
        <v>635000</v>
      </c>
      <c r="L19" s="20">
        <v>385000</v>
      </c>
      <c r="M19" s="21">
        <f t="shared" si="1"/>
        <v>385000</v>
      </c>
      <c r="N19" s="21">
        <v>4266000</v>
      </c>
    </row>
    <row r="20" spans="1:14">
      <c r="A20" s="1" t="s">
        <v>1</v>
      </c>
      <c r="B20" s="25" t="s">
        <v>72</v>
      </c>
      <c r="C20" s="8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30">
        <v>0</v>
      </c>
      <c r="K20" s="31">
        <f t="shared" si="0"/>
        <v>0</v>
      </c>
      <c r="L20" s="30">
        <v>0</v>
      </c>
      <c r="M20" s="31">
        <f t="shared" si="1"/>
        <v>0</v>
      </c>
      <c r="N20" s="31">
        <v>50000</v>
      </c>
    </row>
    <row r="21" spans="1:14">
      <c r="A21" s="1" t="s">
        <v>1</v>
      </c>
      <c r="B21" s="25" t="s">
        <v>73</v>
      </c>
      <c r="C21" s="81">
        <v>0</v>
      </c>
      <c r="D21" s="51">
        <v>3000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30">
        <v>0</v>
      </c>
      <c r="K21" s="31">
        <f t="shared" si="0"/>
        <v>3000</v>
      </c>
      <c r="L21" s="30">
        <v>0</v>
      </c>
      <c r="M21" s="31">
        <f t="shared" si="1"/>
        <v>0</v>
      </c>
      <c r="N21" s="31">
        <v>9000</v>
      </c>
    </row>
    <row r="22" spans="1:14">
      <c r="A22" s="1" t="s">
        <v>1</v>
      </c>
      <c r="B22" s="25" t="s">
        <v>74</v>
      </c>
      <c r="C22" s="8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30">
        <v>0</v>
      </c>
      <c r="K22" s="31">
        <f t="shared" si="0"/>
        <v>0</v>
      </c>
      <c r="L22" s="30">
        <v>0</v>
      </c>
      <c r="M22" s="31">
        <f t="shared" si="1"/>
        <v>0</v>
      </c>
      <c r="N22" s="31">
        <v>237735</v>
      </c>
    </row>
    <row r="23" spans="1:14">
      <c r="A23" s="1" t="s">
        <v>1</v>
      </c>
      <c r="B23" s="25" t="s">
        <v>75</v>
      </c>
      <c r="C23" s="81">
        <v>0</v>
      </c>
      <c r="D23" s="51">
        <v>0</v>
      </c>
      <c r="E23" s="51">
        <v>64680</v>
      </c>
      <c r="F23" s="51">
        <v>97000</v>
      </c>
      <c r="G23" s="51">
        <v>65320</v>
      </c>
      <c r="H23" s="51">
        <v>64400</v>
      </c>
      <c r="I23" s="51">
        <v>61640</v>
      </c>
      <c r="J23" s="30">
        <v>80960</v>
      </c>
      <c r="K23" s="31">
        <f t="shared" si="0"/>
        <v>434000</v>
      </c>
      <c r="L23" s="30">
        <v>0</v>
      </c>
      <c r="M23" s="31">
        <f t="shared" si="1"/>
        <v>0</v>
      </c>
      <c r="N23" s="31">
        <v>434000</v>
      </c>
    </row>
    <row r="24" spans="1:14">
      <c r="A24" s="1" t="s">
        <v>1</v>
      </c>
      <c r="B24" s="25" t="s">
        <v>76</v>
      </c>
      <c r="C24" s="8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30">
        <v>0</v>
      </c>
      <c r="K24" s="31">
        <f t="shared" si="0"/>
        <v>0</v>
      </c>
      <c r="L24" s="30">
        <v>0</v>
      </c>
      <c r="M24" s="31">
        <f t="shared" si="1"/>
        <v>0</v>
      </c>
      <c r="N24" s="31">
        <v>47000</v>
      </c>
    </row>
    <row r="25" spans="1:14">
      <c r="A25" s="1" t="s">
        <v>1</v>
      </c>
      <c r="B25" s="25" t="s">
        <v>77</v>
      </c>
      <c r="C25" s="81">
        <v>0</v>
      </c>
      <c r="D25" s="51">
        <v>0</v>
      </c>
      <c r="E25" s="51">
        <v>17640</v>
      </c>
      <c r="F25" s="51">
        <v>7000</v>
      </c>
      <c r="G25" s="51">
        <v>12880</v>
      </c>
      <c r="H25" s="51">
        <v>6440</v>
      </c>
      <c r="I25" s="51">
        <v>0</v>
      </c>
      <c r="J25" s="30">
        <v>0</v>
      </c>
      <c r="K25" s="31">
        <f t="shared" si="0"/>
        <v>43960</v>
      </c>
      <c r="L25" s="30">
        <v>0</v>
      </c>
      <c r="M25" s="31">
        <f t="shared" si="1"/>
        <v>0</v>
      </c>
      <c r="N25" s="31">
        <v>43960</v>
      </c>
    </row>
    <row r="26" spans="1:14">
      <c r="A26" s="1" t="s">
        <v>1</v>
      </c>
      <c r="B26" s="25" t="s">
        <v>78</v>
      </c>
      <c r="C26" s="8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30">
        <v>0</v>
      </c>
      <c r="K26" s="31">
        <f t="shared" si="0"/>
        <v>0</v>
      </c>
      <c r="L26" s="30">
        <v>0</v>
      </c>
      <c r="M26" s="31">
        <f t="shared" si="1"/>
        <v>0</v>
      </c>
      <c r="N26" s="31">
        <v>6020</v>
      </c>
    </row>
    <row r="27" spans="1:14">
      <c r="A27" s="1" t="s">
        <v>1</v>
      </c>
      <c r="B27" s="25" t="s">
        <v>63</v>
      </c>
      <c r="C27" s="81">
        <v>0</v>
      </c>
      <c r="D27" s="51">
        <v>40880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30">
        <v>0</v>
      </c>
      <c r="K27" s="31">
        <f t="shared" si="0"/>
        <v>40880</v>
      </c>
      <c r="L27" s="30">
        <v>0</v>
      </c>
      <c r="M27" s="31">
        <f t="shared" si="1"/>
        <v>0</v>
      </c>
      <c r="N27" s="31">
        <v>816645</v>
      </c>
    </row>
    <row r="28" spans="1:14">
      <c r="A28" s="1" t="s">
        <v>1</v>
      </c>
      <c r="B28" s="25" t="s">
        <v>79</v>
      </c>
      <c r="C28" s="81">
        <v>0</v>
      </c>
      <c r="D28" s="51">
        <v>22070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30">
        <v>0</v>
      </c>
      <c r="K28" s="31">
        <f t="shared" si="0"/>
        <v>22070</v>
      </c>
      <c r="L28" s="30">
        <v>0</v>
      </c>
      <c r="M28" s="31">
        <f t="shared" si="1"/>
        <v>0</v>
      </c>
      <c r="N28" s="31">
        <v>466498</v>
      </c>
    </row>
    <row r="29" spans="1:14">
      <c r="A29" s="1" t="s">
        <v>1</v>
      </c>
      <c r="B29" s="25" t="s">
        <v>80</v>
      </c>
      <c r="C29" s="8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30">
        <v>0</v>
      </c>
      <c r="K29" s="31">
        <f t="shared" si="0"/>
        <v>0</v>
      </c>
      <c r="L29" s="30">
        <v>0</v>
      </c>
      <c r="M29" s="31">
        <f t="shared" si="1"/>
        <v>0</v>
      </c>
      <c r="N29" s="31">
        <v>180556</v>
      </c>
    </row>
    <row r="30" spans="1:14">
      <c r="A30" s="1" t="s">
        <v>1</v>
      </c>
      <c r="B30" s="25" t="s">
        <v>81</v>
      </c>
      <c r="C30" s="8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30">
        <v>0</v>
      </c>
      <c r="K30" s="31">
        <f t="shared" si="0"/>
        <v>0</v>
      </c>
      <c r="L30" s="30">
        <v>0</v>
      </c>
      <c r="M30" s="31">
        <f t="shared" si="1"/>
        <v>0</v>
      </c>
      <c r="N30" s="31">
        <v>7524</v>
      </c>
    </row>
    <row r="31" spans="1:14">
      <c r="A31" s="1" t="s">
        <v>1</v>
      </c>
      <c r="B31" s="25" t="s">
        <v>67</v>
      </c>
      <c r="C31" s="8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30">
        <v>0</v>
      </c>
      <c r="K31" s="31">
        <f t="shared" si="0"/>
        <v>0</v>
      </c>
      <c r="L31" s="30">
        <v>0</v>
      </c>
      <c r="M31" s="31">
        <f t="shared" si="1"/>
        <v>0</v>
      </c>
      <c r="N31" s="31">
        <v>556</v>
      </c>
    </row>
    <row r="32" spans="1:14">
      <c r="A32" s="1" t="s">
        <v>1</v>
      </c>
      <c r="B32" s="5" t="s">
        <v>69</v>
      </c>
      <c r="C32" s="82">
        <v>1641</v>
      </c>
      <c r="D32" s="53">
        <v>0</v>
      </c>
      <c r="E32" s="53">
        <v>0</v>
      </c>
      <c r="F32" s="53">
        <v>0</v>
      </c>
      <c r="G32" s="53">
        <v>11500</v>
      </c>
      <c r="H32" s="53">
        <v>11500</v>
      </c>
      <c r="I32" s="53">
        <v>5750</v>
      </c>
      <c r="J32" s="8">
        <v>6900</v>
      </c>
      <c r="K32" s="9">
        <f t="shared" si="0"/>
        <v>37291</v>
      </c>
      <c r="L32" s="8">
        <v>0</v>
      </c>
      <c r="M32" s="9">
        <f t="shared" si="1"/>
        <v>0</v>
      </c>
      <c r="N32" s="9">
        <v>89255</v>
      </c>
    </row>
    <row r="33" spans="1:14">
      <c r="A33" s="1" t="s">
        <v>1</v>
      </c>
      <c r="B33" s="13" t="s">
        <v>82</v>
      </c>
      <c r="C33" s="83">
        <v>366641</v>
      </c>
      <c r="D33" s="55">
        <v>335950</v>
      </c>
      <c r="E33" s="55">
        <v>82320</v>
      </c>
      <c r="F33" s="55">
        <v>104000</v>
      </c>
      <c r="G33" s="55">
        <v>89700</v>
      </c>
      <c r="H33" s="55">
        <v>82340</v>
      </c>
      <c r="I33" s="55">
        <v>67390</v>
      </c>
      <c r="J33" s="17">
        <v>87860</v>
      </c>
      <c r="K33" s="18">
        <f t="shared" si="0"/>
        <v>1216201</v>
      </c>
      <c r="L33" s="17">
        <v>385000</v>
      </c>
      <c r="M33" s="18">
        <f t="shared" si="1"/>
        <v>385000</v>
      </c>
      <c r="N33" s="18">
        <v>6654749</v>
      </c>
    </row>
    <row r="34" spans="1:14">
      <c r="A34" s="1" t="s">
        <v>1</v>
      </c>
      <c r="B34" s="19" t="s">
        <v>83</v>
      </c>
      <c r="C34" s="80">
        <v>3724</v>
      </c>
      <c r="D34" s="49">
        <v>5586</v>
      </c>
      <c r="E34" s="49">
        <v>2591</v>
      </c>
      <c r="F34" s="49">
        <v>2294</v>
      </c>
      <c r="G34" s="49">
        <v>3239</v>
      </c>
      <c r="H34" s="49">
        <v>4318</v>
      </c>
      <c r="I34" s="49">
        <v>3158</v>
      </c>
      <c r="J34" s="20">
        <v>7178</v>
      </c>
      <c r="K34" s="21">
        <f t="shared" si="0"/>
        <v>32088</v>
      </c>
      <c r="L34" s="20">
        <v>7367</v>
      </c>
      <c r="M34" s="21">
        <f t="shared" si="1"/>
        <v>7367</v>
      </c>
      <c r="N34" s="21">
        <v>136338</v>
      </c>
    </row>
    <row r="35" spans="1:14">
      <c r="A35" s="1" t="s">
        <v>1</v>
      </c>
      <c r="B35" s="5" t="s">
        <v>84</v>
      </c>
      <c r="C35" s="82">
        <v>3724</v>
      </c>
      <c r="D35" s="53">
        <v>5586</v>
      </c>
      <c r="E35" s="53">
        <v>2591</v>
      </c>
      <c r="F35" s="53">
        <v>2294</v>
      </c>
      <c r="G35" s="53">
        <v>3239</v>
      </c>
      <c r="H35" s="53">
        <v>4318</v>
      </c>
      <c r="I35" s="53">
        <v>3158</v>
      </c>
      <c r="J35" s="8">
        <v>7178</v>
      </c>
      <c r="K35" s="9">
        <f t="shared" si="0"/>
        <v>32088</v>
      </c>
      <c r="L35" s="8">
        <v>7367</v>
      </c>
      <c r="M35" s="9">
        <f t="shared" si="1"/>
        <v>7367</v>
      </c>
      <c r="N35" s="9">
        <v>136338</v>
      </c>
    </row>
    <row r="36" spans="1:14">
      <c r="A36" s="1" t="s">
        <v>1</v>
      </c>
      <c r="B36" s="13" t="s">
        <v>85</v>
      </c>
      <c r="C36" s="83">
        <v>370365</v>
      </c>
      <c r="D36" s="55">
        <v>341536</v>
      </c>
      <c r="E36" s="55">
        <v>84911</v>
      </c>
      <c r="F36" s="55">
        <v>106294</v>
      </c>
      <c r="G36" s="55">
        <v>92939</v>
      </c>
      <c r="H36" s="55">
        <v>86658</v>
      </c>
      <c r="I36" s="55">
        <v>70548</v>
      </c>
      <c r="J36" s="17">
        <v>95038</v>
      </c>
      <c r="K36" s="18">
        <f t="shared" si="0"/>
        <v>1248289</v>
      </c>
      <c r="L36" s="17">
        <v>392367</v>
      </c>
      <c r="M36" s="18">
        <f t="shared" si="1"/>
        <v>392367</v>
      </c>
      <c r="N36" s="18">
        <v>6791087</v>
      </c>
    </row>
    <row r="37" spans="1:14">
      <c r="A37" s="1" t="s">
        <v>1</v>
      </c>
      <c r="B37" s="19" t="s">
        <v>86</v>
      </c>
      <c r="C37" s="80">
        <v>18360</v>
      </c>
      <c r="D37" s="49">
        <v>19380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20">
        <v>0</v>
      </c>
      <c r="K37" s="21">
        <f t="shared" si="0"/>
        <v>37740</v>
      </c>
      <c r="L37" s="20">
        <v>19380</v>
      </c>
      <c r="M37" s="21">
        <f t="shared" si="1"/>
        <v>19380</v>
      </c>
      <c r="N37" s="21">
        <v>357510</v>
      </c>
    </row>
    <row r="38" spans="1:14">
      <c r="A38" s="1" t="s">
        <v>1</v>
      </c>
      <c r="B38" s="25" t="s">
        <v>87</v>
      </c>
      <c r="C38" s="81">
        <v>3240</v>
      </c>
      <c r="D38" s="51">
        <v>3420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30">
        <v>0</v>
      </c>
      <c r="K38" s="31">
        <f t="shared" si="0"/>
        <v>6660</v>
      </c>
      <c r="L38" s="30">
        <v>3420</v>
      </c>
      <c r="M38" s="31">
        <f t="shared" si="1"/>
        <v>3420</v>
      </c>
      <c r="N38" s="31">
        <v>60030</v>
      </c>
    </row>
    <row r="39" spans="1:14">
      <c r="A39" s="1" t="s">
        <v>1</v>
      </c>
      <c r="B39" s="25" t="s">
        <v>88</v>
      </c>
      <c r="C39" s="81">
        <v>32940</v>
      </c>
      <c r="D39" s="51">
        <v>34770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30">
        <v>0</v>
      </c>
      <c r="K39" s="31">
        <f t="shared" si="0"/>
        <v>67710</v>
      </c>
      <c r="L39" s="30">
        <v>34770</v>
      </c>
      <c r="M39" s="31">
        <f t="shared" si="1"/>
        <v>34770</v>
      </c>
      <c r="N39" s="31">
        <v>641415</v>
      </c>
    </row>
    <row r="40" spans="1:14">
      <c r="A40" s="1" t="s">
        <v>1</v>
      </c>
      <c r="B40" s="5" t="s">
        <v>89</v>
      </c>
      <c r="C40" s="82">
        <v>2222</v>
      </c>
      <c r="D40" s="53">
        <v>2049</v>
      </c>
      <c r="E40" s="53">
        <v>509</v>
      </c>
      <c r="F40" s="53">
        <v>638</v>
      </c>
      <c r="G40" s="53">
        <v>0</v>
      </c>
      <c r="H40" s="53">
        <v>0</v>
      </c>
      <c r="I40" s="53">
        <v>0</v>
      </c>
      <c r="J40" s="8">
        <v>570</v>
      </c>
      <c r="K40" s="9">
        <f t="shared" si="0"/>
        <v>5988</v>
      </c>
      <c r="L40" s="8">
        <v>2354</v>
      </c>
      <c r="M40" s="9">
        <f t="shared" si="1"/>
        <v>2354</v>
      </c>
      <c r="N40" s="9">
        <v>39244</v>
      </c>
    </row>
    <row r="41" spans="1:14">
      <c r="A41" s="1" t="s">
        <v>1</v>
      </c>
      <c r="B41" s="13" t="s">
        <v>90</v>
      </c>
      <c r="C41" s="83">
        <v>56762</v>
      </c>
      <c r="D41" s="55">
        <v>59619</v>
      </c>
      <c r="E41" s="55">
        <v>509</v>
      </c>
      <c r="F41" s="55">
        <v>638</v>
      </c>
      <c r="G41" s="55">
        <v>0</v>
      </c>
      <c r="H41" s="55">
        <v>0</v>
      </c>
      <c r="I41" s="55">
        <v>0</v>
      </c>
      <c r="J41" s="17">
        <v>570</v>
      </c>
      <c r="K41" s="18">
        <f t="shared" si="0"/>
        <v>118098</v>
      </c>
      <c r="L41" s="17">
        <v>59924</v>
      </c>
      <c r="M41" s="18">
        <f t="shared" si="1"/>
        <v>59924</v>
      </c>
      <c r="N41" s="18">
        <v>1098199</v>
      </c>
    </row>
    <row r="42" spans="1:14">
      <c r="A42" s="1" t="s">
        <v>1</v>
      </c>
      <c r="B42" s="19" t="s">
        <v>91</v>
      </c>
      <c r="C42" s="80">
        <v>0</v>
      </c>
      <c r="D42" s="49">
        <v>0</v>
      </c>
      <c r="E42" s="49">
        <v>0</v>
      </c>
      <c r="F42" s="49">
        <v>0</v>
      </c>
      <c r="G42" s="49">
        <v>0</v>
      </c>
      <c r="H42" s="49">
        <v>0</v>
      </c>
      <c r="I42" s="49">
        <v>0</v>
      </c>
      <c r="J42" s="20">
        <v>0</v>
      </c>
      <c r="K42" s="21">
        <f t="shared" si="0"/>
        <v>0</v>
      </c>
      <c r="L42" s="20">
        <v>10430</v>
      </c>
      <c r="M42" s="21">
        <f t="shared" si="1"/>
        <v>10430</v>
      </c>
      <c r="N42" s="21">
        <v>34394</v>
      </c>
    </row>
    <row r="43" spans="1:14">
      <c r="A43" s="1" t="s">
        <v>1</v>
      </c>
      <c r="B43" s="25" t="s">
        <v>92</v>
      </c>
      <c r="C43" s="8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30">
        <v>0</v>
      </c>
      <c r="K43" s="31">
        <f t="shared" si="0"/>
        <v>0</v>
      </c>
      <c r="L43" s="30">
        <v>0</v>
      </c>
      <c r="M43" s="31">
        <f t="shared" si="1"/>
        <v>0</v>
      </c>
      <c r="N43" s="31">
        <v>18200</v>
      </c>
    </row>
    <row r="44" spans="1:14">
      <c r="A44" s="1" t="s">
        <v>1</v>
      </c>
      <c r="B44" s="5" t="s">
        <v>93</v>
      </c>
      <c r="C44" s="82">
        <v>18600</v>
      </c>
      <c r="D44" s="53">
        <v>17000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8">
        <v>2700</v>
      </c>
      <c r="K44" s="9">
        <f t="shared" si="0"/>
        <v>38300</v>
      </c>
      <c r="L44" s="8">
        <v>21700</v>
      </c>
      <c r="M44" s="9">
        <f t="shared" si="1"/>
        <v>21700</v>
      </c>
      <c r="N44" s="9">
        <v>269300</v>
      </c>
    </row>
    <row r="45" spans="1:14">
      <c r="A45" s="1" t="s">
        <v>1</v>
      </c>
      <c r="B45" s="13" t="s">
        <v>94</v>
      </c>
      <c r="C45" s="83">
        <v>75362</v>
      </c>
      <c r="D45" s="55">
        <v>76619</v>
      </c>
      <c r="E45" s="55">
        <v>509</v>
      </c>
      <c r="F45" s="55">
        <v>638</v>
      </c>
      <c r="G45" s="55">
        <v>0</v>
      </c>
      <c r="H45" s="55">
        <v>0</v>
      </c>
      <c r="I45" s="55">
        <v>0</v>
      </c>
      <c r="J45" s="17">
        <v>3270</v>
      </c>
      <c r="K45" s="18">
        <f t="shared" si="0"/>
        <v>156398</v>
      </c>
      <c r="L45" s="17">
        <v>92054</v>
      </c>
      <c r="M45" s="18">
        <f t="shared" si="1"/>
        <v>92054</v>
      </c>
      <c r="N45" s="18">
        <v>1420093</v>
      </c>
    </row>
    <row r="46" spans="1:14">
      <c r="A46" s="1" t="s">
        <v>1</v>
      </c>
      <c r="B46" s="13" t="s">
        <v>95</v>
      </c>
      <c r="C46" s="83">
        <v>309879</v>
      </c>
      <c r="D46" s="55">
        <v>276331</v>
      </c>
      <c r="E46" s="55">
        <v>81811</v>
      </c>
      <c r="F46" s="55">
        <v>103362</v>
      </c>
      <c r="G46" s="55">
        <v>89700</v>
      </c>
      <c r="H46" s="55">
        <v>82340</v>
      </c>
      <c r="I46" s="55">
        <v>67390</v>
      </c>
      <c r="J46" s="17">
        <v>87290</v>
      </c>
      <c r="K46" s="18">
        <f t="shared" si="0"/>
        <v>1098103</v>
      </c>
      <c r="L46" s="17">
        <v>325076</v>
      </c>
      <c r="M46" s="18">
        <f t="shared" si="1"/>
        <v>325076</v>
      </c>
      <c r="N46" s="18">
        <v>5556550</v>
      </c>
    </row>
    <row r="47" spans="1:14">
      <c r="A47" s="1" t="s">
        <v>1</v>
      </c>
      <c r="B47" s="13" t="s">
        <v>96</v>
      </c>
      <c r="C47" s="83">
        <v>295003</v>
      </c>
      <c r="D47" s="55">
        <v>264917</v>
      </c>
      <c r="E47" s="55">
        <v>84402</v>
      </c>
      <c r="F47" s="55">
        <v>105656</v>
      </c>
      <c r="G47" s="55">
        <v>92939</v>
      </c>
      <c r="H47" s="55">
        <v>86658</v>
      </c>
      <c r="I47" s="55">
        <v>70548</v>
      </c>
      <c r="J47" s="17">
        <v>91768</v>
      </c>
      <c r="K47" s="18">
        <f t="shared" si="0"/>
        <v>1091891</v>
      </c>
      <c r="L47" s="17">
        <v>300313</v>
      </c>
      <c r="M47" s="18">
        <f t="shared" si="1"/>
        <v>300313</v>
      </c>
      <c r="N47" s="18">
        <v>5370994</v>
      </c>
    </row>
    <row r="48" spans="1:14">
      <c r="A48" s="1" t="s">
        <v>1</v>
      </c>
      <c r="B48" s="13" t="s">
        <v>97</v>
      </c>
      <c r="C48" s="83">
        <v>295003</v>
      </c>
      <c r="D48" s="55">
        <v>264917</v>
      </c>
      <c r="E48" s="55">
        <v>84402</v>
      </c>
      <c r="F48" s="55">
        <v>105656</v>
      </c>
      <c r="G48" s="55">
        <v>92939</v>
      </c>
      <c r="H48" s="55">
        <v>86658</v>
      </c>
      <c r="I48" s="55">
        <v>70548</v>
      </c>
      <c r="J48" s="17">
        <v>91768</v>
      </c>
      <c r="K48" s="18">
        <f t="shared" si="0"/>
        <v>1091891</v>
      </c>
      <c r="L48" s="17">
        <v>300313</v>
      </c>
      <c r="M48" s="18">
        <f t="shared" si="1"/>
        <v>300313</v>
      </c>
      <c r="N48" s="18">
        <v>5370994</v>
      </c>
    </row>
    <row r="49" spans="1:14">
      <c r="A49" s="1" t="s">
        <v>1</v>
      </c>
      <c r="B49" s="13" t="s">
        <v>98</v>
      </c>
      <c r="C49" s="83">
        <v>0</v>
      </c>
      <c r="D49" s="55">
        <v>1</v>
      </c>
      <c r="E49" s="55">
        <v>0</v>
      </c>
      <c r="F49" s="55">
        <v>0</v>
      </c>
      <c r="G49" s="55">
        <v>1</v>
      </c>
      <c r="H49" s="55">
        <v>1</v>
      </c>
      <c r="I49" s="55">
        <v>1</v>
      </c>
      <c r="J49" s="17">
        <v>1</v>
      </c>
      <c r="K49" s="18"/>
      <c r="L49" s="17">
        <v>0</v>
      </c>
      <c r="M49" s="18"/>
      <c r="N49" s="18"/>
    </row>
    <row r="50" spans="1:14">
      <c r="A50" s="1" t="s">
        <v>1</v>
      </c>
      <c r="B50" s="13" t="s">
        <v>99</v>
      </c>
      <c r="C50" s="84" t="s">
        <v>100</v>
      </c>
      <c r="D50" s="57" t="s">
        <v>100</v>
      </c>
      <c r="E50" s="57" t="s">
        <v>100</v>
      </c>
      <c r="F50" s="57" t="s">
        <v>100</v>
      </c>
      <c r="G50" s="57" t="s">
        <v>100</v>
      </c>
      <c r="H50" s="57" t="s">
        <v>100</v>
      </c>
      <c r="I50" s="57" t="s">
        <v>100</v>
      </c>
      <c r="J50" s="32" t="s">
        <v>100</v>
      </c>
      <c r="K50" s="33"/>
      <c r="L50" s="32" t="s">
        <v>100</v>
      </c>
      <c r="M50" s="33"/>
      <c r="N50" s="33"/>
    </row>
    <row r="51" spans="1:14">
      <c r="A51" s="1" t="s">
        <v>1</v>
      </c>
      <c r="B51" s="13" t="s">
        <v>101</v>
      </c>
      <c r="C51" s="83">
        <v>9190</v>
      </c>
      <c r="D51" s="55">
        <v>5880</v>
      </c>
      <c r="E51" s="55">
        <v>0</v>
      </c>
      <c r="F51" s="55">
        <v>890</v>
      </c>
      <c r="G51" s="55">
        <v>0</v>
      </c>
      <c r="H51" s="55">
        <v>0</v>
      </c>
      <c r="I51" s="55">
        <v>0</v>
      </c>
      <c r="J51" s="17">
        <v>0</v>
      </c>
      <c r="K51" s="18">
        <f t="shared" si="0"/>
        <v>15960</v>
      </c>
      <c r="L51" s="17">
        <v>10430</v>
      </c>
      <c r="M51" s="18">
        <f t="shared" si="1"/>
        <v>10430</v>
      </c>
      <c r="N51" s="18">
        <v>116660</v>
      </c>
    </row>
    <row r="52" spans="1:14">
      <c r="A52" s="1" t="s">
        <v>1</v>
      </c>
      <c r="B52" s="13" t="s">
        <v>102</v>
      </c>
      <c r="C52" s="83">
        <v>9190</v>
      </c>
      <c r="D52" s="55">
        <v>5880</v>
      </c>
      <c r="E52" s="55">
        <v>0</v>
      </c>
      <c r="F52" s="55">
        <v>890</v>
      </c>
      <c r="G52" s="55">
        <v>0</v>
      </c>
      <c r="H52" s="55">
        <v>0</v>
      </c>
      <c r="I52" s="55">
        <v>0</v>
      </c>
      <c r="J52" s="17">
        <v>0</v>
      </c>
      <c r="K52" s="18">
        <f t="shared" si="0"/>
        <v>15960</v>
      </c>
      <c r="L52" s="17">
        <v>0</v>
      </c>
      <c r="M52" s="18">
        <f t="shared" si="1"/>
        <v>0</v>
      </c>
      <c r="N52" s="18">
        <v>82266</v>
      </c>
    </row>
    <row r="53" spans="1:14" ht="19.5" thickBot="1">
      <c r="A53" s="1" t="s">
        <v>1</v>
      </c>
      <c r="B53" s="10" t="s">
        <v>103</v>
      </c>
      <c r="C53" s="85">
        <v>90000</v>
      </c>
      <c r="D53" s="59">
        <v>60000</v>
      </c>
      <c r="E53" s="59">
        <v>0</v>
      </c>
      <c r="F53" s="59">
        <v>30000</v>
      </c>
      <c r="G53" s="59">
        <v>60000</v>
      </c>
      <c r="H53" s="59">
        <v>60000</v>
      </c>
      <c r="I53" s="59">
        <v>60000</v>
      </c>
      <c r="J53" s="11">
        <v>60000</v>
      </c>
      <c r="K53" s="12"/>
      <c r="L53" s="11">
        <v>30000</v>
      </c>
      <c r="M53" s="12"/>
      <c r="N53" s="12"/>
    </row>
    <row r="55" spans="1:14">
      <c r="E55" s="2">
        <f>E23/66</f>
        <v>980</v>
      </c>
      <c r="F55" s="2">
        <f>F23/97</f>
        <v>1000</v>
      </c>
    </row>
  </sheetData>
  <phoneticPr fontId="3"/>
  <pageMargins left="0.31496062992125984" right="0.31496062992125984" top="0.35433070866141736" bottom="0.35433070866141736" header="0.11811023622047245" footer="0.11811023622047245"/>
  <pageSetup paperSize="12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DB64-8D29-4ECD-9A09-7D8340D22D5A}">
  <sheetPr>
    <pageSetUpPr fitToPage="1"/>
  </sheetPr>
  <dimension ref="A1:U53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1" width="11.125" style="2" customWidth="1"/>
    <col min="22" max="246" width="9" style="2"/>
    <col min="247" max="247" width="2.375" style="2" customWidth="1"/>
    <col min="248" max="248" width="13.25" style="2" bestFit="1" customWidth="1"/>
    <col min="249" max="250" width="11.125" style="2" bestFit="1" customWidth="1"/>
    <col min="251" max="251" width="13.25" style="2" bestFit="1" customWidth="1"/>
    <col min="252" max="252" width="11.125" style="2" bestFit="1" customWidth="1"/>
    <col min="253" max="253" width="9" style="2"/>
    <col min="254" max="254" width="11.125" style="2" bestFit="1" customWidth="1"/>
    <col min="255" max="255" width="9" style="2"/>
    <col min="256" max="267" width="11.125" style="2" bestFit="1" customWidth="1"/>
    <col min="268" max="268" width="9" style="2"/>
    <col min="269" max="275" width="11.125" style="2" bestFit="1" customWidth="1"/>
    <col min="276" max="276" width="9.625" style="2" bestFit="1" customWidth="1"/>
    <col min="277" max="502" width="9" style="2"/>
    <col min="503" max="503" width="2.375" style="2" customWidth="1"/>
    <col min="504" max="504" width="13.25" style="2" bestFit="1" customWidth="1"/>
    <col min="505" max="506" width="11.125" style="2" bestFit="1" customWidth="1"/>
    <col min="507" max="507" width="13.25" style="2" bestFit="1" customWidth="1"/>
    <col min="508" max="508" width="11.125" style="2" bestFit="1" customWidth="1"/>
    <col min="509" max="509" width="9" style="2"/>
    <col min="510" max="510" width="11.125" style="2" bestFit="1" customWidth="1"/>
    <col min="511" max="511" width="9" style="2"/>
    <col min="512" max="523" width="11.125" style="2" bestFit="1" customWidth="1"/>
    <col min="524" max="524" width="9" style="2"/>
    <col min="525" max="531" width="11.125" style="2" bestFit="1" customWidth="1"/>
    <col min="532" max="532" width="9.625" style="2" bestFit="1" customWidth="1"/>
    <col min="533" max="758" width="9" style="2"/>
    <col min="759" max="759" width="2.375" style="2" customWidth="1"/>
    <col min="760" max="760" width="13.25" style="2" bestFit="1" customWidth="1"/>
    <col min="761" max="762" width="11.125" style="2" bestFit="1" customWidth="1"/>
    <col min="763" max="763" width="13.25" style="2" bestFit="1" customWidth="1"/>
    <col min="764" max="764" width="11.125" style="2" bestFit="1" customWidth="1"/>
    <col min="765" max="765" width="9" style="2"/>
    <col min="766" max="766" width="11.125" style="2" bestFit="1" customWidth="1"/>
    <col min="767" max="767" width="9" style="2"/>
    <col min="768" max="779" width="11.125" style="2" bestFit="1" customWidth="1"/>
    <col min="780" max="780" width="9" style="2"/>
    <col min="781" max="787" width="11.125" style="2" bestFit="1" customWidth="1"/>
    <col min="788" max="788" width="9.625" style="2" bestFit="1" customWidth="1"/>
    <col min="789" max="1014" width="9" style="2"/>
    <col min="1015" max="1015" width="2.375" style="2" customWidth="1"/>
    <col min="1016" max="1016" width="13.25" style="2" bestFit="1" customWidth="1"/>
    <col min="1017" max="1018" width="11.125" style="2" bestFit="1" customWidth="1"/>
    <col min="1019" max="1019" width="13.25" style="2" bestFit="1" customWidth="1"/>
    <col min="1020" max="1020" width="11.125" style="2" bestFit="1" customWidth="1"/>
    <col min="1021" max="1021" width="9" style="2"/>
    <col min="1022" max="1022" width="11.125" style="2" bestFit="1" customWidth="1"/>
    <col min="1023" max="1023" width="9" style="2"/>
    <col min="1024" max="1035" width="11.125" style="2" bestFit="1" customWidth="1"/>
    <col min="1036" max="1036" width="9" style="2"/>
    <col min="1037" max="1043" width="11.125" style="2" bestFit="1" customWidth="1"/>
    <col min="1044" max="1044" width="9.625" style="2" bestFit="1" customWidth="1"/>
    <col min="1045" max="1270" width="9" style="2"/>
    <col min="1271" max="1271" width="2.375" style="2" customWidth="1"/>
    <col min="1272" max="1272" width="13.25" style="2" bestFit="1" customWidth="1"/>
    <col min="1273" max="1274" width="11.125" style="2" bestFit="1" customWidth="1"/>
    <col min="1275" max="1275" width="13.25" style="2" bestFit="1" customWidth="1"/>
    <col min="1276" max="1276" width="11.125" style="2" bestFit="1" customWidth="1"/>
    <col min="1277" max="1277" width="9" style="2"/>
    <col min="1278" max="1278" width="11.125" style="2" bestFit="1" customWidth="1"/>
    <col min="1279" max="1279" width="9" style="2"/>
    <col min="1280" max="1291" width="11.125" style="2" bestFit="1" customWidth="1"/>
    <col min="1292" max="1292" width="9" style="2"/>
    <col min="1293" max="1299" width="11.125" style="2" bestFit="1" customWidth="1"/>
    <col min="1300" max="1300" width="9.625" style="2" bestFit="1" customWidth="1"/>
    <col min="1301" max="1526" width="9" style="2"/>
    <col min="1527" max="1527" width="2.375" style="2" customWidth="1"/>
    <col min="1528" max="1528" width="13.25" style="2" bestFit="1" customWidth="1"/>
    <col min="1529" max="1530" width="11.125" style="2" bestFit="1" customWidth="1"/>
    <col min="1531" max="1531" width="13.25" style="2" bestFit="1" customWidth="1"/>
    <col min="1532" max="1532" width="11.125" style="2" bestFit="1" customWidth="1"/>
    <col min="1533" max="1533" width="9" style="2"/>
    <col min="1534" max="1534" width="11.125" style="2" bestFit="1" customWidth="1"/>
    <col min="1535" max="1535" width="9" style="2"/>
    <col min="1536" max="1547" width="11.125" style="2" bestFit="1" customWidth="1"/>
    <col min="1548" max="1548" width="9" style="2"/>
    <col min="1549" max="1555" width="11.125" style="2" bestFit="1" customWidth="1"/>
    <col min="1556" max="1556" width="9.625" style="2" bestFit="1" customWidth="1"/>
    <col min="1557" max="1782" width="9" style="2"/>
    <col min="1783" max="1783" width="2.375" style="2" customWidth="1"/>
    <col min="1784" max="1784" width="13.25" style="2" bestFit="1" customWidth="1"/>
    <col min="1785" max="1786" width="11.125" style="2" bestFit="1" customWidth="1"/>
    <col min="1787" max="1787" width="13.25" style="2" bestFit="1" customWidth="1"/>
    <col min="1788" max="1788" width="11.125" style="2" bestFit="1" customWidth="1"/>
    <col min="1789" max="1789" width="9" style="2"/>
    <col min="1790" max="1790" width="11.125" style="2" bestFit="1" customWidth="1"/>
    <col min="1791" max="1791" width="9" style="2"/>
    <col min="1792" max="1803" width="11.125" style="2" bestFit="1" customWidth="1"/>
    <col min="1804" max="1804" width="9" style="2"/>
    <col min="1805" max="1811" width="11.125" style="2" bestFit="1" customWidth="1"/>
    <col min="1812" max="1812" width="9.625" style="2" bestFit="1" customWidth="1"/>
    <col min="1813" max="2038" width="9" style="2"/>
    <col min="2039" max="2039" width="2.375" style="2" customWidth="1"/>
    <col min="2040" max="2040" width="13.25" style="2" bestFit="1" customWidth="1"/>
    <col min="2041" max="2042" width="11.125" style="2" bestFit="1" customWidth="1"/>
    <col min="2043" max="2043" width="13.25" style="2" bestFit="1" customWidth="1"/>
    <col min="2044" max="2044" width="11.125" style="2" bestFit="1" customWidth="1"/>
    <col min="2045" max="2045" width="9" style="2"/>
    <col min="2046" max="2046" width="11.125" style="2" bestFit="1" customWidth="1"/>
    <col min="2047" max="2047" width="9" style="2"/>
    <col min="2048" max="2059" width="11.125" style="2" bestFit="1" customWidth="1"/>
    <col min="2060" max="2060" width="9" style="2"/>
    <col min="2061" max="2067" width="11.125" style="2" bestFit="1" customWidth="1"/>
    <col min="2068" max="2068" width="9.625" style="2" bestFit="1" customWidth="1"/>
    <col min="2069" max="2294" width="9" style="2"/>
    <col min="2295" max="2295" width="2.375" style="2" customWidth="1"/>
    <col min="2296" max="2296" width="13.25" style="2" bestFit="1" customWidth="1"/>
    <col min="2297" max="2298" width="11.125" style="2" bestFit="1" customWidth="1"/>
    <col min="2299" max="2299" width="13.25" style="2" bestFit="1" customWidth="1"/>
    <col min="2300" max="2300" width="11.125" style="2" bestFit="1" customWidth="1"/>
    <col min="2301" max="2301" width="9" style="2"/>
    <col min="2302" max="2302" width="11.125" style="2" bestFit="1" customWidth="1"/>
    <col min="2303" max="2303" width="9" style="2"/>
    <col min="2304" max="2315" width="11.125" style="2" bestFit="1" customWidth="1"/>
    <col min="2316" max="2316" width="9" style="2"/>
    <col min="2317" max="2323" width="11.125" style="2" bestFit="1" customWidth="1"/>
    <col min="2324" max="2324" width="9.625" style="2" bestFit="1" customWidth="1"/>
    <col min="2325" max="2550" width="9" style="2"/>
    <col min="2551" max="2551" width="2.375" style="2" customWidth="1"/>
    <col min="2552" max="2552" width="13.25" style="2" bestFit="1" customWidth="1"/>
    <col min="2553" max="2554" width="11.125" style="2" bestFit="1" customWidth="1"/>
    <col min="2555" max="2555" width="13.25" style="2" bestFit="1" customWidth="1"/>
    <col min="2556" max="2556" width="11.125" style="2" bestFit="1" customWidth="1"/>
    <col min="2557" max="2557" width="9" style="2"/>
    <col min="2558" max="2558" width="11.125" style="2" bestFit="1" customWidth="1"/>
    <col min="2559" max="2559" width="9" style="2"/>
    <col min="2560" max="2571" width="11.125" style="2" bestFit="1" customWidth="1"/>
    <col min="2572" max="2572" width="9" style="2"/>
    <col min="2573" max="2579" width="11.125" style="2" bestFit="1" customWidth="1"/>
    <col min="2580" max="2580" width="9.625" style="2" bestFit="1" customWidth="1"/>
    <col min="2581" max="2806" width="9" style="2"/>
    <col min="2807" max="2807" width="2.375" style="2" customWidth="1"/>
    <col min="2808" max="2808" width="13.25" style="2" bestFit="1" customWidth="1"/>
    <col min="2809" max="2810" width="11.125" style="2" bestFit="1" customWidth="1"/>
    <col min="2811" max="2811" width="13.25" style="2" bestFit="1" customWidth="1"/>
    <col min="2812" max="2812" width="11.125" style="2" bestFit="1" customWidth="1"/>
    <col min="2813" max="2813" width="9" style="2"/>
    <col min="2814" max="2814" width="11.125" style="2" bestFit="1" customWidth="1"/>
    <col min="2815" max="2815" width="9" style="2"/>
    <col min="2816" max="2827" width="11.125" style="2" bestFit="1" customWidth="1"/>
    <col min="2828" max="2828" width="9" style="2"/>
    <col min="2829" max="2835" width="11.125" style="2" bestFit="1" customWidth="1"/>
    <col min="2836" max="2836" width="9.625" style="2" bestFit="1" customWidth="1"/>
    <col min="2837" max="3062" width="9" style="2"/>
    <col min="3063" max="3063" width="2.375" style="2" customWidth="1"/>
    <col min="3064" max="3064" width="13.25" style="2" bestFit="1" customWidth="1"/>
    <col min="3065" max="3066" width="11.125" style="2" bestFit="1" customWidth="1"/>
    <col min="3067" max="3067" width="13.25" style="2" bestFit="1" customWidth="1"/>
    <col min="3068" max="3068" width="11.125" style="2" bestFit="1" customWidth="1"/>
    <col min="3069" max="3069" width="9" style="2"/>
    <col min="3070" max="3070" width="11.125" style="2" bestFit="1" customWidth="1"/>
    <col min="3071" max="3071" width="9" style="2"/>
    <col min="3072" max="3083" width="11.125" style="2" bestFit="1" customWidth="1"/>
    <col min="3084" max="3084" width="9" style="2"/>
    <col min="3085" max="3091" width="11.125" style="2" bestFit="1" customWidth="1"/>
    <col min="3092" max="3092" width="9.625" style="2" bestFit="1" customWidth="1"/>
    <col min="3093" max="3318" width="9" style="2"/>
    <col min="3319" max="3319" width="2.375" style="2" customWidth="1"/>
    <col min="3320" max="3320" width="13.25" style="2" bestFit="1" customWidth="1"/>
    <col min="3321" max="3322" width="11.125" style="2" bestFit="1" customWidth="1"/>
    <col min="3323" max="3323" width="13.25" style="2" bestFit="1" customWidth="1"/>
    <col min="3324" max="3324" width="11.125" style="2" bestFit="1" customWidth="1"/>
    <col min="3325" max="3325" width="9" style="2"/>
    <col min="3326" max="3326" width="11.125" style="2" bestFit="1" customWidth="1"/>
    <col min="3327" max="3327" width="9" style="2"/>
    <col min="3328" max="3339" width="11.125" style="2" bestFit="1" customWidth="1"/>
    <col min="3340" max="3340" width="9" style="2"/>
    <col min="3341" max="3347" width="11.125" style="2" bestFit="1" customWidth="1"/>
    <col min="3348" max="3348" width="9.625" style="2" bestFit="1" customWidth="1"/>
    <col min="3349" max="3574" width="9" style="2"/>
    <col min="3575" max="3575" width="2.375" style="2" customWidth="1"/>
    <col min="3576" max="3576" width="13.25" style="2" bestFit="1" customWidth="1"/>
    <col min="3577" max="3578" width="11.125" style="2" bestFit="1" customWidth="1"/>
    <col min="3579" max="3579" width="13.25" style="2" bestFit="1" customWidth="1"/>
    <col min="3580" max="3580" width="11.125" style="2" bestFit="1" customWidth="1"/>
    <col min="3581" max="3581" width="9" style="2"/>
    <col min="3582" max="3582" width="11.125" style="2" bestFit="1" customWidth="1"/>
    <col min="3583" max="3583" width="9" style="2"/>
    <col min="3584" max="3595" width="11.125" style="2" bestFit="1" customWidth="1"/>
    <col min="3596" max="3596" width="9" style="2"/>
    <col min="3597" max="3603" width="11.125" style="2" bestFit="1" customWidth="1"/>
    <col min="3604" max="3604" width="9.625" style="2" bestFit="1" customWidth="1"/>
    <col min="3605" max="3830" width="9" style="2"/>
    <col min="3831" max="3831" width="2.375" style="2" customWidth="1"/>
    <col min="3832" max="3832" width="13.25" style="2" bestFit="1" customWidth="1"/>
    <col min="3833" max="3834" width="11.125" style="2" bestFit="1" customWidth="1"/>
    <col min="3835" max="3835" width="13.25" style="2" bestFit="1" customWidth="1"/>
    <col min="3836" max="3836" width="11.125" style="2" bestFit="1" customWidth="1"/>
    <col min="3837" max="3837" width="9" style="2"/>
    <col min="3838" max="3838" width="11.125" style="2" bestFit="1" customWidth="1"/>
    <col min="3839" max="3839" width="9" style="2"/>
    <col min="3840" max="3851" width="11.125" style="2" bestFit="1" customWidth="1"/>
    <col min="3852" max="3852" width="9" style="2"/>
    <col min="3853" max="3859" width="11.125" style="2" bestFit="1" customWidth="1"/>
    <col min="3860" max="3860" width="9.625" style="2" bestFit="1" customWidth="1"/>
    <col min="3861" max="4086" width="9" style="2"/>
    <col min="4087" max="4087" width="2.375" style="2" customWidth="1"/>
    <col min="4088" max="4088" width="13.25" style="2" bestFit="1" customWidth="1"/>
    <col min="4089" max="4090" width="11.125" style="2" bestFit="1" customWidth="1"/>
    <col min="4091" max="4091" width="13.25" style="2" bestFit="1" customWidth="1"/>
    <col min="4092" max="4092" width="11.125" style="2" bestFit="1" customWidth="1"/>
    <col min="4093" max="4093" width="9" style="2"/>
    <col min="4094" max="4094" width="11.125" style="2" bestFit="1" customWidth="1"/>
    <col min="4095" max="4095" width="9" style="2"/>
    <col min="4096" max="4107" width="11.125" style="2" bestFit="1" customWidth="1"/>
    <col min="4108" max="4108" width="9" style="2"/>
    <col min="4109" max="4115" width="11.125" style="2" bestFit="1" customWidth="1"/>
    <col min="4116" max="4116" width="9.625" style="2" bestFit="1" customWidth="1"/>
    <col min="4117" max="4342" width="9" style="2"/>
    <col min="4343" max="4343" width="2.375" style="2" customWidth="1"/>
    <col min="4344" max="4344" width="13.25" style="2" bestFit="1" customWidth="1"/>
    <col min="4345" max="4346" width="11.125" style="2" bestFit="1" customWidth="1"/>
    <col min="4347" max="4347" width="13.25" style="2" bestFit="1" customWidth="1"/>
    <col min="4348" max="4348" width="11.125" style="2" bestFit="1" customWidth="1"/>
    <col min="4349" max="4349" width="9" style="2"/>
    <col min="4350" max="4350" width="11.125" style="2" bestFit="1" customWidth="1"/>
    <col min="4351" max="4351" width="9" style="2"/>
    <col min="4352" max="4363" width="11.125" style="2" bestFit="1" customWidth="1"/>
    <col min="4364" max="4364" width="9" style="2"/>
    <col min="4365" max="4371" width="11.125" style="2" bestFit="1" customWidth="1"/>
    <col min="4372" max="4372" width="9.625" style="2" bestFit="1" customWidth="1"/>
    <col min="4373" max="4598" width="9" style="2"/>
    <col min="4599" max="4599" width="2.375" style="2" customWidth="1"/>
    <col min="4600" max="4600" width="13.25" style="2" bestFit="1" customWidth="1"/>
    <col min="4601" max="4602" width="11.125" style="2" bestFit="1" customWidth="1"/>
    <col min="4603" max="4603" width="13.25" style="2" bestFit="1" customWidth="1"/>
    <col min="4604" max="4604" width="11.125" style="2" bestFit="1" customWidth="1"/>
    <col min="4605" max="4605" width="9" style="2"/>
    <col min="4606" max="4606" width="11.125" style="2" bestFit="1" customWidth="1"/>
    <col min="4607" max="4607" width="9" style="2"/>
    <col min="4608" max="4619" width="11.125" style="2" bestFit="1" customWidth="1"/>
    <col min="4620" max="4620" width="9" style="2"/>
    <col min="4621" max="4627" width="11.125" style="2" bestFit="1" customWidth="1"/>
    <col min="4628" max="4628" width="9.625" style="2" bestFit="1" customWidth="1"/>
    <col min="4629" max="4854" width="9" style="2"/>
    <col min="4855" max="4855" width="2.375" style="2" customWidth="1"/>
    <col min="4856" max="4856" width="13.25" style="2" bestFit="1" customWidth="1"/>
    <col min="4857" max="4858" width="11.125" style="2" bestFit="1" customWidth="1"/>
    <col min="4859" max="4859" width="13.25" style="2" bestFit="1" customWidth="1"/>
    <col min="4860" max="4860" width="11.125" style="2" bestFit="1" customWidth="1"/>
    <col min="4861" max="4861" width="9" style="2"/>
    <col min="4862" max="4862" width="11.125" style="2" bestFit="1" customWidth="1"/>
    <col min="4863" max="4863" width="9" style="2"/>
    <col min="4864" max="4875" width="11.125" style="2" bestFit="1" customWidth="1"/>
    <col min="4876" max="4876" width="9" style="2"/>
    <col min="4877" max="4883" width="11.125" style="2" bestFit="1" customWidth="1"/>
    <col min="4884" max="4884" width="9.625" style="2" bestFit="1" customWidth="1"/>
    <col min="4885" max="5110" width="9" style="2"/>
    <col min="5111" max="5111" width="2.375" style="2" customWidth="1"/>
    <col min="5112" max="5112" width="13.25" style="2" bestFit="1" customWidth="1"/>
    <col min="5113" max="5114" width="11.125" style="2" bestFit="1" customWidth="1"/>
    <col min="5115" max="5115" width="13.25" style="2" bestFit="1" customWidth="1"/>
    <col min="5116" max="5116" width="11.125" style="2" bestFit="1" customWidth="1"/>
    <col min="5117" max="5117" width="9" style="2"/>
    <col min="5118" max="5118" width="11.125" style="2" bestFit="1" customWidth="1"/>
    <col min="5119" max="5119" width="9" style="2"/>
    <col min="5120" max="5131" width="11.125" style="2" bestFit="1" customWidth="1"/>
    <col min="5132" max="5132" width="9" style="2"/>
    <col min="5133" max="5139" width="11.125" style="2" bestFit="1" customWidth="1"/>
    <col min="5140" max="5140" width="9.625" style="2" bestFit="1" customWidth="1"/>
    <col min="5141" max="5366" width="9" style="2"/>
    <col min="5367" max="5367" width="2.375" style="2" customWidth="1"/>
    <col min="5368" max="5368" width="13.25" style="2" bestFit="1" customWidth="1"/>
    <col min="5369" max="5370" width="11.125" style="2" bestFit="1" customWidth="1"/>
    <col min="5371" max="5371" width="13.25" style="2" bestFit="1" customWidth="1"/>
    <col min="5372" max="5372" width="11.125" style="2" bestFit="1" customWidth="1"/>
    <col min="5373" max="5373" width="9" style="2"/>
    <col min="5374" max="5374" width="11.125" style="2" bestFit="1" customWidth="1"/>
    <col min="5375" max="5375" width="9" style="2"/>
    <col min="5376" max="5387" width="11.125" style="2" bestFit="1" customWidth="1"/>
    <col min="5388" max="5388" width="9" style="2"/>
    <col min="5389" max="5395" width="11.125" style="2" bestFit="1" customWidth="1"/>
    <col min="5396" max="5396" width="9.625" style="2" bestFit="1" customWidth="1"/>
    <col min="5397" max="5622" width="9" style="2"/>
    <col min="5623" max="5623" width="2.375" style="2" customWidth="1"/>
    <col min="5624" max="5624" width="13.25" style="2" bestFit="1" customWidth="1"/>
    <col min="5625" max="5626" width="11.125" style="2" bestFit="1" customWidth="1"/>
    <col min="5627" max="5627" width="13.25" style="2" bestFit="1" customWidth="1"/>
    <col min="5628" max="5628" width="11.125" style="2" bestFit="1" customWidth="1"/>
    <col min="5629" max="5629" width="9" style="2"/>
    <col min="5630" max="5630" width="11.125" style="2" bestFit="1" customWidth="1"/>
    <col min="5631" max="5631" width="9" style="2"/>
    <col min="5632" max="5643" width="11.125" style="2" bestFit="1" customWidth="1"/>
    <col min="5644" max="5644" width="9" style="2"/>
    <col min="5645" max="5651" width="11.125" style="2" bestFit="1" customWidth="1"/>
    <col min="5652" max="5652" width="9.625" style="2" bestFit="1" customWidth="1"/>
    <col min="5653" max="5878" width="9" style="2"/>
    <col min="5879" max="5879" width="2.375" style="2" customWidth="1"/>
    <col min="5880" max="5880" width="13.25" style="2" bestFit="1" customWidth="1"/>
    <col min="5881" max="5882" width="11.125" style="2" bestFit="1" customWidth="1"/>
    <col min="5883" max="5883" width="13.25" style="2" bestFit="1" customWidth="1"/>
    <col min="5884" max="5884" width="11.125" style="2" bestFit="1" customWidth="1"/>
    <col min="5885" max="5885" width="9" style="2"/>
    <col min="5886" max="5886" width="11.125" style="2" bestFit="1" customWidth="1"/>
    <col min="5887" max="5887" width="9" style="2"/>
    <col min="5888" max="5899" width="11.125" style="2" bestFit="1" customWidth="1"/>
    <col min="5900" max="5900" width="9" style="2"/>
    <col min="5901" max="5907" width="11.125" style="2" bestFit="1" customWidth="1"/>
    <col min="5908" max="5908" width="9.625" style="2" bestFit="1" customWidth="1"/>
    <col min="5909" max="6134" width="9" style="2"/>
    <col min="6135" max="6135" width="2.375" style="2" customWidth="1"/>
    <col min="6136" max="6136" width="13.25" style="2" bestFit="1" customWidth="1"/>
    <col min="6137" max="6138" width="11.125" style="2" bestFit="1" customWidth="1"/>
    <col min="6139" max="6139" width="13.25" style="2" bestFit="1" customWidth="1"/>
    <col min="6140" max="6140" width="11.125" style="2" bestFit="1" customWidth="1"/>
    <col min="6141" max="6141" width="9" style="2"/>
    <col min="6142" max="6142" width="11.125" style="2" bestFit="1" customWidth="1"/>
    <col min="6143" max="6143" width="9" style="2"/>
    <col min="6144" max="6155" width="11.125" style="2" bestFit="1" customWidth="1"/>
    <col min="6156" max="6156" width="9" style="2"/>
    <col min="6157" max="6163" width="11.125" style="2" bestFit="1" customWidth="1"/>
    <col min="6164" max="6164" width="9.625" style="2" bestFit="1" customWidth="1"/>
    <col min="6165" max="6390" width="9" style="2"/>
    <col min="6391" max="6391" width="2.375" style="2" customWidth="1"/>
    <col min="6392" max="6392" width="13.25" style="2" bestFit="1" customWidth="1"/>
    <col min="6393" max="6394" width="11.125" style="2" bestFit="1" customWidth="1"/>
    <col min="6395" max="6395" width="13.25" style="2" bestFit="1" customWidth="1"/>
    <col min="6396" max="6396" width="11.125" style="2" bestFit="1" customWidth="1"/>
    <col min="6397" max="6397" width="9" style="2"/>
    <col min="6398" max="6398" width="11.125" style="2" bestFit="1" customWidth="1"/>
    <col min="6399" max="6399" width="9" style="2"/>
    <col min="6400" max="6411" width="11.125" style="2" bestFit="1" customWidth="1"/>
    <col min="6412" max="6412" width="9" style="2"/>
    <col min="6413" max="6419" width="11.125" style="2" bestFit="1" customWidth="1"/>
    <col min="6420" max="6420" width="9.625" style="2" bestFit="1" customWidth="1"/>
    <col min="6421" max="6646" width="9" style="2"/>
    <col min="6647" max="6647" width="2.375" style="2" customWidth="1"/>
    <col min="6648" max="6648" width="13.25" style="2" bestFit="1" customWidth="1"/>
    <col min="6649" max="6650" width="11.125" style="2" bestFit="1" customWidth="1"/>
    <col min="6651" max="6651" width="13.25" style="2" bestFit="1" customWidth="1"/>
    <col min="6652" max="6652" width="11.125" style="2" bestFit="1" customWidth="1"/>
    <col min="6653" max="6653" width="9" style="2"/>
    <col min="6654" max="6654" width="11.125" style="2" bestFit="1" customWidth="1"/>
    <col min="6655" max="6655" width="9" style="2"/>
    <col min="6656" max="6667" width="11.125" style="2" bestFit="1" customWidth="1"/>
    <col min="6668" max="6668" width="9" style="2"/>
    <col min="6669" max="6675" width="11.125" style="2" bestFit="1" customWidth="1"/>
    <col min="6676" max="6676" width="9.625" style="2" bestFit="1" customWidth="1"/>
    <col min="6677" max="6902" width="9" style="2"/>
    <col min="6903" max="6903" width="2.375" style="2" customWidth="1"/>
    <col min="6904" max="6904" width="13.25" style="2" bestFit="1" customWidth="1"/>
    <col min="6905" max="6906" width="11.125" style="2" bestFit="1" customWidth="1"/>
    <col min="6907" max="6907" width="13.25" style="2" bestFit="1" customWidth="1"/>
    <col min="6908" max="6908" width="11.125" style="2" bestFit="1" customWidth="1"/>
    <col min="6909" max="6909" width="9" style="2"/>
    <col min="6910" max="6910" width="11.125" style="2" bestFit="1" customWidth="1"/>
    <col min="6911" max="6911" width="9" style="2"/>
    <col min="6912" max="6923" width="11.125" style="2" bestFit="1" customWidth="1"/>
    <col min="6924" max="6924" width="9" style="2"/>
    <col min="6925" max="6931" width="11.125" style="2" bestFit="1" customWidth="1"/>
    <col min="6932" max="6932" width="9.625" style="2" bestFit="1" customWidth="1"/>
    <col min="6933" max="7158" width="9" style="2"/>
    <col min="7159" max="7159" width="2.375" style="2" customWidth="1"/>
    <col min="7160" max="7160" width="13.25" style="2" bestFit="1" customWidth="1"/>
    <col min="7161" max="7162" width="11.125" style="2" bestFit="1" customWidth="1"/>
    <col min="7163" max="7163" width="13.25" style="2" bestFit="1" customWidth="1"/>
    <col min="7164" max="7164" width="11.125" style="2" bestFit="1" customWidth="1"/>
    <col min="7165" max="7165" width="9" style="2"/>
    <col min="7166" max="7166" width="11.125" style="2" bestFit="1" customWidth="1"/>
    <col min="7167" max="7167" width="9" style="2"/>
    <col min="7168" max="7179" width="11.125" style="2" bestFit="1" customWidth="1"/>
    <col min="7180" max="7180" width="9" style="2"/>
    <col min="7181" max="7187" width="11.125" style="2" bestFit="1" customWidth="1"/>
    <col min="7188" max="7188" width="9.625" style="2" bestFit="1" customWidth="1"/>
    <col min="7189" max="7414" width="9" style="2"/>
    <col min="7415" max="7415" width="2.375" style="2" customWidth="1"/>
    <col min="7416" max="7416" width="13.25" style="2" bestFit="1" customWidth="1"/>
    <col min="7417" max="7418" width="11.125" style="2" bestFit="1" customWidth="1"/>
    <col min="7419" max="7419" width="13.25" style="2" bestFit="1" customWidth="1"/>
    <col min="7420" max="7420" width="11.125" style="2" bestFit="1" customWidth="1"/>
    <col min="7421" max="7421" width="9" style="2"/>
    <col min="7422" max="7422" width="11.125" style="2" bestFit="1" customWidth="1"/>
    <col min="7423" max="7423" width="9" style="2"/>
    <col min="7424" max="7435" width="11.125" style="2" bestFit="1" customWidth="1"/>
    <col min="7436" max="7436" width="9" style="2"/>
    <col min="7437" max="7443" width="11.125" style="2" bestFit="1" customWidth="1"/>
    <col min="7444" max="7444" width="9.625" style="2" bestFit="1" customWidth="1"/>
    <col min="7445" max="7670" width="9" style="2"/>
    <col min="7671" max="7671" width="2.375" style="2" customWidth="1"/>
    <col min="7672" max="7672" width="13.25" style="2" bestFit="1" customWidth="1"/>
    <col min="7673" max="7674" width="11.125" style="2" bestFit="1" customWidth="1"/>
    <col min="7675" max="7675" width="13.25" style="2" bestFit="1" customWidth="1"/>
    <col min="7676" max="7676" width="11.125" style="2" bestFit="1" customWidth="1"/>
    <col min="7677" max="7677" width="9" style="2"/>
    <col min="7678" max="7678" width="11.125" style="2" bestFit="1" customWidth="1"/>
    <col min="7679" max="7679" width="9" style="2"/>
    <col min="7680" max="7691" width="11.125" style="2" bestFit="1" customWidth="1"/>
    <col min="7692" max="7692" width="9" style="2"/>
    <col min="7693" max="7699" width="11.125" style="2" bestFit="1" customWidth="1"/>
    <col min="7700" max="7700" width="9.625" style="2" bestFit="1" customWidth="1"/>
    <col min="7701" max="7926" width="9" style="2"/>
    <col min="7927" max="7927" width="2.375" style="2" customWidth="1"/>
    <col min="7928" max="7928" width="13.25" style="2" bestFit="1" customWidth="1"/>
    <col min="7929" max="7930" width="11.125" style="2" bestFit="1" customWidth="1"/>
    <col min="7931" max="7931" width="13.25" style="2" bestFit="1" customWidth="1"/>
    <col min="7932" max="7932" width="11.125" style="2" bestFit="1" customWidth="1"/>
    <col min="7933" max="7933" width="9" style="2"/>
    <col min="7934" max="7934" width="11.125" style="2" bestFit="1" customWidth="1"/>
    <col min="7935" max="7935" width="9" style="2"/>
    <col min="7936" max="7947" width="11.125" style="2" bestFit="1" customWidth="1"/>
    <col min="7948" max="7948" width="9" style="2"/>
    <col min="7949" max="7955" width="11.125" style="2" bestFit="1" customWidth="1"/>
    <col min="7956" max="7956" width="9.625" style="2" bestFit="1" customWidth="1"/>
    <col min="7957" max="8182" width="9" style="2"/>
    <col min="8183" max="8183" width="2.375" style="2" customWidth="1"/>
    <col min="8184" max="8184" width="13.25" style="2" bestFit="1" customWidth="1"/>
    <col min="8185" max="8186" width="11.125" style="2" bestFit="1" customWidth="1"/>
    <col min="8187" max="8187" width="13.25" style="2" bestFit="1" customWidth="1"/>
    <col min="8188" max="8188" width="11.125" style="2" bestFit="1" customWidth="1"/>
    <col min="8189" max="8189" width="9" style="2"/>
    <col min="8190" max="8190" width="11.125" style="2" bestFit="1" customWidth="1"/>
    <col min="8191" max="8191" width="9" style="2"/>
    <col min="8192" max="8203" width="11.125" style="2" bestFit="1" customWidth="1"/>
    <col min="8204" max="8204" width="9" style="2"/>
    <col min="8205" max="8211" width="11.125" style="2" bestFit="1" customWidth="1"/>
    <col min="8212" max="8212" width="9.625" style="2" bestFit="1" customWidth="1"/>
    <col min="8213" max="8438" width="9" style="2"/>
    <col min="8439" max="8439" width="2.375" style="2" customWidth="1"/>
    <col min="8440" max="8440" width="13.25" style="2" bestFit="1" customWidth="1"/>
    <col min="8441" max="8442" width="11.125" style="2" bestFit="1" customWidth="1"/>
    <col min="8443" max="8443" width="13.25" style="2" bestFit="1" customWidth="1"/>
    <col min="8444" max="8444" width="11.125" style="2" bestFit="1" customWidth="1"/>
    <col min="8445" max="8445" width="9" style="2"/>
    <col min="8446" max="8446" width="11.125" style="2" bestFit="1" customWidth="1"/>
    <col min="8447" max="8447" width="9" style="2"/>
    <col min="8448" max="8459" width="11.125" style="2" bestFit="1" customWidth="1"/>
    <col min="8460" max="8460" width="9" style="2"/>
    <col min="8461" max="8467" width="11.125" style="2" bestFit="1" customWidth="1"/>
    <col min="8468" max="8468" width="9.625" style="2" bestFit="1" customWidth="1"/>
    <col min="8469" max="8694" width="9" style="2"/>
    <col min="8695" max="8695" width="2.375" style="2" customWidth="1"/>
    <col min="8696" max="8696" width="13.25" style="2" bestFit="1" customWidth="1"/>
    <col min="8697" max="8698" width="11.125" style="2" bestFit="1" customWidth="1"/>
    <col min="8699" max="8699" width="13.25" style="2" bestFit="1" customWidth="1"/>
    <col min="8700" max="8700" width="11.125" style="2" bestFit="1" customWidth="1"/>
    <col min="8701" max="8701" width="9" style="2"/>
    <col min="8702" max="8702" width="11.125" style="2" bestFit="1" customWidth="1"/>
    <col min="8703" max="8703" width="9" style="2"/>
    <col min="8704" max="8715" width="11.125" style="2" bestFit="1" customWidth="1"/>
    <col min="8716" max="8716" width="9" style="2"/>
    <col min="8717" max="8723" width="11.125" style="2" bestFit="1" customWidth="1"/>
    <col min="8724" max="8724" width="9.625" style="2" bestFit="1" customWidth="1"/>
    <col min="8725" max="8950" width="9" style="2"/>
    <col min="8951" max="8951" width="2.375" style="2" customWidth="1"/>
    <col min="8952" max="8952" width="13.25" style="2" bestFit="1" customWidth="1"/>
    <col min="8953" max="8954" width="11.125" style="2" bestFit="1" customWidth="1"/>
    <col min="8955" max="8955" width="13.25" style="2" bestFit="1" customWidth="1"/>
    <col min="8956" max="8956" width="11.125" style="2" bestFit="1" customWidth="1"/>
    <col min="8957" max="8957" width="9" style="2"/>
    <col min="8958" max="8958" width="11.125" style="2" bestFit="1" customWidth="1"/>
    <col min="8959" max="8959" width="9" style="2"/>
    <col min="8960" max="8971" width="11.125" style="2" bestFit="1" customWidth="1"/>
    <col min="8972" max="8972" width="9" style="2"/>
    <col min="8973" max="8979" width="11.125" style="2" bestFit="1" customWidth="1"/>
    <col min="8980" max="8980" width="9.625" style="2" bestFit="1" customWidth="1"/>
    <col min="8981" max="9206" width="9" style="2"/>
    <col min="9207" max="9207" width="2.375" style="2" customWidth="1"/>
    <col min="9208" max="9208" width="13.25" style="2" bestFit="1" customWidth="1"/>
    <col min="9209" max="9210" width="11.125" style="2" bestFit="1" customWidth="1"/>
    <col min="9211" max="9211" width="13.25" style="2" bestFit="1" customWidth="1"/>
    <col min="9212" max="9212" width="11.125" style="2" bestFit="1" customWidth="1"/>
    <col min="9213" max="9213" width="9" style="2"/>
    <col min="9214" max="9214" width="11.125" style="2" bestFit="1" customWidth="1"/>
    <col min="9215" max="9215" width="9" style="2"/>
    <col min="9216" max="9227" width="11.125" style="2" bestFit="1" customWidth="1"/>
    <col min="9228" max="9228" width="9" style="2"/>
    <col min="9229" max="9235" width="11.125" style="2" bestFit="1" customWidth="1"/>
    <col min="9236" max="9236" width="9.625" style="2" bestFit="1" customWidth="1"/>
    <col min="9237" max="9462" width="9" style="2"/>
    <col min="9463" max="9463" width="2.375" style="2" customWidth="1"/>
    <col min="9464" max="9464" width="13.25" style="2" bestFit="1" customWidth="1"/>
    <col min="9465" max="9466" width="11.125" style="2" bestFit="1" customWidth="1"/>
    <col min="9467" max="9467" width="13.25" style="2" bestFit="1" customWidth="1"/>
    <col min="9468" max="9468" width="11.125" style="2" bestFit="1" customWidth="1"/>
    <col min="9469" max="9469" width="9" style="2"/>
    <col min="9470" max="9470" width="11.125" style="2" bestFit="1" customWidth="1"/>
    <col min="9471" max="9471" width="9" style="2"/>
    <col min="9472" max="9483" width="11.125" style="2" bestFit="1" customWidth="1"/>
    <col min="9484" max="9484" width="9" style="2"/>
    <col min="9485" max="9491" width="11.125" style="2" bestFit="1" customWidth="1"/>
    <col min="9492" max="9492" width="9.625" style="2" bestFit="1" customWidth="1"/>
    <col min="9493" max="9718" width="9" style="2"/>
    <col min="9719" max="9719" width="2.375" style="2" customWidth="1"/>
    <col min="9720" max="9720" width="13.25" style="2" bestFit="1" customWidth="1"/>
    <col min="9721" max="9722" width="11.125" style="2" bestFit="1" customWidth="1"/>
    <col min="9723" max="9723" width="13.25" style="2" bestFit="1" customWidth="1"/>
    <col min="9724" max="9724" width="11.125" style="2" bestFit="1" customWidth="1"/>
    <col min="9725" max="9725" width="9" style="2"/>
    <col min="9726" max="9726" width="11.125" style="2" bestFit="1" customWidth="1"/>
    <col min="9727" max="9727" width="9" style="2"/>
    <col min="9728" max="9739" width="11.125" style="2" bestFit="1" customWidth="1"/>
    <col min="9740" max="9740" width="9" style="2"/>
    <col min="9741" max="9747" width="11.125" style="2" bestFit="1" customWidth="1"/>
    <col min="9748" max="9748" width="9.625" style="2" bestFit="1" customWidth="1"/>
    <col min="9749" max="9974" width="9" style="2"/>
    <col min="9975" max="9975" width="2.375" style="2" customWidth="1"/>
    <col min="9976" max="9976" width="13.25" style="2" bestFit="1" customWidth="1"/>
    <col min="9977" max="9978" width="11.125" style="2" bestFit="1" customWidth="1"/>
    <col min="9979" max="9979" width="13.25" style="2" bestFit="1" customWidth="1"/>
    <col min="9980" max="9980" width="11.125" style="2" bestFit="1" customWidth="1"/>
    <col min="9981" max="9981" width="9" style="2"/>
    <col min="9982" max="9982" width="11.125" style="2" bestFit="1" customWidth="1"/>
    <col min="9983" max="9983" width="9" style="2"/>
    <col min="9984" max="9995" width="11.125" style="2" bestFit="1" customWidth="1"/>
    <col min="9996" max="9996" width="9" style="2"/>
    <col min="9997" max="10003" width="11.125" style="2" bestFit="1" customWidth="1"/>
    <col min="10004" max="10004" width="9.625" style="2" bestFit="1" customWidth="1"/>
    <col min="10005" max="10230" width="9" style="2"/>
    <col min="10231" max="10231" width="2.375" style="2" customWidth="1"/>
    <col min="10232" max="10232" width="13.25" style="2" bestFit="1" customWidth="1"/>
    <col min="10233" max="10234" width="11.125" style="2" bestFit="1" customWidth="1"/>
    <col min="10235" max="10235" width="13.25" style="2" bestFit="1" customWidth="1"/>
    <col min="10236" max="10236" width="11.125" style="2" bestFit="1" customWidth="1"/>
    <col min="10237" max="10237" width="9" style="2"/>
    <col min="10238" max="10238" width="11.125" style="2" bestFit="1" customWidth="1"/>
    <col min="10239" max="10239" width="9" style="2"/>
    <col min="10240" max="10251" width="11.125" style="2" bestFit="1" customWidth="1"/>
    <col min="10252" max="10252" width="9" style="2"/>
    <col min="10253" max="10259" width="11.125" style="2" bestFit="1" customWidth="1"/>
    <col min="10260" max="10260" width="9.625" style="2" bestFit="1" customWidth="1"/>
    <col min="10261" max="10486" width="9" style="2"/>
    <col min="10487" max="10487" width="2.375" style="2" customWidth="1"/>
    <col min="10488" max="10488" width="13.25" style="2" bestFit="1" customWidth="1"/>
    <col min="10489" max="10490" width="11.125" style="2" bestFit="1" customWidth="1"/>
    <col min="10491" max="10491" width="13.25" style="2" bestFit="1" customWidth="1"/>
    <col min="10492" max="10492" width="11.125" style="2" bestFit="1" customWidth="1"/>
    <col min="10493" max="10493" width="9" style="2"/>
    <col min="10494" max="10494" width="11.125" style="2" bestFit="1" customWidth="1"/>
    <col min="10495" max="10495" width="9" style="2"/>
    <col min="10496" max="10507" width="11.125" style="2" bestFit="1" customWidth="1"/>
    <col min="10508" max="10508" width="9" style="2"/>
    <col min="10509" max="10515" width="11.125" style="2" bestFit="1" customWidth="1"/>
    <col min="10516" max="10516" width="9.625" style="2" bestFit="1" customWidth="1"/>
    <col min="10517" max="10742" width="9" style="2"/>
    <col min="10743" max="10743" width="2.375" style="2" customWidth="1"/>
    <col min="10744" max="10744" width="13.25" style="2" bestFit="1" customWidth="1"/>
    <col min="10745" max="10746" width="11.125" style="2" bestFit="1" customWidth="1"/>
    <col min="10747" max="10747" width="13.25" style="2" bestFit="1" customWidth="1"/>
    <col min="10748" max="10748" width="11.125" style="2" bestFit="1" customWidth="1"/>
    <col min="10749" max="10749" width="9" style="2"/>
    <col min="10750" max="10750" width="11.125" style="2" bestFit="1" customWidth="1"/>
    <col min="10751" max="10751" width="9" style="2"/>
    <col min="10752" max="10763" width="11.125" style="2" bestFit="1" customWidth="1"/>
    <col min="10764" max="10764" width="9" style="2"/>
    <col min="10765" max="10771" width="11.125" style="2" bestFit="1" customWidth="1"/>
    <col min="10772" max="10772" width="9.625" style="2" bestFit="1" customWidth="1"/>
    <col min="10773" max="10998" width="9" style="2"/>
    <col min="10999" max="10999" width="2.375" style="2" customWidth="1"/>
    <col min="11000" max="11000" width="13.25" style="2" bestFit="1" customWidth="1"/>
    <col min="11001" max="11002" width="11.125" style="2" bestFit="1" customWidth="1"/>
    <col min="11003" max="11003" width="13.25" style="2" bestFit="1" customWidth="1"/>
    <col min="11004" max="11004" width="11.125" style="2" bestFit="1" customWidth="1"/>
    <col min="11005" max="11005" width="9" style="2"/>
    <col min="11006" max="11006" width="11.125" style="2" bestFit="1" customWidth="1"/>
    <col min="11007" max="11007" width="9" style="2"/>
    <col min="11008" max="11019" width="11.125" style="2" bestFit="1" customWidth="1"/>
    <col min="11020" max="11020" width="9" style="2"/>
    <col min="11021" max="11027" width="11.125" style="2" bestFit="1" customWidth="1"/>
    <col min="11028" max="11028" width="9.625" style="2" bestFit="1" customWidth="1"/>
    <col min="11029" max="11254" width="9" style="2"/>
    <col min="11255" max="11255" width="2.375" style="2" customWidth="1"/>
    <col min="11256" max="11256" width="13.25" style="2" bestFit="1" customWidth="1"/>
    <col min="11257" max="11258" width="11.125" style="2" bestFit="1" customWidth="1"/>
    <col min="11259" max="11259" width="13.25" style="2" bestFit="1" customWidth="1"/>
    <col min="11260" max="11260" width="11.125" style="2" bestFit="1" customWidth="1"/>
    <col min="11261" max="11261" width="9" style="2"/>
    <col min="11262" max="11262" width="11.125" style="2" bestFit="1" customWidth="1"/>
    <col min="11263" max="11263" width="9" style="2"/>
    <col min="11264" max="11275" width="11.125" style="2" bestFit="1" customWidth="1"/>
    <col min="11276" max="11276" width="9" style="2"/>
    <col min="11277" max="11283" width="11.125" style="2" bestFit="1" customWidth="1"/>
    <col min="11284" max="11284" width="9.625" style="2" bestFit="1" customWidth="1"/>
    <col min="11285" max="11510" width="9" style="2"/>
    <col min="11511" max="11511" width="2.375" style="2" customWidth="1"/>
    <col min="11512" max="11512" width="13.25" style="2" bestFit="1" customWidth="1"/>
    <col min="11513" max="11514" width="11.125" style="2" bestFit="1" customWidth="1"/>
    <col min="11515" max="11515" width="13.25" style="2" bestFit="1" customWidth="1"/>
    <col min="11516" max="11516" width="11.125" style="2" bestFit="1" customWidth="1"/>
    <col min="11517" max="11517" width="9" style="2"/>
    <col min="11518" max="11518" width="11.125" style="2" bestFit="1" customWidth="1"/>
    <col min="11519" max="11519" width="9" style="2"/>
    <col min="11520" max="11531" width="11.125" style="2" bestFit="1" customWidth="1"/>
    <col min="11532" max="11532" width="9" style="2"/>
    <col min="11533" max="11539" width="11.125" style="2" bestFit="1" customWidth="1"/>
    <col min="11540" max="11540" width="9.625" style="2" bestFit="1" customWidth="1"/>
    <col min="11541" max="11766" width="9" style="2"/>
    <col min="11767" max="11767" width="2.375" style="2" customWidth="1"/>
    <col min="11768" max="11768" width="13.25" style="2" bestFit="1" customWidth="1"/>
    <col min="11769" max="11770" width="11.125" style="2" bestFit="1" customWidth="1"/>
    <col min="11771" max="11771" width="13.25" style="2" bestFit="1" customWidth="1"/>
    <col min="11772" max="11772" width="11.125" style="2" bestFit="1" customWidth="1"/>
    <col min="11773" max="11773" width="9" style="2"/>
    <col min="11774" max="11774" width="11.125" style="2" bestFit="1" customWidth="1"/>
    <col min="11775" max="11775" width="9" style="2"/>
    <col min="11776" max="11787" width="11.125" style="2" bestFit="1" customWidth="1"/>
    <col min="11788" max="11788" width="9" style="2"/>
    <col min="11789" max="11795" width="11.125" style="2" bestFit="1" customWidth="1"/>
    <col min="11796" max="11796" width="9.625" style="2" bestFit="1" customWidth="1"/>
    <col min="11797" max="12022" width="9" style="2"/>
    <col min="12023" max="12023" width="2.375" style="2" customWidth="1"/>
    <col min="12024" max="12024" width="13.25" style="2" bestFit="1" customWidth="1"/>
    <col min="12025" max="12026" width="11.125" style="2" bestFit="1" customWidth="1"/>
    <col min="12027" max="12027" width="13.25" style="2" bestFit="1" customWidth="1"/>
    <col min="12028" max="12028" width="11.125" style="2" bestFit="1" customWidth="1"/>
    <col min="12029" max="12029" width="9" style="2"/>
    <col min="12030" max="12030" width="11.125" style="2" bestFit="1" customWidth="1"/>
    <col min="12031" max="12031" width="9" style="2"/>
    <col min="12032" max="12043" width="11.125" style="2" bestFit="1" customWidth="1"/>
    <col min="12044" max="12044" width="9" style="2"/>
    <col min="12045" max="12051" width="11.125" style="2" bestFit="1" customWidth="1"/>
    <col min="12052" max="12052" width="9.625" style="2" bestFit="1" customWidth="1"/>
    <col min="12053" max="12278" width="9" style="2"/>
    <col min="12279" max="12279" width="2.375" style="2" customWidth="1"/>
    <col min="12280" max="12280" width="13.25" style="2" bestFit="1" customWidth="1"/>
    <col min="12281" max="12282" width="11.125" style="2" bestFit="1" customWidth="1"/>
    <col min="12283" max="12283" width="13.25" style="2" bestFit="1" customWidth="1"/>
    <col min="12284" max="12284" width="11.125" style="2" bestFit="1" customWidth="1"/>
    <col min="12285" max="12285" width="9" style="2"/>
    <col min="12286" max="12286" width="11.125" style="2" bestFit="1" customWidth="1"/>
    <col min="12287" max="12287" width="9" style="2"/>
    <col min="12288" max="12299" width="11.125" style="2" bestFit="1" customWidth="1"/>
    <col min="12300" max="12300" width="9" style="2"/>
    <col min="12301" max="12307" width="11.125" style="2" bestFit="1" customWidth="1"/>
    <col min="12308" max="12308" width="9.625" style="2" bestFit="1" customWidth="1"/>
    <col min="12309" max="12534" width="9" style="2"/>
    <col min="12535" max="12535" width="2.375" style="2" customWidth="1"/>
    <col min="12536" max="12536" width="13.25" style="2" bestFit="1" customWidth="1"/>
    <col min="12537" max="12538" width="11.125" style="2" bestFit="1" customWidth="1"/>
    <col min="12539" max="12539" width="13.25" style="2" bestFit="1" customWidth="1"/>
    <col min="12540" max="12540" width="11.125" style="2" bestFit="1" customWidth="1"/>
    <col min="12541" max="12541" width="9" style="2"/>
    <col min="12542" max="12542" width="11.125" style="2" bestFit="1" customWidth="1"/>
    <col min="12543" max="12543" width="9" style="2"/>
    <col min="12544" max="12555" width="11.125" style="2" bestFit="1" customWidth="1"/>
    <col min="12556" max="12556" width="9" style="2"/>
    <col min="12557" max="12563" width="11.125" style="2" bestFit="1" customWidth="1"/>
    <col min="12564" max="12564" width="9.625" style="2" bestFit="1" customWidth="1"/>
    <col min="12565" max="12790" width="9" style="2"/>
    <col min="12791" max="12791" width="2.375" style="2" customWidth="1"/>
    <col min="12792" max="12792" width="13.25" style="2" bestFit="1" customWidth="1"/>
    <col min="12793" max="12794" width="11.125" style="2" bestFit="1" customWidth="1"/>
    <col min="12795" max="12795" width="13.25" style="2" bestFit="1" customWidth="1"/>
    <col min="12796" max="12796" width="11.125" style="2" bestFit="1" customWidth="1"/>
    <col min="12797" max="12797" width="9" style="2"/>
    <col min="12798" max="12798" width="11.125" style="2" bestFit="1" customWidth="1"/>
    <col min="12799" max="12799" width="9" style="2"/>
    <col min="12800" max="12811" width="11.125" style="2" bestFit="1" customWidth="1"/>
    <col min="12812" max="12812" width="9" style="2"/>
    <col min="12813" max="12819" width="11.125" style="2" bestFit="1" customWidth="1"/>
    <col min="12820" max="12820" width="9.625" style="2" bestFit="1" customWidth="1"/>
    <col min="12821" max="13046" width="9" style="2"/>
    <col min="13047" max="13047" width="2.375" style="2" customWidth="1"/>
    <col min="13048" max="13048" width="13.25" style="2" bestFit="1" customWidth="1"/>
    <col min="13049" max="13050" width="11.125" style="2" bestFit="1" customWidth="1"/>
    <col min="13051" max="13051" width="13.25" style="2" bestFit="1" customWidth="1"/>
    <col min="13052" max="13052" width="11.125" style="2" bestFit="1" customWidth="1"/>
    <col min="13053" max="13053" width="9" style="2"/>
    <col min="13054" max="13054" width="11.125" style="2" bestFit="1" customWidth="1"/>
    <col min="13055" max="13055" width="9" style="2"/>
    <col min="13056" max="13067" width="11.125" style="2" bestFit="1" customWidth="1"/>
    <col min="13068" max="13068" width="9" style="2"/>
    <col min="13069" max="13075" width="11.125" style="2" bestFit="1" customWidth="1"/>
    <col min="13076" max="13076" width="9.625" style="2" bestFit="1" customWidth="1"/>
    <col min="13077" max="13302" width="9" style="2"/>
    <col min="13303" max="13303" width="2.375" style="2" customWidth="1"/>
    <col min="13304" max="13304" width="13.25" style="2" bestFit="1" customWidth="1"/>
    <col min="13305" max="13306" width="11.125" style="2" bestFit="1" customWidth="1"/>
    <col min="13307" max="13307" width="13.25" style="2" bestFit="1" customWidth="1"/>
    <col min="13308" max="13308" width="11.125" style="2" bestFit="1" customWidth="1"/>
    <col min="13309" max="13309" width="9" style="2"/>
    <col min="13310" max="13310" width="11.125" style="2" bestFit="1" customWidth="1"/>
    <col min="13311" max="13311" width="9" style="2"/>
    <col min="13312" max="13323" width="11.125" style="2" bestFit="1" customWidth="1"/>
    <col min="13324" max="13324" width="9" style="2"/>
    <col min="13325" max="13331" width="11.125" style="2" bestFit="1" customWidth="1"/>
    <col min="13332" max="13332" width="9.625" style="2" bestFit="1" customWidth="1"/>
    <col min="13333" max="13558" width="9" style="2"/>
    <col min="13559" max="13559" width="2.375" style="2" customWidth="1"/>
    <col min="13560" max="13560" width="13.25" style="2" bestFit="1" customWidth="1"/>
    <col min="13561" max="13562" width="11.125" style="2" bestFit="1" customWidth="1"/>
    <col min="13563" max="13563" width="13.25" style="2" bestFit="1" customWidth="1"/>
    <col min="13564" max="13564" width="11.125" style="2" bestFit="1" customWidth="1"/>
    <col min="13565" max="13565" width="9" style="2"/>
    <col min="13566" max="13566" width="11.125" style="2" bestFit="1" customWidth="1"/>
    <col min="13567" max="13567" width="9" style="2"/>
    <col min="13568" max="13579" width="11.125" style="2" bestFit="1" customWidth="1"/>
    <col min="13580" max="13580" width="9" style="2"/>
    <col min="13581" max="13587" width="11.125" style="2" bestFit="1" customWidth="1"/>
    <col min="13588" max="13588" width="9.625" style="2" bestFit="1" customWidth="1"/>
    <col min="13589" max="13814" width="9" style="2"/>
    <col min="13815" max="13815" width="2.375" style="2" customWidth="1"/>
    <col min="13816" max="13816" width="13.25" style="2" bestFit="1" customWidth="1"/>
    <col min="13817" max="13818" width="11.125" style="2" bestFit="1" customWidth="1"/>
    <col min="13819" max="13819" width="13.25" style="2" bestFit="1" customWidth="1"/>
    <col min="13820" max="13820" width="11.125" style="2" bestFit="1" customWidth="1"/>
    <col min="13821" max="13821" width="9" style="2"/>
    <col min="13822" max="13822" width="11.125" style="2" bestFit="1" customWidth="1"/>
    <col min="13823" max="13823" width="9" style="2"/>
    <col min="13824" max="13835" width="11.125" style="2" bestFit="1" customWidth="1"/>
    <col min="13836" max="13836" width="9" style="2"/>
    <col min="13837" max="13843" width="11.125" style="2" bestFit="1" customWidth="1"/>
    <col min="13844" max="13844" width="9.625" style="2" bestFit="1" customWidth="1"/>
    <col min="13845" max="14070" width="9" style="2"/>
    <col min="14071" max="14071" width="2.375" style="2" customWidth="1"/>
    <col min="14072" max="14072" width="13.25" style="2" bestFit="1" customWidth="1"/>
    <col min="14073" max="14074" width="11.125" style="2" bestFit="1" customWidth="1"/>
    <col min="14075" max="14075" width="13.25" style="2" bestFit="1" customWidth="1"/>
    <col min="14076" max="14076" width="11.125" style="2" bestFit="1" customWidth="1"/>
    <col min="14077" max="14077" width="9" style="2"/>
    <col min="14078" max="14078" width="11.125" style="2" bestFit="1" customWidth="1"/>
    <col min="14079" max="14079" width="9" style="2"/>
    <col min="14080" max="14091" width="11.125" style="2" bestFit="1" customWidth="1"/>
    <col min="14092" max="14092" width="9" style="2"/>
    <col min="14093" max="14099" width="11.125" style="2" bestFit="1" customWidth="1"/>
    <col min="14100" max="14100" width="9.625" style="2" bestFit="1" customWidth="1"/>
    <col min="14101" max="14326" width="9" style="2"/>
    <col min="14327" max="14327" width="2.375" style="2" customWidth="1"/>
    <col min="14328" max="14328" width="13.25" style="2" bestFit="1" customWidth="1"/>
    <col min="14329" max="14330" width="11.125" style="2" bestFit="1" customWidth="1"/>
    <col min="14331" max="14331" width="13.25" style="2" bestFit="1" customWidth="1"/>
    <col min="14332" max="14332" width="11.125" style="2" bestFit="1" customWidth="1"/>
    <col min="14333" max="14333" width="9" style="2"/>
    <col min="14334" max="14334" width="11.125" style="2" bestFit="1" customWidth="1"/>
    <col min="14335" max="14335" width="9" style="2"/>
    <col min="14336" max="14347" width="11.125" style="2" bestFit="1" customWidth="1"/>
    <col min="14348" max="14348" width="9" style="2"/>
    <col min="14349" max="14355" width="11.125" style="2" bestFit="1" customWidth="1"/>
    <col min="14356" max="14356" width="9.625" style="2" bestFit="1" customWidth="1"/>
    <col min="14357" max="14582" width="9" style="2"/>
    <col min="14583" max="14583" width="2.375" style="2" customWidth="1"/>
    <col min="14584" max="14584" width="13.25" style="2" bestFit="1" customWidth="1"/>
    <col min="14585" max="14586" width="11.125" style="2" bestFit="1" customWidth="1"/>
    <col min="14587" max="14587" width="13.25" style="2" bestFit="1" customWidth="1"/>
    <col min="14588" max="14588" width="11.125" style="2" bestFit="1" customWidth="1"/>
    <col min="14589" max="14589" width="9" style="2"/>
    <col min="14590" max="14590" width="11.125" style="2" bestFit="1" customWidth="1"/>
    <col min="14591" max="14591" width="9" style="2"/>
    <col min="14592" max="14603" width="11.125" style="2" bestFit="1" customWidth="1"/>
    <col min="14604" max="14604" width="9" style="2"/>
    <col min="14605" max="14611" width="11.125" style="2" bestFit="1" customWidth="1"/>
    <col min="14612" max="14612" width="9.625" style="2" bestFit="1" customWidth="1"/>
    <col min="14613" max="14838" width="9" style="2"/>
    <col min="14839" max="14839" width="2.375" style="2" customWidth="1"/>
    <col min="14840" max="14840" width="13.25" style="2" bestFit="1" customWidth="1"/>
    <col min="14841" max="14842" width="11.125" style="2" bestFit="1" customWidth="1"/>
    <col min="14843" max="14843" width="13.25" style="2" bestFit="1" customWidth="1"/>
    <col min="14844" max="14844" width="11.125" style="2" bestFit="1" customWidth="1"/>
    <col min="14845" max="14845" width="9" style="2"/>
    <col min="14846" max="14846" width="11.125" style="2" bestFit="1" customWidth="1"/>
    <col min="14847" max="14847" width="9" style="2"/>
    <col min="14848" max="14859" width="11.125" style="2" bestFit="1" customWidth="1"/>
    <col min="14860" max="14860" width="9" style="2"/>
    <col min="14861" max="14867" width="11.125" style="2" bestFit="1" customWidth="1"/>
    <col min="14868" max="14868" width="9.625" style="2" bestFit="1" customWidth="1"/>
    <col min="14869" max="15094" width="9" style="2"/>
    <col min="15095" max="15095" width="2.375" style="2" customWidth="1"/>
    <col min="15096" max="15096" width="13.25" style="2" bestFit="1" customWidth="1"/>
    <col min="15097" max="15098" width="11.125" style="2" bestFit="1" customWidth="1"/>
    <col min="15099" max="15099" width="13.25" style="2" bestFit="1" customWidth="1"/>
    <col min="15100" max="15100" width="11.125" style="2" bestFit="1" customWidth="1"/>
    <col min="15101" max="15101" width="9" style="2"/>
    <col min="15102" max="15102" width="11.125" style="2" bestFit="1" customWidth="1"/>
    <col min="15103" max="15103" width="9" style="2"/>
    <col min="15104" max="15115" width="11.125" style="2" bestFit="1" customWidth="1"/>
    <col min="15116" max="15116" width="9" style="2"/>
    <col min="15117" max="15123" width="11.125" style="2" bestFit="1" customWidth="1"/>
    <col min="15124" max="15124" width="9.625" style="2" bestFit="1" customWidth="1"/>
    <col min="15125" max="15350" width="9" style="2"/>
    <col min="15351" max="15351" width="2.375" style="2" customWidth="1"/>
    <col min="15352" max="15352" width="13.25" style="2" bestFit="1" customWidth="1"/>
    <col min="15353" max="15354" width="11.125" style="2" bestFit="1" customWidth="1"/>
    <col min="15355" max="15355" width="13.25" style="2" bestFit="1" customWidth="1"/>
    <col min="15356" max="15356" width="11.125" style="2" bestFit="1" customWidth="1"/>
    <col min="15357" max="15357" width="9" style="2"/>
    <col min="15358" max="15358" width="11.125" style="2" bestFit="1" customWidth="1"/>
    <col min="15359" max="15359" width="9" style="2"/>
    <col min="15360" max="15371" width="11.125" style="2" bestFit="1" customWidth="1"/>
    <col min="15372" max="15372" width="9" style="2"/>
    <col min="15373" max="15379" width="11.125" style="2" bestFit="1" customWidth="1"/>
    <col min="15380" max="15380" width="9.625" style="2" bestFit="1" customWidth="1"/>
    <col min="15381" max="15606" width="9" style="2"/>
    <col min="15607" max="15607" width="2.375" style="2" customWidth="1"/>
    <col min="15608" max="15608" width="13.25" style="2" bestFit="1" customWidth="1"/>
    <col min="15609" max="15610" width="11.125" style="2" bestFit="1" customWidth="1"/>
    <col min="15611" max="15611" width="13.25" style="2" bestFit="1" customWidth="1"/>
    <col min="15612" max="15612" width="11.125" style="2" bestFit="1" customWidth="1"/>
    <col min="15613" max="15613" width="9" style="2"/>
    <col min="15614" max="15614" width="11.125" style="2" bestFit="1" customWidth="1"/>
    <col min="15615" max="15615" width="9" style="2"/>
    <col min="15616" max="15627" width="11.125" style="2" bestFit="1" customWidth="1"/>
    <col min="15628" max="15628" width="9" style="2"/>
    <col min="15629" max="15635" width="11.125" style="2" bestFit="1" customWidth="1"/>
    <col min="15636" max="15636" width="9.625" style="2" bestFit="1" customWidth="1"/>
    <col min="15637" max="15862" width="9" style="2"/>
    <col min="15863" max="15863" width="2.375" style="2" customWidth="1"/>
    <col min="15864" max="15864" width="13.25" style="2" bestFit="1" customWidth="1"/>
    <col min="15865" max="15866" width="11.125" style="2" bestFit="1" customWidth="1"/>
    <col min="15867" max="15867" width="13.25" style="2" bestFit="1" customWidth="1"/>
    <col min="15868" max="15868" width="11.125" style="2" bestFit="1" customWidth="1"/>
    <col min="15869" max="15869" width="9" style="2"/>
    <col min="15870" max="15870" width="11.125" style="2" bestFit="1" customWidth="1"/>
    <col min="15871" max="15871" width="9" style="2"/>
    <col min="15872" max="15883" width="11.125" style="2" bestFit="1" customWidth="1"/>
    <col min="15884" max="15884" width="9" style="2"/>
    <col min="15885" max="15891" width="11.125" style="2" bestFit="1" customWidth="1"/>
    <col min="15892" max="15892" width="9.625" style="2" bestFit="1" customWidth="1"/>
    <col min="15893" max="16118" width="9" style="2"/>
    <col min="16119" max="16119" width="2.375" style="2" customWidth="1"/>
    <col min="16120" max="16120" width="13.25" style="2" bestFit="1" customWidth="1"/>
    <col min="16121" max="16122" width="11.125" style="2" bestFit="1" customWidth="1"/>
    <col min="16123" max="16123" width="13.25" style="2" bestFit="1" customWidth="1"/>
    <col min="16124" max="16124" width="11.125" style="2" bestFit="1" customWidth="1"/>
    <col min="16125" max="16125" width="9" style="2"/>
    <col min="16126" max="16126" width="11.125" style="2" bestFit="1" customWidth="1"/>
    <col min="16127" max="16127" width="9" style="2"/>
    <col min="16128" max="16139" width="11.125" style="2" bestFit="1" customWidth="1"/>
    <col min="16140" max="16140" width="9" style="2"/>
    <col min="16141" max="16147" width="11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104</v>
      </c>
    </row>
    <row r="3" spans="1:21">
      <c r="B3" s="16"/>
      <c r="C3" s="34" t="s">
        <v>2</v>
      </c>
      <c r="D3" s="35" t="s">
        <v>3</v>
      </c>
      <c r="E3" s="35" t="s">
        <v>6</v>
      </c>
      <c r="F3" s="35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5" t="s">
        <v>13</v>
      </c>
      <c r="M3" s="35" t="s">
        <v>14</v>
      </c>
      <c r="N3" s="35" t="s">
        <v>15</v>
      </c>
      <c r="O3" s="35" t="s">
        <v>17</v>
      </c>
      <c r="P3" s="35" t="s">
        <v>18</v>
      </c>
      <c r="Q3" s="35" t="s">
        <v>19</v>
      </c>
      <c r="R3" s="35" t="s">
        <v>20</v>
      </c>
      <c r="S3" s="35" t="s">
        <v>21</v>
      </c>
      <c r="T3" s="60" t="s">
        <v>22</v>
      </c>
      <c r="U3" s="86" t="s">
        <v>106</v>
      </c>
    </row>
    <row r="4" spans="1:21" ht="19.5" thickBot="1">
      <c r="B4" s="4" t="s">
        <v>29</v>
      </c>
      <c r="C4" s="36" t="s">
        <v>30</v>
      </c>
      <c r="D4" s="37" t="s">
        <v>31</v>
      </c>
      <c r="E4" s="37" t="s">
        <v>33</v>
      </c>
      <c r="F4" s="37" t="s">
        <v>34</v>
      </c>
      <c r="G4" s="37" t="s">
        <v>35</v>
      </c>
      <c r="H4" s="37" t="s">
        <v>36</v>
      </c>
      <c r="I4" s="37" t="s">
        <v>37</v>
      </c>
      <c r="J4" s="37" t="s">
        <v>38</v>
      </c>
      <c r="K4" s="37" t="s">
        <v>39</v>
      </c>
      <c r="L4" s="37" t="s">
        <v>40</v>
      </c>
      <c r="M4" s="37" t="s">
        <v>41</v>
      </c>
      <c r="N4" s="37" t="s">
        <v>42</v>
      </c>
      <c r="O4" s="37" t="s">
        <v>44</v>
      </c>
      <c r="P4" s="37" t="s">
        <v>45</v>
      </c>
      <c r="Q4" s="37" t="s">
        <v>46</v>
      </c>
      <c r="R4" s="37" t="s">
        <v>47</v>
      </c>
      <c r="S4" s="37" t="s">
        <v>48</v>
      </c>
      <c r="T4" s="61" t="s">
        <v>49</v>
      </c>
      <c r="U4" s="87" t="s">
        <v>107</v>
      </c>
    </row>
    <row r="5" spans="1:21">
      <c r="A5" s="1" t="s">
        <v>1</v>
      </c>
      <c r="B5" s="22" t="s">
        <v>57</v>
      </c>
      <c r="C5" s="38">
        <v>18</v>
      </c>
      <c r="D5" s="39">
        <v>20</v>
      </c>
      <c r="E5" s="39">
        <v>18</v>
      </c>
      <c r="F5" s="39">
        <v>18</v>
      </c>
      <c r="G5" s="39">
        <v>6</v>
      </c>
      <c r="H5" s="39">
        <v>19</v>
      </c>
      <c r="I5" s="39">
        <v>19</v>
      </c>
      <c r="J5" s="39">
        <v>18</v>
      </c>
      <c r="K5" s="39">
        <v>19</v>
      </c>
      <c r="L5" s="39">
        <v>18</v>
      </c>
      <c r="M5" s="39">
        <v>17</v>
      </c>
      <c r="N5" s="39">
        <v>20</v>
      </c>
      <c r="O5" s="39">
        <v>19</v>
      </c>
      <c r="P5" s="39">
        <v>18</v>
      </c>
      <c r="Q5" s="39">
        <v>21</v>
      </c>
      <c r="R5" s="39">
        <v>21</v>
      </c>
      <c r="S5" s="39">
        <v>22</v>
      </c>
      <c r="T5" s="62">
        <v>19</v>
      </c>
      <c r="U5" s="24">
        <f>SUM(C5:T5)</f>
        <v>330</v>
      </c>
    </row>
    <row r="6" spans="1:21">
      <c r="A6" s="1" t="s">
        <v>1</v>
      </c>
      <c r="B6" s="25" t="s">
        <v>58</v>
      </c>
      <c r="C6" s="40">
        <v>5</v>
      </c>
      <c r="D6" s="41">
        <v>4</v>
      </c>
      <c r="E6" s="41">
        <v>2</v>
      </c>
      <c r="F6" s="41">
        <v>1</v>
      </c>
      <c r="G6" s="41">
        <v>1</v>
      </c>
      <c r="H6" s="41">
        <v>3</v>
      </c>
      <c r="I6" s="41">
        <v>3</v>
      </c>
      <c r="J6" s="41">
        <v>2</v>
      </c>
      <c r="K6" s="41">
        <v>3</v>
      </c>
      <c r="L6" s="41">
        <v>4</v>
      </c>
      <c r="M6" s="41">
        <v>2</v>
      </c>
      <c r="N6" s="41">
        <v>2</v>
      </c>
      <c r="O6" s="41">
        <v>2</v>
      </c>
      <c r="P6" s="41">
        <v>1</v>
      </c>
      <c r="Q6" s="41">
        <v>1</v>
      </c>
      <c r="R6" s="41">
        <v>1</v>
      </c>
      <c r="S6" s="41">
        <v>3</v>
      </c>
      <c r="T6" s="63">
        <v>3</v>
      </c>
      <c r="U6" s="27">
        <f t="shared" ref="U6:U52" si="0">SUM(C6:T6)</f>
        <v>43</v>
      </c>
    </row>
    <row r="7" spans="1:21">
      <c r="A7" s="1" t="s">
        <v>1</v>
      </c>
      <c r="B7" s="25" t="s">
        <v>59</v>
      </c>
      <c r="C7" s="40">
        <v>2</v>
      </c>
      <c r="D7" s="41">
        <v>2</v>
      </c>
      <c r="E7" s="41">
        <v>0</v>
      </c>
      <c r="F7" s="41">
        <v>1</v>
      </c>
      <c r="G7" s="41">
        <v>0</v>
      </c>
      <c r="H7" s="41">
        <v>0</v>
      </c>
      <c r="I7" s="41">
        <v>1</v>
      </c>
      <c r="J7" s="41">
        <v>0</v>
      </c>
      <c r="K7" s="41">
        <v>2</v>
      </c>
      <c r="L7" s="41">
        <v>2</v>
      </c>
      <c r="M7" s="41">
        <v>0</v>
      </c>
      <c r="N7" s="41">
        <v>0</v>
      </c>
      <c r="O7" s="41">
        <v>2</v>
      </c>
      <c r="P7" s="41">
        <v>0</v>
      </c>
      <c r="Q7" s="41">
        <v>0</v>
      </c>
      <c r="R7" s="41">
        <v>0</v>
      </c>
      <c r="S7" s="41">
        <v>2</v>
      </c>
      <c r="T7" s="63">
        <v>1</v>
      </c>
      <c r="U7" s="27">
        <f t="shared" si="0"/>
        <v>15</v>
      </c>
    </row>
    <row r="8" spans="1:21">
      <c r="A8" s="1" t="s">
        <v>1</v>
      </c>
      <c r="B8" s="25" t="s">
        <v>60</v>
      </c>
      <c r="C8" s="40">
        <v>0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1</v>
      </c>
      <c r="Q8" s="41">
        <v>1</v>
      </c>
      <c r="R8" s="41">
        <v>1</v>
      </c>
      <c r="S8" s="41">
        <v>0</v>
      </c>
      <c r="T8" s="63">
        <v>0</v>
      </c>
      <c r="U8" s="27">
        <f t="shared" si="0"/>
        <v>3</v>
      </c>
    </row>
    <row r="9" spans="1:21">
      <c r="A9" s="1" t="s">
        <v>1</v>
      </c>
      <c r="B9" s="25" t="s">
        <v>61</v>
      </c>
      <c r="C9" s="40">
        <v>5</v>
      </c>
      <c r="D9" s="41">
        <v>3</v>
      </c>
      <c r="E9" s="41">
        <v>5</v>
      </c>
      <c r="F9" s="41">
        <v>5</v>
      </c>
      <c r="G9" s="41">
        <v>17</v>
      </c>
      <c r="H9" s="41">
        <v>4</v>
      </c>
      <c r="I9" s="41">
        <v>4</v>
      </c>
      <c r="J9" s="41">
        <v>5</v>
      </c>
      <c r="K9" s="41">
        <v>4</v>
      </c>
      <c r="L9" s="41">
        <v>5</v>
      </c>
      <c r="M9" s="41">
        <v>6</v>
      </c>
      <c r="N9" s="41">
        <v>3</v>
      </c>
      <c r="O9" s="41">
        <v>4</v>
      </c>
      <c r="P9" s="41">
        <v>4</v>
      </c>
      <c r="Q9" s="41">
        <v>1</v>
      </c>
      <c r="R9" s="41">
        <v>1</v>
      </c>
      <c r="S9" s="41">
        <v>1</v>
      </c>
      <c r="T9" s="63">
        <v>4</v>
      </c>
      <c r="U9" s="27">
        <f t="shared" si="0"/>
        <v>81</v>
      </c>
    </row>
    <row r="10" spans="1:21">
      <c r="A10" s="1" t="s">
        <v>1</v>
      </c>
      <c r="B10" s="25" t="s">
        <v>62</v>
      </c>
      <c r="C10" s="42">
        <v>0</v>
      </c>
      <c r="D10" s="43">
        <v>0</v>
      </c>
      <c r="E10" s="43">
        <v>0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64">
        <v>0</v>
      </c>
      <c r="U10" s="29">
        <f t="shared" si="0"/>
        <v>0</v>
      </c>
    </row>
    <row r="11" spans="1:21">
      <c r="A11" s="1" t="s">
        <v>1</v>
      </c>
      <c r="B11" s="25" t="s">
        <v>63</v>
      </c>
      <c r="C11" s="42">
        <v>0.83333333333333337</v>
      </c>
      <c r="D11" s="43">
        <v>0.95833333333333337</v>
      </c>
      <c r="E11" s="43">
        <v>0.58333333333333337</v>
      </c>
      <c r="F11" s="43">
        <v>1.4583333333333333</v>
      </c>
      <c r="G11" s="43">
        <v>0.33333333333333331</v>
      </c>
      <c r="H11" s="43">
        <v>2.2916666666666665</v>
      </c>
      <c r="I11" s="43">
        <v>2.0416666666666665</v>
      </c>
      <c r="J11" s="43">
        <v>1.25</v>
      </c>
      <c r="K11" s="43">
        <v>1.75</v>
      </c>
      <c r="L11" s="43">
        <v>1.375</v>
      </c>
      <c r="M11" s="43">
        <v>0.5</v>
      </c>
      <c r="N11" s="43">
        <v>0.95833333333333337</v>
      </c>
      <c r="O11" s="43">
        <v>2.4583333333333335</v>
      </c>
      <c r="P11" s="43">
        <v>0.625</v>
      </c>
      <c r="Q11" s="43">
        <v>1.2916666666666667</v>
      </c>
      <c r="R11" s="43">
        <v>2.2916666666666665</v>
      </c>
      <c r="S11" s="43">
        <v>1.875</v>
      </c>
      <c r="T11" s="64">
        <v>0.45833333333333331</v>
      </c>
      <c r="U11" s="29">
        <f t="shared" si="0"/>
        <v>23.333333333333332</v>
      </c>
    </row>
    <row r="12" spans="1:21">
      <c r="A12" s="1" t="s">
        <v>1</v>
      </c>
      <c r="B12" s="25" t="s">
        <v>64</v>
      </c>
      <c r="C12" s="42">
        <v>1.3333333333333333</v>
      </c>
      <c r="D12" s="43">
        <v>1.25</v>
      </c>
      <c r="E12" s="43">
        <v>0.79166666666666663</v>
      </c>
      <c r="F12" s="43">
        <v>0.16666666666666666</v>
      </c>
      <c r="G12" s="43">
        <v>0.33333333333333331</v>
      </c>
      <c r="H12" s="43">
        <v>0.83333333333333337</v>
      </c>
      <c r="I12" s="43">
        <v>0.95833333333333337</v>
      </c>
      <c r="J12" s="43">
        <v>0.58333333333333337</v>
      </c>
      <c r="K12" s="43">
        <v>1.0416666666666667</v>
      </c>
      <c r="L12" s="43">
        <v>1.4583333333333333</v>
      </c>
      <c r="M12" s="43">
        <v>0.79166666666666663</v>
      </c>
      <c r="N12" s="43">
        <v>0.54166666666666663</v>
      </c>
      <c r="O12" s="43">
        <v>0.625</v>
      </c>
      <c r="P12" s="43">
        <v>0</v>
      </c>
      <c r="Q12" s="43">
        <v>0</v>
      </c>
      <c r="R12" s="43">
        <v>0</v>
      </c>
      <c r="S12" s="43">
        <v>0.91666666666666663</v>
      </c>
      <c r="T12" s="64">
        <v>0.625</v>
      </c>
      <c r="U12" s="29">
        <f t="shared" si="0"/>
        <v>12.249999999999998</v>
      </c>
    </row>
    <row r="13" spans="1:21">
      <c r="A13" s="1" t="s">
        <v>1</v>
      </c>
      <c r="B13" s="25" t="s">
        <v>65</v>
      </c>
      <c r="C13" s="42">
        <v>0.70833333333333337</v>
      </c>
      <c r="D13" s="43">
        <v>0.66666666666666663</v>
      </c>
      <c r="E13" s="43">
        <v>0</v>
      </c>
      <c r="F13" s="43">
        <v>0.375</v>
      </c>
      <c r="G13" s="43">
        <v>0</v>
      </c>
      <c r="H13" s="43">
        <v>0</v>
      </c>
      <c r="I13" s="43">
        <v>0.41666666666666669</v>
      </c>
      <c r="J13" s="43">
        <v>0</v>
      </c>
      <c r="K13" s="43">
        <v>0.625</v>
      </c>
      <c r="L13" s="43">
        <v>0.66666666666666663</v>
      </c>
      <c r="M13" s="43">
        <v>0</v>
      </c>
      <c r="N13" s="43">
        <v>0</v>
      </c>
      <c r="O13" s="43">
        <v>0.75</v>
      </c>
      <c r="P13" s="43">
        <v>0</v>
      </c>
      <c r="Q13" s="43">
        <v>0</v>
      </c>
      <c r="R13" s="43">
        <v>0</v>
      </c>
      <c r="S13" s="43">
        <v>0.625</v>
      </c>
      <c r="T13" s="64">
        <v>0.20833333333333334</v>
      </c>
      <c r="U13" s="29">
        <f t="shared" si="0"/>
        <v>5.0416666666666661</v>
      </c>
    </row>
    <row r="14" spans="1:21">
      <c r="A14" s="1" t="s">
        <v>1</v>
      </c>
      <c r="B14" s="25" t="s">
        <v>66</v>
      </c>
      <c r="C14" s="42">
        <v>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0.20833333333333334</v>
      </c>
      <c r="Q14" s="43">
        <v>0.16666666666666666</v>
      </c>
      <c r="R14" s="43">
        <v>0.5</v>
      </c>
      <c r="S14" s="43">
        <v>0</v>
      </c>
      <c r="T14" s="64">
        <v>0</v>
      </c>
      <c r="U14" s="29">
        <f t="shared" si="0"/>
        <v>0.875</v>
      </c>
    </row>
    <row r="15" spans="1:21">
      <c r="A15" s="1" t="s">
        <v>1</v>
      </c>
      <c r="B15" s="25" t="s">
        <v>67</v>
      </c>
      <c r="C15" s="42">
        <v>0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8.3333333333333329E-2</v>
      </c>
      <c r="P15" s="43">
        <v>0</v>
      </c>
      <c r="Q15" s="43">
        <v>0</v>
      </c>
      <c r="R15" s="43">
        <v>0</v>
      </c>
      <c r="S15" s="43">
        <v>0</v>
      </c>
      <c r="T15" s="64">
        <v>0</v>
      </c>
      <c r="U15" s="29">
        <f t="shared" si="0"/>
        <v>8.3333333333333329E-2</v>
      </c>
    </row>
    <row r="16" spans="1:21">
      <c r="A16" s="1" t="s">
        <v>1</v>
      </c>
      <c r="B16" s="25" t="s">
        <v>68</v>
      </c>
      <c r="C16" s="42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64">
        <v>0</v>
      </c>
      <c r="U16" s="29">
        <f t="shared" si="0"/>
        <v>0</v>
      </c>
    </row>
    <row r="17" spans="1:21">
      <c r="A17" s="1" t="s">
        <v>1</v>
      </c>
      <c r="B17" s="5" t="s">
        <v>69</v>
      </c>
      <c r="C17" s="44">
        <v>0.25</v>
      </c>
      <c r="D17" s="45">
        <v>8.3333333333333329E-2</v>
      </c>
      <c r="E17" s="45">
        <v>0.20833333333333334</v>
      </c>
      <c r="F17" s="45">
        <v>0.66666666666666663</v>
      </c>
      <c r="G17" s="45">
        <v>8.3333333333333329E-2</v>
      </c>
      <c r="H17" s="45">
        <v>0.54166666666666663</v>
      </c>
      <c r="I17" s="45">
        <v>0.625</v>
      </c>
      <c r="J17" s="45">
        <v>8.3333333333333329E-2</v>
      </c>
      <c r="K17" s="45">
        <v>0.41666666666666669</v>
      </c>
      <c r="L17" s="45">
        <v>0.58333333333333337</v>
      </c>
      <c r="M17" s="45">
        <v>0.33333333333333331</v>
      </c>
      <c r="N17" s="45">
        <v>0.625</v>
      </c>
      <c r="O17" s="45">
        <v>1.0416666666666667</v>
      </c>
      <c r="P17" s="45">
        <v>0.41666666666666669</v>
      </c>
      <c r="Q17" s="45">
        <v>4.1666666666666664E-2</v>
      </c>
      <c r="R17" s="45">
        <v>1.125</v>
      </c>
      <c r="S17" s="45">
        <v>0.625</v>
      </c>
      <c r="T17" s="65">
        <v>4.1666666666666664E-2</v>
      </c>
      <c r="U17" s="7">
        <f t="shared" si="0"/>
        <v>7.7916666666666679</v>
      </c>
    </row>
    <row r="18" spans="1:21">
      <c r="A18" s="1" t="s">
        <v>1</v>
      </c>
      <c r="B18" s="13" t="s">
        <v>70</v>
      </c>
      <c r="C18" s="46">
        <v>13</v>
      </c>
      <c r="D18" s="47">
        <v>10</v>
      </c>
      <c r="E18" s="47">
        <v>25</v>
      </c>
      <c r="F18" s="47">
        <v>27</v>
      </c>
      <c r="G18" s="47">
        <v>6</v>
      </c>
      <c r="H18" s="47">
        <v>22</v>
      </c>
      <c r="I18" s="47">
        <v>15</v>
      </c>
      <c r="J18" s="47">
        <v>25</v>
      </c>
      <c r="K18" s="47">
        <v>20.5</v>
      </c>
      <c r="L18" s="47">
        <v>29</v>
      </c>
      <c r="M18" s="47">
        <v>0</v>
      </c>
      <c r="N18" s="47">
        <v>35</v>
      </c>
      <c r="O18" s="47">
        <v>14</v>
      </c>
      <c r="P18" s="47">
        <v>21.5</v>
      </c>
      <c r="Q18" s="47">
        <v>9</v>
      </c>
      <c r="R18" s="47">
        <v>5</v>
      </c>
      <c r="S18" s="47">
        <v>10</v>
      </c>
      <c r="T18" s="66">
        <v>14</v>
      </c>
      <c r="U18" s="15"/>
    </row>
    <row r="19" spans="1:21">
      <c r="A19" s="1" t="s">
        <v>1</v>
      </c>
      <c r="B19" s="19" t="s">
        <v>71</v>
      </c>
      <c r="C19" s="48">
        <v>177000</v>
      </c>
      <c r="D19" s="49">
        <v>187000</v>
      </c>
      <c r="E19" s="49">
        <v>192000</v>
      </c>
      <c r="F19" s="49">
        <v>192000</v>
      </c>
      <c r="G19" s="49">
        <v>187000</v>
      </c>
      <c r="H19" s="49">
        <v>192000</v>
      </c>
      <c r="I19" s="49">
        <v>177000</v>
      </c>
      <c r="J19" s="49">
        <v>182000</v>
      </c>
      <c r="K19" s="49">
        <v>177000</v>
      </c>
      <c r="L19" s="49">
        <v>187000</v>
      </c>
      <c r="M19" s="49">
        <v>182000</v>
      </c>
      <c r="N19" s="49">
        <v>187000</v>
      </c>
      <c r="O19" s="49">
        <v>177000</v>
      </c>
      <c r="P19" s="49">
        <v>170000</v>
      </c>
      <c r="Q19" s="49">
        <v>170000</v>
      </c>
      <c r="R19" s="49">
        <v>170000</v>
      </c>
      <c r="S19" s="49">
        <v>170000</v>
      </c>
      <c r="T19" s="67">
        <v>170000</v>
      </c>
      <c r="U19" s="21">
        <f t="shared" si="0"/>
        <v>3246000</v>
      </c>
    </row>
    <row r="20" spans="1:21">
      <c r="A20" s="1" t="s">
        <v>1</v>
      </c>
      <c r="B20" s="25" t="s">
        <v>72</v>
      </c>
      <c r="C20" s="50">
        <v>0</v>
      </c>
      <c r="D20" s="51">
        <v>0</v>
      </c>
      <c r="E20" s="51">
        <v>20000</v>
      </c>
      <c r="F20" s="51">
        <v>20000</v>
      </c>
      <c r="G20" s="51">
        <v>0</v>
      </c>
      <c r="H20" s="51">
        <v>0</v>
      </c>
      <c r="I20" s="51">
        <v>0</v>
      </c>
      <c r="J20" s="51">
        <v>5000</v>
      </c>
      <c r="K20" s="51">
        <v>0</v>
      </c>
      <c r="L20" s="51">
        <v>0</v>
      </c>
      <c r="M20" s="51">
        <v>0</v>
      </c>
      <c r="N20" s="51">
        <v>0</v>
      </c>
      <c r="O20" s="51">
        <v>5000</v>
      </c>
      <c r="P20" s="51">
        <v>0</v>
      </c>
      <c r="Q20" s="51">
        <v>0</v>
      </c>
      <c r="R20" s="51">
        <v>0</v>
      </c>
      <c r="S20" s="51">
        <v>0</v>
      </c>
      <c r="T20" s="68">
        <v>0</v>
      </c>
      <c r="U20" s="31">
        <f t="shared" si="0"/>
        <v>50000</v>
      </c>
    </row>
    <row r="21" spans="1:21">
      <c r="A21" s="1" t="s">
        <v>1</v>
      </c>
      <c r="B21" s="25" t="s">
        <v>73</v>
      </c>
      <c r="C21" s="50">
        <v>0</v>
      </c>
      <c r="D21" s="51">
        <v>0</v>
      </c>
      <c r="E21" s="51">
        <v>3000</v>
      </c>
      <c r="F21" s="51">
        <v>0</v>
      </c>
      <c r="G21" s="51">
        <v>3000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68">
        <v>0</v>
      </c>
      <c r="U21" s="31">
        <f t="shared" si="0"/>
        <v>6000</v>
      </c>
    </row>
    <row r="22" spans="1:21">
      <c r="A22" s="1" t="s">
        <v>1</v>
      </c>
      <c r="B22" s="25" t="s">
        <v>74</v>
      </c>
      <c r="C22" s="50">
        <v>0</v>
      </c>
      <c r="D22" s="51">
        <v>5730</v>
      </c>
      <c r="E22" s="51">
        <v>0</v>
      </c>
      <c r="F22" s="51">
        <v>20113</v>
      </c>
      <c r="G22" s="51">
        <v>0</v>
      </c>
      <c r="H22" s="51">
        <v>18772</v>
      </c>
      <c r="I22" s="51">
        <v>4341</v>
      </c>
      <c r="J22" s="51">
        <v>0</v>
      </c>
      <c r="K22" s="51">
        <v>5427</v>
      </c>
      <c r="L22" s="51">
        <v>0</v>
      </c>
      <c r="M22" s="51">
        <v>0</v>
      </c>
      <c r="N22" s="51">
        <v>0</v>
      </c>
      <c r="O22" s="51">
        <v>9236</v>
      </c>
      <c r="P22" s="51">
        <v>52434</v>
      </c>
      <c r="Q22" s="51">
        <v>61016</v>
      </c>
      <c r="R22" s="51">
        <v>0</v>
      </c>
      <c r="S22" s="51">
        <v>0</v>
      </c>
      <c r="T22" s="68">
        <v>60666</v>
      </c>
      <c r="U22" s="31">
        <f t="shared" si="0"/>
        <v>237735</v>
      </c>
    </row>
    <row r="23" spans="1:21">
      <c r="A23" s="1" t="s">
        <v>1</v>
      </c>
      <c r="B23" s="25" t="s">
        <v>75</v>
      </c>
      <c r="C23" s="50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68">
        <v>0</v>
      </c>
      <c r="U23" s="31">
        <f t="shared" si="0"/>
        <v>0</v>
      </c>
    </row>
    <row r="24" spans="1:21">
      <c r="A24" s="1" t="s">
        <v>1</v>
      </c>
      <c r="B24" s="25" t="s">
        <v>76</v>
      </c>
      <c r="C24" s="50">
        <v>3500</v>
      </c>
      <c r="D24" s="51">
        <v>1000</v>
      </c>
      <c r="E24" s="51">
        <v>3500</v>
      </c>
      <c r="F24" s="51">
        <v>3500</v>
      </c>
      <c r="G24" s="51">
        <v>1000</v>
      </c>
      <c r="H24" s="51">
        <v>3500</v>
      </c>
      <c r="I24" s="51">
        <v>3500</v>
      </c>
      <c r="J24" s="51">
        <v>3500</v>
      </c>
      <c r="K24" s="51">
        <v>3500</v>
      </c>
      <c r="L24" s="51">
        <v>3500</v>
      </c>
      <c r="M24" s="51">
        <v>3500</v>
      </c>
      <c r="N24" s="51">
        <v>3500</v>
      </c>
      <c r="O24" s="51">
        <v>3500</v>
      </c>
      <c r="P24" s="51">
        <v>3500</v>
      </c>
      <c r="Q24" s="51">
        <v>1000</v>
      </c>
      <c r="R24" s="51">
        <v>0</v>
      </c>
      <c r="S24" s="51">
        <v>1000</v>
      </c>
      <c r="T24" s="68">
        <v>1000</v>
      </c>
      <c r="U24" s="31">
        <f t="shared" si="0"/>
        <v>47000</v>
      </c>
    </row>
    <row r="25" spans="1:21">
      <c r="A25" s="1" t="s">
        <v>1</v>
      </c>
      <c r="B25" s="25" t="s">
        <v>77</v>
      </c>
      <c r="C25" s="50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68">
        <v>0</v>
      </c>
      <c r="U25" s="31">
        <f t="shared" si="0"/>
        <v>0</v>
      </c>
    </row>
    <row r="26" spans="1:21">
      <c r="A26" s="1" t="s">
        <v>1</v>
      </c>
      <c r="B26" s="25" t="s">
        <v>78</v>
      </c>
      <c r="C26" s="50">
        <v>0</v>
      </c>
      <c r="D26" s="51">
        <v>0</v>
      </c>
      <c r="E26" s="51">
        <v>6020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68">
        <v>0</v>
      </c>
      <c r="U26" s="31">
        <f t="shared" si="0"/>
        <v>6020</v>
      </c>
    </row>
    <row r="27" spans="1:21">
      <c r="A27" s="1" t="s">
        <v>1</v>
      </c>
      <c r="B27" s="25" t="s">
        <v>63</v>
      </c>
      <c r="C27" s="50">
        <v>27020</v>
      </c>
      <c r="D27" s="51">
        <v>32384</v>
      </c>
      <c r="E27" s="51">
        <v>22890</v>
      </c>
      <c r="F27" s="51">
        <v>56455</v>
      </c>
      <c r="G27" s="51">
        <v>11440</v>
      </c>
      <c r="H27" s="51">
        <v>80520</v>
      </c>
      <c r="I27" s="51">
        <v>66199</v>
      </c>
      <c r="J27" s="51">
        <v>42780</v>
      </c>
      <c r="K27" s="51">
        <v>56742</v>
      </c>
      <c r="L27" s="51">
        <v>47058</v>
      </c>
      <c r="M27" s="51">
        <v>16668</v>
      </c>
      <c r="N27" s="51">
        <v>32798</v>
      </c>
      <c r="O27" s="51">
        <v>81951</v>
      </c>
      <c r="P27" s="51">
        <v>19485</v>
      </c>
      <c r="Q27" s="51">
        <v>39680</v>
      </c>
      <c r="R27" s="51">
        <v>70015</v>
      </c>
      <c r="S27" s="51">
        <v>57600</v>
      </c>
      <c r="T27" s="68">
        <v>14080</v>
      </c>
      <c r="U27" s="31">
        <f t="shared" si="0"/>
        <v>775765</v>
      </c>
    </row>
    <row r="28" spans="1:21">
      <c r="A28" s="1" t="s">
        <v>1</v>
      </c>
      <c r="B28" s="25" t="s">
        <v>79</v>
      </c>
      <c r="C28" s="50">
        <v>46688</v>
      </c>
      <c r="D28" s="51">
        <v>45600</v>
      </c>
      <c r="E28" s="51">
        <v>33554</v>
      </c>
      <c r="F28" s="51">
        <v>6968</v>
      </c>
      <c r="G28" s="51">
        <v>12352</v>
      </c>
      <c r="H28" s="51">
        <v>31620</v>
      </c>
      <c r="I28" s="51">
        <v>33557</v>
      </c>
      <c r="J28" s="51">
        <v>21560</v>
      </c>
      <c r="K28" s="51">
        <v>36475</v>
      </c>
      <c r="L28" s="51">
        <v>53900</v>
      </c>
      <c r="M28" s="51">
        <v>28500</v>
      </c>
      <c r="N28" s="51">
        <v>20020</v>
      </c>
      <c r="O28" s="51">
        <v>22500</v>
      </c>
      <c r="P28" s="51">
        <v>0</v>
      </c>
      <c r="Q28" s="51">
        <v>0</v>
      </c>
      <c r="R28" s="51">
        <v>0</v>
      </c>
      <c r="S28" s="51">
        <v>30404</v>
      </c>
      <c r="T28" s="68">
        <v>20730</v>
      </c>
      <c r="U28" s="31">
        <f t="shared" si="0"/>
        <v>444428</v>
      </c>
    </row>
    <row r="29" spans="1:21">
      <c r="A29" s="1" t="s">
        <v>1</v>
      </c>
      <c r="B29" s="25" t="s">
        <v>80</v>
      </c>
      <c r="C29" s="50">
        <v>24803</v>
      </c>
      <c r="D29" s="51">
        <v>24320</v>
      </c>
      <c r="E29" s="51">
        <v>0</v>
      </c>
      <c r="F29" s="51">
        <v>15678</v>
      </c>
      <c r="G29" s="51">
        <v>0</v>
      </c>
      <c r="H29" s="51">
        <v>0</v>
      </c>
      <c r="I29" s="51">
        <v>14590</v>
      </c>
      <c r="J29" s="51">
        <v>0</v>
      </c>
      <c r="K29" s="51">
        <v>21885</v>
      </c>
      <c r="L29" s="51">
        <v>24640</v>
      </c>
      <c r="M29" s="51">
        <v>0</v>
      </c>
      <c r="N29" s="51">
        <v>0</v>
      </c>
      <c r="O29" s="51">
        <v>27000</v>
      </c>
      <c r="P29" s="51">
        <v>0</v>
      </c>
      <c r="Q29" s="51">
        <v>0</v>
      </c>
      <c r="R29" s="51">
        <v>0</v>
      </c>
      <c r="S29" s="51">
        <v>20730</v>
      </c>
      <c r="T29" s="68">
        <v>6910</v>
      </c>
      <c r="U29" s="31">
        <f t="shared" si="0"/>
        <v>180556</v>
      </c>
    </row>
    <row r="30" spans="1:21">
      <c r="A30" s="1" t="s">
        <v>1</v>
      </c>
      <c r="B30" s="25" t="s">
        <v>81</v>
      </c>
      <c r="C30" s="50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1820</v>
      </c>
      <c r="Q30" s="51">
        <v>1432</v>
      </c>
      <c r="R30" s="51">
        <v>4272</v>
      </c>
      <c r="S30" s="51">
        <v>0</v>
      </c>
      <c r="T30" s="68">
        <v>0</v>
      </c>
      <c r="U30" s="31">
        <f t="shared" si="0"/>
        <v>7524</v>
      </c>
    </row>
    <row r="31" spans="1:21">
      <c r="A31" s="1" t="s">
        <v>1</v>
      </c>
      <c r="B31" s="25" t="s">
        <v>67</v>
      </c>
      <c r="C31" s="50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556</v>
      </c>
      <c r="P31" s="51">
        <v>0</v>
      </c>
      <c r="Q31" s="51">
        <v>0</v>
      </c>
      <c r="R31" s="51">
        <v>0</v>
      </c>
      <c r="S31" s="51">
        <v>0</v>
      </c>
      <c r="T31" s="68">
        <v>0</v>
      </c>
      <c r="U31" s="31">
        <f t="shared" si="0"/>
        <v>556</v>
      </c>
    </row>
    <row r="32" spans="1:21">
      <c r="A32" s="1" t="s">
        <v>1</v>
      </c>
      <c r="B32" s="5" t="s">
        <v>69</v>
      </c>
      <c r="C32" s="52">
        <v>1620</v>
      </c>
      <c r="D32" s="53">
        <v>564</v>
      </c>
      <c r="E32" s="53">
        <v>1635</v>
      </c>
      <c r="F32" s="53">
        <v>5168</v>
      </c>
      <c r="G32" s="53">
        <v>572</v>
      </c>
      <c r="H32" s="53">
        <v>3809</v>
      </c>
      <c r="I32" s="53">
        <v>4050</v>
      </c>
      <c r="J32" s="53">
        <v>570</v>
      </c>
      <c r="K32" s="53">
        <v>2700</v>
      </c>
      <c r="L32" s="53">
        <v>3990</v>
      </c>
      <c r="M32" s="53">
        <v>2224</v>
      </c>
      <c r="N32" s="53">
        <v>4275</v>
      </c>
      <c r="O32" s="53">
        <v>6950</v>
      </c>
      <c r="P32" s="53">
        <v>2600</v>
      </c>
      <c r="Q32" s="53">
        <v>256</v>
      </c>
      <c r="R32" s="53">
        <v>6885</v>
      </c>
      <c r="S32" s="53">
        <v>3840</v>
      </c>
      <c r="T32" s="69">
        <v>256</v>
      </c>
      <c r="U32" s="9">
        <f t="shared" si="0"/>
        <v>51964</v>
      </c>
    </row>
    <row r="33" spans="1:21">
      <c r="A33" s="1" t="s">
        <v>1</v>
      </c>
      <c r="B33" s="13" t="s">
        <v>82</v>
      </c>
      <c r="C33" s="54">
        <v>280631</v>
      </c>
      <c r="D33" s="55">
        <v>296598</v>
      </c>
      <c r="E33" s="55">
        <v>282599</v>
      </c>
      <c r="F33" s="55">
        <v>319882</v>
      </c>
      <c r="G33" s="55">
        <v>215364</v>
      </c>
      <c r="H33" s="55">
        <v>330221</v>
      </c>
      <c r="I33" s="55">
        <v>303237</v>
      </c>
      <c r="J33" s="55">
        <v>255410</v>
      </c>
      <c r="K33" s="55">
        <v>303729</v>
      </c>
      <c r="L33" s="55">
        <v>320088</v>
      </c>
      <c r="M33" s="55">
        <v>232892</v>
      </c>
      <c r="N33" s="55">
        <v>247593</v>
      </c>
      <c r="O33" s="55">
        <v>333693</v>
      </c>
      <c r="P33" s="55">
        <v>249839</v>
      </c>
      <c r="Q33" s="55">
        <v>273384</v>
      </c>
      <c r="R33" s="55">
        <v>251172</v>
      </c>
      <c r="S33" s="55">
        <v>283574</v>
      </c>
      <c r="T33" s="70">
        <v>273642</v>
      </c>
      <c r="U33" s="18">
        <f t="shared" si="0"/>
        <v>5053548</v>
      </c>
    </row>
    <row r="34" spans="1:21">
      <c r="A34" s="1" t="s">
        <v>1</v>
      </c>
      <c r="B34" s="19" t="s">
        <v>83</v>
      </c>
      <c r="C34" s="48">
        <v>13493</v>
      </c>
      <c r="D34" s="49">
        <v>3508</v>
      </c>
      <c r="E34" s="49">
        <v>4858</v>
      </c>
      <c r="F34" s="49">
        <v>2699</v>
      </c>
      <c r="G34" s="49">
        <v>4345</v>
      </c>
      <c r="H34" s="49">
        <v>2375</v>
      </c>
      <c r="I34" s="49">
        <v>2483</v>
      </c>
      <c r="J34" s="49">
        <v>1080</v>
      </c>
      <c r="K34" s="49">
        <v>3239</v>
      </c>
      <c r="L34" s="49">
        <v>5182</v>
      </c>
      <c r="M34" s="49">
        <v>3589</v>
      </c>
      <c r="N34" s="49">
        <v>7124</v>
      </c>
      <c r="O34" s="49">
        <v>6207</v>
      </c>
      <c r="P34" s="49">
        <v>8717</v>
      </c>
      <c r="Q34" s="49">
        <v>7124</v>
      </c>
      <c r="R34" s="49">
        <v>8905</v>
      </c>
      <c r="S34" s="49">
        <v>9472</v>
      </c>
      <c r="T34" s="67">
        <v>2483</v>
      </c>
      <c r="U34" s="21">
        <f t="shared" si="0"/>
        <v>96883</v>
      </c>
    </row>
    <row r="35" spans="1:21">
      <c r="A35" s="1" t="s">
        <v>1</v>
      </c>
      <c r="B35" s="5" t="s">
        <v>84</v>
      </c>
      <c r="C35" s="52">
        <v>13493</v>
      </c>
      <c r="D35" s="53">
        <v>3508</v>
      </c>
      <c r="E35" s="53">
        <v>4858</v>
      </c>
      <c r="F35" s="53">
        <v>2699</v>
      </c>
      <c r="G35" s="53">
        <v>4345</v>
      </c>
      <c r="H35" s="53">
        <v>2375</v>
      </c>
      <c r="I35" s="53">
        <v>2483</v>
      </c>
      <c r="J35" s="53">
        <v>1080</v>
      </c>
      <c r="K35" s="53">
        <v>3239</v>
      </c>
      <c r="L35" s="53">
        <v>5182</v>
      </c>
      <c r="M35" s="53">
        <v>3589</v>
      </c>
      <c r="N35" s="53">
        <v>7124</v>
      </c>
      <c r="O35" s="53">
        <v>6207</v>
      </c>
      <c r="P35" s="53">
        <v>8717</v>
      </c>
      <c r="Q35" s="53">
        <v>7124</v>
      </c>
      <c r="R35" s="53">
        <v>8905</v>
      </c>
      <c r="S35" s="53">
        <v>9472</v>
      </c>
      <c r="T35" s="69">
        <v>2483</v>
      </c>
      <c r="U35" s="9">
        <f t="shared" si="0"/>
        <v>96883</v>
      </c>
    </row>
    <row r="36" spans="1:21">
      <c r="A36" s="1" t="s">
        <v>1</v>
      </c>
      <c r="B36" s="13" t="s">
        <v>85</v>
      </c>
      <c r="C36" s="54">
        <v>294124</v>
      </c>
      <c r="D36" s="55">
        <v>300106</v>
      </c>
      <c r="E36" s="55">
        <v>287457</v>
      </c>
      <c r="F36" s="55">
        <v>322581</v>
      </c>
      <c r="G36" s="55">
        <v>219709</v>
      </c>
      <c r="H36" s="55">
        <v>332596</v>
      </c>
      <c r="I36" s="55">
        <v>305720</v>
      </c>
      <c r="J36" s="55">
        <v>256490</v>
      </c>
      <c r="K36" s="55">
        <v>306968</v>
      </c>
      <c r="L36" s="55">
        <v>325270</v>
      </c>
      <c r="M36" s="55">
        <v>236481</v>
      </c>
      <c r="N36" s="55">
        <v>254717</v>
      </c>
      <c r="O36" s="55">
        <v>339900</v>
      </c>
      <c r="P36" s="55">
        <v>258556</v>
      </c>
      <c r="Q36" s="55">
        <v>280508</v>
      </c>
      <c r="R36" s="55">
        <v>260077</v>
      </c>
      <c r="S36" s="55">
        <v>293046</v>
      </c>
      <c r="T36" s="70">
        <v>276125</v>
      </c>
      <c r="U36" s="18">
        <f t="shared" si="0"/>
        <v>5150431</v>
      </c>
    </row>
    <row r="37" spans="1:21">
      <c r="A37" s="1" t="s">
        <v>1</v>
      </c>
      <c r="B37" s="19" t="s">
        <v>86</v>
      </c>
      <c r="C37" s="48">
        <v>15300</v>
      </c>
      <c r="D37" s="49">
        <v>16320</v>
      </c>
      <c r="E37" s="49">
        <v>19380</v>
      </c>
      <c r="F37" s="49">
        <v>20910</v>
      </c>
      <c r="G37" s="49">
        <v>17340</v>
      </c>
      <c r="H37" s="49">
        <v>19380</v>
      </c>
      <c r="I37" s="49">
        <v>16320</v>
      </c>
      <c r="J37" s="49">
        <v>16320</v>
      </c>
      <c r="K37" s="49">
        <v>16320</v>
      </c>
      <c r="L37" s="49">
        <v>18360</v>
      </c>
      <c r="M37" s="49">
        <v>16320</v>
      </c>
      <c r="N37" s="49">
        <v>16320</v>
      </c>
      <c r="O37" s="49">
        <v>17340</v>
      </c>
      <c r="P37" s="49">
        <v>14280</v>
      </c>
      <c r="Q37" s="49">
        <v>14280</v>
      </c>
      <c r="R37" s="49">
        <v>16320</v>
      </c>
      <c r="S37" s="49">
        <v>14280</v>
      </c>
      <c r="T37" s="67">
        <v>15300</v>
      </c>
      <c r="U37" s="21">
        <f t="shared" si="0"/>
        <v>300390</v>
      </c>
    </row>
    <row r="38" spans="1:21">
      <c r="A38" s="1" t="s">
        <v>1</v>
      </c>
      <c r="B38" s="25" t="s">
        <v>87</v>
      </c>
      <c r="C38" s="50">
        <v>2700</v>
      </c>
      <c r="D38" s="51">
        <v>2880</v>
      </c>
      <c r="E38" s="51">
        <v>3420</v>
      </c>
      <c r="F38" s="51">
        <v>3690</v>
      </c>
      <c r="G38" s="51">
        <v>0</v>
      </c>
      <c r="H38" s="51">
        <v>3420</v>
      </c>
      <c r="I38" s="51">
        <v>2880</v>
      </c>
      <c r="J38" s="51">
        <v>2880</v>
      </c>
      <c r="K38" s="51">
        <v>2880</v>
      </c>
      <c r="L38" s="51">
        <v>3240</v>
      </c>
      <c r="M38" s="51">
        <v>2880</v>
      </c>
      <c r="N38" s="51">
        <v>2880</v>
      </c>
      <c r="O38" s="51">
        <v>3060</v>
      </c>
      <c r="P38" s="51">
        <v>2520</v>
      </c>
      <c r="Q38" s="51">
        <v>2520</v>
      </c>
      <c r="R38" s="51">
        <v>2880</v>
      </c>
      <c r="S38" s="51">
        <v>2520</v>
      </c>
      <c r="T38" s="68">
        <v>2700</v>
      </c>
      <c r="U38" s="31">
        <f t="shared" si="0"/>
        <v>49950</v>
      </c>
    </row>
    <row r="39" spans="1:21">
      <c r="A39" s="1" t="s">
        <v>1</v>
      </c>
      <c r="B39" s="25" t="s">
        <v>88</v>
      </c>
      <c r="C39" s="50">
        <v>27450</v>
      </c>
      <c r="D39" s="51">
        <v>29280</v>
      </c>
      <c r="E39" s="51">
        <v>34770</v>
      </c>
      <c r="F39" s="51">
        <v>37515</v>
      </c>
      <c r="G39" s="51">
        <v>31110</v>
      </c>
      <c r="H39" s="51">
        <v>34770</v>
      </c>
      <c r="I39" s="51">
        <v>29280</v>
      </c>
      <c r="J39" s="51">
        <v>29280</v>
      </c>
      <c r="K39" s="51">
        <v>29280</v>
      </c>
      <c r="L39" s="51">
        <v>32940</v>
      </c>
      <c r="M39" s="51">
        <v>29280</v>
      </c>
      <c r="N39" s="51">
        <v>29280</v>
      </c>
      <c r="O39" s="51">
        <v>31110</v>
      </c>
      <c r="P39" s="51">
        <v>25620</v>
      </c>
      <c r="Q39" s="51">
        <v>25620</v>
      </c>
      <c r="R39" s="51">
        <v>29280</v>
      </c>
      <c r="S39" s="51">
        <v>25620</v>
      </c>
      <c r="T39" s="68">
        <v>27450</v>
      </c>
      <c r="U39" s="31">
        <f t="shared" si="0"/>
        <v>538935</v>
      </c>
    </row>
    <row r="40" spans="1:21">
      <c r="A40" s="1" t="s">
        <v>1</v>
      </c>
      <c r="B40" s="5" t="s">
        <v>89</v>
      </c>
      <c r="C40" s="52">
        <v>1765</v>
      </c>
      <c r="D40" s="53">
        <v>1801</v>
      </c>
      <c r="E40" s="53">
        <v>1725</v>
      </c>
      <c r="F40" s="53">
        <v>1935</v>
      </c>
      <c r="G40" s="53">
        <v>1318</v>
      </c>
      <c r="H40" s="53">
        <v>1996</v>
      </c>
      <c r="I40" s="53">
        <v>1834</v>
      </c>
      <c r="J40" s="53">
        <v>1539</v>
      </c>
      <c r="K40" s="53">
        <v>1842</v>
      </c>
      <c r="L40" s="53">
        <v>1952</v>
      </c>
      <c r="M40" s="53">
        <v>1419</v>
      </c>
      <c r="N40" s="53">
        <v>1528</v>
      </c>
      <c r="O40" s="53">
        <v>2039</v>
      </c>
      <c r="P40" s="53">
        <v>1551</v>
      </c>
      <c r="Q40" s="53">
        <v>1683</v>
      </c>
      <c r="R40" s="53">
        <v>1560</v>
      </c>
      <c r="S40" s="53">
        <v>1758</v>
      </c>
      <c r="T40" s="69">
        <v>1657</v>
      </c>
      <c r="U40" s="9">
        <f t="shared" si="0"/>
        <v>30902</v>
      </c>
    </row>
    <row r="41" spans="1:21">
      <c r="A41" s="1" t="s">
        <v>1</v>
      </c>
      <c r="B41" s="13" t="s">
        <v>90</v>
      </c>
      <c r="C41" s="54">
        <v>47215</v>
      </c>
      <c r="D41" s="55">
        <v>50281</v>
      </c>
      <c r="E41" s="55">
        <v>59295</v>
      </c>
      <c r="F41" s="55">
        <v>64050</v>
      </c>
      <c r="G41" s="55">
        <v>49768</v>
      </c>
      <c r="H41" s="55">
        <v>59566</v>
      </c>
      <c r="I41" s="55">
        <v>50314</v>
      </c>
      <c r="J41" s="55">
        <v>50019</v>
      </c>
      <c r="K41" s="55">
        <v>50322</v>
      </c>
      <c r="L41" s="55">
        <v>56492</v>
      </c>
      <c r="M41" s="55">
        <v>49899</v>
      </c>
      <c r="N41" s="55">
        <v>50008</v>
      </c>
      <c r="O41" s="55">
        <v>53549</v>
      </c>
      <c r="P41" s="55">
        <v>43971</v>
      </c>
      <c r="Q41" s="55">
        <v>44103</v>
      </c>
      <c r="R41" s="55">
        <v>50040</v>
      </c>
      <c r="S41" s="55">
        <v>44178</v>
      </c>
      <c r="T41" s="70">
        <v>47107</v>
      </c>
      <c r="U41" s="18">
        <f t="shared" si="0"/>
        <v>920177</v>
      </c>
    </row>
    <row r="42" spans="1:21">
      <c r="A42" s="1" t="s">
        <v>1</v>
      </c>
      <c r="B42" s="19" t="s">
        <v>91</v>
      </c>
      <c r="C42" s="48">
        <v>0</v>
      </c>
      <c r="D42" s="49">
        <v>218</v>
      </c>
      <c r="E42" s="49">
        <v>0</v>
      </c>
      <c r="F42" s="49">
        <v>6760</v>
      </c>
      <c r="G42" s="49">
        <v>0</v>
      </c>
      <c r="H42" s="49">
        <v>7290</v>
      </c>
      <c r="I42" s="49">
        <v>0</v>
      </c>
      <c r="J42" s="49">
        <v>0</v>
      </c>
      <c r="K42" s="49">
        <v>0</v>
      </c>
      <c r="L42" s="49">
        <v>7040</v>
      </c>
      <c r="M42" s="49">
        <v>1158</v>
      </c>
      <c r="N42" s="49">
        <v>1498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67">
        <v>0</v>
      </c>
      <c r="U42" s="21">
        <f t="shared" si="0"/>
        <v>23964</v>
      </c>
    </row>
    <row r="43" spans="1:21">
      <c r="A43" s="1" t="s">
        <v>1</v>
      </c>
      <c r="B43" s="25" t="s">
        <v>92</v>
      </c>
      <c r="C43" s="50">
        <v>1300</v>
      </c>
      <c r="D43" s="51">
        <v>1300</v>
      </c>
      <c r="E43" s="51">
        <v>1300</v>
      </c>
      <c r="F43" s="51">
        <v>0</v>
      </c>
      <c r="G43" s="51">
        <v>0</v>
      </c>
      <c r="H43" s="51">
        <v>1300</v>
      </c>
      <c r="I43" s="51">
        <v>1300</v>
      </c>
      <c r="J43" s="51">
        <v>1300</v>
      </c>
      <c r="K43" s="51">
        <v>1300</v>
      </c>
      <c r="L43" s="51">
        <v>1300</v>
      </c>
      <c r="M43" s="51">
        <v>0</v>
      </c>
      <c r="N43" s="51">
        <v>1300</v>
      </c>
      <c r="O43" s="51">
        <v>1300</v>
      </c>
      <c r="P43" s="51">
        <v>1300</v>
      </c>
      <c r="Q43" s="51">
        <v>1300</v>
      </c>
      <c r="R43" s="51">
        <v>1300</v>
      </c>
      <c r="S43" s="51">
        <v>1300</v>
      </c>
      <c r="T43" s="68">
        <v>0</v>
      </c>
      <c r="U43" s="31">
        <f t="shared" si="0"/>
        <v>18200</v>
      </c>
    </row>
    <row r="44" spans="1:21">
      <c r="A44" s="1" t="s">
        <v>1</v>
      </c>
      <c r="B44" s="5" t="s">
        <v>93</v>
      </c>
      <c r="C44" s="52">
        <v>6700</v>
      </c>
      <c r="D44" s="53">
        <v>15100</v>
      </c>
      <c r="E44" s="53">
        <v>18200</v>
      </c>
      <c r="F44" s="53">
        <v>20200</v>
      </c>
      <c r="G44" s="53">
        <v>10700</v>
      </c>
      <c r="H44" s="53">
        <v>19000</v>
      </c>
      <c r="I44" s="53">
        <v>13900</v>
      </c>
      <c r="J44" s="53">
        <v>9200</v>
      </c>
      <c r="K44" s="53">
        <v>13900</v>
      </c>
      <c r="L44" s="53">
        <v>16500</v>
      </c>
      <c r="M44" s="53">
        <v>15100</v>
      </c>
      <c r="N44" s="53">
        <v>14300</v>
      </c>
      <c r="O44" s="53">
        <v>1900</v>
      </c>
      <c r="P44" s="53">
        <v>0</v>
      </c>
      <c r="Q44" s="53">
        <v>5900</v>
      </c>
      <c r="R44" s="53">
        <v>12900</v>
      </c>
      <c r="S44" s="53">
        <v>10500</v>
      </c>
      <c r="T44" s="69">
        <v>5300</v>
      </c>
      <c r="U44" s="9">
        <f t="shared" si="0"/>
        <v>209300</v>
      </c>
    </row>
    <row r="45" spans="1:21">
      <c r="A45" s="1" t="s">
        <v>1</v>
      </c>
      <c r="B45" s="13" t="s">
        <v>94</v>
      </c>
      <c r="C45" s="54">
        <v>55215</v>
      </c>
      <c r="D45" s="55">
        <v>66899</v>
      </c>
      <c r="E45" s="55">
        <v>78795</v>
      </c>
      <c r="F45" s="55">
        <v>91010</v>
      </c>
      <c r="G45" s="55">
        <v>60468</v>
      </c>
      <c r="H45" s="55">
        <v>87156</v>
      </c>
      <c r="I45" s="55">
        <v>65514</v>
      </c>
      <c r="J45" s="55">
        <v>60519</v>
      </c>
      <c r="K45" s="55">
        <v>65522</v>
      </c>
      <c r="L45" s="55">
        <v>81332</v>
      </c>
      <c r="M45" s="55">
        <v>66157</v>
      </c>
      <c r="N45" s="55">
        <v>67106</v>
      </c>
      <c r="O45" s="55">
        <v>56749</v>
      </c>
      <c r="P45" s="55">
        <v>45271</v>
      </c>
      <c r="Q45" s="55">
        <v>51303</v>
      </c>
      <c r="R45" s="55">
        <v>64240</v>
      </c>
      <c r="S45" s="55">
        <v>55978</v>
      </c>
      <c r="T45" s="70">
        <v>52407</v>
      </c>
      <c r="U45" s="18">
        <f t="shared" si="0"/>
        <v>1171641</v>
      </c>
    </row>
    <row r="46" spans="1:21">
      <c r="A46" s="1" t="s">
        <v>1</v>
      </c>
      <c r="B46" s="13" t="s">
        <v>95</v>
      </c>
      <c r="C46" s="54">
        <v>233416</v>
      </c>
      <c r="D46" s="55">
        <v>246317</v>
      </c>
      <c r="E46" s="55">
        <v>223304</v>
      </c>
      <c r="F46" s="55">
        <v>255832</v>
      </c>
      <c r="G46" s="55">
        <v>165596</v>
      </c>
      <c r="H46" s="55">
        <v>270655</v>
      </c>
      <c r="I46" s="55">
        <v>252923</v>
      </c>
      <c r="J46" s="55">
        <v>205391</v>
      </c>
      <c r="K46" s="55">
        <v>253407</v>
      </c>
      <c r="L46" s="55">
        <v>263596</v>
      </c>
      <c r="M46" s="55">
        <v>182993</v>
      </c>
      <c r="N46" s="55">
        <v>197585</v>
      </c>
      <c r="O46" s="55">
        <v>280144</v>
      </c>
      <c r="P46" s="55">
        <v>205868</v>
      </c>
      <c r="Q46" s="55">
        <v>229281</v>
      </c>
      <c r="R46" s="55">
        <v>201132</v>
      </c>
      <c r="S46" s="55">
        <v>239396</v>
      </c>
      <c r="T46" s="70">
        <v>226535</v>
      </c>
      <c r="U46" s="18">
        <f t="shared" si="0"/>
        <v>4133371</v>
      </c>
    </row>
    <row r="47" spans="1:21">
      <c r="A47" s="1" t="s">
        <v>1</v>
      </c>
      <c r="B47" s="13" t="s">
        <v>96</v>
      </c>
      <c r="C47" s="54">
        <v>238909</v>
      </c>
      <c r="D47" s="55">
        <v>233207</v>
      </c>
      <c r="E47" s="55">
        <v>208662</v>
      </c>
      <c r="F47" s="55">
        <v>231571</v>
      </c>
      <c r="G47" s="55">
        <v>159241</v>
      </c>
      <c r="H47" s="55">
        <v>245440</v>
      </c>
      <c r="I47" s="55">
        <v>240206</v>
      </c>
      <c r="J47" s="55">
        <v>195971</v>
      </c>
      <c r="K47" s="55">
        <v>241446</v>
      </c>
      <c r="L47" s="55">
        <v>243938</v>
      </c>
      <c r="M47" s="55">
        <v>170324</v>
      </c>
      <c r="N47" s="55">
        <v>187611</v>
      </c>
      <c r="O47" s="55">
        <v>283151</v>
      </c>
      <c r="P47" s="55">
        <v>213285</v>
      </c>
      <c r="Q47" s="55">
        <v>229205</v>
      </c>
      <c r="R47" s="55">
        <v>195837</v>
      </c>
      <c r="S47" s="55">
        <v>237068</v>
      </c>
      <c r="T47" s="70">
        <v>223718</v>
      </c>
      <c r="U47" s="18">
        <f t="shared" si="0"/>
        <v>3978790</v>
      </c>
    </row>
    <row r="48" spans="1:21">
      <c r="A48" s="1" t="s">
        <v>1</v>
      </c>
      <c r="B48" s="13" t="s">
        <v>97</v>
      </c>
      <c r="C48" s="54">
        <v>238909</v>
      </c>
      <c r="D48" s="55">
        <v>233207</v>
      </c>
      <c r="E48" s="55">
        <v>208662</v>
      </c>
      <c r="F48" s="55">
        <v>231571</v>
      </c>
      <c r="G48" s="55">
        <v>159241</v>
      </c>
      <c r="H48" s="55">
        <v>245440</v>
      </c>
      <c r="I48" s="55">
        <v>240206</v>
      </c>
      <c r="J48" s="55">
        <v>195971</v>
      </c>
      <c r="K48" s="55">
        <v>241446</v>
      </c>
      <c r="L48" s="55">
        <v>243938</v>
      </c>
      <c r="M48" s="55">
        <v>170324</v>
      </c>
      <c r="N48" s="55">
        <v>187611</v>
      </c>
      <c r="O48" s="55">
        <v>283151</v>
      </c>
      <c r="P48" s="55">
        <v>213285</v>
      </c>
      <c r="Q48" s="55">
        <v>229205</v>
      </c>
      <c r="R48" s="55">
        <v>195837</v>
      </c>
      <c r="S48" s="55">
        <v>237068</v>
      </c>
      <c r="T48" s="70">
        <v>223718</v>
      </c>
      <c r="U48" s="18">
        <f t="shared" si="0"/>
        <v>3978790</v>
      </c>
    </row>
    <row r="49" spans="1:21">
      <c r="A49" s="1" t="s">
        <v>1</v>
      </c>
      <c r="B49" s="13" t="s">
        <v>98</v>
      </c>
      <c r="C49" s="54">
        <v>1</v>
      </c>
      <c r="D49" s="55">
        <v>0</v>
      </c>
      <c r="E49" s="55">
        <v>1</v>
      </c>
      <c r="F49" s="55">
        <v>0</v>
      </c>
      <c r="G49" s="55">
        <v>1</v>
      </c>
      <c r="H49" s="55">
        <v>0</v>
      </c>
      <c r="I49" s="55">
        <v>0</v>
      </c>
      <c r="J49" s="55">
        <v>1</v>
      </c>
      <c r="K49" s="55">
        <v>0</v>
      </c>
      <c r="L49" s="55">
        <v>0</v>
      </c>
      <c r="M49" s="55">
        <v>0</v>
      </c>
      <c r="N49" s="55">
        <v>0</v>
      </c>
      <c r="O49" s="55">
        <v>4</v>
      </c>
      <c r="P49" s="55">
        <v>0</v>
      </c>
      <c r="Q49" s="55">
        <v>0</v>
      </c>
      <c r="R49" s="55">
        <v>1</v>
      </c>
      <c r="S49" s="55">
        <v>0</v>
      </c>
      <c r="T49" s="70">
        <v>0</v>
      </c>
      <c r="U49" s="18"/>
    </row>
    <row r="50" spans="1:21">
      <c r="A50" s="1" t="s">
        <v>1</v>
      </c>
      <c r="B50" s="13" t="s">
        <v>99</v>
      </c>
      <c r="C50" s="56" t="s">
        <v>100</v>
      </c>
      <c r="D50" s="57" t="s">
        <v>100</v>
      </c>
      <c r="E50" s="57" t="s">
        <v>100</v>
      </c>
      <c r="F50" s="57" t="s">
        <v>100</v>
      </c>
      <c r="G50" s="57" t="s">
        <v>100</v>
      </c>
      <c r="H50" s="57" t="s">
        <v>100</v>
      </c>
      <c r="I50" s="57" t="s">
        <v>100</v>
      </c>
      <c r="J50" s="57" t="s">
        <v>100</v>
      </c>
      <c r="K50" s="57" t="s">
        <v>100</v>
      </c>
      <c r="L50" s="57" t="s">
        <v>100</v>
      </c>
      <c r="M50" s="57" t="s">
        <v>100</v>
      </c>
      <c r="N50" s="57" t="s">
        <v>100</v>
      </c>
      <c r="O50" s="57" t="s">
        <v>100</v>
      </c>
      <c r="P50" s="57" t="s">
        <v>100</v>
      </c>
      <c r="Q50" s="57" t="s">
        <v>100</v>
      </c>
      <c r="R50" s="57" t="s">
        <v>100</v>
      </c>
      <c r="S50" s="57" t="s">
        <v>100</v>
      </c>
      <c r="T50" s="71" t="s">
        <v>100</v>
      </c>
      <c r="U50" s="33"/>
    </row>
    <row r="51" spans="1:21">
      <c r="A51" s="1" t="s">
        <v>1</v>
      </c>
      <c r="B51" s="13" t="s">
        <v>101</v>
      </c>
      <c r="C51" s="54">
        <v>4340</v>
      </c>
      <c r="D51" s="55">
        <v>6420</v>
      </c>
      <c r="E51" s="55">
        <v>3980</v>
      </c>
      <c r="F51" s="55">
        <v>6760</v>
      </c>
      <c r="G51" s="55">
        <v>1920</v>
      </c>
      <c r="H51" s="55">
        <v>7290</v>
      </c>
      <c r="I51" s="55">
        <v>6660</v>
      </c>
      <c r="J51" s="55">
        <v>3340</v>
      </c>
      <c r="K51" s="55">
        <v>6670</v>
      </c>
      <c r="L51" s="55">
        <v>7040</v>
      </c>
      <c r="M51" s="55">
        <v>4160</v>
      </c>
      <c r="N51" s="55">
        <v>4680</v>
      </c>
      <c r="O51" s="55">
        <v>1160</v>
      </c>
      <c r="P51" s="55">
        <v>4970</v>
      </c>
      <c r="Q51" s="55">
        <v>5810</v>
      </c>
      <c r="R51" s="55">
        <v>3190</v>
      </c>
      <c r="S51" s="55">
        <v>6170</v>
      </c>
      <c r="T51" s="70">
        <v>5710</v>
      </c>
      <c r="U51" s="18">
        <f t="shared" si="0"/>
        <v>90270</v>
      </c>
    </row>
    <row r="52" spans="1:21">
      <c r="A52" s="1" t="s">
        <v>1</v>
      </c>
      <c r="B52" s="13" t="s">
        <v>102</v>
      </c>
      <c r="C52" s="54">
        <v>4340</v>
      </c>
      <c r="D52" s="55">
        <v>6202</v>
      </c>
      <c r="E52" s="55">
        <v>3980</v>
      </c>
      <c r="F52" s="55">
        <v>0</v>
      </c>
      <c r="G52" s="55">
        <v>1920</v>
      </c>
      <c r="H52" s="55">
        <v>0</v>
      </c>
      <c r="I52" s="55">
        <v>6660</v>
      </c>
      <c r="J52" s="55">
        <v>3340</v>
      </c>
      <c r="K52" s="55">
        <v>6670</v>
      </c>
      <c r="L52" s="55">
        <v>0</v>
      </c>
      <c r="M52" s="55">
        <v>3002</v>
      </c>
      <c r="N52" s="55">
        <v>3182</v>
      </c>
      <c r="O52" s="55">
        <v>1160</v>
      </c>
      <c r="P52" s="55">
        <v>4970</v>
      </c>
      <c r="Q52" s="55">
        <v>5810</v>
      </c>
      <c r="R52" s="55">
        <v>3190</v>
      </c>
      <c r="S52" s="55">
        <v>6170</v>
      </c>
      <c r="T52" s="70">
        <v>5710</v>
      </c>
      <c r="U52" s="18">
        <f t="shared" si="0"/>
        <v>66306</v>
      </c>
    </row>
    <row r="53" spans="1:21" ht="19.5" thickBot="1">
      <c r="A53" s="1" t="s">
        <v>1</v>
      </c>
      <c r="B53" s="10" t="s">
        <v>103</v>
      </c>
      <c r="C53" s="58">
        <v>60000</v>
      </c>
      <c r="D53" s="59">
        <v>30000</v>
      </c>
      <c r="E53" s="59">
        <v>60000</v>
      </c>
      <c r="F53" s="59">
        <v>30000</v>
      </c>
      <c r="G53" s="59">
        <v>30000</v>
      </c>
      <c r="H53" s="59">
        <v>30000</v>
      </c>
      <c r="I53" s="59">
        <v>30000</v>
      </c>
      <c r="J53" s="59">
        <v>60000</v>
      </c>
      <c r="K53" s="59">
        <v>30000</v>
      </c>
      <c r="L53" s="59">
        <v>30000</v>
      </c>
      <c r="M53" s="59">
        <v>30000</v>
      </c>
      <c r="N53" s="59">
        <v>30000</v>
      </c>
      <c r="O53" s="59">
        <v>150000</v>
      </c>
      <c r="P53" s="59">
        <v>30000</v>
      </c>
      <c r="Q53" s="59">
        <v>30000</v>
      </c>
      <c r="R53" s="59">
        <v>60000</v>
      </c>
      <c r="S53" s="59">
        <v>30000</v>
      </c>
      <c r="T53" s="72">
        <v>30000</v>
      </c>
      <c r="U53" s="12"/>
    </row>
  </sheetData>
  <phoneticPr fontId="3"/>
  <pageMargins left="0.31496062992125984" right="0.31496062992125984" top="0.35433070866141736" bottom="0.35433070866141736" header="0.11811023622047245" footer="0.11811023622047245"/>
  <pageSetup paperSize="12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2024年 8月度給与 (2)</vt:lpstr>
      <vt:lpstr>2024年 8月度給与 (3)</vt:lpstr>
      <vt:lpstr>2024年 8月度給与 (4)</vt:lpstr>
      <vt:lpstr>'2024年 8月度給与 (3)'!Print_Area</vt:lpstr>
      <vt:lpstr>'2024年 8月度給与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2024-09-07T00:06:01Z</cp:lastPrinted>
  <dcterms:created xsi:type="dcterms:W3CDTF">2024-09-06T07:17:36Z</dcterms:created>
  <dcterms:modified xsi:type="dcterms:W3CDTF">2024-09-26T07:04:10Z</dcterms:modified>
</cp:coreProperties>
</file>