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19AFB14C-B150-4A35-BC84-2C36CC2C452C}" xr6:coauthVersionLast="47" xr6:coauthVersionMax="47" xr10:uidLastSave="{00000000-0000-0000-0000-000000000000}"/>
  <bookViews>
    <workbookView xWindow="-120" yWindow="-120" windowWidth="20730" windowHeight="11040" xr2:uid="{071FCDF7-2ECD-41EA-83DA-EAD375FDA8C0}"/>
  </bookViews>
  <sheets>
    <sheet name="2024年 8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" l="1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8" i="3"/>
  <c r="O18" i="3" s="1"/>
  <c r="N19" i="3"/>
  <c r="N20" i="3"/>
  <c r="N21" i="3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N29" i="3"/>
  <c r="N30" i="3"/>
  <c r="N31" i="3"/>
  <c r="N32" i="3"/>
  <c r="N33" i="3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N41" i="3"/>
  <c r="N42" i="3"/>
  <c r="N43" i="3"/>
  <c r="N44" i="3"/>
  <c r="N45" i="3"/>
  <c r="N48" i="3"/>
  <c r="O48" i="3" s="1"/>
  <c r="N49" i="3"/>
  <c r="O49" i="3" s="1"/>
  <c r="N5" i="3"/>
  <c r="O5" i="3" s="1"/>
  <c r="F6" i="3"/>
  <c r="F7" i="3"/>
  <c r="F8" i="3"/>
  <c r="F9" i="3"/>
  <c r="F10" i="3"/>
  <c r="F11" i="3"/>
  <c r="F12" i="3"/>
  <c r="F13" i="3"/>
  <c r="F14" i="3"/>
  <c r="F15" i="3"/>
  <c r="F16" i="3"/>
  <c r="F18" i="3"/>
  <c r="F19" i="3"/>
  <c r="O19" i="3" s="1"/>
  <c r="F20" i="3"/>
  <c r="O20" i="3" s="1"/>
  <c r="F21" i="3"/>
  <c r="O21" i="3" s="1"/>
  <c r="F22" i="3"/>
  <c r="F23" i="3"/>
  <c r="F24" i="3"/>
  <c r="F25" i="3"/>
  <c r="F26" i="3"/>
  <c r="F27" i="3"/>
  <c r="F28" i="3"/>
  <c r="O28" i="3" s="1"/>
  <c r="F29" i="3"/>
  <c r="O29" i="3" s="1"/>
  <c r="F30" i="3"/>
  <c r="O30" i="3" s="1"/>
  <c r="F31" i="3"/>
  <c r="O31" i="3" s="1"/>
  <c r="F32" i="3"/>
  <c r="O32" i="3" s="1"/>
  <c r="F33" i="3"/>
  <c r="O33" i="3" s="1"/>
  <c r="F34" i="3"/>
  <c r="F35" i="3"/>
  <c r="F36" i="3"/>
  <c r="F37" i="3"/>
  <c r="F38" i="3"/>
  <c r="F39" i="3"/>
  <c r="F40" i="3"/>
  <c r="O40" i="3" s="1"/>
  <c r="F41" i="3"/>
  <c r="O41" i="3" s="1"/>
  <c r="F42" i="3"/>
  <c r="O42" i="3" s="1"/>
  <c r="F43" i="3"/>
  <c r="O43" i="3" s="1"/>
  <c r="F44" i="3"/>
  <c r="O44" i="3" s="1"/>
  <c r="F45" i="3"/>
  <c r="O45" i="3" s="1"/>
  <c r="F48" i="3"/>
  <c r="F49" i="3"/>
  <c r="F5" i="3"/>
</calcChain>
</file>

<file path=xl/sharedStrings.xml><?xml version="1.0" encoding="utf-8"?>
<sst xmlns="http://schemas.openxmlformats.org/spreadsheetml/2006/main" count="131" uniqueCount="73">
  <si>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</si>
  <si>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</si>
  <si>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</si>
  <si>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</si>
  <si>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</si>
  <si>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</si>
  <si>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</si>
  <si>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</si>
  <si>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</si>
  <si>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</si>
  <si>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</si>
  <si>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</si>
  <si>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</si>
  <si>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</si>
  <si>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</si>
  <si>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</si>
  <si>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</si>
  <si>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</si>
  <si>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</si>
  <si>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</si>
  <si>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白井博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</si>
  <si>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</si>
  <si>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</si>
  <si>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</si>
  <si>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</si>
  <si>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</si>
  <si>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</si>
  <si>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</si>
  <si>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</si>
  <si>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</si>
  <si>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</si>
  <si>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</si>
  <si>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</si>
  <si>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</si>
  <si>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</si>
  <si>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</si>
  <si>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</si>
  <si>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</si>
  <si>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</si>
  <si>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</si>
  <si>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</si>
  <si>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</si>
  <si>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</si>
  <si>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</si>
  <si>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</si>
  <si>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</si>
  <si>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</si>
  <si>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</si>
  <si>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</si>
  <si>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</si>
  <si>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</si>
  <si>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</si>
  <si>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</si>
  <si>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</si>
  <si>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</si>
  <si>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</si>
  <si>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</si>
  <si>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</si>
  <si>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</si>
  <si>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</si>
  <si>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</si>
  <si>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</si>
  <si>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</si>
  <si>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</si>
  <si>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</si>
  <si>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8月度給与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</si>
  <si>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</si>
  <si>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</si>
  <si>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佐藤ゆうこ</t>
    <phoneticPr fontId="4"/>
  </si>
  <si>
    <t>小田島健司</t>
    <phoneticPr fontId="4"/>
  </si>
  <si>
    <t>小計</t>
    <rPh sb="0" eb="2">
      <t>ショウケイ</t>
    </rPh>
    <phoneticPr fontId="4"/>
  </si>
  <si>
    <t>7名</t>
    <rPh sb="1" eb="2">
      <t>メイ</t>
    </rPh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</si>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</sst>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3" fontId="2" fillId="0" borderId="2" xfId="1" applyNumberFormat="1" applyFont="1" applyBorder="1"/>
    <xf numFmtId="3" fontId="2" fillId="0" borderId="3" xfId="1" applyNumberFormat="1" applyFont="1" applyBorder="1"/>
    <xf numFmtId="3" fontId="2" fillId="0" borderId="4" xfId="1" applyNumberFormat="1" applyFont="1" applyBorder="1"/>
    <xf numFmtId="2" fontId="2" fillId="0" borderId="5" xfId="1" applyNumberFormat="1" applyFont="1" applyBorder="1"/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6" xfId="1" applyNumberFormat="1" applyFont="1" applyBorder="1"/>
    <xf numFmtId="49" fontId="2" fillId="0" borderId="10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4" xfId="1" applyNumberFormat="1" applyFont="1" applyBorder="1"/>
    <xf numFmtId="176" fontId="2" fillId="0" borderId="14" xfId="1" applyNumberFormat="1" applyFont="1" applyBorder="1"/>
    <xf numFmtId="176" fontId="2" fillId="0" borderId="8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4" xfId="1" applyNumberFormat="1" applyFont="1" applyBorder="1"/>
    <xf numFmtId="3" fontId="2" fillId="0" borderId="8" xfId="1" applyNumberFormat="1" applyFont="1" applyBorder="1"/>
    <xf numFmtId="3" fontId="2" fillId="0" borderId="16" xfId="1" applyNumberFormat="1" applyFont="1" applyBorder="1"/>
    <xf numFmtId="3" fontId="2" fillId="0" borderId="20" xfId="1" applyNumberFormat="1" applyFont="1" applyBorder="1"/>
    <xf numFmtId="0" fontId="2" fillId="0" borderId="21" xfId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176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28" xfId="1" applyNumberFormat="1" applyFont="1" applyBorder="1"/>
    <xf numFmtId="3" fontId="2" fillId="0" borderId="0" xfId="1" applyNumberFormat="1" applyFont="1"/>
    <xf numFmtId="3" fontId="2" fillId="0" borderId="30" xfId="1" applyNumberFormat="1" applyFont="1" applyBorder="1"/>
    <xf numFmtId="3" fontId="2" fillId="0" borderId="34" xfId="1" applyNumberFormat="1" applyFont="1" applyBorder="1"/>
    <xf numFmtId="49" fontId="2" fillId="0" borderId="35" xfId="1" applyNumberFormat="1" applyFont="1" applyBorder="1" applyAlignment="1">
      <alignment horizontal="left"/>
    </xf>
    <xf numFmtId="3" fontId="2" fillId="0" borderId="36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1" xfId="1" applyNumberFormat="1" applyFont="1" applyBorder="1"/>
    <xf numFmtId="3" fontId="2" fillId="0" borderId="24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lef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16" xfId="1" applyNumberFormat="1" applyFont="1" applyBorder="1"/>
    <xf numFmtId="49" fontId="2" fillId="0" borderId="2" xfId="1" applyNumberFormat="1" applyFont="1" applyBorder="1"/>
    <xf numFmtId="49" fontId="2" fillId="0" borderId="34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  <xf numFmtId="49" fontId="2" fillId="0" borderId="9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3" xfId="1" applyNumberFormat="1" applyFont="1" applyBorder="1"/>
    <xf numFmtId="176" fontId="2" fillId="0" borderId="13" xfId="1" applyNumberFormat="1" applyFont="1" applyBorder="1"/>
    <xf numFmtId="176" fontId="2" fillId="0" borderId="7" xfId="1" applyNumberFormat="1" applyFont="1" applyBorder="1"/>
    <xf numFmtId="2" fontId="2" fillId="0" borderId="15" xfId="1" applyNumberFormat="1" applyFont="1" applyBorder="1"/>
    <xf numFmtId="3" fontId="2" fillId="0" borderId="17" xfId="1" applyNumberFormat="1" applyFont="1" applyBorder="1"/>
    <xf numFmtId="3" fontId="2" fillId="0" borderId="13" xfId="1" applyNumberFormat="1" applyFont="1" applyBorder="1"/>
    <xf numFmtId="3" fontId="2" fillId="0" borderId="7" xfId="1" applyNumberFormat="1" applyFont="1" applyBorder="1"/>
    <xf numFmtId="3" fontId="2" fillId="0" borderId="15" xfId="1" applyNumberFormat="1" applyFont="1" applyBorder="1"/>
    <xf numFmtId="3" fontId="2" fillId="0" borderId="19" xfId="1" applyNumberFormat="1" applyFont="1" applyBorder="1"/>
    <xf numFmtId="3" fontId="2" fillId="0" borderId="52" xfId="1" applyNumberFormat="1" applyFont="1" applyBorder="1"/>
    <xf numFmtId="49" fontId="2" fillId="0" borderId="15" xfId="1" applyNumberFormat="1" applyFont="1" applyBorder="1"/>
    <xf numFmtId="3" fontId="2" fillId="0" borderId="9" xfId="1" applyNumberFormat="1" applyFont="1" applyBorder="1"/>
    <xf numFmtId="49" fontId="2" fillId="0" borderId="24" xfId="1" applyNumberFormat="1" applyFont="1" applyBorder="1" applyAlignment="1">
      <alignment horizontal="center"/>
    </xf>
    <xf numFmtId="2" fontId="2" fillId="0" borderId="34" xfId="1" applyNumberFormat="1" applyFont="1" applyBorder="1"/>
    <xf numFmtId="49" fontId="2" fillId="0" borderId="37" xfId="1" applyNumberFormat="1" applyFont="1" applyBorder="1" applyAlignment="1">
      <alignment horizontal="left"/>
    </xf>
    <xf numFmtId="2" fontId="2" fillId="0" borderId="2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ABFFFAB8-8474-4A76-9E05-6532042C96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B928-4F7C-4CD5-8A3D-E634AF662817}">
  <sheetPr>
    <pageSetUpPr fitToPage="1"/>
  </sheetPr>
  <dimension ref="A1:O50"/>
  <sheetViews>
    <sheetView tabSelected="1" workbookViewId="0">
      <pane xSplit="2" ySplit="4" topLeftCell="D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5" width="11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8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8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8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8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8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8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8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8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8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8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8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8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8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8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8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8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8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8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8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8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8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8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8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8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8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8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8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8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8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8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8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8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8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8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8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8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8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8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8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8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8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8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8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8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8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8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8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8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8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8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8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8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8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8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8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8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8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8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8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8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8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8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8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65</v>
      </c>
    </row>
    <row r="3" spans="1:15">
      <c r="B3" s="22"/>
      <c r="C3" s="23" t="s">
        <v>5</v>
      </c>
      <c r="D3" s="23" t="s">
        <v>8</v>
      </c>
      <c r="E3" s="55" t="s">
        <v>7</v>
      </c>
      <c r="F3" s="86" t="s">
        <v>66</v>
      </c>
      <c r="G3" s="47" t="s">
        <v>2</v>
      </c>
      <c r="H3" s="23" t="s">
        <v>3</v>
      </c>
      <c r="I3" s="23" t="s">
        <v>4</v>
      </c>
      <c r="J3" s="23" t="s">
        <v>6</v>
      </c>
      <c r="K3" s="23" t="s">
        <v>9</v>
      </c>
      <c r="L3" s="23" t="s">
        <v>10</v>
      </c>
      <c r="M3" s="55" t="s">
        <v>11</v>
      </c>
      <c r="N3" s="86" t="s">
        <v>70</v>
      </c>
      <c r="O3" s="88" t="s">
        <v>21</v>
      </c>
    </row>
    <row r="4" spans="1:15" ht="19.5" thickBot="1">
      <c r="B4" s="24" t="s">
        <v>12</v>
      </c>
      <c r="C4" s="11" t="s">
        <v>16</v>
      </c>
      <c r="D4" s="11" t="s">
        <v>18</v>
      </c>
      <c r="E4" s="56" t="s">
        <v>68</v>
      </c>
      <c r="F4" s="84" t="s">
        <v>67</v>
      </c>
      <c r="G4" s="70" t="s">
        <v>13</v>
      </c>
      <c r="H4" s="11" t="s">
        <v>14</v>
      </c>
      <c r="I4" s="11" t="s">
        <v>15</v>
      </c>
      <c r="J4" s="11" t="s">
        <v>17</v>
      </c>
      <c r="K4" s="11" t="s">
        <v>19</v>
      </c>
      <c r="L4" s="11" t="s">
        <v>69</v>
      </c>
      <c r="M4" s="3" t="s">
        <v>20</v>
      </c>
      <c r="N4" s="84" t="s">
        <v>71</v>
      </c>
      <c r="O4" s="25" t="s">
        <v>72</v>
      </c>
    </row>
    <row r="5" spans="1:15">
      <c r="A5" s="1" t="s">
        <v>1</v>
      </c>
      <c r="B5" s="26" t="s">
        <v>22</v>
      </c>
      <c r="C5" s="12">
        <v>19</v>
      </c>
      <c r="D5" s="12">
        <v>19</v>
      </c>
      <c r="E5" s="57">
        <v>22</v>
      </c>
      <c r="F5" s="27">
        <f>SUM(C5:E5)</f>
        <v>60</v>
      </c>
      <c r="G5" s="71">
        <v>22</v>
      </c>
      <c r="H5" s="12">
        <v>19</v>
      </c>
      <c r="I5" s="12">
        <v>18</v>
      </c>
      <c r="J5" s="12">
        <v>18</v>
      </c>
      <c r="K5" s="12">
        <v>20</v>
      </c>
      <c r="L5" s="12">
        <v>21</v>
      </c>
      <c r="M5" s="7">
        <v>23</v>
      </c>
      <c r="N5" s="27">
        <f>SUM(G5:M5)</f>
        <v>141</v>
      </c>
      <c r="O5" s="27">
        <f>SUM(N5,F5)</f>
        <v>201</v>
      </c>
    </row>
    <row r="6" spans="1:15">
      <c r="A6" s="1" t="s">
        <v>1</v>
      </c>
      <c r="B6" s="28" t="s">
        <v>23</v>
      </c>
      <c r="C6" s="13">
        <v>0</v>
      </c>
      <c r="D6" s="13">
        <v>0</v>
      </c>
      <c r="E6" s="58">
        <v>2</v>
      </c>
      <c r="F6" s="29">
        <f t="shared" ref="F6:F49" si="0">SUM(C6:E6)</f>
        <v>2</v>
      </c>
      <c r="G6" s="72">
        <v>1</v>
      </c>
      <c r="H6" s="13">
        <v>3</v>
      </c>
      <c r="I6" s="13">
        <v>4</v>
      </c>
      <c r="J6" s="13">
        <v>4</v>
      </c>
      <c r="K6" s="13">
        <v>2</v>
      </c>
      <c r="L6" s="13">
        <v>3</v>
      </c>
      <c r="M6" s="8">
        <v>1</v>
      </c>
      <c r="N6" s="29">
        <f t="shared" ref="N6:N49" si="1">SUM(G6:M6)</f>
        <v>18</v>
      </c>
      <c r="O6" s="29">
        <f t="shared" ref="O6:O49" si="2">SUM(N6,F6)</f>
        <v>20</v>
      </c>
    </row>
    <row r="7" spans="1:15">
      <c r="A7" s="1" t="s">
        <v>1</v>
      </c>
      <c r="B7" s="28" t="s">
        <v>24</v>
      </c>
      <c r="C7" s="13">
        <v>0</v>
      </c>
      <c r="D7" s="13">
        <v>0</v>
      </c>
      <c r="E7" s="58">
        <v>0</v>
      </c>
      <c r="F7" s="29">
        <f t="shared" si="0"/>
        <v>0</v>
      </c>
      <c r="G7" s="72">
        <v>2</v>
      </c>
      <c r="H7" s="13">
        <v>1</v>
      </c>
      <c r="I7" s="13">
        <v>0</v>
      </c>
      <c r="J7" s="13">
        <v>0</v>
      </c>
      <c r="K7" s="13">
        <v>2</v>
      </c>
      <c r="L7" s="13">
        <v>0</v>
      </c>
      <c r="M7" s="8">
        <v>0</v>
      </c>
      <c r="N7" s="29">
        <f t="shared" si="1"/>
        <v>5</v>
      </c>
      <c r="O7" s="29">
        <f t="shared" si="2"/>
        <v>5</v>
      </c>
    </row>
    <row r="8" spans="1:15">
      <c r="A8" s="1" t="s">
        <v>1</v>
      </c>
      <c r="B8" s="28" t="s">
        <v>25</v>
      </c>
      <c r="C8" s="13">
        <v>0</v>
      </c>
      <c r="D8" s="13">
        <v>0</v>
      </c>
      <c r="E8" s="58">
        <v>0</v>
      </c>
      <c r="F8" s="29">
        <f t="shared" si="0"/>
        <v>0</v>
      </c>
      <c r="G8" s="72">
        <v>0</v>
      </c>
      <c r="H8" s="13">
        <v>2</v>
      </c>
      <c r="I8" s="13">
        <v>2</v>
      </c>
      <c r="J8" s="13">
        <v>0</v>
      </c>
      <c r="K8" s="13">
        <v>0</v>
      </c>
      <c r="L8" s="13">
        <v>0</v>
      </c>
      <c r="M8" s="8">
        <v>0</v>
      </c>
      <c r="N8" s="29">
        <f t="shared" si="1"/>
        <v>4</v>
      </c>
      <c r="O8" s="29">
        <f t="shared" si="2"/>
        <v>4</v>
      </c>
    </row>
    <row r="9" spans="1:15">
      <c r="A9" s="1" t="s">
        <v>1</v>
      </c>
      <c r="B9" s="28" t="s">
        <v>26</v>
      </c>
      <c r="C9" s="13">
        <v>2</v>
      </c>
      <c r="D9" s="13">
        <v>4</v>
      </c>
      <c r="E9" s="58">
        <v>1.5</v>
      </c>
      <c r="F9" s="29">
        <f t="shared" si="0"/>
        <v>7.5</v>
      </c>
      <c r="G9" s="72">
        <v>1</v>
      </c>
      <c r="H9" s="13">
        <v>2</v>
      </c>
      <c r="I9" s="13">
        <v>3</v>
      </c>
      <c r="J9" s="13">
        <v>5</v>
      </c>
      <c r="K9" s="13">
        <v>3</v>
      </c>
      <c r="L9" s="13">
        <v>2</v>
      </c>
      <c r="M9" s="8">
        <v>0</v>
      </c>
      <c r="N9" s="29">
        <f t="shared" si="1"/>
        <v>16</v>
      </c>
      <c r="O9" s="29">
        <f t="shared" si="2"/>
        <v>23.5</v>
      </c>
    </row>
    <row r="10" spans="1:15">
      <c r="A10" s="1" t="s">
        <v>1</v>
      </c>
      <c r="B10" s="28" t="s">
        <v>27</v>
      </c>
      <c r="C10" s="14">
        <v>0</v>
      </c>
      <c r="D10" s="14">
        <v>0</v>
      </c>
      <c r="E10" s="59">
        <v>4.1666666666666664E-2</v>
      </c>
      <c r="F10" s="30">
        <f t="shared" si="0"/>
        <v>4.1666666666666664E-2</v>
      </c>
      <c r="G10" s="73">
        <v>2.4166666666666665</v>
      </c>
      <c r="H10" s="14">
        <v>0.45833333333333331</v>
      </c>
      <c r="I10" s="14">
        <v>1.0833333333333333</v>
      </c>
      <c r="J10" s="14">
        <v>1.5416666666666665</v>
      </c>
      <c r="K10" s="14">
        <v>1.9166666666666665</v>
      </c>
      <c r="L10" s="14">
        <v>2.375</v>
      </c>
      <c r="M10" s="9">
        <v>2.125</v>
      </c>
      <c r="N10" s="30">
        <f t="shared" si="1"/>
        <v>11.916666666666666</v>
      </c>
      <c r="O10" s="30">
        <f t="shared" si="2"/>
        <v>11.958333333333332</v>
      </c>
    </row>
    <row r="11" spans="1:15">
      <c r="A11" s="1" t="s">
        <v>1</v>
      </c>
      <c r="B11" s="28" t="s">
        <v>28</v>
      </c>
      <c r="C11" s="14">
        <v>0</v>
      </c>
      <c r="D11" s="14">
        <v>0</v>
      </c>
      <c r="E11" s="59">
        <v>0.58333333333333337</v>
      </c>
      <c r="F11" s="30">
        <f t="shared" si="0"/>
        <v>0.58333333333333337</v>
      </c>
      <c r="G11" s="73">
        <v>0.41666666666666669</v>
      </c>
      <c r="H11" s="14">
        <v>0.33333333333333331</v>
      </c>
      <c r="I11" s="14">
        <v>0.79166666666666663</v>
      </c>
      <c r="J11" s="14">
        <v>1.625</v>
      </c>
      <c r="K11" s="14">
        <v>0.79166666666666663</v>
      </c>
      <c r="L11" s="14">
        <v>1.1666666666666667</v>
      </c>
      <c r="M11" s="9">
        <v>0.41666666666666669</v>
      </c>
      <c r="N11" s="30">
        <f t="shared" si="1"/>
        <v>5.541666666666667</v>
      </c>
      <c r="O11" s="30">
        <f t="shared" si="2"/>
        <v>6.125</v>
      </c>
    </row>
    <row r="12" spans="1:15">
      <c r="A12" s="1" t="s">
        <v>1</v>
      </c>
      <c r="B12" s="28" t="s">
        <v>29</v>
      </c>
      <c r="C12" s="14">
        <v>0</v>
      </c>
      <c r="D12" s="14">
        <v>0</v>
      </c>
      <c r="E12" s="59">
        <v>0</v>
      </c>
      <c r="F12" s="30">
        <f t="shared" si="0"/>
        <v>0</v>
      </c>
      <c r="G12" s="73">
        <v>0.79166666666666663</v>
      </c>
      <c r="H12" s="14">
        <v>0.33333333333333331</v>
      </c>
      <c r="I12" s="14">
        <v>0</v>
      </c>
      <c r="J12" s="14">
        <v>0</v>
      </c>
      <c r="K12" s="14">
        <v>0.58333333333333337</v>
      </c>
      <c r="L12" s="14">
        <v>0</v>
      </c>
      <c r="M12" s="9">
        <v>0</v>
      </c>
      <c r="N12" s="30">
        <f t="shared" si="1"/>
        <v>1.7083333333333335</v>
      </c>
      <c r="O12" s="30">
        <f t="shared" si="2"/>
        <v>1.7083333333333335</v>
      </c>
    </row>
    <row r="13" spans="1:15">
      <c r="A13" s="1" t="s">
        <v>1</v>
      </c>
      <c r="B13" s="28" t="s">
        <v>30</v>
      </c>
      <c r="C13" s="14">
        <v>0</v>
      </c>
      <c r="D13" s="14">
        <v>0</v>
      </c>
      <c r="E13" s="59">
        <v>0</v>
      </c>
      <c r="F13" s="30">
        <f t="shared" si="0"/>
        <v>0</v>
      </c>
      <c r="G13" s="73">
        <v>0</v>
      </c>
      <c r="H13" s="14">
        <v>0.70833333333333337</v>
      </c>
      <c r="I13" s="14">
        <v>0.79166666666666663</v>
      </c>
      <c r="J13" s="14">
        <v>0</v>
      </c>
      <c r="K13" s="14">
        <v>0</v>
      </c>
      <c r="L13" s="14">
        <v>0</v>
      </c>
      <c r="M13" s="9">
        <v>0</v>
      </c>
      <c r="N13" s="30">
        <f t="shared" si="1"/>
        <v>1.5</v>
      </c>
      <c r="O13" s="30">
        <f t="shared" si="2"/>
        <v>1.5</v>
      </c>
    </row>
    <row r="14" spans="1:15">
      <c r="A14" s="1" t="s">
        <v>1</v>
      </c>
      <c r="B14" s="28" t="s">
        <v>31</v>
      </c>
      <c r="C14" s="14">
        <v>0</v>
      </c>
      <c r="D14" s="14">
        <v>0</v>
      </c>
      <c r="E14" s="59">
        <v>0</v>
      </c>
      <c r="F14" s="30">
        <f t="shared" si="0"/>
        <v>0</v>
      </c>
      <c r="G14" s="73">
        <v>8.3333333333333329E-2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9">
        <v>0</v>
      </c>
      <c r="N14" s="30">
        <f t="shared" si="1"/>
        <v>8.3333333333333329E-2</v>
      </c>
      <c r="O14" s="30">
        <f t="shared" si="2"/>
        <v>8.3333333333333329E-2</v>
      </c>
    </row>
    <row r="15" spans="1:15">
      <c r="A15" s="1" t="s">
        <v>1</v>
      </c>
      <c r="B15" s="28" t="s">
        <v>32</v>
      </c>
      <c r="C15" s="14">
        <v>0</v>
      </c>
      <c r="D15" s="14">
        <v>0</v>
      </c>
      <c r="E15" s="59">
        <v>0.33333333333333331</v>
      </c>
      <c r="F15" s="30">
        <f t="shared" si="0"/>
        <v>0.33333333333333331</v>
      </c>
      <c r="G15" s="73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9">
        <v>0</v>
      </c>
      <c r="N15" s="30">
        <f t="shared" si="1"/>
        <v>0</v>
      </c>
      <c r="O15" s="30">
        <f t="shared" si="2"/>
        <v>0.33333333333333331</v>
      </c>
    </row>
    <row r="16" spans="1:15">
      <c r="A16" s="1" t="s">
        <v>1</v>
      </c>
      <c r="B16" s="31" t="s">
        <v>33</v>
      </c>
      <c r="C16" s="15">
        <v>4.1666666666666664E-2</v>
      </c>
      <c r="D16" s="15">
        <v>0</v>
      </c>
      <c r="E16" s="60">
        <v>0</v>
      </c>
      <c r="F16" s="33">
        <f t="shared" si="0"/>
        <v>4.1666666666666664E-2</v>
      </c>
      <c r="G16" s="74">
        <v>1.5416666666666665</v>
      </c>
      <c r="H16" s="15">
        <v>2.4583333333333335</v>
      </c>
      <c r="I16" s="15">
        <v>2.25</v>
      </c>
      <c r="J16" s="15">
        <v>1.3333333333333333</v>
      </c>
      <c r="K16" s="15">
        <v>0.95833333333333337</v>
      </c>
      <c r="L16" s="15">
        <v>1.4166666666666667</v>
      </c>
      <c r="M16" s="32">
        <v>0.95833333333333337</v>
      </c>
      <c r="N16" s="33">
        <f t="shared" si="1"/>
        <v>10.916666666666666</v>
      </c>
      <c r="O16" s="33">
        <f t="shared" si="2"/>
        <v>10.958333333333332</v>
      </c>
    </row>
    <row r="17" spans="1:15">
      <c r="A17" s="1" t="s">
        <v>1</v>
      </c>
      <c r="B17" s="34" t="s">
        <v>34</v>
      </c>
      <c r="C17" s="16">
        <v>36.5</v>
      </c>
      <c r="D17" s="16">
        <v>18.5</v>
      </c>
      <c r="E17" s="61">
        <v>27</v>
      </c>
      <c r="F17" s="85"/>
      <c r="G17" s="75">
        <v>33</v>
      </c>
      <c r="H17" s="16">
        <v>30</v>
      </c>
      <c r="I17" s="16">
        <v>25</v>
      </c>
      <c r="J17" s="16">
        <v>26</v>
      </c>
      <c r="K17" s="16">
        <v>14</v>
      </c>
      <c r="L17" s="16">
        <v>7</v>
      </c>
      <c r="M17" s="87">
        <v>0</v>
      </c>
      <c r="N17" s="85"/>
      <c r="O17" s="85"/>
    </row>
    <row r="18" spans="1:15">
      <c r="A18" s="1" t="s">
        <v>1</v>
      </c>
      <c r="B18" s="35" t="s">
        <v>35</v>
      </c>
      <c r="C18" s="17">
        <v>365000</v>
      </c>
      <c r="D18" s="17">
        <v>365000</v>
      </c>
      <c r="E18" s="62">
        <v>170000</v>
      </c>
      <c r="F18" s="36">
        <f t="shared" si="0"/>
        <v>900000</v>
      </c>
      <c r="G18" s="76">
        <v>182000</v>
      </c>
      <c r="H18" s="17">
        <v>177000</v>
      </c>
      <c r="I18" s="17">
        <v>177000</v>
      </c>
      <c r="J18" s="17">
        <v>187000</v>
      </c>
      <c r="K18" s="17">
        <v>170000</v>
      </c>
      <c r="L18" s="17">
        <v>170000</v>
      </c>
      <c r="M18" s="10">
        <v>170000</v>
      </c>
      <c r="N18" s="36">
        <f t="shared" si="1"/>
        <v>1233000</v>
      </c>
      <c r="O18" s="36">
        <f t="shared" si="2"/>
        <v>2133000</v>
      </c>
    </row>
    <row r="19" spans="1:15">
      <c r="A19" s="1" t="s">
        <v>1</v>
      </c>
      <c r="B19" s="28" t="s">
        <v>36</v>
      </c>
      <c r="C19" s="18">
        <v>0</v>
      </c>
      <c r="D19" s="18">
        <v>0</v>
      </c>
      <c r="E19" s="63">
        <v>0</v>
      </c>
      <c r="F19" s="37">
        <f t="shared" si="0"/>
        <v>0</v>
      </c>
      <c r="G19" s="77">
        <v>5000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6">
        <v>0</v>
      </c>
      <c r="N19" s="37">
        <f t="shared" si="1"/>
        <v>5000</v>
      </c>
      <c r="O19" s="37">
        <f t="shared" si="2"/>
        <v>5000</v>
      </c>
    </row>
    <row r="20" spans="1:15">
      <c r="A20" s="1" t="s">
        <v>1</v>
      </c>
      <c r="B20" s="28" t="s">
        <v>37</v>
      </c>
      <c r="C20" s="18">
        <v>0</v>
      </c>
      <c r="D20" s="18">
        <v>0</v>
      </c>
      <c r="E20" s="63">
        <v>6000</v>
      </c>
      <c r="F20" s="37">
        <f t="shared" si="0"/>
        <v>6000</v>
      </c>
      <c r="G20" s="77">
        <v>6000</v>
      </c>
      <c r="H20" s="18">
        <v>10000</v>
      </c>
      <c r="I20" s="18">
        <v>0</v>
      </c>
      <c r="J20" s="18">
        <v>0</v>
      </c>
      <c r="K20" s="18">
        <v>0</v>
      </c>
      <c r="L20" s="18">
        <v>0</v>
      </c>
      <c r="M20" s="6">
        <v>0</v>
      </c>
      <c r="N20" s="37">
        <f t="shared" si="1"/>
        <v>16000</v>
      </c>
      <c r="O20" s="37">
        <f t="shared" si="2"/>
        <v>22000</v>
      </c>
    </row>
    <row r="21" spans="1:15">
      <c r="A21" s="1" t="s">
        <v>1</v>
      </c>
      <c r="B21" s="28" t="s">
        <v>38</v>
      </c>
      <c r="C21" s="18">
        <v>0</v>
      </c>
      <c r="D21" s="18">
        <v>0</v>
      </c>
      <c r="E21" s="63">
        <v>0</v>
      </c>
      <c r="F21" s="37">
        <f t="shared" si="0"/>
        <v>0</v>
      </c>
      <c r="G21" s="77">
        <v>6696</v>
      </c>
      <c r="H21" s="18">
        <v>0</v>
      </c>
      <c r="I21" s="18">
        <v>0</v>
      </c>
      <c r="J21" s="18">
        <v>5884</v>
      </c>
      <c r="K21" s="18">
        <v>0</v>
      </c>
      <c r="L21" s="18">
        <v>0</v>
      </c>
      <c r="M21" s="6">
        <v>0</v>
      </c>
      <c r="N21" s="37">
        <f t="shared" si="1"/>
        <v>12580</v>
      </c>
      <c r="O21" s="37">
        <f t="shared" si="2"/>
        <v>12580</v>
      </c>
    </row>
    <row r="22" spans="1:15">
      <c r="A22" s="1" t="s">
        <v>1</v>
      </c>
      <c r="B22" s="28" t="s">
        <v>39</v>
      </c>
      <c r="C22" s="18">
        <v>0</v>
      </c>
      <c r="D22" s="18">
        <v>0</v>
      </c>
      <c r="E22" s="63">
        <v>0</v>
      </c>
      <c r="F22" s="37">
        <f t="shared" si="0"/>
        <v>0</v>
      </c>
      <c r="G22" s="77">
        <v>3500</v>
      </c>
      <c r="H22" s="18">
        <v>3500</v>
      </c>
      <c r="I22" s="18">
        <v>3500</v>
      </c>
      <c r="J22" s="18">
        <v>3500</v>
      </c>
      <c r="K22" s="18">
        <v>2000</v>
      </c>
      <c r="L22" s="18">
        <v>2000</v>
      </c>
      <c r="M22" s="6">
        <v>0</v>
      </c>
      <c r="N22" s="37">
        <f t="shared" si="1"/>
        <v>18000</v>
      </c>
      <c r="O22" s="37">
        <f t="shared" si="2"/>
        <v>18000</v>
      </c>
    </row>
    <row r="23" spans="1:15">
      <c r="A23" s="1" t="s">
        <v>1</v>
      </c>
      <c r="B23" s="28" t="s">
        <v>40</v>
      </c>
      <c r="C23" s="18">
        <v>0</v>
      </c>
      <c r="D23" s="18">
        <v>0</v>
      </c>
      <c r="E23" s="63">
        <v>0</v>
      </c>
      <c r="F23" s="37">
        <f t="shared" si="0"/>
        <v>0</v>
      </c>
      <c r="G23" s="77">
        <v>0</v>
      </c>
      <c r="H23" s="18">
        <v>12600</v>
      </c>
      <c r="I23" s="18">
        <v>0</v>
      </c>
      <c r="J23" s="18">
        <v>0</v>
      </c>
      <c r="K23" s="18">
        <v>0</v>
      </c>
      <c r="L23" s="18">
        <v>0</v>
      </c>
      <c r="M23" s="6">
        <v>0</v>
      </c>
      <c r="N23" s="37">
        <f t="shared" si="1"/>
        <v>12600</v>
      </c>
      <c r="O23" s="37">
        <f t="shared" si="2"/>
        <v>12600</v>
      </c>
    </row>
    <row r="24" spans="1:15">
      <c r="A24" s="1" t="s">
        <v>1</v>
      </c>
      <c r="B24" s="28" t="s">
        <v>27</v>
      </c>
      <c r="C24" s="18">
        <v>0</v>
      </c>
      <c r="D24" s="18">
        <v>0</v>
      </c>
      <c r="E24" s="63">
        <v>1506</v>
      </c>
      <c r="F24" s="37">
        <f t="shared" si="0"/>
        <v>1506</v>
      </c>
      <c r="G24" s="77">
        <v>85318</v>
      </c>
      <c r="H24" s="18">
        <v>16720</v>
      </c>
      <c r="I24" s="18">
        <v>35126</v>
      </c>
      <c r="J24" s="18">
        <v>52762</v>
      </c>
      <c r="K24" s="18">
        <v>59248</v>
      </c>
      <c r="L24" s="18">
        <v>73416</v>
      </c>
      <c r="M24" s="6">
        <v>64923</v>
      </c>
      <c r="N24" s="37">
        <f t="shared" si="1"/>
        <v>387513</v>
      </c>
      <c r="O24" s="37">
        <f t="shared" si="2"/>
        <v>389019</v>
      </c>
    </row>
    <row r="25" spans="1:15">
      <c r="A25" s="1" t="s">
        <v>1</v>
      </c>
      <c r="B25" s="28" t="s">
        <v>41</v>
      </c>
      <c r="C25" s="18">
        <v>0</v>
      </c>
      <c r="D25" s="18">
        <v>0</v>
      </c>
      <c r="E25" s="63">
        <v>22778</v>
      </c>
      <c r="F25" s="37">
        <f t="shared" si="0"/>
        <v>22778</v>
      </c>
      <c r="G25" s="77">
        <v>15890</v>
      </c>
      <c r="H25" s="18">
        <v>13136</v>
      </c>
      <c r="I25" s="18">
        <v>27721</v>
      </c>
      <c r="J25" s="18">
        <v>60060</v>
      </c>
      <c r="K25" s="18">
        <v>26429</v>
      </c>
      <c r="L25" s="18">
        <v>38948</v>
      </c>
      <c r="M25" s="6">
        <v>13740</v>
      </c>
      <c r="N25" s="37">
        <f t="shared" si="1"/>
        <v>195924</v>
      </c>
      <c r="O25" s="37">
        <f t="shared" si="2"/>
        <v>218702</v>
      </c>
    </row>
    <row r="26" spans="1:15">
      <c r="A26" s="1" t="s">
        <v>1</v>
      </c>
      <c r="B26" s="28" t="s">
        <v>42</v>
      </c>
      <c r="C26" s="18">
        <v>0</v>
      </c>
      <c r="D26" s="18">
        <v>0</v>
      </c>
      <c r="E26" s="63">
        <v>0</v>
      </c>
      <c r="F26" s="37">
        <f t="shared" si="0"/>
        <v>0</v>
      </c>
      <c r="G26" s="77">
        <v>30191</v>
      </c>
      <c r="H26" s="18">
        <v>13136</v>
      </c>
      <c r="I26" s="18">
        <v>0</v>
      </c>
      <c r="J26" s="18">
        <v>0</v>
      </c>
      <c r="K26" s="18">
        <v>19474</v>
      </c>
      <c r="L26" s="18">
        <v>0</v>
      </c>
      <c r="M26" s="6">
        <v>0</v>
      </c>
      <c r="N26" s="37">
        <f t="shared" si="1"/>
        <v>62801</v>
      </c>
      <c r="O26" s="37">
        <f t="shared" si="2"/>
        <v>62801</v>
      </c>
    </row>
    <row r="27" spans="1:15">
      <c r="A27" s="1" t="s">
        <v>1</v>
      </c>
      <c r="B27" s="28" t="s">
        <v>43</v>
      </c>
      <c r="C27" s="18">
        <v>0</v>
      </c>
      <c r="D27" s="18">
        <v>0</v>
      </c>
      <c r="E27" s="63">
        <v>0</v>
      </c>
      <c r="F27" s="37">
        <f t="shared" si="0"/>
        <v>0</v>
      </c>
      <c r="G27" s="77">
        <v>0</v>
      </c>
      <c r="H27" s="18">
        <v>7242</v>
      </c>
      <c r="I27" s="18">
        <v>7182</v>
      </c>
      <c r="J27" s="18">
        <v>0</v>
      </c>
      <c r="K27" s="18">
        <v>0</v>
      </c>
      <c r="L27" s="18">
        <v>0</v>
      </c>
      <c r="M27" s="6">
        <v>0</v>
      </c>
      <c r="N27" s="37">
        <f t="shared" si="1"/>
        <v>14424</v>
      </c>
      <c r="O27" s="37">
        <f t="shared" si="2"/>
        <v>14424</v>
      </c>
    </row>
    <row r="28" spans="1:15">
      <c r="A28" s="1" t="s">
        <v>1</v>
      </c>
      <c r="B28" s="28" t="s">
        <v>31</v>
      </c>
      <c r="C28" s="18">
        <v>0</v>
      </c>
      <c r="D28" s="18">
        <v>0</v>
      </c>
      <c r="E28" s="63">
        <v>0</v>
      </c>
      <c r="F28" s="37">
        <f t="shared" si="0"/>
        <v>0</v>
      </c>
      <c r="G28" s="77">
        <v>588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6">
        <v>0</v>
      </c>
      <c r="N28" s="37">
        <f t="shared" si="1"/>
        <v>588</v>
      </c>
      <c r="O28" s="37">
        <f t="shared" si="2"/>
        <v>588</v>
      </c>
    </row>
    <row r="29" spans="1:15">
      <c r="A29" s="1" t="s">
        <v>1</v>
      </c>
      <c r="B29" s="28" t="s">
        <v>32</v>
      </c>
      <c r="C29" s="18">
        <v>0</v>
      </c>
      <c r="D29" s="18">
        <v>0</v>
      </c>
      <c r="E29" s="63">
        <v>9640</v>
      </c>
      <c r="F29" s="37">
        <f t="shared" si="0"/>
        <v>9640</v>
      </c>
      <c r="G29" s="77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6">
        <v>0</v>
      </c>
      <c r="N29" s="37">
        <f t="shared" si="1"/>
        <v>0</v>
      </c>
      <c r="O29" s="37">
        <f t="shared" si="2"/>
        <v>9640</v>
      </c>
    </row>
    <row r="30" spans="1:15">
      <c r="A30" s="1" t="s">
        <v>1</v>
      </c>
      <c r="B30" s="31" t="s">
        <v>33</v>
      </c>
      <c r="C30" s="19">
        <v>547</v>
      </c>
      <c r="D30" s="19">
        <v>0</v>
      </c>
      <c r="E30" s="64">
        <v>0</v>
      </c>
      <c r="F30" s="39">
        <f t="shared" si="0"/>
        <v>547</v>
      </c>
      <c r="G30" s="78">
        <v>10878</v>
      </c>
      <c r="H30" s="19">
        <v>17936</v>
      </c>
      <c r="I30" s="19">
        <v>14580</v>
      </c>
      <c r="J30" s="19">
        <v>9120</v>
      </c>
      <c r="K30" s="19">
        <v>5934</v>
      </c>
      <c r="L30" s="19">
        <v>8772</v>
      </c>
      <c r="M30" s="38">
        <v>5865</v>
      </c>
      <c r="N30" s="39">
        <f t="shared" si="1"/>
        <v>73085</v>
      </c>
      <c r="O30" s="39">
        <f t="shared" si="2"/>
        <v>73632</v>
      </c>
    </row>
    <row r="31" spans="1:15">
      <c r="A31" s="1" t="s">
        <v>1</v>
      </c>
      <c r="B31" s="34" t="s">
        <v>44</v>
      </c>
      <c r="C31" s="20">
        <v>365547</v>
      </c>
      <c r="D31" s="20">
        <v>365000</v>
      </c>
      <c r="E31" s="65">
        <v>209924</v>
      </c>
      <c r="F31" s="40">
        <f t="shared" si="0"/>
        <v>940471</v>
      </c>
      <c r="G31" s="79">
        <v>346061</v>
      </c>
      <c r="H31" s="20">
        <v>271270</v>
      </c>
      <c r="I31" s="20">
        <v>265109</v>
      </c>
      <c r="J31" s="20">
        <v>318326</v>
      </c>
      <c r="K31" s="20">
        <v>283085</v>
      </c>
      <c r="L31" s="20">
        <v>293136</v>
      </c>
      <c r="M31" s="4">
        <v>254528</v>
      </c>
      <c r="N31" s="40">
        <f t="shared" si="1"/>
        <v>2031515</v>
      </c>
      <c r="O31" s="40">
        <f t="shared" si="2"/>
        <v>2971986</v>
      </c>
    </row>
    <row r="32" spans="1:15">
      <c r="A32" s="1" t="s">
        <v>1</v>
      </c>
      <c r="B32" s="41" t="s">
        <v>45</v>
      </c>
      <c r="C32" s="21">
        <v>7098</v>
      </c>
      <c r="D32" s="21">
        <v>15808</v>
      </c>
      <c r="E32" s="66">
        <v>624</v>
      </c>
      <c r="F32" s="42">
        <f t="shared" si="0"/>
        <v>23530</v>
      </c>
      <c r="G32" s="80">
        <v>9750</v>
      </c>
      <c r="H32" s="21">
        <v>2392</v>
      </c>
      <c r="I32" s="21">
        <v>2288</v>
      </c>
      <c r="J32" s="21">
        <v>10868</v>
      </c>
      <c r="K32" s="21">
        <v>7488</v>
      </c>
      <c r="L32" s="21">
        <v>1248</v>
      </c>
      <c r="M32" s="5">
        <v>6240</v>
      </c>
      <c r="N32" s="42">
        <f t="shared" si="1"/>
        <v>40274</v>
      </c>
      <c r="O32" s="42">
        <f t="shared" si="2"/>
        <v>63804</v>
      </c>
    </row>
    <row r="33" spans="1:15">
      <c r="A33" s="1" t="s">
        <v>1</v>
      </c>
      <c r="B33" s="31" t="s">
        <v>46</v>
      </c>
      <c r="C33" s="19">
        <v>7098</v>
      </c>
      <c r="D33" s="19">
        <v>15808</v>
      </c>
      <c r="E33" s="64">
        <v>624</v>
      </c>
      <c r="F33" s="39">
        <f t="shared" si="0"/>
        <v>23530</v>
      </c>
      <c r="G33" s="78">
        <v>9750</v>
      </c>
      <c r="H33" s="19">
        <v>2392</v>
      </c>
      <c r="I33" s="19">
        <v>2288</v>
      </c>
      <c r="J33" s="19">
        <v>10868</v>
      </c>
      <c r="K33" s="19">
        <v>7488</v>
      </c>
      <c r="L33" s="19">
        <v>1248</v>
      </c>
      <c r="M33" s="38">
        <v>6240</v>
      </c>
      <c r="N33" s="39">
        <f t="shared" si="1"/>
        <v>40274</v>
      </c>
      <c r="O33" s="39">
        <f t="shared" si="2"/>
        <v>63804</v>
      </c>
    </row>
    <row r="34" spans="1:15">
      <c r="A34" s="1" t="s">
        <v>1</v>
      </c>
      <c r="B34" s="34" t="s">
        <v>47</v>
      </c>
      <c r="C34" s="20">
        <v>372645</v>
      </c>
      <c r="D34" s="20">
        <v>380808</v>
      </c>
      <c r="E34" s="65">
        <v>210548</v>
      </c>
      <c r="F34" s="40">
        <f t="shared" si="0"/>
        <v>964001</v>
      </c>
      <c r="G34" s="79">
        <v>355811</v>
      </c>
      <c r="H34" s="20">
        <v>273662</v>
      </c>
      <c r="I34" s="20">
        <v>267397</v>
      </c>
      <c r="J34" s="20">
        <v>329194</v>
      </c>
      <c r="K34" s="20">
        <v>290573</v>
      </c>
      <c r="L34" s="20">
        <v>294384</v>
      </c>
      <c r="M34" s="4">
        <v>260768</v>
      </c>
      <c r="N34" s="40">
        <f t="shared" si="1"/>
        <v>2071789</v>
      </c>
      <c r="O34" s="40">
        <f t="shared" si="2"/>
        <v>3035790</v>
      </c>
    </row>
    <row r="35" spans="1:15">
      <c r="A35" s="1" t="s">
        <v>1</v>
      </c>
      <c r="B35" s="41" t="s">
        <v>48</v>
      </c>
      <c r="C35" s="21">
        <v>18360</v>
      </c>
      <c r="D35" s="21">
        <v>19380</v>
      </c>
      <c r="E35" s="66">
        <v>11220</v>
      </c>
      <c r="F35" s="42">
        <f t="shared" si="0"/>
        <v>48960</v>
      </c>
      <c r="G35" s="80">
        <v>16320</v>
      </c>
      <c r="H35" s="21">
        <v>15300</v>
      </c>
      <c r="I35" s="21">
        <v>14280</v>
      </c>
      <c r="J35" s="21">
        <v>17340</v>
      </c>
      <c r="K35" s="21">
        <v>14280</v>
      </c>
      <c r="L35" s="21">
        <v>15300</v>
      </c>
      <c r="M35" s="5">
        <v>13260</v>
      </c>
      <c r="N35" s="42">
        <f t="shared" si="1"/>
        <v>106080</v>
      </c>
      <c r="O35" s="42">
        <f t="shared" si="2"/>
        <v>155040</v>
      </c>
    </row>
    <row r="36" spans="1:15">
      <c r="A36" s="1" t="s">
        <v>1</v>
      </c>
      <c r="B36" s="28" t="s">
        <v>49</v>
      </c>
      <c r="C36" s="18">
        <v>3240</v>
      </c>
      <c r="D36" s="18">
        <v>3420</v>
      </c>
      <c r="E36" s="63">
        <v>0</v>
      </c>
      <c r="F36" s="37">
        <f t="shared" si="0"/>
        <v>6660</v>
      </c>
      <c r="G36" s="77">
        <v>2880</v>
      </c>
      <c r="H36" s="18">
        <v>2700</v>
      </c>
      <c r="I36" s="18">
        <v>2520</v>
      </c>
      <c r="J36" s="18">
        <v>3060</v>
      </c>
      <c r="K36" s="18">
        <v>2520</v>
      </c>
      <c r="L36" s="18">
        <v>2700</v>
      </c>
      <c r="M36" s="6">
        <v>2340</v>
      </c>
      <c r="N36" s="37">
        <f t="shared" si="1"/>
        <v>18720</v>
      </c>
      <c r="O36" s="37">
        <f t="shared" si="2"/>
        <v>25380</v>
      </c>
    </row>
    <row r="37" spans="1:15">
      <c r="A37" s="1" t="s">
        <v>1</v>
      </c>
      <c r="B37" s="28" t="s">
        <v>50</v>
      </c>
      <c r="C37" s="18">
        <v>32940</v>
      </c>
      <c r="D37" s="18">
        <v>34770</v>
      </c>
      <c r="E37" s="63">
        <v>20130</v>
      </c>
      <c r="F37" s="37">
        <f t="shared" si="0"/>
        <v>87840</v>
      </c>
      <c r="G37" s="77">
        <v>29280</v>
      </c>
      <c r="H37" s="18">
        <v>27450</v>
      </c>
      <c r="I37" s="18">
        <v>25620</v>
      </c>
      <c r="J37" s="18">
        <v>31110</v>
      </c>
      <c r="K37" s="18">
        <v>25620</v>
      </c>
      <c r="L37" s="18">
        <v>27450</v>
      </c>
      <c r="M37" s="6">
        <v>23790</v>
      </c>
      <c r="N37" s="37">
        <f t="shared" si="1"/>
        <v>190320</v>
      </c>
      <c r="O37" s="37">
        <f t="shared" si="2"/>
        <v>278160</v>
      </c>
    </row>
    <row r="38" spans="1:15">
      <c r="A38" s="1" t="s">
        <v>1</v>
      </c>
      <c r="B38" s="48" t="s">
        <v>51</v>
      </c>
      <c r="C38" s="49">
        <v>2236</v>
      </c>
      <c r="D38" s="49">
        <v>2285</v>
      </c>
      <c r="E38" s="67">
        <v>1263</v>
      </c>
      <c r="F38" s="51">
        <f t="shared" si="0"/>
        <v>5784</v>
      </c>
      <c r="G38" s="81">
        <v>2135</v>
      </c>
      <c r="H38" s="49">
        <v>1642</v>
      </c>
      <c r="I38" s="49">
        <v>1604</v>
      </c>
      <c r="J38" s="49">
        <v>1975</v>
      </c>
      <c r="K38" s="49">
        <v>1743</v>
      </c>
      <c r="L38" s="49">
        <v>1766</v>
      </c>
      <c r="M38" s="50">
        <v>1565</v>
      </c>
      <c r="N38" s="51">
        <f t="shared" si="1"/>
        <v>12430</v>
      </c>
      <c r="O38" s="51">
        <f t="shared" si="2"/>
        <v>18214</v>
      </c>
    </row>
    <row r="39" spans="1:15">
      <c r="A39" s="1" t="s">
        <v>1</v>
      </c>
      <c r="B39" s="34" t="s">
        <v>52</v>
      </c>
      <c r="C39" s="20">
        <v>56776</v>
      </c>
      <c r="D39" s="20">
        <v>59855</v>
      </c>
      <c r="E39" s="65">
        <v>32613</v>
      </c>
      <c r="F39" s="40">
        <f t="shared" si="0"/>
        <v>149244</v>
      </c>
      <c r="G39" s="79">
        <v>50615</v>
      </c>
      <c r="H39" s="20">
        <v>47092</v>
      </c>
      <c r="I39" s="20">
        <v>44024</v>
      </c>
      <c r="J39" s="20">
        <v>53485</v>
      </c>
      <c r="K39" s="20">
        <v>44163</v>
      </c>
      <c r="L39" s="20">
        <v>47216</v>
      </c>
      <c r="M39" s="4">
        <v>40955</v>
      </c>
      <c r="N39" s="40">
        <f t="shared" si="1"/>
        <v>327550</v>
      </c>
      <c r="O39" s="40">
        <f t="shared" si="2"/>
        <v>476794</v>
      </c>
    </row>
    <row r="40" spans="1:15">
      <c r="A40" s="1" t="s">
        <v>1</v>
      </c>
      <c r="B40" s="41" t="s">
        <v>53</v>
      </c>
      <c r="C40" s="21">
        <v>2899</v>
      </c>
      <c r="D40" s="21">
        <v>8800</v>
      </c>
      <c r="E40" s="66">
        <v>0</v>
      </c>
      <c r="F40" s="42">
        <f t="shared" si="0"/>
        <v>11699</v>
      </c>
      <c r="G40" s="80">
        <v>0</v>
      </c>
      <c r="H40" s="21">
        <v>0</v>
      </c>
      <c r="I40" s="21">
        <v>0</v>
      </c>
      <c r="J40" s="21">
        <v>4457</v>
      </c>
      <c r="K40" s="21">
        <v>0</v>
      </c>
      <c r="L40" s="21">
        <v>0</v>
      </c>
      <c r="M40" s="5">
        <v>3630</v>
      </c>
      <c r="N40" s="42">
        <f t="shared" si="1"/>
        <v>8087</v>
      </c>
      <c r="O40" s="42">
        <f t="shared" si="2"/>
        <v>19786</v>
      </c>
    </row>
    <row r="41" spans="1:15">
      <c r="A41" s="1" t="s">
        <v>1</v>
      </c>
      <c r="B41" s="31" t="s">
        <v>54</v>
      </c>
      <c r="C41" s="19">
        <v>19600</v>
      </c>
      <c r="D41" s="19">
        <v>20400</v>
      </c>
      <c r="E41" s="64">
        <v>8400</v>
      </c>
      <c r="F41" s="39">
        <f t="shared" si="0"/>
        <v>48400</v>
      </c>
      <c r="G41" s="78">
        <v>2900</v>
      </c>
      <c r="H41" s="19">
        <v>9400</v>
      </c>
      <c r="I41" s="19">
        <v>11000</v>
      </c>
      <c r="J41" s="19">
        <v>14600</v>
      </c>
      <c r="K41" s="19">
        <v>10500</v>
      </c>
      <c r="L41" s="19">
        <v>6800</v>
      </c>
      <c r="M41" s="38">
        <v>0</v>
      </c>
      <c r="N41" s="39">
        <f t="shared" si="1"/>
        <v>55200</v>
      </c>
      <c r="O41" s="39">
        <f t="shared" si="2"/>
        <v>103600</v>
      </c>
    </row>
    <row r="42" spans="1:15">
      <c r="A42" s="1" t="s">
        <v>1</v>
      </c>
      <c r="B42" s="34" t="s">
        <v>55</v>
      </c>
      <c r="C42" s="20">
        <v>79275</v>
      </c>
      <c r="D42" s="20">
        <v>89055</v>
      </c>
      <c r="E42" s="65">
        <v>41013</v>
      </c>
      <c r="F42" s="40">
        <f t="shared" si="0"/>
        <v>209343</v>
      </c>
      <c r="G42" s="79">
        <v>53515</v>
      </c>
      <c r="H42" s="20">
        <v>56492</v>
      </c>
      <c r="I42" s="20">
        <v>55024</v>
      </c>
      <c r="J42" s="20">
        <v>72542</v>
      </c>
      <c r="K42" s="20">
        <v>54663</v>
      </c>
      <c r="L42" s="20">
        <v>54016</v>
      </c>
      <c r="M42" s="4">
        <v>44585</v>
      </c>
      <c r="N42" s="40">
        <f t="shared" si="1"/>
        <v>390837</v>
      </c>
      <c r="O42" s="40">
        <f t="shared" si="2"/>
        <v>600180</v>
      </c>
    </row>
    <row r="43" spans="1:15">
      <c r="A43" s="1" t="s">
        <v>1</v>
      </c>
      <c r="B43" s="34" t="s">
        <v>56</v>
      </c>
      <c r="C43" s="20">
        <v>308771</v>
      </c>
      <c r="D43" s="20">
        <v>305145</v>
      </c>
      <c r="E43" s="65">
        <v>177311</v>
      </c>
      <c r="F43" s="40">
        <f t="shared" si="0"/>
        <v>791227</v>
      </c>
      <c r="G43" s="79">
        <v>295446</v>
      </c>
      <c r="H43" s="20">
        <v>224178</v>
      </c>
      <c r="I43" s="20">
        <v>221085</v>
      </c>
      <c r="J43" s="20">
        <v>264841</v>
      </c>
      <c r="K43" s="20">
        <v>238922</v>
      </c>
      <c r="L43" s="20">
        <v>245920</v>
      </c>
      <c r="M43" s="4">
        <v>213573</v>
      </c>
      <c r="N43" s="40">
        <f t="shared" si="1"/>
        <v>1703965</v>
      </c>
      <c r="O43" s="40">
        <f t="shared" si="2"/>
        <v>2495192</v>
      </c>
    </row>
    <row r="44" spans="1:15">
      <c r="A44" s="1" t="s">
        <v>1</v>
      </c>
      <c r="B44" s="34" t="s">
        <v>57</v>
      </c>
      <c r="C44" s="20">
        <v>293370</v>
      </c>
      <c r="D44" s="20">
        <v>291753</v>
      </c>
      <c r="E44" s="65">
        <v>169535</v>
      </c>
      <c r="F44" s="40">
        <f t="shared" si="0"/>
        <v>754658</v>
      </c>
      <c r="G44" s="79">
        <v>302296</v>
      </c>
      <c r="H44" s="20">
        <v>217170</v>
      </c>
      <c r="I44" s="20">
        <v>212373</v>
      </c>
      <c r="J44" s="20">
        <v>256652</v>
      </c>
      <c r="K44" s="20">
        <v>235910</v>
      </c>
      <c r="L44" s="20">
        <v>240368</v>
      </c>
      <c r="M44" s="4">
        <v>216183</v>
      </c>
      <c r="N44" s="40">
        <f t="shared" si="1"/>
        <v>1680952</v>
      </c>
      <c r="O44" s="40">
        <f t="shared" si="2"/>
        <v>2435610</v>
      </c>
    </row>
    <row r="45" spans="1:15">
      <c r="A45" s="1" t="s">
        <v>1</v>
      </c>
      <c r="B45" s="34" t="s">
        <v>58</v>
      </c>
      <c r="C45" s="20">
        <v>293370</v>
      </c>
      <c r="D45" s="20">
        <v>291753</v>
      </c>
      <c r="E45" s="65">
        <v>169535</v>
      </c>
      <c r="F45" s="40">
        <f t="shared" si="0"/>
        <v>754658</v>
      </c>
      <c r="G45" s="79">
        <v>302296</v>
      </c>
      <c r="H45" s="20">
        <v>217170</v>
      </c>
      <c r="I45" s="20">
        <v>212373</v>
      </c>
      <c r="J45" s="20">
        <v>256652</v>
      </c>
      <c r="K45" s="20">
        <v>235910</v>
      </c>
      <c r="L45" s="20">
        <v>240368</v>
      </c>
      <c r="M45" s="4">
        <v>216183</v>
      </c>
      <c r="N45" s="40">
        <f t="shared" si="1"/>
        <v>1680952</v>
      </c>
      <c r="O45" s="40">
        <f t="shared" si="2"/>
        <v>2435610</v>
      </c>
    </row>
    <row r="46" spans="1:15">
      <c r="A46" s="1" t="s">
        <v>1</v>
      </c>
      <c r="B46" s="34" t="s">
        <v>59</v>
      </c>
      <c r="C46" s="20">
        <v>0</v>
      </c>
      <c r="D46" s="20">
        <v>0</v>
      </c>
      <c r="E46" s="65">
        <v>0</v>
      </c>
      <c r="F46" s="40"/>
      <c r="G46" s="79">
        <v>2</v>
      </c>
      <c r="H46" s="20">
        <v>1</v>
      </c>
      <c r="I46" s="20">
        <v>0</v>
      </c>
      <c r="J46" s="20">
        <v>0</v>
      </c>
      <c r="K46" s="20">
        <v>0</v>
      </c>
      <c r="L46" s="20">
        <v>1</v>
      </c>
      <c r="M46" s="4">
        <v>1</v>
      </c>
      <c r="N46" s="40"/>
      <c r="O46" s="40"/>
    </row>
    <row r="47" spans="1:15">
      <c r="A47" s="1" t="s">
        <v>1</v>
      </c>
      <c r="B47" s="34" t="s">
        <v>60</v>
      </c>
      <c r="C47" s="52" t="s">
        <v>61</v>
      </c>
      <c r="D47" s="52" t="s">
        <v>61</v>
      </c>
      <c r="E47" s="68" t="s">
        <v>61</v>
      </c>
      <c r="F47" s="54"/>
      <c r="G47" s="82" t="s">
        <v>61</v>
      </c>
      <c r="H47" s="52" t="s">
        <v>61</v>
      </c>
      <c r="I47" s="52" t="s">
        <v>61</v>
      </c>
      <c r="J47" s="52" t="s">
        <v>61</v>
      </c>
      <c r="K47" s="52" t="s">
        <v>61</v>
      </c>
      <c r="L47" s="52" t="s">
        <v>61</v>
      </c>
      <c r="M47" s="53" t="s">
        <v>61</v>
      </c>
      <c r="N47" s="54"/>
      <c r="O47" s="54"/>
    </row>
    <row r="48" spans="1:15">
      <c r="A48" s="1" t="s">
        <v>1</v>
      </c>
      <c r="B48" s="34" t="s">
        <v>62</v>
      </c>
      <c r="C48" s="20">
        <v>9100</v>
      </c>
      <c r="D48" s="20">
        <v>8800</v>
      </c>
      <c r="E48" s="65">
        <v>3950</v>
      </c>
      <c r="F48" s="40">
        <f t="shared" si="0"/>
        <v>21850</v>
      </c>
      <c r="G48" s="79">
        <v>4940</v>
      </c>
      <c r="H48" s="20">
        <v>4010</v>
      </c>
      <c r="I48" s="20">
        <v>5520</v>
      </c>
      <c r="J48" s="20">
        <v>7080</v>
      </c>
      <c r="K48" s="20">
        <v>6160</v>
      </c>
      <c r="L48" s="20">
        <v>4790</v>
      </c>
      <c r="M48" s="4">
        <v>3630</v>
      </c>
      <c r="N48" s="40">
        <f t="shared" si="1"/>
        <v>36130</v>
      </c>
      <c r="O48" s="40">
        <f t="shared" si="2"/>
        <v>57980</v>
      </c>
    </row>
    <row r="49" spans="1:15">
      <c r="A49" s="1" t="s">
        <v>1</v>
      </c>
      <c r="B49" s="34" t="s">
        <v>63</v>
      </c>
      <c r="C49" s="20">
        <v>6201</v>
      </c>
      <c r="D49" s="20">
        <v>0</v>
      </c>
      <c r="E49" s="65">
        <v>3950</v>
      </c>
      <c r="F49" s="40">
        <f t="shared" si="0"/>
        <v>10151</v>
      </c>
      <c r="G49" s="79">
        <v>4940</v>
      </c>
      <c r="H49" s="20">
        <v>4010</v>
      </c>
      <c r="I49" s="20">
        <v>5520</v>
      </c>
      <c r="J49" s="20">
        <v>2623</v>
      </c>
      <c r="K49" s="20">
        <v>6160</v>
      </c>
      <c r="L49" s="20">
        <v>4790</v>
      </c>
      <c r="M49" s="4">
        <v>0</v>
      </c>
      <c r="N49" s="40">
        <f t="shared" si="1"/>
        <v>28043</v>
      </c>
      <c r="O49" s="40">
        <f t="shared" si="2"/>
        <v>38194</v>
      </c>
    </row>
    <row r="50" spans="1:15" ht="19.5" thickBot="1">
      <c r="A50" s="1" t="s">
        <v>1</v>
      </c>
      <c r="B50" s="43" t="s">
        <v>64</v>
      </c>
      <c r="C50" s="44">
        <v>60000</v>
      </c>
      <c r="D50" s="44">
        <v>30000</v>
      </c>
      <c r="E50" s="69">
        <v>30000</v>
      </c>
      <c r="F50" s="46"/>
      <c r="G50" s="83">
        <v>120000</v>
      </c>
      <c r="H50" s="44">
        <v>30000</v>
      </c>
      <c r="I50" s="44">
        <v>30000</v>
      </c>
      <c r="J50" s="44">
        <v>30000</v>
      </c>
      <c r="K50" s="44">
        <v>30000</v>
      </c>
      <c r="L50" s="44">
        <v>90000</v>
      </c>
      <c r="M50" s="45">
        <v>0</v>
      </c>
      <c r="N50" s="46"/>
      <c r="O50" s="46"/>
    </row>
  </sheetData>
  <phoneticPr fontId="4"/>
  <pageMargins left="0.31496062992125984" right="0.31496062992125984" top="0.35433070866141736" bottom="0.35433070866141736" header="0.11811023622047245" footer="0.11811023622047245"/>
  <pageSetup paperSize="12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8月度給与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2024-09-05T07:28:34Z</cp:lastPrinted>
  <dcterms:created xsi:type="dcterms:W3CDTF">2024-09-05T01:19:43Z</dcterms:created>
  <dcterms:modified xsi:type="dcterms:W3CDTF">2024-09-09T06:42:35Z</dcterms:modified>
</cp:coreProperties>
</file>