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8\"/>
    </mc:Choice>
  </mc:AlternateContent>
  <xr:revisionPtr revIDLastSave="0" documentId="13_ncr:1_{86E5191F-D2C5-4F7B-A283-6839ED9621A9}" xr6:coauthVersionLast="47" xr6:coauthVersionMax="47" xr10:uidLastSave="{00000000-0000-0000-0000-000000000000}"/>
  <bookViews>
    <workbookView xWindow="-120" yWindow="-120" windowWidth="20730" windowHeight="11040" xr2:uid="{053A21CA-AE78-4DAC-AA95-027357C358BC}"/>
  </bookViews>
  <sheets>
    <sheet name="2024年 8月度給与 (2)" sheetId="3" r:id="rId1"/>
  </sheets>
  <definedNames>
    <definedName name="_xlnm.Print_Area" localSheetId="0">'2024年 8月度給与 (2)'!$A$1:$K$45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3" l="1"/>
  <c r="K30" i="3"/>
  <c r="K43" i="3"/>
  <c r="K44" i="3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4" i="3"/>
  <c r="K14" i="3" s="1"/>
  <c r="J15" i="3"/>
  <c r="K15" i="3" s="1"/>
  <c r="J16" i="3"/>
  <c r="K16" i="3" s="1"/>
  <c r="J17" i="3"/>
  <c r="K17" i="3" s="1"/>
  <c r="J18" i="3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J42" i="3"/>
  <c r="J43" i="3"/>
  <c r="J44" i="3"/>
  <c r="J5" i="3"/>
  <c r="K5" i="3" s="1"/>
  <c r="E6" i="3"/>
  <c r="E7" i="3"/>
  <c r="E8" i="3"/>
  <c r="E9" i="3"/>
  <c r="E10" i="3"/>
  <c r="E11" i="3"/>
  <c r="E12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3" i="3"/>
  <c r="E44" i="3"/>
  <c r="E5" i="3"/>
</calcChain>
</file>

<file path=xl/sharedStrings.xml><?xml version="1.0" encoding="utf-8"?>
<sst xmlns="http://schemas.openxmlformats.org/spreadsheetml/2006/main" count="109" uniqueCount="61">
  <si>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</si>
  <si>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</si>
  <si>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</si>
  <si>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</si>
  <si>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</si>
  <si>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</si>
  <si>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</si>
  <si>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1116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</si>
  <si>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</si>
  <si>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</si>
  <si>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</si>
  <si>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</si>
  <si>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</si>
  <si>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吉田亨</t>
    <phoneticPr fontId="4"/>
  </si>
  <si>
    <t>鎌田奈穂子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</si>
  <si>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</si>
  <si>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</si>
  <si>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</si>
  <si>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</si>
  <si>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</si>
  <si>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</si>
  <si>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</si>
  <si>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</si>
  <si>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</si>
  <si>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</si>
  <si>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</si>
  <si>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</si>
  <si>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</si>
  <si>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</si>
  <si>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</si>
  <si>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</si>
  <si>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</si>
  <si>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</si>
  <si>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</si>
  <si>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</si>
  <si>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</si>
  <si>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</si>
  <si>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</si>
  <si>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</si>
  <si>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</si>
  <si>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</si>
  <si>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</si>
  <si>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</si>
  <si>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</si>
  <si>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</si>
  <si>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</si>
  <si>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</si>
  <si>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</si>
  <si>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</si>
  <si>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</si>
  <si>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</si>
  <si>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</si>
  <si>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</si>
  <si>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</si>
  <si>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</si>
  <si>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</si>
  <si>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8月度給与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</si>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</sst>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43C2B835-E184-45FC-AD2E-693E030986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ABF1-D3E2-4E30-913D-0CD39A34FC7C}">
  <sheetPr>
    <pageSetUpPr fitToPage="1"/>
  </sheetPr>
  <dimension ref="A1:K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375" style="2" customWidth="1"/>
    <col min="12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3" width="8" style="2" bestFit="1" customWidth="1"/>
    <col min="264" max="264" width="11.125" style="2" bestFit="1" customWidth="1"/>
    <col min="265" max="265" width="9.625" style="2" bestFit="1" customWidth="1"/>
    <col min="266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19" width="8" style="2" bestFit="1" customWidth="1"/>
    <col min="520" max="520" width="11.125" style="2" bestFit="1" customWidth="1"/>
    <col min="521" max="521" width="9.625" style="2" bestFit="1" customWidth="1"/>
    <col min="522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5" width="8" style="2" bestFit="1" customWidth="1"/>
    <col min="776" max="776" width="11.125" style="2" bestFit="1" customWidth="1"/>
    <col min="777" max="777" width="9.625" style="2" bestFit="1" customWidth="1"/>
    <col min="778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1" width="8" style="2" bestFit="1" customWidth="1"/>
    <col min="1032" max="1032" width="11.125" style="2" bestFit="1" customWidth="1"/>
    <col min="1033" max="1033" width="9.625" style="2" bestFit="1" customWidth="1"/>
    <col min="1034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87" width="8" style="2" bestFit="1" customWidth="1"/>
    <col min="1288" max="1288" width="11.125" style="2" bestFit="1" customWidth="1"/>
    <col min="1289" max="1289" width="9.625" style="2" bestFit="1" customWidth="1"/>
    <col min="1290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3" width="8" style="2" bestFit="1" customWidth="1"/>
    <col min="1544" max="1544" width="11.125" style="2" bestFit="1" customWidth="1"/>
    <col min="1545" max="1545" width="9.625" style="2" bestFit="1" customWidth="1"/>
    <col min="1546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799" width="8" style="2" bestFit="1" customWidth="1"/>
    <col min="1800" max="1800" width="11.125" style="2" bestFit="1" customWidth="1"/>
    <col min="1801" max="1801" width="9.625" style="2" bestFit="1" customWidth="1"/>
    <col min="1802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5" width="8" style="2" bestFit="1" customWidth="1"/>
    <col min="2056" max="2056" width="11.125" style="2" bestFit="1" customWidth="1"/>
    <col min="2057" max="2057" width="9.625" style="2" bestFit="1" customWidth="1"/>
    <col min="2058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1" width="8" style="2" bestFit="1" customWidth="1"/>
    <col min="2312" max="2312" width="11.125" style="2" bestFit="1" customWidth="1"/>
    <col min="2313" max="2313" width="9.625" style="2" bestFit="1" customWidth="1"/>
    <col min="2314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67" width="8" style="2" bestFit="1" customWidth="1"/>
    <col min="2568" max="2568" width="11.125" style="2" bestFit="1" customWidth="1"/>
    <col min="2569" max="2569" width="9.625" style="2" bestFit="1" customWidth="1"/>
    <col min="2570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3" width="8" style="2" bestFit="1" customWidth="1"/>
    <col min="2824" max="2824" width="11.125" style="2" bestFit="1" customWidth="1"/>
    <col min="2825" max="2825" width="9.625" style="2" bestFit="1" customWidth="1"/>
    <col min="2826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79" width="8" style="2" bestFit="1" customWidth="1"/>
    <col min="3080" max="3080" width="11.125" style="2" bestFit="1" customWidth="1"/>
    <col min="3081" max="3081" width="9.625" style="2" bestFit="1" customWidth="1"/>
    <col min="3082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5" width="8" style="2" bestFit="1" customWidth="1"/>
    <col min="3336" max="3336" width="11.125" style="2" bestFit="1" customWidth="1"/>
    <col min="3337" max="3337" width="9.625" style="2" bestFit="1" customWidth="1"/>
    <col min="3338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1" width="8" style="2" bestFit="1" customWidth="1"/>
    <col min="3592" max="3592" width="11.125" style="2" bestFit="1" customWidth="1"/>
    <col min="3593" max="3593" width="9.625" style="2" bestFit="1" customWidth="1"/>
    <col min="3594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47" width="8" style="2" bestFit="1" customWidth="1"/>
    <col min="3848" max="3848" width="11.125" style="2" bestFit="1" customWidth="1"/>
    <col min="3849" max="3849" width="9.625" style="2" bestFit="1" customWidth="1"/>
    <col min="3850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3" width="8" style="2" bestFit="1" customWidth="1"/>
    <col min="4104" max="4104" width="11.125" style="2" bestFit="1" customWidth="1"/>
    <col min="4105" max="4105" width="9.625" style="2" bestFit="1" customWidth="1"/>
    <col min="4106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59" width="8" style="2" bestFit="1" customWidth="1"/>
    <col min="4360" max="4360" width="11.125" style="2" bestFit="1" customWidth="1"/>
    <col min="4361" max="4361" width="9.625" style="2" bestFit="1" customWidth="1"/>
    <col min="4362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5" width="8" style="2" bestFit="1" customWidth="1"/>
    <col min="4616" max="4616" width="11.125" style="2" bestFit="1" customWidth="1"/>
    <col min="4617" max="4617" width="9.625" style="2" bestFit="1" customWidth="1"/>
    <col min="4618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1" width="8" style="2" bestFit="1" customWidth="1"/>
    <col min="4872" max="4872" width="11.125" style="2" bestFit="1" customWidth="1"/>
    <col min="4873" max="4873" width="9.625" style="2" bestFit="1" customWidth="1"/>
    <col min="4874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27" width="8" style="2" bestFit="1" customWidth="1"/>
    <col min="5128" max="5128" width="11.125" style="2" bestFit="1" customWidth="1"/>
    <col min="5129" max="5129" width="9.625" style="2" bestFit="1" customWidth="1"/>
    <col min="5130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3" width="8" style="2" bestFit="1" customWidth="1"/>
    <col min="5384" max="5384" width="11.125" style="2" bestFit="1" customWidth="1"/>
    <col min="5385" max="5385" width="9.625" style="2" bestFit="1" customWidth="1"/>
    <col min="5386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39" width="8" style="2" bestFit="1" customWidth="1"/>
    <col min="5640" max="5640" width="11.125" style="2" bestFit="1" customWidth="1"/>
    <col min="5641" max="5641" width="9.625" style="2" bestFit="1" customWidth="1"/>
    <col min="5642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5" width="8" style="2" bestFit="1" customWidth="1"/>
    <col min="5896" max="5896" width="11.125" style="2" bestFit="1" customWidth="1"/>
    <col min="5897" max="5897" width="9.625" style="2" bestFit="1" customWidth="1"/>
    <col min="5898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1" width="8" style="2" bestFit="1" customWidth="1"/>
    <col min="6152" max="6152" width="11.125" style="2" bestFit="1" customWidth="1"/>
    <col min="6153" max="6153" width="9.625" style="2" bestFit="1" customWidth="1"/>
    <col min="6154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07" width="8" style="2" bestFit="1" customWidth="1"/>
    <col min="6408" max="6408" width="11.125" style="2" bestFit="1" customWidth="1"/>
    <col min="6409" max="6409" width="9.625" style="2" bestFit="1" customWidth="1"/>
    <col min="6410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3" width="8" style="2" bestFit="1" customWidth="1"/>
    <col min="6664" max="6664" width="11.125" style="2" bestFit="1" customWidth="1"/>
    <col min="6665" max="6665" width="9.625" style="2" bestFit="1" customWidth="1"/>
    <col min="6666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19" width="8" style="2" bestFit="1" customWidth="1"/>
    <col min="6920" max="6920" width="11.125" style="2" bestFit="1" customWidth="1"/>
    <col min="6921" max="6921" width="9.625" style="2" bestFit="1" customWidth="1"/>
    <col min="6922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5" width="8" style="2" bestFit="1" customWidth="1"/>
    <col min="7176" max="7176" width="11.125" style="2" bestFit="1" customWidth="1"/>
    <col min="7177" max="7177" width="9.625" style="2" bestFit="1" customWidth="1"/>
    <col min="7178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1" width="8" style="2" bestFit="1" customWidth="1"/>
    <col min="7432" max="7432" width="11.125" style="2" bestFit="1" customWidth="1"/>
    <col min="7433" max="7433" width="9.625" style="2" bestFit="1" customWidth="1"/>
    <col min="7434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87" width="8" style="2" bestFit="1" customWidth="1"/>
    <col min="7688" max="7688" width="11.125" style="2" bestFit="1" customWidth="1"/>
    <col min="7689" max="7689" width="9.625" style="2" bestFit="1" customWidth="1"/>
    <col min="7690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3" width="8" style="2" bestFit="1" customWidth="1"/>
    <col min="7944" max="7944" width="11.125" style="2" bestFit="1" customWidth="1"/>
    <col min="7945" max="7945" width="9.625" style="2" bestFit="1" customWidth="1"/>
    <col min="7946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199" width="8" style="2" bestFit="1" customWidth="1"/>
    <col min="8200" max="8200" width="11.125" style="2" bestFit="1" customWidth="1"/>
    <col min="8201" max="8201" width="9.625" style="2" bestFit="1" customWidth="1"/>
    <col min="8202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5" width="8" style="2" bestFit="1" customWidth="1"/>
    <col min="8456" max="8456" width="11.125" style="2" bestFit="1" customWidth="1"/>
    <col min="8457" max="8457" width="9.625" style="2" bestFit="1" customWidth="1"/>
    <col min="8458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1" width="8" style="2" bestFit="1" customWidth="1"/>
    <col min="8712" max="8712" width="11.125" style="2" bestFit="1" customWidth="1"/>
    <col min="8713" max="8713" width="9.625" style="2" bestFit="1" customWidth="1"/>
    <col min="8714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67" width="8" style="2" bestFit="1" customWidth="1"/>
    <col min="8968" max="8968" width="11.125" style="2" bestFit="1" customWidth="1"/>
    <col min="8969" max="8969" width="9.625" style="2" bestFit="1" customWidth="1"/>
    <col min="8970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3" width="8" style="2" bestFit="1" customWidth="1"/>
    <col min="9224" max="9224" width="11.125" style="2" bestFit="1" customWidth="1"/>
    <col min="9225" max="9225" width="9.625" style="2" bestFit="1" customWidth="1"/>
    <col min="9226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79" width="8" style="2" bestFit="1" customWidth="1"/>
    <col min="9480" max="9480" width="11.125" style="2" bestFit="1" customWidth="1"/>
    <col min="9481" max="9481" width="9.625" style="2" bestFit="1" customWidth="1"/>
    <col min="9482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5" width="8" style="2" bestFit="1" customWidth="1"/>
    <col min="9736" max="9736" width="11.125" style="2" bestFit="1" customWidth="1"/>
    <col min="9737" max="9737" width="9.625" style="2" bestFit="1" customWidth="1"/>
    <col min="9738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1" width="8" style="2" bestFit="1" customWidth="1"/>
    <col min="9992" max="9992" width="11.125" style="2" bestFit="1" customWidth="1"/>
    <col min="9993" max="9993" width="9.625" style="2" bestFit="1" customWidth="1"/>
    <col min="9994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47" width="8" style="2" bestFit="1" customWidth="1"/>
    <col min="10248" max="10248" width="11.125" style="2" bestFit="1" customWidth="1"/>
    <col min="10249" max="10249" width="9.625" style="2" bestFit="1" customWidth="1"/>
    <col min="10250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3" width="8" style="2" bestFit="1" customWidth="1"/>
    <col min="10504" max="10504" width="11.125" style="2" bestFit="1" customWidth="1"/>
    <col min="10505" max="10505" width="9.625" style="2" bestFit="1" customWidth="1"/>
    <col min="10506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59" width="8" style="2" bestFit="1" customWidth="1"/>
    <col min="10760" max="10760" width="11.125" style="2" bestFit="1" customWidth="1"/>
    <col min="10761" max="10761" width="9.625" style="2" bestFit="1" customWidth="1"/>
    <col min="10762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5" width="8" style="2" bestFit="1" customWidth="1"/>
    <col min="11016" max="11016" width="11.125" style="2" bestFit="1" customWidth="1"/>
    <col min="11017" max="11017" width="9.625" style="2" bestFit="1" customWidth="1"/>
    <col min="11018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1" width="8" style="2" bestFit="1" customWidth="1"/>
    <col min="11272" max="11272" width="11.125" style="2" bestFit="1" customWidth="1"/>
    <col min="11273" max="11273" width="9.625" style="2" bestFit="1" customWidth="1"/>
    <col min="11274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27" width="8" style="2" bestFit="1" customWidth="1"/>
    <col min="11528" max="11528" width="11.125" style="2" bestFit="1" customWidth="1"/>
    <col min="11529" max="11529" width="9.625" style="2" bestFit="1" customWidth="1"/>
    <col min="11530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3" width="8" style="2" bestFit="1" customWidth="1"/>
    <col min="11784" max="11784" width="11.125" style="2" bestFit="1" customWidth="1"/>
    <col min="11785" max="11785" width="9.625" style="2" bestFit="1" customWidth="1"/>
    <col min="11786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39" width="8" style="2" bestFit="1" customWidth="1"/>
    <col min="12040" max="12040" width="11.125" style="2" bestFit="1" customWidth="1"/>
    <col min="12041" max="12041" width="9.625" style="2" bestFit="1" customWidth="1"/>
    <col min="12042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5" width="8" style="2" bestFit="1" customWidth="1"/>
    <col min="12296" max="12296" width="11.125" style="2" bestFit="1" customWidth="1"/>
    <col min="12297" max="12297" width="9.625" style="2" bestFit="1" customWidth="1"/>
    <col min="12298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1" width="8" style="2" bestFit="1" customWidth="1"/>
    <col min="12552" max="12552" width="11.125" style="2" bestFit="1" customWidth="1"/>
    <col min="12553" max="12553" width="9.625" style="2" bestFit="1" customWidth="1"/>
    <col min="12554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07" width="8" style="2" bestFit="1" customWidth="1"/>
    <col min="12808" max="12808" width="11.125" style="2" bestFit="1" customWidth="1"/>
    <col min="12809" max="12809" width="9.625" style="2" bestFit="1" customWidth="1"/>
    <col min="12810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3" width="8" style="2" bestFit="1" customWidth="1"/>
    <col min="13064" max="13064" width="11.125" style="2" bestFit="1" customWidth="1"/>
    <col min="13065" max="13065" width="9.625" style="2" bestFit="1" customWidth="1"/>
    <col min="13066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19" width="8" style="2" bestFit="1" customWidth="1"/>
    <col min="13320" max="13320" width="11.125" style="2" bestFit="1" customWidth="1"/>
    <col min="13321" max="13321" width="9.625" style="2" bestFit="1" customWidth="1"/>
    <col min="13322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5" width="8" style="2" bestFit="1" customWidth="1"/>
    <col min="13576" max="13576" width="11.125" style="2" bestFit="1" customWidth="1"/>
    <col min="13577" max="13577" width="9.625" style="2" bestFit="1" customWidth="1"/>
    <col min="13578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1" width="8" style="2" bestFit="1" customWidth="1"/>
    <col min="13832" max="13832" width="11.125" style="2" bestFit="1" customWidth="1"/>
    <col min="13833" max="13833" width="9.625" style="2" bestFit="1" customWidth="1"/>
    <col min="13834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87" width="8" style="2" bestFit="1" customWidth="1"/>
    <col min="14088" max="14088" width="11.125" style="2" bestFit="1" customWidth="1"/>
    <col min="14089" max="14089" width="9.625" style="2" bestFit="1" customWidth="1"/>
    <col min="14090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3" width="8" style="2" bestFit="1" customWidth="1"/>
    <col min="14344" max="14344" width="11.125" style="2" bestFit="1" customWidth="1"/>
    <col min="14345" max="14345" width="9.625" style="2" bestFit="1" customWidth="1"/>
    <col min="14346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599" width="8" style="2" bestFit="1" customWidth="1"/>
    <col min="14600" max="14600" width="11.125" style="2" bestFit="1" customWidth="1"/>
    <col min="14601" max="14601" width="9.625" style="2" bestFit="1" customWidth="1"/>
    <col min="14602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5" width="8" style="2" bestFit="1" customWidth="1"/>
    <col min="14856" max="14856" width="11.125" style="2" bestFit="1" customWidth="1"/>
    <col min="14857" max="14857" width="9.625" style="2" bestFit="1" customWidth="1"/>
    <col min="14858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1" width="8" style="2" bestFit="1" customWidth="1"/>
    <col min="15112" max="15112" width="11.125" style="2" bestFit="1" customWidth="1"/>
    <col min="15113" max="15113" width="9.625" style="2" bestFit="1" customWidth="1"/>
    <col min="15114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67" width="8" style="2" bestFit="1" customWidth="1"/>
    <col min="15368" max="15368" width="11.125" style="2" bestFit="1" customWidth="1"/>
    <col min="15369" max="15369" width="9.625" style="2" bestFit="1" customWidth="1"/>
    <col min="15370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3" width="8" style="2" bestFit="1" customWidth="1"/>
    <col min="15624" max="15624" width="11.125" style="2" bestFit="1" customWidth="1"/>
    <col min="15625" max="15625" width="9.625" style="2" bestFit="1" customWidth="1"/>
    <col min="15626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79" width="8" style="2" bestFit="1" customWidth="1"/>
    <col min="15880" max="15880" width="11.125" style="2" bestFit="1" customWidth="1"/>
    <col min="15881" max="15881" width="9.625" style="2" bestFit="1" customWidth="1"/>
    <col min="15882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5" width="8" style="2" bestFit="1" customWidth="1"/>
    <col min="16136" max="16136" width="11.125" style="2" bestFit="1" customWidth="1"/>
    <col min="16137" max="16137" width="9.625" style="2" bestFit="1" customWidth="1"/>
    <col min="16138" max="16384" width="9" style="2"/>
  </cols>
  <sheetData>
    <row r="1" spans="1:11">
      <c r="A1" s="1" t="s">
        <v>0</v>
      </c>
    </row>
    <row r="2" spans="1:11" ht="19.5" thickBot="1">
      <c r="A2" s="1" t="s">
        <v>56</v>
      </c>
    </row>
    <row r="3" spans="1:11">
      <c r="B3" s="14"/>
      <c r="C3" s="36" t="s">
        <v>4</v>
      </c>
      <c r="D3" s="4" t="s">
        <v>7</v>
      </c>
      <c r="E3" s="61" t="s">
        <v>57</v>
      </c>
      <c r="F3" s="35" t="s">
        <v>2</v>
      </c>
      <c r="G3" s="36" t="s">
        <v>3</v>
      </c>
      <c r="H3" s="36" t="s">
        <v>5</v>
      </c>
      <c r="I3" s="63" t="s">
        <v>6</v>
      </c>
      <c r="J3" s="61" t="s">
        <v>57</v>
      </c>
      <c r="K3" s="76" t="s">
        <v>15</v>
      </c>
    </row>
    <row r="4" spans="1:11" ht="19.5" thickBot="1">
      <c r="B4" s="5" t="s">
        <v>8</v>
      </c>
      <c r="C4" s="38" t="s">
        <v>11</v>
      </c>
      <c r="D4" s="3" t="s">
        <v>14</v>
      </c>
      <c r="E4" s="62" t="s">
        <v>58</v>
      </c>
      <c r="F4" s="37" t="s">
        <v>9</v>
      </c>
      <c r="G4" s="38" t="s">
        <v>10</v>
      </c>
      <c r="H4" s="38" t="s">
        <v>12</v>
      </c>
      <c r="I4" s="64" t="s">
        <v>13</v>
      </c>
      <c r="J4" s="62" t="s">
        <v>59</v>
      </c>
      <c r="K4" s="5" t="s">
        <v>60</v>
      </c>
    </row>
    <row r="5" spans="1:11">
      <c r="A5" s="1" t="s">
        <v>1</v>
      </c>
      <c r="B5" s="22" t="s">
        <v>16</v>
      </c>
      <c r="C5" s="40">
        <v>16</v>
      </c>
      <c r="D5" s="23">
        <v>7</v>
      </c>
      <c r="E5" s="24">
        <f>SUM(C5:D5)</f>
        <v>23</v>
      </c>
      <c r="F5" s="39">
        <v>17</v>
      </c>
      <c r="G5" s="40">
        <v>18</v>
      </c>
      <c r="H5" s="40">
        <v>19</v>
      </c>
      <c r="I5" s="65">
        <v>20</v>
      </c>
      <c r="J5" s="24">
        <f>SUM(F5:I5)</f>
        <v>74</v>
      </c>
      <c r="K5" s="24">
        <f>SUM(J5,E5)</f>
        <v>97</v>
      </c>
    </row>
    <row r="6" spans="1:11">
      <c r="A6" s="1" t="s">
        <v>1</v>
      </c>
      <c r="B6" s="25" t="s">
        <v>17</v>
      </c>
      <c r="C6" s="42">
        <v>7.5</v>
      </c>
      <c r="D6" s="26">
        <v>0</v>
      </c>
      <c r="E6" s="27">
        <f t="shared" ref="E6:E44" si="0">SUM(C6:D6)</f>
        <v>7.5</v>
      </c>
      <c r="F6" s="41">
        <v>0</v>
      </c>
      <c r="G6" s="42">
        <v>1</v>
      </c>
      <c r="H6" s="42">
        <v>0</v>
      </c>
      <c r="I6" s="66">
        <v>0</v>
      </c>
      <c r="J6" s="27">
        <f t="shared" ref="J6:J44" si="1">SUM(F6:I6)</f>
        <v>1</v>
      </c>
      <c r="K6" s="27">
        <f t="shared" ref="K6:K44" si="2">SUM(J6,E6)</f>
        <v>8.5</v>
      </c>
    </row>
    <row r="7" spans="1:11">
      <c r="A7" s="1" t="s">
        <v>1</v>
      </c>
      <c r="B7" s="25" t="s">
        <v>18</v>
      </c>
      <c r="C7" s="42">
        <v>7.5</v>
      </c>
      <c r="D7" s="26">
        <v>1</v>
      </c>
      <c r="E7" s="27">
        <f t="shared" si="0"/>
        <v>8.5</v>
      </c>
      <c r="F7" s="41">
        <v>6</v>
      </c>
      <c r="G7" s="42">
        <v>5</v>
      </c>
      <c r="H7" s="42">
        <v>4</v>
      </c>
      <c r="I7" s="66">
        <v>3</v>
      </c>
      <c r="J7" s="27">
        <f t="shared" si="1"/>
        <v>18</v>
      </c>
      <c r="K7" s="27">
        <f t="shared" si="2"/>
        <v>26.5</v>
      </c>
    </row>
    <row r="8" spans="1:11">
      <c r="A8" s="1" t="s">
        <v>1</v>
      </c>
      <c r="B8" s="25" t="s">
        <v>19</v>
      </c>
      <c r="C8" s="44">
        <v>0</v>
      </c>
      <c r="D8" s="28">
        <v>1.5</v>
      </c>
      <c r="E8" s="29">
        <f t="shared" si="0"/>
        <v>1.5</v>
      </c>
      <c r="F8" s="43">
        <v>0</v>
      </c>
      <c r="G8" s="44">
        <v>0</v>
      </c>
      <c r="H8" s="44">
        <v>0</v>
      </c>
      <c r="I8" s="67">
        <v>0</v>
      </c>
      <c r="J8" s="29">
        <f t="shared" si="1"/>
        <v>0</v>
      </c>
      <c r="K8" s="29">
        <f t="shared" si="2"/>
        <v>1.5</v>
      </c>
    </row>
    <row r="9" spans="1:11">
      <c r="A9" s="1" t="s">
        <v>1</v>
      </c>
      <c r="B9" s="25" t="s">
        <v>20</v>
      </c>
      <c r="C9" s="44">
        <v>0</v>
      </c>
      <c r="D9" s="28">
        <v>0</v>
      </c>
      <c r="E9" s="29">
        <f t="shared" si="0"/>
        <v>0</v>
      </c>
      <c r="F9" s="43">
        <v>1.4583333333333333</v>
      </c>
      <c r="G9" s="44">
        <v>2.0833333333333335</v>
      </c>
      <c r="H9" s="44">
        <v>1.7916666666666665</v>
      </c>
      <c r="I9" s="67">
        <v>1.625</v>
      </c>
      <c r="J9" s="29">
        <f t="shared" si="1"/>
        <v>6.9583333333333339</v>
      </c>
      <c r="K9" s="29">
        <f t="shared" si="2"/>
        <v>6.9583333333333339</v>
      </c>
    </row>
    <row r="10" spans="1:11">
      <c r="A10" s="1" t="s">
        <v>1</v>
      </c>
      <c r="B10" s="25" t="s">
        <v>21</v>
      </c>
      <c r="C10" s="44">
        <v>0</v>
      </c>
      <c r="D10" s="28">
        <v>0</v>
      </c>
      <c r="E10" s="29">
        <f t="shared" si="0"/>
        <v>0</v>
      </c>
      <c r="F10" s="43">
        <v>0</v>
      </c>
      <c r="G10" s="44">
        <v>0.25</v>
      </c>
      <c r="H10" s="44">
        <v>0</v>
      </c>
      <c r="I10" s="67">
        <v>0</v>
      </c>
      <c r="J10" s="29">
        <f t="shared" si="1"/>
        <v>0.25</v>
      </c>
      <c r="K10" s="29">
        <f t="shared" si="2"/>
        <v>0.25</v>
      </c>
    </row>
    <row r="11" spans="1:11">
      <c r="A11" s="1" t="s">
        <v>1</v>
      </c>
      <c r="B11" s="25" t="s">
        <v>22</v>
      </c>
      <c r="C11" s="44">
        <v>0</v>
      </c>
      <c r="D11" s="28">
        <v>0.20833333333333334</v>
      </c>
      <c r="E11" s="29">
        <f t="shared" si="0"/>
        <v>0.20833333333333334</v>
      </c>
      <c r="F11" s="43">
        <v>0</v>
      </c>
      <c r="G11" s="44">
        <v>0</v>
      </c>
      <c r="H11" s="44">
        <v>0</v>
      </c>
      <c r="I11" s="67">
        <v>0</v>
      </c>
      <c r="J11" s="29">
        <f t="shared" si="1"/>
        <v>0</v>
      </c>
      <c r="K11" s="29">
        <f t="shared" si="2"/>
        <v>0.20833333333333334</v>
      </c>
    </row>
    <row r="12" spans="1:11">
      <c r="A12" s="1" t="s">
        <v>1</v>
      </c>
      <c r="B12" s="6" t="s">
        <v>23</v>
      </c>
      <c r="C12" s="46">
        <v>0</v>
      </c>
      <c r="D12" s="7">
        <v>0</v>
      </c>
      <c r="E12" s="8">
        <f t="shared" si="0"/>
        <v>0</v>
      </c>
      <c r="F12" s="45">
        <v>0.375</v>
      </c>
      <c r="G12" s="46">
        <v>0.16666666666666666</v>
      </c>
      <c r="H12" s="46">
        <v>0.25</v>
      </c>
      <c r="I12" s="68">
        <v>4.1666666666666664E-2</v>
      </c>
      <c r="J12" s="8">
        <f t="shared" si="1"/>
        <v>0.83333333333333326</v>
      </c>
      <c r="K12" s="8">
        <f t="shared" si="2"/>
        <v>0.83333333333333326</v>
      </c>
    </row>
    <row r="13" spans="1:11">
      <c r="A13" s="1" t="s">
        <v>1</v>
      </c>
      <c r="B13" s="15" t="s">
        <v>24</v>
      </c>
      <c r="C13" s="48">
        <v>30.5</v>
      </c>
      <c r="D13" s="16">
        <v>2</v>
      </c>
      <c r="E13" s="17"/>
      <c r="F13" s="47">
        <v>24</v>
      </c>
      <c r="G13" s="48">
        <v>32</v>
      </c>
      <c r="H13" s="48">
        <v>8</v>
      </c>
      <c r="I13" s="69">
        <v>9</v>
      </c>
      <c r="J13" s="17"/>
      <c r="K13" s="17"/>
    </row>
    <row r="14" spans="1:11">
      <c r="A14" s="1" t="s">
        <v>1</v>
      </c>
      <c r="B14" s="30" t="s">
        <v>25</v>
      </c>
      <c r="C14" s="50">
        <v>365000</v>
      </c>
      <c r="D14" s="31">
        <v>0</v>
      </c>
      <c r="E14" s="32">
        <f t="shared" si="0"/>
        <v>365000</v>
      </c>
      <c r="F14" s="49">
        <v>182000</v>
      </c>
      <c r="G14" s="50">
        <v>187000</v>
      </c>
      <c r="H14" s="50">
        <v>170000</v>
      </c>
      <c r="I14" s="70">
        <v>187000</v>
      </c>
      <c r="J14" s="32">
        <f t="shared" si="1"/>
        <v>726000</v>
      </c>
      <c r="K14" s="32">
        <f t="shared" si="2"/>
        <v>1091000</v>
      </c>
    </row>
    <row r="15" spans="1:11">
      <c r="A15" s="1" t="s">
        <v>1</v>
      </c>
      <c r="B15" s="25" t="s">
        <v>26</v>
      </c>
      <c r="C15" s="52">
        <v>0</v>
      </c>
      <c r="D15" s="33">
        <v>0</v>
      </c>
      <c r="E15" s="34">
        <f t="shared" si="0"/>
        <v>0</v>
      </c>
      <c r="F15" s="51">
        <v>5000</v>
      </c>
      <c r="G15" s="52">
        <v>0</v>
      </c>
      <c r="H15" s="52">
        <v>0</v>
      </c>
      <c r="I15" s="71">
        <v>0</v>
      </c>
      <c r="J15" s="34">
        <f t="shared" si="1"/>
        <v>5000</v>
      </c>
      <c r="K15" s="34">
        <f t="shared" si="2"/>
        <v>5000</v>
      </c>
    </row>
    <row r="16" spans="1:11">
      <c r="A16" s="1" t="s">
        <v>1</v>
      </c>
      <c r="B16" s="25" t="s">
        <v>27</v>
      </c>
      <c r="C16" s="52">
        <v>0</v>
      </c>
      <c r="D16" s="33">
        <v>0</v>
      </c>
      <c r="E16" s="34">
        <f t="shared" si="0"/>
        <v>0</v>
      </c>
      <c r="F16" s="51">
        <v>3000</v>
      </c>
      <c r="G16" s="52">
        <v>3000</v>
      </c>
      <c r="H16" s="52">
        <v>0</v>
      </c>
      <c r="I16" s="71">
        <v>15000</v>
      </c>
      <c r="J16" s="34">
        <f t="shared" si="1"/>
        <v>21000</v>
      </c>
      <c r="K16" s="34">
        <f t="shared" si="2"/>
        <v>21000</v>
      </c>
    </row>
    <row r="17" spans="1:11">
      <c r="A17" s="1" t="s">
        <v>1</v>
      </c>
      <c r="B17" s="25" t="s">
        <v>28</v>
      </c>
      <c r="C17" s="52">
        <v>50000</v>
      </c>
      <c r="D17" s="33">
        <v>0</v>
      </c>
      <c r="E17" s="34">
        <f t="shared" si="0"/>
        <v>50000</v>
      </c>
      <c r="F17" s="51">
        <v>50000</v>
      </c>
      <c r="G17" s="52">
        <v>50000</v>
      </c>
      <c r="H17" s="52">
        <v>50000</v>
      </c>
      <c r="I17" s="71">
        <v>50000</v>
      </c>
      <c r="J17" s="34">
        <f t="shared" si="1"/>
        <v>200000</v>
      </c>
      <c r="K17" s="34">
        <f t="shared" si="2"/>
        <v>250000</v>
      </c>
    </row>
    <row r="18" spans="1:11">
      <c r="A18" s="1" t="s">
        <v>1</v>
      </c>
      <c r="B18" s="25" t="s">
        <v>29</v>
      </c>
      <c r="C18" s="52">
        <v>0</v>
      </c>
      <c r="D18" s="33">
        <v>0</v>
      </c>
      <c r="E18" s="34">
        <f t="shared" si="0"/>
        <v>0</v>
      </c>
      <c r="F18" s="51">
        <v>0</v>
      </c>
      <c r="G18" s="52">
        <v>0</v>
      </c>
      <c r="H18" s="52">
        <v>0</v>
      </c>
      <c r="I18" s="71">
        <v>65474</v>
      </c>
      <c r="J18" s="34">
        <f t="shared" si="1"/>
        <v>65474</v>
      </c>
      <c r="K18" s="34">
        <f t="shared" si="2"/>
        <v>65474</v>
      </c>
    </row>
    <row r="19" spans="1:11">
      <c r="A19" s="1" t="s">
        <v>1</v>
      </c>
      <c r="B19" s="25" t="s">
        <v>30</v>
      </c>
      <c r="C19" s="52">
        <v>0</v>
      </c>
      <c r="D19" s="33">
        <v>40320</v>
      </c>
      <c r="E19" s="34">
        <f t="shared" si="0"/>
        <v>40320</v>
      </c>
      <c r="F19" s="51">
        <v>0</v>
      </c>
      <c r="G19" s="52">
        <v>0</v>
      </c>
      <c r="H19" s="52">
        <v>0</v>
      </c>
      <c r="I19" s="71">
        <v>0</v>
      </c>
      <c r="J19" s="34">
        <f t="shared" si="1"/>
        <v>0</v>
      </c>
      <c r="K19" s="34">
        <f t="shared" si="2"/>
        <v>40320</v>
      </c>
    </row>
    <row r="20" spans="1:11">
      <c r="A20" s="1" t="s">
        <v>1</v>
      </c>
      <c r="B20" s="25" t="s">
        <v>31</v>
      </c>
      <c r="C20" s="52">
        <v>0</v>
      </c>
      <c r="D20" s="33">
        <v>0</v>
      </c>
      <c r="E20" s="34">
        <f t="shared" si="0"/>
        <v>0</v>
      </c>
      <c r="F20" s="51">
        <v>3500</v>
      </c>
      <c r="G20" s="52">
        <v>3500</v>
      </c>
      <c r="H20" s="52">
        <v>0</v>
      </c>
      <c r="I20" s="71">
        <v>0</v>
      </c>
      <c r="J20" s="34">
        <f t="shared" si="1"/>
        <v>7000</v>
      </c>
      <c r="K20" s="34">
        <f t="shared" si="2"/>
        <v>7000</v>
      </c>
    </row>
    <row r="21" spans="1:11">
      <c r="A21" s="1" t="s">
        <v>1</v>
      </c>
      <c r="B21" s="25" t="s">
        <v>32</v>
      </c>
      <c r="C21" s="52">
        <v>0</v>
      </c>
      <c r="D21" s="33">
        <v>5600</v>
      </c>
      <c r="E21" s="34">
        <f t="shared" si="0"/>
        <v>5600</v>
      </c>
      <c r="F21" s="51">
        <v>0</v>
      </c>
      <c r="G21" s="52">
        <v>0</v>
      </c>
      <c r="H21" s="52">
        <v>0</v>
      </c>
      <c r="I21" s="71">
        <v>0</v>
      </c>
      <c r="J21" s="34">
        <f t="shared" si="1"/>
        <v>0</v>
      </c>
      <c r="K21" s="34">
        <f t="shared" si="2"/>
        <v>5600</v>
      </c>
    </row>
    <row r="22" spans="1:11">
      <c r="A22" s="1" t="s">
        <v>1</v>
      </c>
      <c r="B22" s="25" t="s">
        <v>33</v>
      </c>
      <c r="C22" s="52">
        <v>0</v>
      </c>
      <c r="D22" s="33">
        <v>0</v>
      </c>
      <c r="E22" s="34">
        <f t="shared" si="0"/>
        <v>0</v>
      </c>
      <c r="F22" s="51">
        <v>0</v>
      </c>
      <c r="G22" s="52">
        <v>13000</v>
      </c>
      <c r="H22" s="52">
        <v>0</v>
      </c>
      <c r="I22" s="71">
        <v>13000</v>
      </c>
      <c r="J22" s="34">
        <f t="shared" si="1"/>
        <v>26000</v>
      </c>
      <c r="K22" s="34">
        <f t="shared" si="2"/>
        <v>26000</v>
      </c>
    </row>
    <row r="23" spans="1:11">
      <c r="A23" s="1" t="s">
        <v>1</v>
      </c>
      <c r="B23" s="25" t="s">
        <v>20</v>
      </c>
      <c r="C23" s="52">
        <v>0</v>
      </c>
      <c r="D23" s="33">
        <v>0</v>
      </c>
      <c r="E23" s="34">
        <f t="shared" si="0"/>
        <v>0</v>
      </c>
      <c r="F23" s="51">
        <v>63805</v>
      </c>
      <c r="G23" s="52">
        <v>96000</v>
      </c>
      <c r="H23" s="52">
        <v>70778</v>
      </c>
      <c r="I23" s="71">
        <v>77376</v>
      </c>
      <c r="J23" s="34">
        <f t="shared" si="1"/>
        <v>307959</v>
      </c>
      <c r="K23" s="34">
        <f t="shared" si="2"/>
        <v>307959</v>
      </c>
    </row>
    <row r="24" spans="1:11">
      <c r="A24" s="1" t="s">
        <v>1</v>
      </c>
      <c r="B24" s="25" t="s">
        <v>34</v>
      </c>
      <c r="C24" s="52">
        <v>0</v>
      </c>
      <c r="D24" s="33">
        <v>0</v>
      </c>
      <c r="E24" s="34">
        <f t="shared" si="0"/>
        <v>0</v>
      </c>
      <c r="F24" s="51">
        <v>0</v>
      </c>
      <c r="G24" s="52">
        <v>12444</v>
      </c>
      <c r="H24" s="52">
        <v>0</v>
      </c>
      <c r="I24" s="71">
        <v>0</v>
      </c>
      <c r="J24" s="34">
        <f t="shared" si="1"/>
        <v>12444</v>
      </c>
      <c r="K24" s="34">
        <f t="shared" si="2"/>
        <v>12444</v>
      </c>
    </row>
    <row r="25" spans="1:11">
      <c r="A25" s="1" t="s">
        <v>1</v>
      </c>
      <c r="B25" s="6" t="s">
        <v>23</v>
      </c>
      <c r="C25" s="54">
        <v>0</v>
      </c>
      <c r="D25" s="9">
        <v>0</v>
      </c>
      <c r="E25" s="10">
        <f t="shared" si="0"/>
        <v>0</v>
      </c>
      <c r="F25" s="53">
        <v>3285</v>
      </c>
      <c r="G25" s="54">
        <v>1536</v>
      </c>
      <c r="H25" s="54">
        <v>1974</v>
      </c>
      <c r="I25" s="72">
        <v>397</v>
      </c>
      <c r="J25" s="10">
        <f t="shared" si="1"/>
        <v>7192</v>
      </c>
      <c r="K25" s="10">
        <f t="shared" si="2"/>
        <v>7192</v>
      </c>
    </row>
    <row r="26" spans="1:11">
      <c r="A26" s="1" t="s">
        <v>1</v>
      </c>
      <c r="B26" s="15" t="s">
        <v>35</v>
      </c>
      <c r="C26" s="56">
        <v>415000</v>
      </c>
      <c r="D26" s="18">
        <v>45920</v>
      </c>
      <c r="E26" s="19">
        <f t="shared" si="0"/>
        <v>460920</v>
      </c>
      <c r="F26" s="55">
        <v>310590</v>
      </c>
      <c r="G26" s="56">
        <v>366480</v>
      </c>
      <c r="H26" s="56">
        <v>292752</v>
      </c>
      <c r="I26" s="73">
        <v>408247</v>
      </c>
      <c r="J26" s="19">
        <f t="shared" si="1"/>
        <v>1378069</v>
      </c>
      <c r="K26" s="19">
        <f t="shared" si="2"/>
        <v>1838989</v>
      </c>
    </row>
    <row r="27" spans="1:11">
      <c r="A27" s="1" t="s">
        <v>1</v>
      </c>
      <c r="B27" s="30" t="s">
        <v>36</v>
      </c>
      <c r="C27" s="50">
        <v>7825</v>
      </c>
      <c r="D27" s="31">
        <v>0</v>
      </c>
      <c r="E27" s="32">
        <f t="shared" si="0"/>
        <v>7825</v>
      </c>
      <c r="F27" s="49">
        <v>0</v>
      </c>
      <c r="G27" s="50">
        <v>1313</v>
      </c>
      <c r="H27" s="50">
        <v>8803</v>
      </c>
      <c r="I27" s="70">
        <v>7825</v>
      </c>
      <c r="J27" s="32">
        <f t="shared" si="1"/>
        <v>17941</v>
      </c>
      <c r="K27" s="32">
        <f t="shared" si="2"/>
        <v>25766</v>
      </c>
    </row>
    <row r="28" spans="1:11">
      <c r="A28" s="1" t="s">
        <v>1</v>
      </c>
      <c r="B28" s="6" t="s">
        <v>37</v>
      </c>
      <c r="C28" s="54">
        <v>7825</v>
      </c>
      <c r="D28" s="9">
        <v>0</v>
      </c>
      <c r="E28" s="10">
        <f t="shared" si="0"/>
        <v>7825</v>
      </c>
      <c r="F28" s="53">
        <v>0</v>
      </c>
      <c r="G28" s="54">
        <v>1313</v>
      </c>
      <c r="H28" s="54">
        <v>8803</v>
      </c>
      <c r="I28" s="72">
        <v>7825</v>
      </c>
      <c r="J28" s="10">
        <f t="shared" si="1"/>
        <v>17941</v>
      </c>
      <c r="K28" s="10">
        <f t="shared" si="2"/>
        <v>25766</v>
      </c>
    </row>
    <row r="29" spans="1:11">
      <c r="A29" s="1" t="s">
        <v>1</v>
      </c>
      <c r="B29" s="15" t="s">
        <v>38</v>
      </c>
      <c r="C29" s="56">
        <v>422825</v>
      </c>
      <c r="D29" s="18">
        <v>45920</v>
      </c>
      <c r="E29" s="19">
        <f t="shared" si="0"/>
        <v>468745</v>
      </c>
      <c r="F29" s="55">
        <v>310590</v>
      </c>
      <c r="G29" s="56">
        <v>367793</v>
      </c>
      <c r="H29" s="56">
        <v>301555</v>
      </c>
      <c r="I29" s="73">
        <v>416072</v>
      </c>
      <c r="J29" s="19">
        <f t="shared" si="1"/>
        <v>1396010</v>
      </c>
      <c r="K29" s="19">
        <f t="shared" si="2"/>
        <v>1864755</v>
      </c>
    </row>
    <row r="30" spans="1:11">
      <c r="A30" s="1" t="s">
        <v>1</v>
      </c>
      <c r="B30" s="30" t="s">
        <v>39</v>
      </c>
      <c r="C30" s="50">
        <v>20910</v>
      </c>
      <c r="D30" s="31">
        <v>0</v>
      </c>
      <c r="E30" s="32">
        <f t="shared" si="0"/>
        <v>20910</v>
      </c>
      <c r="F30" s="49">
        <v>18360</v>
      </c>
      <c r="G30" s="50">
        <v>20910</v>
      </c>
      <c r="H30" s="50">
        <v>15300</v>
      </c>
      <c r="I30" s="70">
        <v>19380</v>
      </c>
      <c r="J30" s="32">
        <f t="shared" si="1"/>
        <v>73950</v>
      </c>
      <c r="K30" s="32">
        <f t="shared" si="2"/>
        <v>94860</v>
      </c>
    </row>
    <row r="31" spans="1:11">
      <c r="A31" s="1" t="s">
        <v>1</v>
      </c>
      <c r="B31" s="25" t="s">
        <v>40</v>
      </c>
      <c r="C31" s="52">
        <v>3690</v>
      </c>
      <c r="D31" s="33">
        <v>0</v>
      </c>
      <c r="E31" s="34">
        <f t="shared" si="0"/>
        <v>3690</v>
      </c>
      <c r="F31" s="51">
        <v>0</v>
      </c>
      <c r="G31" s="52">
        <v>3690</v>
      </c>
      <c r="H31" s="52">
        <v>2700</v>
      </c>
      <c r="I31" s="71">
        <v>3420</v>
      </c>
      <c r="J31" s="34">
        <f t="shared" si="1"/>
        <v>9810</v>
      </c>
      <c r="K31" s="34">
        <f t="shared" si="2"/>
        <v>13500</v>
      </c>
    </row>
    <row r="32" spans="1:11">
      <c r="A32" s="1" t="s">
        <v>1</v>
      </c>
      <c r="B32" s="25" t="s">
        <v>41</v>
      </c>
      <c r="C32" s="52">
        <v>37515</v>
      </c>
      <c r="D32" s="33">
        <v>0</v>
      </c>
      <c r="E32" s="34">
        <f t="shared" si="0"/>
        <v>37515</v>
      </c>
      <c r="F32" s="51">
        <v>32940</v>
      </c>
      <c r="G32" s="52">
        <v>37515</v>
      </c>
      <c r="H32" s="52">
        <v>27450</v>
      </c>
      <c r="I32" s="71">
        <v>34770</v>
      </c>
      <c r="J32" s="34">
        <f t="shared" si="1"/>
        <v>132675</v>
      </c>
      <c r="K32" s="34">
        <f t="shared" si="2"/>
        <v>170190</v>
      </c>
    </row>
    <row r="33" spans="1:11">
      <c r="A33" s="1" t="s">
        <v>1</v>
      </c>
      <c r="B33" s="6" t="s">
        <v>42</v>
      </c>
      <c r="C33" s="54">
        <v>2537</v>
      </c>
      <c r="D33" s="9">
        <v>0</v>
      </c>
      <c r="E33" s="10">
        <f t="shared" si="0"/>
        <v>2537</v>
      </c>
      <c r="F33" s="53">
        <v>1864</v>
      </c>
      <c r="G33" s="54">
        <v>2207</v>
      </c>
      <c r="H33" s="54">
        <v>1809</v>
      </c>
      <c r="I33" s="72">
        <v>2496</v>
      </c>
      <c r="J33" s="10">
        <f t="shared" si="1"/>
        <v>8376</v>
      </c>
      <c r="K33" s="10">
        <f t="shared" si="2"/>
        <v>10913</v>
      </c>
    </row>
    <row r="34" spans="1:11">
      <c r="A34" s="1" t="s">
        <v>1</v>
      </c>
      <c r="B34" s="15" t="s">
        <v>43</v>
      </c>
      <c r="C34" s="56">
        <v>64652</v>
      </c>
      <c r="D34" s="18">
        <v>0</v>
      </c>
      <c r="E34" s="19">
        <f t="shared" si="0"/>
        <v>64652</v>
      </c>
      <c r="F34" s="55">
        <v>53164</v>
      </c>
      <c r="G34" s="56">
        <v>64322</v>
      </c>
      <c r="H34" s="56">
        <v>47259</v>
      </c>
      <c r="I34" s="73">
        <v>60066</v>
      </c>
      <c r="J34" s="19">
        <f t="shared" si="1"/>
        <v>224811</v>
      </c>
      <c r="K34" s="19">
        <f t="shared" si="2"/>
        <v>289463</v>
      </c>
    </row>
    <row r="35" spans="1:11">
      <c r="A35" s="1" t="s">
        <v>1</v>
      </c>
      <c r="B35" s="30" t="s">
        <v>44</v>
      </c>
      <c r="C35" s="50">
        <v>3489</v>
      </c>
      <c r="D35" s="31">
        <v>0</v>
      </c>
      <c r="E35" s="32">
        <f t="shared" si="0"/>
        <v>3489</v>
      </c>
      <c r="F35" s="49">
        <v>0</v>
      </c>
      <c r="G35" s="50">
        <v>8484</v>
      </c>
      <c r="H35" s="50">
        <v>0</v>
      </c>
      <c r="I35" s="70">
        <v>12320</v>
      </c>
      <c r="J35" s="32">
        <f t="shared" si="1"/>
        <v>20804</v>
      </c>
      <c r="K35" s="32">
        <f t="shared" si="2"/>
        <v>24293</v>
      </c>
    </row>
    <row r="36" spans="1:11">
      <c r="A36" s="1" t="s">
        <v>1</v>
      </c>
      <c r="B36" s="6" t="s">
        <v>45</v>
      </c>
      <c r="C36" s="54">
        <v>20300</v>
      </c>
      <c r="D36" s="9">
        <v>0</v>
      </c>
      <c r="E36" s="10">
        <f t="shared" si="0"/>
        <v>20300</v>
      </c>
      <c r="F36" s="53">
        <v>15900</v>
      </c>
      <c r="G36" s="54">
        <v>20500</v>
      </c>
      <c r="H36" s="54">
        <v>0</v>
      </c>
      <c r="I36" s="72">
        <v>16600</v>
      </c>
      <c r="J36" s="10">
        <f t="shared" si="1"/>
        <v>53000</v>
      </c>
      <c r="K36" s="10">
        <f t="shared" si="2"/>
        <v>73300</v>
      </c>
    </row>
    <row r="37" spans="1:11">
      <c r="A37" s="1" t="s">
        <v>1</v>
      </c>
      <c r="B37" s="15" t="s">
        <v>46</v>
      </c>
      <c r="C37" s="56">
        <v>88441</v>
      </c>
      <c r="D37" s="18">
        <v>0</v>
      </c>
      <c r="E37" s="19">
        <f t="shared" si="0"/>
        <v>88441</v>
      </c>
      <c r="F37" s="55">
        <v>69064</v>
      </c>
      <c r="G37" s="56">
        <v>93306</v>
      </c>
      <c r="H37" s="56">
        <v>47259</v>
      </c>
      <c r="I37" s="73">
        <v>88986</v>
      </c>
      <c r="J37" s="19">
        <f t="shared" si="1"/>
        <v>298615</v>
      </c>
      <c r="K37" s="19">
        <f t="shared" si="2"/>
        <v>387056</v>
      </c>
    </row>
    <row r="38" spans="1:11">
      <c r="A38" s="1" t="s">
        <v>1</v>
      </c>
      <c r="B38" s="15" t="s">
        <v>47</v>
      </c>
      <c r="C38" s="56">
        <v>350348</v>
      </c>
      <c r="D38" s="18">
        <v>45920</v>
      </c>
      <c r="E38" s="19">
        <f t="shared" si="0"/>
        <v>396268</v>
      </c>
      <c r="F38" s="55">
        <v>257426</v>
      </c>
      <c r="G38" s="56">
        <v>302158</v>
      </c>
      <c r="H38" s="56">
        <v>245493</v>
      </c>
      <c r="I38" s="73">
        <v>348181</v>
      </c>
      <c r="J38" s="19">
        <f t="shared" si="1"/>
        <v>1153258</v>
      </c>
      <c r="K38" s="19">
        <f t="shared" si="2"/>
        <v>1549526</v>
      </c>
    </row>
    <row r="39" spans="1:11">
      <c r="A39" s="1" t="s">
        <v>1</v>
      </c>
      <c r="B39" s="15" t="s">
        <v>48</v>
      </c>
      <c r="C39" s="56">
        <v>334384</v>
      </c>
      <c r="D39" s="18">
        <v>45920</v>
      </c>
      <c r="E39" s="19">
        <f t="shared" si="0"/>
        <v>380304</v>
      </c>
      <c r="F39" s="55">
        <v>241526</v>
      </c>
      <c r="G39" s="56">
        <v>274487</v>
      </c>
      <c r="H39" s="56">
        <v>254296</v>
      </c>
      <c r="I39" s="73">
        <v>327086</v>
      </c>
      <c r="J39" s="19">
        <f t="shared" si="1"/>
        <v>1097395</v>
      </c>
      <c r="K39" s="19">
        <f t="shared" si="2"/>
        <v>1477699</v>
      </c>
    </row>
    <row r="40" spans="1:11">
      <c r="A40" s="1" t="s">
        <v>1</v>
      </c>
      <c r="B40" s="15" t="s">
        <v>49</v>
      </c>
      <c r="C40" s="56">
        <v>334384</v>
      </c>
      <c r="D40" s="18">
        <v>45920</v>
      </c>
      <c r="E40" s="19">
        <f t="shared" si="0"/>
        <v>380304</v>
      </c>
      <c r="F40" s="55">
        <v>241526</v>
      </c>
      <c r="G40" s="56">
        <v>274487</v>
      </c>
      <c r="H40" s="56">
        <v>254296</v>
      </c>
      <c r="I40" s="73">
        <v>327086</v>
      </c>
      <c r="J40" s="19">
        <f t="shared" si="1"/>
        <v>1097395</v>
      </c>
      <c r="K40" s="19">
        <f t="shared" si="2"/>
        <v>1477699</v>
      </c>
    </row>
    <row r="41" spans="1:11">
      <c r="A41" s="1" t="s">
        <v>1</v>
      </c>
      <c r="B41" s="15" t="s">
        <v>50</v>
      </c>
      <c r="C41" s="56">
        <v>1</v>
      </c>
      <c r="D41" s="18">
        <v>0</v>
      </c>
      <c r="E41" s="19"/>
      <c r="F41" s="55">
        <v>1</v>
      </c>
      <c r="G41" s="56">
        <v>0</v>
      </c>
      <c r="H41" s="56">
        <v>1</v>
      </c>
      <c r="I41" s="73">
        <v>0</v>
      </c>
      <c r="J41" s="19">
        <f t="shared" si="1"/>
        <v>2</v>
      </c>
      <c r="K41" s="19"/>
    </row>
    <row r="42" spans="1:11">
      <c r="A42" s="1" t="s">
        <v>1</v>
      </c>
      <c r="B42" s="15" t="s">
        <v>51</v>
      </c>
      <c r="C42" s="58" t="s">
        <v>52</v>
      </c>
      <c r="D42" s="20" t="s">
        <v>52</v>
      </c>
      <c r="E42" s="21"/>
      <c r="F42" s="57" t="s">
        <v>52</v>
      </c>
      <c r="G42" s="58" t="s">
        <v>52</v>
      </c>
      <c r="H42" s="58" t="s">
        <v>52</v>
      </c>
      <c r="I42" s="74" t="s">
        <v>52</v>
      </c>
      <c r="J42" s="21">
        <f t="shared" si="1"/>
        <v>0</v>
      </c>
      <c r="K42" s="21"/>
    </row>
    <row r="43" spans="1:11">
      <c r="A43" s="1" t="s">
        <v>1</v>
      </c>
      <c r="B43" s="15" t="s">
        <v>53</v>
      </c>
      <c r="C43" s="56">
        <v>9260</v>
      </c>
      <c r="D43" s="18">
        <v>0</v>
      </c>
      <c r="E43" s="19">
        <f t="shared" si="0"/>
        <v>9260</v>
      </c>
      <c r="F43" s="55">
        <v>5200</v>
      </c>
      <c r="G43" s="56">
        <v>8560</v>
      </c>
      <c r="H43" s="56">
        <v>4770</v>
      </c>
      <c r="I43" s="73">
        <v>12320</v>
      </c>
      <c r="J43" s="19">
        <f t="shared" si="1"/>
        <v>30850</v>
      </c>
      <c r="K43" s="19">
        <f t="shared" si="2"/>
        <v>40110</v>
      </c>
    </row>
    <row r="44" spans="1:11">
      <c r="A44" s="1" t="s">
        <v>1</v>
      </c>
      <c r="B44" s="15" t="s">
        <v>54</v>
      </c>
      <c r="C44" s="56">
        <v>5771</v>
      </c>
      <c r="D44" s="18">
        <v>0</v>
      </c>
      <c r="E44" s="19">
        <f t="shared" si="0"/>
        <v>5771</v>
      </c>
      <c r="F44" s="55">
        <v>5200</v>
      </c>
      <c r="G44" s="56">
        <v>76</v>
      </c>
      <c r="H44" s="56">
        <v>4770</v>
      </c>
      <c r="I44" s="73">
        <v>0</v>
      </c>
      <c r="J44" s="19">
        <f t="shared" si="1"/>
        <v>10046</v>
      </c>
      <c r="K44" s="19">
        <f t="shared" si="2"/>
        <v>15817</v>
      </c>
    </row>
    <row r="45" spans="1:11" ht="19.5" thickBot="1">
      <c r="A45" s="1" t="s">
        <v>1</v>
      </c>
      <c r="B45" s="11" t="s">
        <v>55</v>
      </c>
      <c r="C45" s="60">
        <v>60000</v>
      </c>
      <c r="D45" s="12">
        <v>0</v>
      </c>
      <c r="E45" s="13"/>
      <c r="F45" s="59">
        <v>30000</v>
      </c>
      <c r="G45" s="60">
        <v>30000</v>
      </c>
      <c r="H45" s="60">
        <v>60000</v>
      </c>
      <c r="I45" s="75">
        <v>30000</v>
      </c>
      <c r="J45" s="13"/>
      <c r="K45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8月度給与 (2)</vt:lpstr>
      <vt:lpstr>'2024年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2024-09-06T02:47:58Z</cp:lastPrinted>
  <dcterms:created xsi:type="dcterms:W3CDTF">2024-09-05T04:46:59Z</dcterms:created>
  <dcterms:modified xsi:type="dcterms:W3CDTF">2024-09-09T06:43:01Z</dcterms:modified>
</cp:coreProperties>
</file>