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冬季賞与\"/>
    </mc:Choice>
  </mc:AlternateContent>
  <xr:revisionPtr revIDLastSave="0" documentId="13_ncr:1_{52C3BC08-4DB3-4B8E-A463-BA6525F587BE}" xr6:coauthVersionLast="47" xr6:coauthVersionMax="47" xr10:uidLastSave="{00000000-0000-0000-0000-000000000000}"/>
  <bookViews>
    <workbookView xWindow="-120" yWindow="-120" windowWidth="20730" windowHeight="11040" xr2:uid="{911C210B-2F22-4AAB-8A06-926CA4908BD3}"/>
  </bookViews>
  <sheets>
    <sheet name="冬季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5" i="3"/>
  <c r="K17" i="3" l="1"/>
  <c r="K16" i="3"/>
  <c r="K15" i="3"/>
  <c r="K14" i="3"/>
  <c r="K13" i="3"/>
  <c r="K12" i="3"/>
  <c r="K11" i="3"/>
  <c r="K10" i="3"/>
  <c r="K9" i="3"/>
  <c r="K5" i="3"/>
  <c r="K8" i="3"/>
  <c r="K19" i="3"/>
  <c r="K7" i="3"/>
  <c r="K18" i="3"/>
  <c r="K6" i="3"/>
</calcChain>
</file>

<file path=xl/sharedStrings.xml><?xml version="1.0" encoding="utf-8"?>
<sst xmlns="http://schemas.openxmlformats.org/spreadsheetml/2006/main" count="51" uniqueCount="37">
  <si>
    <t>賞与支給控除一覧表</t>
    <phoneticPr fontId="4"/>
  </si>
  <si>
    <t/>
  </si>
  <si>
    <t>冬季賞与</t>
    <phoneticPr fontId="4"/>
  </si>
  <si>
    <t>1056</t>
    <phoneticPr fontId="4"/>
  </si>
  <si>
    <t>1057</t>
    <phoneticPr fontId="4"/>
  </si>
  <si>
    <t>1061</t>
    <phoneticPr fontId="4"/>
  </si>
  <si>
    <t>1063</t>
    <phoneticPr fontId="4"/>
  </si>
  <si>
    <t>1067</t>
    <phoneticPr fontId="4"/>
  </si>
  <si>
    <t>1115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</si>
  <si>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</si>
  <si>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</si>
  <si>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</si>
  <si>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</si>
  <si>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木下　知美</t>
    <phoneticPr fontId="4"/>
  </si>
  <si>
    <t>米澤　敬</t>
    <phoneticPr fontId="4"/>
  </si>
  <si>
    <t>松井　毎</t>
    <phoneticPr fontId="4"/>
  </si>
  <si>
    <t>合計</t>
    <phoneticPr fontId="4"/>
  </si>
  <si>
    <t>賞与</t>
    <phoneticPr fontId="4"/>
  </si>
  <si>
    <t>職責加算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</si>
  <si>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</si>
  <si>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</si>
  <si>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</si>
  <si>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</si>
  <si>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</si>
  <si>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</si>
  <si>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</si>
  <si>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</si>
  <si>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</si>
  <si>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</si>
  <si>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</si>
  <si>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(定額減税額)</t>
    <phoneticPr fontId="4"/>
  </si>
  <si>
    <t>(減税設定額)</t>
    <phoneticPr fontId="4"/>
  </si>
  <si>
    <t>還付金</t>
    <rPh sb="0" eb="3">
      <t>カンプキン</t>
    </rPh>
    <phoneticPr fontId="3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</si>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</sst>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2" xfId="1" applyNumberFormat="1" applyFont="1" applyBorder="1"/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3" fontId="2" fillId="0" borderId="4" xfId="1" applyNumberFormat="1" applyFont="1" applyBorder="1"/>
    <xf numFmtId="176" fontId="2" fillId="0" borderId="0" xfId="1" applyNumberFormat="1" applyFont="1"/>
    <xf numFmtId="176" fontId="2" fillId="0" borderId="3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0" fontId="2" fillId="0" borderId="18" xfId="1" applyFont="1" applyBorder="1" applyAlignment="1">
      <alignment horizontal="center"/>
    </xf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19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3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176" fontId="2" fillId="0" borderId="30" xfId="1" applyNumberFormat="1" applyFont="1" applyBorder="1"/>
    <xf numFmtId="3" fontId="2" fillId="0" borderId="28" xfId="1" applyNumberFormat="1" applyFont="1" applyBorder="1"/>
    <xf numFmtId="49" fontId="2" fillId="0" borderId="18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18" xfId="1" applyFont="1" applyBorder="1"/>
  </cellXfs>
  <cellStyles count="2">
    <cellStyle name="標準" xfId="0" builtinId="0"/>
    <cellStyle name="標準 2" xfId="1" xr:uid="{7D56302F-A0C2-4FC7-B818-86BF027C12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BC18-8D76-4B3A-8C43-9A950C3D2B84}">
  <dimension ref="A1:K20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1" width="12.875" style="2" customWidth="1"/>
    <col min="12" max="257" width="9" style="2"/>
    <col min="258" max="258" width="2.375" style="2" customWidth="1"/>
    <col min="259" max="259" width="13.25" style="2" bestFit="1" customWidth="1"/>
    <col min="260" max="263" width="11.125" style="2" bestFit="1" customWidth="1"/>
    <col min="264" max="513" width="9" style="2"/>
    <col min="514" max="514" width="2.375" style="2" customWidth="1"/>
    <col min="515" max="515" width="13.25" style="2" bestFit="1" customWidth="1"/>
    <col min="516" max="519" width="11.125" style="2" bestFit="1" customWidth="1"/>
    <col min="520" max="769" width="9" style="2"/>
    <col min="770" max="770" width="2.375" style="2" customWidth="1"/>
    <col min="771" max="771" width="13.25" style="2" bestFit="1" customWidth="1"/>
    <col min="772" max="775" width="11.125" style="2" bestFit="1" customWidth="1"/>
    <col min="776" max="1025" width="9" style="2"/>
    <col min="1026" max="1026" width="2.375" style="2" customWidth="1"/>
    <col min="1027" max="1027" width="13.25" style="2" bestFit="1" customWidth="1"/>
    <col min="1028" max="1031" width="11.125" style="2" bestFit="1" customWidth="1"/>
    <col min="1032" max="1281" width="9" style="2"/>
    <col min="1282" max="1282" width="2.375" style="2" customWidth="1"/>
    <col min="1283" max="1283" width="13.25" style="2" bestFit="1" customWidth="1"/>
    <col min="1284" max="1287" width="11.125" style="2" bestFit="1" customWidth="1"/>
    <col min="1288" max="1537" width="9" style="2"/>
    <col min="1538" max="1538" width="2.375" style="2" customWidth="1"/>
    <col min="1539" max="1539" width="13.25" style="2" bestFit="1" customWidth="1"/>
    <col min="1540" max="1543" width="11.125" style="2" bestFit="1" customWidth="1"/>
    <col min="1544" max="1793" width="9" style="2"/>
    <col min="1794" max="1794" width="2.375" style="2" customWidth="1"/>
    <col min="1795" max="1795" width="13.25" style="2" bestFit="1" customWidth="1"/>
    <col min="1796" max="1799" width="11.125" style="2" bestFit="1" customWidth="1"/>
    <col min="1800" max="2049" width="9" style="2"/>
    <col min="2050" max="2050" width="2.375" style="2" customWidth="1"/>
    <col min="2051" max="2051" width="13.25" style="2" bestFit="1" customWidth="1"/>
    <col min="2052" max="2055" width="11.125" style="2" bestFit="1" customWidth="1"/>
    <col min="2056" max="2305" width="9" style="2"/>
    <col min="2306" max="2306" width="2.375" style="2" customWidth="1"/>
    <col min="2307" max="2307" width="13.25" style="2" bestFit="1" customWidth="1"/>
    <col min="2308" max="2311" width="11.125" style="2" bestFit="1" customWidth="1"/>
    <col min="2312" max="2561" width="9" style="2"/>
    <col min="2562" max="2562" width="2.375" style="2" customWidth="1"/>
    <col min="2563" max="2563" width="13.25" style="2" bestFit="1" customWidth="1"/>
    <col min="2564" max="2567" width="11.125" style="2" bestFit="1" customWidth="1"/>
    <col min="2568" max="2817" width="9" style="2"/>
    <col min="2818" max="2818" width="2.375" style="2" customWidth="1"/>
    <col min="2819" max="2819" width="13.25" style="2" bestFit="1" customWidth="1"/>
    <col min="2820" max="2823" width="11.125" style="2" bestFit="1" customWidth="1"/>
    <col min="2824" max="3073" width="9" style="2"/>
    <col min="3074" max="3074" width="2.375" style="2" customWidth="1"/>
    <col min="3075" max="3075" width="13.25" style="2" bestFit="1" customWidth="1"/>
    <col min="3076" max="3079" width="11.125" style="2" bestFit="1" customWidth="1"/>
    <col min="3080" max="3329" width="9" style="2"/>
    <col min="3330" max="3330" width="2.375" style="2" customWidth="1"/>
    <col min="3331" max="3331" width="13.25" style="2" bestFit="1" customWidth="1"/>
    <col min="3332" max="3335" width="11.125" style="2" bestFit="1" customWidth="1"/>
    <col min="3336" max="3585" width="9" style="2"/>
    <col min="3586" max="3586" width="2.375" style="2" customWidth="1"/>
    <col min="3587" max="3587" width="13.25" style="2" bestFit="1" customWidth="1"/>
    <col min="3588" max="3591" width="11.125" style="2" bestFit="1" customWidth="1"/>
    <col min="3592" max="3841" width="9" style="2"/>
    <col min="3842" max="3842" width="2.375" style="2" customWidth="1"/>
    <col min="3843" max="3843" width="13.25" style="2" bestFit="1" customWidth="1"/>
    <col min="3844" max="3847" width="11.125" style="2" bestFit="1" customWidth="1"/>
    <col min="3848" max="4097" width="9" style="2"/>
    <col min="4098" max="4098" width="2.375" style="2" customWidth="1"/>
    <col min="4099" max="4099" width="13.25" style="2" bestFit="1" customWidth="1"/>
    <col min="4100" max="4103" width="11.125" style="2" bestFit="1" customWidth="1"/>
    <col min="4104" max="4353" width="9" style="2"/>
    <col min="4354" max="4354" width="2.375" style="2" customWidth="1"/>
    <col min="4355" max="4355" width="13.25" style="2" bestFit="1" customWidth="1"/>
    <col min="4356" max="4359" width="11.125" style="2" bestFit="1" customWidth="1"/>
    <col min="4360" max="4609" width="9" style="2"/>
    <col min="4610" max="4610" width="2.375" style="2" customWidth="1"/>
    <col min="4611" max="4611" width="13.25" style="2" bestFit="1" customWidth="1"/>
    <col min="4612" max="4615" width="11.125" style="2" bestFit="1" customWidth="1"/>
    <col min="4616" max="4865" width="9" style="2"/>
    <col min="4866" max="4866" width="2.375" style="2" customWidth="1"/>
    <col min="4867" max="4867" width="13.25" style="2" bestFit="1" customWidth="1"/>
    <col min="4868" max="4871" width="11.125" style="2" bestFit="1" customWidth="1"/>
    <col min="4872" max="5121" width="9" style="2"/>
    <col min="5122" max="5122" width="2.375" style="2" customWidth="1"/>
    <col min="5123" max="5123" width="13.25" style="2" bestFit="1" customWidth="1"/>
    <col min="5124" max="5127" width="11.125" style="2" bestFit="1" customWidth="1"/>
    <col min="5128" max="5377" width="9" style="2"/>
    <col min="5378" max="5378" width="2.375" style="2" customWidth="1"/>
    <col min="5379" max="5379" width="13.25" style="2" bestFit="1" customWidth="1"/>
    <col min="5380" max="5383" width="11.125" style="2" bestFit="1" customWidth="1"/>
    <col min="5384" max="5633" width="9" style="2"/>
    <col min="5634" max="5634" width="2.375" style="2" customWidth="1"/>
    <col min="5635" max="5635" width="13.25" style="2" bestFit="1" customWidth="1"/>
    <col min="5636" max="5639" width="11.125" style="2" bestFit="1" customWidth="1"/>
    <col min="5640" max="5889" width="9" style="2"/>
    <col min="5890" max="5890" width="2.375" style="2" customWidth="1"/>
    <col min="5891" max="5891" width="13.25" style="2" bestFit="1" customWidth="1"/>
    <col min="5892" max="5895" width="11.125" style="2" bestFit="1" customWidth="1"/>
    <col min="5896" max="6145" width="9" style="2"/>
    <col min="6146" max="6146" width="2.375" style="2" customWidth="1"/>
    <col min="6147" max="6147" width="13.25" style="2" bestFit="1" customWidth="1"/>
    <col min="6148" max="6151" width="11.125" style="2" bestFit="1" customWidth="1"/>
    <col min="6152" max="6401" width="9" style="2"/>
    <col min="6402" max="6402" width="2.375" style="2" customWidth="1"/>
    <col min="6403" max="6403" width="13.25" style="2" bestFit="1" customWidth="1"/>
    <col min="6404" max="6407" width="11.125" style="2" bestFit="1" customWidth="1"/>
    <col min="6408" max="6657" width="9" style="2"/>
    <col min="6658" max="6658" width="2.375" style="2" customWidth="1"/>
    <col min="6659" max="6659" width="13.25" style="2" bestFit="1" customWidth="1"/>
    <col min="6660" max="6663" width="11.125" style="2" bestFit="1" customWidth="1"/>
    <col min="6664" max="6913" width="9" style="2"/>
    <col min="6914" max="6914" width="2.375" style="2" customWidth="1"/>
    <col min="6915" max="6915" width="13.25" style="2" bestFit="1" customWidth="1"/>
    <col min="6916" max="6919" width="11.125" style="2" bestFit="1" customWidth="1"/>
    <col min="6920" max="7169" width="9" style="2"/>
    <col min="7170" max="7170" width="2.375" style="2" customWidth="1"/>
    <col min="7171" max="7171" width="13.25" style="2" bestFit="1" customWidth="1"/>
    <col min="7172" max="7175" width="11.125" style="2" bestFit="1" customWidth="1"/>
    <col min="7176" max="7425" width="9" style="2"/>
    <col min="7426" max="7426" width="2.375" style="2" customWidth="1"/>
    <col min="7427" max="7427" width="13.25" style="2" bestFit="1" customWidth="1"/>
    <col min="7428" max="7431" width="11.125" style="2" bestFit="1" customWidth="1"/>
    <col min="7432" max="7681" width="9" style="2"/>
    <col min="7682" max="7682" width="2.375" style="2" customWidth="1"/>
    <col min="7683" max="7683" width="13.25" style="2" bestFit="1" customWidth="1"/>
    <col min="7684" max="7687" width="11.125" style="2" bestFit="1" customWidth="1"/>
    <col min="7688" max="7937" width="9" style="2"/>
    <col min="7938" max="7938" width="2.375" style="2" customWidth="1"/>
    <col min="7939" max="7939" width="13.25" style="2" bestFit="1" customWidth="1"/>
    <col min="7940" max="7943" width="11.125" style="2" bestFit="1" customWidth="1"/>
    <col min="7944" max="8193" width="9" style="2"/>
    <col min="8194" max="8194" width="2.375" style="2" customWidth="1"/>
    <col min="8195" max="8195" width="13.25" style="2" bestFit="1" customWidth="1"/>
    <col min="8196" max="8199" width="11.125" style="2" bestFit="1" customWidth="1"/>
    <col min="8200" max="8449" width="9" style="2"/>
    <col min="8450" max="8450" width="2.375" style="2" customWidth="1"/>
    <col min="8451" max="8451" width="13.25" style="2" bestFit="1" customWidth="1"/>
    <col min="8452" max="8455" width="11.125" style="2" bestFit="1" customWidth="1"/>
    <col min="8456" max="8705" width="9" style="2"/>
    <col min="8706" max="8706" width="2.375" style="2" customWidth="1"/>
    <col min="8707" max="8707" width="13.25" style="2" bestFit="1" customWidth="1"/>
    <col min="8708" max="8711" width="11.125" style="2" bestFit="1" customWidth="1"/>
    <col min="8712" max="8961" width="9" style="2"/>
    <col min="8962" max="8962" width="2.375" style="2" customWidth="1"/>
    <col min="8963" max="8963" width="13.25" style="2" bestFit="1" customWidth="1"/>
    <col min="8964" max="8967" width="11.125" style="2" bestFit="1" customWidth="1"/>
    <col min="8968" max="9217" width="9" style="2"/>
    <col min="9218" max="9218" width="2.375" style="2" customWidth="1"/>
    <col min="9219" max="9219" width="13.25" style="2" bestFit="1" customWidth="1"/>
    <col min="9220" max="9223" width="11.125" style="2" bestFit="1" customWidth="1"/>
    <col min="9224" max="9473" width="9" style="2"/>
    <col min="9474" max="9474" width="2.375" style="2" customWidth="1"/>
    <col min="9475" max="9475" width="13.25" style="2" bestFit="1" customWidth="1"/>
    <col min="9476" max="9479" width="11.125" style="2" bestFit="1" customWidth="1"/>
    <col min="9480" max="9729" width="9" style="2"/>
    <col min="9730" max="9730" width="2.375" style="2" customWidth="1"/>
    <col min="9731" max="9731" width="13.25" style="2" bestFit="1" customWidth="1"/>
    <col min="9732" max="9735" width="11.125" style="2" bestFit="1" customWidth="1"/>
    <col min="9736" max="9985" width="9" style="2"/>
    <col min="9986" max="9986" width="2.375" style="2" customWidth="1"/>
    <col min="9987" max="9987" width="13.25" style="2" bestFit="1" customWidth="1"/>
    <col min="9988" max="9991" width="11.125" style="2" bestFit="1" customWidth="1"/>
    <col min="9992" max="10241" width="9" style="2"/>
    <col min="10242" max="10242" width="2.375" style="2" customWidth="1"/>
    <col min="10243" max="10243" width="13.25" style="2" bestFit="1" customWidth="1"/>
    <col min="10244" max="10247" width="11.125" style="2" bestFit="1" customWidth="1"/>
    <col min="10248" max="10497" width="9" style="2"/>
    <col min="10498" max="10498" width="2.375" style="2" customWidth="1"/>
    <col min="10499" max="10499" width="13.25" style="2" bestFit="1" customWidth="1"/>
    <col min="10500" max="10503" width="11.125" style="2" bestFit="1" customWidth="1"/>
    <col min="10504" max="10753" width="9" style="2"/>
    <col min="10754" max="10754" width="2.375" style="2" customWidth="1"/>
    <col min="10755" max="10755" width="13.25" style="2" bestFit="1" customWidth="1"/>
    <col min="10756" max="10759" width="11.125" style="2" bestFit="1" customWidth="1"/>
    <col min="10760" max="11009" width="9" style="2"/>
    <col min="11010" max="11010" width="2.375" style="2" customWidth="1"/>
    <col min="11011" max="11011" width="13.25" style="2" bestFit="1" customWidth="1"/>
    <col min="11012" max="11015" width="11.125" style="2" bestFit="1" customWidth="1"/>
    <col min="11016" max="11265" width="9" style="2"/>
    <col min="11266" max="11266" width="2.375" style="2" customWidth="1"/>
    <col min="11267" max="11267" width="13.25" style="2" bestFit="1" customWidth="1"/>
    <col min="11268" max="11271" width="11.125" style="2" bestFit="1" customWidth="1"/>
    <col min="11272" max="11521" width="9" style="2"/>
    <col min="11522" max="11522" width="2.375" style="2" customWidth="1"/>
    <col min="11523" max="11523" width="13.25" style="2" bestFit="1" customWidth="1"/>
    <col min="11524" max="11527" width="11.125" style="2" bestFit="1" customWidth="1"/>
    <col min="11528" max="11777" width="9" style="2"/>
    <col min="11778" max="11778" width="2.375" style="2" customWidth="1"/>
    <col min="11779" max="11779" width="13.25" style="2" bestFit="1" customWidth="1"/>
    <col min="11780" max="11783" width="11.125" style="2" bestFit="1" customWidth="1"/>
    <col min="11784" max="12033" width="9" style="2"/>
    <col min="12034" max="12034" width="2.375" style="2" customWidth="1"/>
    <col min="12035" max="12035" width="13.25" style="2" bestFit="1" customWidth="1"/>
    <col min="12036" max="12039" width="11.125" style="2" bestFit="1" customWidth="1"/>
    <col min="12040" max="12289" width="9" style="2"/>
    <col min="12290" max="12290" width="2.375" style="2" customWidth="1"/>
    <col min="12291" max="12291" width="13.25" style="2" bestFit="1" customWidth="1"/>
    <col min="12292" max="12295" width="11.125" style="2" bestFit="1" customWidth="1"/>
    <col min="12296" max="12545" width="9" style="2"/>
    <col min="12546" max="12546" width="2.375" style="2" customWidth="1"/>
    <col min="12547" max="12547" width="13.25" style="2" bestFit="1" customWidth="1"/>
    <col min="12548" max="12551" width="11.125" style="2" bestFit="1" customWidth="1"/>
    <col min="12552" max="12801" width="9" style="2"/>
    <col min="12802" max="12802" width="2.375" style="2" customWidth="1"/>
    <col min="12803" max="12803" width="13.25" style="2" bestFit="1" customWidth="1"/>
    <col min="12804" max="12807" width="11.125" style="2" bestFit="1" customWidth="1"/>
    <col min="12808" max="13057" width="9" style="2"/>
    <col min="13058" max="13058" width="2.375" style="2" customWidth="1"/>
    <col min="13059" max="13059" width="13.25" style="2" bestFit="1" customWidth="1"/>
    <col min="13060" max="13063" width="11.125" style="2" bestFit="1" customWidth="1"/>
    <col min="13064" max="13313" width="9" style="2"/>
    <col min="13314" max="13314" width="2.375" style="2" customWidth="1"/>
    <col min="13315" max="13315" width="13.25" style="2" bestFit="1" customWidth="1"/>
    <col min="13316" max="13319" width="11.125" style="2" bestFit="1" customWidth="1"/>
    <col min="13320" max="13569" width="9" style="2"/>
    <col min="13570" max="13570" width="2.375" style="2" customWidth="1"/>
    <col min="13571" max="13571" width="13.25" style="2" bestFit="1" customWidth="1"/>
    <col min="13572" max="13575" width="11.125" style="2" bestFit="1" customWidth="1"/>
    <col min="13576" max="13825" width="9" style="2"/>
    <col min="13826" max="13826" width="2.375" style="2" customWidth="1"/>
    <col min="13827" max="13827" width="13.25" style="2" bestFit="1" customWidth="1"/>
    <col min="13828" max="13831" width="11.125" style="2" bestFit="1" customWidth="1"/>
    <col min="13832" max="14081" width="9" style="2"/>
    <col min="14082" max="14082" width="2.375" style="2" customWidth="1"/>
    <col min="14083" max="14083" width="13.25" style="2" bestFit="1" customWidth="1"/>
    <col min="14084" max="14087" width="11.125" style="2" bestFit="1" customWidth="1"/>
    <col min="14088" max="14337" width="9" style="2"/>
    <col min="14338" max="14338" width="2.375" style="2" customWidth="1"/>
    <col min="14339" max="14339" width="13.25" style="2" bestFit="1" customWidth="1"/>
    <col min="14340" max="14343" width="11.125" style="2" bestFit="1" customWidth="1"/>
    <col min="14344" max="14593" width="9" style="2"/>
    <col min="14594" max="14594" width="2.375" style="2" customWidth="1"/>
    <col min="14595" max="14595" width="13.25" style="2" bestFit="1" customWidth="1"/>
    <col min="14596" max="14599" width="11.125" style="2" bestFit="1" customWidth="1"/>
    <col min="14600" max="14849" width="9" style="2"/>
    <col min="14850" max="14850" width="2.375" style="2" customWidth="1"/>
    <col min="14851" max="14851" width="13.25" style="2" bestFit="1" customWidth="1"/>
    <col min="14852" max="14855" width="11.125" style="2" bestFit="1" customWidth="1"/>
    <col min="14856" max="15105" width="9" style="2"/>
    <col min="15106" max="15106" width="2.375" style="2" customWidth="1"/>
    <col min="15107" max="15107" width="13.25" style="2" bestFit="1" customWidth="1"/>
    <col min="15108" max="15111" width="11.125" style="2" bestFit="1" customWidth="1"/>
    <col min="15112" max="15361" width="9" style="2"/>
    <col min="15362" max="15362" width="2.375" style="2" customWidth="1"/>
    <col min="15363" max="15363" width="13.25" style="2" bestFit="1" customWidth="1"/>
    <col min="15364" max="15367" width="11.125" style="2" bestFit="1" customWidth="1"/>
    <col min="15368" max="15617" width="9" style="2"/>
    <col min="15618" max="15618" width="2.375" style="2" customWidth="1"/>
    <col min="15619" max="15619" width="13.25" style="2" bestFit="1" customWidth="1"/>
    <col min="15620" max="15623" width="11.125" style="2" bestFit="1" customWidth="1"/>
    <col min="15624" max="15873" width="9" style="2"/>
    <col min="15874" max="15874" width="2.375" style="2" customWidth="1"/>
    <col min="15875" max="15875" width="13.25" style="2" bestFit="1" customWidth="1"/>
    <col min="15876" max="15879" width="11.125" style="2" bestFit="1" customWidth="1"/>
    <col min="15880" max="16129" width="9" style="2"/>
    <col min="16130" max="16130" width="2.375" style="2" customWidth="1"/>
    <col min="16131" max="16131" width="13.25" style="2" bestFit="1" customWidth="1"/>
    <col min="16132" max="16135" width="11.125" style="2" bestFit="1" customWidth="1"/>
    <col min="16136" max="16384" width="9" style="2"/>
  </cols>
  <sheetData>
    <row r="1" spans="1:11">
      <c r="A1" s="1" t="s">
        <v>0</v>
      </c>
    </row>
    <row r="2" spans="1:11" ht="19.5" thickBot="1">
      <c r="A2" s="1" t="s">
        <v>2</v>
      </c>
    </row>
    <row r="3" spans="1:11">
      <c r="B3" s="33"/>
      <c r="C3" s="20" t="s">
        <v>4</v>
      </c>
      <c r="D3" s="44" t="s">
        <v>6</v>
      </c>
      <c r="E3" s="53" t="s">
        <v>33</v>
      </c>
      <c r="F3" s="19" t="s">
        <v>3</v>
      </c>
      <c r="G3" s="20" t="s">
        <v>5</v>
      </c>
      <c r="H3" s="20" t="s">
        <v>7</v>
      </c>
      <c r="I3" s="44" t="s">
        <v>8</v>
      </c>
      <c r="J3" s="53" t="s">
        <v>33</v>
      </c>
      <c r="K3" s="55" t="s">
        <v>16</v>
      </c>
    </row>
    <row r="4" spans="1:11" ht="19.5" thickBot="1">
      <c r="B4" s="4" t="s">
        <v>9</v>
      </c>
      <c r="C4" s="22" t="s">
        <v>11</v>
      </c>
      <c r="D4" s="45" t="s">
        <v>13</v>
      </c>
      <c r="E4" s="54" t="s">
        <v>34</v>
      </c>
      <c r="F4" s="21" t="s">
        <v>10</v>
      </c>
      <c r="G4" s="22" t="s">
        <v>12</v>
      </c>
      <c r="H4" s="22" t="s">
        <v>14</v>
      </c>
      <c r="I4" s="3" t="s">
        <v>15</v>
      </c>
      <c r="J4" s="54" t="s">
        <v>35</v>
      </c>
      <c r="K4" s="4" t="s">
        <v>36</v>
      </c>
    </row>
    <row r="5" spans="1:11">
      <c r="A5" s="1" t="s">
        <v>1</v>
      </c>
      <c r="B5" s="39" t="s">
        <v>17</v>
      </c>
      <c r="C5" s="41">
        <v>370000</v>
      </c>
      <c r="D5" s="46">
        <v>0</v>
      </c>
      <c r="E5" s="43">
        <f>SUM(C5:D5)</f>
        <v>370000</v>
      </c>
      <c r="F5" s="40">
        <v>75000</v>
      </c>
      <c r="G5" s="41">
        <v>75000</v>
      </c>
      <c r="H5" s="41">
        <v>75000</v>
      </c>
      <c r="I5" s="42">
        <v>75000</v>
      </c>
      <c r="J5" s="43">
        <f>SUM(F5:I5)</f>
        <v>300000</v>
      </c>
      <c r="K5" s="43">
        <f>SUM(J5,E5)</f>
        <v>670000</v>
      </c>
    </row>
    <row r="6" spans="1:11">
      <c r="A6" s="1" t="s">
        <v>1</v>
      </c>
      <c r="B6" s="5" t="s">
        <v>18</v>
      </c>
      <c r="C6" s="24">
        <v>0</v>
      </c>
      <c r="D6" s="47">
        <v>0</v>
      </c>
      <c r="E6" s="7">
        <f t="shared" ref="E6:E19" si="0">SUM(C6:D6)</f>
        <v>0</v>
      </c>
      <c r="F6" s="23">
        <v>6000</v>
      </c>
      <c r="G6" s="24">
        <v>0</v>
      </c>
      <c r="H6" s="24">
        <v>6000</v>
      </c>
      <c r="I6" s="6">
        <v>0</v>
      </c>
      <c r="J6" s="7">
        <f t="shared" ref="J6:J19" si="1">SUM(F6:I6)</f>
        <v>12000</v>
      </c>
      <c r="K6" s="7">
        <f t="shared" ref="K6:K19" si="2">SUM(J6,E6)</f>
        <v>12000</v>
      </c>
    </row>
    <row r="7" spans="1:11">
      <c r="A7" s="1" t="s">
        <v>1</v>
      </c>
      <c r="B7" s="11" t="s">
        <v>19</v>
      </c>
      <c r="C7" s="26">
        <v>370000</v>
      </c>
      <c r="D7" s="48">
        <v>0</v>
      </c>
      <c r="E7" s="13">
        <f t="shared" si="0"/>
        <v>370000</v>
      </c>
      <c r="F7" s="25">
        <v>81000</v>
      </c>
      <c r="G7" s="26">
        <v>75000</v>
      </c>
      <c r="H7" s="26">
        <v>81000</v>
      </c>
      <c r="I7" s="12">
        <v>75000</v>
      </c>
      <c r="J7" s="13">
        <f t="shared" si="1"/>
        <v>312000</v>
      </c>
      <c r="K7" s="13">
        <f t="shared" si="2"/>
        <v>682000</v>
      </c>
    </row>
    <row r="8" spans="1:11">
      <c r="A8" s="1" t="s">
        <v>1</v>
      </c>
      <c r="B8" s="16" t="s">
        <v>20</v>
      </c>
      <c r="C8" s="28">
        <v>18870</v>
      </c>
      <c r="D8" s="49">
        <v>0</v>
      </c>
      <c r="E8" s="18">
        <f t="shared" si="0"/>
        <v>18870</v>
      </c>
      <c r="F8" s="27">
        <v>4131</v>
      </c>
      <c r="G8" s="28">
        <v>3825</v>
      </c>
      <c r="H8" s="28">
        <v>4131</v>
      </c>
      <c r="I8" s="17">
        <v>3825</v>
      </c>
      <c r="J8" s="18">
        <f t="shared" si="1"/>
        <v>15912</v>
      </c>
      <c r="K8" s="18">
        <f t="shared" si="2"/>
        <v>34782</v>
      </c>
    </row>
    <row r="9" spans="1:11">
      <c r="A9" s="1" t="s">
        <v>1</v>
      </c>
      <c r="B9" s="34" t="s">
        <v>21</v>
      </c>
      <c r="C9" s="36">
        <v>3330</v>
      </c>
      <c r="D9" s="50">
        <v>0</v>
      </c>
      <c r="E9" s="38">
        <f t="shared" si="0"/>
        <v>3330</v>
      </c>
      <c r="F9" s="35">
        <v>0</v>
      </c>
      <c r="G9" s="36">
        <v>675</v>
      </c>
      <c r="H9" s="36">
        <v>729</v>
      </c>
      <c r="I9" s="37">
        <v>675</v>
      </c>
      <c r="J9" s="38">
        <f t="shared" si="1"/>
        <v>2079</v>
      </c>
      <c r="K9" s="38">
        <f t="shared" si="2"/>
        <v>5409</v>
      </c>
    </row>
    <row r="10" spans="1:11">
      <c r="A10" s="1" t="s">
        <v>1</v>
      </c>
      <c r="B10" s="34" t="s">
        <v>22</v>
      </c>
      <c r="C10" s="36">
        <v>33855</v>
      </c>
      <c r="D10" s="50">
        <v>0</v>
      </c>
      <c r="E10" s="38">
        <f t="shared" si="0"/>
        <v>33855</v>
      </c>
      <c r="F10" s="35">
        <v>7411</v>
      </c>
      <c r="G10" s="36">
        <v>6862</v>
      </c>
      <c r="H10" s="36">
        <v>7411</v>
      </c>
      <c r="I10" s="37">
        <v>6862</v>
      </c>
      <c r="J10" s="38">
        <f t="shared" si="1"/>
        <v>28546</v>
      </c>
      <c r="K10" s="38">
        <f t="shared" si="2"/>
        <v>62401</v>
      </c>
    </row>
    <row r="11" spans="1:11">
      <c r="A11" s="1" t="s">
        <v>1</v>
      </c>
      <c r="B11" s="5" t="s">
        <v>23</v>
      </c>
      <c r="C11" s="24">
        <v>2220</v>
      </c>
      <c r="D11" s="47">
        <v>0</v>
      </c>
      <c r="E11" s="7">
        <f t="shared" si="0"/>
        <v>2220</v>
      </c>
      <c r="F11" s="23">
        <v>486</v>
      </c>
      <c r="G11" s="24">
        <v>450</v>
      </c>
      <c r="H11" s="24">
        <v>486</v>
      </c>
      <c r="I11" s="6">
        <v>450</v>
      </c>
      <c r="J11" s="7">
        <f t="shared" si="1"/>
        <v>1872</v>
      </c>
      <c r="K11" s="7">
        <f t="shared" si="2"/>
        <v>4092</v>
      </c>
    </row>
    <row r="12" spans="1:11">
      <c r="A12" s="1"/>
      <c r="B12" s="11" t="s">
        <v>26</v>
      </c>
      <c r="C12" s="26">
        <v>58275</v>
      </c>
      <c r="D12" s="48">
        <v>0</v>
      </c>
      <c r="E12" s="13">
        <f t="shared" si="0"/>
        <v>58275</v>
      </c>
      <c r="F12" s="25">
        <v>12028</v>
      </c>
      <c r="G12" s="26">
        <v>11812</v>
      </c>
      <c r="H12" s="26">
        <v>12757</v>
      </c>
      <c r="I12" s="12">
        <v>11812</v>
      </c>
      <c r="J12" s="13">
        <f t="shared" si="1"/>
        <v>48409</v>
      </c>
      <c r="K12" s="13">
        <f t="shared" si="2"/>
        <v>106684</v>
      </c>
    </row>
    <row r="13" spans="1:11">
      <c r="A13" s="1" t="s">
        <v>1</v>
      </c>
      <c r="B13" s="11" t="s">
        <v>24</v>
      </c>
      <c r="C13" s="26">
        <v>311725</v>
      </c>
      <c r="D13" s="48">
        <v>0</v>
      </c>
      <c r="E13" s="13">
        <f t="shared" si="0"/>
        <v>311725</v>
      </c>
      <c r="F13" s="25">
        <v>68972</v>
      </c>
      <c r="G13" s="26">
        <v>63188</v>
      </c>
      <c r="H13" s="26">
        <v>68243</v>
      </c>
      <c r="I13" s="12">
        <v>63188</v>
      </c>
      <c r="J13" s="13">
        <f t="shared" si="1"/>
        <v>263591</v>
      </c>
      <c r="K13" s="13">
        <f t="shared" si="2"/>
        <v>575316</v>
      </c>
    </row>
    <row r="14" spans="1:11">
      <c r="A14" s="1" t="s">
        <v>1</v>
      </c>
      <c r="B14" s="16" t="s">
        <v>25</v>
      </c>
      <c r="C14" s="28">
        <v>25461</v>
      </c>
      <c r="D14" s="49">
        <v>0</v>
      </c>
      <c r="E14" s="18">
        <f t="shared" si="0"/>
        <v>25461</v>
      </c>
      <c r="F14" s="27">
        <v>4225</v>
      </c>
      <c r="G14" s="28">
        <v>0</v>
      </c>
      <c r="H14" s="28">
        <v>3038</v>
      </c>
      <c r="I14" s="17">
        <v>0</v>
      </c>
      <c r="J14" s="18">
        <f t="shared" si="1"/>
        <v>7263</v>
      </c>
      <c r="K14" s="18">
        <f t="shared" si="2"/>
        <v>32724</v>
      </c>
    </row>
    <row r="15" spans="1:11">
      <c r="A15" s="1"/>
      <c r="B15" s="5" t="s">
        <v>32</v>
      </c>
      <c r="C15" s="30">
        <v>-30550</v>
      </c>
      <c r="D15" s="51">
        <v>-140</v>
      </c>
      <c r="E15" s="15">
        <f t="shared" si="0"/>
        <v>-30690</v>
      </c>
      <c r="F15" s="29">
        <v>-13338</v>
      </c>
      <c r="G15" s="30">
        <v>-29090</v>
      </c>
      <c r="H15" s="30">
        <v>-15658</v>
      </c>
      <c r="I15" s="14">
        <v>-15870</v>
      </c>
      <c r="J15" s="15">
        <f t="shared" si="1"/>
        <v>-73956</v>
      </c>
      <c r="K15" s="15">
        <f t="shared" si="2"/>
        <v>-104646</v>
      </c>
    </row>
    <row r="16" spans="1:11">
      <c r="A16" s="1" t="s">
        <v>1</v>
      </c>
      <c r="B16" s="11" t="s">
        <v>27</v>
      </c>
      <c r="C16" s="26">
        <v>316814</v>
      </c>
      <c r="D16" s="48">
        <v>140</v>
      </c>
      <c r="E16" s="13">
        <f t="shared" si="0"/>
        <v>316954</v>
      </c>
      <c r="F16" s="25">
        <v>78085</v>
      </c>
      <c r="G16" s="26">
        <v>92278</v>
      </c>
      <c r="H16" s="26">
        <v>80863</v>
      </c>
      <c r="I16" s="12">
        <v>79058</v>
      </c>
      <c r="J16" s="13">
        <f t="shared" si="1"/>
        <v>330284</v>
      </c>
      <c r="K16" s="13">
        <f t="shared" si="2"/>
        <v>647238</v>
      </c>
    </row>
    <row r="17" spans="1:11">
      <c r="A17" s="1" t="s">
        <v>1</v>
      </c>
      <c r="B17" s="11" t="s">
        <v>28</v>
      </c>
      <c r="C17" s="26">
        <v>316814</v>
      </c>
      <c r="D17" s="48">
        <v>140</v>
      </c>
      <c r="E17" s="13">
        <f t="shared" si="0"/>
        <v>316954</v>
      </c>
      <c r="F17" s="25">
        <v>78085</v>
      </c>
      <c r="G17" s="26">
        <v>92278</v>
      </c>
      <c r="H17" s="26">
        <v>80863</v>
      </c>
      <c r="I17" s="12">
        <v>79058</v>
      </c>
      <c r="J17" s="13">
        <f t="shared" si="1"/>
        <v>330284</v>
      </c>
      <c r="K17" s="13">
        <f t="shared" si="2"/>
        <v>647238</v>
      </c>
    </row>
    <row r="18" spans="1:11">
      <c r="A18" s="1" t="s">
        <v>1</v>
      </c>
      <c r="B18" s="11" t="s">
        <v>29</v>
      </c>
      <c r="C18" s="26">
        <v>25461</v>
      </c>
      <c r="D18" s="48">
        <v>0</v>
      </c>
      <c r="E18" s="13">
        <f t="shared" si="0"/>
        <v>25461</v>
      </c>
      <c r="F18" s="25">
        <v>4225</v>
      </c>
      <c r="G18" s="26">
        <v>2580</v>
      </c>
      <c r="H18" s="26">
        <v>4180</v>
      </c>
      <c r="I18" s="12">
        <v>1290</v>
      </c>
      <c r="J18" s="13">
        <f t="shared" si="1"/>
        <v>12275</v>
      </c>
      <c r="K18" s="13">
        <f t="shared" si="2"/>
        <v>37736</v>
      </c>
    </row>
    <row r="19" spans="1:11">
      <c r="A19" s="1" t="s">
        <v>1</v>
      </c>
      <c r="B19" s="11" t="s">
        <v>30</v>
      </c>
      <c r="C19" s="26">
        <v>0</v>
      </c>
      <c r="D19" s="48">
        <v>0</v>
      </c>
      <c r="E19" s="13">
        <f t="shared" si="0"/>
        <v>0</v>
      </c>
      <c r="F19" s="25">
        <v>0</v>
      </c>
      <c r="G19" s="26">
        <v>2580</v>
      </c>
      <c r="H19" s="26">
        <v>1142</v>
      </c>
      <c r="I19" s="12">
        <v>1290</v>
      </c>
      <c r="J19" s="13">
        <f t="shared" si="1"/>
        <v>5012</v>
      </c>
      <c r="K19" s="13">
        <f t="shared" si="2"/>
        <v>5012</v>
      </c>
    </row>
    <row r="20" spans="1:11" ht="19.5" thickBot="1">
      <c r="A20" s="1" t="s">
        <v>1</v>
      </c>
      <c r="B20" s="8" t="s">
        <v>31</v>
      </c>
      <c r="C20" s="32">
        <v>30000</v>
      </c>
      <c r="D20" s="52">
        <v>0</v>
      </c>
      <c r="E20" s="10"/>
      <c r="F20" s="31">
        <v>30000</v>
      </c>
      <c r="G20" s="32">
        <v>60000</v>
      </c>
      <c r="H20" s="32">
        <v>60000</v>
      </c>
      <c r="I20" s="9">
        <v>60000</v>
      </c>
      <c r="J20" s="10"/>
      <c r="K20" s="10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冬季賞与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2024-12-14T02:53:32Z</cp:lastPrinted>
  <dcterms:created xsi:type="dcterms:W3CDTF">2024-12-14T00:08:53Z</dcterms:created>
  <dcterms:modified xsi:type="dcterms:W3CDTF">2024-12-19T07:04:32Z</dcterms:modified>
</cp:coreProperties>
</file>