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冬季賞与\"/>
    </mc:Choice>
  </mc:AlternateContent>
  <xr:revisionPtr revIDLastSave="0" documentId="13_ncr:1_{D799E613-E168-4AFB-B433-E7E501BF6983}" xr6:coauthVersionLast="47" xr6:coauthVersionMax="47" xr10:uidLastSave="{00000000-0000-0000-0000-000000000000}"/>
  <bookViews>
    <workbookView xWindow="-120" yWindow="-120" windowWidth="20730" windowHeight="11040" xr2:uid="{174C8EA7-1FB0-49D5-B837-0C961FC14E4D}"/>
  </bookViews>
  <sheets>
    <sheet name="冬季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3" l="1"/>
  <c r="I16" i="3"/>
  <c r="I9" i="3"/>
  <c r="I12" i="3"/>
  <c r="I17" i="3"/>
  <c r="I19" i="3"/>
  <c r="I20" i="3"/>
  <c r="D19" i="3"/>
  <c r="D6" i="3"/>
  <c r="D7" i="3"/>
  <c r="D8" i="3"/>
  <c r="D9" i="3"/>
  <c r="D10" i="3"/>
  <c r="D11" i="3"/>
  <c r="D12" i="3"/>
  <c r="D13" i="3"/>
  <c r="I13" i="3" s="1"/>
  <c r="D14" i="3"/>
  <c r="I14" i="3" s="1"/>
  <c r="D15" i="3"/>
  <c r="I15" i="3" s="1"/>
  <c r="D16" i="3"/>
  <c r="D17" i="3"/>
  <c r="D18" i="3"/>
  <c r="D20" i="3"/>
  <c r="D5" i="3"/>
  <c r="H9" i="3"/>
  <c r="H5" i="3"/>
  <c r="I5" i="3" s="1"/>
  <c r="H6" i="3"/>
  <c r="I6" i="3" s="1"/>
  <c r="H7" i="3"/>
  <c r="I7" i="3" s="1"/>
  <c r="H8" i="3"/>
  <c r="I8" i="3" s="1"/>
  <c r="H10" i="3"/>
  <c r="I10" i="3" s="1"/>
  <c r="H11" i="3"/>
  <c r="I11" i="3" s="1"/>
  <c r="H12" i="3"/>
  <c r="H13" i="3"/>
  <c r="H14" i="3"/>
  <c r="H15" i="3"/>
  <c r="H16" i="3"/>
  <c r="H17" i="3"/>
  <c r="H18" i="3"/>
  <c r="H20" i="3"/>
  <c r="H21" i="3"/>
</calcChain>
</file>

<file path=xl/sharedStrings.xml><?xml version="1.0" encoding="utf-8"?>
<sst xmlns="http://schemas.openxmlformats.org/spreadsheetml/2006/main" count="48" uniqueCount="34">
  <si>
    <t>賞与支給控除一覧表</t>
    <phoneticPr fontId="4"/>
  </si>
  <si>
    <t/>
  </si>
  <si>
    <t>冬季賞与</t>
    <phoneticPr fontId="4"/>
  </si>
  <si>
    <t>1020</t>
    <phoneticPr fontId="4"/>
  </si>
  <si>
    <t>1024</t>
    <phoneticPr fontId="4"/>
  </si>
  <si>
    <t>1036</t>
    <phoneticPr fontId="4"/>
  </si>
  <si>
    <t>1041</t>
    <phoneticPr fontId="4"/>
  </si>
  <si>
    <t>項目名</t>
    <phoneticPr fontId="4"/>
  </si>
  <si>
    <t>深沢　道夫</t>
    <phoneticPr fontId="4"/>
  </si>
  <si>
    <t>若林　裕子</t>
    <phoneticPr fontId="4"/>
  </si>
  <si>
    <t>渋谷　晶子</t>
    <phoneticPr fontId="4"/>
  </si>
  <si>
    <t>浅田　恵美子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</si>
  <si>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</si>
  <si>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</si>
  <si>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</si>
  <si>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</si>
  <si>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</si>
  <si>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</si>
  <si>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</si>
  <si>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</si>
  <si>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</si>
  <si>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</si>
  <si>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</si>
  <si>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</si>
  <si>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</si>
  <si>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</si>
  <si>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</si>
  <si>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(減税設定額)</t>
    <phoneticPr fontId="4"/>
  </si>
  <si>
    <t>還付金</t>
    <rPh sb="0" eb="3">
      <t>カンプキン</t>
    </rPh>
    <phoneticPr fontId="3"/>
  </si>
  <si>
    <t>小計</t>
    <rPh sb="0" eb="2">
      <t>ショウケイ</t>
    </rPh>
    <phoneticPr fontId="3"/>
  </si>
  <si>
    <t>１名</t>
    <rPh sb="1" eb="2">
      <t>メイ</t>
    </rPh>
    <phoneticPr fontId="3"/>
  </si>
  <si>
    <t>3名</t>
    <rPh sb="1" eb="2">
      <t>メイ</t>
    </rPh>
    <phoneticPr fontId="3"/>
  </si>
  <si>
    <t>４名</t>
    <rPh sb="1" eb="2">
      <t>メイ</t>
    </rPh>
    <phoneticPr fontId="4"/>
  </si>
  <si>
    <t>現金支給</t>
    <rPh sb="0" eb="2">
      <t>ゲンキン</t>
    </rPh>
    <rPh sb="2" eb="4">
      <t>シキュウ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</si>
</sst>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3" fontId="2" fillId="0" borderId="2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1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4" xfId="1" applyNumberFormat="1" applyFont="1" applyBorder="1"/>
    <xf numFmtId="176" fontId="2" fillId="0" borderId="2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3" fontId="2" fillId="0" borderId="7" xfId="1" applyNumberFormat="1" applyFont="1" applyBorder="1"/>
    <xf numFmtId="3" fontId="2" fillId="0" borderId="8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176" fontId="2" fillId="0" borderId="19" xfId="1" applyNumberFormat="1" applyFont="1" applyBorder="1"/>
    <xf numFmtId="3" fontId="2" fillId="0" borderId="16" xfId="1" applyNumberFormat="1" applyFont="1" applyBorder="1"/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right"/>
    </xf>
    <xf numFmtId="49" fontId="2" fillId="0" borderId="22" xfId="1" applyNumberFormat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176" fontId="2" fillId="0" borderId="26" xfId="1" applyNumberFormat="1" applyFont="1" applyBorder="1"/>
    <xf numFmtId="3" fontId="2" fillId="0" borderId="23" xfId="1" applyNumberFormat="1" applyFont="1" applyBorder="1"/>
    <xf numFmtId="0" fontId="2" fillId="0" borderId="3" xfId="1" applyFont="1" applyBorder="1"/>
    <xf numFmtId="3" fontId="2" fillId="0" borderId="30" xfId="1" applyNumberFormat="1" applyFont="1" applyBorder="1"/>
    <xf numFmtId="3" fontId="2" fillId="0" borderId="29" xfId="1" applyNumberFormat="1" applyFont="1" applyBorder="1"/>
  </cellXfs>
  <cellStyles count="2">
    <cellStyle name="標準" xfId="0" builtinId="0"/>
    <cellStyle name="標準 2" xfId="1" xr:uid="{54CDA144-24F6-4E84-B86C-4DC281D3B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1603-28AC-4258-ADCA-BBF7CDB90E77}">
  <dimension ref="A1:I2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9" width="12.75" style="2" customWidth="1"/>
    <col min="10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13.25" style="2" bestFit="1" customWidth="1"/>
    <col min="264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13.25" style="2" bestFit="1" customWidth="1"/>
    <col min="520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13.25" style="2" bestFit="1" customWidth="1"/>
    <col min="776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13.25" style="2" bestFit="1" customWidth="1"/>
    <col min="1032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13.25" style="2" bestFit="1" customWidth="1"/>
    <col min="1288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13.25" style="2" bestFit="1" customWidth="1"/>
    <col min="1544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13.25" style="2" bestFit="1" customWidth="1"/>
    <col min="1800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13.25" style="2" bestFit="1" customWidth="1"/>
    <col min="2056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13.25" style="2" bestFit="1" customWidth="1"/>
    <col min="2312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13.25" style="2" bestFit="1" customWidth="1"/>
    <col min="2568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13.25" style="2" bestFit="1" customWidth="1"/>
    <col min="2824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13.25" style="2" bestFit="1" customWidth="1"/>
    <col min="3080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13.25" style="2" bestFit="1" customWidth="1"/>
    <col min="3336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13.25" style="2" bestFit="1" customWidth="1"/>
    <col min="3592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13.25" style="2" bestFit="1" customWidth="1"/>
    <col min="3848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13.25" style="2" bestFit="1" customWidth="1"/>
    <col min="4104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13.25" style="2" bestFit="1" customWidth="1"/>
    <col min="4360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13.25" style="2" bestFit="1" customWidth="1"/>
    <col min="4616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13.25" style="2" bestFit="1" customWidth="1"/>
    <col min="4872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13.25" style="2" bestFit="1" customWidth="1"/>
    <col min="5128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13.25" style="2" bestFit="1" customWidth="1"/>
    <col min="5384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13.25" style="2" bestFit="1" customWidth="1"/>
    <col min="5640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13.25" style="2" bestFit="1" customWidth="1"/>
    <col min="5896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13.25" style="2" bestFit="1" customWidth="1"/>
    <col min="6152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13.25" style="2" bestFit="1" customWidth="1"/>
    <col min="6408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13.25" style="2" bestFit="1" customWidth="1"/>
    <col min="6664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13.25" style="2" bestFit="1" customWidth="1"/>
    <col min="6920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13.25" style="2" bestFit="1" customWidth="1"/>
    <col min="7176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13.25" style="2" bestFit="1" customWidth="1"/>
    <col min="7432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13.25" style="2" bestFit="1" customWidth="1"/>
    <col min="7688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13.25" style="2" bestFit="1" customWidth="1"/>
    <col min="7944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13.25" style="2" bestFit="1" customWidth="1"/>
    <col min="8200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13.25" style="2" bestFit="1" customWidth="1"/>
    <col min="8456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13.25" style="2" bestFit="1" customWidth="1"/>
    <col min="8712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13.25" style="2" bestFit="1" customWidth="1"/>
    <col min="8968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13.25" style="2" bestFit="1" customWidth="1"/>
    <col min="9224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13.25" style="2" bestFit="1" customWidth="1"/>
    <col min="9480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13.25" style="2" bestFit="1" customWidth="1"/>
    <col min="9736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13.25" style="2" bestFit="1" customWidth="1"/>
    <col min="9992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13.25" style="2" bestFit="1" customWidth="1"/>
    <col min="10248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13.25" style="2" bestFit="1" customWidth="1"/>
    <col min="10504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13.25" style="2" bestFit="1" customWidth="1"/>
    <col min="10760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13.25" style="2" bestFit="1" customWidth="1"/>
    <col min="11016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13.25" style="2" bestFit="1" customWidth="1"/>
    <col min="11272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13.25" style="2" bestFit="1" customWidth="1"/>
    <col min="11528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13.25" style="2" bestFit="1" customWidth="1"/>
    <col min="11784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13.25" style="2" bestFit="1" customWidth="1"/>
    <col min="12040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13.25" style="2" bestFit="1" customWidth="1"/>
    <col min="12296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13.25" style="2" bestFit="1" customWidth="1"/>
    <col min="12552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13.25" style="2" bestFit="1" customWidth="1"/>
    <col min="12808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13.25" style="2" bestFit="1" customWidth="1"/>
    <col min="13064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13.25" style="2" bestFit="1" customWidth="1"/>
    <col min="13320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13.25" style="2" bestFit="1" customWidth="1"/>
    <col min="13576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13.25" style="2" bestFit="1" customWidth="1"/>
    <col min="13832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13.25" style="2" bestFit="1" customWidth="1"/>
    <col min="14088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13.25" style="2" bestFit="1" customWidth="1"/>
    <col min="14344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13.25" style="2" bestFit="1" customWidth="1"/>
    <col min="14600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13.25" style="2" bestFit="1" customWidth="1"/>
    <col min="14856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13.25" style="2" bestFit="1" customWidth="1"/>
    <col min="15112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13.25" style="2" bestFit="1" customWidth="1"/>
    <col min="15368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13.25" style="2" bestFit="1" customWidth="1"/>
    <col min="15624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13.25" style="2" bestFit="1" customWidth="1"/>
    <col min="15880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13.25" style="2" bestFit="1" customWidth="1"/>
    <col min="16136" max="16384" width="9" style="2"/>
  </cols>
  <sheetData>
    <row r="1" spans="1:9">
      <c r="A1" s="1" t="s">
        <v>0</v>
      </c>
    </row>
    <row r="2" spans="1:9" ht="19.5" thickBot="1">
      <c r="A2" s="1" t="s">
        <v>2</v>
      </c>
    </row>
    <row r="3" spans="1:9">
      <c r="B3" s="8"/>
      <c r="C3" s="27" t="s">
        <v>4</v>
      </c>
      <c r="D3" s="36" t="s">
        <v>29</v>
      </c>
      <c r="E3" s="12" t="s">
        <v>6</v>
      </c>
      <c r="F3" s="38" t="s">
        <v>3</v>
      </c>
      <c r="G3" s="27" t="s">
        <v>5</v>
      </c>
      <c r="H3" s="36" t="s">
        <v>29</v>
      </c>
      <c r="I3" s="47" t="s">
        <v>12</v>
      </c>
    </row>
    <row r="4" spans="1:9" ht="19.5" thickBot="1">
      <c r="B4" s="3" t="s">
        <v>7</v>
      </c>
      <c r="C4" s="28" t="s">
        <v>9</v>
      </c>
      <c r="D4" s="37" t="s">
        <v>30</v>
      </c>
      <c r="E4" s="13" t="s">
        <v>11</v>
      </c>
      <c r="F4" s="39" t="s">
        <v>8</v>
      </c>
      <c r="G4" s="28" t="s">
        <v>10</v>
      </c>
      <c r="H4" s="37" t="s">
        <v>31</v>
      </c>
      <c r="I4" s="3" t="s">
        <v>32</v>
      </c>
    </row>
    <row r="5" spans="1:9">
      <c r="A5" s="1" t="s">
        <v>1</v>
      </c>
      <c r="B5" s="24" t="s">
        <v>13</v>
      </c>
      <c r="C5" s="29">
        <v>0</v>
      </c>
      <c r="D5" s="26">
        <f>SUM(C5)</f>
        <v>0</v>
      </c>
      <c r="E5" s="25">
        <v>390000</v>
      </c>
      <c r="F5" s="40">
        <v>135000</v>
      </c>
      <c r="G5" s="29">
        <v>0</v>
      </c>
      <c r="H5" s="26">
        <f>SUM(E5:G5)</f>
        <v>525000</v>
      </c>
      <c r="I5" s="26">
        <f>SUM(H5,D5)</f>
        <v>525000</v>
      </c>
    </row>
    <row r="6" spans="1:9">
      <c r="A6" s="1" t="s">
        <v>1</v>
      </c>
      <c r="B6" s="21" t="s">
        <v>14</v>
      </c>
      <c r="C6" s="30">
        <v>0</v>
      </c>
      <c r="D6" s="23">
        <f t="shared" ref="D6:D20" si="0">SUM(C6)</f>
        <v>0</v>
      </c>
      <c r="E6" s="22">
        <v>0</v>
      </c>
      <c r="F6" s="41">
        <v>33000</v>
      </c>
      <c r="G6" s="30">
        <v>0</v>
      </c>
      <c r="H6" s="23">
        <f t="shared" ref="H6:H21" si="1">SUM(E6:G6)</f>
        <v>33000</v>
      </c>
      <c r="I6" s="23">
        <f t="shared" ref="I6:I20" si="2">SUM(H6,D6)</f>
        <v>33000</v>
      </c>
    </row>
    <row r="7" spans="1:9">
      <c r="A7" s="1" t="s">
        <v>1</v>
      </c>
      <c r="B7" s="4" t="s">
        <v>15</v>
      </c>
      <c r="C7" s="31">
        <v>0</v>
      </c>
      <c r="D7" s="5">
        <f t="shared" si="0"/>
        <v>0</v>
      </c>
      <c r="E7" s="14">
        <v>0</v>
      </c>
      <c r="F7" s="42">
        <v>2000</v>
      </c>
      <c r="G7" s="31">
        <v>0</v>
      </c>
      <c r="H7" s="5">
        <f t="shared" si="1"/>
        <v>2000</v>
      </c>
      <c r="I7" s="5">
        <f t="shared" si="2"/>
        <v>2000</v>
      </c>
    </row>
    <row r="8" spans="1:9">
      <c r="A8" s="1" t="s">
        <v>1</v>
      </c>
      <c r="B8" s="9" t="s">
        <v>16</v>
      </c>
      <c r="C8" s="32">
        <v>0</v>
      </c>
      <c r="D8" s="10">
        <f t="shared" si="0"/>
        <v>0</v>
      </c>
      <c r="E8" s="15">
        <v>390000</v>
      </c>
      <c r="F8" s="43">
        <v>170000</v>
      </c>
      <c r="G8" s="32">
        <v>0</v>
      </c>
      <c r="H8" s="10">
        <f t="shared" si="1"/>
        <v>560000</v>
      </c>
      <c r="I8" s="10">
        <f t="shared" si="2"/>
        <v>560000</v>
      </c>
    </row>
    <row r="9" spans="1:9">
      <c r="A9" s="1" t="s">
        <v>1</v>
      </c>
      <c r="B9" s="18" t="s">
        <v>17</v>
      </c>
      <c r="C9" s="33">
        <v>0</v>
      </c>
      <c r="D9" s="20">
        <f t="shared" si="0"/>
        <v>0</v>
      </c>
      <c r="E9" s="19">
        <v>19890</v>
      </c>
      <c r="F9" s="44">
        <v>8670</v>
      </c>
      <c r="G9" s="33">
        <v>0</v>
      </c>
      <c r="H9" s="20">
        <f>SUM(E9:G9)</f>
        <v>28560</v>
      </c>
      <c r="I9" s="20">
        <f t="shared" si="2"/>
        <v>28560</v>
      </c>
    </row>
    <row r="10" spans="1:9">
      <c r="A10" s="1" t="s">
        <v>1</v>
      </c>
      <c r="B10" s="21" t="s">
        <v>18</v>
      </c>
      <c r="C10" s="30">
        <v>0</v>
      </c>
      <c r="D10" s="23">
        <f t="shared" si="0"/>
        <v>0</v>
      </c>
      <c r="E10" s="22">
        <v>3510</v>
      </c>
      <c r="F10" s="41">
        <v>1530</v>
      </c>
      <c r="G10" s="30">
        <v>0</v>
      </c>
      <c r="H10" s="23">
        <f t="shared" si="1"/>
        <v>5040</v>
      </c>
      <c r="I10" s="23">
        <f t="shared" si="2"/>
        <v>5040</v>
      </c>
    </row>
    <row r="11" spans="1:9">
      <c r="A11" s="1" t="s">
        <v>1</v>
      </c>
      <c r="B11" s="21" t="s">
        <v>19</v>
      </c>
      <c r="C11" s="30">
        <v>0</v>
      </c>
      <c r="D11" s="23">
        <f t="shared" si="0"/>
        <v>0</v>
      </c>
      <c r="E11" s="22">
        <v>35685</v>
      </c>
      <c r="F11" s="41">
        <v>15555</v>
      </c>
      <c r="G11" s="30">
        <v>0</v>
      </c>
      <c r="H11" s="23">
        <f t="shared" si="1"/>
        <v>51240</v>
      </c>
      <c r="I11" s="23">
        <f t="shared" si="2"/>
        <v>51240</v>
      </c>
    </row>
    <row r="12" spans="1:9">
      <c r="A12" s="1" t="s">
        <v>1</v>
      </c>
      <c r="B12" s="4" t="s">
        <v>20</v>
      </c>
      <c r="C12" s="31">
        <v>0</v>
      </c>
      <c r="D12" s="5">
        <f t="shared" si="0"/>
        <v>0</v>
      </c>
      <c r="E12" s="14">
        <v>2340</v>
      </c>
      <c r="F12" s="42">
        <v>1020</v>
      </c>
      <c r="G12" s="31">
        <v>0</v>
      </c>
      <c r="H12" s="5">
        <f t="shared" si="1"/>
        <v>3360</v>
      </c>
      <c r="I12" s="5">
        <f t="shared" si="2"/>
        <v>3360</v>
      </c>
    </row>
    <row r="13" spans="1:9">
      <c r="A13" s="1"/>
      <c r="B13" s="9" t="s">
        <v>23</v>
      </c>
      <c r="C13" s="32">
        <v>0</v>
      </c>
      <c r="D13" s="10">
        <f t="shared" si="0"/>
        <v>0</v>
      </c>
      <c r="E13" s="15">
        <v>61425</v>
      </c>
      <c r="F13" s="43">
        <v>26775</v>
      </c>
      <c r="G13" s="32">
        <v>0</v>
      </c>
      <c r="H13" s="10">
        <f t="shared" si="1"/>
        <v>88200</v>
      </c>
      <c r="I13" s="10">
        <f t="shared" si="2"/>
        <v>88200</v>
      </c>
    </row>
    <row r="14" spans="1:9">
      <c r="A14" s="1" t="s">
        <v>1</v>
      </c>
      <c r="B14" s="9" t="s">
        <v>21</v>
      </c>
      <c r="C14" s="32">
        <v>0</v>
      </c>
      <c r="D14" s="10">
        <f t="shared" si="0"/>
        <v>0</v>
      </c>
      <c r="E14" s="15">
        <v>328575</v>
      </c>
      <c r="F14" s="43">
        <v>143225</v>
      </c>
      <c r="G14" s="32">
        <v>0</v>
      </c>
      <c r="H14" s="10">
        <f t="shared" si="1"/>
        <v>471800</v>
      </c>
      <c r="I14" s="10">
        <f t="shared" si="2"/>
        <v>471800</v>
      </c>
    </row>
    <row r="15" spans="1:9">
      <c r="A15" s="1" t="s">
        <v>1</v>
      </c>
      <c r="B15" s="18" t="s">
        <v>22</v>
      </c>
      <c r="C15" s="33">
        <v>0</v>
      </c>
      <c r="D15" s="20">
        <f t="shared" si="0"/>
        <v>0</v>
      </c>
      <c r="E15" s="19">
        <v>40257</v>
      </c>
      <c r="F15" s="44">
        <v>11698</v>
      </c>
      <c r="G15" s="33">
        <v>0</v>
      </c>
      <c r="H15" s="20">
        <f t="shared" si="1"/>
        <v>51955</v>
      </c>
      <c r="I15" s="20">
        <f t="shared" si="2"/>
        <v>51955</v>
      </c>
    </row>
    <row r="16" spans="1:9">
      <c r="A16" s="1"/>
      <c r="B16" s="4" t="s">
        <v>28</v>
      </c>
      <c r="C16" s="34">
        <v>-3600</v>
      </c>
      <c r="D16" s="11">
        <f t="shared" si="0"/>
        <v>-3600</v>
      </c>
      <c r="E16" s="16">
        <v>-44684</v>
      </c>
      <c r="F16" s="45">
        <v>-28911</v>
      </c>
      <c r="G16" s="34">
        <v>-4960</v>
      </c>
      <c r="H16" s="11">
        <f t="shared" si="1"/>
        <v>-78555</v>
      </c>
      <c r="I16" s="11">
        <f>SUM(H16,D16)</f>
        <v>-82155</v>
      </c>
    </row>
    <row r="17" spans="1:9">
      <c r="A17" s="1" t="s">
        <v>1</v>
      </c>
      <c r="B17" s="9" t="s">
        <v>24</v>
      </c>
      <c r="C17" s="32">
        <v>3600</v>
      </c>
      <c r="D17" s="10">
        <f t="shared" si="0"/>
        <v>3600</v>
      </c>
      <c r="E17" s="15">
        <v>333002</v>
      </c>
      <c r="F17" s="43">
        <v>160438</v>
      </c>
      <c r="G17" s="32">
        <v>4960</v>
      </c>
      <c r="H17" s="10">
        <f t="shared" si="1"/>
        <v>498400</v>
      </c>
      <c r="I17" s="10">
        <f t="shared" si="2"/>
        <v>502000</v>
      </c>
    </row>
    <row r="18" spans="1:9">
      <c r="A18" s="1" t="s">
        <v>1</v>
      </c>
      <c r="B18" s="9" t="s">
        <v>25</v>
      </c>
      <c r="C18" s="32">
        <v>0</v>
      </c>
      <c r="D18" s="10">
        <f t="shared" si="0"/>
        <v>0</v>
      </c>
      <c r="E18" s="15">
        <v>333002</v>
      </c>
      <c r="F18" s="43">
        <v>160438</v>
      </c>
      <c r="G18" s="32">
        <v>4960</v>
      </c>
      <c r="H18" s="10">
        <f t="shared" si="1"/>
        <v>498400</v>
      </c>
      <c r="I18" s="10">
        <f>SUM(H18,D18)</f>
        <v>498400</v>
      </c>
    </row>
    <row r="19" spans="1:9">
      <c r="A19" s="1"/>
      <c r="B19" s="9" t="s">
        <v>33</v>
      </c>
      <c r="C19" s="32">
        <v>3600</v>
      </c>
      <c r="D19" s="10">
        <f t="shared" si="0"/>
        <v>3600</v>
      </c>
      <c r="E19" s="15"/>
      <c r="F19" s="43"/>
      <c r="G19" s="32"/>
      <c r="H19" s="10"/>
      <c r="I19" s="10">
        <f t="shared" si="2"/>
        <v>3600</v>
      </c>
    </row>
    <row r="20" spans="1:9">
      <c r="A20" s="1" t="s">
        <v>1</v>
      </c>
      <c r="B20" s="9" t="s">
        <v>26</v>
      </c>
      <c r="C20" s="32">
        <v>0</v>
      </c>
      <c r="D20" s="10">
        <f t="shared" si="0"/>
        <v>0</v>
      </c>
      <c r="E20" s="15">
        <v>40257</v>
      </c>
      <c r="F20" s="43">
        <v>11698</v>
      </c>
      <c r="G20" s="32">
        <v>0</v>
      </c>
      <c r="H20" s="10">
        <f t="shared" si="1"/>
        <v>51955</v>
      </c>
      <c r="I20" s="10">
        <f t="shared" si="2"/>
        <v>51955</v>
      </c>
    </row>
    <row r="21" spans="1:9" ht="19.5" thickBot="1">
      <c r="A21" s="1" t="s">
        <v>1</v>
      </c>
      <c r="B21" s="6" t="s">
        <v>27</v>
      </c>
      <c r="C21" s="35">
        <v>30000</v>
      </c>
      <c r="D21" s="7">
        <v>30000</v>
      </c>
      <c r="E21" s="17">
        <v>30000</v>
      </c>
      <c r="F21" s="46">
        <v>30000</v>
      </c>
      <c r="G21" s="35">
        <v>30000</v>
      </c>
      <c r="H21" s="49">
        <f t="shared" si="1"/>
        <v>90000</v>
      </c>
      <c r="I21" s="48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冬季賞与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2024-12-14T00:43:44Z</cp:lastPrinted>
  <dcterms:created xsi:type="dcterms:W3CDTF">2024-12-14T00:02:00Z</dcterms:created>
  <dcterms:modified xsi:type="dcterms:W3CDTF">2024-12-19T07:06:31Z</dcterms:modified>
</cp:coreProperties>
</file>