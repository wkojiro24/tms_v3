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4\2024.冬季賞与\"/>
    </mc:Choice>
  </mc:AlternateContent>
  <xr:revisionPtr revIDLastSave="0" documentId="13_ncr:1_{04BD12A1-22A2-468A-959F-AD6DE269D03B}" xr6:coauthVersionLast="47" xr6:coauthVersionMax="47" xr10:uidLastSave="{00000000-0000-0000-0000-000000000000}"/>
  <bookViews>
    <workbookView xWindow="-120" yWindow="-120" windowWidth="20730" windowHeight="11040" xr2:uid="{DD35527E-098A-4F67-A005-5CA53D7E7736}"/>
  </bookViews>
  <sheets>
    <sheet name="冬季賞与 (2)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3" l="1"/>
  <c r="N15" i="3"/>
  <c r="N16" i="3"/>
  <c r="N17" i="3"/>
  <c r="N19" i="3"/>
  <c r="M6" i="3"/>
  <c r="N6" i="3" s="1"/>
  <c r="M7" i="3"/>
  <c r="N7" i="3" s="1"/>
  <c r="M8" i="3"/>
  <c r="N8" i="3" s="1"/>
  <c r="M9" i="3"/>
  <c r="N9" i="3" s="1"/>
  <c r="M10" i="3"/>
  <c r="N10" i="3" s="1"/>
  <c r="M11" i="3"/>
  <c r="N11" i="3" s="1"/>
  <c r="M12" i="3"/>
  <c r="N12" i="3" s="1"/>
  <c r="M13" i="3"/>
  <c r="N13" i="3" s="1"/>
  <c r="M14" i="3"/>
  <c r="M15" i="3"/>
  <c r="M16" i="3"/>
  <c r="M17" i="3"/>
  <c r="M18" i="3"/>
  <c r="N18" i="3" s="1"/>
  <c r="M19" i="3"/>
  <c r="M20" i="3"/>
  <c r="N20" i="3" s="1"/>
  <c r="M5" i="3"/>
  <c r="N5" i="3" s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5" i="3"/>
</calcChain>
</file>

<file path=xl/sharedStrings.xml><?xml version="1.0" encoding="utf-8"?>
<sst xmlns="http://schemas.openxmlformats.org/spreadsheetml/2006/main" count="59" uniqueCount="44">
  <si>
    <t>賞与支給控除一覧表</t>
    <phoneticPr fontId="4"/>
  </si>
  <si>
    <t/>
  </si>
  <si>
    <t>冬季賞与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</si>
  <si>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</si>
  <si>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</si>
  <si>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</si>
  <si>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</si>
  <si>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</si>
  <si>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</si>
  <si>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</si>
  <si>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</si>
  <si>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1117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</si>
  <si>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</si>
  <si>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</si>
  <si>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</si>
  <si>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</si>
  <si>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</si>
  <si>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禎尚</t>
    <phoneticPr fontId="4"/>
  </si>
  <si>
    <t>土谷　栄</t>
    <phoneticPr fontId="4"/>
  </si>
  <si>
    <t>白井　博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</si>
  <si>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</si>
  <si>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</si>
  <si>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</si>
  <si>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</si>
  <si>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</si>
  <si>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</si>
  <si>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</si>
  <si>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</si>
  <si>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</si>
  <si>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</si>
  <si>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</si>
  <si>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</si>
  <si>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差引支給合計</t>
    <phoneticPr fontId="4"/>
  </si>
  <si>
    <t>振込支給１</t>
    <phoneticPr fontId="4"/>
  </si>
  <si>
    <t>(減税前税額)</t>
    <phoneticPr fontId="4"/>
  </si>
  <si>
    <t>(定額減税額)</t>
    <phoneticPr fontId="4"/>
  </si>
  <si>
    <t>(減税設定額)</t>
    <phoneticPr fontId="4"/>
  </si>
  <si>
    <t>還付金</t>
    <rPh sb="0" eb="3">
      <t>カンプキン</t>
    </rPh>
    <phoneticPr fontId="3"/>
  </si>
  <si>
    <t>小計</t>
    <rPh sb="0" eb="2">
      <t>ショウケイ</t>
    </rPh>
    <phoneticPr fontId="3"/>
  </si>
  <si>
    <t>３名</t>
    <rPh sb="1" eb="2">
      <t>メイ</t>
    </rPh>
    <phoneticPr fontId="3"/>
  </si>
  <si>
    <t>6名</t>
    <rPh sb="1" eb="2">
      <t>メイ</t>
    </rPh>
    <phoneticPr fontId="3"/>
  </si>
  <si>
    <t>９名</t>
    <rPh sb="1" eb="2">
      <t>メイ</t>
    </rPh>
    <phoneticPr fontId="4"/>
  </si>
  <si>
    <t>佐藤ゆうこ</t>
    <phoneticPr fontId="4"/>
  </si>
  <si>
    <t>小田島健司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</si>
</sst>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5" xfId="1" applyNumberFormat="1" applyFont="1" applyBorder="1"/>
    <xf numFmtId="176" fontId="2" fillId="0" borderId="0" xfId="1" applyNumberFormat="1" applyFont="1"/>
    <xf numFmtId="176" fontId="2" fillId="0" borderId="4" xfId="1" applyNumberFormat="1" applyFont="1" applyBorder="1"/>
    <xf numFmtId="0" fontId="2" fillId="0" borderId="7" xfId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0" fontId="2" fillId="0" borderId="7" xfId="1" applyFont="1" applyBorder="1"/>
    <xf numFmtId="49" fontId="2" fillId="0" borderId="3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6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left"/>
    </xf>
    <xf numFmtId="3" fontId="2" fillId="0" borderId="21" xfId="1" applyNumberFormat="1" applyFont="1" applyBorder="1"/>
    <xf numFmtId="3" fontId="2" fillId="0" borderId="20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4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</cellXfs>
  <cellStyles count="2">
    <cellStyle name="標準" xfId="0" builtinId="0"/>
    <cellStyle name="標準 2" xfId="1" xr:uid="{57AACBEC-AE92-4D9F-A24F-6E532F6F3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9BAB-31B8-43DF-B3C0-B63B3CC40193}">
  <dimension ref="A1:N21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0.3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/>
    <col min="267" max="267" width="13.25" style="2" bestFit="1" customWidth="1"/>
    <col min="268" max="268" width="9" style="2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/>
    <col min="523" max="523" width="13.25" style="2" bestFit="1" customWidth="1"/>
    <col min="524" max="524" width="9" style="2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/>
    <col min="779" max="779" width="13.25" style="2" bestFit="1" customWidth="1"/>
    <col min="780" max="780" width="9" style="2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/>
    <col min="1035" max="1035" width="13.25" style="2" bestFit="1" customWidth="1"/>
    <col min="1036" max="1036" width="9" style="2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/>
    <col min="1291" max="1291" width="13.25" style="2" bestFit="1" customWidth="1"/>
    <col min="1292" max="1292" width="9" style="2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/>
    <col min="1547" max="1547" width="13.25" style="2" bestFit="1" customWidth="1"/>
    <col min="1548" max="1548" width="9" style="2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/>
    <col min="1803" max="1803" width="13.25" style="2" bestFit="1" customWidth="1"/>
    <col min="1804" max="1804" width="9" style="2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/>
    <col min="2059" max="2059" width="13.25" style="2" bestFit="1" customWidth="1"/>
    <col min="2060" max="2060" width="9" style="2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/>
    <col min="2315" max="2315" width="13.25" style="2" bestFit="1" customWidth="1"/>
    <col min="2316" max="2316" width="9" style="2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/>
    <col min="2571" max="2571" width="13.25" style="2" bestFit="1" customWidth="1"/>
    <col min="2572" max="2572" width="9" style="2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/>
    <col min="2827" max="2827" width="13.25" style="2" bestFit="1" customWidth="1"/>
    <col min="2828" max="2828" width="9" style="2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/>
    <col min="3083" max="3083" width="13.25" style="2" bestFit="1" customWidth="1"/>
    <col min="3084" max="3084" width="9" style="2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/>
    <col min="3339" max="3339" width="13.25" style="2" bestFit="1" customWidth="1"/>
    <col min="3340" max="3340" width="9" style="2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/>
    <col min="3595" max="3595" width="13.25" style="2" bestFit="1" customWidth="1"/>
    <col min="3596" max="3596" width="9" style="2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/>
    <col min="3851" max="3851" width="13.25" style="2" bestFit="1" customWidth="1"/>
    <col min="3852" max="3852" width="9" style="2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/>
    <col min="4107" max="4107" width="13.25" style="2" bestFit="1" customWidth="1"/>
    <col min="4108" max="4108" width="9" style="2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/>
    <col min="4363" max="4363" width="13.25" style="2" bestFit="1" customWidth="1"/>
    <col min="4364" max="4364" width="9" style="2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/>
    <col min="4619" max="4619" width="13.25" style="2" bestFit="1" customWidth="1"/>
    <col min="4620" max="4620" width="9" style="2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/>
    <col min="4875" max="4875" width="13.25" style="2" bestFit="1" customWidth="1"/>
    <col min="4876" max="4876" width="9" style="2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/>
    <col min="5131" max="5131" width="13.25" style="2" bestFit="1" customWidth="1"/>
    <col min="5132" max="5132" width="9" style="2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/>
    <col min="5387" max="5387" width="13.25" style="2" bestFit="1" customWidth="1"/>
    <col min="5388" max="5388" width="9" style="2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/>
    <col min="5643" max="5643" width="13.25" style="2" bestFit="1" customWidth="1"/>
    <col min="5644" max="5644" width="9" style="2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/>
    <col min="5899" max="5899" width="13.25" style="2" bestFit="1" customWidth="1"/>
    <col min="5900" max="5900" width="9" style="2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/>
    <col min="6155" max="6155" width="13.25" style="2" bestFit="1" customWidth="1"/>
    <col min="6156" max="6156" width="9" style="2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/>
    <col min="6411" max="6411" width="13.25" style="2" bestFit="1" customWidth="1"/>
    <col min="6412" max="6412" width="9" style="2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/>
    <col min="6667" max="6667" width="13.25" style="2" bestFit="1" customWidth="1"/>
    <col min="6668" max="6668" width="9" style="2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/>
    <col min="6923" max="6923" width="13.25" style="2" bestFit="1" customWidth="1"/>
    <col min="6924" max="6924" width="9" style="2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/>
    <col min="7179" max="7179" width="13.25" style="2" bestFit="1" customWidth="1"/>
    <col min="7180" max="7180" width="9" style="2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/>
    <col min="7435" max="7435" width="13.25" style="2" bestFit="1" customWidth="1"/>
    <col min="7436" max="7436" width="9" style="2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/>
    <col min="7691" max="7691" width="13.25" style="2" bestFit="1" customWidth="1"/>
    <col min="7692" max="7692" width="9" style="2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/>
    <col min="7947" max="7947" width="13.25" style="2" bestFit="1" customWidth="1"/>
    <col min="7948" max="7948" width="9" style="2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/>
    <col min="8203" max="8203" width="13.25" style="2" bestFit="1" customWidth="1"/>
    <col min="8204" max="8204" width="9" style="2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/>
    <col min="8459" max="8459" width="13.25" style="2" bestFit="1" customWidth="1"/>
    <col min="8460" max="8460" width="9" style="2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/>
    <col min="8715" max="8715" width="13.25" style="2" bestFit="1" customWidth="1"/>
    <col min="8716" max="8716" width="9" style="2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/>
    <col min="8971" max="8971" width="13.25" style="2" bestFit="1" customWidth="1"/>
    <col min="8972" max="8972" width="9" style="2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/>
    <col min="9227" max="9227" width="13.25" style="2" bestFit="1" customWidth="1"/>
    <col min="9228" max="9228" width="9" style="2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/>
    <col min="9483" max="9483" width="13.25" style="2" bestFit="1" customWidth="1"/>
    <col min="9484" max="9484" width="9" style="2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/>
    <col min="9739" max="9739" width="13.25" style="2" bestFit="1" customWidth="1"/>
    <col min="9740" max="9740" width="9" style="2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/>
    <col min="9995" max="9995" width="13.25" style="2" bestFit="1" customWidth="1"/>
    <col min="9996" max="9996" width="9" style="2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/>
    <col min="10251" max="10251" width="13.25" style="2" bestFit="1" customWidth="1"/>
    <col min="10252" max="10252" width="9" style="2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/>
    <col min="10507" max="10507" width="13.25" style="2" bestFit="1" customWidth="1"/>
    <col min="10508" max="10508" width="9" style="2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/>
    <col min="10763" max="10763" width="13.25" style="2" bestFit="1" customWidth="1"/>
    <col min="10764" max="10764" width="9" style="2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/>
    <col min="11019" max="11019" width="13.25" style="2" bestFit="1" customWidth="1"/>
    <col min="11020" max="11020" width="9" style="2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/>
    <col min="11275" max="11275" width="13.25" style="2" bestFit="1" customWidth="1"/>
    <col min="11276" max="11276" width="9" style="2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/>
    <col min="11531" max="11531" width="13.25" style="2" bestFit="1" customWidth="1"/>
    <col min="11532" max="11532" width="9" style="2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/>
    <col min="11787" max="11787" width="13.25" style="2" bestFit="1" customWidth="1"/>
    <col min="11788" max="11788" width="9" style="2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/>
    <col min="12043" max="12043" width="13.25" style="2" bestFit="1" customWidth="1"/>
    <col min="12044" max="12044" width="9" style="2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/>
    <col min="12299" max="12299" width="13.25" style="2" bestFit="1" customWidth="1"/>
    <col min="12300" max="12300" width="9" style="2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/>
    <col min="12555" max="12555" width="13.25" style="2" bestFit="1" customWidth="1"/>
    <col min="12556" max="12556" width="9" style="2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/>
    <col min="12811" max="12811" width="13.25" style="2" bestFit="1" customWidth="1"/>
    <col min="12812" max="12812" width="9" style="2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/>
    <col min="13067" max="13067" width="13.25" style="2" bestFit="1" customWidth="1"/>
    <col min="13068" max="13068" width="9" style="2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/>
    <col min="13323" max="13323" width="13.25" style="2" bestFit="1" customWidth="1"/>
    <col min="13324" max="13324" width="9" style="2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/>
    <col min="13579" max="13579" width="13.25" style="2" bestFit="1" customWidth="1"/>
    <col min="13580" max="13580" width="9" style="2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/>
    <col min="13835" max="13835" width="13.25" style="2" bestFit="1" customWidth="1"/>
    <col min="13836" max="13836" width="9" style="2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/>
    <col min="14091" max="14091" width="13.25" style="2" bestFit="1" customWidth="1"/>
    <col min="14092" max="14092" width="9" style="2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/>
    <col min="14347" max="14347" width="13.25" style="2" bestFit="1" customWidth="1"/>
    <col min="14348" max="14348" width="9" style="2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/>
    <col min="14603" max="14603" width="13.25" style="2" bestFit="1" customWidth="1"/>
    <col min="14604" max="14604" width="9" style="2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/>
    <col min="14859" max="14859" width="13.25" style="2" bestFit="1" customWidth="1"/>
    <col min="14860" max="14860" width="9" style="2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/>
    <col min="15115" max="15115" width="13.25" style="2" bestFit="1" customWidth="1"/>
    <col min="15116" max="15116" width="9" style="2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/>
    <col min="15371" max="15371" width="13.25" style="2" bestFit="1" customWidth="1"/>
    <col min="15372" max="15372" width="9" style="2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/>
    <col min="15627" max="15627" width="13.25" style="2" bestFit="1" customWidth="1"/>
    <col min="15628" max="15628" width="9" style="2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/>
    <col min="15883" max="15883" width="13.25" style="2" bestFit="1" customWidth="1"/>
    <col min="15884" max="15884" width="9" style="2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/>
    <col min="16139" max="16139" width="13.25" style="2" bestFit="1" customWidth="1"/>
    <col min="16140" max="16140" width="9" style="2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2</v>
      </c>
    </row>
    <row r="3" spans="1:14">
      <c r="B3" s="17"/>
      <c r="C3" s="21" t="s">
        <v>6</v>
      </c>
      <c r="D3" s="22" t="s">
        <v>8</v>
      </c>
      <c r="E3" s="4" t="s">
        <v>7</v>
      </c>
      <c r="F3" s="18" t="s">
        <v>38</v>
      </c>
      <c r="G3" s="21" t="s">
        <v>3</v>
      </c>
      <c r="H3" s="22" t="s">
        <v>4</v>
      </c>
      <c r="I3" s="22" t="s">
        <v>5</v>
      </c>
      <c r="J3" s="22" t="s">
        <v>9</v>
      </c>
      <c r="K3" s="22" t="s">
        <v>10</v>
      </c>
      <c r="L3" s="4" t="s">
        <v>11</v>
      </c>
      <c r="M3" s="18" t="s">
        <v>38</v>
      </c>
      <c r="N3" s="19" t="s">
        <v>20</v>
      </c>
    </row>
    <row r="4" spans="1:14" ht="19.5" thickBot="1">
      <c r="B4" s="5" t="s">
        <v>12</v>
      </c>
      <c r="C4" s="23" t="s">
        <v>16</v>
      </c>
      <c r="D4" s="24" t="s">
        <v>17</v>
      </c>
      <c r="E4" s="3" t="s">
        <v>42</v>
      </c>
      <c r="F4" s="20" t="s">
        <v>39</v>
      </c>
      <c r="G4" s="23" t="s">
        <v>13</v>
      </c>
      <c r="H4" s="24" t="s">
        <v>14</v>
      </c>
      <c r="I4" s="24" t="s">
        <v>15</v>
      </c>
      <c r="J4" s="24" t="s">
        <v>18</v>
      </c>
      <c r="K4" s="24" t="s">
        <v>43</v>
      </c>
      <c r="L4" s="3" t="s">
        <v>19</v>
      </c>
      <c r="M4" s="20" t="s">
        <v>40</v>
      </c>
      <c r="N4" s="5" t="s">
        <v>41</v>
      </c>
    </row>
    <row r="5" spans="1:14">
      <c r="A5" s="1" t="s">
        <v>1</v>
      </c>
      <c r="B5" s="43" t="s">
        <v>21</v>
      </c>
      <c r="C5" s="46">
        <v>370000</v>
      </c>
      <c r="D5" s="47">
        <v>360000</v>
      </c>
      <c r="E5" s="44">
        <v>63000</v>
      </c>
      <c r="F5" s="45">
        <f>SUM(C5:E5)</f>
        <v>793000</v>
      </c>
      <c r="G5" s="46">
        <v>75000</v>
      </c>
      <c r="H5" s="47">
        <v>75000</v>
      </c>
      <c r="I5" s="47">
        <v>75000</v>
      </c>
      <c r="J5" s="47">
        <v>63000</v>
      </c>
      <c r="K5" s="47">
        <v>63000</v>
      </c>
      <c r="L5" s="44">
        <v>18667</v>
      </c>
      <c r="M5" s="45">
        <f>SUM(G5:L5)</f>
        <v>369667</v>
      </c>
      <c r="N5" s="45">
        <f>SUM(M5,F5)</f>
        <v>1162667</v>
      </c>
    </row>
    <row r="6" spans="1:14">
      <c r="A6" s="1" t="s">
        <v>1</v>
      </c>
      <c r="B6" s="38" t="s">
        <v>22</v>
      </c>
      <c r="C6" s="41">
        <v>0</v>
      </c>
      <c r="D6" s="42">
        <v>0</v>
      </c>
      <c r="E6" s="39">
        <v>0</v>
      </c>
      <c r="F6" s="40">
        <f t="shared" ref="F6:F20" si="0">SUM(C6:E6)</f>
        <v>0</v>
      </c>
      <c r="G6" s="41">
        <v>15000</v>
      </c>
      <c r="H6" s="42">
        <v>0</v>
      </c>
      <c r="I6" s="42">
        <v>0</v>
      </c>
      <c r="J6" s="42">
        <v>0</v>
      </c>
      <c r="K6" s="42">
        <v>0</v>
      </c>
      <c r="L6" s="39">
        <v>0</v>
      </c>
      <c r="M6" s="40">
        <f t="shared" ref="M6:M20" si="1">SUM(G6:L6)</f>
        <v>15000</v>
      </c>
      <c r="N6" s="40">
        <f t="shared" ref="N6:N20" si="2">SUM(M6,F6)</f>
        <v>15000</v>
      </c>
    </row>
    <row r="7" spans="1:14">
      <c r="A7" s="1" t="s">
        <v>1</v>
      </c>
      <c r="B7" s="6" t="s">
        <v>23</v>
      </c>
      <c r="C7" s="25">
        <v>0</v>
      </c>
      <c r="D7" s="26">
        <v>0</v>
      </c>
      <c r="E7" s="7">
        <v>6000</v>
      </c>
      <c r="F7" s="8">
        <f t="shared" si="0"/>
        <v>6000</v>
      </c>
      <c r="G7" s="25">
        <v>6000</v>
      </c>
      <c r="H7" s="26">
        <v>5000</v>
      </c>
      <c r="I7" s="26">
        <v>0</v>
      </c>
      <c r="J7" s="26">
        <v>0</v>
      </c>
      <c r="K7" s="26">
        <v>0</v>
      </c>
      <c r="L7" s="7">
        <v>0</v>
      </c>
      <c r="M7" s="8">
        <f t="shared" si="1"/>
        <v>11000</v>
      </c>
      <c r="N7" s="8">
        <f t="shared" si="2"/>
        <v>17000</v>
      </c>
    </row>
    <row r="8" spans="1:14">
      <c r="A8" s="1" t="s">
        <v>1</v>
      </c>
      <c r="B8" s="12" t="s">
        <v>24</v>
      </c>
      <c r="C8" s="27">
        <v>370000</v>
      </c>
      <c r="D8" s="28">
        <v>360000</v>
      </c>
      <c r="E8" s="13">
        <v>69000</v>
      </c>
      <c r="F8" s="14">
        <f t="shared" si="0"/>
        <v>799000</v>
      </c>
      <c r="G8" s="27">
        <v>96000</v>
      </c>
      <c r="H8" s="28">
        <v>80000</v>
      </c>
      <c r="I8" s="28">
        <v>75000</v>
      </c>
      <c r="J8" s="28">
        <v>63000</v>
      </c>
      <c r="K8" s="28">
        <v>63000</v>
      </c>
      <c r="L8" s="13">
        <v>18667</v>
      </c>
      <c r="M8" s="14">
        <f t="shared" si="1"/>
        <v>395667</v>
      </c>
      <c r="N8" s="14">
        <f t="shared" si="2"/>
        <v>1194667</v>
      </c>
    </row>
    <row r="9" spans="1:14">
      <c r="A9" s="1" t="s">
        <v>1</v>
      </c>
      <c r="B9" s="33" t="s">
        <v>25</v>
      </c>
      <c r="C9" s="36">
        <v>18870</v>
      </c>
      <c r="D9" s="37">
        <v>18360</v>
      </c>
      <c r="E9" s="34">
        <v>3519</v>
      </c>
      <c r="F9" s="35">
        <f t="shared" si="0"/>
        <v>40749</v>
      </c>
      <c r="G9" s="36">
        <v>4896</v>
      </c>
      <c r="H9" s="37">
        <v>4080</v>
      </c>
      <c r="I9" s="37">
        <v>3825</v>
      </c>
      <c r="J9" s="37">
        <v>3213</v>
      </c>
      <c r="K9" s="37">
        <v>3213</v>
      </c>
      <c r="L9" s="34">
        <v>918</v>
      </c>
      <c r="M9" s="35">
        <f t="shared" si="1"/>
        <v>20145</v>
      </c>
      <c r="N9" s="35">
        <f t="shared" si="2"/>
        <v>60894</v>
      </c>
    </row>
    <row r="10" spans="1:14">
      <c r="A10" s="1" t="s">
        <v>1</v>
      </c>
      <c r="B10" s="38" t="s">
        <v>26</v>
      </c>
      <c r="C10" s="41">
        <v>3330</v>
      </c>
      <c r="D10" s="42">
        <v>3240</v>
      </c>
      <c r="E10" s="39">
        <v>0</v>
      </c>
      <c r="F10" s="40">
        <f t="shared" si="0"/>
        <v>6570</v>
      </c>
      <c r="G10" s="41">
        <v>864</v>
      </c>
      <c r="H10" s="42">
        <v>720</v>
      </c>
      <c r="I10" s="42">
        <v>675</v>
      </c>
      <c r="J10" s="42">
        <v>567</v>
      </c>
      <c r="K10" s="42">
        <v>567</v>
      </c>
      <c r="L10" s="39">
        <v>162</v>
      </c>
      <c r="M10" s="40">
        <f t="shared" si="1"/>
        <v>3555</v>
      </c>
      <c r="N10" s="40">
        <f t="shared" si="2"/>
        <v>10125</v>
      </c>
    </row>
    <row r="11" spans="1:14">
      <c r="A11" s="1" t="s">
        <v>1</v>
      </c>
      <c r="B11" s="38" t="s">
        <v>27</v>
      </c>
      <c r="C11" s="41">
        <v>33855</v>
      </c>
      <c r="D11" s="42">
        <v>32940</v>
      </c>
      <c r="E11" s="39">
        <v>6313</v>
      </c>
      <c r="F11" s="40">
        <f t="shared" si="0"/>
        <v>73108</v>
      </c>
      <c r="G11" s="41">
        <v>8784</v>
      </c>
      <c r="H11" s="42">
        <v>7320</v>
      </c>
      <c r="I11" s="42">
        <v>6862</v>
      </c>
      <c r="J11" s="42">
        <v>5764</v>
      </c>
      <c r="K11" s="42">
        <v>5764</v>
      </c>
      <c r="L11" s="39">
        <v>1647</v>
      </c>
      <c r="M11" s="40">
        <f t="shared" si="1"/>
        <v>36141</v>
      </c>
      <c r="N11" s="40">
        <f t="shared" si="2"/>
        <v>109249</v>
      </c>
    </row>
    <row r="12" spans="1:14">
      <c r="A12" s="1" t="s">
        <v>1</v>
      </c>
      <c r="B12" s="6" t="s">
        <v>28</v>
      </c>
      <c r="C12" s="25">
        <v>2220</v>
      </c>
      <c r="D12" s="26">
        <v>2160</v>
      </c>
      <c r="E12" s="7">
        <v>414</v>
      </c>
      <c r="F12" s="8">
        <f t="shared" si="0"/>
        <v>4794</v>
      </c>
      <c r="G12" s="25">
        <v>576</v>
      </c>
      <c r="H12" s="26">
        <v>480</v>
      </c>
      <c r="I12" s="26">
        <v>450</v>
      </c>
      <c r="J12" s="26">
        <v>378</v>
      </c>
      <c r="K12" s="26">
        <v>378</v>
      </c>
      <c r="L12" s="7">
        <v>112</v>
      </c>
      <c r="M12" s="8">
        <f t="shared" si="1"/>
        <v>2374</v>
      </c>
      <c r="N12" s="8">
        <f t="shared" si="2"/>
        <v>7168</v>
      </c>
    </row>
    <row r="13" spans="1:14">
      <c r="A13" s="1"/>
      <c r="B13" s="12" t="s">
        <v>31</v>
      </c>
      <c r="C13" s="27">
        <v>58275</v>
      </c>
      <c r="D13" s="28">
        <v>56700</v>
      </c>
      <c r="E13" s="13">
        <v>10246</v>
      </c>
      <c r="F13" s="14">
        <f t="shared" si="0"/>
        <v>125221</v>
      </c>
      <c r="G13" s="27">
        <v>15120</v>
      </c>
      <c r="H13" s="28">
        <v>12600</v>
      </c>
      <c r="I13" s="28">
        <v>11812</v>
      </c>
      <c r="J13" s="28">
        <v>9922</v>
      </c>
      <c r="K13" s="28">
        <v>9922</v>
      </c>
      <c r="L13" s="13">
        <v>2839</v>
      </c>
      <c r="M13" s="14">
        <f t="shared" si="1"/>
        <v>62215</v>
      </c>
      <c r="N13" s="14">
        <f t="shared" si="2"/>
        <v>187436</v>
      </c>
    </row>
    <row r="14" spans="1:14">
      <c r="A14" s="1" t="s">
        <v>1</v>
      </c>
      <c r="B14" s="12" t="s">
        <v>29</v>
      </c>
      <c r="C14" s="27">
        <v>311725</v>
      </c>
      <c r="D14" s="28">
        <v>303300</v>
      </c>
      <c r="E14" s="13">
        <v>58754</v>
      </c>
      <c r="F14" s="14">
        <f t="shared" si="0"/>
        <v>673779</v>
      </c>
      <c r="G14" s="27">
        <v>80880</v>
      </c>
      <c r="H14" s="28">
        <v>67400</v>
      </c>
      <c r="I14" s="28">
        <v>63188</v>
      </c>
      <c r="J14" s="28">
        <v>53078</v>
      </c>
      <c r="K14" s="28">
        <v>53078</v>
      </c>
      <c r="L14" s="13">
        <v>15828</v>
      </c>
      <c r="M14" s="14">
        <f t="shared" si="1"/>
        <v>333452</v>
      </c>
      <c r="N14" s="14">
        <f t="shared" si="2"/>
        <v>1007231</v>
      </c>
    </row>
    <row r="15" spans="1:14">
      <c r="A15" s="1" t="s">
        <v>1</v>
      </c>
      <c r="B15" s="33" t="s">
        <v>30</v>
      </c>
      <c r="C15" s="36">
        <v>25461</v>
      </c>
      <c r="D15" s="37">
        <v>24773</v>
      </c>
      <c r="E15" s="34">
        <v>2399</v>
      </c>
      <c r="F15" s="35">
        <f t="shared" si="0"/>
        <v>52633</v>
      </c>
      <c r="G15" s="36">
        <v>0</v>
      </c>
      <c r="H15" s="37">
        <v>2752</v>
      </c>
      <c r="I15" s="37">
        <v>3870</v>
      </c>
      <c r="J15" s="37">
        <v>4335</v>
      </c>
      <c r="K15" s="37">
        <v>0</v>
      </c>
      <c r="L15" s="34">
        <v>323</v>
      </c>
      <c r="M15" s="35">
        <f t="shared" si="1"/>
        <v>11280</v>
      </c>
      <c r="N15" s="35">
        <f t="shared" si="2"/>
        <v>63913</v>
      </c>
    </row>
    <row r="16" spans="1:14">
      <c r="A16" s="1"/>
      <c r="B16" s="6" t="s">
        <v>37</v>
      </c>
      <c r="C16" s="29">
        <v>-44120</v>
      </c>
      <c r="D16" s="30">
        <v>-84292</v>
      </c>
      <c r="E16" s="15">
        <v>-9471</v>
      </c>
      <c r="F16" s="16">
        <f t="shared" si="0"/>
        <v>-137883</v>
      </c>
      <c r="G16" s="29">
        <v>-27070</v>
      </c>
      <c r="H16" s="30">
        <v>-41543</v>
      </c>
      <c r="I16" s="30">
        <v>-15769</v>
      </c>
      <c r="J16" s="30">
        <v>-16011</v>
      </c>
      <c r="K16" s="30">
        <v>-26350</v>
      </c>
      <c r="L16" s="15">
        <v>-49783</v>
      </c>
      <c r="M16" s="16">
        <f t="shared" si="1"/>
        <v>-176526</v>
      </c>
      <c r="N16" s="16">
        <f t="shared" si="2"/>
        <v>-314409</v>
      </c>
    </row>
    <row r="17" spans="1:14">
      <c r="A17" s="1" t="s">
        <v>1</v>
      </c>
      <c r="B17" s="12" t="s">
        <v>32</v>
      </c>
      <c r="C17" s="27">
        <v>330384</v>
      </c>
      <c r="D17" s="28">
        <v>362819</v>
      </c>
      <c r="E17" s="13">
        <v>65826</v>
      </c>
      <c r="F17" s="14">
        <f t="shared" si="0"/>
        <v>759029</v>
      </c>
      <c r="G17" s="27">
        <v>107950</v>
      </c>
      <c r="H17" s="28">
        <v>106191</v>
      </c>
      <c r="I17" s="28">
        <v>75087</v>
      </c>
      <c r="J17" s="28">
        <v>64754</v>
      </c>
      <c r="K17" s="28">
        <v>79428</v>
      </c>
      <c r="L17" s="13">
        <v>65288</v>
      </c>
      <c r="M17" s="14">
        <f t="shared" si="1"/>
        <v>498698</v>
      </c>
      <c r="N17" s="14">
        <f t="shared" si="2"/>
        <v>1257727</v>
      </c>
    </row>
    <row r="18" spans="1:14">
      <c r="A18" s="1" t="s">
        <v>1</v>
      </c>
      <c r="B18" s="12" t="s">
        <v>33</v>
      </c>
      <c r="C18" s="27">
        <v>330384</v>
      </c>
      <c r="D18" s="28">
        <v>362819</v>
      </c>
      <c r="E18" s="13">
        <v>65826</v>
      </c>
      <c r="F18" s="14">
        <f t="shared" si="0"/>
        <v>759029</v>
      </c>
      <c r="G18" s="27">
        <v>107950</v>
      </c>
      <c r="H18" s="28">
        <v>106191</v>
      </c>
      <c r="I18" s="28">
        <v>75087</v>
      </c>
      <c r="J18" s="28">
        <v>64754</v>
      </c>
      <c r="K18" s="28">
        <v>79428</v>
      </c>
      <c r="L18" s="13">
        <v>65288</v>
      </c>
      <c r="M18" s="14">
        <f t="shared" si="1"/>
        <v>498698</v>
      </c>
      <c r="N18" s="14">
        <f t="shared" si="2"/>
        <v>1257727</v>
      </c>
    </row>
    <row r="19" spans="1:14">
      <c r="A19" s="1" t="s">
        <v>1</v>
      </c>
      <c r="B19" s="12" t="s">
        <v>34</v>
      </c>
      <c r="C19" s="27">
        <v>25461</v>
      </c>
      <c r="D19" s="28">
        <v>24773</v>
      </c>
      <c r="E19" s="13">
        <v>2399</v>
      </c>
      <c r="F19" s="14">
        <f t="shared" si="0"/>
        <v>52633</v>
      </c>
      <c r="G19" s="27">
        <v>4954</v>
      </c>
      <c r="H19" s="28">
        <v>2752</v>
      </c>
      <c r="I19" s="28">
        <v>3870</v>
      </c>
      <c r="J19" s="28">
        <v>4335</v>
      </c>
      <c r="K19" s="28">
        <v>3251</v>
      </c>
      <c r="L19" s="13">
        <v>323</v>
      </c>
      <c r="M19" s="14">
        <f t="shared" si="1"/>
        <v>19485</v>
      </c>
      <c r="N19" s="14">
        <f t="shared" si="2"/>
        <v>72118</v>
      </c>
    </row>
    <row r="20" spans="1:14">
      <c r="A20" s="1" t="s">
        <v>1</v>
      </c>
      <c r="B20" s="12" t="s">
        <v>35</v>
      </c>
      <c r="C20" s="27">
        <v>0</v>
      </c>
      <c r="D20" s="28">
        <v>0</v>
      </c>
      <c r="E20" s="13">
        <v>0</v>
      </c>
      <c r="F20" s="14">
        <f t="shared" si="0"/>
        <v>0</v>
      </c>
      <c r="G20" s="27">
        <v>4954</v>
      </c>
      <c r="H20" s="28">
        <v>0</v>
      </c>
      <c r="I20" s="28">
        <v>0</v>
      </c>
      <c r="J20" s="28">
        <v>0</v>
      </c>
      <c r="K20" s="28">
        <v>3251</v>
      </c>
      <c r="L20" s="13">
        <v>0</v>
      </c>
      <c r="M20" s="14">
        <f t="shared" si="1"/>
        <v>8205</v>
      </c>
      <c r="N20" s="14">
        <f t="shared" si="2"/>
        <v>8205</v>
      </c>
    </row>
    <row r="21" spans="1:14" ht="19.5" thickBot="1">
      <c r="A21" s="1" t="s">
        <v>1</v>
      </c>
      <c r="B21" s="9" t="s">
        <v>36</v>
      </c>
      <c r="C21" s="31">
        <v>60000</v>
      </c>
      <c r="D21" s="32">
        <v>30000</v>
      </c>
      <c r="E21" s="10">
        <v>30000</v>
      </c>
      <c r="F21" s="11"/>
      <c r="G21" s="31">
        <v>120000</v>
      </c>
      <c r="H21" s="32">
        <v>30000</v>
      </c>
      <c r="I21" s="32">
        <v>30000</v>
      </c>
      <c r="J21" s="32">
        <v>30000</v>
      </c>
      <c r="K21" s="32">
        <v>90000</v>
      </c>
      <c r="L21" s="10">
        <v>0</v>
      </c>
      <c r="M21" s="11"/>
      <c r="N21" s="11"/>
    </row>
  </sheetData>
  <phoneticPr fontId="3"/>
  <pageMargins left="0.7" right="0.7" top="0.75" bottom="0.75" header="0.3" footer="0.3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2024-12-14T05:15:32Z</cp:lastPrinted>
  <dcterms:created xsi:type="dcterms:W3CDTF">2024-12-14T00:05:15Z</dcterms:created>
  <dcterms:modified xsi:type="dcterms:W3CDTF">2024-12-19T07:05:23Z</dcterms:modified>
</cp:coreProperties>
</file>