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01給与計算関係\弥生給与明細\2024年度\2024.冬季賞与\"/>
    </mc:Choice>
  </mc:AlternateContent>
  <xr:revisionPtr revIDLastSave="0" documentId="13_ncr:1_{A2FE0D27-95CC-4CCF-8DFD-4F4903B86A28}" xr6:coauthVersionLast="47" xr6:coauthVersionMax="47" xr10:uidLastSave="{00000000-0000-0000-0000-000000000000}"/>
  <bookViews>
    <workbookView xWindow="-120" yWindow="-120" windowWidth="20730" windowHeight="11040" xr2:uid="{2152DBCA-8542-4522-A2FF-D65AEF3722D8}"/>
  </bookViews>
  <sheets>
    <sheet name="冬季賞与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I7" i="2"/>
  <c r="I17" i="2"/>
  <c r="I18" i="2"/>
  <c r="I19" i="2"/>
  <c r="D6" i="2"/>
  <c r="D7" i="2"/>
  <c r="D8" i="2"/>
  <c r="D9" i="2"/>
  <c r="D10" i="2"/>
  <c r="D11" i="2"/>
  <c r="D12" i="2"/>
  <c r="D13" i="2"/>
  <c r="D14" i="2"/>
  <c r="I14" i="2" s="1"/>
  <c r="D15" i="2"/>
  <c r="I15" i="2" s="1"/>
  <c r="D16" i="2"/>
  <c r="I16" i="2" s="1"/>
  <c r="D17" i="2"/>
  <c r="D18" i="2"/>
  <c r="D19" i="2"/>
  <c r="D5" i="2"/>
  <c r="H6" i="2"/>
  <c r="H7" i="2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H15" i="2"/>
  <c r="H16" i="2"/>
  <c r="H17" i="2"/>
  <c r="H18" i="2"/>
  <c r="H19" i="2"/>
  <c r="H5" i="2"/>
  <c r="I5" i="2" s="1"/>
</calcChain>
</file>

<file path=xl/sharedStrings.xml><?xml version="1.0" encoding="utf-8"?>
<sst xmlns="http://schemas.openxmlformats.org/spreadsheetml/2006/main" count="47" uniqueCount="33">
  <si>
    <t>賞与支給控除一覧表</t>
    <phoneticPr fontId="4"/>
  </si>
  <si>
    <t/>
  </si>
  <si>
    <t>冬季賞与</t>
    <phoneticPr fontId="4"/>
  </si>
  <si>
    <t>1049</t>
    <phoneticPr fontId="4"/>
  </si>
  <si>
    <t>1050</t>
    <phoneticPr fontId="4"/>
  </si>
  <si>
    <t>1078</t>
    <phoneticPr fontId="4"/>
  </si>
  <si>
    <t>1114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</si>
  <si>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</si>
  <si>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</si>
  <si>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</si>
  <si>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</si>
  <si>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</si>
  <si>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</si>
  <si>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</si>
  <si>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</si>
  <si>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</si>
  <si>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</si>
  <si>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</si>
  <si>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</si>
  <si>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</si>
  <si>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</si>
  <si>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</si>
  <si>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</si>
  <si>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</si>
  <si>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</si>
  <si>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</si>
  <si>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</si>
  <si>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(減税設定額)</t>
    <phoneticPr fontId="4"/>
  </si>
  <si>
    <t>還付金</t>
    <rPh sb="0" eb="3">
      <t>カンプキン</t>
    </rPh>
    <phoneticPr fontId="3"/>
  </si>
  <si>
    <t>小計</t>
    <rPh sb="0" eb="2">
      <t>ショウケイ</t>
    </rPh>
    <phoneticPr fontId="3"/>
  </si>
  <si>
    <t>1名</t>
    <rPh sb="1" eb="2">
      <t>メイ</t>
    </rPh>
    <phoneticPr fontId="3"/>
  </si>
  <si>
    <t>3名</t>
    <rPh sb="1" eb="2">
      <t>メイ</t>
    </rPh>
    <phoneticPr fontId="3"/>
  </si>
  <si>
    <t>4名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</si>
</sst>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0" xfId="1" applyFont="1" applyBorder="1"/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 applyBorder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179" fontId="2" fillId="0" borderId="10" xfId="1" applyNumberFormat="1" applyFont="1" applyBorder="1"/>
    <xf numFmtId="179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0" fontId="2" fillId="0" borderId="15" xfId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179" fontId="2" fillId="0" borderId="30" xfId="1" applyNumberFormat="1" applyFont="1" applyBorder="1"/>
    <xf numFmtId="179" fontId="2" fillId="0" borderId="31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179" fontId="2" fillId="0" borderId="39" xfId="1" applyNumberFormat="1" applyFont="1" applyBorder="1"/>
    <xf numFmtId="3" fontId="2" fillId="0" borderId="33" xfId="1" applyNumberFormat="1" applyFont="1" applyBorder="1"/>
  </cellXfs>
  <cellStyles count="2">
    <cellStyle name="標準" xfId="0" builtinId="0"/>
    <cellStyle name="標準 2" xfId="1" xr:uid="{B44CA776-6769-496E-B7B1-728994F587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08B8-CD57-4430-B9FE-DD15132D4BCA}">
  <dimension ref="A1:I20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L7" sqref="L7"/>
    </sheetView>
  </sheetViews>
  <sheetFormatPr defaultRowHeight="18.75"/>
  <cols>
    <col min="1" max="1" width="2.375" style="2" customWidth="1"/>
    <col min="2" max="2" width="13.25" style="2" bestFit="1" customWidth="1"/>
    <col min="3" max="9" width="11.75" style="2" customWidth="1"/>
    <col min="10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 bestFit="1"/>
    <col min="264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 bestFit="1"/>
    <col min="520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 bestFit="1"/>
    <col min="776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 bestFit="1"/>
    <col min="1032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 bestFit="1"/>
    <col min="1288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 bestFit="1"/>
    <col min="1544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 bestFit="1"/>
    <col min="1800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 bestFit="1"/>
    <col min="2056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 bestFit="1"/>
    <col min="2312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 bestFit="1"/>
    <col min="2568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 bestFit="1"/>
    <col min="2824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 bestFit="1"/>
    <col min="3080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 bestFit="1"/>
    <col min="3336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 bestFit="1"/>
    <col min="3592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 bestFit="1"/>
    <col min="3848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 bestFit="1"/>
    <col min="4104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 bestFit="1"/>
    <col min="4360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 bestFit="1"/>
    <col min="4616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 bestFit="1"/>
    <col min="4872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 bestFit="1"/>
    <col min="5128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 bestFit="1"/>
    <col min="5384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 bestFit="1"/>
    <col min="5640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 bestFit="1"/>
    <col min="5896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 bestFit="1"/>
    <col min="6152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 bestFit="1"/>
    <col min="6408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 bestFit="1"/>
    <col min="6664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 bestFit="1"/>
    <col min="6920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 bestFit="1"/>
    <col min="7176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 bestFit="1"/>
    <col min="7432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 bestFit="1"/>
    <col min="7688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 bestFit="1"/>
    <col min="7944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 bestFit="1"/>
    <col min="8200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 bestFit="1"/>
    <col min="8456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 bestFit="1"/>
    <col min="8712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 bestFit="1"/>
    <col min="8968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 bestFit="1"/>
    <col min="9224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 bestFit="1"/>
    <col min="9480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 bestFit="1"/>
    <col min="9736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 bestFit="1"/>
    <col min="9992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 bestFit="1"/>
    <col min="10248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 bestFit="1"/>
    <col min="10504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 bestFit="1"/>
    <col min="10760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 bestFit="1"/>
    <col min="11016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 bestFit="1"/>
    <col min="11272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 bestFit="1"/>
    <col min="11528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 bestFit="1"/>
    <col min="11784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 bestFit="1"/>
    <col min="12040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 bestFit="1"/>
    <col min="12296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 bestFit="1"/>
    <col min="12552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 bestFit="1"/>
    <col min="12808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 bestFit="1"/>
    <col min="13064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 bestFit="1"/>
    <col min="13320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 bestFit="1"/>
    <col min="13576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 bestFit="1"/>
    <col min="13832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 bestFit="1"/>
    <col min="14088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 bestFit="1"/>
    <col min="14344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 bestFit="1"/>
    <col min="14600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 bestFit="1"/>
    <col min="14856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 bestFit="1"/>
    <col min="15112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 bestFit="1"/>
    <col min="15368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 bestFit="1"/>
    <col min="15624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 bestFit="1"/>
    <col min="15880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 bestFit="1"/>
    <col min="16136" max="16384" width="9" style="2"/>
  </cols>
  <sheetData>
    <row r="1" spans="1:9">
      <c r="A1" s="1" t="s">
        <v>0</v>
      </c>
    </row>
    <row r="2" spans="1:9" ht="19.5" thickBot="1">
      <c r="A2" s="1" t="s">
        <v>2</v>
      </c>
    </row>
    <row r="3" spans="1:9">
      <c r="B3" s="27"/>
      <c r="C3" s="48" t="s">
        <v>5</v>
      </c>
      <c r="D3" s="46" t="s">
        <v>29</v>
      </c>
      <c r="E3" s="28" t="s">
        <v>3</v>
      </c>
      <c r="F3" s="29" t="s">
        <v>4</v>
      </c>
      <c r="G3" s="5" t="s">
        <v>6</v>
      </c>
      <c r="H3" s="46" t="s">
        <v>29</v>
      </c>
      <c r="I3" s="27" t="s">
        <v>12</v>
      </c>
    </row>
    <row r="4" spans="1:9" ht="19.5" thickBot="1">
      <c r="A4" s="4"/>
      <c r="B4" s="6" t="s">
        <v>7</v>
      </c>
      <c r="C4" s="49" t="s">
        <v>10</v>
      </c>
      <c r="D4" s="47" t="s">
        <v>30</v>
      </c>
      <c r="E4" s="30" t="s">
        <v>8</v>
      </c>
      <c r="F4" s="31" t="s">
        <v>9</v>
      </c>
      <c r="G4" s="3" t="s">
        <v>11</v>
      </c>
      <c r="H4" s="47" t="s">
        <v>31</v>
      </c>
      <c r="I4" s="6" t="s">
        <v>32</v>
      </c>
    </row>
    <row r="5" spans="1:9">
      <c r="A5" s="1" t="s">
        <v>1</v>
      </c>
      <c r="B5" s="24" t="s">
        <v>13</v>
      </c>
      <c r="C5" s="50">
        <v>370000</v>
      </c>
      <c r="D5" s="26">
        <f>SUM(C5)</f>
        <v>370000</v>
      </c>
      <c r="E5" s="32">
        <v>75000</v>
      </c>
      <c r="F5" s="33">
        <v>88000</v>
      </c>
      <c r="G5" s="25">
        <v>75000</v>
      </c>
      <c r="H5" s="26">
        <f>SUM(E5:G5)</f>
        <v>238000</v>
      </c>
      <c r="I5" s="26">
        <f>SUM(H5,D5)</f>
        <v>608000</v>
      </c>
    </row>
    <row r="6" spans="1:9">
      <c r="A6" s="1" t="s">
        <v>1</v>
      </c>
      <c r="B6" s="21" t="s">
        <v>14</v>
      </c>
      <c r="C6" s="51">
        <v>0</v>
      </c>
      <c r="D6" s="23">
        <f t="shared" ref="D6:D19" si="0">SUM(C6)</f>
        <v>0</v>
      </c>
      <c r="E6" s="34">
        <v>15000</v>
      </c>
      <c r="F6" s="35">
        <v>0</v>
      </c>
      <c r="G6" s="22">
        <v>0</v>
      </c>
      <c r="H6" s="23">
        <f t="shared" ref="H6:H19" si="1">SUM(E6:G6)</f>
        <v>15000</v>
      </c>
      <c r="I6" s="23">
        <f t="shared" ref="I6:I19" si="2">SUM(H6,D6)</f>
        <v>15000</v>
      </c>
    </row>
    <row r="7" spans="1:9">
      <c r="A7" s="1" t="s">
        <v>1</v>
      </c>
      <c r="B7" s="7" t="s">
        <v>15</v>
      </c>
      <c r="C7" s="52">
        <v>0</v>
      </c>
      <c r="D7" s="9">
        <f t="shared" si="0"/>
        <v>0</v>
      </c>
      <c r="E7" s="36">
        <v>3000</v>
      </c>
      <c r="F7" s="37">
        <v>3000</v>
      </c>
      <c r="G7" s="8">
        <v>3000</v>
      </c>
      <c r="H7" s="9">
        <f t="shared" si="1"/>
        <v>9000</v>
      </c>
      <c r="I7" s="9">
        <f t="shared" si="2"/>
        <v>9000</v>
      </c>
    </row>
    <row r="8" spans="1:9">
      <c r="A8" s="1" t="s">
        <v>1</v>
      </c>
      <c r="B8" s="13" t="s">
        <v>16</v>
      </c>
      <c r="C8" s="53">
        <v>370000</v>
      </c>
      <c r="D8" s="15">
        <f t="shared" si="0"/>
        <v>370000</v>
      </c>
      <c r="E8" s="38">
        <v>93000</v>
      </c>
      <c r="F8" s="39">
        <v>91000</v>
      </c>
      <c r="G8" s="14">
        <v>78000</v>
      </c>
      <c r="H8" s="15">
        <f t="shared" si="1"/>
        <v>262000</v>
      </c>
      <c r="I8" s="15">
        <f t="shared" si="2"/>
        <v>632000</v>
      </c>
    </row>
    <row r="9" spans="1:9">
      <c r="A9" s="1" t="s">
        <v>1</v>
      </c>
      <c r="B9" s="16" t="s">
        <v>17</v>
      </c>
      <c r="C9" s="54">
        <v>18870</v>
      </c>
      <c r="D9" s="18">
        <f t="shared" si="0"/>
        <v>18870</v>
      </c>
      <c r="E9" s="40">
        <v>4743</v>
      </c>
      <c r="F9" s="41">
        <v>4641</v>
      </c>
      <c r="G9" s="17">
        <v>3978</v>
      </c>
      <c r="H9" s="18">
        <f t="shared" si="1"/>
        <v>13362</v>
      </c>
      <c r="I9" s="18">
        <f t="shared" si="2"/>
        <v>32232</v>
      </c>
    </row>
    <row r="10" spans="1:9">
      <c r="A10" s="1" t="s">
        <v>1</v>
      </c>
      <c r="B10" s="21" t="s">
        <v>18</v>
      </c>
      <c r="C10" s="51">
        <v>3330</v>
      </c>
      <c r="D10" s="23">
        <f t="shared" si="0"/>
        <v>3330</v>
      </c>
      <c r="E10" s="34">
        <v>0</v>
      </c>
      <c r="F10" s="35">
        <v>819</v>
      </c>
      <c r="G10" s="22">
        <v>702</v>
      </c>
      <c r="H10" s="23">
        <f t="shared" si="1"/>
        <v>1521</v>
      </c>
      <c r="I10" s="23">
        <f t="shared" si="2"/>
        <v>4851</v>
      </c>
    </row>
    <row r="11" spans="1:9">
      <c r="A11" s="1" t="s">
        <v>1</v>
      </c>
      <c r="B11" s="21" t="s">
        <v>19</v>
      </c>
      <c r="C11" s="51">
        <v>33855</v>
      </c>
      <c r="D11" s="23">
        <f t="shared" si="0"/>
        <v>33855</v>
      </c>
      <c r="E11" s="34">
        <v>8509</v>
      </c>
      <c r="F11" s="35">
        <v>8326</v>
      </c>
      <c r="G11" s="22">
        <v>7137</v>
      </c>
      <c r="H11" s="23">
        <f t="shared" si="1"/>
        <v>23972</v>
      </c>
      <c r="I11" s="23">
        <f t="shared" si="2"/>
        <v>57827</v>
      </c>
    </row>
    <row r="12" spans="1:9">
      <c r="A12" s="1" t="s">
        <v>1</v>
      </c>
      <c r="B12" s="7" t="s">
        <v>20</v>
      </c>
      <c r="C12" s="52">
        <v>2220</v>
      </c>
      <c r="D12" s="9">
        <f t="shared" si="0"/>
        <v>2220</v>
      </c>
      <c r="E12" s="36">
        <v>558</v>
      </c>
      <c r="F12" s="37">
        <v>546</v>
      </c>
      <c r="G12" s="8">
        <v>468</v>
      </c>
      <c r="H12" s="9">
        <f t="shared" si="1"/>
        <v>1572</v>
      </c>
      <c r="I12" s="9">
        <f t="shared" si="2"/>
        <v>3792</v>
      </c>
    </row>
    <row r="13" spans="1:9">
      <c r="A13" s="1"/>
      <c r="B13" s="13" t="s">
        <v>23</v>
      </c>
      <c r="C13" s="53">
        <v>58275</v>
      </c>
      <c r="D13" s="15">
        <f t="shared" si="0"/>
        <v>58275</v>
      </c>
      <c r="E13" s="38">
        <v>13810</v>
      </c>
      <c r="F13" s="39">
        <v>14332</v>
      </c>
      <c r="G13" s="14">
        <v>12285</v>
      </c>
      <c r="H13" s="15">
        <f t="shared" si="1"/>
        <v>40427</v>
      </c>
      <c r="I13" s="15">
        <f t="shared" si="2"/>
        <v>98702</v>
      </c>
    </row>
    <row r="14" spans="1:9">
      <c r="A14" s="1" t="s">
        <v>1</v>
      </c>
      <c r="B14" s="13" t="s">
        <v>21</v>
      </c>
      <c r="C14" s="53">
        <v>311725</v>
      </c>
      <c r="D14" s="15">
        <f t="shared" si="0"/>
        <v>311725</v>
      </c>
      <c r="E14" s="38">
        <v>79190</v>
      </c>
      <c r="F14" s="39">
        <v>76668</v>
      </c>
      <c r="G14" s="14">
        <v>65715</v>
      </c>
      <c r="H14" s="15">
        <f t="shared" si="1"/>
        <v>221573</v>
      </c>
      <c r="I14" s="15">
        <f t="shared" si="2"/>
        <v>533298</v>
      </c>
    </row>
    <row r="15" spans="1:9">
      <c r="A15" s="1" t="s">
        <v>1</v>
      </c>
      <c r="B15" s="16" t="s">
        <v>22</v>
      </c>
      <c r="C15" s="54">
        <v>25461</v>
      </c>
      <c r="D15" s="18">
        <f t="shared" si="0"/>
        <v>25461</v>
      </c>
      <c r="E15" s="40">
        <v>4851</v>
      </c>
      <c r="F15" s="41">
        <v>7827</v>
      </c>
      <c r="G15" s="17">
        <v>6709</v>
      </c>
      <c r="H15" s="18">
        <f t="shared" si="1"/>
        <v>19387</v>
      </c>
      <c r="I15" s="18">
        <f t="shared" si="2"/>
        <v>44848</v>
      </c>
    </row>
    <row r="16" spans="1:9">
      <c r="A16" s="1"/>
      <c r="B16" s="7" t="s">
        <v>28</v>
      </c>
      <c r="C16" s="55">
        <v>-30300</v>
      </c>
      <c r="D16" s="20">
        <f t="shared" si="0"/>
        <v>-30300</v>
      </c>
      <c r="E16" s="42">
        <v>-43787</v>
      </c>
      <c r="F16" s="43">
        <v>-27271</v>
      </c>
      <c r="G16" s="19">
        <v>-53795</v>
      </c>
      <c r="H16" s="20">
        <f t="shared" si="1"/>
        <v>-124853</v>
      </c>
      <c r="I16" s="20">
        <f t="shared" si="2"/>
        <v>-155153</v>
      </c>
    </row>
    <row r="17" spans="1:9">
      <c r="A17" s="1" t="s">
        <v>1</v>
      </c>
      <c r="B17" s="13" t="s">
        <v>24</v>
      </c>
      <c r="C17" s="53">
        <v>316564</v>
      </c>
      <c r="D17" s="15">
        <f t="shared" si="0"/>
        <v>316564</v>
      </c>
      <c r="E17" s="38">
        <v>118126</v>
      </c>
      <c r="F17" s="39">
        <v>96112</v>
      </c>
      <c r="G17" s="14">
        <v>112801</v>
      </c>
      <c r="H17" s="15">
        <f t="shared" si="1"/>
        <v>327039</v>
      </c>
      <c r="I17" s="15">
        <f t="shared" si="2"/>
        <v>643603</v>
      </c>
    </row>
    <row r="18" spans="1:9">
      <c r="A18" s="1" t="s">
        <v>1</v>
      </c>
      <c r="B18" s="13" t="s">
        <v>25</v>
      </c>
      <c r="C18" s="53">
        <v>316564</v>
      </c>
      <c r="D18" s="15">
        <f t="shared" si="0"/>
        <v>316564</v>
      </c>
      <c r="E18" s="38">
        <v>118126</v>
      </c>
      <c r="F18" s="39">
        <v>96112</v>
      </c>
      <c r="G18" s="14">
        <v>112801</v>
      </c>
      <c r="H18" s="15">
        <f t="shared" si="1"/>
        <v>327039</v>
      </c>
      <c r="I18" s="15">
        <f t="shared" si="2"/>
        <v>643603</v>
      </c>
    </row>
    <row r="19" spans="1:9">
      <c r="A19" s="1" t="s">
        <v>1</v>
      </c>
      <c r="B19" s="13" t="s">
        <v>26</v>
      </c>
      <c r="C19" s="53">
        <v>25461</v>
      </c>
      <c r="D19" s="15">
        <f t="shared" si="0"/>
        <v>25461</v>
      </c>
      <c r="E19" s="38">
        <v>4851</v>
      </c>
      <c r="F19" s="39">
        <v>7827</v>
      </c>
      <c r="G19" s="14">
        <v>6709</v>
      </c>
      <c r="H19" s="15">
        <f t="shared" si="1"/>
        <v>19387</v>
      </c>
      <c r="I19" s="15">
        <f t="shared" si="2"/>
        <v>44848</v>
      </c>
    </row>
    <row r="20" spans="1:9" ht="19.5" thickBot="1">
      <c r="A20" s="1" t="s">
        <v>1</v>
      </c>
      <c r="B20" s="10" t="s">
        <v>27</v>
      </c>
      <c r="C20" s="56">
        <v>60000</v>
      </c>
      <c r="D20" s="12"/>
      <c r="E20" s="44">
        <v>30000</v>
      </c>
      <c r="F20" s="45">
        <v>30000</v>
      </c>
      <c r="G20" s="11">
        <v>30000</v>
      </c>
      <c r="H20" s="12"/>
      <c r="I20" s="12"/>
    </row>
  </sheetData>
  <phoneticPr fontId="3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冬季賞与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2024-12-17T02:41:06Z</cp:lastPrinted>
  <dcterms:created xsi:type="dcterms:W3CDTF">2024-12-17T02:28:36Z</dcterms:created>
  <dcterms:modified xsi:type="dcterms:W3CDTF">2024-12-17T02:41:15Z</dcterms:modified>
</cp:coreProperties>
</file>