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冬季賞与\"/>
    </mc:Choice>
  </mc:AlternateContent>
  <xr:revisionPtr revIDLastSave="0" documentId="13_ncr:1_{85EAD1B5-301D-44A7-BC66-C9CD69F0136A}" xr6:coauthVersionLast="47" xr6:coauthVersionMax="47" xr10:uidLastSave="{00000000-0000-0000-0000-000000000000}"/>
  <bookViews>
    <workbookView xWindow="-120" yWindow="-120" windowWidth="20730" windowHeight="11040" xr2:uid="{1A75371E-B758-4ED9-9393-867141B9DC13}"/>
  </bookViews>
  <sheets>
    <sheet name="冬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L8" i="3"/>
  <c r="L17" i="3"/>
  <c r="L18" i="3"/>
  <c r="L19" i="3"/>
  <c r="L20" i="3"/>
  <c r="K6" i="3"/>
  <c r="K7" i="3"/>
  <c r="K8" i="3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K18" i="3"/>
  <c r="K19" i="3"/>
  <c r="K20" i="3"/>
  <c r="K5" i="3"/>
  <c r="L5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5" i="3"/>
</calcChain>
</file>

<file path=xl/sharedStrings.xml><?xml version="1.0" encoding="utf-8"?>
<sst xmlns="http://schemas.openxmlformats.org/spreadsheetml/2006/main" count="55" uniqueCount="40">
  <si>
    <t>賞与支給控除一覧表</t>
    <phoneticPr fontId="4"/>
  </si>
  <si>
    <t/>
  </si>
  <si>
    <t>冬季賞与</t>
    <phoneticPr fontId="4"/>
  </si>
  <si>
    <t>1025</t>
    <phoneticPr fontId="4"/>
  </si>
  <si>
    <t>1029</t>
    <phoneticPr fontId="4"/>
  </si>
  <si>
    <t>1030</t>
    <phoneticPr fontId="4"/>
  </si>
  <si>
    <t>1033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</si>
  <si>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</si>
  <si>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</si>
  <si>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</si>
  <si>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</si>
  <si>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</si>
  <si>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</si>
  <si>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</si>
  <si>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新治　泰子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</si>
  <si>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</si>
  <si>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</si>
  <si>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</si>
  <si>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</si>
  <si>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</si>
  <si>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</si>
  <si>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</si>
  <si>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</si>
  <si>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</si>
  <si>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</si>
  <si>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</si>
  <si>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</si>
  <si>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</si>
  <si>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</si>
  <si>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</si>
  <si>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</si>
  <si>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</si>
  <si>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</si>
  <si>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</si>
  <si>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</si>
  <si>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還付金</t>
    <rPh sb="0" eb="3">
      <t>カンプキン</t>
    </rPh>
    <phoneticPr fontId="3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</si>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</sst>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3" fontId="2" fillId="0" borderId="0" xfId="1" applyNumberFormat="1" applyFont="1"/>
    <xf numFmtId="3" fontId="2" fillId="0" borderId="2" xfId="1" applyNumberFormat="1" applyFont="1" applyBorder="1"/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6" xfId="1" applyNumberFormat="1" applyFont="1" applyBorder="1"/>
    <xf numFmtId="176" fontId="2" fillId="0" borderId="0" xfId="1" applyNumberFormat="1" applyFont="1"/>
    <xf numFmtId="176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2" xfId="1" applyNumberFormat="1" applyFont="1" applyBorder="1"/>
    <xf numFmtId="3" fontId="2" fillId="0" borderId="29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674702D8-9BB2-4462-8E1B-2DDFAF9A8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30C2-83BE-4D42-8E6A-2AC77B208CE0}">
  <dimension ref="A1:L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/>
    <col min="263" max="266" width="11.125" style="2" bestFit="1" customWidth="1"/>
    <col min="267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/>
    <col min="519" max="522" width="11.125" style="2" bestFit="1" customWidth="1"/>
    <col min="523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/>
    <col min="775" max="778" width="11.1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/>
    <col min="1031" max="1034" width="11.1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/>
    <col min="1287" max="1290" width="11.1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/>
    <col min="1543" max="1546" width="11.1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/>
    <col min="1799" max="1802" width="11.1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/>
    <col min="2055" max="2058" width="11.1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/>
    <col min="2311" max="2314" width="11.1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/>
    <col min="2567" max="2570" width="11.1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/>
    <col min="2823" max="2826" width="11.1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/>
    <col min="3079" max="3082" width="11.1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/>
    <col min="3335" max="3338" width="11.1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/>
    <col min="3591" max="3594" width="11.1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/>
    <col min="3847" max="3850" width="11.1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/>
    <col min="4103" max="4106" width="11.1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/>
    <col min="4359" max="4362" width="11.1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/>
    <col min="4615" max="4618" width="11.1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/>
    <col min="4871" max="4874" width="11.1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/>
    <col min="5127" max="5130" width="11.1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/>
    <col min="5383" max="5386" width="11.1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/>
    <col min="5639" max="5642" width="11.1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/>
    <col min="5895" max="5898" width="11.1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/>
    <col min="6151" max="6154" width="11.1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/>
    <col min="6407" max="6410" width="11.1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/>
    <col min="6663" max="6666" width="11.1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/>
    <col min="6919" max="6922" width="11.1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/>
    <col min="7175" max="7178" width="11.1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/>
    <col min="7431" max="7434" width="11.1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/>
    <col min="7687" max="7690" width="11.1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/>
    <col min="7943" max="7946" width="11.1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/>
    <col min="8199" max="8202" width="11.1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/>
    <col min="8455" max="8458" width="11.1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/>
    <col min="8711" max="8714" width="11.1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/>
    <col min="8967" max="8970" width="11.1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/>
    <col min="9223" max="9226" width="11.1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/>
    <col min="9479" max="9482" width="11.1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/>
    <col min="9735" max="9738" width="11.1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/>
    <col min="9991" max="9994" width="11.1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/>
    <col min="10247" max="10250" width="11.1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/>
    <col min="10503" max="10506" width="11.1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/>
    <col min="10759" max="10762" width="11.1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/>
    <col min="11015" max="11018" width="11.1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/>
    <col min="11271" max="11274" width="11.1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/>
    <col min="11527" max="11530" width="11.1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/>
    <col min="11783" max="11786" width="11.1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/>
    <col min="12039" max="12042" width="11.1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/>
    <col min="12295" max="12298" width="11.1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/>
    <col min="12551" max="12554" width="11.1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/>
    <col min="12807" max="12810" width="11.1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/>
    <col min="13063" max="13066" width="11.1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/>
    <col min="13319" max="13322" width="11.1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/>
    <col min="13575" max="13578" width="11.1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/>
    <col min="13831" max="13834" width="11.1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/>
    <col min="14087" max="14090" width="11.1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/>
    <col min="14343" max="14346" width="11.1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/>
    <col min="14599" max="14602" width="11.1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/>
    <col min="14855" max="14858" width="11.1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/>
    <col min="15111" max="15114" width="11.1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/>
    <col min="15367" max="15370" width="11.1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/>
    <col min="15623" max="15626" width="11.1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/>
    <col min="15879" max="15882" width="11.1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/>
    <col min="16135" max="16138" width="11.1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17"/>
      <c r="C3" s="28" t="s">
        <v>4</v>
      </c>
      <c r="D3" s="45" t="s">
        <v>6</v>
      </c>
      <c r="E3" s="54" t="s">
        <v>36</v>
      </c>
      <c r="F3" s="27" t="s">
        <v>3</v>
      </c>
      <c r="G3" s="28" t="s">
        <v>5</v>
      </c>
      <c r="H3" s="28" t="s">
        <v>7</v>
      </c>
      <c r="I3" s="28" t="s">
        <v>8</v>
      </c>
      <c r="J3" s="6" t="s">
        <v>9</v>
      </c>
      <c r="K3" s="54" t="s">
        <v>36</v>
      </c>
      <c r="L3" s="17" t="s">
        <v>18</v>
      </c>
    </row>
    <row r="4" spans="1:12" ht="19.5" thickBot="1">
      <c r="B4" s="7" t="s">
        <v>10</v>
      </c>
      <c r="C4" s="30" t="s">
        <v>12</v>
      </c>
      <c r="D4" s="46" t="s">
        <v>14</v>
      </c>
      <c r="E4" s="55" t="s">
        <v>37</v>
      </c>
      <c r="F4" s="29" t="s">
        <v>11</v>
      </c>
      <c r="G4" s="30" t="s">
        <v>13</v>
      </c>
      <c r="H4" s="30" t="s">
        <v>15</v>
      </c>
      <c r="I4" s="30" t="s">
        <v>16</v>
      </c>
      <c r="J4" s="3" t="s">
        <v>17</v>
      </c>
      <c r="K4" s="55" t="s">
        <v>38</v>
      </c>
      <c r="L4" s="7" t="s">
        <v>39</v>
      </c>
    </row>
    <row r="5" spans="1:12">
      <c r="A5" s="1" t="s">
        <v>1</v>
      </c>
      <c r="B5" s="18" t="s">
        <v>19</v>
      </c>
      <c r="C5" s="32">
        <v>370000</v>
      </c>
      <c r="D5" s="47">
        <v>0</v>
      </c>
      <c r="E5" s="20">
        <f>SUM(C5:D5)</f>
        <v>370000</v>
      </c>
      <c r="F5" s="31">
        <v>129000</v>
      </c>
      <c r="G5" s="32">
        <v>86000</v>
      </c>
      <c r="H5" s="32">
        <v>86000</v>
      </c>
      <c r="I5" s="32">
        <v>86000</v>
      </c>
      <c r="J5" s="19">
        <v>81000</v>
      </c>
      <c r="K5" s="20">
        <f>SUM(F5:J5)</f>
        <v>468000</v>
      </c>
      <c r="L5" s="20">
        <f>SUM(K5,E5)</f>
        <v>838000</v>
      </c>
    </row>
    <row r="6" spans="1:12">
      <c r="A6" s="1" t="s">
        <v>1</v>
      </c>
      <c r="B6" s="21" t="s">
        <v>20</v>
      </c>
      <c r="C6" s="34">
        <v>0</v>
      </c>
      <c r="D6" s="48">
        <v>0</v>
      </c>
      <c r="E6" s="23">
        <f t="shared" ref="E6:E20" si="0">SUM(C6:D6)</f>
        <v>0</v>
      </c>
      <c r="F6" s="33">
        <v>15000</v>
      </c>
      <c r="G6" s="34">
        <v>0</v>
      </c>
      <c r="H6" s="34">
        <v>0</v>
      </c>
      <c r="I6" s="34">
        <v>0</v>
      </c>
      <c r="J6" s="22">
        <v>0</v>
      </c>
      <c r="K6" s="23">
        <f t="shared" ref="K6:K20" si="1">SUM(F6:J6)</f>
        <v>15000</v>
      </c>
      <c r="L6" s="23">
        <f t="shared" ref="L6:L20" si="2">SUM(K6,E6)</f>
        <v>15000</v>
      </c>
    </row>
    <row r="7" spans="1:12">
      <c r="A7" s="1" t="s">
        <v>1</v>
      </c>
      <c r="B7" s="8" t="s">
        <v>21</v>
      </c>
      <c r="C7" s="36">
        <v>0</v>
      </c>
      <c r="D7" s="49">
        <v>0</v>
      </c>
      <c r="E7" s="9">
        <f t="shared" si="0"/>
        <v>0</v>
      </c>
      <c r="F7" s="35">
        <v>0</v>
      </c>
      <c r="G7" s="36">
        <v>10000</v>
      </c>
      <c r="H7" s="36">
        <v>0</v>
      </c>
      <c r="I7" s="36">
        <v>0</v>
      </c>
      <c r="J7" s="4">
        <v>0</v>
      </c>
      <c r="K7" s="9">
        <f t="shared" si="1"/>
        <v>10000</v>
      </c>
      <c r="L7" s="9">
        <f t="shared" si="2"/>
        <v>10000</v>
      </c>
    </row>
    <row r="8" spans="1:12">
      <c r="A8" s="1" t="s">
        <v>1</v>
      </c>
      <c r="B8" s="10" t="s">
        <v>22</v>
      </c>
      <c r="C8" s="38">
        <v>370000</v>
      </c>
      <c r="D8" s="50">
        <v>0</v>
      </c>
      <c r="E8" s="11">
        <f t="shared" si="0"/>
        <v>370000</v>
      </c>
      <c r="F8" s="37">
        <v>144000</v>
      </c>
      <c r="G8" s="38">
        <v>96000</v>
      </c>
      <c r="H8" s="38">
        <v>86000</v>
      </c>
      <c r="I8" s="38">
        <v>86000</v>
      </c>
      <c r="J8" s="5">
        <v>81000</v>
      </c>
      <c r="K8" s="11">
        <f t="shared" si="1"/>
        <v>493000</v>
      </c>
      <c r="L8" s="11">
        <f t="shared" si="2"/>
        <v>863000</v>
      </c>
    </row>
    <row r="9" spans="1:12">
      <c r="A9" s="1" t="s">
        <v>1</v>
      </c>
      <c r="B9" s="24" t="s">
        <v>23</v>
      </c>
      <c r="C9" s="40">
        <v>18870</v>
      </c>
      <c r="D9" s="51">
        <v>0</v>
      </c>
      <c r="E9" s="26">
        <f t="shared" si="0"/>
        <v>18870</v>
      </c>
      <c r="F9" s="39">
        <v>7344</v>
      </c>
      <c r="G9" s="40">
        <v>4896</v>
      </c>
      <c r="H9" s="40">
        <v>4386</v>
      </c>
      <c r="I9" s="40">
        <v>4386</v>
      </c>
      <c r="J9" s="25">
        <v>4131</v>
      </c>
      <c r="K9" s="26">
        <f t="shared" si="1"/>
        <v>25143</v>
      </c>
      <c r="L9" s="26">
        <f t="shared" si="2"/>
        <v>44013</v>
      </c>
    </row>
    <row r="10" spans="1:12">
      <c r="A10" s="1" t="s">
        <v>1</v>
      </c>
      <c r="B10" s="21" t="s">
        <v>24</v>
      </c>
      <c r="C10" s="34">
        <v>3330</v>
      </c>
      <c r="D10" s="48">
        <v>0</v>
      </c>
      <c r="E10" s="23">
        <f t="shared" si="0"/>
        <v>3330</v>
      </c>
      <c r="F10" s="33">
        <v>1296</v>
      </c>
      <c r="G10" s="34">
        <v>864</v>
      </c>
      <c r="H10" s="34">
        <v>774</v>
      </c>
      <c r="I10" s="34">
        <v>774</v>
      </c>
      <c r="J10" s="22">
        <v>729</v>
      </c>
      <c r="K10" s="23">
        <f t="shared" si="1"/>
        <v>4437</v>
      </c>
      <c r="L10" s="23">
        <f t="shared" si="2"/>
        <v>7767</v>
      </c>
    </row>
    <row r="11" spans="1:12">
      <c r="A11" s="1" t="s">
        <v>1</v>
      </c>
      <c r="B11" s="21" t="s">
        <v>25</v>
      </c>
      <c r="C11" s="34">
        <v>33855</v>
      </c>
      <c r="D11" s="48">
        <v>0</v>
      </c>
      <c r="E11" s="23">
        <f t="shared" si="0"/>
        <v>33855</v>
      </c>
      <c r="F11" s="33">
        <v>13176</v>
      </c>
      <c r="G11" s="34">
        <v>8784</v>
      </c>
      <c r="H11" s="34">
        <v>7869</v>
      </c>
      <c r="I11" s="34">
        <v>7869</v>
      </c>
      <c r="J11" s="22">
        <v>7411</v>
      </c>
      <c r="K11" s="23">
        <f t="shared" si="1"/>
        <v>45109</v>
      </c>
      <c r="L11" s="23">
        <f t="shared" si="2"/>
        <v>78964</v>
      </c>
    </row>
    <row r="12" spans="1:12">
      <c r="A12" s="1" t="s">
        <v>1</v>
      </c>
      <c r="B12" s="8" t="s">
        <v>26</v>
      </c>
      <c r="C12" s="36">
        <v>2220</v>
      </c>
      <c r="D12" s="49">
        <v>0</v>
      </c>
      <c r="E12" s="9">
        <f t="shared" si="0"/>
        <v>2220</v>
      </c>
      <c r="F12" s="35">
        <v>864</v>
      </c>
      <c r="G12" s="36">
        <v>576</v>
      </c>
      <c r="H12" s="36">
        <v>516</v>
      </c>
      <c r="I12" s="36">
        <v>516</v>
      </c>
      <c r="J12" s="4">
        <v>486</v>
      </c>
      <c r="K12" s="9">
        <f t="shared" si="1"/>
        <v>2958</v>
      </c>
      <c r="L12" s="9">
        <f t="shared" si="2"/>
        <v>5178</v>
      </c>
    </row>
    <row r="13" spans="1:12">
      <c r="A13" s="1"/>
      <c r="B13" s="10" t="s">
        <v>29</v>
      </c>
      <c r="C13" s="38">
        <v>58275</v>
      </c>
      <c r="D13" s="50">
        <v>0</v>
      </c>
      <c r="E13" s="11">
        <f t="shared" si="0"/>
        <v>58275</v>
      </c>
      <c r="F13" s="37">
        <v>22680</v>
      </c>
      <c r="G13" s="38">
        <v>15120</v>
      </c>
      <c r="H13" s="38">
        <v>13545</v>
      </c>
      <c r="I13" s="38">
        <v>13545</v>
      </c>
      <c r="J13" s="5">
        <v>12757</v>
      </c>
      <c r="K13" s="11">
        <f t="shared" si="1"/>
        <v>77647</v>
      </c>
      <c r="L13" s="11">
        <f t="shared" si="2"/>
        <v>135922</v>
      </c>
    </row>
    <row r="14" spans="1:12">
      <c r="A14" s="1" t="s">
        <v>1</v>
      </c>
      <c r="B14" s="10" t="s">
        <v>27</v>
      </c>
      <c r="C14" s="38">
        <v>311725</v>
      </c>
      <c r="D14" s="50">
        <v>0</v>
      </c>
      <c r="E14" s="11">
        <f t="shared" si="0"/>
        <v>311725</v>
      </c>
      <c r="F14" s="37">
        <v>121320</v>
      </c>
      <c r="G14" s="38">
        <v>80880</v>
      </c>
      <c r="H14" s="38">
        <v>72455</v>
      </c>
      <c r="I14" s="38">
        <v>72455</v>
      </c>
      <c r="J14" s="5">
        <v>68243</v>
      </c>
      <c r="K14" s="11">
        <f t="shared" si="1"/>
        <v>415353</v>
      </c>
      <c r="L14" s="11">
        <f t="shared" si="2"/>
        <v>727078</v>
      </c>
    </row>
    <row r="15" spans="1:12">
      <c r="A15" s="1" t="s">
        <v>1</v>
      </c>
      <c r="B15" s="24" t="s">
        <v>28</v>
      </c>
      <c r="C15" s="40">
        <v>0</v>
      </c>
      <c r="D15" s="51">
        <v>0</v>
      </c>
      <c r="E15" s="26">
        <f t="shared" si="0"/>
        <v>0</v>
      </c>
      <c r="F15" s="39">
        <v>12386</v>
      </c>
      <c r="G15" s="40">
        <v>4954</v>
      </c>
      <c r="H15" s="40">
        <v>0</v>
      </c>
      <c r="I15" s="40">
        <v>4438</v>
      </c>
      <c r="J15" s="25">
        <v>0</v>
      </c>
      <c r="K15" s="26">
        <f t="shared" si="1"/>
        <v>21778</v>
      </c>
      <c r="L15" s="26">
        <f t="shared" si="2"/>
        <v>21778</v>
      </c>
    </row>
    <row r="16" spans="1:12">
      <c r="A16" s="1"/>
      <c r="B16" s="8" t="s">
        <v>35</v>
      </c>
      <c r="C16" s="42">
        <v>-28610</v>
      </c>
      <c r="D16" s="52">
        <v>-4070</v>
      </c>
      <c r="E16" s="13">
        <f t="shared" si="0"/>
        <v>-32680</v>
      </c>
      <c r="F16" s="41">
        <v>-32542</v>
      </c>
      <c r="G16" s="42">
        <v>-14879</v>
      </c>
      <c r="H16" s="42">
        <v>-22880</v>
      </c>
      <c r="I16" s="42">
        <v>-26590</v>
      </c>
      <c r="J16" s="12">
        <v>-27120</v>
      </c>
      <c r="K16" s="13">
        <f t="shared" si="1"/>
        <v>-124011</v>
      </c>
      <c r="L16" s="13">
        <f t="shared" si="2"/>
        <v>-156691</v>
      </c>
    </row>
    <row r="17" spans="1:12">
      <c r="A17" s="1" t="s">
        <v>1</v>
      </c>
      <c r="B17" s="10" t="s">
        <v>30</v>
      </c>
      <c r="C17" s="38">
        <v>340335</v>
      </c>
      <c r="D17" s="50">
        <v>4070</v>
      </c>
      <c r="E17" s="11">
        <f t="shared" si="0"/>
        <v>344405</v>
      </c>
      <c r="F17" s="37">
        <v>141476</v>
      </c>
      <c r="G17" s="38">
        <v>90805</v>
      </c>
      <c r="H17" s="38">
        <v>95335</v>
      </c>
      <c r="I17" s="38">
        <v>94607</v>
      </c>
      <c r="J17" s="5">
        <v>95363</v>
      </c>
      <c r="K17" s="11">
        <f t="shared" si="1"/>
        <v>517586</v>
      </c>
      <c r="L17" s="11">
        <f t="shared" si="2"/>
        <v>861991</v>
      </c>
    </row>
    <row r="18" spans="1:12">
      <c r="A18" s="1" t="s">
        <v>1</v>
      </c>
      <c r="B18" s="10" t="s">
        <v>31</v>
      </c>
      <c r="C18" s="38">
        <v>340335</v>
      </c>
      <c r="D18" s="50">
        <v>4070</v>
      </c>
      <c r="E18" s="11">
        <f t="shared" si="0"/>
        <v>344405</v>
      </c>
      <c r="F18" s="37">
        <v>141476</v>
      </c>
      <c r="G18" s="38">
        <v>90805</v>
      </c>
      <c r="H18" s="38">
        <v>95335</v>
      </c>
      <c r="I18" s="38">
        <v>94607</v>
      </c>
      <c r="J18" s="5">
        <v>95363</v>
      </c>
      <c r="K18" s="11">
        <f t="shared" si="1"/>
        <v>517586</v>
      </c>
      <c r="L18" s="11">
        <f t="shared" si="2"/>
        <v>861991</v>
      </c>
    </row>
    <row r="19" spans="1:12">
      <c r="A19" s="1" t="s">
        <v>1</v>
      </c>
      <c r="B19" s="10" t="s">
        <v>32</v>
      </c>
      <c r="C19" s="38">
        <v>19096</v>
      </c>
      <c r="D19" s="50">
        <v>0</v>
      </c>
      <c r="E19" s="11">
        <f t="shared" si="0"/>
        <v>19096</v>
      </c>
      <c r="F19" s="37">
        <v>12386</v>
      </c>
      <c r="G19" s="38">
        <v>4954</v>
      </c>
      <c r="H19" s="38">
        <v>4438</v>
      </c>
      <c r="I19" s="38">
        <v>4438</v>
      </c>
      <c r="J19" s="5">
        <v>2787</v>
      </c>
      <c r="K19" s="11">
        <f t="shared" si="1"/>
        <v>29003</v>
      </c>
      <c r="L19" s="11">
        <f t="shared" si="2"/>
        <v>48099</v>
      </c>
    </row>
    <row r="20" spans="1:12">
      <c r="A20" s="1" t="s">
        <v>1</v>
      </c>
      <c r="B20" s="10" t="s">
        <v>33</v>
      </c>
      <c r="C20" s="38">
        <v>19096</v>
      </c>
      <c r="D20" s="50">
        <v>0</v>
      </c>
      <c r="E20" s="11">
        <f t="shared" si="0"/>
        <v>19096</v>
      </c>
      <c r="F20" s="37">
        <v>0</v>
      </c>
      <c r="G20" s="38">
        <v>0</v>
      </c>
      <c r="H20" s="38">
        <v>4438</v>
      </c>
      <c r="I20" s="38">
        <v>0</v>
      </c>
      <c r="J20" s="5">
        <v>2787</v>
      </c>
      <c r="K20" s="11">
        <f t="shared" si="1"/>
        <v>7225</v>
      </c>
      <c r="L20" s="11">
        <f t="shared" si="2"/>
        <v>26321</v>
      </c>
    </row>
    <row r="21" spans="1:12" ht="19.5" thickBot="1">
      <c r="A21" s="1" t="s">
        <v>1</v>
      </c>
      <c r="B21" s="14" t="s">
        <v>34</v>
      </c>
      <c r="C21" s="44">
        <v>90000</v>
      </c>
      <c r="D21" s="53">
        <v>30000</v>
      </c>
      <c r="E21" s="16"/>
      <c r="F21" s="43">
        <v>30000</v>
      </c>
      <c r="G21" s="44">
        <v>60000</v>
      </c>
      <c r="H21" s="44">
        <v>60000</v>
      </c>
      <c r="I21" s="44">
        <v>30000</v>
      </c>
      <c r="J21" s="15">
        <v>60000</v>
      </c>
      <c r="K21" s="16"/>
      <c r="L21" s="16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2024-12-14T05:12:09Z</cp:lastPrinted>
  <dcterms:created xsi:type="dcterms:W3CDTF">2024-12-14T00:06:22Z</dcterms:created>
  <dcterms:modified xsi:type="dcterms:W3CDTF">2024-12-19T07:05:55Z</dcterms:modified>
</cp:coreProperties>
</file>