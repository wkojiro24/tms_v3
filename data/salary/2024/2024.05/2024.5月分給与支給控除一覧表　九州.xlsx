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若林運送 Dropbox\深沢道夫\総務・経理\給与集計内訳\2024\2024.05\"/>
    </mc:Choice>
  </mc:AlternateContent>
  <xr:revisionPtr revIDLastSave="0" documentId="13_ncr:1_{73BAB341-7FFD-42F0-9F77-26CC456D9A31}" xr6:coauthVersionLast="47" xr6:coauthVersionMax="47" xr10:uidLastSave="{00000000-0000-0000-0000-000000000000}"/>
  <bookViews>
    <workbookView xWindow="-120" yWindow="-120" windowWidth="20730" windowHeight="11160" xr2:uid="{9BBA5848-278C-4158-8E9A-60ACE4208300}"/>
  </bookViews>
  <sheets>
    <sheet name="2024年 5月度給与 (2)" sheetId="3" r:id="rId1"/>
  </sheets>
  <definedNames>
    <definedName name="_xlnm.Print_Area" localSheetId="0">'2024年 5月度給与 (2)'!$A$1:$L$46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7" i="3" l="1"/>
  <c r="L9" i="3"/>
  <c r="L13" i="3"/>
  <c r="K18" i="3"/>
  <c r="L18" i="3" s="1"/>
  <c r="K19" i="3"/>
  <c r="L19" i="3" s="1"/>
  <c r="K20" i="3"/>
  <c r="L20" i="3" s="1"/>
  <c r="K21" i="3"/>
  <c r="L21" i="3" s="1"/>
  <c r="K22" i="3"/>
  <c r="L22" i="3" s="1"/>
  <c r="K23" i="3"/>
  <c r="L23" i="3" s="1"/>
  <c r="K24" i="3"/>
  <c r="L24" i="3" s="1"/>
  <c r="K25" i="3"/>
  <c r="L25" i="3" s="1"/>
  <c r="K26" i="3"/>
  <c r="L26" i="3" s="1"/>
  <c r="K27" i="3"/>
  <c r="L27" i="3" s="1"/>
  <c r="K28" i="3"/>
  <c r="L28" i="3" s="1"/>
  <c r="K29" i="3"/>
  <c r="L29" i="3" s="1"/>
  <c r="K30" i="3"/>
  <c r="L30" i="3" s="1"/>
  <c r="K31" i="3"/>
  <c r="L31" i="3" s="1"/>
  <c r="K32" i="3"/>
  <c r="L32" i="3" s="1"/>
  <c r="K33" i="3"/>
  <c r="L33" i="3" s="1"/>
  <c r="K34" i="3"/>
  <c r="L34" i="3" s="1"/>
  <c r="K35" i="3"/>
  <c r="L35" i="3" s="1"/>
  <c r="K36" i="3"/>
  <c r="L36" i="3" s="1"/>
  <c r="K37" i="3"/>
  <c r="L37" i="3" s="1"/>
  <c r="K38" i="3"/>
  <c r="L38" i="3" s="1"/>
  <c r="K39" i="3"/>
  <c r="L39" i="3" s="1"/>
  <c r="K40" i="3"/>
  <c r="L40" i="3" s="1"/>
  <c r="K41" i="3"/>
  <c r="L41" i="3" s="1"/>
  <c r="K42" i="3"/>
  <c r="L42" i="3" s="1"/>
  <c r="K43" i="3"/>
  <c r="L43" i="3" s="1"/>
  <c r="K44" i="3"/>
  <c r="L44" i="3" s="1"/>
  <c r="K45" i="3"/>
  <c r="L45" i="3" s="1"/>
  <c r="K46" i="3"/>
  <c r="K17" i="3"/>
  <c r="K6" i="3"/>
  <c r="L6" i="3" s="1"/>
  <c r="K7" i="3"/>
  <c r="L7" i="3" s="1"/>
  <c r="K8" i="3"/>
  <c r="L8" i="3" s="1"/>
  <c r="K9" i="3"/>
  <c r="K10" i="3"/>
  <c r="L10" i="3" s="1"/>
  <c r="K11" i="3"/>
  <c r="L11" i="3" s="1"/>
  <c r="K12" i="3"/>
  <c r="L12" i="3" s="1"/>
  <c r="K13" i="3"/>
  <c r="K14" i="3"/>
  <c r="L14" i="3" s="1"/>
  <c r="K15" i="3"/>
  <c r="L15" i="3" s="1"/>
  <c r="K5" i="3"/>
  <c r="L5" i="3" s="1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17" i="3"/>
  <c r="E6" i="3"/>
  <c r="E7" i="3"/>
  <c r="E8" i="3"/>
  <c r="E9" i="3"/>
  <c r="E10" i="3"/>
  <c r="E11" i="3"/>
  <c r="E12" i="3"/>
  <c r="E13" i="3"/>
  <c r="E14" i="3"/>
  <c r="E15" i="3"/>
  <c r="E5" i="3"/>
</calcChain>
</file>

<file path=xl/sharedStrings.xml><?xml version="1.0" encoding="utf-8"?>
<sst xmlns="http://schemas.openxmlformats.org/spreadsheetml/2006/main" count="113" uniqueCount="63">
  <si>
    <t>支給控除一覧表</t>
    <phoneticPr fontId="4"/>
  </si>
  <si>
    <t/>
  </si>
  <si>
    <t>1056</t>
    <phoneticPr fontId="4"/>
  </si>
  <si>
    <t>1057</t>
    <phoneticPr fontId="4"/>
  </si>
  <si>
    <t>1061</t>
    <phoneticPr fontId="4"/>
  </si>
  <si>
    <t>1067</t>
    <phoneticPr fontId="4"/>
  </si>
  <si>
    <t>1097</t>
    <phoneticPr fontId="4"/>
  </si>
  <si>
    <t>1115</t>
    <phoneticPr fontId="4"/>
  </si>
  <si>
    <t>1063</t>
    <phoneticPr fontId="4"/>
  </si>
  <si>
    <t>項目名</t>
    <phoneticPr fontId="4"/>
  </si>
  <si>
    <t>河村　智春</t>
    <phoneticPr fontId="4"/>
  </si>
  <si>
    <t>赤﨑　功幸</t>
    <phoneticPr fontId="4"/>
  </si>
  <si>
    <t>櫻木　諭治</t>
    <phoneticPr fontId="4"/>
  </si>
  <si>
    <t>米澤　敬</t>
    <phoneticPr fontId="4"/>
  </si>
  <si>
    <t>新田　竜二</t>
    <phoneticPr fontId="4"/>
  </si>
  <si>
    <t>木下　知美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</si>
  <si>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</si>
  <si>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</si>
  <si>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</si>
  <si>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</si>
  <si>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</si>
  <si>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</si>
  <si>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</si>
  <si>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</si>
  <si>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</si>
  <si>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</si>
  <si>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法定外代時間</t>
    <phoneticPr fontId="4"/>
  </si>
  <si>
    <t>深夜残業</t>
    <phoneticPr fontId="4"/>
  </si>
  <si>
    <t>有休残日数</t>
    <phoneticPr fontId="4"/>
  </si>
  <si>
    <t>基本給</t>
    <phoneticPr fontId="4"/>
  </si>
  <si>
    <t>職責加算</t>
    <phoneticPr fontId="4"/>
  </si>
  <si>
    <t>調整給</t>
    <phoneticPr fontId="4"/>
  </si>
  <si>
    <t>基本給2</t>
    <phoneticPr fontId="4"/>
  </si>
  <si>
    <t>無事故加算</t>
    <phoneticPr fontId="4"/>
  </si>
  <si>
    <t>法定休日残業</t>
    <phoneticPr fontId="4"/>
  </si>
  <si>
    <t>法定外休日残</t>
    <phoneticPr fontId="4"/>
  </si>
  <si>
    <t>法定外代休残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</si>
  <si>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</si>
  <si>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</si>
  <si>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</si>
  <si>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</si>
  <si>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</si>
  <si>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</si>
  <si>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</si>
  <si>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</si>
  <si>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</si>
  <si>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</si>
  <si>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</si>
  <si>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</si>
  <si>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</si>
  <si>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</si>
  <si>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</si>
  <si>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</si>
  <si>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</si>
  <si>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</si>
  <si>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(減税前税額)</t>
    <phoneticPr fontId="4"/>
  </si>
  <si>
    <t>(定額減税額)</t>
    <phoneticPr fontId="4"/>
  </si>
  <si>
    <t>(減税設定額)</t>
    <phoneticPr fontId="4"/>
  </si>
  <si>
    <t>2024年 5月度給与</t>
    <phoneticPr fontId="4"/>
  </si>
  <si>
    <t>小計</t>
    <rPh sb="0" eb="2">
      <t>ショウケイ</t>
    </rPh>
    <phoneticPr fontId="3"/>
  </si>
  <si>
    <t>2名</t>
    <rPh sb="1" eb="2">
      <t>メイ</t>
    </rPh>
    <phoneticPr fontId="3"/>
  </si>
  <si>
    <t>5名</t>
    <rPh sb="1" eb="2">
      <t>メイ</t>
    </rPh>
    <phoneticPr fontId="3"/>
  </si>
  <si>
    <t>松井　毎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</si>
</sst>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89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49" fontId="2" fillId="0" borderId="4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4" xfId="1" applyNumberFormat="1" applyFont="1" applyBorder="1"/>
    <xf numFmtId="3" fontId="2" fillId="0" borderId="0" xfId="1" applyNumberFormat="1" applyFont="1"/>
    <xf numFmtId="3" fontId="2" fillId="0" borderId="4" xfId="1" applyNumberFormat="1" applyFont="1" applyBorder="1"/>
    <xf numFmtId="49" fontId="2" fillId="0" borderId="3" xfId="1" applyNumberFormat="1" applyFont="1" applyBorder="1" applyAlignment="1">
      <alignment horizontal="left"/>
    </xf>
    <xf numFmtId="3" fontId="2" fillId="0" borderId="1" xfId="1" applyNumberFormat="1" applyFont="1" applyBorder="1"/>
    <xf numFmtId="3" fontId="2" fillId="0" borderId="3" xfId="1" applyNumberFormat="1" applyFont="1" applyBorder="1"/>
    <xf numFmtId="0" fontId="2" fillId="0" borderId="5" xfId="1" applyFont="1" applyBorder="1" applyAlignment="1">
      <alignment horizontal="center"/>
    </xf>
    <xf numFmtId="49" fontId="2" fillId="0" borderId="6" xfId="1" applyNumberFormat="1" applyFont="1" applyBorder="1" applyAlignment="1">
      <alignment horizontal="left"/>
    </xf>
    <xf numFmtId="2" fontId="2" fillId="0" borderId="7" xfId="1" applyNumberFormat="1" applyFont="1" applyBorder="1"/>
    <xf numFmtId="2" fontId="2" fillId="0" borderId="6" xfId="1" applyNumberFormat="1" applyFont="1" applyBorder="1"/>
    <xf numFmtId="49" fontId="2" fillId="0" borderId="8" xfId="1" applyNumberFormat="1" applyFont="1" applyBorder="1" applyAlignment="1">
      <alignment horizontal="left"/>
    </xf>
    <xf numFmtId="2" fontId="2" fillId="0" borderId="9" xfId="1" applyNumberFormat="1" applyFont="1" applyBorder="1"/>
    <xf numFmtId="2" fontId="2" fillId="0" borderId="8" xfId="1" applyNumberFormat="1" applyFont="1" applyBorder="1"/>
    <xf numFmtId="49" fontId="2" fillId="0" borderId="10" xfId="1" applyNumberFormat="1" applyFont="1" applyBorder="1" applyAlignment="1">
      <alignment horizontal="left"/>
    </xf>
    <xf numFmtId="2" fontId="2" fillId="0" borderId="11" xfId="1" applyNumberFormat="1" applyFont="1" applyBorder="1"/>
    <xf numFmtId="2" fontId="2" fillId="0" borderId="10" xfId="1" applyNumberFormat="1" applyFont="1" applyBorder="1"/>
    <xf numFmtId="176" fontId="2" fillId="0" borderId="11" xfId="1" applyNumberFormat="1" applyFont="1" applyBorder="1"/>
    <xf numFmtId="176" fontId="2" fillId="0" borderId="10" xfId="1" applyNumberFormat="1" applyFont="1" applyBorder="1"/>
    <xf numFmtId="49" fontId="2" fillId="0" borderId="12" xfId="1" applyNumberFormat="1" applyFont="1" applyBorder="1" applyAlignment="1">
      <alignment horizontal="left"/>
    </xf>
    <xf numFmtId="3" fontId="2" fillId="0" borderId="13" xfId="1" applyNumberFormat="1" applyFont="1" applyBorder="1"/>
    <xf numFmtId="3" fontId="2" fillId="0" borderId="12" xfId="1" applyNumberFormat="1" applyFont="1" applyBorder="1"/>
    <xf numFmtId="3" fontId="2" fillId="0" borderId="11" xfId="1" applyNumberFormat="1" applyFont="1" applyBorder="1"/>
    <xf numFmtId="3" fontId="2" fillId="0" borderId="10" xfId="1" applyNumberFormat="1" applyFont="1" applyBorder="1"/>
    <xf numFmtId="49" fontId="2" fillId="0" borderId="14" xfId="1" applyNumberFormat="1" applyFont="1" applyBorder="1" applyAlignment="1">
      <alignment horizontal="left"/>
    </xf>
    <xf numFmtId="3" fontId="2" fillId="0" borderId="15" xfId="1" applyNumberFormat="1" applyFont="1" applyBorder="1"/>
    <xf numFmtId="3" fontId="2" fillId="0" borderId="14" xfId="1" applyNumberFormat="1" applyFont="1" applyBorder="1"/>
    <xf numFmtId="3" fontId="2" fillId="0" borderId="7" xfId="1" applyNumberFormat="1" applyFont="1" applyBorder="1"/>
    <xf numFmtId="3" fontId="2" fillId="0" borderId="6" xfId="1" applyNumberFormat="1" applyFont="1" applyBorder="1"/>
    <xf numFmtId="49" fontId="2" fillId="0" borderId="7" xfId="1" applyNumberFormat="1" applyFont="1" applyBorder="1"/>
    <xf numFmtId="49" fontId="2" fillId="0" borderId="6" xfId="1" applyNumberFormat="1" applyFont="1" applyBorder="1"/>
    <xf numFmtId="49" fontId="2" fillId="0" borderId="16" xfId="1" applyNumberFormat="1" applyFont="1" applyBorder="1" applyAlignment="1">
      <alignment horizontal="center"/>
    </xf>
    <xf numFmtId="49" fontId="2" fillId="0" borderId="17" xfId="1" applyNumberFormat="1" applyFont="1" applyBorder="1" applyAlignment="1">
      <alignment horizontal="center"/>
    </xf>
    <xf numFmtId="49" fontId="2" fillId="0" borderId="18" xfId="1" applyNumberFormat="1" applyFont="1" applyBorder="1" applyAlignment="1">
      <alignment horizontal="center"/>
    </xf>
    <xf numFmtId="49" fontId="2" fillId="0" borderId="19" xfId="1" applyNumberFormat="1" applyFont="1" applyBorder="1" applyAlignment="1">
      <alignment horizontal="center"/>
    </xf>
    <xf numFmtId="2" fontId="2" fillId="0" borderId="20" xfId="1" applyNumberFormat="1" applyFont="1" applyBorder="1"/>
    <xf numFmtId="2" fontId="2" fillId="0" borderId="21" xfId="1" applyNumberFormat="1" applyFont="1" applyBorder="1"/>
    <xf numFmtId="2" fontId="2" fillId="0" borderId="22" xfId="1" applyNumberFormat="1" applyFont="1" applyBorder="1"/>
    <xf numFmtId="2" fontId="2" fillId="0" borderId="23" xfId="1" applyNumberFormat="1" applyFont="1" applyBorder="1"/>
    <xf numFmtId="176" fontId="2" fillId="0" borderId="22" xfId="1" applyNumberFormat="1" applyFont="1" applyBorder="1"/>
    <xf numFmtId="176" fontId="2" fillId="0" borderId="23" xfId="1" applyNumberFormat="1" applyFont="1" applyBorder="1"/>
    <xf numFmtId="176" fontId="2" fillId="0" borderId="24" xfId="1" applyNumberFormat="1" applyFont="1" applyBorder="1"/>
    <xf numFmtId="176" fontId="2" fillId="0" borderId="25" xfId="1" applyNumberFormat="1" applyFont="1" applyBorder="1"/>
    <xf numFmtId="2" fontId="2" fillId="0" borderId="26" xfId="1" applyNumberFormat="1" applyFont="1" applyBorder="1"/>
    <xf numFmtId="2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49" fontId="2" fillId="0" borderId="26" xfId="1" applyNumberFormat="1" applyFont="1" applyBorder="1"/>
    <xf numFmtId="49" fontId="2" fillId="0" borderId="27" xfId="1" applyNumberFormat="1" applyFont="1" applyBorder="1"/>
    <xf numFmtId="3" fontId="2" fillId="0" borderId="18" xfId="1" applyNumberFormat="1" applyFont="1" applyBorder="1"/>
    <xf numFmtId="3" fontId="2" fillId="0" borderId="19" xfId="1" applyNumberFormat="1" applyFont="1" applyBorder="1"/>
    <xf numFmtId="49" fontId="2" fillId="0" borderId="5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right"/>
    </xf>
    <xf numFmtId="49" fontId="2" fillId="0" borderId="32" xfId="1" applyNumberFormat="1" applyFont="1" applyBorder="1" applyAlignment="1">
      <alignment horizontal="center"/>
    </xf>
    <xf numFmtId="49" fontId="2" fillId="0" borderId="33" xfId="1" applyNumberFormat="1" applyFont="1" applyBorder="1" applyAlignment="1">
      <alignment horizontal="center"/>
    </xf>
    <xf numFmtId="2" fontId="2" fillId="0" borderId="34" xfId="1" applyNumberFormat="1" applyFont="1" applyBorder="1"/>
    <xf numFmtId="2" fontId="2" fillId="0" borderId="35" xfId="1" applyNumberFormat="1" applyFont="1" applyBorder="1"/>
    <xf numFmtId="176" fontId="2" fillId="0" borderId="35" xfId="1" applyNumberFormat="1" applyFont="1" applyBorder="1"/>
    <xf numFmtId="176" fontId="2" fillId="0" borderId="36" xfId="1" applyNumberFormat="1" applyFont="1" applyBorder="1"/>
    <xf numFmtId="2" fontId="2" fillId="0" borderId="37" xfId="1" applyNumberFormat="1" applyFont="1" applyBorder="1"/>
    <xf numFmtId="3" fontId="2" fillId="0" borderId="38" xfId="1" applyNumberFormat="1" applyFont="1" applyBorder="1"/>
    <xf numFmtId="3" fontId="2" fillId="0" borderId="35" xfId="1" applyNumberFormat="1" applyFont="1" applyBorder="1"/>
    <xf numFmtId="3" fontId="2" fillId="0" borderId="39" xfId="1" applyNumberFormat="1" applyFont="1" applyBorder="1"/>
    <xf numFmtId="3" fontId="2" fillId="0" borderId="36" xfId="1" applyNumberFormat="1" applyFont="1" applyBorder="1"/>
    <xf numFmtId="3" fontId="2" fillId="0" borderId="37" xfId="1" applyNumberFormat="1" applyFont="1" applyBorder="1"/>
    <xf numFmtId="49" fontId="2" fillId="0" borderId="37" xfId="1" applyNumberFormat="1" applyFont="1" applyBorder="1"/>
    <xf numFmtId="3" fontId="2" fillId="0" borderId="33" xfId="1" applyNumberFormat="1" applyFont="1" applyBorder="1"/>
    <xf numFmtId="0" fontId="2" fillId="0" borderId="5" xfId="1" applyFont="1" applyBorder="1"/>
    <xf numFmtId="49" fontId="2" fillId="0" borderId="40" xfId="1" applyNumberFormat="1" applyFont="1" applyBorder="1" applyAlignment="1">
      <alignment horizontal="left"/>
    </xf>
    <xf numFmtId="3" fontId="2" fillId="0" borderId="41" xfId="1" applyNumberFormat="1" applyFont="1" applyBorder="1"/>
    <xf numFmtId="3" fontId="2" fillId="0" borderId="42" xfId="1" applyNumberFormat="1" applyFont="1" applyBorder="1"/>
    <xf numFmtId="3" fontId="2" fillId="0" borderId="40" xfId="1" applyNumberFormat="1" applyFont="1" applyBorder="1"/>
    <xf numFmtId="3" fontId="2" fillId="0" borderId="43" xfId="1" applyNumberFormat="1" applyFont="1" applyBorder="1"/>
    <xf numFmtId="3" fontId="2" fillId="0" borderId="44" xfId="1" applyNumberFormat="1" applyFont="1" applyBorder="1"/>
  </cellXfs>
  <cellStyles count="2">
    <cellStyle name="標準" xfId="0" builtinId="0"/>
    <cellStyle name="標準 2" xfId="1" xr:uid="{703B6FA2-1F09-4545-9EB1-41BB8B62EB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47F98-6169-493B-B250-D59F687A5125}">
  <sheetPr>
    <pageSetUpPr fitToPage="1"/>
  </sheetPr>
  <dimension ref="A1:L46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12" width="14.375" style="2" customWidth="1"/>
    <col min="13" max="257" width="9" style="2"/>
    <col min="258" max="258" width="2.375" style="2" customWidth="1"/>
    <col min="259" max="259" width="13.25" style="2" bestFit="1" customWidth="1"/>
    <col min="260" max="262" width="11.125" style="2" bestFit="1" customWidth="1"/>
    <col min="263" max="263" width="9" style="2"/>
    <col min="264" max="264" width="11.125" style="2" bestFit="1" customWidth="1"/>
    <col min="265" max="265" width="8" style="2" bestFit="1" customWidth="1"/>
    <col min="266" max="266" width="11.125" style="2" bestFit="1" customWidth="1"/>
    <col min="267" max="267" width="9.625" style="2" bestFit="1" customWidth="1"/>
    <col min="268" max="513" width="9" style="2"/>
    <col min="514" max="514" width="2.375" style="2" customWidth="1"/>
    <col min="515" max="515" width="13.25" style="2" bestFit="1" customWidth="1"/>
    <col min="516" max="518" width="11.125" style="2" bestFit="1" customWidth="1"/>
    <col min="519" max="519" width="9" style="2"/>
    <col min="520" max="520" width="11.125" style="2" bestFit="1" customWidth="1"/>
    <col min="521" max="521" width="8" style="2" bestFit="1" customWidth="1"/>
    <col min="522" max="522" width="11.125" style="2" bestFit="1" customWidth="1"/>
    <col min="523" max="523" width="9.625" style="2" bestFit="1" customWidth="1"/>
    <col min="524" max="769" width="9" style="2"/>
    <col min="770" max="770" width="2.375" style="2" customWidth="1"/>
    <col min="771" max="771" width="13.25" style="2" bestFit="1" customWidth="1"/>
    <col min="772" max="774" width="11.125" style="2" bestFit="1" customWidth="1"/>
    <col min="775" max="775" width="9" style="2"/>
    <col min="776" max="776" width="11.125" style="2" bestFit="1" customWidth="1"/>
    <col min="777" max="777" width="8" style="2" bestFit="1" customWidth="1"/>
    <col min="778" max="778" width="11.125" style="2" bestFit="1" customWidth="1"/>
    <col min="779" max="779" width="9.625" style="2" bestFit="1" customWidth="1"/>
    <col min="780" max="1025" width="9" style="2"/>
    <col min="1026" max="1026" width="2.375" style="2" customWidth="1"/>
    <col min="1027" max="1027" width="13.25" style="2" bestFit="1" customWidth="1"/>
    <col min="1028" max="1030" width="11.125" style="2" bestFit="1" customWidth="1"/>
    <col min="1031" max="1031" width="9" style="2"/>
    <col min="1032" max="1032" width="11.125" style="2" bestFit="1" customWidth="1"/>
    <col min="1033" max="1033" width="8" style="2" bestFit="1" customWidth="1"/>
    <col min="1034" max="1034" width="11.125" style="2" bestFit="1" customWidth="1"/>
    <col min="1035" max="1035" width="9.625" style="2" bestFit="1" customWidth="1"/>
    <col min="1036" max="1281" width="9" style="2"/>
    <col min="1282" max="1282" width="2.375" style="2" customWidth="1"/>
    <col min="1283" max="1283" width="13.25" style="2" bestFit="1" customWidth="1"/>
    <col min="1284" max="1286" width="11.125" style="2" bestFit="1" customWidth="1"/>
    <col min="1287" max="1287" width="9" style="2"/>
    <col min="1288" max="1288" width="11.125" style="2" bestFit="1" customWidth="1"/>
    <col min="1289" max="1289" width="8" style="2" bestFit="1" customWidth="1"/>
    <col min="1290" max="1290" width="11.125" style="2" bestFit="1" customWidth="1"/>
    <col min="1291" max="1291" width="9.625" style="2" bestFit="1" customWidth="1"/>
    <col min="1292" max="1537" width="9" style="2"/>
    <col min="1538" max="1538" width="2.375" style="2" customWidth="1"/>
    <col min="1539" max="1539" width="13.25" style="2" bestFit="1" customWidth="1"/>
    <col min="1540" max="1542" width="11.125" style="2" bestFit="1" customWidth="1"/>
    <col min="1543" max="1543" width="9" style="2"/>
    <col min="1544" max="1544" width="11.125" style="2" bestFit="1" customWidth="1"/>
    <col min="1545" max="1545" width="8" style="2" bestFit="1" customWidth="1"/>
    <col min="1546" max="1546" width="11.125" style="2" bestFit="1" customWidth="1"/>
    <col min="1547" max="1547" width="9.625" style="2" bestFit="1" customWidth="1"/>
    <col min="1548" max="1793" width="9" style="2"/>
    <col min="1794" max="1794" width="2.375" style="2" customWidth="1"/>
    <col min="1795" max="1795" width="13.25" style="2" bestFit="1" customWidth="1"/>
    <col min="1796" max="1798" width="11.125" style="2" bestFit="1" customWidth="1"/>
    <col min="1799" max="1799" width="9" style="2"/>
    <col min="1800" max="1800" width="11.125" style="2" bestFit="1" customWidth="1"/>
    <col min="1801" max="1801" width="8" style="2" bestFit="1" customWidth="1"/>
    <col min="1802" max="1802" width="11.125" style="2" bestFit="1" customWidth="1"/>
    <col min="1803" max="1803" width="9.625" style="2" bestFit="1" customWidth="1"/>
    <col min="1804" max="2049" width="9" style="2"/>
    <col min="2050" max="2050" width="2.375" style="2" customWidth="1"/>
    <col min="2051" max="2051" width="13.25" style="2" bestFit="1" customWidth="1"/>
    <col min="2052" max="2054" width="11.125" style="2" bestFit="1" customWidth="1"/>
    <col min="2055" max="2055" width="9" style="2"/>
    <col min="2056" max="2056" width="11.125" style="2" bestFit="1" customWidth="1"/>
    <col min="2057" max="2057" width="8" style="2" bestFit="1" customWidth="1"/>
    <col min="2058" max="2058" width="11.125" style="2" bestFit="1" customWidth="1"/>
    <col min="2059" max="2059" width="9.625" style="2" bestFit="1" customWidth="1"/>
    <col min="2060" max="2305" width="9" style="2"/>
    <col min="2306" max="2306" width="2.375" style="2" customWidth="1"/>
    <col min="2307" max="2307" width="13.25" style="2" bestFit="1" customWidth="1"/>
    <col min="2308" max="2310" width="11.125" style="2" bestFit="1" customWidth="1"/>
    <col min="2311" max="2311" width="9" style="2"/>
    <col min="2312" max="2312" width="11.125" style="2" bestFit="1" customWidth="1"/>
    <col min="2313" max="2313" width="8" style="2" bestFit="1" customWidth="1"/>
    <col min="2314" max="2314" width="11.125" style="2" bestFit="1" customWidth="1"/>
    <col min="2315" max="2315" width="9.625" style="2" bestFit="1" customWidth="1"/>
    <col min="2316" max="2561" width="9" style="2"/>
    <col min="2562" max="2562" width="2.375" style="2" customWidth="1"/>
    <col min="2563" max="2563" width="13.25" style="2" bestFit="1" customWidth="1"/>
    <col min="2564" max="2566" width="11.125" style="2" bestFit="1" customWidth="1"/>
    <col min="2567" max="2567" width="9" style="2"/>
    <col min="2568" max="2568" width="11.125" style="2" bestFit="1" customWidth="1"/>
    <col min="2569" max="2569" width="8" style="2" bestFit="1" customWidth="1"/>
    <col min="2570" max="2570" width="11.125" style="2" bestFit="1" customWidth="1"/>
    <col min="2571" max="2571" width="9.625" style="2" bestFit="1" customWidth="1"/>
    <col min="2572" max="2817" width="9" style="2"/>
    <col min="2818" max="2818" width="2.375" style="2" customWidth="1"/>
    <col min="2819" max="2819" width="13.25" style="2" bestFit="1" customWidth="1"/>
    <col min="2820" max="2822" width="11.125" style="2" bestFit="1" customWidth="1"/>
    <col min="2823" max="2823" width="9" style="2"/>
    <col min="2824" max="2824" width="11.125" style="2" bestFit="1" customWidth="1"/>
    <col min="2825" max="2825" width="8" style="2" bestFit="1" customWidth="1"/>
    <col min="2826" max="2826" width="11.125" style="2" bestFit="1" customWidth="1"/>
    <col min="2827" max="2827" width="9.625" style="2" bestFit="1" customWidth="1"/>
    <col min="2828" max="3073" width="9" style="2"/>
    <col min="3074" max="3074" width="2.375" style="2" customWidth="1"/>
    <col min="3075" max="3075" width="13.25" style="2" bestFit="1" customWidth="1"/>
    <col min="3076" max="3078" width="11.125" style="2" bestFit="1" customWidth="1"/>
    <col min="3079" max="3079" width="9" style="2"/>
    <col min="3080" max="3080" width="11.125" style="2" bestFit="1" customWidth="1"/>
    <col min="3081" max="3081" width="8" style="2" bestFit="1" customWidth="1"/>
    <col min="3082" max="3082" width="11.125" style="2" bestFit="1" customWidth="1"/>
    <col min="3083" max="3083" width="9.625" style="2" bestFit="1" customWidth="1"/>
    <col min="3084" max="3329" width="9" style="2"/>
    <col min="3330" max="3330" width="2.375" style="2" customWidth="1"/>
    <col min="3331" max="3331" width="13.25" style="2" bestFit="1" customWidth="1"/>
    <col min="3332" max="3334" width="11.125" style="2" bestFit="1" customWidth="1"/>
    <col min="3335" max="3335" width="9" style="2"/>
    <col min="3336" max="3336" width="11.125" style="2" bestFit="1" customWidth="1"/>
    <col min="3337" max="3337" width="8" style="2" bestFit="1" customWidth="1"/>
    <col min="3338" max="3338" width="11.125" style="2" bestFit="1" customWidth="1"/>
    <col min="3339" max="3339" width="9.625" style="2" bestFit="1" customWidth="1"/>
    <col min="3340" max="3585" width="9" style="2"/>
    <col min="3586" max="3586" width="2.375" style="2" customWidth="1"/>
    <col min="3587" max="3587" width="13.25" style="2" bestFit="1" customWidth="1"/>
    <col min="3588" max="3590" width="11.125" style="2" bestFit="1" customWidth="1"/>
    <col min="3591" max="3591" width="9" style="2"/>
    <col min="3592" max="3592" width="11.125" style="2" bestFit="1" customWidth="1"/>
    <col min="3593" max="3593" width="8" style="2" bestFit="1" customWidth="1"/>
    <col min="3594" max="3594" width="11.125" style="2" bestFit="1" customWidth="1"/>
    <col min="3595" max="3595" width="9.625" style="2" bestFit="1" customWidth="1"/>
    <col min="3596" max="3841" width="9" style="2"/>
    <col min="3842" max="3842" width="2.375" style="2" customWidth="1"/>
    <col min="3843" max="3843" width="13.25" style="2" bestFit="1" customWidth="1"/>
    <col min="3844" max="3846" width="11.125" style="2" bestFit="1" customWidth="1"/>
    <col min="3847" max="3847" width="9" style="2"/>
    <col min="3848" max="3848" width="11.125" style="2" bestFit="1" customWidth="1"/>
    <col min="3849" max="3849" width="8" style="2" bestFit="1" customWidth="1"/>
    <col min="3850" max="3850" width="11.125" style="2" bestFit="1" customWidth="1"/>
    <col min="3851" max="3851" width="9.625" style="2" bestFit="1" customWidth="1"/>
    <col min="3852" max="4097" width="9" style="2"/>
    <col min="4098" max="4098" width="2.375" style="2" customWidth="1"/>
    <col min="4099" max="4099" width="13.25" style="2" bestFit="1" customWidth="1"/>
    <col min="4100" max="4102" width="11.125" style="2" bestFit="1" customWidth="1"/>
    <col min="4103" max="4103" width="9" style="2"/>
    <col min="4104" max="4104" width="11.125" style="2" bestFit="1" customWidth="1"/>
    <col min="4105" max="4105" width="8" style="2" bestFit="1" customWidth="1"/>
    <col min="4106" max="4106" width="11.125" style="2" bestFit="1" customWidth="1"/>
    <col min="4107" max="4107" width="9.625" style="2" bestFit="1" customWidth="1"/>
    <col min="4108" max="4353" width="9" style="2"/>
    <col min="4354" max="4354" width="2.375" style="2" customWidth="1"/>
    <col min="4355" max="4355" width="13.25" style="2" bestFit="1" customWidth="1"/>
    <col min="4356" max="4358" width="11.125" style="2" bestFit="1" customWidth="1"/>
    <col min="4359" max="4359" width="9" style="2"/>
    <col min="4360" max="4360" width="11.125" style="2" bestFit="1" customWidth="1"/>
    <col min="4361" max="4361" width="8" style="2" bestFit="1" customWidth="1"/>
    <col min="4362" max="4362" width="11.125" style="2" bestFit="1" customWidth="1"/>
    <col min="4363" max="4363" width="9.625" style="2" bestFit="1" customWidth="1"/>
    <col min="4364" max="4609" width="9" style="2"/>
    <col min="4610" max="4610" width="2.375" style="2" customWidth="1"/>
    <col min="4611" max="4611" width="13.25" style="2" bestFit="1" customWidth="1"/>
    <col min="4612" max="4614" width="11.125" style="2" bestFit="1" customWidth="1"/>
    <col min="4615" max="4615" width="9" style="2"/>
    <col min="4616" max="4616" width="11.125" style="2" bestFit="1" customWidth="1"/>
    <col min="4617" max="4617" width="8" style="2" bestFit="1" customWidth="1"/>
    <col min="4618" max="4618" width="11.125" style="2" bestFit="1" customWidth="1"/>
    <col min="4619" max="4619" width="9.625" style="2" bestFit="1" customWidth="1"/>
    <col min="4620" max="4865" width="9" style="2"/>
    <col min="4866" max="4866" width="2.375" style="2" customWidth="1"/>
    <col min="4867" max="4867" width="13.25" style="2" bestFit="1" customWidth="1"/>
    <col min="4868" max="4870" width="11.125" style="2" bestFit="1" customWidth="1"/>
    <col min="4871" max="4871" width="9" style="2"/>
    <col min="4872" max="4872" width="11.125" style="2" bestFit="1" customWidth="1"/>
    <col min="4873" max="4873" width="8" style="2" bestFit="1" customWidth="1"/>
    <col min="4874" max="4874" width="11.125" style="2" bestFit="1" customWidth="1"/>
    <col min="4875" max="4875" width="9.625" style="2" bestFit="1" customWidth="1"/>
    <col min="4876" max="5121" width="9" style="2"/>
    <col min="5122" max="5122" width="2.375" style="2" customWidth="1"/>
    <col min="5123" max="5123" width="13.25" style="2" bestFit="1" customWidth="1"/>
    <col min="5124" max="5126" width="11.125" style="2" bestFit="1" customWidth="1"/>
    <col min="5127" max="5127" width="9" style="2"/>
    <col min="5128" max="5128" width="11.125" style="2" bestFit="1" customWidth="1"/>
    <col min="5129" max="5129" width="8" style="2" bestFit="1" customWidth="1"/>
    <col min="5130" max="5130" width="11.125" style="2" bestFit="1" customWidth="1"/>
    <col min="5131" max="5131" width="9.625" style="2" bestFit="1" customWidth="1"/>
    <col min="5132" max="5377" width="9" style="2"/>
    <col min="5378" max="5378" width="2.375" style="2" customWidth="1"/>
    <col min="5379" max="5379" width="13.25" style="2" bestFit="1" customWidth="1"/>
    <col min="5380" max="5382" width="11.125" style="2" bestFit="1" customWidth="1"/>
    <col min="5383" max="5383" width="9" style="2"/>
    <col min="5384" max="5384" width="11.125" style="2" bestFit="1" customWidth="1"/>
    <col min="5385" max="5385" width="8" style="2" bestFit="1" customWidth="1"/>
    <col min="5386" max="5386" width="11.125" style="2" bestFit="1" customWidth="1"/>
    <col min="5387" max="5387" width="9.625" style="2" bestFit="1" customWidth="1"/>
    <col min="5388" max="5633" width="9" style="2"/>
    <col min="5634" max="5634" width="2.375" style="2" customWidth="1"/>
    <col min="5635" max="5635" width="13.25" style="2" bestFit="1" customWidth="1"/>
    <col min="5636" max="5638" width="11.125" style="2" bestFit="1" customWidth="1"/>
    <col min="5639" max="5639" width="9" style="2"/>
    <col min="5640" max="5640" width="11.125" style="2" bestFit="1" customWidth="1"/>
    <col min="5641" max="5641" width="8" style="2" bestFit="1" customWidth="1"/>
    <col min="5642" max="5642" width="11.125" style="2" bestFit="1" customWidth="1"/>
    <col min="5643" max="5643" width="9.625" style="2" bestFit="1" customWidth="1"/>
    <col min="5644" max="5889" width="9" style="2"/>
    <col min="5890" max="5890" width="2.375" style="2" customWidth="1"/>
    <col min="5891" max="5891" width="13.25" style="2" bestFit="1" customWidth="1"/>
    <col min="5892" max="5894" width="11.125" style="2" bestFit="1" customWidth="1"/>
    <col min="5895" max="5895" width="9" style="2"/>
    <col min="5896" max="5896" width="11.125" style="2" bestFit="1" customWidth="1"/>
    <col min="5897" max="5897" width="8" style="2" bestFit="1" customWidth="1"/>
    <col min="5898" max="5898" width="11.125" style="2" bestFit="1" customWidth="1"/>
    <col min="5899" max="5899" width="9.625" style="2" bestFit="1" customWidth="1"/>
    <col min="5900" max="6145" width="9" style="2"/>
    <col min="6146" max="6146" width="2.375" style="2" customWidth="1"/>
    <col min="6147" max="6147" width="13.25" style="2" bestFit="1" customWidth="1"/>
    <col min="6148" max="6150" width="11.125" style="2" bestFit="1" customWidth="1"/>
    <col min="6151" max="6151" width="9" style="2"/>
    <col min="6152" max="6152" width="11.125" style="2" bestFit="1" customWidth="1"/>
    <col min="6153" max="6153" width="8" style="2" bestFit="1" customWidth="1"/>
    <col min="6154" max="6154" width="11.125" style="2" bestFit="1" customWidth="1"/>
    <col min="6155" max="6155" width="9.625" style="2" bestFit="1" customWidth="1"/>
    <col min="6156" max="6401" width="9" style="2"/>
    <col min="6402" max="6402" width="2.375" style="2" customWidth="1"/>
    <col min="6403" max="6403" width="13.25" style="2" bestFit="1" customWidth="1"/>
    <col min="6404" max="6406" width="11.125" style="2" bestFit="1" customWidth="1"/>
    <col min="6407" max="6407" width="9" style="2"/>
    <col min="6408" max="6408" width="11.125" style="2" bestFit="1" customWidth="1"/>
    <col min="6409" max="6409" width="8" style="2" bestFit="1" customWidth="1"/>
    <col min="6410" max="6410" width="11.125" style="2" bestFit="1" customWidth="1"/>
    <col min="6411" max="6411" width="9.625" style="2" bestFit="1" customWidth="1"/>
    <col min="6412" max="6657" width="9" style="2"/>
    <col min="6658" max="6658" width="2.375" style="2" customWidth="1"/>
    <col min="6659" max="6659" width="13.25" style="2" bestFit="1" customWidth="1"/>
    <col min="6660" max="6662" width="11.125" style="2" bestFit="1" customWidth="1"/>
    <col min="6663" max="6663" width="9" style="2"/>
    <col min="6664" max="6664" width="11.125" style="2" bestFit="1" customWidth="1"/>
    <col min="6665" max="6665" width="8" style="2" bestFit="1" customWidth="1"/>
    <col min="6666" max="6666" width="11.125" style="2" bestFit="1" customWidth="1"/>
    <col min="6667" max="6667" width="9.625" style="2" bestFit="1" customWidth="1"/>
    <col min="6668" max="6913" width="9" style="2"/>
    <col min="6914" max="6914" width="2.375" style="2" customWidth="1"/>
    <col min="6915" max="6915" width="13.25" style="2" bestFit="1" customWidth="1"/>
    <col min="6916" max="6918" width="11.125" style="2" bestFit="1" customWidth="1"/>
    <col min="6919" max="6919" width="9" style="2"/>
    <col min="6920" max="6920" width="11.125" style="2" bestFit="1" customWidth="1"/>
    <col min="6921" max="6921" width="8" style="2" bestFit="1" customWidth="1"/>
    <col min="6922" max="6922" width="11.125" style="2" bestFit="1" customWidth="1"/>
    <col min="6923" max="6923" width="9.625" style="2" bestFit="1" customWidth="1"/>
    <col min="6924" max="7169" width="9" style="2"/>
    <col min="7170" max="7170" width="2.375" style="2" customWidth="1"/>
    <col min="7171" max="7171" width="13.25" style="2" bestFit="1" customWidth="1"/>
    <col min="7172" max="7174" width="11.125" style="2" bestFit="1" customWidth="1"/>
    <col min="7175" max="7175" width="9" style="2"/>
    <col min="7176" max="7176" width="11.125" style="2" bestFit="1" customWidth="1"/>
    <col min="7177" max="7177" width="8" style="2" bestFit="1" customWidth="1"/>
    <col min="7178" max="7178" width="11.125" style="2" bestFit="1" customWidth="1"/>
    <col min="7179" max="7179" width="9.625" style="2" bestFit="1" customWidth="1"/>
    <col min="7180" max="7425" width="9" style="2"/>
    <col min="7426" max="7426" width="2.375" style="2" customWidth="1"/>
    <col min="7427" max="7427" width="13.25" style="2" bestFit="1" customWidth="1"/>
    <col min="7428" max="7430" width="11.125" style="2" bestFit="1" customWidth="1"/>
    <col min="7431" max="7431" width="9" style="2"/>
    <col min="7432" max="7432" width="11.125" style="2" bestFit="1" customWidth="1"/>
    <col min="7433" max="7433" width="8" style="2" bestFit="1" customWidth="1"/>
    <col min="7434" max="7434" width="11.125" style="2" bestFit="1" customWidth="1"/>
    <col min="7435" max="7435" width="9.625" style="2" bestFit="1" customWidth="1"/>
    <col min="7436" max="7681" width="9" style="2"/>
    <col min="7682" max="7682" width="2.375" style="2" customWidth="1"/>
    <col min="7683" max="7683" width="13.25" style="2" bestFit="1" customWidth="1"/>
    <col min="7684" max="7686" width="11.125" style="2" bestFit="1" customWidth="1"/>
    <col min="7687" max="7687" width="9" style="2"/>
    <col min="7688" max="7688" width="11.125" style="2" bestFit="1" customWidth="1"/>
    <col min="7689" max="7689" width="8" style="2" bestFit="1" customWidth="1"/>
    <col min="7690" max="7690" width="11.125" style="2" bestFit="1" customWidth="1"/>
    <col min="7691" max="7691" width="9.625" style="2" bestFit="1" customWidth="1"/>
    <col min="7692" max="7937" width="9" style="2"/>
    <col min="7938" max="7938" width="2.375" style="2" customWidth="1"/>
    <col min="7939" max="7939" width="13.25" style="2" bestFit="1" customWidth="1"/>
    <col min="7940" max="7942" width="11.125" style="2" bestFit="1" customWidth="1"/>
    <col min="7943" max="7943" width="9" style="2"/>
    <col min="7944" max="7944" width="11.125" style="2" bestFit="1" customWidth="1"/>
    <col min="7945" max="7945" width="8" style="2" bestFit="1" customWidth="1"/>
    <col min="7946" max="7946" width="11.125" style="2" bestFit="1" customWidth="1"/>
    <col min="7947" max="7947" width="9.625" style="2" bestFit="1" customWidth="1"/>
    <col min="7948" max="8193" width="9" style="2"/>
    <col min="8194" max="8194" width="2.375" style="2" customWidth="1"/>
    <col min="8195" max="8195" width="13.25" style="2" bestFit="1" customWidth="1"/>
    <col min="8196" max="8198" width="11.125" style="2" bestFit="1" customWidth="1"/>
    <col min="8199" max="8199" width="9" style="2"/>
    <col min="8200" max="8200" width="11.125" style="2" bestFit="1" customWidth="1"/>
    <col min="8201" max="8201" width="8" style="2" bestFit="1" customWidth="1"/>
    <col min="8202" max="8202" width="11.125" style="2" bestFit="1" customWidth="1"/>
    <col min="8203" max="8203" width="9.625" style="2" bestFit="1" customWidth="1"/>
    <col min="8204" max="8449" width="9" style="2"/>
    <col min="8450" max="8450" width="2.375" style="2" customWidth="1"/>
    <col min="8451" max="8451" width="13.25" style="2" bestFit="1" customWidth="1"/>
    <col min="8452" max="8454" width="11.125" style="2" bestFit="1" customWidth="1"/>
    <col min="8455" max="8455" width="9" style="2"/>
    <col min="8456" max="8456" width="11.125" style="2" bestFit="1" customWidth="1"/>
    <col min="8457" max="8457" width="8" style="2" bestFit="1" customWidth="1"/>
    <col min="8458" max="8458" width="11.125" style="2" bestFit="1" customWidth="1"/>
    <col min="8459" max="8459" width="9.625" style="2" bestFit="1" customWidth="1"/>
    <col min="8460" max="8705" width="9" style="2"/>
    <col min="8706" max="8706" width="2.375" style="2" customWidth="1"/>
    <col min="8707" max="8707" width="13.25" style="2" bestFit="1" customWidth="1"/>
    <col min="8708" max="8710" width="11.125" style="2" bestFit="1" customWidth="1"/>
    <col min="8711" max="8711" width="9" style="2"/>
    <col min="8712" max="8712" width="11.125" style="2" bestFit="1" customWidth="1"/>
    <col min="8713" max="8713" width="8" style="2" bestFit="1" customWidth="1"/>
    <col min="8714" max="8714" width="11.125" style="2" bestFit="1" customWidth="1"/>
    <col min="8715" max="8715" width="9.625" style="2" bestFit="1" customWidth="1"/>
    <col min="8716" max="8961" width="9" style="2"/>
    <col min="8962" max="8962" width="2.375" style="2" customWidth="1"/>
    <col min="8963" max="8963" width="13.25" style="2" bestFit="1" customWidth="1"/>
    <col min="8964" max="8966" width="11.125" style="2" bestFit="1" customWidth="1"/>
    <col min="8967" max="8967" width="9" style="2"/>
    <col min="8968" max="8968" width="11.125" style="2" bestFit="1" customWidth="1"/>
    <col min="8969" max="8969" width="8" style="2" bestFit="1" customWidth="1"/>
    <col min="8970" max="8970" width="11.125" style="2" bestFit="1" customWidth="1"/>
    <col min="8971" max="8971" width="9.625" style="2" bestFit="1" customWidth="1"/>
    <col min="8972" max="9217" width="9" style="2"/>
    <col min="9218" max="9218" width="2.375" style="2" customWidth="1"/>
    <col min="9219" max="9219" width="13.25" style="2" bestFit="1" customWidth="1"/>
    <col min="9220" max="9222" width="11.125" style="2" bestFit="1" customWidth="1"/>
    <col min="9223" max="9223" width="9" style="2"/>
    <col min="9224" max="9224" width="11.125" style="2" bestFit="1" customWidth="1"/>
    <col min="9225" max="9225" width="8" style="2" bestFit="1" customWidth="1"/>
    <col min="9226" max="9226" width="11.125" style="2" bestFit="1" customWidth="1"/>
    <col min="9227" max="9227" width="9.625" style="2" bestFit="1" customWidth="1"/>
    <col min="9228" max="9473" width="9" style="2"/>
    <col min="9474" max="9474" width="2.375" style="2" customWidth="1"/>
    <col min="9475" max="9475" width="13.25" style="2" bestFit="1" customWidth="1"/>
    <col min="9476" max="9478" width="11.125" style="2" bestFit="1" customWidth="1"/>
    <col min="9479" max="9479" width="9" style="2"/>
    <col min="9480" max="9480" width="11.125" style="2" bestFit="1" customWidth="1"/>
    <col min="9481" max="9481" width="8" style="2" bestFit="1" customWidth="1"/>
    <col min="9482" max="9482" width="11.125" style="2" bestFit="1" customWidth="1"/>
    <col min="9483" max="9483" width="9.625" style="2" bestFit="1" customWidth="1"/>
    <col min="9484" max="9729" width="9" style="2"/>
    <col min="9730" max="9730" width="2.375" style="2" customWidth="1"/>
    <col min="9731" max="9731" width="13.25" style="2" bestFit="1" customWidth="1"/>
    <col min="9732" max="9734" width="11.125" style="2" bestFit="1" customWidth="1"/>
    <col min="9735" max="9735" width="9" style="2"/>
    <col min="9736" max="9736" width="11.125" style="2" bestFit="1" customWidth="1"/>
    <col min="9737" max="9737" width="8" style="2" bestFit="1" customWidth="1"/>
    <col min="9738" max="9738" width="11.125" style="2" bestFit="1" customWidth="1"/>
    <col min="9739" max="9739" width="9.625" style="2" bestFit="1" customWidth="1"/>
    <col min="9740" max="9985" width="9" style="2"/>
    <col min="9986" max="9986" width="2.375" style="2" customWidth="1"/>
    <col min="9987" max="9987" width="13.25" style="2" bestFit="1" customWidth="1"/>
    <col min="9988" max="9990" width="11.125" style="2" bestFit="1" customWidth="1"/>
    <col min="9991" max="9991" width="9" style="2"/>
    <col min="9992" max="9992" width="11.125" style="2" bestFit="1" customWidth="1"/>
    <col min="9993" max="9993" width="8" style="2" bestFit="1" customWidth="1"/>
    <col min="9994" max="9994" width="11.125" style="2" bestFit="1" customWidth="1"/>
    <col min="9995" max="9995" width="9.625" style="2" bestFit="1" customWidth="1"/>
    <col min="9996" max="10241" width="9" style="2"/>
    <col min="10242" max="10242" width="2.375" style="2" customWidth="1"/>
    <col min="10243" max="10243" width="13.25" style="2" bestFit="1" customWidth="1"/>
    <col min="10244" max="10246" width="11.125" style="2" bestFit="1" customWidth="1"/>
    <col min="10247" max="10247" width="9" style="2"/>
    <col min="10248" max="10248" width="11.125" style="2" bestFit="1" customWidth="1"/>
    <col min="10249" max="10249" width="8" style="2" bestFit="1" customWidth="1"/>
    <col min="10250" max="10250" width="11.125" style="2" bestFit="1" customWidth="1"/>
    <col min="10251" max="10251" width="9.625" style="2" bestFit="1" customWidth="1"/>
    <col min="10252" max="10497" width="9" style="2"/>
    <col min="10498" max="10498" width="2.375" style="2" customWidth="1"/>
    <col min="10499" max="10499" width="13.25" style="2" bestFit="1" customWidth="1"/>
    <col min="10500" max="10502" width="11.125" style="2" bestFit="1" customWidth="1"/>
    <col min="10503" max="10503" width="9" style="2"/>
    <col min="10504" max="10504" width="11.125" style="2" bestFit="1" customWidth="1"/>
    <col min="10505" max="10505" width="8" style="2" bestFit="1" customWidth="1"/>
    <col min="10506" max="10506" width="11.125" style="2" bestFit="1" customWidth="1"/>
    <col min="10507" max="10507" width="9.625" style="2" bestFit="1" customWidth="1"/>
    <col min="10508" max="10753" width="9" style="2"/>
    <col min="10754" max="10754" width="2.375" style="2" customWidth="1"/>
    <col min="10755" max="10755" width="13.25" style="2" bestFit="1" customWidth="1"/>
    <col min="10756" max="10758" width="11.125" style="2" bestFit="1" customWidth="1"/>
    <col min="10759" max="10759" width="9" style="2"/>
    <col min="10760" max="10760" width="11.125" style="2" bestFit="1" customWidth="1"/>
    <col min="10761" max="10761" width="8" style="2" bestFit="1" customWidth="1"/>
    <col min="10762" max="10762" width="11.125" style="2" bestFit="1" customWidth="1"/>
    <col min="10763" max="10763" width="9.625" style="2" bestFit="1" customWidth="1"/>
    <col min="10764" max="11009" width="9" style="2"/>
    <col min="11010" max="11010" width="2.375" style="2" customWidth="1"/>
    <col min="11011" max="11011" width="13.25" style="2" bestFit="1" customWidth="1"/>
    <col min="11012" max="11014" width="11.125" style="2" bestFit="1" customWidth="1"/>
    <col min="11015" max="11015" width="9" style="2"/>
    <col min="11016" max="11016" width="11.125" style="2" bestFit="1" customWidth="1"/>
    <col min="11017" max="11017" width="8" style="2" bestFit="1" customWidth="1"/>
    <col min="11018" max="11018" width="11.125" style="2" bestFit="1" customWidth="1"/>
    <col min="11019" max="11019" width="9.625" style="2" bestFit="1" customWidth="1"/>
    <col min="11020" max="11265" width="9" style="2"/>
    <col min="11266" max="11266" width="2.375" style="2" customWidth="1"/>
    <col min="11267" max="11267" width="13.25" style="2" bestFit="1" customWidth="1"/>
    <col min="11268" max="11270" width="11.125" style="2" bestFit="1" customWidth="1"/>
    <col min="11271" max="11271" width="9" style="2"/>
    <col min="11272" max="11272" width="11.125" style="2" bestFit="1" customWidth="1"/>
    <col min="11273" max="11273" width="8" style="2" bestFit="1" customWidth="1"/>
    <col min="11274" max="11274" width="11.125" style="2" bestFit="1" customWidth="1"/>
    <col min="11275" max="11275" width="9.625" style="2" bestFit="1" customWidth="1"/>
    <col min="11276" max="11521" width="9" style="2"/>
    <col min="11522" max="11522" width="2.375" style="2" customWidth="1"/>
    <col min="11523" max="11523" width="13.25" style="2" bestFit="1" customWidth="1"/>
    <col min="11524" max="11526" width="11.125" style="2" bestFit="1" customWidth="1"/>
    <col min="11527" max="11527" width="9" style="2"/>
    <col min="11528" max="11528" width="11.125" style="2" bestFit="1" customWidth="1"/>
    <col min="11529" max="11529" width="8" style="2" bestFit="1" customWidth="1"/>
    <col min="11530" max="11530" width="11.125" style="2" bestFit="1" customWidth="1"/>
    <col min="11531" max="11531" width="9.625" style="2" bestFit="1" customWidth="1"/>
    <col min="11532" max="11777" width="9" style="2"/>
    <col min="11778" max="11778" width="2.375" style="2" customWidth="1"/>
    <col min="11779" max="11779" width="13.25" style="2" bestFit="1" customWidth="1"/>
    <col min="11780" max="11782" width="11.125" style="2" bestFit="1" customWidth="1"/>
    <col min="11783" max="11783" width="9" style="2"/>
    <col min="11784" max="11784" width="11.125" style="2" bestFit="1" customWidth="1"/>
    <col min="11785" max="11785" width="8" style="2" bestFit="1" customWidth="1"/>
    <col min="11786" max="11786" width="11.125" style="2" bestFit="1" customWidth="1"/>
    <col min="11787" max="11787" width="9.625" style="2" bestFit="1" customWidth="1"/>
    <col min="11788" max="12033" width="9" style="2"/>
    <col min="12034" max="12034" width="2.375" style="2" customWidth="1"/>
    <col min="12035" max="12035" width="13.25" style="2" bestFit="1" customWidth="1"/>
    <col min="12036" max="12038" width="11.125" style="2" bestFit="1" customWidth="1"/>
    <col min="12039" max="12039" width="9" style="2"/>
    <col min="12040" max="12040" width="11.125" style="2" bestFit="1" customWidth="1"/>
    <col min="12041" max="12041" width="8" style="2" bestFit="1" customWidth="1"/>
    <col min="12042" max="12042" width="11.125" style="2" bestFit="1" customWidth="1"/>
    <col min="12043" max="12043" width="9.625" style="2" bestFit="1" customWidth="1"/>
    <col min="12044" max="12289" width="9" style="2"/>
    <col min="12290" max="12290" width="2.375" style="2" customWidth="1"/>
    <col min="12291" max="12291" width="13.25" style="2" bestFit="1" customWidth="1"/>
    <col min="12292" max="12294" width="11.125" style="2" bestFit="1" customWidth="1"/>
    <col min="12295" max="12295" width="9" style="2"/>
    <col min="12296" max="12296" width="11.125" style="2" bestFit="1" customWidth="1"/>
    <col min="12297" max="12297" width="8" style="2" bestFit="1" customWidth="1"/>
    <col min="12298" max="12298" width="11.125" style="2" bestFit="1" customWidth="1"/>
    <col min="12299" max="12299" width="9.625" style="2" bestFit="1" customWidth="1"/>
    <col min="12300" max="12545" width="9" style="2"/>
    <col min="12546" max="12546" width="2.375" style="2" customWidth="1"/>
    <col min="12547" max="12547" width="13.25" style="2" bestFit="1" customWidth="1"/>
    <col min="12548" max="12550" width="11.125" style="2" bestFit="1" customWidth="1"/>
    <col min="12551" max="12551" width="9" style="2"/>
    <col min="12552" max="12552" width="11.125" style="2" bestFit="1" customWidth="1"/>
    <col min="12553" max="12553" width="8" style="2" bestFit="1" customWidth="1"/>
    <col min="12554" max="12554" width="11.125" style="2" bestFit="1" customWidth="1"/>
    <col min="12555" max="12555" width="9.625" style="2" bestFit="1" customWidth="1"/>
    <col min="12556" max="12801" width="9" style="2"/>
    <col min="12802" max="12802" width="2.375" style="2" customWidth="1"/>
    <col min="12803" max="12803" width="13.25" style="2" bestFit="1" customWidth="1"/>
    <col min="12804" max="12806" width="11.125" style="2" bestFit="1" customWidth="1"/>
    <col min="12807" max="12807" width="9" style="2"/>
    <col min="12808" max="12808" width="11.125" style="2" bestFit="1" customWidth="1"/>
    <col min="12809" max="12809" width="8" style="2" bestFit="1" customWidth="1"/>
    <col min="12810" max="12810" width="11.125" style="2" bestFit="1" customWidth="1"/>
    <col min="12811" max="12811" width="9.625" style="2" bestFit="1" customWidth="1"/>
    <col min="12812" max="13057" width="9" style="2"/>
    <col min="13058" max="13058" width="2.375" style="2" customWidth="1"/>
    <col min="13059" max="13059" width="13.25" style="2" bestFit="1" customWidth="1"/>
    <col min="13060" max="13062" width="11.125" style="2" bestFit="1" customWidth="1"/>
    <col min="13063" max="13063" width="9" style="2"/>
    <col min="13064" max="13064" width="11.125" style="2" bestFit="1" customWidth="1"/>
    <col min="13065" max="13065" width="8" style="2" bestFit="1" customWidth="1"/>
    <col min="13066" max="13066" width="11.125" style="2" bestFit="1" customWidth="1"/>
    <col min="13067" max="13067" width="9.625" style="2" bestFit="1" customWidth="1"/>
    <col min="13068" max="13313" width="9" style="2"/>
    <col min="13314" max="13314" width="2.375" style="2" customWidth="1"/>
    <col min="13315" max="13315" width="13.25" style="2" bestFit="1" customWidth="1"/>
    <col min="13316" max="13318" width="11.125" style="2" bestFit="1" customWidth="1"/>
    <col min="13319" max="13319" width="9" style="2"/>
    <col min="13320" max="13320" width="11.125" style="2" bestFit="1" customWidth="1"/>
    <col min="13321" max="13321" width="8" style="2" bestFit="1" customWidth="1"/>
    <col min="13322" max="13322" width="11.125" style="2" bestFit="1" customWidth="1"/>
    <col min="13323" max="13323" width="9.625" style="2" bestFit="1" customWidth="1"/>
    <col min="13324" max="13569" width="9" style="2"/>
    <col min="13570" max="13570" width="2.375" style="2" customWidth="1"/>
    <col min="13571" max="13571" width="13.25" style="2" bestFit="1" customWidth="1"/>
    <col min="13572" max="13574" width="11.125" style="2" bestFit="1" customWidth="1"/>
    <col min="13575" max="13575" width="9" style="2"/>
    <col min="13576" max="13576" width="11.125" style="2" bestFit="1" customWidth="1"/>
    <col min="13577" max="13577" width="8" style="2" bestFit="1" customWidth="1"/>
    <col min="13578" max="13578" width="11.125" style="2" bestFit="1" customWidth="1"/>
    <col min="13579" max="13579" width="9.625" style="2" bestFit="1" customWidth="1"/>
    <col min="13580" max="13825" width="9" style="2"/>
    <col min="13826" max="13826" width="2.375" style="2" customWidth="1"/>
    <col min="13827" max="13827" width="13.25" style="2" bestFit="1" customWidth="1"/>
    <col min="13828" max="13830" width="11.125" style="2" bestFit="1" customWidth="1"/>
    <col min="13831" max="13831" width="9" style="2"/>
    <col min="13832" max="13832" width="11.125" style="2" bestFit="1" customWidth="1"/>
    <col min="13833" max="13833" width="8" style="2" bestFit="1" customWidth="1"/>
    <col min="13834" max="13834" width="11.125" style="2" bestFit="1" customWidth="1"/>
    <col min="13835" max="13835" width="9.625" style="2" bestFit="1" customWidth="1"/>
    <col min="13836" max="14081" width="9" style="2"/>
    <col min="14082" max="14082" width="2.375" style="2" customWidth="1"/>
    <col min="14083" max="14083" width="13.25" style="2" bestFit="1" customWidth="1"/>
    <col min="14084" max="14086" width="11.125" style="2" bestFit="1" customWidth="1"/>
    <col min="14087" max="14087" width="9" style="2"/>
    <col min="14088" max="14088" width="11.125" style="2" bestFit="1" customWidth="1"/>
    <col min="14089" max="14089" width="8" style="2" bestFit="1" customWidth="1"/>
    <col min="14090" max="14090" width="11.125" style="2" bestFit="1" customWidth="1"/>
    <col min="14091" max="14091" width="9.625" style="2" bestFit="1" customWidth="1"/>
    <col min="14092" max="14337" width="9" style="2"/>
    <col min="14338" max="14338" width="2.375" style="2" customWidth="1"/>
    <col min="14339" max="14339" width="13.25" style="2" bestFit="1" customWidth="1"/>
    <col min="14340" max="14342" width="11.125" style="2" bestFit="1" customWidth="1"/>
    <col min="14343" max="14343" width="9" style="2"/>
    <col min="14344" max="14344" width="11.125" style="2" bestFit="1" customWidth="1"/>
    <col min="14345" max="14345" width="8" style="2" bestFit="1" customWidth="1"/>
    <col min="14346" max="14346" width="11.125" style="2" bestFit="1" customWidth="1"/>
    <col min="14347" max="14347" width="9.625" style="2" bestFit="1" customWidth="1"/>
    <col min="14348" max="14593" width="9" style="2"/>
    <col min="14594" max="14594" width="2.375" style="2" customWidth="1"/>
    <col min="14595" max="14595" width="13.25" style="2" bestFit="1" customWidth="1"/>
    <col min="14596" max="14598" width="11.125" style="2" bestFit="1" customWidth="1"/>
    <col min="14599" max="14599" width="9" style="2"/>
    <col min="14600" max="14600" width="11.125" style="2" bestFit="1" customWidth="1"/>
    <col min="14601" max="14601" width="8" style="2" bestFit="1" customWidth="1"/>
    <col min="14602" max="14602" width="11.125" style="2" bestFit="1" customWidth="1"/>
    <col min="14603" max="14603" width="9.625" style="2" bestFit="1" customWidth="1"/>
    <col min="14604" max="14849" width="9" style="2"/>
    <col min="14850" max="14850" width="2.375" style="2" customWidth="1"/>
    <col min="14851" max="14851" width="13.25" style="2" bestFit="1" customWidth="1"/>
    <col min="14852" max="14854" width="11.125" style="2" bestFit="1" customWidth="1"/>
    <col min="14855" max="14855" width="9" style="2"/>
    <col min="14856" max="14856" width="11.125" style="2" bestFit="1" customWidth="1"/>
    <col min="14857" max="14857" width="8" style="2" bestFit="1" customWidth="1"/>
    <col min="14858" max="14858" width="11.125" style="2" bestFit="1" customWidth="1"/>
    <col min="14859" max="14859" width="9.625" style="2" bestFit="1" customWidth="1"/>
    <col min="14860" max="15105" width="9" style="2"/>
    <col min="15106" max="15106" width="2.375" style="2" customWidth="1"/>
    <col min="15107" max="15107" width="13.25" style="2" bestFit="1" customWidth="1"/>
    <col min="15108" max="15110" width="11.125" style="2" bestFit="1" customWidth="1"/>
    <col min="15111" max="15111" width="9" style="2"/>
    <col min="15112" max="15112" width="11.125" style="2" bestFit="1" customWidth="1"/>
    <col min="15113" max="15113" width="8" style="2" bestFit="1" customWidth="1"/>
    <col min="15114" max="15114" width="11.125" style="2" bestFit="1" customWidth="1"/>
    <col min="15115" max="15115" width="9.625" style="2" bestFit="1" customWidth="1"/>
    <col min="15116" max="15361" width="9" style="2"/>
    <col min="15362" max="15362" width="2.375" style="2" customWidth="1"/>
    <col min="15363" max="15363" width="13.25" style="2" bestFit="1" customWidth="1"/>
    <col min="15364" max="15366" width="11.125" style="2" bestFit="1" customWidth="1"/>
    <col min="15367" max="15367" width="9" style="2"/>
    <col min="15368" max="15368" width="11.125" style="2" bestFit="1" customWidth="1"/>
    <col min="15369" max="15369" width="8" style="2" bestFit="1" customWidth="1"/>
    <col min="15370" max="15370" width="11.125" style="2" bestFit="1" customWidth="1"/>
    <col min="15371" max="15371" width="9.625" style="2" bestFit="1" customWidth="1"/>
    <col min="15372" max="15617" width="9" style="2"/>
    <col min="15618" max="15618" width="2.375" style="2" customWidth="1"/>
    <col min="15619" max="15619" width="13.25" style="2" bestFit="1" customWidth="1"/>
    <col min="15620" max="15622" width="11.125" style="2" bestFit="1" customWidth="1"/>
    <col min="15623" max="15623" width="9" style="2"/>
    <col min="15624" max="15624" width="11.125" style="2" bestFit="1" customWidth="1"/>
    <col min="15625" max="15625" width="8" style="2" bestFit="1" customWidth="1"/>
    <col min="15626" max="15626" width="11.125" style="2" bestFit="1" customWidth="1"/>
    <col min="15627" max="15627" width="9.625" style="2" bestFit="1" customWidth="1"/>
    <col min="15628" max="15873" width="9" style="2"/>
    <col min="15874" max="15874" width="2.375" style="2" customWidth="1"/>
    <col min="15875" max="15875" width="13.25" style="2" bestFit="1" customWidth="1"/>
    <col min="15876" max="15878" width="11.125" style="2" bestFit="1" customWidth="1"/>
    <col min="15879" max="15879" width="9" style="2"/>
    <col min="15880" max="15880" width="11.125" style="2" bestFit="1" customWidth="1"/>
    <col min="15881" max="15881" width="8" style="2" bestFit="1" customWidth="1"/>
    <col min="15882" max="15882" width="11.125" style="2" bestFit="1" customWidth="1"/>
    <col min="15883" max="15883" width="9.625" style="2" bestFit="1" customWidth="1"/>
    <col min="15884" max="16129" width="9" style="2"/>
    <col min="16130" max="16130" width="2.375" style="2" customWidth="1"/>
    <col min="16131" max="16131" width="13.25" style="2" bestFit="1" customWidth="1"/>
    <col min="16132" max="16134" width="11.125" style="2" bestFit="1" customWidth="1"/>
    <col min="16135" max="16135" width="9" style="2"/>
    <col min="16136" max="16136" width="11.125" style="2" bestFit="1" customWidth="1"/>
    <col min="16137" max="16137" width="8" style="2" bestFit="1" customWidth="1"/>
    <col min="16138" max="16138" width="11.125" style="2" bestFit="1" customWidth="1"/>
    <col min="16139" max="16139" width="9.625" style="2" bestFit="1" customWidth="1"/>
    <col min="16140" max="16384" width="9" style="2"/>
  </cols>
  <sheetData>
    <row r="1" spans="1:12">
      <c r="A1" s="1" t="s">
        <v>0</v>
      </c>
    </row>
    <row r="2" spans="1:12" ht="19.5" thickBot="1">
      <c r="A2" s="1" t="s">
        <v>58</v>
      </c>
    </row>
    <row r="3" spans="1:12">
      <c r="B3" s="14"/>
      <c r="C3" s="39" t="s">
        <v>3</v>
      </c>
      <c r="D3" s="4" t="s">
        <v>8</v>
      </c>
      <c r="E3" s="66" t="s">
        <v>59</v>
      </c>
      <c r="F3" s="38" t="s">
        <v>2</v>
      </c>
      <c r="G3" s="39" t="s">
        <v>4</v>
      </c>
      <c r="H3" s="39" t="s">
        <v>5</v>
      </c>
      <c r="I3" s="39" t="s">
        <v>6</v>
      </c>
      <c r="J3" s="68" t="s">
        <v>7</v>
      </c>
      <c r="K3" s="66" t="s">
        <v>59</v>
      </c>
      <c r="L3" s="82"/>
    </row>
    <row r="4" spans="1:12" ht="19.5" thickBot="1">
      <c r="B4" s="5" t="s">
        <v>9</v>
      </c>
      <c r="C4" s="41" t="s">
        <v>11</v>
      </c>
      <c r="D4" s="3" t="s">
        <v>15</v>
      </c>
      <c r="E4" s="67" t="s">
        <v>60</v>
      </c>
      <c r="F4" s="40" t="s">
        <v>10</v>
      </c>
      <c r="G4" s="41" t="s">
        <v>12</v>
      </c>
      <c r="H4" s="41" t="s">
        <v>13</v>
      </c>
      <c r="I4" s="41" t="s">
        <v>14</v>
      </c>
      <c r="J4" s="69" t="s">
        <v>62</v>
      </c>
      <c r="K4" s="67" t="s">
        <v>61</v>
      </c>
      <c r="L4" s="5" t="s">
        <v>16</v>
      </c>
    </row>
    <row r="5" spans="1:12">
      <c r="A5" s="1" t="s">
        <v>1</v>
      </c>
      <c r="B5" s="18" t="s">
        <v>17</v>
      </c>
      <c r="C5" s="43">
        <v>21</v>
      </c>
      <c r="D5" s="19">
        <v>17</v>
      </c>
      <c r="E5" s="20">
        <f>SUM(C5:D5)</f>
        <v>38</v>
      </c>
      <c r="F5" s="42">
        <v>20</v>
      </c>
      <c r="G5" s="43">
        <v>21</v>
      </c>
      <c r="H5" s="43">
        <v>21</v>
      </c>
      <c r="I5" s="43">
        <v>21</v>
      </c>
      <c r="J5" s="70">
        <v>20</v>
      </c>
      <c r="K5" s="20">
        <f>SUM(F5:J5)</f>
        <v>103</v>
      </c>
      <c r="L5" s="20">
        <f>SUM(K5,E5)</f>
        <v>141</v>
      </c>
    </row>
    <row r="6" spans="1:12">
      <c r="A6" s="1" t="s">
        <v>1</v>
      </c>
      <c r="B6" s="21" t="s">
        <v>18</v>
      </c>
      <c r="C6" s="45">
        <v>0</v>
      </c>
      <c r="D6" s="22">
        <v>0</v>
      </c>
      <c r="E6" s="23">
        <f t="shared" ref="E6:E15" si="0">SUM(C6:D6)</f>
        <v>0</v>
      </c>
      <c r="F6" s="44">
        <v>1</v>
      </c>
      <c r="G6" s="45">
        <v>1</v>
      </c>
      <c r="H6" s="45">
        <v>3</v>
      </c>
      <c r="I6" s="45">
        <v>2</v>
      </c>
      <c r="J6" s="71">
        <v>3</v>
      </c>
      <c r="K6" s="23">
        <f t="shared" ref="K6:K15" si="1">SUM(F6:J6)</f>
        <v>10</v>
      </c>
      <c r="L6" s="23">
        <f t="shared" ref="L6:L45" si="2">SUM(K6,E6)</f>
        <v>10</v>
      </c>
    </row>
    <row r="7" spans="1:12">
      <c r="A7" s="1" t="s">
        <v>1</v>
      </c>
      <c r="B7" s="21" t="s">
        <v>19</v>
      </c>
      <c r="C7" s="45">
        <v>0</v>
      </c>
      <c r="D7" s="22">
        <v>0</v>
      </c>
      <c r="E7" s="23">
        <f t="shared" si="0"/>
        <v>0</v>
      </c>
      <c r="F7" s="44">
        <v>0</v>
      </c>
      <c r="G7" s="45">
        <v>0</v>
      </c>
      <c r="H7" s="45">
        <v>0</v>
      </c>
      <c r="I7" s="45">
        <v>1</v>
      </c>
      <c r="J7" s="71">
        <v>1</v>
      </c>
      <c r="K7" s="23">
        <f t="shared" si="1"/>
        <v>2</v>
      </c>
      <c r="L7" s="23">
        <f t="shared" si="2"/>
        <v>2</v>
      </c>
    </row>
    <row r="8" spans="1:12">
      <c r="A8" s="1" t="s">
        <v>1</v>
      </c>
      <c r="B8" s="21" t="s">
        <v>20</v>
      </c>
      <c r="C8" s="45">
        <v>0</v>
      </c>
      <c r="D8" s="22">
        <v>0</v>
      </c>
      <c r="E8" s="23">
        <f t="shared" si="0"/>
        <v>0</v>
      </c>
      <c r="F8" s="44">
        <v>0</v>
      </c>
      <c r="G8" s="45">
        <v>0</v>
      </c>
      <c r="H8" s="45">
        <v>0</v>
      </c>
      <c r="I8" s="45">
        <v>0</v>
      </c>
      <c r="J8" s="71">
        <v>1</v>
      </c>
      <c r="K8" s="23">
        <f t="shared" si="1"/>
        <v>1</v>
      </c>
      <c r="L8" s="23">
        <f t="shared" si="2"/>
        <v>1</v>
      </c>
    </row>
    <row r="9" spans="1:12">
      <c r="A9" s="1" t="s">
        <v>1</v>
      </c>
      <c r="B9" s="21" t="s">
        <v>21</v>
      </c>
      <c r="C9" s="45">
        <v>0.5</v>
      </c>
      <c r="D9" s="22">
        <v>0</v>
      </c>
      <c r="E9" s="23">
        <f t="shared" si="0"/>
        <v>0.5</v>
      </c>
      <c r="F9" s="44">
        <v>1</v>
      </c>
      <c r="G9" s="45">
        <v>0</v>
      </c>
      <c r="H9" s="45">
        <v>0</v>
      </c>
      <c r="I9" s="45">
        <v>0</v>
      </c>
      <c r="J9" s="71">
        <v>0</v>
      </c>
      <c r="K9" s="23">
        <f t="shared" si="1"/>
        <v>1</v>
      </c>
      <c r="L9" s="23">
        <f t="shared" si="2"/>
        <v>1.5</v>
      </c>
    </row>
    <row r="10" spans="1:12">
      <c r="A10" s="1" t="s">
        <v>1</v>
      </c>
      <c r="B10" s="21" t="s">
        <v>22</v>
      </c>
      <c r="C10" s="47">
        <v>0</v>
      </c>
      <c r="D10" s="24">
        <v>3.5416666666666665</v>
      </c>
      <c r="E10" s="25">
        <f t="shared" si="0"/>
        <v>3.5416666666666665</v>
      </c>
      <c r="F10" s="46">
        <v>0</v>
      </c>
      <c r="G10" s="47">
        <v>0</v>
      </c>
      <c r="H10" s="47">
        <v>0</v>
      </c>
      <c r="I10" s="47">
        <v>0</v>
      </c>
      <c r="J10" s="72">
        <v>0</v>
      </c>
      <c r="K10" s="25">
        <f t="shared" si="1"/>
        <v>0</v>
      </c>
      <c r="L10" s="25">
        <f t="shared" si="2"/>
        <v>3.5416666666666665</v>
      </c>
    </row>
    <row r="11" spans="1:12">
      <c r="A11" s="1" t="s">
        <v>1</v>
      </c>
      <c r="B11" s="21" t="s">
        <v>23</v>
      </c>
      <c r="C11" s="47">
        <v>0</v>
      </c>
      <c r="D11" s="24">
        <v>0</v>
      </c>
      <c r="E11" s="25">
        <f t="shared" si="0"/>
        <v>0</v>
      </c>
      <c r="F11" s="46">
        <v>0.875</v>
      </c>
      <c r="G11" s="47">
        <v>1.375</v>
      </c>
      <c r="H11" s="47">
        <v>1.3333333333333333</v>
      </c>
      <c r="I11" s="47">
        <v>0.875</v>
      </c>
      <c r="J11" s="72">
        <v>1.7083333333333335</v>
      </c>
      <c r="K11" s="25">
        <f t="shared" si="1"/>
        <v>6.1666666666666661</v>
      </c>
      <c r="L11" s="25">
        <f t="shared" si="2"/>
        <v>6.1666666666666661</v>
      </c>
    </row>
    <row r="12" spans="1:12">
      <c r="A12" s="1" t="s">
        <v>1</v>
      </c>
      <c r="B12" s="21" t="s">
        <v>24</v>
      </c>
      <c r="C12" s="47">
        <v>0</v>
      </c>
      <c r="D12" s="24">
        <v>0</v>
      </c>
      <c r="E12" s="25">
        <f t="shared" si="0"/>
        <v>0</v>
      </c>
      <c r="F12" s="46">
        <v>0.54166666666666663</v>
      </c>
      <c r="G12" s="47">
        <v>0.33333333333333331</v>
      </c>
      <c r="H12" s="47">
        <v>1.25</v>
      </c>
      <c r="I12" s="47">
        <v>0.66666666666666663</v>
      </c>
      <c r="J12" s="72">
        <v>1.2916666666666667</v>
      </c>
      <c r="K12" s="25">
        <f t="shared" si="1"/>
        <v>4.083333333333333</v>
      </c>
      <c r="L12" s="25">
        <f t="shared" si="2"/>
        <v>4.083333333333333</v>
      </c>
    </row>
    <row r="13" spans="1:12">
      <c r="A13" s="1" t="s">
        <v>1</v>
      </c>
      <c r="B13" s="21" t="s">
        <v>25</v>
      </c>
      <c r="C13" s="47">
        <v>0</v>
      </c>
      <c r="D13" s="24">
        <v>0</v>
      </c>
      <c r="E13" s="25">
        <f t="shared" si="0"/>
        <v>0</v>
      </c>
      <c r="F13" s="46">
        <v>0</v>
      </c>
      <c r="G13" s="47">
        <v>0</v>
      </c>
      <c r="H13" s="47">
        <v>0</v>
      </c>
      <c r="I13" s="47">
        <v>0.20833333333333334</v>
      </c>
      <c r="J13" s="72">
        <v>0</v>
      </c>
      <c r="K13" s="25">
        <f t="shared" si="1"/>
        <v>0.20833333333333334</v>
      </c>
      <c r="L13" s="25">
        <f t="shared" si="2"/>
        <v>0.20833333333333334</v>
      </c>
    </row>
    <row r="14" spans="1:12">
      <c r="A14" s="1" t="s">
        <v>1</v>
      </c>
      <c r="B14" s="21" t="s">
        <v>26</v>
      </c>
      <c r="C14" s="47">
        <v>0</v>
      </c>
      <c r="D14" s="24">
        <v>0</v>
      </c>
      <c r="E14" s="25">
        <f t="shared" si="0"/>
        <v>0</v>
      </c>
      <c r="F14" s="46">
        <v>0</v>
      </c>
      <c r="G14" s="47">
        <v>0</v>
      </c>
      <c r="H14" s="47">
        <v>0</v>
      </c>
      <c r="I14" s="47">
        <v>0</v>
      </c>
      <c r="J14" s="72">
        <v>0.33333333333333331</v>
      </c>
      <c r="K14" s="25">
        <f t="shared" si="1"/>
        <v>0.33333333333333331</v>
      </c>
      <c r="L14" s="25">
        <f t="shared" si="2"/>
        <v>0.33333333333333331</v>
      </c>
    </row>
    <row r="15" spans="1:12">
      <c r="A15" s="1" t="s">
        <v>1</v>
      </c>
      <c r="B15" s="6" t="s">
        <v>27</v>
      </c>
      <c r="C15" s="49">
        <v>8.3333333333333329E-2</v>
      </c>
      <c r="D15" s="7">
        <v>0</v>
      </c>
      <c r="E15" s="8">
        <f t="shared" si="0"/>
        <v>8.3333333333333329E-2</v>
      </c>
      <c r="F15" s="48">
        <v>0.45833333333333331</v>
      </c>
      <c r="G15" s="49">
        <v>0.70833333333333337</v>
      </c>
      <c r="H15" s="49">
        <v>0.375</v>
      </c>
      <c r="I15" s="49">
        <v>8.3333333333333329E-2</v>
      </c>
      <c r="J15" s="73">
        <v>0.375</v>
      </c>
      <c r="K15" s="8">
        <f t="shared" si="1"/>
        <v>2</v>
      </c>
      <c r="L15" s="8">
        <f t="shared" si="2"/>
        <v>2.0833333333333335</v>
      </c>
    </row>
    <row r="16" spans="1:12">
      <c r="A16" s="1" t="s">
        <v>1</v>
      </c>
      <c r="B16" s="15" t="s">
        <v>28</v>
      </c>
      <c r="C16" s="51">
        <v>39.5</v>
      </c>
      <c r="D16" s="16">
        <v>38</v>
      </c>
      <c r="E16" s="17"/>
      <c r="F16" s="50">
        <v>18</v>
      </c>
      <c r="G16" s="51">
        <v>33</v>
      </c>
      <c r="H16" s="51">
        <v>37</v>
      </c>
      <c r="I16" s="51">
        <v>26</v>
      </c>
      <c r="J16" s="74">
        <v>0</v>
      </c>
      <c r="K16" s="17"/>
      <c r="L16" s="17"/>
    </row>
    <row r="17" spans="1:12">
      <c r="A17" s="1" t="s">
        <v>1</v>
      </c>
      <c r="B17" s="26" t="s">
        <v>29</v>
      </c>
      <c r="C17" s="53">
        <v>365000</v>
      </c>
      <c r="D17" s="27">
        <v>0</v>
      </c>
      <c r="E17" s="28">
        <f>SUM(C17:D17)</f>
        <v>365000</v>
      </c>
      <c r="F17" s="52">
        <v>187000</v>
      </c>
      <c r="G17" s="53">
        <v>187000</v>
      </c>
      <c r="H17" s="53">
        <v>182000</v>
      </c>
      <c r="I17" s="53">
        <v>170000</v>
      </c>
      <c r="J17" s="75">
        <v>187000</v>
      </c>
      <c r="K17" s="28">
        <f>SUM(F17:J17)</f>
        <v>913000</v>
      </c>
      <c r="L17" s="28">
        <f t="shared" si="2"/>
        <v>1278000</v>
      </c>
    </row>
    <row r="18" spans="1:12">
      <c r="A18" s="1" t="s">
        <v>1</v>
      </c>
      <c r="B18" s="21" t="s">
        <v>30</v>
      </c>
      <c r="C18" s="55">
        <v>0</v>
      </c>
      <c r="D18" s="29">
        <v>0</v>
      </c>
      <c r="E18" s="30">
        <f t="shared" ref="E18:E46" si="3">SUM(C18:D18)</f>
        <v>0</v>
      </c>
      <c r="F18" s="54">
        <v>6000</v>
      </c>
      <c r="G18" s="55">
        <v>0</v>
      </c>
      <c r="H18" s="55">
        <v>6000</v>
      </c>
      <c r="I18" s="55">
        <v>0</v>
      </c>
      <c r="J18" s="76">
        <v>0</v>
      </c>
      <c r="K18" s="30">
        <f t="shared" ref="K18:K46" si="4">SUM(F18:J18)</f>
        <v>12000</v>
      </c>
      <c r="L18" s="30">
        <f t="shared" si="2"/>
        <v>12000</v>
      </c>
    </row>
    <row r="19" spans="1:12">
      <c r="A19" s="1" t="s">
        <v>1</v>
      </c>
      <c r="B19" s="21" t="s">
        <v>31</v>
      </c>
      <c r="C19" s="55">
        <v>0</v>
      </c>
      <c r="D19" s="29">
        <v>0</v>
      </c>
      <c r="E19" s="30">
        <f t="shared" si="3"/>
        <v>0</v>
      </c>
      <c r="F19" s="54">
        <v>73254</v>
      </c>
      <c r="G19" s="55">
        <v>53901</v>
      </c>
      <c r="H19" s="55">
        <v>59083</v>
      </c>
      <c r="I19" s="55">
        <v>49920</v>
      </c>
      <c r="J19" s="76">
        <v>26600</v>
      </c>
      <c r="K19" s="30">
        <f t="shared" si="4"/>
        <v>262758</v>
      </c>
      <c r="L19" s="30">
        <f t="shared" si="2"/>
        <v>262758</v>
      </c>
    </row>
    <row r="20" spans="1:12">
      <c r="A20" s="1" t="s">
        <v>1</v>
      </c>
      <c r="B20" s="21" t="s">
        <v>32</v>
      </c>
      <c r="C20" s="55">
        <v>0</v>
      </c>
      <c r="D20" s="29">
        <v>86700</v>
      </c>
      <c r="E20" s="30">
        <f t="shared" si="3"/>
        <v>86700</v>
      </c>
      <c r="F20" s="54">
        <v>0</v>
      </c>
      <c r="G20" s="55">
        <v>0</v>
      </c>
      <c r="H20" s="55">
        <v>0</v>
      </c>
      <c r="I20" s="55">
        <v>0</v>
      </c>
      <c r="J20" s="76">
        <v>0</v>
      </c>
      <c r="K20" s="30">
        <f t="shared" si="4"/>
        <v>0</v>
      </c>
      <c r="L20" s="30">
        <f t="shared" si="2"/>
        <v>86700</v>
      </c>
    </row>
    <row r="21" spans="1:12">
      <c r="A21" s="1" t="s">
        <v>1</v>
      </c>
      <c r="B21" s="21" t="s">
        <v>33</v>
      </c>
      <c r="C21" s="55">
        <v>0</v>
      </c>
      <c r="D21" s="29">
        <v>0</v>
      </c>
      <c r="E21" s="30">
        <f t="shared" si="3"/>
        <v>0</v>
      </c>
      <c r="F21" s="54">
        <v>3500</v>
      </c>
      <c r="G21" s="55">
        <v>3500</v>
      </c>
      <c r="H21" s="55">
        <v>3500</v>
      </c>
      <c r="I21" s="55">
        <v>1000</v>
      </c>
      <c r="J21" s="76">
        <v>0</v>
      </c>
      <c r="K21" s="30">
        <f t="shared" si="4"/>
        <v>11500</v>
      </c>
      <c r="L21" s="30">
        <f t="shared" si="2"/>
        <v>11500</v>
      </c>
    </row>
    <row r="22" spans="1:12">
      <c r="A22" s="1" t="s">
        <v>1</v>
      </c>
      <c r="B22" s="21" t="s">
        <v>23</v>
      </c>
      <c r="C22" s="55">
        <v>0</v>
      </c>
      <c r="D22" s="29">
        <v>0</v>
      </c>
      <c r="E22" s="30">
        <f t="shared" si="3"/>
        <v>0</v>
      </c>
      <c r="F22" s="54">
        <v>30891</v>
      </c>
      <c r="G22" s="55">
        <v>47058</v>
      </c>
      <c r="H22" s="55">
        <v>45888</v>
      </c>
      <c r="I22" s="55">
        <v>26880</v>
      </c>
      <c r="J22" s="76">
        <v>57400</v>
      </c>
      <c r="K22" s="30">
        <f t="shared" si="4"/>
        <v>208117</v>
      </c>
      <c r="L22" s="30">
        <f t="shared" si="2"/>
        <v>208117</v>
      </c>
    </row>
    <row r="23" spans="1:12">
      <c r="A23" s="1" t="s">
        <v>1</v>
      </c>
      <c r="B23" s="21" t="s">
        <v>34</v>
      </c>
      <c r="C23" s="55">
        <v>0</v>
      </c>
      <c r="D23" s="29">
        <v>0</v>
      </c>
      <c r="E23" s="30">
        <f t="shared" si="3"/>
        <v>0</v>
      </c>
      <c r="F23" s="54">
        <v>20657</v>
      </c>
      <c r="G23" s="55">
        <v>12320</v>
      </c>
      <c r="H23" s="55">
        <v>46440</v>
      </c>
      <c r="I23" s="55">
        <v>22112</v>
      </c>
      <c r="J23" s="76">
        <v>46872</v>
      </c>
      <c r="K23" s="30">
        <f t="shared" si="4"/>
        <v>148401</v>
      </c>
      <c r="L23" s="30">
        <f t="shared" si="2"/>
        <v>148401</v>
      </c>
    </row>
    <row r="24" spans="1:12">
      <c r="A24" s="1" t="s">
        <v>1</v>
      </c>
      <c r="B24" s="21" t="s">
        <v>35</v>
      </c>
      <c r="C24" s="55">
        <v>0</v>
      </c>
      <c r="D24" s="29">
        <v>0</v>
      </c>
      <c r="E24" s="30">
        <f t="shared" si="3"/>
        <v>0</v>
      </c>
      <c r="F24" s="54">
        <v>0</v>
      </c>
      <c r="G24" s="55">
        <v>0</v>
      </c>
      <c r="H24" s="55">
        <v>0</v>
      </c>
      <c r="I24" s="55">
        <v>6910</v>
      </c>
      <c r="J24" s="76">
        <v>0</v>
      </c>
      <c r="K24" s="30">
        <f t="shared" si="4"/>
        <v>6910</v>
      </c>
      <c r="L24" s="30">
        <f t="shared" si="2"/>
        <v>6910</v>
      </c>
    </row>
    <row r="25" spans="1:12">
      <c r="A25" s="1" t="s">
        <v>1</v>
      </c>
      <c r="B25" s="21" t="s">
        <v>36</v>
      </c>
      <c r="C25" s="55">
        <v>0</v>
      </c>
      <c r="D25" s="29">
        <v>0</v>
      </c>
      <c r="E25" s="30">
        <f t="shared" si="3"/>
        <v>0</v>
      </c>
      <c r="F25" s="54">
        <v>0</v>
      </c>
      <c r="G25" s="55">
        <v>0</v>
      </c>
      <c r="H25" s="55">
        <v>0</v>
      </c>
      <c r="I25" s="55">
        <v>0</v>
      </c>
      <c r="J25" s="76">
        <v>3136</v>
      </c>
      <c r="K25" s="30">
        <f t="shared" si="4"/>
        <v>3136</v>
      </c>
      <c r="L25" s="30">
        <f t="shared" si="2"/>
        <v>3136</v>
      </c>
    </row>
    <row r="26" spans="1:12">
      <c r="A26" s="1" t="s">
        <v>1</v>
      </c>
      <c r="B26" s="31" t="s">
        <v>27</v>
      </c>
      <c r="C26" s="57">
        <v>1094</v>
      </c>
      <c r="D26" s="32">
        <v>0</v>
      </c>
      <c r="E26" s="33">
        <f t="shared" si="3"/>
        <v>1094</v>
      </c>
      <c r="F26" s="56">
        <v>3234</v>
      </c>
      <c r="G26" s="57">
        <v>4845</v>
      </c>
      <c r="H26" s="57">
        <v>2583</v>
      </c>
      <c r="I26" s="57">
        <v>512</v>
      </c>
      <c r="J26" s="77">
        <v>2520</v>
      </c>
      <c r="K26" s="33">
        <f t="shared" si="4"/>
        <v>13694</v>
      </c>
      <c r="L26" s="33">
        <f t="shared" si="2"/>
        <v>14788</v>
      </c>
    </row>
    <row r="27" spans="1:12">
      <c r="A27" s="1" t="s">
        <v>1</v>
      </c>
      <c r="B27" s="83" t="s">
        <v>37</v>
      </c>
      <c r="C27" s="84">
        <v>366094</v>
      </c>
      <c r="D27" s="85">
        <v>86700</v>
      </c>
      <c r="E27" s="86">
        <f t="shared" si="3"/>
        <v>452794</v>
      </c>
      <c r="F27" s="87">
        <v>324536</v>
      </c>
      <c r="G27" s="84">
        <v>308624</v>
      </c>
      <c r="H27" s="84">
        <v>345494</v>
      </c>
      <c r="I27" s="84">
        <v>277334</v>
      </c>
      <c r="J27" s="88">
        <v>323528</v>
      </c>
      <c r="K27" s="86">
        <f t="shared" si="4"/>
        <v>1579516</v>
      </c>
      <c r="L27" s="86">
        <f t="shared" si="2"/>
        <v>2032310</v>
      </c>
    </row>
    <row r="28" spans="1:12">
      <c r="A28" s="1" t="s">
        <v>1</v>
      </c>
      <c r="B28" s="26" t="s">
        <v>38</v>
      </c>
      <c r="C28" s="53">
        <v>4587</v>
      </c>
      <c r="D28" s="27">
        <v>3102</v>
      </c>
      <c r="E28" s="28">
        <f t="shared" si="3"/>
        <v>7689</v>
      </c>
      <c r="F28" s="52">
        <v>1642</v>
      </c>
      <c r="G28" s="53">
        <v>5161</v>
      </c>
      <c r="H28" s="53">
        <v>10634</v>
      </c>
      <c r="I28" s="53">
        <v>7506</v>
      </c>
      <c r="J28" s="75">
        <v>10008</v>
      </c>
      <c r="K28" s="28">
        <f t="shared" si="4"/>
        <v>34951</v>
      </c>
      <c r="L28" s="28">
        <f t="shared" si="2"/>
        <v>42640</v>
      </c>
    </row>
    <row r="29" spans="1:12">
      <c r="A29" s="1" t="s">
        <v>1</v>
      </c>
      <c r="B29" s="6" t="s">
        <v>39</v>
      </c>
      <c r="C29" s="59">
        <v>4587</v>
      </c>
      <c r="D29" s="9">
        <v>3102</v>
      </c>
      <c r="E29" s="10">
        <f t="shared" si="3"/>
        <v>7689</v>
      </c>
      <c r="F29" s="58">
        <v>1642</v>
      </c>
      <c r="G29" s="59">
        <v>5161</v>
      </c>
      <c r="H29" s="59">
        <v>10634</v>
      </c>
      <c r="I29" s="59">
        <v>7506</v>
      </c>
      <c r="J29" s="78">
        <v>10008</v>
      </c>
      <c r="K29" s="10">
        <f t="shared" si="4"/>
        <v>34951</v>
      </c>
      <c r="L29" s="10">
        <f t="shared" si="2"/>
        <v>42640</v>
      </c>
    </row>
    <row r="30" spans="1:12">
      <c r="A30" s="1" t="s">
        <v>1</v>
      </c>
      <c r="B30" s="15" t="s">
        <v>40</v>
      </c>
      <c r="C30" s="61">
        <v>370681</v>
      </c>
      <c r="D30" s="34">
        <v>89802</v>
      </c>
      <c r="E30" s="35">
        <f t="shared" si="3"/>
        <v>460483</v>
      </c>
      <c r="F30" s="60">
        <v>326178</v>
      </c>
      <c r="G30" s="61">
        <v>313785</v>
      </c>
      <c r="H30" s="61">
        <v>356128</v>
      </c>
      <c r="I30" s="61">
        <v>284840</v>
      </c>
      <c r="J30" s="79">
        <v>333536</v>
      </c>
      <c r="K30" s="35">
        <f t="shared" si="4"/>
        <v>1614467</v>
      </c>
      <c r="L30" s="35">
        <f t="shared" si="2"/>
        <v>2074950</v>
      </c>
    </row>
    <row r="31" spans="1:12">
      <c r="A31" s="1" t="s">
        <v>1</v>
      </c>
      <c r="B31" s="26" t="s">
        <v>41</v>
      </c>
      <c r="C31" s="53">
        <v>19380</v>
      </c>
      <c r="D31" s="27">
        <v>0</v>
      </c>
      <c r="E31" s="28">
        <f t="shared" si="3"/>
        <v>19380</v>
      </c>
      <c r="F31" s="52">
        <v>17340</v>
      </c>
      <c r="G31" s="53">
        <v>17340</v>
      </c>
      <c r="H31" s="53">
        <v>17340</v>
      </c>
      <c r="I31" s="53">
        <v>14280</v>
      </c>
      <c r="J31" s="75">
        <v>14280</v>
      </c>
      <c r="K31" s="28">
        <f t="shared" si="4"/>
        <v>80580</v>
      </c>
      <c r="L31" s="28">
        <f t="shared" si="2"/>
        <v>99960</v>
      </c>
    </row>
    <row r="32" spans="1:12">
      <c r="A32" s="1" t="s">
        <v>1</v>
      </c>
      <c r="B32" s="21" t="s">
        <v>42</v>
      </c>
      <c r="C32" s="55">
        <v>3420</v>
      </c>
      <c r="D32" s="29">
        <v>0</v>
      </c>
      <c r="E32" s="30">
        <f t="shared" si="3"/>
        <v>3420</v>
      </c>
      <c r="F32" s="54">
        <v>0</v>
      </c>
      <c r="G32" s="55">
        <v>3060</v>
      </c>
      <c r="H32" s="55">
        <v>3060</v>
      </c>
      <c r="I32" s="55">
        <v>2520</v>
      </c>
      <c r="J32" s="76">
        <v>2520</v>
      </c>
      <c r="K32" s="30">
        <f t="shared" si="4"/>
        <v>11160</v>
      </c>
      <c r="L32" s="30">
        <f t="shared" si="2"/>
        <v>14580</v>
      </c>
    </row>
    <row r="33" spans="1:12">
      <c r="A33" s="1" t="s">
        <v>1</v>
      </c>
      <c r="B33" s="21" t="s">
        <v>43</v>
      </c>
      <c r="C33" s="55">
        <v>34770</v>
      </c>
      <c r="D33" s="29">
        <v>0</v>
      </c>
      <c r="E33" s="30">
        <f t="shared" si="3"/>
        <v>34770</v>
      </c>
      <c r="F33" s="54">
        <v>31110</v>
      </c>
      <c r="G33" s="55">
        <v>31110</v>
      </c>
      <c r="H33" s="55">
        <v>31110</v>
      </c>
      <c r="I33" s="55">
        <v>25620</v>
      </c>
      <c r="J33" s="76">
        <v>25620</v>
      </c>
      <c r="K33" s="30">
        <f t="shared" si="4"/>
        <v>144570</v>
      </c>
      <c r="L33" s="30">
        <f t="shared" si="2"/>
        <v>179340</v>
      </c>
    </row>
    <row r="34" spans="1:12">
      <c r="A34" s="1" t="s">
        <v>1</v>
      </c>
      <c r="B34" s="6" t="s">
        <v>44</v>
      </c>
      <c r="C34" s="59">
        <v>2224</v>
      </c>
      <c r="D34" s="9">
        <v>539</v>
      </c>
      <c r="E34" s="10">
        <f t="shared" si="3"/>
        <v>2763</v>
      </c>
      <c r="F34" s="58">
        <v>1957</v>
      </c>
      <c r="G34" s="59">
        <v>1883</v>
      </c>
      <c r="H34" s="59">
        <v>2137</v>
      </c>
      <c r="I34" s="59">
        <v>1709</v>
      </c>
      <c r="J34" s="78">
        <v>2001</v>
      </c>
      <c r="K34" s="10">
        <f t="shared" si="4"/>
        <v>9687</v>
      </c>
      <c r="L34" s="10">
        <f t="shared" si="2"/>
        <v>12450</v>
      </c>
    </row>
    <row r="35" spans="1:12">
      <c r="A35" s="1" t="s">
        <v>1</v>
      </c>
      <c r="B35" s="15" t="s">
        <v>45</v>
      </c>
      <c r="C35" s="61">
        <v>59794</v>
      </c>
      <c r="D35" s="34">
        <v>539</v>
      </c>
      <c r="E35" s="35">
        <f t="shared" si="3"/>
        <v>60333</v>
      </c>
      <c r="F35" s="60">
        <v>50407</v>
      </c>
      <c r="G35" s="61">
        <v>53393</v>
      </c>
      <c r="H35" s="61">
        <v>53647</v>
      </c>
      <c r="I35" s="61">
        <v>44129</v>
      </c>
      <c r="J35" s="79">
        <v>44421</v>
      </c>
      <c r="K35" s="35">
        <f t="shared" si="4"/>
        <v>245997</v>
      </c>
      <c r="L35" s="35">
        <f t="shared" si="2"/>
        <v>306330</v>
      </c>
    </row>
    <row r="36" spans="1:12">
      <c r="A36" s="1" t="s">
        <v>1</v>
      </c>
      <c r="B36" s="26" t="s">
        <v>46</v>
      </c>
      <c r="C36" s="53">
        <v>0</v>
      </c>
      <c r="D36" s="27">
        <v>20</v>
      </c>
      <c r="E36" s="28">
        <f t="shared" si="3"/>
        <v>20</v>
      </c>
      <c r="F36" s="52">
        <v>0</v>
      </c>
      <c r="G36" s="53">
        <v>0</v>
      </c>
      <c r="H36" s="53">
        <v>0</v>
      </c>
      <c r="I36" s="53">
        <v>0</v>
      </c>
      <c r="J36" s="75">
        <v>0</v>
      </c>
      <c r="K36" s="28">
        <f t="shared" si="4"/>
        <v>0</v>
      </c>
      <c r="L36" s="28">
        <f t="shared" si="2"/>
        <v>20</v>
      </c>
    </row>
    <row r="37" spans="1:12">
      <c r="A37" s="1" t="s">
        <v>1</v>
      </c>
      <c r="B37" s="6" t="s">
        <v>47</v>
      </c>
      <c r="C37" s="59">
        <v>20000</v>
      </c>
      <c r="D37" s="9">
        <v>500</v>
      </c>
      <c r="E37" s="10">
        <f t="shared" si="3"/>
        <v>20500</v>
      </c>
      <c r="F37" s="58">
        <v>11800</v>
      </c>
      <c r="G37" s="59">
        <v>10200</v>
      </c>
      <c r="H37" s="59">
        <v>3500</v>
      </c>
      <c r="I37" s="59">
        <v>11900</v>
      </c>
      <c r="J37" s="78">
        <v>0</v>
      </c>
      <c r="K37" s="10">
        <f t="shared" si="4"/>
        <v>37400</v>
      </c>
      <c r="L37" s="10">
        <f t="shared" si="2"/>
        <v>57900</v>
      </c>
    </row>
    <row r="38" spans="1:12">
      <c r="A38" s="1" t="s">
        <v>1</v>
      </c>
      <c r="B38" s="15" t="s">
        <v>48</v>
      </c>
      <c r="C38" s="61">
        <v>79794</v>
      </c>
      <c r="D38" s="34">
        <v>1059</v>
      </c>
      <c r="E38" s="35">
        <f t="shared" si="3"/>
        <v>80853</v>
      </c>
      <c r="F38" s="60">
        <v>62207</v>
      </c>
      <c r="G38" s="61">
        <v>63593</v>
      </c>
      <c r="H38" s="61">
        <v>57147</v>
      </c>
      <c r="I38" s="61">
        <v>56029</v>
      </c>
      <c r="J38" s="79">
        <v>44421</v>
      </c>
      <c r="K38" s="35">
        <f t="shared" si="4"/>
        <v>283397</v>
      </c>
      <c r="L38" s="35">
        <f t="shared" si="2"/>
        <v>364250</v>
      </c>
    </row>
    <row r="39" spans="1:12">
      <c r="A39" s="1" t="s">
        <v>1</v>
      </c>
      <c r="B39" s="15" t="s">
        <v>49</v>
      </c>
      <c r="C39" s="61">
        <v>306300</v>
      </c>
      <c r="D39" s="34">
        <v>86161</v>
      </c>
      <c r="E39" s="35">
        <f t="shared" si="3"/>
        <v>392461</v>
      </c>
      <c r="F39" s="60">
        <v>274129</v>
      </c>
      <c r="G39" s="61">
        <v>255231</v>
      </c>
      <c r="H39" s="61">
        <v>291847</v>
      </c>
      <c r="I39" s="61">
        <v>233205</v>
      </c>
      <c r="J39" s="79">
        <v>279107</v>
      </c>
      <c r="K39" s="35">
        <f t="shared" si="4"/>
        <v>1333519</v>
      </c>
      <c r="L39" s="35">
        <f t="shared" si="2"/>
        <v>1725980</v>
      </c>
    </row>
    <row r="40" spans="1:12">
      <c r="A40" s="1" t="s">
        <v>1</v>
      </c>
      <c r="B40" s="15" t="s">
        <v>50</v>
      </c>
      <c r="C40" s="61">
        <v>290887</v>
      </c>
      <c r="D40" s="34">
        <v>88743</v>
      </c>
      <c r="E40" s="35">
        <f t="shared" si="3"/>
        <v>379630</v>
      </c>
      <c r="F40" s="60">
        <v>263971</v>
      </c>
      <c r="G40" s="61">
        <v>250192</v>
      </c>
      <c r="H40" s="61">
        <v>298981</v>
      </c>
      <c r="I40" s="61">
        <v>228811</v>
      </c>
      <c r="J40" s="79">
        <v>289115</v>
      </c>
      <c r="K40" s="35">
        <f t="shared" si="4"/>
        <v>1331070</v>
      </c>
      <c r="L40" s="35">
        <f t="shared" si="2"/>
        <v>1710700</v>
      </c>
    </row>
    <row r="41" spans="1:12">
      <c r="A41" s="1" t="s">
        <v>1</v>
      </c>
      <c r="B41" s="15" t="s">
        <v>51</v>
      </c>
      <c r="C41" s="61">
        <v>290887</v>
      </c>
      <c r="D41" s="34">
        <v>88743</v>
      </c>
      <c r="E41" s="35">
        <f t="shared" si="3"/>
        <v>379630</v>
      </c>
      <c r="F41" s="60">
        <v>263971</v>
      </c>
      <c r="G41" s="61">
        <v>250192</v>
      </c>
      <c r="H41" s="61">
        <v>298981</v>
      </c>
      <c r="I41" s="61">
        <v>228811</v>
      </c>
      <c r="J41" s="79">
        <v>289115</v>
      </c>
      <c r="K41" s="35">
        <f t="shared" si="4"/>
        <v>1331070</v>
      </c>
      <c r="L41" s="35">
        <f t="shared" si="2"/>
        <v>1710700</v>
      </c>
    </row>
    <row r="42" spans="1:12">
      <c r="A42" s="1" t="s">
        <v>1</v>
      </c>
      <c r="B42" s="15" t="s">
        <v>52</v>
      </c>
      <c r="C42" s="61">
        <v>0</v>
      </c>
      <c r="D42" s="34">
        <v>0</v>
      </c>
      <c r="E42" s="35">
        <f t="shared" si="3"/>
        <v>0</v>
      </c>
      <c r="F42" s="60">
        <v>0</v>
      </c>
      <c r="G42" s="61">
        <v>1</v>
      </c>
      <c r="H42" s="61">
        <v>0</v>
      </c>
      <c r="I42" s="61">
        <v>0</v>
      </c>
      <c r="J42" s="79">
        <v>2</v>
      </c>
      <c r="K42" s="35">
        <f t="shared" si="4"/>
        <v>3</v>
      </c>
      <c r="L42" s="35">
        <f t="shared" si="2"/>
        <v>3</v>
      </c>
    </row>
    <row r="43" spans="1:12">
      <c r="A43" s="1" t="s">
        <v>1</v>
      </c>
      <c r="B43" s="15" t="s">
        <v>53</v>
      </c>
      <c r="C43" s="63" t="s">
        <v>54</v>
      </c>
      <c r="D43" s="36" t="s">
        <v>54</v>
      </c>
      <c r="E43" s="37">
        <f t="shared" si="3"/>
        <v>0</v>
      </c>
      <c r="F43" s="62" t="s">
        <v>54</v>
      </c>
      <c r="G43" s="63" t="s">
        <v>54</v>
      </c>
      <c r="H43" s="63" t="s">
        <v>54</v>
      </c>
      <c r="I43" s="63" t="s">
        <v>54</v>
      </c>
      <c r="J43" s="80" t="s">
        <v>54</v>
      </c>
      <c r="K43" s="37">
        <f t="shared" si="4"/>
        <v>0</v>
      </c>
      <c r="L43" s="37">
        <f t="shared" si="2"/>
        <v>0</v>
      </c>
    </row>
    <row r="44" spans="1:12">
      <c r="A44" s="1" t="s">
        <v>1</v>
      </c>
      <c r="B44" s="15" t="s">
        <v>55</v>
      </c>
      <c r="C44" s="61">
        <v>8890</v>
      </c>
      <c r="D44" s="34">
        <v>20</v>
      </c>
      <c r="E44" s="35">
        <f t="shared" si="3"/>
        <v>8910</v>
      </c>
      <c r="F44" s="60">
        <v>7410</v>
      </c>
      <c r="G44" s="61">
        <v>5120</v>
      </c>
      <c r="H44" s="61">
        <v>8050</v>
      </c>
      <c r="I44" s="61">
        <v>5950</v>
      </c>
      <c r="J44" s="79">
        <v>4360</v>
      </c>
      <c r="K44" s="35">
        <f t="shared" si="4"/>
        <v>30890</v>
      </c>
      <c r="L44" s="35">
        <f t="shared" si="2"/>
        <v>39800</v>
      </c>
    </row>
    <row r="45" spans="1:12">
      <c r="A45" s="1" t="s">
        <v>1</v>
      </c>
      <c r="B45" s="15" t="s">
        <v>56</v>
      </c>
      <c r="C45" s="61">
        <v>8890</v>
      </c>
      <c r="D45" s="34">
        <v>0</v>
      </c>
      <c r="E45" s="35">
        <f t="shared" si="3"/>
        <v>8890</v>
      </c>
      <c r="F45" s="60">
        <v>7410</v>
      </c>
      <c r="G45" s="61">
        <v>5120</v>
      </c>
      <c r="H45" s="61">
        <v>8050</v>
      </c>
      <c r="I45" s="61">
        <v>5950</v>
      </c>
      <c r="J45" s="79">
        <v>4360</v>
      </c>
      <c r="K45" s="35">
        <f t="shared" si="4"/>
        <v>30890</v>
      </c>
      <c r="L45" s="35">
        <f t="shared" si="2"/>
        <v>39780</v>
      </c>
    </row>
    <row r="46" spans="1:12" ht="19.5" thickBot="1">
      <c r="A46" s="1" t="s">
        <v>1</v>
      </c>
      <c r="B46" s="11" t="s">
        <v>57</v>
      </c>
      <c r="C46" s="65">
        <v>30000</v>
      </c>
      <c r="D46" s="12">
        <v>0</v>
      </c>
      <c r="E46" s="13">
        <f t="shared" si="3"/>
        <v>30000</v>
      </c>
      <c r="F46" s="64">
        <v>30000</v>
      </c>
      <c r="G46" s="65">
        <v>60000</v>
      </c>
      <c r="H46" s="65">
        <v>60000</v>
      </c>
      <c r="I46" s="65">
        <v>30000</v>
      </c>
      <c r="J46" s="81">
        <v>60000</v>
      </c>
      <c r="K46" s="13">
        <f t="shared" si="4"/>
        <v>240000</v>
      </c>
      <c r="L46" s="13"/>
    </row>
  </sheetData>
  <phoneticPr fontId="4"/>
  <pageMargins left="0.31496062992125984" right="0.31496062992125984" top="0.35433070866141736" bottom="0.35433070866141736" header="0.11811023622047245" footer="0.11811023622047245"/>
  <pageSetup paperSize="12"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2024年 5月度給与 (2)</vt:lpstr>
      <vt:lpstr>'2024年 5月度給与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2024-06-06T04:51:27Z</cp:lastPrinted>
  <dcterms:created xsi:type="dcterms:W3CDTF">2024-06-06T03:57:54Z</dcterms:created>
  <dcterms:modified xsi:type="dcterms:W3CDTF">2024-06-07T00:48:40Z</dcterms:modified>
</cp:coreProperties>
</file>