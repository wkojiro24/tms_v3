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5\"/>
    </mc:Choice>
  </mc:AlternateContent>
  <xr:revisionPtr revIDLastSave="0" documentId="13_ncr:1_{47C60FA1-779F-478A-934D-918E24117633}" xr6:coauthVersionLast="47" xr6:coauthVersionMax="47" xr10:uidLastSave="{00000000-0000-0000-0000-000000000000}"/>
  <bookViews>
    <workbookView xWindow="-120" yWindow="-120" windowWidth="20730" windowHeight="11160" activeTab="1" xr2:uid="{CDDAED8D-BA8C-408A-A0C8-314E3A0D9A50}"/>
  </bookViews>
  <sheets>
    <sheet name="2024年 5月度給与 (2)" sheetId="3" r:id="rId1"/>
    <sheet name="2024年 5月度給与 (3)" sheetId="4" r:id="rId2"/>
    <sheet name="2024年 5月度給与 (4)" sheetId="5" r:id="rId3"/>
  </sheets>
  <definedNames>
    <definedName name="_xlnm.Print_Area" localSheetId="2">'2024年 5月度給与 (4)'!$A$1:$U$56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6" i="5" l="1"/>
  <c r="U55" i="5"/>
  <c r="U54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M56" i="4"/>
  <c r="K56" i="4"/>
  <c r="M55" i="4"/>
  <c r="K55" i="4"/>
  <c r="M54" i="4"/>
  <c r="K54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G51" i="3"/>
  <c r="AF6" i="3"/>
  <c r="AG6" i="3" s="1"/>
  <c r="AF7" i="3"/>
  <c r="AG7" i="3" s="1"/>
  <c r="AF8" i="3"/>
  <c r="AG8" i="3" s="1"/>
  <c r="AF9" i="3"/>
  <c r="AF10" i="3"/>
  <c r="AG10" i="3" s="1"/>
  <c r="AF11" i="3"/>
  <c r="AG11" i="3" s="1"/>
  <c r="AF12" i="3"/>
  <c r="AG12" i="3" s="1"/>
  <c r="AF13" i="3"/>
  <c r="AF14" i="3"/>
  <c r="AG14" i="3" s="1"/>
  <c r="AF15" i="3"/>
  <c r="AG15" i="3" s="1"/>
  <c r="AF16" i="3"/>
  <c r="AG16" i="3" s="1"/>
  <c r="AF17" i="3"/>
  <c r="AF18" i="3"/>
  <c r="AG18" i="3" s="1"/>
  <c r="AF19" i="3"/>
  <c r="AG19" i="3" s="1"/>
  <c r="AF21" i="3"/>
  <c r="AG21" i="3" s="1"/>
  <c r="AF22" i="3"/>
  <c r="AF23" i="3"/>
  <c r="AG23" i="3" s="1"/>
  <c r="AF24" i="3"/>
  <c r="AG24" i="3" s="1"/>
  <c r="AF25" i="3"/>
  <c r="AG25" i="3" s="1"/>
  <c r="AF26" i="3"/>
  <c r="AF27" i="3"/>
  <c r="AG27" i="3" s="1"/>
  <c r="AF28" i="3"/>
  <c r="AG28" i="3" s="1"/>
  <c r="AF29" i="3"/>
  <c r="AF30" i="3"/>
  <c r="AG30" i="3" s="1"/>
  <c r="AF31" i="3"/>
  <c r="AG31" i="3" s="1"/>
  <c r="AF32" i="3"/>
  <c r="AG32" i="3" s="1"/>
  <c r="AF33" i="3"/>
  <c r="AG33" i="3" s="1"/>
  <c r="AF34" i="3"/>
  <c r="AG34" i="3" s="1"/>
  <c r="AF35" i="3"/>
  <c r="AG35" i="3" s="1"/>
  <c r="AF36" i="3"/>
  <c r="AG36" i="3" s="1"/>
  <c r="AF37" i="3"/>
  <c r="AG37" i="3" s="1"/>
  <c r="AF38" i="3"/>
  <c r="AG38" i="3" s="1"/>
  <c r="AF39" i="3"/>
  <c r="AG39" i="3" s="1"/>
  <c r="AF40" i="3"/>
  <c r="AG40" i="3" s="1"/>
  <c r="AF41" i="3"/>
  <c r="AG41" i="3" s="1"/>
  <c r="AF42" i="3"/>
  <c r="AG42" i="3" s="1"/>
  <c r="AF43" i="3"/>
  <c r="AG43" i="3" s="1"/>
  <c r="AF44" i="3"/>
  <c r="AG44" i="3" s="1"/>
  <c r="AF45" i="3"/>
  <c r="AG45" i="3" s="1"/>
  <c r="AF46" i="3"/>
  <c r="AG46" i="3" s="1"/>
  <c r="AF47" i="3"/>
  <c r="AG47" i="3" s="1"/>
  <c r="AF48" i="3"/>
  <c r="AG48" i="3" s="1"/>
  <c r="AF49" i="3"/>
  <c r="AG49" i="3" s="1"/>
  <c r="AF50" i="3"/>
  <c r="AG50" i="3" s="1"/>
  <c r="AF51" i="3"/>
  <c r="AF54" i="3"/>
  <c r="AG54" i="3" s="1"/>
  <c r="AF55" i="3"/>
  <c r="AG55" i="3" s="1"/>
  <c r="AF56" i="3"/>
  <c r="AF5" i="3"/>
  <c r="AG5" i="3" s="1"/>
  <c r="AD6" i="3"/>
  <c r="AD7" i="3"/>
  <c r="AD8" i="3"/>
  <c r="AD9" i="3"/>
  <c r="AG9" i="3" s="1"/>
  <c r="AD10" i="3"/>
  <c r="AD11" i="3"/>
  <c r="AD12" i="3"/>
  <c r="AD13" i="3"/>
  <c r="AG13" i="3" s="1"/>
  <c r="AD14" i="3"/>
  <c r="AD15" i="3"/>
  <c r="AD16" i="3"/>
  <c r="AD17" i="3"/>
  <c r="AG17" i="3" s="1"/>
  <c r="AD18" i="3"/>
  <c r="AD19" i="3"/>
  <c r="AD21" i="3"/>
  <c r="AD22" i="3"/>
  <c r="AG22" i="3" s="1"/>
  <c r="AD23" i="3"/>
  <c r="AD24" i="3"/>
  <c r="AD25" i="3"/>
  <c r="AD26" i="3"/>
  <c r="AG26" i="3" s="1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4" i="3"/>
  <c r="AD55" i="3"/>
  <c r="AD56" i="3"/>
  <c r="AD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4" i="3"/>
  <c r="U55" i="3"/>
  <c r="U56" i="3"/>
  <c r="U5" i="3"/>
  <c r="AG29" i="3" l="1"/>
</calcChain>
</file>

<file path=xl/sharedStrings.xml><?xml version="1.0" encoding="utf-8"?>
<sst xmlns="http://schemas.openxmlformats.org/spreadsheetml/2006/main" count="499" uniqueCount="114">
  <si>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</si>
  <si>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</si>
  <si>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</si>
  <si>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</si>
  <si>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</si>
  <si>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</si>
  <si>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</si>
  <si>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</si>
  <si>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</si>
  <si>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</si>
  <si>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</si>
  <si>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</si>
  <si>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</si>
  <si>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</si>
  <si>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</si>
  <si>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</si>
  <si>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</si>
  <si>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</si>
  <si>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</si>
  <si>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</si>
  <si>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</si>
  <si>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</si>
  <si>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</si>
  <si>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</si>
  <si>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</si>
  <si>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</si>
  <si>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</si>
  <si>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</si>
  <si>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</si>
  <si>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</si>
  <si>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</si>
  <si>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</si>
  <si>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</si>
  <si>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</si>
  <si>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</si>
  <si>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</si>
  <si>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</si>
  <si>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</si>
  <si>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</si>
  <si>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</si>
  <si>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</si>
  <si>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</si>
  <si>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</si>
  <si>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</si>
  <si>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</si>
  <si>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</si>
  <si>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</si>
  <si>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</si>
  <si>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</si>
  <si>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</si>
  <si>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</si>
  <si>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</si>
  <si>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</si>
  <si>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</si>
  <si>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</si>
  <si>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</si>
  <si>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</si>
  <si>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</si>
  <si>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</si>
  <si>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</si>
  <si>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</si>
  <si>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</si>
  <si>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</si>
  <si>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</si>
  <si>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</si>
  <si>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</si>
  <si>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</si>
  <si>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</si>
  <si>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</si>
  <si>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</si>
  <si>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</si>
  <si>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</si>
  <si>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</si>
  <si>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</si>
  <si>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</si>
  <si>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</si>
  <si>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</si>
  <si>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</si>
  <si>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</si>
  <si>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無事故加算</t>
    <phoneticPr fontId="4"/>
  </si>
  <si>
    <t>有給休暇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</si>
  <si>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</si>
  <si>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</si>
  <si>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</si>
  <si>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</si>
  <si>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</si>
  <si>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</si>
  <si>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</si>
  <si>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</si>
  <si>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</si>
  <si>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</si>
  <si>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</si>
  <si>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</si>
  <si>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</si>
  <si>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</si>
  <si>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</si>
  <si>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</si>
  <si>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</si>
  <si>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</si>
  <si>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</si>
  <si>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</si>
  <si>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</si>
  <si>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</si>
  <si>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</si>
  <si>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</si>
  <si>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</si>
  <si>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</si>
  <si>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5月度給与</t>
    <phoneticPr fontId="4"/>
  </si>
  <si>
    <t>下山田英治</t>
    <phoneticPr fontId="4"/>
  </si>
  <si>
    <t>小計</t>
    <rPh sb="0" eb="2">
      <t>ショウケイ</t>
    </rPh>
    <phoneticPr fontId="3"/>
  </si>
  <si>
    <t>18名</t>
    <rPh sb="2" eb="3">
      <t>メイ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</si>
  <si>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</si>
  <si>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</si>
  <si>
    <t>27名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</si>
</sst>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5" fontId="2" fillId="0" borderId="0" xfId="1" applyNumberFormat="1" applyFont="1"/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4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/>
    <xf numFmtId="49" fontId="2" fillId="0" borderId="2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3" fontId="2" fillId="0" borderId="38" xfId="1" applyNumberFormat="1" applyFont="1" applyBorder="1"/>
    <xf numFmtId="3" fontId="2" fillId="0" borderId="36" xfId="1" applyNumberFormat="1" applyFont="1" applyBorder="1"/>
    <xf numFmtId="3" fontId="2" fillId="0" borderId="35" xfId="1" applyNumberFormat="1" applyFont="1" applyBorder="1"/>
    <xf numFmtId="49" fontId="2" fillId="0" borderId="36" xfId="1" applyNumberFormat="1" applyFont="1" applyBorder="1"/>
    <xf numFmtId="3" fontId="2" fillId="0" borderId="32" xfId="1" applyNumberFormat="1" applyFont="1" applyBorder="1"/>
    <xf numFmtId="49" fontId="2" fillId="0" borderId="39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176" fontId="2" fillId="0" borderId="44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3" xfId="1" applyNumberFormat="1" applyFont="1" applyBorder="1"/>
    <xf numFmtId="3" fontId="2" fillId="0" borderId="47" xfId="1" applyNumberFormat="1" applyFont="1" applyBorder="1"/>
    <xf numFmtId="3" fontId="2" fillId="0" borderId="45" xfId="1" applyNumberFormat="1" applyFont="1" applyBorder="1"/>
    <xf numFmtId="3" fontId="2" fillId="0" borderId="44" xfId="1" applyNumberFormat="1" applyFont="1" applyBorder="1"/>
    <xf numFmtId="49" fontId="2" fillId="0" borderId="45" xfId="1" applyNumberFormat="1" applyFont="1" applyBorder="1"/>
    <xf numFmtId="3" fontId="2" fillId="0" borderId="41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0" fontId="2" fillId="0" borderId="5" xfId="1" applyFont="1" applyBorder="1"/>
    <xf numFmtId="177" fontId="2" fillId="0" borderId="23" xfId="1" applyNumberFormat="1" applyFont="1" applyBorder="1"/>
    <xf numFmtId="177" fontId="2" fillId="0" borderId="10" xfId="1" applyNumberFormat="1" applyFont="1" applyBorder="1"/>
    <xf numFmtId="3" fontId="2" fillId="2" borderId="23" xfId="1" applyNumberFormat="1" applyFont="1" applyFill="1" applyBorder="1"/>
  </cellXfs>
  <cellStyles count="2">
    <cellStyle name="標準" xfId="0" builtinId="0"/>
    <cellStyle name="標準 2" xfId="1" xr:uid="{CED84B00-CD52-4C28-AD57-1A0D71A6A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0707-44A9-4D04-A203-6194CA73CBDE}">
  <dimension ref="A1:AG56"/>
  <sheetViews>
    <sheetView workbookViewId="0">
      <pane xSplit="2" ySplit="4" topLeftCell="C39" activePane="bottomRight" state="frozen"/>
      <selection pane="topRight" activeCell="C1" sqref="C1"/>
      <selection pane="bottomLeft" activeCell="A9" sqref="A9"/>
      <selection pane="bottomRight" activeCell="G42" sqref="G42"/>
    </sheetView>
  </sheetViews>
  <sheetFormatPr defaultRowHeight="18.75"/>
  <cols>
    <col min="1" max="1" width="2.375" style="2" customWidth="1"/>
    <col min="2" max="2" width="13.25" style="2" bestFit="1" customWidth="1"/>
    <col min="3" max="33" width="12" style="2" customWidth="1"/>
    <col min="3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79" width="11.125" style="2" bestFit="1" customWidth="1"/>
    <col min="280" max="280" width="9" style="2"/>
    <col min="281" max="287" width="11.125" style="2" bestFit="1" customWidth="1"/>
    <col min="288" max="288" width="9.625" style="2" bestFit="1" customWidth="1"/>
    <col min="289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5" width="11.125" style="2" bestFit="1" customWidth="1"/>
    <col min="536" max="536" width="9" style="2"/>
    <col min="537" max="543" width="11.125" style="2" bestFit="1" customWidth="1"/>
    <col min="544" max="544" width="9.625" style="2" bestFit="1" customWidth="1"/>
    <col min="545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1" width="11.125" style="2" bestFit="1" customWidth="1"/>
    <col min="792" max="792" width="9" style="2"/>
    <col min="793" max="799" width="11.125" style="2" bestFit="1" customWidth="1"/>
    <col min="800" max="800" width="9.625" style="2" bestFit="1" customWidth="1"/>
    <col min="801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7" width="11.125" style="2" bestFit="1" customWidth="1"/>
    <col min="1048" max="1048" width="9" style="2"/>
    <col min="1049" max="1055" width="11.125" style="2" bestFit="1" customWidth="1"/>
    <col min="1056" max="1056" width="9.625" style="2" bestFit="1" customWidth="1"/>
    <col min="1057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3" width="11.125" style="2" bestFit="1" customWidth="1"/>
    <col min="1304" max="1304" width="9" style="2"/>
    <col min="1305" max="1311" width="11.125" style="2" bestFit="1" customWidth="1"/>
    <col min="1312" max="1312" width="9.625" style="2" bestFit="1" customWidth="1"/>
    <col min="1313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59" width="11.125" style="2" bestFit="1" customWidth="1"/>
    <col min="1560" max="1560" width="9" style="2"/>
    <col min="1561" max="1567" width="11.125" style="2" bestFit="1" customWidth="1"/>
    <col min="1568" max="1568" width="9.625" style="2" bestFit="1" customWidth="1"/>
    <col min="1569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5" width="11.125" style="2" bestFit="1" customWidth="1"/>
    <col min="1816" max="1816" width="9" style="2"/>
    <col min="1817" max="1823" width="11.125" style="2" bestFit="1" customWidth="1"/>
    <col min="1824" max="1824" width="9.625" style="2" bestFit="1" customWidth="1"/>
    <col min="1825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1" width="11.125" style="2" bestFit="1" customWidth="1"/>
    <col min="2072" max="2072" width="9" style="2"/>
    <col min="2073" max="2079" width="11.125" style="2" bestFit="1" customWidth="1"/>
    <col min="2080" max="2080" width="9.625" style="2" bestFit="1" customWidth="1"/>
    <col min="2081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7" width="11.125" style="2" bestFit="1" customWidth="1"/>
    <col min="2328" max="2328" width="9" style="2"/>
    <col min="2329" max="2335" width="11.125" style="2" bestFit="1" customWidth="1"/>
    <col min="2336" max="2336" width="9.625" style="2" bestFit="1" customWidth="1"/>
    <col min="2337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3" width="11.125" style="2" bestFit="1" customWidth="1"/>
    <col min="2584" max="2584" width="9" style="2"/>
    <col min="2585" max="2591" width="11.125" style="2" bestFit="1" customWidth="1"/>
    <col min="2592" max="2592" width="9.625" style="2" bestFit="1" customWidth="1"/>
    <col min="2593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39" width="11.125" style="2" bestFit="1" customWidth="1"/>
    <col min="2840" max="2840" width="9" style="2"/>
    <col min="2841" max="2847" width="11.125" style="2" bestFit="1" customWidth="1"/>
    <col min="2848" max="2848" width="9.625" style="2" bestFit="1" customWidth="1"/>
    <col min="2849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5" width="11.125" style="2" bestFit="1" customWidth="1"/>
    <col min="3096" max="3096" width="9" style="2"/>
    <col min="3097" max="3103" width="11.125" style="2" bestFit="1" customWidth="1"/>
    <col min="3104" max="3104" width="9.625" style="2" bestFit="1" customWidth="1"/>
    <col min="3105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1" width="11.125" style="2" bestFit="1" customWidth="1"/>
    <col min="3352" max="3352" width="9" style="2"/>
    <col min="3353" max="3359" width="11.125" style="2" bestFit="1" customWidth="1"/>
    <col min="3360" max="3360" width="9.625" style="2" bestFit="1" customWidth="1"/>
    <col min="3361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7" width="11.125" style="2" bestFit="1" customWidth="1"/>
    <col min="3608" max="3608" width="9" style="2"/>
    <col min="3609" max="3615" width="11.125" style="2" bestFit="1" customWidth="1"/>
    <col min="3616" max="3616" width="9.625" style="2" bestFit="1" customWidth="1"/>
    <col min="3617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3" width="11.125" style="2" bestFit="1" customWidth="1"/>
    <col min="3864" max="3864" width="9" style="2"/>
    <col min="3865" max="3871" width="11.125" style="2" bestFit="1" customWidth="1"/>
    <col min="3872" max="3872" width="9.625" style="2" bestFit="1" customWidth="1"/>
    <col min="3873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19" width="11.125" style="2" bestFit="1" customWidth="1"/>
    <col min="4120" max="4120" width="9" style="2"/>
    <col min="4121" max="4127" width="11.125" style="2" bestFit="1" customWidth="1"/>
    <col min="4128" max="4128" width="9.625" style="2" bestFit="1" customWidth="1"/>
    <col min="4129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5" width="11.125" style="2" bestFit="1" customWidth="1"/>
    <col min="4376" max="4376" width="9" style="2"/>
    <col min="4377" max="4383" width="11.125" style="2" bestFit="1" customWidth="1"/>
    <col min="4384" max="4384" width="9.625" style="2" bestFit="1" customWidth="1"/>
    <col min="4385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1" width="11.125" style="2" bestFit="1" customWidth="1"/>
    <col min="4632" max="4632" width="9" style="2"/>
    <col min="4633" max="4639" width="11.125" style="2" bestFit="1" customWidth="1"/>
    <col min="4640" max="4640" width="9.625" style="2" bestFit="1" customWidth="1"/>
    <col min="4641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7" width="11.125" style="2" bestFit="1" customWidth="1"/>
    <col min="4888" max="4888" width="9" style="2"/>
    <col min="4889" max="4895" width="11.125" style="2" bestFit="1" customWidth="1"/>
    <col min="4896" max="4896" width="9.625" style="2" bestFit="1" customWidth="1"/>
    <col min="4897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3" width="11.125" style="2" bestFit="1" customWidth="1"/>
    <col min="5144" max="5144" width="9" style="2"/>
    <col min="5145" max="5151" width="11.125" style="2" bestFit="1" customWidth="1"/>
    <col min="5152" max="5152" width="9.625" style="2" bestFit="1" customWidth="1"/>
    <col min="5153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399" width="11.125" style="2" bestFit="1" customWidth="1"/>
    <col min="5400" max="5400" width="9" style="2"/>
    <col min="5401" max="5407" width="11.125" style="2" bestFit="1" customWidth="1"/>
    <col min="5408" max="5408" width="9.625" style="2" bestFit="1" customWidth="1"/>
    <col min="5409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5" width="11.125" style="2" bestFit="1" customWidth="1"/>
    <col min="5656" max="5656" width="9" style="2"/>
    <col min="5657" max="5663" width="11.125" style="2" bestFit="1" customWidth="1"/>
    <col min="5664" max="5664" width="9.625" style="2" bestFit="1" customWidth="1"/>
    <col min="5665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1" width="11.125" style="2" bestFit="1" customWidth="1"/>
    <col min="5912" max="5912" width="9" style="2"/>
    <col min="5913" max="5919" width="11.125" style="2" bestFit="1" customWidth="1"/>
    <col min="5920" max="5920" width="9.625" style="2" bestFit="1" customWidth="1"/>
    <col min="5921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7" width="11.125" style="2" bestFit="1" customWidth="1"/>
    <col min="6168" max="6168" width="9" style="2"/>
    <col min="6169" max="6175" width="11.125" style="2" bestFit="1" customWidth="1"/>
    <col min="6176" max="6176" width="9.625" style="2" bestFit="1" customWidth="1"/>
    <col min="6177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3" width="11.125" style="2" bestFit="1" customWidth="1"/>
    <col min="6424" max="6424" width="9" style="2"/>
    <col min="6425" max="6431" width="11.125" style="2" bestFit="1" customWidth="1"/>
    <col min="6432" max="6432" width="9.625" style="2" bestFit="1" customWidth="1"/>
    <col min="6433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79" width="11.125" style="2" bestFit="1" customWidth="1"/>
    <col min="6680" max="6680" width="9" style="2"/>
    <col min="6681" max="6687" width="11.125" style="2" bestFit="1" customWidth="1"/>
    <col min="6688" max="6688" width="9.625" style="2" bestFit="1" customWidth="1"/>
    <col min="6689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5" width="11.125" style="2" bestFit="1" customWidth="1"/>
    <col min="6936" max="6936" width="9" style="2"/>
    <col min="6937" max="6943" width="11.125" style="2" bestFit="1" customWidth="1"/>
    <col min="6944" max="6944" width="9.625" style="2" bestFit="1" customWidth="1"/>
    <col min="6945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1" width="11.125" style="2" bestFit="1" customWidth="1"/>
    <col min="7192" max="7192" width="9" style="2"/>
    <col min="7193" max="7199" width="11.125" style="2" bestFit="1" customWidth="1"/>
    <col min="7200" max="7200" width="9.625" style="2" bestFit="1" customWidth="1"/>
    <col min="7201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7" width="11.125" style="2" bestFit="1" customWidth="1"/>
    <col min="7448" max="7448" width="9" style="2"/>
    <col min="7449" max="7455" width="11.125" style="2" bestFit="1" customWidth="1"/>
    <col min="7456" max="7456" width="9.625" style="2" bestFit="1" customWidth="1"/>
    <col min="7457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3" width="11.125" style="2" bestFit="1" customWidth="1"/>
    <col min="7704" max="7704" width="9" style="2"/>
    <col min="7705" max="7711" width="11.125" style="2" bestFit="1" customWidth="1"/>
    <col min="7712" max="7712" width="9.625" style="2" bestFit="1" customWidth="1"/>
    <col min="7713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59" width="11.125" style="2" bestFit="1" customWidth="1"/>
    <col min="7960" max="7960" width="9" style="2"/>
    <col min="7961" max="7967" width="11.125" style="2" bestFit="1" customWidth="1"/>
    <col min="7968" max="7968" width="9.625" style="2" bestFit="1" customWidth="1"/>
    <col min="7969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5" width="11.125" style="2" bestFit="1" customWidth="1"/>
    <col min="8216" max="8216" width="9" style="2"/>
    <col min="8217" max="8223" width="11.125" style="2" bestFit="1" customWidth="1"/>
    <col min="8224" max="8224" width="9.625" style="2" bestFit="1" customWidth="1"/>
    <col min="8225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1" width="11.125" style="2" bestFit="1" customWidth="1"/>
    <col min="8472" max="8472" width="9" style="2"/>
    <col min="8473" max="8479" width="11.125" style="2" bestFit="1" customWidth="1"/>
    <col min="8480" max="8480" width="9.625" style="2" bestFit="1" customWidth="1"/>
    <col min="8481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7" width="11.125" style="2" bestFit="1" customWidth="1"/>
    <col min="8728" max="8728" width="9" style="2"/>
    <col min="8729" max="8735" width="11.125" style="2" bestFit="1" customWidth="1"/>
    <col min="8736" max="8736" width="9.625" style="2" bestFit="1" customWidth="1"/>
    <col min="8737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3" width="11.125" style="2" bestFit="1" customWidth="1"/>
    <col min="8984" max="8984" width="9" style="2"/>
    <col min="8985" max="8991" width="11.125" style="2" bestFit="1" customWidth="1"/>
    <col min="8992" max="8992" width="9.625" style="2" bestFit="1" customWidth="1"/>
    <col min="8993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39" width="11.125" style="2" bestFit="1" customWidth="1"/>
    <col min="9240" max="9240" width="9" style="2"/>
    <col min="9241" max="9247" width="11.125" style="2" bestFit="1" customWidth="1"/>
    <col min="9248" max="9248" width="9.625" style="2" bestFit="1" customWidth="1"/>
    <col min="9249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5" width="11.125" style="2" bestFit="1" customWidth="1"/>
    <col min="9496" max="9496" width="9" style="2"/>
    <col min="9497" max="9503" width="11.125" style="2" bestFit="1" customWidth="1"/>
    <col min="9504" max="9504" width="9.625" style="2" bestFit="1" customWidth="1"/>
    <col min="9505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1" width="11.125" style="2" bestFit="1" customWidth="1"/>
    <col min="9752" max="9752" width="9" style="2"/>
    <col min="9753" max="9759" width="11.125" style="2" bestFit="1" customWidth="1"/>
    <col min="9760" max="9760" width="9.625" style="2" bestFit="1" customWidth="1"/>
    <col min="9761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7" width="11.125" style="2" bestFit="1" customWidth="1"/>
    <col min="10008" max="10008" width="9" style="2"/>
    <col min="10009" max="10015" width="11.125" style="2" bestFit="1" customWidth="1"/>
    <col min="10016" max="10016" width="9.625" style="2" bestFit="1" customWidth="1"/>
    <col min="10017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3" width="11.125" style="2" bestFit="1" customWidth="1"/>
    <col min="10264" max="10264" width="9" style="2"/>
    <col min="10265" max="10271" width="11.125" style="2" bestFit="1" customWidth="1"/>
    <col min="10272" max="10272" width="9.625" style="2" bestFit="1" customWidth="1"/>
    <col min="10273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19" width="11.125" style="2" bestFit="1" customWidth="1"/>
    <col min="10520" max="10520" width="9" style="2"/>
    <col min="10521" max="10527" width="11.125" style="2" bestFit="1" customWidth="1"/>
    <col min="10528" max="10528" width="9.625" style="2" bestFit="1" customWidth="1"/>
    <col min="10529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5" width="11.125" style="2" bestFit="1" customWidth="1"/>
    <col min="10776" max="10776" width="9" style="2"/>
    <col min="10777" max="10783" width="11.125" style="2" bestFit="1" customWidth="1"/>
    <col min="10784" max="10784" width="9.625" style="2" bestFit="1" customWidth="1"/>
    <col min="10785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1" width="11.125" style="2" bestFit="1" customWidth="1"/>
    <col min="11032" max="11032" width="9" style="2"/>
    <col min="11033" max="11039" width="11.125" style="2" bestFit="1" customWidth="1"/>
    <col min="11040" max="11040" width="9.625" style="2" bestFit="1" customWidth="1"/>
    <col min="11041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7" width="11.125" style="2" bestFit="1" customWidth="1"/>
    <col min="11288" max="11288" width="9" style="2"/>
    <col min="11289" max="11295" width="11.125" style="2" bestFit="1" customWidth="1"/>
    <col min="11296" max="11296" width="9.625" style="2" bestFit="1" customWidth="1"/>
    <col min="11297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3" width="11.125" style="2" bestFit="1" customWidth="1"/>
    <col min="11544" max="11544" width="9" style="2"/>
    <col min="11545" max="11551" width="11.125" style="2" bestFit="1" customWidth="1"/>
    <col min="11552" max="11552" width="9.625" style="2" bestFit="1" customWidth="1"/>
    <col min="11553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799" width="11.125" style="2" bestFit="1" customWidth="1"/>
    <col min="11800" max="11800" width="9" style="2"/>
    <col min="11801" max="11807" width="11.125" style="2" bestFit="1" customWidth="1"/>
    <col min="11808" max="11808" width="9.625" style="2" bestFit="1" customWidth="1"/>
    <col min="11809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5" width="11.125" style="2" bestFit="1" customWidth="1"/>
    <col min="12056" max="12056" width="9" style="2"/>
    <col min="12057" max="12063" width="11.125" style="2" bestFit="1" customWidth="1"/>
    <col min="12064" max="12064" width="9.625" style="2" bestFit="1" customWidth="1"/>
    <col min="12065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1" width="11.125" style="2" bestFit="1" customWidth="1"/>
    <col min="12312" max="12312" width="9" style="2"/>
    <col min="12313" max="12319" width="11.125" style="2" bestFit="1" customWidth="1"/>
    <col min="12320" max="12320" width="9.625" style="2" bestFit="1" customWidth="1"/>
    <col min="12321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7" width="11.125" style="2" bestFit="1" customWidth="1"/>
    <col min="12568" max="12568" width="9" style="2"/>
    <col min="12569" max="12575" width="11.125" style="2" bestFit="1" customWidth="1"/>
    <col min="12576" max="12576" width="9.625" style="2" bestFit="1" customWidth="1"/>
    <col min="12577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3" width="11.125" style="2" bestFit="1" customWidth="1"/>
    <col min="12824" max="12824" width="9" style="2"/>
    <col min="12825" max="12831" width="11.125" style="2" bestFit="1" customWidth="1"/>
    <col min="12832" max="12832" width="9.625" style="2" bestFit="1" customWidth="1"/>
    <col min="12833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79" width="11.125" style="2" bestFit="1" customWidth="1"/>
    <col min="13080" max="13080" width="9" style="2"/>
    <col min="13081" max="13087" width="11.125" style="2" bestFit="1" customWidth="1"/>
    <col min="13088" max="13088" width="9.625" style="2" bestFit="1" customWidth="1"/>
    <col min="13089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5" width="11.125" style="2" bestFit="1" customWidth="1"/>
    <col min="13336" max="13336" width="9" style="2"/>
    <col min="13337" max="13343" width="11.125" style="2" bestFit="1" customWidth="1"/>
    <col min="13344" max="13344" width="9.625" style="2" bestFit="1" customWidth="1"/>
    <col min="13345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1" width="11.125" style="2" bestFit="1" customWidth="1"/>
    <col min="13592" max="13592" width="9" style="2"/>
    <col min="13593" max="13599" width="11.125" style="2" bestFit="1" customWidth="1"/>
    <col min="13600" max="13600" width="9.625" style="2" bestFit="1" customWidth="1"/>
    <col min="13601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7" width="11.125" style="2" bestFit="1" customWidth="1"/>
    <col min="13848" max="13848" width="9" style="2"/>
    <col min="13849" max="13855" width="11.125" style="2" bestFit="1" customWidth="1"/>
    <col min="13856" max="13856" width="9.625" style="2" bestFit="1" customWidth="1"/>
    <col min="13857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3" width="11.125" style="2" bestFit="1" customWidth="1"/>
    <col min="14104" max="14104" width="9" style="2"/>
    <col min="14105" max="14111" width="11.125" style="2" bestFit="1" customWidth="1"/>
    <col min="14112" max="14112" width="9.625" style="2" bestFit="1" customWidth="1"/>
    <col min="14113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59" width="11.125" style="2" bestFit="1" customWidth="1"/>
    <col min="14360" max="14360" width="9" style="2"/>
    <col min="14361" max="14367" width="11.125" style="2" bestFit="1" customWidth="1"/>
    <col min="14368" max="14368" width="9.625" style="2" bestFit="1" customWidth="1"/>
    <col min="14369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5" width="11.125" style="2" bestFit="1" customWidth="1"/>
    <col min="14616" max="14616" width="9" style="2"/>
    <col min="14617" max="14623" width="11.125" style="2" bestFit="1" customWidth="1"/>
    <col min="14624" max="14624" width="9.625" style="2" bestFit="1" customWidth="1"/>
    <col min="14625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1" width="11.125" style="2" bestFit="1" customWidth="1"/>
    <col min="14872" max="14872" width="9" style="2"/>
    <col min="14873" max="14879" width="11.125" style="2" bestFit="1" customWidth="1"/>
    <col min="14880" max="14880" width="9.625" style="2" bestFit="1" customWidth="1"/>
    <col min="14881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7" width="11.125" style="2" bestFit="1" customWidth="1"/>
    <col min="15128" max="15128" width="9" style="2"/>
    <col min="15129" max="15135" width="11.125" style="2" bestFit="1" customWidth="1"/>
    <col min="15136" max="15136" width="9.625" style="2" bestFit="1" customWidth="1"/>
    <col min="15137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3" width="11.125" style="2" bestFit="1" customWidth="1"/>
    <col min="15384" max="15384" width="9" style="2"/>
    <col min="15385" max="15391" width="11.125" style="2" bestFit="1" customWidth="1"/>
    <col min="15392" max="15392" width="9.625" style="2" bestFit="1" customWidth="1"/>
    <col min="15393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39" width="11.125" style="2" bestFit="1" customWidth="1"/>
    <col min="15640" max="15640" width="9" style="2"/>
    <col min="15641" max="15647" width="11.125" style="2" bestFit="1" customWidth="1"/>
    <col min="15648" max="15648" width="9.625" style="2" bestFit="1" customWidth="1"/>
    <col min="15649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5" width="11.125" style="2" bestFit="1" customWidth="1"/>
    <col min="15896" max="15896" width="9" style="2"/>
    <col min="15897" max="15903" width="11.125" style="2" bestFit="1" customWidth="1"/>
    <col min="15904" max="15904" width="9.625" style="2" bestFit="1" customWidth="1"/>
    <col min="15905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1" width="11.125" style="2" bestFit="1" customWidth="1"/>
    <col min="16152" max="16152" width="9" style="2"/>
    <col min="16153" max="16159" width="11.125" style="2" bestFit="1" customWidth="1"/>
    <col min="16160" max="16160" width="9.625" style="2" bestFit="1" customWidth="1"/>
    <col min="16161" max="16384" width="9" style="2"/>
  </cols>
  <sheetData>
    <row r="1" spans="1:33">
      <c r="A1" s="1" t="s">
        <v>0</v>
      </c>
    </row>
    <row r="2" spans="1:33" ht="19.5" thickBot="1">
      <c r="A2" s="1" t="s">
        <v>107</v>
      </c>
    </row>
    <row r="3" spans="1:33">
      <c r="B3" s="15"/>
      <c r="C3" s="80" t="s">
        <v>2</v>
      </c>
      <c r="D3" s="40" t="s">
        <v>3</v>
      </c>
      <c r="E3" s="40" t="s">
        <v>6</v>
      </c>
      <c r="F3" s="40" t="s">
        <v>7</v>
      </c>
      <c r="G3" s="40" t="s">
        <v>8</v>
      </c>
      <c r="H3" s="40" t="s">
        <v>9</v>
      </c>
      <c r="I3" s="40" t="s">
        <v>10</v>
      </c>
      <c r="J3" s="40" t="s">
        <v>11</v>
      </c>
      <c r="K3" s="40" t="s">
        <v>12</v>
      </c>
      <c r="L3" s="40" t="s">
        <v>13</v>
      </c>
      <c r="M3" s="40" t="s">
        <v>14</v>
      </c>
      <c r="N3" s="40" t="s">
        <v>15</v>
      </c>
      <c r="O3" s="40" t="s">
        <v>17</v>
      </c>
      <c r="P3" s="40" t="s">
        <v>18</v>
      </c>
      <c r="Q3" s="40" t="s">
        <v>19</v>
      </c>
      <c r="R3" s="40" t="s">
        <v>20</v>
      </c>
      <c r="S3" s="40" t="s">
        <v>21</v>
      </c>
      <c r="T3" s="81" t="s">
        <v>22</v>
      </c>
      <c r="U3" s="95" t="s">
        <v>109</v>
      </c>
      <c r="V3" s="39" t="s">
        <v>16</v>
      </c>
      <c r="W3" s="40" t="s">
        <v>4</v>
      </c>
      <c r="X3" s="40" t="s">
        <v>25</v>
      </c>
      <c r="Y3" s="40" t="s">
        <v>26</v>
      </c>
      <c r="Z3" s="40" t="s">
        <v>23</v>
      </c>
      <c r="AA3" s="40" t="s">
        <v>24</v>
      </c>
      <c r="AB3" s="81" t="s">
        <v>27</v>
      </c>
      <c r="AC3" s="5" t="s">
        <v>28</v>
      </c>
      <c r="AD3" s="95" t="s">
        <v>109</v>
      </c>
      <c r="AE3" s="5" t="s">
        <v>5</v>
      </c>
      <c r="AF3" s="95" t="s">
        <v>109</v>
      </c>
      <c r="AG3" s="97" t="s">
        <v>56</v>
      </c>
    </row>
    <row r="4" spans="1:33" ht="19.5" thickBot="1">
      <c r="A4" s="4"/>
      <c r="B4" s="6" t="s">
        <v>29</v>
      </c>
      <c r="C4" s="67" t="s">
        <v>30</v>
      </c>
      <c r="D4" s="42" t="s">
        <v>31</v>
      </c>
      <c r="E4" s="42" t="s">
        <v>33</v>
      </c>
      <c r="F4" s="42" t="s">
        <v>34</v>
      </c>
      <c r="G4" s="42" t="s">
        <v>35</v>
      </c>
      <c r="H4" s="42" t="s">
        <v>36</v>
      </c>
      <c r="I4" s="42" t="s">
        <v>37</v>
      </c>
      <c r="J4" s="42" t="s">
        <v>38</v>
      </c>
      <c r="K4" s="42" t="s">
        <v>39</v>
      </c>
      <c r="L4" s="42" t="s">
        <v>40</v>
      </c>
      <c r="M4" s="42" t="s">
        <v>41</v>
      </c>
      <c r="N4" s="42" t="s">
        <v>42</v>
      </c>
      <c r="O4" s="42" t="s">
        <v>44</v>
      </c>
      <c r="P4" s="42" t="s">
        <v>45</v>
      </c>
      <c r="Q4" s="42" t="s">
        <v>46</v>
      </c>
      <c r="R4" s="42" t="s">
        <v>47</v>
      </c>
      <c r="S4" s="42" t="s">
        <v>48</v>
      </c>
      <c r="T4" s="82" t="s">
        <v>49</v>
      </c>
      <c r="U4" s="96" t="s">
        <v>110</v>
      </c>
      <c r="V4" s="41" t="s">
        <v>43</v>
      </c>
      <c r="W4" s="42" t="s">
        <v>108</v>
      </c>
      <c r="X4" s="42" t="s">
        <v>52</v>
      </c>
      <c r="Y4" s="42" t="s">
        <v>53</v>
      </c>
      <c r="Z4" s="42" t="s">
        <v>50</v>
      </c>
      <c r="AA4" s="42" t="s">
        <v>51</v>
      </c>
      <c r="AB4" s="82" t="s">
        <v>54</v>
      </c>
      <c r="AC4" s="3" t="s">
        <v>55</v>
      </c>
      <c r="AD4" s="96" t="s">
        <v>111</v>
      </c>
      <c r="AE4" s="3" t="s">
        <v>32</v>
      </c>
      <c r="AF4" s="96" t="s">
        <v>112</v>
      </c>
      <c r="AG4" s="6" t="s">
        <v>113</v>
      </c>
    </row>
    <row r="5" spans="1:33">
      <c r="A5" s="1" t="s">
        <v>1</v>
      </c>
      <c r="B5" s="23" t="s">
        <v>57</v>
      </c>
      <c r="C5" s="68">
        <v>19</v>
      </c>
      <c r="D5" s="44">
        <v>21</v>
      </c>
      <c r="E5" s="44">
        <v>20</v>
      </c>
      <c r="F5" s="44">
        <v>20</v>
      </c>
      <c r="G5" s="44">
        <v>19</v>
      </c>
      <c r="H5" s="44">
        <v>18</v>
      </c>
      <c r="I5" s="44">
        <v>21</v>
      </c>
      <c r="J5" s="44">
        <v>20</v>
      </c>
      <c r="K5" s="44">
        <v>19</v>
      </c>
      <c r="L5" s="44">
        <v>20</v>
      </c>
      <c r="M5" s="44">
        <v>19</v>
      </c>
      <c r="N5" s="44">
        <v>21</v>
      </c>
      <c r="O5" s="44">
        <v>13</v>
      </c>
      <c r="P5" s="44">
        <v>19</v>
      </c>
      <c r="Q5" s="44">
        <v>17</v>
      </c>
      <c r="R5" s="44">
        <v>19</v>
      </c>
      <c r="S5" s="44">
        <v>19</v>
      </c>
      <c r="T5" s="83">
        <v>21</v>
      </c>
      <c r="U5" s="25">
        <f>SUM(C5:T5)</f>
        <v>345</v>
      </c>
      <c r="V5" s="43">
        <v>18</v>
      </c>
      <c r="W5" s="44">
        <v>21</v>
      </c>
      <c r="X5" s="44">
        <v>13</v>
      </c>
      <c r="Y5" s="44">
        <v>17</v>
      </c>
      <c r="Z5" s="44">
        <v>11</v>
      </c>
      <c r="AA5" s="44">
        <v>10</v>
      </c>
      <c r="AB5" s="83">
        <v>8</v>
      </c>
      <c r="AC5" s="24">
        <v>19</v>
      </c>
      <c r="AD5" s="25">
        <f>SUM(V5:AC5)</f>
        <v>117</v>
      </c>
      <c r="AE5" s="24">
        <v>21</v>
      </c>
      <c r="AF5" s="25">
        <f>SUM(AE5)</f>
        <v>21</v>
      </c>
      <c r="AG5" s="25">
        <f>SUM(AF5,AD5,U5)</f>
        <v>483</v>
      </c>
    </row>
    <row r="6" spans="1:33">
      <c r="A6" s="1" t="s">
        <v>1</v>
      </c>
      <c r="B6" s="26" t="s">
        <v>58</v>
      </c>
      <c r="C6" s="69">
        <v>4</v>
      </c>
      <c r="D6" s="46">
        <v>1</v>
      </c>
      <c r="E6" s="46">
        <v>2</v>
      </c>
      <c r="F6" s="46">
        <v>0</v>
      </c>
      <c r="G6" s="46">
        <v>1</v>
      </c>
      <c r="H6" s="46">
        <v>4</v>
      </c>
      <c r="I6" s="46">
        <v>3</v>
      </c>
      <c r="J6" s="46">
        <v>4</v>
      </c>
      <c r="K6" s="46">
        <v>2</v>
      </c>
      <c r="L6" s="46">
        <v>4</v>
      </c>
      <c r="M6" s="46">
        <v>1</v>
      </c>
      <c r="N6" s="46">
        <v>4</v>
      </c>
      <c r="O6" s="46">
        <v>2</v>
      </c>
      <c r="P6" s="46">
        <v>2</v>
      </c>
      <c r="Q6" s="46">
        <v>3</v>
      </c>
      <c r="R6" s="46">
        <v>2</v>
      </c>
      <c r="S6" s="46">
        <v>2</v>
      </c>
      <c r="T6" s="84">
        <v>3</v>
      </c>
      <c r="U6" s="28">
        <f t="shared" ref="U6:U56" si="0">SUM(C6:T6)</f>
        <v>44</v>
      </c>
      <c r="V6" s="45">
        <v>0</v>
      </c>
      <c r="W6" s="46">
        <v>2</v>
      </c>
      <c r="X6" s="46">
        <v>0</v>
      </c>
      <c r="Y6" s="46">
        <v>0</v>
      </c>
      <c r="Z6" s="46">
        <v>0</v>
      </c>
      <c r="AA6" s="46">
        <v>0</v>
      </c>
      <c r="AB6" s="84">
        <v>0</v>
      </c>
      <c r="AC6" s="27">
        <v>0</v>
      </c>
      <c r="AD6" s="28">
        <f t="shared" ref="AD6:AD56" si="1">SUM(V6:AC6)</f>
        <v>2</v>
      </c>
      <c r="AE6" s="27">
        <v>0</v>
      </c>
      <c r="AF6" s="28">
        <f t="shared" ref="AF6:AF56" si="2">SUM(AE6)</f>
        <v>0</v>
      </c>
      <c r="AG6" s="28">
        <f t="shared" ref="AG6:AG55" si="3">SUM(AF6,AD6,U6)</f>
        <v>46</v>
      </c>
    </row>
    <row r="7" spans="1:33">
      <c r="A7" s="1" t="s">
        <v>1</v>
      </c>
      <c r="B7" s="26" t="s">
        <v>59</v>
      </c>
      <c r="C7" s="69">
        <v>4</v>
      </c>
      <c r="D7" s="46">
        <v>5</v>
      </c>
      <c r="E7" s="46">
        <v>1</v>
      </c>
      <c r="F7" s="46">
        <v>3</v>
      </c>
      <c r="G7" s="46">
        <v>4</v>
      </c>
      <c r="H7" s="46">
        <v>2</v>
      </c>
      <c r="I7" s="46">
        <v>3</v>
      </c>
      <c r="J7" s="46">
        <v>2</v>
      </c>
      <c r="K7" s="46">
        <v>5</v>
      </c>
      <c r="L7" s="46">
        <v>3</v>
      </c>
      <c r="M7" s="46">
        <v>5</v>
      </c>
      <c r="N7" s="46">
        <v>1</v>
      </c>
      <c r="O7" s="46">
        <v>0</v>
      </c>
      <c r="P7" s="46">
        <v>3</v>
      </c>
      <c r="Q7" s="46">
        <v>3</v>
      </c>
      <c r="R7" s="46">
        <v>3</v>
      </c>
      <c r="S7" s="46">
        <v>1</v>
      </c>
      <c r="T7" s="84">
        <v>3</v>
      </c>
      <c r="U7" s="28">
        <f t="shared" si="0"/>
        <v>51</v>
      </c>
      <c r="V7" s="45">
        <v>0</v>
      </c>
      <c r="W7" s="46">
        <v>1</v>
      </c>
      <c r="X7" s="46">
        <v>0</v>
      </c>
      <c r="Y7" s="46">
        <v>0</v>
      </c>
      <c r="Z7" s="46">
        <v>0</v>
      </c>
      <c r="AA7" s="46">
        <v>0</v>
      </c>
      <c r="AB7" s="84">
        <v>0</v>
      </c>
      <c r="AC7" s="27">
        <v>0</v>
      </c>
      <c r="AD7" s="28">
        <f t="shared" si="1"/>
        <v>1</v>
      </c>
      <c r="AE7" s="27">
        <v>0</v>
      </c>
      <c r="AF7" s="28">
        <f t="shared" si="2"/>
        <v>0</v>
      </c>
      <c r="AG7" s="28">
        <f t="shared" si="3"/>
        <v>52</v>
      </c>
    </row>
    <row r="8" spans="1:33">
      <c r="A8" s="1" t="s">
        <v>1</v>
      </c>
      <c r="B8" s="26" t="s">
        <v>60</v>
      </c>
      <c r="C8" s="69">
        <v>0</v>
      </c>
      <c r="D8" s="46">
        <v>0</v>
      </c>
      <c r="E8" s="46">
        <v>0</v>
      </c>
      <c r="F8" s="46">
        <v>1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1</v>
      </c>
      <c r="N8" s="46">
        <v>0</v>
      </c>
      <c r="O8" s="46">
        <v>0</v>
      </c>
      <c r="P8" s="46">
        <v>0</v>
      </c>
      <c r="Q8" s="46">
        <v>2</v>
      </c>
      <c r="R8" s="46">
        <v>1</v>
      </c>
      <c r="S8" s="46">
        <v>0</v>
      </c>
      <c r="T8" s="84">
        <v>0</v>
      </c>
      <c r="U8" s="28">
        <f t="shared" si="0"/>
        <v>5</v>
      </c>
      <c r="V8" s="45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84">
        <v>0</v>
      </c>
      <c r="AC8" s="27">
        <v>0</v>
      </c>
      <c r="AD8" s="28">
        <f t="shared" si="1"/>
        <v>0</v>
      </c>
      <c r="AE8" s="27">
        <v>0</v>
      </c>
      <c r="AF8" s="28">
        <f t="shared" si="2"/>
        <v>0</v>
      </c>
      <c r="AG8" s="28">
        <f t="shared" si="3"/>
        <v>5</v>
      </c>
    </row>
    <row r="9" spans="1:33">
      <c r="A9" s="1" t="s">
        <v>1</v>
      </c>
      <c r="B9" s="26" t="s">
        <v>61</v>
      </c>
      <c r="C9" s="69">
        <v>2</v>
      </c>
      <c r="D9" s="46">
        <v>0</v>
      </c>
      <c r="E9" s="46">
        <v>1</v>
      </c>
      <c r="F9" s="46">
        <v>0</v>
      </c>
      <c r="G9" s="46">
        <v>2</v>
      </c>
      <c r="H9" s="46">
        <v>3</v>
      </c>
      <c r="I9" s="46">
        <v>0</v>
      </c>
      <c r="J9" s="46">
        <v>1</v>
      </c>
      <c r="K9" s="46">
        <v>2</v>
      </c>
      <c r="L9" s="46">
        <v>1</v>
      </c>
      <c r="M9" s="46">
        <v>1</v>
      </c>
      <c r="N9" s="46">
        <v>0</v>
      </c>
      <c r="O9" s="46">
        <v>2</v>
      </c>
      <c r="P9" s="46">
        <v>2.5</v>
      </c>
      <c r="Q9" s="46">
        <v>2</v>
      </c>
      <c r="R9" s="46">
        <v>1</v>
      </c>
      <c r="S9" s="46">
        <v>2</v>
      </c>
      <c r="T9" s="84">
        <v>0</v>
      </c>
      <c r="U9" s="28">
        <f t="shared" si="0"/>
        <v>22.5</v>
      </c>
      <c r="V9" s="45">
        <v>2.5</v>
      </c>
      <c r="W9" s="46">
        <v>0</v>
      </c>
      <c r="X9" s="46">
        <v>1</v>
      </c>
      <c r="Y9" s="46">
        <v>1</v>
      </c>
      <c r="Z9" s="46">
        <v>1</v>
      </c>
      <c r="AA9" s="46">
        <v>1</v>
      </c>
      <c r="AB9" s="84">
        <v>1</v>
      </c>
      <c r="AC9" s="27">
        <v>0</v>
      </c>
      <c r="AD9" s="28">
        <f t="shared" si="1"/>
        <v>7.5</v>
      </c>
      <c r="AE9" s="27">
        <v>0</v>
      </c>
      <c r="AF9" s="28">
        <f t="shared" si="2"/>
        <v>0</v>
      </c>
      <c r="AG9" s="28">
        <f t="shared" si="3"/>
        <v>30</v>
      </c>
    </row>
    <row r="10" spans="1:33">
      <c r="A10" s="1" t="s">
        <v>1</v>
      </c>
      <c r="B10" s="26" t="s">
        <v>62</v>
      </c>
      <c r="C10" s="69"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6</v>
      </c>
      <c r="P10" s="46">
        <v>0</v>
      </c>
      <c r="Q10" s="46">
        <v>0</v>
      </c>
      <c r="R10" s="46">
        <v>0</v>
      </c>
      <c r="S10" s="46">
        <v>0</v>
      </c>
      <c r="T10" s="84">
        <v>0</v>
      </c>
      <c r="U10" s="28">
        <f t="shared" si="0"/>
        <v>6</v>
      </c>
      <c r="V10" s="45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84">
        <v>0</v>
      </c>
      <c r="AC10" s="27">
        <v>0</v>
      </c>
      <c r="AD10" s="28">
        <f t="shared" si="1"/>
        <v>0</v>
      </c>
      <c r="AE10" s="27">
        <v>0</v>
      </c>
      <c r="AF10" s="28">
        <f t="shared" si="2"/>
        <v>0</v>
      </c>
      <c r="AG10" s="28">
        <f t="shared" si="3"/>
        <v>6</v>
      </c>
    </row>
    <row r="11" spans="1:33">
      <c r="A11" s="1" t="s">
        <v>1</v>
      </c>
      <c r="B11" s="26" t="s">
        <v>63</v>
      </c>
      <c r="C11" s="70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85">
        <v>0</v>
      </c>
      <c r="U11" s="30">
        <f t="shared" si="0"/>
        <v>0</v>
      </c>
      <c r="V11" s="47">
        <v>0</v>
      </c>
      <c r="W11" s="48">
        <v>0</v>
      </c>
      <c r="X11" s="48">
        <v>3.25</v>
      </c>
      <c r="Y11" s="48">
        <v>4.25</v>
      </c>
      <c r="Z11" s="48">
        <v>3.2083333333333335</v>
      </c>
      <c r="AA11" s="48">
        <v>2.9583333333333335</v>
      </c>
      <c r="AB11" s="85">
        <v>2.5</v>
      </c>
      <c r="AC11" s="29">
        <v>3.8333333333333335</v>
      </c>
      <c r="AD11" s="30">
        <f t="shared" si="1"/>
        <v>20</v>
      </c>
      <c r="AE11" s="29">
        <v>0</v>
      </c>
      <c r="AF11" s="30">
        <f t="shared" si="2"/>
        <v>0</v>
      </c>
      <c r="AG11" s="30">
        <f t="shared" si="3"/>
        <v>20</v>
      </c>
    </row>
    <row r="12" spans="1:33">
      <c r="A12" s="1" t="s">
        <v>1</v>
      </c>
      <c r="B12" s="26" t="s">
        <v>64</v>
      </c>
      <c r="C12" s="70">
        <v>0.54166666666666663</v>
      </c>
      <c r="D12" s="48">
        <v>1.2916666666666667</v>
      </c>
      <c r="E12" s="48">
        <v>0.41666666666666669</v>
      </c>
      <c r="F12" s="48">
        <v>2.5416666666666665</v>
      </c>
      <c r="G12" s="48">
        <v>1.0416666666666667</v>
      </c>
      <c r="H12" s="48">
        <v>2.2083333333333335</v>
      </c>
      <c r="I12" s="48">
        <v>1.7916666666666665</v>
      </c>
      <c r="J12" s="48">
        <v>1.0416666666666667</v>
      </c>
      <c r="K12" s="48">
        <v>1.4166666666666667</v>
      </c>
      <c r="L12" s="48">
        <v>1.4583333333333333</v>
      </c>
      <c r="M12" s="48">
        <v>2.5833333333333335</v>
      </c>
      <c r="N12" s="48">
        <v>0.83333333333333337</v>
      </c>
      <c r="O12" s="48">
        <v>1.875</v>
      </c>
      <c r="P12" s="48">
        <v>1.2916666666666667</v>
      </c>
      <c r="Q12" s="48">
        <v>1.875</v>
      </c>
      <c r="R12" s="48">
        <v>3.0416666666666665</v>
      </c>
      <c r="S12" s="48">
        <v>1.6666666666666665</v>
      </c>
      <c r="T12" s="85">
        <v>0.70833333333333337</v>
      </c>
      <c r="U12" s="30">
        <f t="shared" si="0"/>
        <v>27.625</v>
      </c>
      <c r="V12" s="47">
        <v>0</v>
      </c>
      <c r="W12" s="48">
        <v>0.95833333333333337</v>
      </c>
      <c r="X12" s="48">
        <v>0</v>
      </c>
      <c r="Y12" s="48">
        <v>0</v>
      </c>
      <c r="Z12" s="48">
        <v>0</v>
      </c>
      <c r="AA12" s="48">
        <v>0</v>
      </c>
      <c r="AB12" s="85">
        <v>4.1666666666666664E-2</v>
      </c>
      <c r="AC12" s="29">
        <v>0</v>
      </c>
      <c r="AD12" s="30">
        <f t="shared" si="1"/>
        <v>1</v>
      </c>
      <c r="AE12" s="29">
        <v>0</v>
      </c>
      <c r="AF12" s="30">
        <f t="shared" si="2"/>
        <v>0</v>
      </c>
      <c r="AG12" s="30">
        <f t="shared" si="3"/>
        <v>28.625</v>
      </c>
    </row>
    <row r="13" spans="1:33">
      <c r="A13" s="1" t="s">
        <v>1</v>
      </c>
      <c r="B13" s="26" t="s">
        <v>65</v>
      </c>
      <c r="C13" s="70">
        <v>1.4166666666666667</v>
      </c>
      <c r="D13" s="48">
        <v>0.29166666666666669</v>
      </c>
      <c r="E13" s="48">
        <v>0.75</v>
      </c>
      <c r="F13" s="48">
        <v>0</v>
      </c>
      <c r="G13" s="48">
        <v>0.25</v>
      </c>
      <c r="H13" s="48">
        <v>1.4166666666666667</v>
      </c>
      <c r="I13" s="48">
        <v>1.0416666666666667</v>
      </c>
      <c r="J13" s="48">
        <v>1.125</v>
      </c>
      <c r="K13" s="48">
        <v>0.625</v>
      </c>
      <c r="L13" s="48">
        <v>1.6666666666666665</v>
      </c>
      <c r="M13" s="48">
        <v>0.375</v>
      </c>
      <c r="N13" s="48">
        <v>1.3333333333333333</v>
      </c>
      <c r="O13" s="48">
        <v>0.75</v>
      </c>
      <c r="P13" s="48">
        <v>0.875</v>
      </c>
      <c r="Q13" s="48">
        <v>0.95833333333333337</v>
      </c>
      <c r="R13" s="48">
        <v>0.83333333333333337</v>
      </c>
      <c r="S13" s="48">
        <v>0.70833333333333337</v>
      </c>
      <c r="T13" s="85">
        <v>1.125</v>
      </c>
      <c r="U13" s="30">
        <f t="shared" si="0"/>
        <v>15.54166666666667</v>
      </c>
      <c r="V13" s="47">
        <v>0</v>
      </c>
      <c r="W13" s="48">
        <v>0.45833333333333331</v>
      </c>
      <c r="X13" s="48">
        <v>0</v>
      </c>
      <c r="Y13" s="48">
        <v>0</v>
      </c>
      <c r="Z13" s="48">
        <v>0</v>
      </c>
      <c r="AA13" s="48">
        <v>0</v>
      </c>
      <c r="AB13" s="85">
        <v>0</v>
      </c>
      <c r="AC13" s="29">
        <v>0</v>
      </c>
      <c r="AD13" s="30">
        <f t="shared" si="1"/>
        <v>0.45833333333333331</v>
      </c>
      <c r="AE13" s="29">
        <v>0</v>
      </c>
      <c r="AF13" s="30">
        <f t="shared" si="2"/>
        <v>0</v>
      </c>
      <c r="AG13" s="30">
        <f t="shared" si="3"/>
        <v>16.000000000000004</v>
      </c>
    </row>
    <row r="14" spans="1:33">
      <c r="A14" s="1" t="s">
        <v>1</v>
      </c>
      <c r="B14" s="26" t="s">
        <v>66</v>
      </c>
      <c r="C14" s="70">
        <v>1.5</v>
      </c>
      <c r="D14" s="48">
        <v>1.5833333333333335</v>
      </c>
      <c r="E14" s="48">
        <v>0.375</v>
      </c>
      <c r="F14" s="48">
        <v>0.79166666666666663</v>
      </c>
      <c r="G14" s="48">
        <v>0.95833333333333337</v>
      </c>
      <c r="H14" s="48">
        <v>0.66666666666666663</v>
      </c>
      <c r="I14" s="48">
        <v>0.91666666666666663</v>
      </c>
      <c r="J14" s="48">
        <v>0.58333333333333337</v>
      </c>
      <c r="K14" s="48">
        <v>1.5</v>
      </c>
      <c r="L14" s="48">
        <v>1.0833333333333333</v>
      </c>
      <c r="M14" s="48">
        <v>0.83333333333333337</v>
      </c>
      <c r="N14" s="48">
        <v>0.25</v>
      </c>
      <c r="O14" s="48">
        <v>0</v>
      </c>
      <c r="P14" s="48">
        <v>1.0416666666666667</v>
      </c>
      <c r="Q14" s="48">
        <v>0.91666666666666663</v>
      </c>
      <c r="R14" s="48">
        <v>0.58333333333333337</v>
      </c>
      <c r="S14" s="48">
        <v>0.20833333333333334</v>
      </c>
      <c r="T14" s="85">
        <v>0.95833333333333337</v>
      </c>
      <c r="U14" s="30">
        <f t="shared" si="0"/>
        <v>14.750000000000002</v>
      </c>
      <c r="V14" s="47">
        <v>0</v>
      </c>
      <c r="W14" s="48">
        <v>4.1666666666666664E-2</v>
      </c>
      <c r="X14" s="48">
        <v>0</v>
      </c>
      <c r="Y14" s="48">
        <v>0</v>
      </c>
      <c r="Z14" s="48">
        <v>0</v>
      </c>
      <c r="AA14" s="48">
        <v>0</v>
      </c>
      <c r="AB14" s="85">
        <v>0</v>
      </c>
      <c r="AC14" s="29">
        <v>0</v>
      </c>
      <c r="AD14" s="30">
        <f t="shared" si="1"/>
        <v>4.1666666666666664E-2</v>
      </c>
      <c r="AE14" s="29">
        <v>0</v>
      </c>
      <c r="AF14" s="30">
        <f t="shared" si="2"/>
        <v>0</v>
      </c>
      <c r="AG14" s="30">
        <f t="shared" si="3"/>
        <v>14.791666666666668</v>
      </c>
    </row>
    <row r="15" spans="1:33">
      <c r="A15" s="1" t="s">
        <v>1</v>
      </c>
      <c r="B15" s="26" t="s">
        <v>67</v>
      </c>
      <c r="C15" s="70">
        <v>0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0.16666666666666666</v>
      </c>
      <c r="R15" s="48">
        <v>0</v>
      </c>
      <c r="S15" s="48">
        <v>0</v>
      </c>
      <c r="T15" s="85">
        <v>0</v>
      </c>
      <c r="U15" s="30">
        <f t="shared" si="0"/>
        <v>0.16666666666666666</v>
      </c>
      <c r="V15" s="47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85">
        <v>0</v>
      </c>
      <c r="AC15" s="29">
        <v>0</v>
      </c>
      <c r="AD15" s="30">
        <f t="shared" si="1"/>
        <v>0</v>
      </c>
      <c r="AE15" s="29">
        <v>0</v>
      </c>
      <c r="AF15" s="30">
        <f t="shared" si="2"/>
        <v>0</v>
      </c>
      <c r="AG15" s="30">
        <f t="shared" si="3"/>
        <v>0.16666666666666666</v>
      </c>
    </row>
    <row r="16" spans="1:33">
      <c r="A16" s="1" t="s">
        <v>1</v>
      </c>
      <c r="B16" s="26" t="s">
        <v>68</v>
      </c>
      <c r="C16" s="70">
        <v>0</v>
      </c>
      <c r="D16" s="48">
        <v>0</v>
      </c>
      <c r="E16" s="48">
        <v>0</v>
      </c>
      <c r="F16" s="48">
        <v>0.20833333333333334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0.375</v>
      </c>
      <c r="N16" s="48">
        <v>0</v>
      </c>
      <c r="O16" s="48">
        <v>0</v>
      </c>
      <c r="P16" s="48">
        <v>0</v>
      </c>
      <c r="Q16" s="48">
        <v>0.16666666666666666</v>
      </c>
      <c r="R16" s="48">
        <v>0.25</v>
      </c>
      <c r="S16" s="48">
        <v>0</v>
      </c>
      <c r="T16" s="85">
        <v>0</v>
      </c>
      <c r="U16" s="30">
        <f t="shared" si="0"/>
        <v>1</v>
      </c>
      <c r="V16" s="47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85">
        <v>0</v>
      </c>
      <c r="AC16" s="29">
        <v>0</v>
      </c>
      <c r="AD16" s="30">
        <f t="shared" si="1"/>
        <v>0</v>
      </c>
      <c r="AE16" s="29">
        <v>0</v>
      </c>
      <c r="AF16" s="30">
        <f t="shared" si="2"/>
        <v>0</v>
      </c>
      <c r="AG16" s="30">
        <f t="shared" si="3"/>
        <v>1</v>
      </c>
    </row>
    <row r="17" spans="1:33">
      <c r="A17" s="1" t="s">
        <v>1</v>
      </c>
      <c r="B17" s="26" t="s">
        <v>69</v>
      </c>
      <c r="C17" s="70">
        <v>0</v>
      </c>
      <c r="D17" s="48">
        <v>0</v>
      </c>
      <c r="E17" s="48">
        <v>0</v>
      </c>
      <c r="F17" s="48">
        <v>0.20833333333333334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0.125</v>
      </c>
      <c r="N17" s="48">
        <v>0</v>
      </c>
      <c r="O17" s="48">
        <v>0</v>
      </c>
      <c r="P17" s="48">
        <v>0</v>
      </c>
      <c r="Q17" s="48">
        <v>0</v>
      </c>
      <c r="R17" s="48">
        <v>0.54166666666666663</v>
      </c>
      <c r="S17" s="48">
        <v>0</v>
      </c>
      <c r="T17" s="85">
        <v>0</v>
      </c>
      <c r="U17" s="30">
        <f t="shared" si="0"/>
        <v>0.875</v>
      </c>
      <c r="V17" s="47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85">
        <v>0</v>
      </c>
      <c r="AC17" s="29">
        <v>0</v>
      </c>
      <c r="AD17" s="30">
        <f t="shared" si="1"/>
        <v>0</v>
      </c>
      <c r="AE17" s="29">
        <v>0</v>
      </c>
      <c r="AF17" s="30">
        <f t="shared" si="2"/>
        <v>0</v>
      </c>
      <c r="AG17" s="30">
        <f t="shared" si="3"/>
        <v>0.875</v>
      </c>
    </row>
    <row r="18" spans="1:33">
      <c r="A18" s="1" t="s">
        <v>1</v>
      </c>
      <c r="B18" s="26" t="s">
        <v>70</v>
      </c>
      <c r="C18" s="70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85">
        <v>0</v>
      </c>
      <c r="U18" s="30">
        <f t="shared" si="0"/>
        <v>0</v>
      </c>
      <c r="V18" s="47">
        <v>0</v>
      </c>
      <c r="W18" s="48">
        <v>0</v>
      </c>
      <c r="X18" s="48">
        <v>0.25</v>
      </c>
      <c r="Y18" s="48">
        <v>0.29166666666666669</v>
      </c>
      <c r="Z18" s="48">
        <v>0.29166666666666669</v>
      </c>
      <c r="AA18" s="48">
        <v>0.29166666666666669</v>
      </c>
      <c r="AB18" s="85">
        <v>0.29166666666666669</v>
      </c>
      <c r="AC18" s="29">
        <v>0</v>
      </c>
      <c r="AD18" s="30">
        <f t="shared" si="1"/>
        <v>1.416666666666667</v>
      </c>
      <c r="AE18" s="29">
        <v>0</v>
      </c>
      <c r="AF18" s="30">
        <f t="shared" si="2"/>
        <v>0</v>
      </c>
      <c r="AG18" s="30">
        <f t="shared" si="3"/>
        <v>1.416666666666667</v>
      </c>
    </row>
    <row r="19" spans="1:33">
      <c r="A19" s="1" t="s">
        <v>1</v>
      </c>
      <c r="B19" s="7" t="s">
        <v>71</v>
      </c>
      <c r="C19" s="71">
        <v>0.25</v>
      </c>
      <c r="D19" s="50">
        <v>8.3333333333333329E-2</v>
      </c>
      <c r="E19" s="50">
        <v>0</v>
      </c>
      <c r="F19" s="50">
        <v>0.91666666666666663</v>
      </c>
      <c r="G19" s="50">
        <v>0.125</v>
      </c>
      <c r="H19" s="50">
        <v>0.54166666666666663</v>
      </c>
      <c r="I19" s="50">
        <v>4.1666666666666664E-2</v>
      </c>
      <c r="J19" s="50">
        <v>8.3333333333333329E-2</v>
      </c>
      <c r="K19" s="50">
        <v>0.125</v>
      </c>
      <c r="L19" s="50">
        <v>0.70833333333333337</v>
      </c>
      <c r="M19" s="50">
        <v>0.83333333333333337</v>
      </c>
      <c r="N19" s="50">
        <v>0.41666666666666669</v>
      </c>
      <c r="O19" s="50">
        <v>0.79166666666666663</v>
      </c>
      <c r="P19" s="50">
        <v>1.4583333333333333</v>
      </c>
      <c r="Q19" s="50">
        <v>1.125</v>
      </c>
      <c r="R19" s="50">
        <v>1.4583333333333333</v>
      </c>
      <c r="S19" s="50">
        <v>0.25</v>
      </c>
      <c r="T19" s="86">
        <v>4.1666666666666664E-2</v>
      </c>
      <c r="U19" s="9">
        <f t="shared" si="0"/>
        <v>9.25</v>
      </c>
      <c r="V19" s="49">
        <v>0</v>
      </c>
      <c r="W19" s="50">
        <v>0</v>
      </c>
      <c r="X19" s="50">
        <v>0</v>
      </c>
      <c r="Y19" s="50">
        <v>0</v>
      </c>
      <c r="Z19" s="50">
        <v>2.2916666666666665</v>
      </c>
      <c r="AA19" s="50">
        <v>2.0833333333333335</v>
      </c>
      <c r="AB19" s="86">
        <v>0.83333333333333337</v>
      </c>
      <c r="AC19" s="8">
        <v>1.25</v>
      </c>
      <c r="AD19" s="9">
        <f t="shared" si="1"/>
        <v>6.458333333333333</v>
      </c>
      <c r="AE19" s="8">
        <v>0</v>
      </c>
      <c r="AF19" s="9">
        <f t="shared" si="2"/>
        <v>0</v>
      </c>
      <c r="AG19" s="9">
        <f t="shared" si="3"/>
        <v>15.708333333333332</v>
      </c>
    </row>
    <row r="20" spans="1:33">
      <c r="A20" s="1" t="s">
        <v>1</v>
      </c>
      <c r="B20" s="16" t="s">
        <v>72</v>
      </c>
      <c r="C20" s="72">
        <v>20</v>
      </c>
      <c r="D20" s="52">
        <v>18</v>
      </c>
      <c r="E20" s="52">
        <v>34</v>
      </c>
      <c r="F20" s="52">
        <v>39</v>
      </c>
      <c r="G20" s="52">
        <v>30</v>
      </c>
      <c r="H20" s="52">
        <v>30</v>
      </c>
      <c r="I20" s="52">
        <v>21</v>
      </c>
      <c r="J20" s="52">
        <v>33</v>
      </c>
      <c r="K20" s="52">
        <v>27.5</v>
      </c>
      <c r="L20" s="52">
        <v>37</v>
      </c>
      <c r="M20" s="52">
        <v>20</v>
      </c>
      <c r="N20" s="52">
        <v>38</v>
      </c>
      <c r="O20" s="52">
        <v>20</v>
      </c>
      <c r="P20" s="52">
        <v>29.5</v>
      </c>
      <c r="Q20" s="52">
        <v>10</v>
      </c>
      <c r="R20" s="52">
        <v>11</v>
      </c>
      <c r="S20" s="52">
        <v>14</v>
      </c>
      <c r="T20" s="87">
        <v>18</v>
      </c>
      <c r="U20" s="18">
        <f t="shared" si="0"/>
        <v>450</v>
      </c>
      <c r="V20" s="51">
        <v>21.5</v>
      </c>
      <c r="W20" s="52">
        <v>38</v>
      </c>
      <c r="X20" s="52">
        <v>21</v>
      </c>
      <c r="Y20" s="52">
        <v>21</v>
      </c>
      <c r="Z20" s="52">
        <v>6</v>
      </c>
      <c r="AA20" s="52">
        <v>6</v>
      </c>
      <c r="AB20" s="87">
        <v>4</v>
      </c>
      <c r="AC20" s="17">
        <v>26</v>
      </c>
      <c r="AD20" s="18"/>
      <c r="AE20" s="17">
        <v>37</v>
      </c>
      <c r="AF20" s="18"/>
      <c r="AG20" s="18"/>
    </row>
    <row r="21" spans="1:33">
      <c r="A21" s="1" t="s">
        <v>1</v>
      </c>
      <c r="B21" s="31" t="s">
        <v>73</v>
      </c>
      <c r="C21" s="73">
        <v>177000</v>
      </c>
      <c r="D21" s="54">
        <v>187000</v>
      </c>
      <c r="E21" s="54">
        <v>192000</v>
      </c>
      <c r="F21" s="54">
        <v>192000</v>
      </c>
      <c r="G21" s="54">
        <v>187000</v>
      </c>
      <c r="H21" s="54">
        <v>192000</v>
      </c>
      <c r="I21" s="54">
        <v>177000</v>
      </c>
      <c r="J21" s="54">
        <v>182000</v>
      </c>
      <c r="K21" s="54">
        <v>177000</v>
      </c>
      <c r="L21" s="54">
        <v>187000</v>
      </c>
      <c r="M21" s="54">
        <v>182000</v>
      </c>
      <c r="N21" s="54">
        <v>187000</v>
      </c>
      <c r="O21" s="54">
        <v>177000</v>
      </c>
      <c r="P21" s="54">
        <v>170000</v>
      </c>
      <c r="Q21" s="54">
        <v>170000</v>
      </c>
      <c r="R21" s="54">
        <v>170000</v>
      </c>
      <c r="S21" s="54">
        <v>170000</v>
      </c>
      <c r="T21" s="88">
        <v>170000</v>
      </c>
      <c r="U21" s="33">
        <f t="shared" si="0"/>
        <v>3246000</v>
      </c>
      <c r="V21" s="53">
        <v>365000</v>
      </c>
      <c r="W21" s="54">
        <v>270000</v>
      </c>
      <c r="X21" s="54">
        <v>0</v>
      </c>
      <c r="Y21" s="54">
        <v>0</v>
      </c>
      <c r="Z21" s="54">
        <v>0</v>
      </c>
      <c r="AA21" s="54">
        <v>0</v>
      </c>
      <c r="AB21" s="88">
        <v>0</v>
      </c>
      <c r="AC21" s="32">
        <v>0</v>
      </c>
      <c r="AD21" s="33">
        <f t="shared" si="1"/>
        <v>635000</v>
      </c>
      <c r="AE21" s="32">
        <v>385000</v>
      </c>
      <c r="AF21" s="33">
        <f t="shared" si="2"/>
        <v>385000</v>
      </c>
      <c r="AG21" s="33">
        <f t="shared" si="3"/>
        <v>4266000</v>
      </c>
    </row>
    <row r="22" spans="1:33">
      <c r="A22" s="1" t="s">
        <v>1</v>
      </c>
      <c r="B22" s="26" t="s">
        <v>74</v>
      </c>
      <c r="C22" s="74">
        <v>0</v>
      </c>
      <c r="D22" s="56">
        <v>0</v>
      </c>
      <c r="E22" s="56">
        <v>20000</v>
      </c>
      <c r="F22" s="56">
        <v>20000</v>
      </c>
      <c r="G22" s="56">
        <v>5000</v>
      </c>
      <c r="H22" s="56">
        <v>5000</v>
      </c>
      <c r="I22" s="56">
        <v>0</v>
      </c>
      <c r="J22" s="56">
        <v>5000</v>
      </c>
      <c r="K22" s="56">
        <v>0</v>
      </c>
      <c r="L22" s="56">
        <v>0</v>
      </c>
      <c r="M22" s="56">
        <v>0</v>
      </c>
      <c r="N22" s="56">
        <v>0</v>
      </c>
      <c r="O22" s="56">
        <v>5000</v>
      </c>
      <c r="P22" s="56">
        <v>0</v>
      </c>
      <c r="Q22" s="56">
        <v>0</v>
      </c>
      <c r="R22" s="56">
        <v>0</v>
      </c>
      <c r="S22" s="56">
        <v>0</v>
      </c>
      <c r="T22" s="89">
        <v>0</v>
      </c>
      <c r="U22" s="35">
        <f t="shared" si="0"/>
        <v>60000</v>
      </c>
      <c r="V22" s="55">
        <v>0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89">
        <v>0</v>
      </c>
      <c r="AC22" s="34">
        <v>0</v>
      </c>
      <c r="AD22" s="35">
        <f t="shared" si="1"/>
        <v>0</v>
      </c>
      <c r="AE22" s="34">
        <v>0</v>
      </c>
      <c r="AF22" s="35">
        <f t="shared" si="2"/>
        <v>0</v>
      </c>
      <c r="AG22" s="35">
        <f t="shared" si="3"/>
        <v>60000</v>
      </c>
    </row>
    <row r="23" spans="1:33">
      <c r="A23" s="1" t="s">
        <v>1</v>
      </c>
      <c r="B23" s="26" t="s">
        <v>75</v>
      </c>
      <c r="C23" s="74">
        <v>0</v>
      </c>
      <c r="D23" s="56">
        <v>0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89">
        <v>0</v>
      </c>
      <c r="U23" s="35">
        <f t="shared" si="0"/>
        <v>0</v>
      </c>
      <c r="V23" s="55">
        <v>0</v>
      </c>
      <c r="W23" s="56">
        <v>3000</v>
      </c>
      <c r="X23" s="56">
        <v>0</v>
      </c>
      <c r="Y23" s="56">
        <v>0</v>
      </c>
      <c r="Z23" s="56">
        <v>0</v>
      </c>
      <c r="AA23" s="56">
        <v>0</v>
      </c>
      <c r="AB23" s="89">
        <v>0</v>
      </c>
      <c r="AC23" s="34">
        <v>0</v>
      </c>
      <c r="AD23" s="35">
        <f t="shared" si="1"/>
        <v>3000</v>
      </c>
      <c r="AE23" s="34">
        <v>0</v>
      </c>
      <c r="AF23" s="35">
        <f t="shared" si="2"/>
        <v>0</v>
      </c>
      <c r="AG23" s="35">
        <f t="shared" si="3"/>
        <v>3000</v>
      </c>
    </row>
    <row r="24" spans="1:33">
      <c r="A24" s="1" t="s">
        <v>1</v>
      </c>
      <c r="B24" s="26" t="s">
        <v>76</v>
      </c>
      <c r="C24" s="74">
        <v>0</v>
      </c>
      <c r="D24" s="56">
        <v>5730</v>
      </c>
      <c r="E24" s="56">
        <v>85489</v>
      </c>
      <c r="F24" s="56">
        <v>20113</v>
      </c>
      <c r="G24" s="56">
        <v>0</v>
      </c>
      <c r="H24" s="56">
        <v>18772</v>
      </c>
      <c r="I24" s="56">
        <v>4341</v>
      </c>
      <c r="J24" s="56">
        <v>0</v>
      </c>
      <c r="K24" s="56">
        <v>5427</v>
      </c>
      <c r="L24" s="56">
        <v>34224</v>
      </c>
      <c r="M24" s="56">
        <v>0</v>
      </c>
      <c r="N24" s="56">
        <v>61944</v>
      </c>
      <c r="O24" s="56">
        <v>9236</v>
      </c>
      <c r="P24" s="56">
        <v>0</v>
      </c>
      <c r="Q24" s="56">
        <v>0</v>
      </c>
      <c r="R24" s="56">
        <v>0</v>
      </c>
      <c r="S24" s="56">
        <v>0</v>
      </c>
      <c r="T24" s="89">
        <v>7747</v>
      </c>
      <c r="U24" s="35">
        <f t="shared" si="0"/>
        <v>253023</v>
      </c>
      <c r="V24" s="55">
        <v>0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89">
        <v>0</v>
      </c>
      <c r="AC24" s="34">
        <v>0</v>
      </c>
      <c r="AD24" s="35">
        <f t="shared" si="1"/>
        <v>0</v>
      </c>
      <c r="AE24" s="34">
        <v>0</v>
      </c>
      <c r="AF24" s="35">
        <f t="shared" si="2"/>
        <v>0</v>
      </c>
      <c r="AG24" s="35">
        <f t="shared" si="3"/>
        <v>253023</v>
      </c>
    </row>
    <row r="25" spans="1:33">
      <c r="A25" s="1" t="s">
        <v>1</v>
      </c>
      <c r="B25" s="26" t="s">
        <v>77</v>
      </c>
      <c r="C25" s="74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89">
        <v>0</v>
      </c>
      <c r="U25" s="35">
        <f t="shared" si="0"/>
        <v>0</v>
      </c>
      <c r="V25" s="55">
        <v>0</v>
      </c>
      <c r="W25" s="56">
        <v>1000</v>
      </c>
      <c r="X25" s="56">
        <v>0</v>
      </c>
      <c r="Y25" s="56">
        <v>0</v>
      </c>
      <c r="Z25" s="56">
        <v>0</v>
      </c>
      <c r="AA25" s="56">
        <v>0</v>
      </c>
      <c r="AB25" s="89">
        <v>0</v>
      </c>
      <c r="AC25" s="34">
        <v>0</v>
      </c>
      <c r="AD25" s="35">
        <f t="shared" si="1"/>
        <v>1000</v>
      </c>
      <c r="AE25" s="34">
        <v>0</v>
      </c>
      <c r="AF25" s="35">
        <f t="shared" si="2"/>
        <v>0</v>
      </c>
      <c r="AG25" s="35">
        <f t="shared" si="3"/>
        <v>1000</v>
      </c>
    </row>
    <row r="26" spans="1:33">
      <c r="A26" s="1" t="s">
        <v>1</v>
      </c>
      <c r="B26" s="26" t="s">
        <v>78</v>
      </c>
      <c r="C26" s="74">
        <v>0</v>
      </c>
      <c r="D26" s="56">
        <v>0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89">
        <v>0</v>
      </c>
      <c r="U26" s="35">
        <f t="shared" si="0"/>
        <v>0</v>
      </c>
      <c r="V26" s="55">
        <v>0</v>
      </c>
      <c r="W26" s="56">
        <v>0</v>
      </c>
      <c r="X26" s="56">
        <v>76440</v>
      </c>
      <c r="Y26" s="56">
        <v>102000</v>
      </c>
      <c r="Z26" s="56">
        <v>70840</v>
      </c>
      <c r="AA26" s="56">
        <v>65320</v>
      </c>
      <c r="AB26" s="89">
        <v>55200</v>
      </c>
      <c r="AC26" s="34">
        <v>84640</v>
      </c>
      <c r="AD26" s="35">
        <f t="shared" si="1"/>
        <v>454440</v>
      </c>
      <c r="AE26" s="34">
        <v>0</v>
      </c>
      <c r="AF26" s="35">
        <f t="shared" si="2"/>
        <v>0</v>
      </c>
      <c r="AG26" s="35">
        <f t="shared" si="3"/>
        <v>454440</v>
      </c>
    </row>
    <row r="27" spans="1:33">
      <c r="A27" s="1" t="s">
        <v>1</v>
      </c>
      <c r="B27" s="26" t="s">
        <v>79</v>
      </c>
      <c r="C27" s="74">
        <v>3500</v>
      </c>
      <c r="D27" s="56">
        <v>3500</v>
      </c>
      <c r="E27" s="56">
        <v>3500</v>
      </c>
      <c r="F27" s="56">
        <v>3500</v>
      </c>
      <c r="G27" s="56">
        <v>1000</v>
      </c>
      <c r="H27" s="56">
        <v>3500</v>
      </c>
      <c r="I27" s="56">
        <v>3500</v>
      </c>
      <c r="J27" s="56">
        <v>3500</v>
      </c>
      <c r="K27" s="56">
        <v>3500</v>
      </c>
      <c r="L27" s="56">
        <v>3500</v>
      </c>
      <c r="M27" s="56">
        <v>3500</v>
      </c>
      <c r="N27" s="56">
        <v>3500</v>
      </c>
      <c r="O27" s="56">
        <v>3500</v>
      </c>
      <c r="P27" s="56">
        <v>3500</v>
      </c>
      <c r="Q27" s="56">
        <v>1000</v>
      </c>
      <c r="R27" s="56">
        <v>0</v>
      </c>
      <c r="S27" s="56">
        <v>1000</v>
      </c>
      <c r="T27" s="89">
        <v>1000</v>
      </c>
      <c r="U27" s="35">
        <f t="shared" si="0"/>
        <v>49500</v>
      </c>
      <c r="V27" s="55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89">
        <v>0</v>
      </c>
      <c r="AC27" s="34">
        <v>0</v>
      </c>
      <c r="AD27" s="35">
        <f t="shared" si="1"/>
        <v>0</v>
      </c>
      <c r="AE27" s="34">
        <v>0</v>
      </c>
      <c r="AF27" s="35">
        <f t="shared" si="2"/>
        <v>0</v>
      </c>
      <c r="AG27" s="35">
        <f t="shared" si="3"/>
        <v>49500</v>
      </c>
    </row>
    <row r="28" spans="1:33">
      <c r="A28" s="1" t="s">
        <v>1</v>
      </c>
      <c r="B28" s="26" t="s">
        <v>80</v>
      </c>
      <c r="C28" s="74">
        <v>0</v>
      </c>
      <c r="D28" s="56">
        <v>0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89">
        <v>0</v>
      </c>
      <c r="U28" s="35">
        <f t="shared" si="0"/>
        <v>0</v>
      </c>
      <c r="V28" s="55">
        <v>0</v>
      </c>
      <c r="W28" s="56">
        <v>0</v>
      </c>
      <c r="X28" s="56">
        <v>5880</v>
      </c>
      <c r="Y28" s="56">
        <v>7000</v>
      </c>
      <c r="Z28" s="56">
        <v>6440</v>
      </c>
      <c r="AA28" s="56">
        <v>6440</v>
      </c>
      <c r="AB28" s="89">
        <v>6440</v>
      </c>
      <c r="AC28" s="34">
        <v>0</v>
      </c>
      <c r="AD28" s="35">
        <f t="shared" si="1"/>
        <v>32200</v>
      </c>
      <c r="AE28" s="34">
        <v>0</v>
      </c>
      <c r="AF28" s="35">
        <f t="shared" si="2"/>
        <v>0</v>
      </c>
      <c r="AG28" s="35">
        <f t="shared" si="3"/>
        <v>32200</v>
      </c>
    </row>
    <row r="29" spans="1:33">
      <c r="A29" s="1" t="s">
        <v>1</v>
      </c>
      <c r="B29" s="26" t="s">
        <v>81</v>
      </c>
      <c r="C29" s="74">
        <v>0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98">
        <v>-53250</v>
      </c>
      <c r="P29" s="56">
        <v>0</v>
      </c>
      <c r="Q29" s="56">
        <v>0</v>
      </c>
      <c r="R29" s="56">
        <v>0</v>
      </c>
      <c r="S29" s="56">
        <v>0</v>
      </c>
      <c r="T29" s="89">
        <v>0</v>
      </c>
      <c r="U29" s="99">
        <f t="shared" si="0"/>
        <v>-53250</v>
      </c>
      <c r="V29" s="55">
        <v>0</v>
      </c>
      <c r="W29" s="56">
        <v>0</v>
      </c>
      <c r="X29" s="56">
        <v>0</v>
      </c>
      <c r="Y29" s="56">
        <v>0</v>
      </c>
      <c r="Z29" s="56">
        <v>0</v>
      </c>
      <c r="AA29" s="56">
        <v>0</v>
      </c>
      <c r="AB29" s="89">
        <v>0</v>
      </c>
      <c r="AC29" s="34">
        <v>0</v>
      </c>
      <c r="AD29" s="35">
        <f t="shared" si="1"/>
        <v>0</v>
      </c>
      <c r="AE29" s="34">
        <v>0</v>
      </c>
      <c r="AF29" s="35">
        <f t="shared" si="2"/>
        <v>0</v>
      </c>
      <c r="AG29" s="99">
        <f t="shared" si="3"/>
        <v>-53250</v>
      </c>
    </row>
    <row r="30" spans="1:33">
      <c r="A30" s="1" t="s">
        <v>1</v>
      </c>
      <c r="B30" s="26" t="s">
        <v>64</v>
      </c>
      <c r="C30" s="74">
        <v>17563</v>
      </c>
      <c r="D30" s="56">
        <v>44206</v>
      </c>
      <c r="E30" s="56">
        <v>16130</v>
      </c>
      <c r="F30" s="56">
        <v>98393</v>
      </c>
      <c r="G30" s="56">
        <v>36125</v>
      </c>
      <c r="H30" s="56">
        <v>79553</v>
      </c>
      <c r="I30" s="56">
        <v>58093</v>
      </c>
      <c r="J30" s="56">
        <v>35650</v>
      </c>
      <c r="K30" s="56">
        <v>45934</v>
      </c>
      <c r="L30" s="56">
        <v>49910</v>
      </c>
      <c r="M30" s="56">
        <v>86118</v>
      </c>
      <c r="N30" s="56">
        <v>28520</v>
      </c>
      <c r="O30" s="56">
        <v>62505</v>
      </c>
      <c r="P30" s="56">
        <v>40269</v>
      </c>
      <c r="Q30" s="56">
        <v>57600</v>
      </c>
      <c r="R30" s="56">
        <v>92929</v>
      </c>
      <c r="S30" s="56">
        <v>51200</v>
      </c>
      <c r="T30" s="89">
        <v>21760</v>
      </c>
      <c r="U30" s="35">
        <f t="shared" si="0"/>
        <v>922458</v>
      </c>
      <c r="V30" s="55">
        <v>0</v>
      </c>
      <c r="W30" s="56">
        <v>47012</v>
      </c>
      <c r="X30" s="56">
        <v>0</v>
      </c>
      <c r="Y30" s="56">
        <v>0</v>
      </c>
      <c r="Z30" s="56">
        <v>0</v>
      </c>
      <c r="AA30" s="56">
        <v>0</v>
      </c>
      <c r="AB30" s="89">
        <v>1150</v>
      </c>
      <c r="AC30" s="34">
        <v>0</v>
      </c>
      <c r="AD30" s="35">
        <f t="shared" si="1"/>
        <v>48162</v>
      </c>
      <c r="AE30" s="34">
        <v>0</v>
      </c>
      <c r="AF30" s="35">
        <f t="shared" si="2"/>
        <v>0</v>
      </c>
      <c r="AG30" s="35">
        <f t="shared" si="3"/>
        <v>970620</v>
      </c>
    </row>
    <row r="31" spans="1:33">
      <c r="A31" s="1" t="s">
        <v>1</v>
      </c>
      <c r="B31" s="26" t="s">
        <v>82</v>
      </c>
      <c r="C31" s="74">
        <v>49606</v>
      </c>
      <c r="D31" s="56">
        <v>10780</v>
      </c>
      <c r="E31" s="56">
        <v>31356</v>
      </c>
      <c r="F31" s="56">
        <v>0</v>
      </c>
      <c r="G31" s="56">
        <v>9366</v>
      </c>
      <c r="H31" s="56">
        <v>55114</v>
      </c>
      <c r="I31" s="56">
        <v>36475</v>
      </c>
      <c r="J31" s="56">
        <v>41580</v>
      </c>
      <c r="K31" s="56">
        <v>21885</v>
      </c>
      <c r="L31" s="56">
        <v>61600</v>
      </c>
      <c r="M31" s="56">
        <v>13500</v>
      </c>
      <c r="N31" s="56">
        <v>49280</v>
      </c>
      <c r="O31" s="56">
        <v>27000</v>
      </c>
      <c r="P31" s="56">
        <v>29463</v>
      </c>
      <c r="Q31" s="56">
        <v>31786</v>
      </c>
      <c r="R31" s="56">
        <v>27480</v>
      </c>
      <c r="S31" s="56">
        <v>23494</v>
      </c>
      <c r="T31" s="89">
        <v>37314</v>
      </c>
      <c r="U31" s="35">
        <f t="shared" si="0"/>
        <v>557079</v>
      </c>
      <c r="V31" s="55">
        <v>0</v>
      </c>
      <c r="W31" s="56">
        <v>24277</v>
      </c>
      <c r="X31" s="56">
        <v>0</v>
      </c>
      <c r="Y31" s="56">
        <v>0</v>
      </c>
      <c r="Z31" s="56">
        <v>0</v>
      </c>
      <c r="AA31" s="56">
        <v>0</v>
      </c>
      <c r="AB31" s="89">
        <v>0</v>
      </c>
      <c r="AC31" s="34">
        <v>0</v>
      </c>
      <c r="AD31" s="35">
        <f t="shared" si="1"/>
        <v>24277</v>
      </c>
      <c r="AE31" s="34">
        <v>0</v>
      </c>
      <c r="AF31" s="35">
        <f t="shared" si="2"/>
        <v>0</v>
      </c>
      <c r="AG31" s="35">
        <f t="shared" si="3"/>
        <v>581356</v>
      </c>
    </row>
    <row r="32" spans="1:33">
      <c r="A32" s="1" t="s">
        <v>1</v>
      </c>
      <c r="B32" s="26" t="s">
        <v>83</v>
      </c>
      <c r="C32" s="74">
        <v>52524</v>
      </c>
      <c r="D32" s="56">
        <v>58520</v>
      </c>
      <c r="E32" s="56">
        <v>15678</v>
      </c>
      <c r="F32" s="56">
        <v>33098</v>
      </c>
      <c r="G32" s="56">
        <v>35903</v>
      </c>
      <c r="H32" s="56">
        <v>25936</v>
      </c>
      <c r="I32" s="56">
        <v>32098</v>
      </c>
      <c r="J32" s="56">
        <v>21560</v>
      </c>
      <c r="K32" s="56">
        <v>52524</v>
      </c>
      <c r="L32" s="56">
        <v>40040</v>
      </c>
      <c r="M32" s="56">
        <v>30000</v>
      </c>
      <c r="N32" s="56">
        <v>9240</v>
      </c>
      <c r="O32" s="56">
        <v>0</v>
      </c>
      <c r="P32" s="56">
        <v>35075</v>
      </c>
      <c r="Q32" s="56">
        <v>30404</v>
      </c>
      <c r="R32" s="56">
        <v>19236</v>
      </c>
      <c r="S32" s="56">
        <v>6910</v>
      </c>
      <c r="T32" s="89">
        <v>31786</v>
      </c>
      <c r="U32" s="35">
        <f t="shared" si="0"/>
        <v>530532</v>
      </c>
      <c r="V32" s="55">
        <v>0</v>
      </c>
      <c r="W32" s="56">
        <v>2207</v>
      </c>
      <c r="X32" s="56">
        <v>0</v>
      </c>
      <c r="Y32" s="56">
        <v>0</v>
      </c>
      <c r="Z32" s="56">
        <v>0</v>
      </c>
      <c r="AA32" s="56">
        <v>0</v>
      </c>
      <c r="AB32" s="89">
        <v>0</v>
      </c>
      <c r="AC32" s="34">
        <v>0</v>
      </c>
      <c r="AD32" s="35">
        <f t="shared" si="1"/>
        <v>2207</v>
      </c>
      <c r="AE32" s="34">
        <v>0</v>
      </c>
      <c r="AF32" s="35">
        <f t="shared" si="2"/>
        <v>0</v>
      </c>
      <c r="AG32" s="35">
        <f t="shared" si="3"/>
        <v>532739</v>
      </c>
    </row>
    <row r="33" spans="1:33">
      <c r="A33" s="1" t="s">
        <v>1</v>
      </c>
      <c r="B33" s="26" t="s">
        <v>84</v>
      </c>
      <c r="C33" s="74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1432</v>
      </c>
      <c r="R33" s="56">
        <v>0</v>
      </c>
      <c r="S33" s="56">
        <v>0</v>
      </c>
      <c r="T33" s="89">
        <v>0</v>
      </c>
      <c r="U33" s="35">
        <f t="shared" si="0"/>
        <v>1432</v>
      </c>
      <c r="V33" s="55">
        <v>0</v>
      </c>
      <c r="W33" s="56">
        <v>0</v>
      </c>
      <c r="X33" s="56">
        <v>0</v>
      </c>
      <c r="Y33" s="56">
        <v>0</v>
      </c>
      <c r="Z33" s="56">
        <v>0</v>
      </c>
      <c r="AA33" s="56">
        <v>0</v>
      </c>
      <c r="AB33" s="89">
        <v>0</v>
      </c>
      <c r="AC33" s="34">
        <v>0</v>
      </c>
      <c r="AD33" s="35">
        <f t="shared" si="1"/>
        <v>0</v>
      </c>
      <c r="AE33" s="34">
        <v>0</v>
      </c>
      <c r="AF33" s="35">
        <f t="shared" si="2"/>
        <v>0</v>
      </c>
      <c r="AG33" s="35">
        <f t="shared" si="3"/>
        <v>1432</v>
      </c>
    </row>
    <row r="34" spans="1:33">
      <c r="A34" s="1" t="s">
        <v>1</v>
      </c>
      <c r="B34" s="26" t="s">
        <v>85</v>
      </c>
      <c r="C34" s="74">
        <v>0</v>
      </c>
      <c r="D34" s="56">
        <v>0</v>
      </c>
      <c r="E34" s="56">
        <v>0</v>
      </c>
      <c r="F34" s="56">
        <v>2260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3501</v>
      </c>
      <c r="N34" s="56">
        <v>0</v>
      </c>
      <c r="O34" s="56">
        <v>0</v>
      </c>
      <c r="P34" s="56">
        <v>0</v>
      </c>
      <c r="Q34" s="56">
        <v>1432</v>
      </c>
      <c r="R34" s="56">
        <v>2136</v>
      </c>
      <c r="S34" s="56">
        <v>0</v>
      </c>
      <c r="T34" s="89">
        <v>0</v>
      </c>
      <c r="U34" s="35">
        <f t="shared" si="0"/>
        <v>9329</v>
      </c>
      <c r="V34" s="55">
        <v>0</v>
      </c>
      <c r="W34" s="56">
        <v>0</v>
      </c>
      <c r="X34" s="56">
        <v>0</v>
      </c>
      <c r="Y34" s="56">
        <v>0</v>
      </c>
      <c r="Z34" s="56">
        <v>0</v>
      </c>
      <c r="AA34" s="56">
        <v>0</v>
      </c>
      <c r="AB34" s="89">
        <v>0</v>
      </c>
      <c r="AC34" s="34">
        <v>0</v>
      </c>
      <c r="AD34" s="35">
        <f t="shared" si="1"/>
        <v>0</v>
      </c>
      <c r="AE34" s="34">
        <v>0</v>
      </c>
      <c r="AF34" s="35">
        <f t="shared" si="2"/>
        <v>0</v>
      </c>
      <c r="AG34" s="35">
        <f t="shared" si="3"/>
        <v>9329</v>
      </c>
    </row>
    <row r="35" spans="1:33">
      <c r="A35" s="1" t="s">
        <v>1</v>
      </c>
      <c r="B35" s="26" t="s">
        <v>69</v>
      </c>
      <c r="C35" s="74">
        <v>0</v>
      </c>
      <c r="D35" s="56">
        <v>0</v>
      </c>
      <c r="E35" s="56">
        <v>0</v>
      </c>
      <c r="F35" s="56">
        <v>1615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834</v>
      </c>
      <c r="N35" s="56">
        <v>0</v>
      </c>
      <c r="O35" s="56">
        <v>0</v>
      </c>
      <c r="P35" s="56">
        <v>0</v>
      </c>
      <c r="Q35" s="56">
        <v>0</v>
      </c>
      <c r="R35" s="56">
        <v>3315</v>
      </c>
      <c r="S35" s="56">
        <v>0</v>
      </c>
      <c r="T35" s="89">
        <v>0</v>
      </c>
      <c r="U35" s="35">
        <f t="shared" si="0"/>
        <v>5764</v>
      </c>
      <c r="V35" s="55">
        <v>0</v>
      </c>
      <c r="W35" s="56">
        <v>0</v>
      </c>
      <c r="X35" s="56">
        <v>0</v>
      </c>
      <c r="Y35" s="56">
        <v>0</v>
      </c>
      <c r="Z35" s="56">
        <v>0</v>
      </c>
      <c r="AA35" s="56">
        <v>0</v>
      </c>
      <c r="AB35" s="89">
        <v>0</v>
      </c>
      <c r="AC35" s="34">
        <v>0</v>
      </c>
      <c r="AD35" s="35">
        <f t="shared" si="1"/>
        <v>0</v>
      </c>
      <c r="AE35" s="34">
        <v>0</v>
      </c>
      <c r="AF35" s="35">
        <f t="shared" si="2"/>
        <v>0</v>
      </c>
      <c r="AG35" s="35">
        <f t="shared" si="3"/>
        <v>5764</v>
      </c>
    </row>
    <row r="36" spans="1:33">
      <c r="A36" s="1" t="s">
        <v>1</v>
      </c>
      <c r="B36" s="36" t="s">
        <v>71</v>
      </c>
      <c r="C36" s="75">
        <v>1620</v>
      </c>
      <c r="D36" s="58">
        <v>570</v>
      </c>
      <c r="E36" s="58">
        <v>0</v>
      </c>
      <c r="F36" s="58">
        <v>7106</v>
      </c>
      <c r="G36" s="58">
        <v>867</v>
      </c>
      <c r="H36" s="58">
        <v>3900</v>
      </c>
      <c r="I36" s="58">
        <v>270</v>
      </c>
      <c r="J36" s="58">
        <v>570</v>
      </c>
      <c r="K36" s="58">
        <v>810</v>
      </c>
      <c r="L36" s="58">
        <v>4845</v>
      </c>
      <c r="M36" s="58">
        <v>5560</v>
      </c>
      <c r="N36" s="58">
        <v>2850</v>
      </c>
      <c r="O36" s="58">
        <v>5282</v>
      </c>
      <c r="P36" s="58">
        <v>9100</v>
      </c>
      <c r="Q36" s="58">
        <v>6912</v>
      </c>
      <c r="R36" s="58">
        <v>8925</v>
      </c>
      <c r="S36" s="58">
        <v>1536</v>
      </c>
      <c r="T36" s="90">
        <v>256</v>
      </c>
      <c r="U36" s="38">
        <f t="shared" si="0"/>
        <v>60979</v>
      </c>
      <c r="V36" s="57">
        <v>0</v>
      </c>
      <c r="W36" s="58">
        <v>0</v>
      </c>
      <c r="X36" s="58">
        <v>0</v>
      </c>
      <c r="Y36" s="58">
        <v>0</v>
      </c>
      <c r="Z36" s="58">
        <v>12650</v>
      </c>
      <c r="AA36" s="58">
        <v>11500</v>
      </c>
      <c r="AB36" s="90">
        <v>4600</v>
      </c>
      <c r="AC36" s="37">
        <v>6900</v>
      </c>
      <c r="AD36" s="38">
        <f t="shared" si="1"/>
        <v>35650</v>
      </c>
      <c r="AE36" s="37">
        <v>0</v>
      </c>
      <c r="AF36" s="38">
        <f t="shared" si="2"/>
        <v>0</v>
      </c>
      <c r="AG36" s="38">
        <f t="shared" si="3"/>
        <v>96629</v>
      </c>
    </row>
    <row r="37" spans="1:33">
      <c r="A37" s="1" t="s">
        <v>1</v>
      </c>
      <c r="B37" s="16" t="s">
        <v>86</v>
      </c>
      <c r="C37" s="76">
        <v>301813</v>
      </c>
      <c r="D37" s="60">
        <v>310306</v>
      </c>
      <c r="E37" s="60">
        <v>364153</v>
      </c>
      <c r="F37" s="60">
        <v>378085</v>
      </c>
      <c r="G37" s="60">
        <v>275261</v>
      </c>
      <c r="H37" s="60">
        <v>383775</v>
      </c>
      <c r="I37" s="60">
        <v>311777</v>
      </c>
      <c r="J37" s="60">
        <v>289860</v>
      </c>
      <c r="K37" s="60">
        <v>307080</v>
      </c>
      <c r="L37" s="60">
        <v>381119</v>
      </c>
      <c r="M37" s="60">
        <v>325013</v>
      </c>
      <c r="N37" s="60">
        <v>342334</v>
      </c>
      <c r="O37" s="60">
        <v>236273</v>
      </c>
      <c r="P37" s="60">
        <v>287407</v>
      </c>
      <c r="Q37" s="60">
        <v>300566</v>
      </c>
      <c r="R37" s="60">
        <v>324021</v>
      </c>
      <c r="S37" s="60">
        <v>254140</v>
      </c>
      <c r="T37" s="91">
        <v>269863</v>
      </c>
      <c r="U37" s="20">
        <f t="shared" si="0"/>
        <v>5642846</v>
      </c>
      <c r="V37" s="59">
        <v>365000</v>
      </c>
      <c r="W37" s="60">
        <v>347496</v>
      </c>
      <c r="X37" s="60">
        <v>82320</v>
      </c>
      <c r="Y37" s="60">
        <v>109000</v>
      </c>
      <c r="Z37" s="60">
        <v>89930</v>
      </c>
      <c r="AA37" s="60">
        <v>83260</v>
      </c>
      <c r="AB37" s="91">
        <v>67390</v>
      </c>
      <c r="AC37" s="19">
        <v>91540</v>
      </c>
      <c r="AD37" s="20">
        <f t="shared" si="1"/>
        <v>1235936</v>
      </c>
      <c r="AE37" s="19">
        <v>385000</v>
      </c>
      <c r="AF37" s="20">
        <f t="shared" si="2"/>
        <v>385000</v>
      </c>
      <c r="AG37" s="20">
        <f t="shared" si="3"/>
        <v>7263782</v>
      </c>
    </row>
    <row r="38" spans="1:33">
      <c r="A38" s="1" t="s">
        <v>1</v>
      </c>
      <c r="B38" s="16" t="s">
        <v>87</v>
      </c>
      <c r="C38" s="76">
        <v>14572</v>
      </c>
      <c r="D38" s="60">
        <v>3643</v>
      </c>
      <c r="E38" s="60">
        <v>5586</v>
      </c>
      <c r="F38" s="60">
        <v>3104</v>
      </c>
      <c r="G38" s="60">
        <v>14896</v>
      </c>
      <c r="H38" s="60">
        <v>2591</v>
      </c>
      <c r="I38" s="60">
        <v>2915</v>
      </c>
      <c r="J38" s="60">
        <v>1404</v>
      </c>
      <c r="K38" s="60">
        <v>3508</v>
      </c>
      <c r="L38" s="60">
        <v>5829</v>
      </c>
      <c r="M38" s="60">
        <v>4723</v>
      </c>
      <c r="N38" s="60">
        <v>8420</v>
      </c>
      <c r="O38" s="60">
        <v>4048</v>
      </c>
      <c r="P38" s="60">
        <v>11010</v>
      </c>
      <c r="Q38" s="60">
        <v>7448</v>
      </c>
      <c r="R38" s="60">
        <v>9715</v>
      </c>
      <c r="S38" s="60">
        <v>7718</v>
      </c>
      <c r="T38" s="91">
        <v>2915</v>
      </c>
      <c r="U38" s="20">
        <f t="shared" si="0"/>
        <v>114045</v>
      </c>
      <c r="V38" s="59">
        <v>3239</v>
      </c>
      <c r="W38" s="60">
        <v>5829</v>
      </c>
      <c r="X38" s="60">
        <v>2807</v>
      </c>
      <c r="Y38" s="60">
        <v>2294</v>
      </c>
      <c r="Z38" s="60">
        <v>3562</v>
      </c>
      <c r="AA38" s="60">
        <v>4318</v>
      </c>
      <c r="AB38" s="91">
        <v>2807</v>
      </c>
      <c r="AC38" s="19">
        <v>7178</v>
      </c>
      <c r="AD38" s="20">
        <f t="shared" si="1"/>
        <v>32034</v>
      </c>
      <c r="AE38" s="19">
        <v>7367</v>
      </c>
      <c r="AF38" s="20">
        <f t="shared" si="2"/>
        <v>7367</v>
      </c>
      <c r="AG38" s="20">
        <f t="shared" si="3"/>
        <v>153446</v>
      </c>
    </row>
    <row r="39" spans="1:33">
      <c r="A39" s="1" t="s">
        <v>1</v>
      </c>
      <c r="B39" s="7" t="s">
        <v>88</v>
      </c>
      <c r="C39" s="77">
        <v>14572</v>
      </c>
      <c r="D39" s="62">
        <v>3643</v>
      </c>
      <c r="E39" s="62">
        <v>5586</v>
      </c>
      <c r="F39" s="62">
        <v>3104</v>
      </c>
      <c r="G39" s="62">
        <v>14896</v>
      </c>
      <c r="H39" s="62">
        <v>2591</v>
      </c>
      <c r="I39" s="62">
        <v>2915</v>
      </c>
      <c r="J39" s="62">
        <v>1404</v>
      </c>
      <c r="K39" s="62">
        <v>3508</v>
      </c>
      <c r="L39" s="62">
        <v>5829</v>
      </c>
      <c r="M39" s="62">
        <v>4723</v>
      </c>
      <c r="N39" s="62">
        <v>8420</v>
      </c>
      <c r="O39" s="62">
        <v>4048</v>
      </c>
      <c r="P39" s="62">
        <v>11010</v>
      </c>
      <c r="Q39" s="62">
        <v>7448</v>
      </c>
      <c r="R39" s="62">
        <v>9715</v>
      </c>
      <c r="S39" s="62">
        <v>7718</v>
      </c>
      <c r="T39" s="92">
        <v>2915</v>
      </c>
      <c r="U39" s="11">
        <f t="shared" si="0"/>
        <v>114045</v>
      </c>
      <c r="V39" s="61">
        <v>3239</v>
      </c>
      <c r="W39" s="62">
        <v>5829</v>
      </c>
      <c r="X39" s="62">
        <v>2807</v>
      </c>
      <c r="Y39" s="62">
        <v>2294</v>
      </c>
      <c r="Z39" s="62">
        <v>3562</v>
      </c>
      <c r="AA39" s="62">
        <v>4318</v>
      </c>
      <c r="AB39" s="92">
        <v>2807</v>
      </c>
      <c r="AC39" s="10">
        <v>7178</v>
      </c>
      <c r="AD39" s="11">
        <f t="shared" si="1"/>
        <v>32034</v>
      </c>
      <c r="AE39" s="10">
        <v>7367</v>
      </c>
      <c r="AF39" s="11">
        <f t="shared" si="2"/>
        <v>7367</v>
      </c>
      <c r="AG39" s="11">
        <f t="shared" si="3"/>
        <v>153446</v>
      </c>
    </row>
    <row r="40" spans="1:33">
      <c r="A40" s="1" t="s">
        <v>1</v>
      </c>
      <c r="B40" s="16" t="s">
        <v>89</v>
      </c>
      <c r="C40" s="76">
        <v>316385</v>
      </c>
      <c r="D40" s="60">
        <v>313949</v>
      </c>
      <c r="E40" s="60">
        <v>369739</v>
      </c>
      <c r="F40" s="60">
        <v>381189</v>
      </c>
      <c r="G40" s="60">
        <v>290157</v>
      </c>
      <c r="H40" s="60">
        <v>386366</v>
      </c>
      <c r="I40" s="60">
        <v>314692</v>
      </c>
      <c r="J40" s="60">
        <v>291264</v>
      </c>
      <c r="K40" s="60">
        <v>310588</v>
      </c>
      <c r="L40" s="60">
        <v>386948</v>
      </c>
      <c r="M40" s="60">
        <v>329736</v>
      </c>
      <c r="N40" s="60">
        <v>350754</v>
      </c>
      <c r="O40" s="60">
        <v>240321</v>
      </c>
      <c r="P40" s="60">
        <v>298417</v>
      </c>
      <c r="Q40" s="60">
        <v>308014</v>
      </c>
      <c r="R40" s="60">
        <v>333736</v>
      </c>
      <c r="S40" s="60">
        <v>261858</v>
      </c>
      <c r="T40" s="91">
        <v>272778</v>
      </c>
      <c r="U40" s="20">
        <f t="shared" si="0"/>
        <v>5756891</v>
      </c>
      <c r="V40" s="59">
        <v>368239</v>
      </c>
      <c r="W40" s="60">
        <v>353325</v>
      </c>
      <c r="X40" s="60">
        <v>85127</v>
      </c>
      <c r="Y40" s="60">
        <v>111294</v>
      </c>
      <c r="Z40" s="60">
        <v>93492</v>
      </c>
      <c r="AA40" s="60">
        <v>87578</v>
      </c>
      <c r="AB40" s="91">
        <v>70197</v>
      </c>
      <c r="AC40" s="19">
        <v>98718</v>
      </c>
      <c r="AD40" s="20">
        <f t="shared" si="1"/>
        <v>1267970</v>
      </c>
      <c r="AE40" s="19">
        <v>392367</v>
      </c>
      <c r="AF40" s="20">
        <f t="shared" si="2"/>
        <v>392367</v>
      </c>
      <c r="AG40" s="20">
        <f t="shared" si="3"/>
        <v>7417228</v>
      </c>
    </row>
    <row r="41" spans="1:33">
      <c r="A41" s="1" t="s">
        <v>1</v>
      </c>
      <c r="B41" s="31" t="s">
        <v>90</v>
      </c>
      <c r="C41" s="73">
        <v>15300</v>
      </c>
      <c r="D41" s="54">
        <v>16320</v>
      </c>
      <c r="E41" s="54">
        <v>19380</v>
      </c>
      <c r="F41" s="54">
        <v>20910</v>
      </c>
      <c r="G41" s="54">
        <v>17340</v>
      </c>
      <c r="H41" s="54">
        <v>19380</v>
      </c>
      <c r="I41" s="54">
        <v>16320</v>
      </c>
      <c r="J41" s="54">
        <v>16320</v>
      </c>
      <c r="K41" s="54">
        <v>16320</v>
      </c>
      <c r="L41" s="54">
        <v>18360</v>
      </c>
      <c r="M41" s="54">
        <v>16320</v>
      </c>
      <c r="N41" s="54">
        <v>16320</v>
      </c>
      <c r="O41" s="54">
        <v>17340</v>
      </c>
      <c r="P41" s="54">
        <v>14280</v>
      </c>
      <c r="Q41" s="54">
        <v>14280</v>
      </c>
      <c r="R41" s="54">
        <v>16320</v>
      </c>
      <c r="S41" s="54">
        <v>14280</v>
      </c>
      <c r="T41" s="88">
        <v>15300</v>
      </c>
      <c r="U41" s="33">
        <f t="shared" si="0"/>
        <v>300390</v>
      </c>
      <c r="V41" s="53">
        <v>18360</v>
      </c>
      <c r="W41" s="54">
        <v>19380</v>
      </c>
      <c r="X41" s="54">
        <v>0</v>
      </c>
      <c r="Y41" s="54">
        <v>0</v>
      </c>
      <c r="Z41" s="54">
        <v>0</v>
      </c>
      <c r="AA41" s="54">
        <v>0</v>
      </c>
      <c r="AB41" s="88">
        <v>0</v>
      </c>
      <c r="AC41" s="32">
        <v>0</v>
      </c>
      <c r="AD41" s="33">
        <f t="shared" si="1"/>
        <v>37740</v>
      </c>
      <c r="AE41" s="32">
        <v>19380</v>
      </c>
      <c r="AF41" s="33">
        <f t="shared" si="2"/>
        <v>19380</v>
      </c>
      <c r="AG41" s="33">
        <f t="shared" si="3"/>
        <v>357510</v>
      </c>
    </row>
    <row r="42" spans="1:33">
      <c r="A42" s="1" t="s">
        <v>1</v>
      </c>
      <c r="B42" s="26" t="s">
        <v>91</v>
      </c>
      <c r="C42" s="74">
        <v>2700</v>
      </c>
      <c r="D42" s="56">
        <v>2880</v>
      </c>
      <c r="E42" s="56">
        <v>3420</v>
      </c>
      <c r="F42" s="56">
        <v>3690</v>
      </c>
      <c r="G42" s="100">
        <v>0</v>
      </c>
      <c r="H42" s="56">
        <v>3420</v>
      </c>
      <c r="I42" s="56">
        <v>2880</v>
      </c>
      <c r="J42" s="56">
        <v>2880</v>
      </c>
      <c r="K42" s="56">
        <v>2880</v>
      </c>
      <c r="L42" s="56">
        <v>3240</v>
      </c>
      <c r="M42" s="56">
        <v>2880</v>
      </c>
      <c r="N42" s="56">
        <v>2880</v>
      </c>
      <c r="O42" s="56">
        <v>3060</v>
      </c>
      <c r="P42" s="56">
        <v>2520</v>
      </c>
      <c r="Q42" s="56">
        <v>2520</v>
      </c>
      <c r="R42" s="56">
        <v>2880</v>
      </c>
      <c r="S42" s="56">
        <v>2520</v>
      </c>
      <c r="T42" s="89">
        <v>2700</v>
      </c>
      <c r="U42" s="35">
        <f t="shared" si="0"/>
        <v>49950</v>
      </c>
      <c r="V42" s="55">
        <v>3240</v>
      </c>
      <c r="W42" s="56">
        <v>3420</v>
      </c>
      <c r="X42" s="56">
        <v>0</v>
      </c>
      <c r="Y42" s="56">
        <v>0</v>
      </c>
      <c r="Z42" s="56">
        <v>0</v>
      </c>
      <c r="AA42" s="56">
        <v>0</v>
      </c>
      <c r="AB42" s="89">
        <v>0</v>
      </c>
      <c r="AC42" s="34">
        <v>0</v>
      </c>
      <c r="AD42" s="35">
        <f t="shared" si="1"/>
        <v>6660</v>
      </c>
      <c r="AE42" s="34">
        <v>3420</v>
      </c>
      <c r="AF42" s="35">
        <f t="shared" si="2"/>
        <v>3420</v>
      </c>
      <c r="AG42" s="35">
        <f t="shared" si="3"/>
        <v>60030</v>
      </c>
    </row>
    <row r="43" spans="1:33">
      <c r="A43" s="1" t="s">
        <v>1</v>
      </c>
      <c r="B43" s="26" t="s">
        <v>92</v>
      </c>
      <c r="C43" s="74">
        <v>27450</v>
      </c>
      <c r="D43" s="56">
        <v>29280</v>
      </c>
      <c r="E43" s="56">
        <v>34770</v>
      </c>
      <c r="F43" s="56">
        <v>37515</v>
      </c>
      <c r="G43" s="56">
        <v>31110</v>
      </c>
      <c r="H43" s="56">
        <v>34770</v>
      </c>
      <c r="I43" s="56">
        <v>29280</v>
      </c>
      <c r="J43" s="56">
        <v>29280</v>
      </c>
      <c r="K43" s="56">
        <v>29280</v>
      </c>
      <c r="L43" s="56">
        <v>32940</v>
      </c>
      <c r="M43" s="56">
        <v>29280</v>
      </c>
      <c r="N43" s="56">
        <v>29280</v>
      </c>
      <c r="O43" s="56">
        <v>31110</v>
      </c>
      <c r="P43" s="56">
        <v>25620</v>
      </c>
      <c r="Q43" s="56">
        <v>25620</v>
      </c>
      <c r="R43" s="56">
        <v>29280</v>
      </c>
      <c r="S43" s="56">
        <v>25620</v>
      </c>
      <c r="T43" s="89">
        <v>27450</v>
      </c>
      <c r="U43" s="35">
        <f t="shared" si="0"/>
        <v>538935</v>
      </c>
      <c r="V43" s="55">
        <v>32940</v>
      </c>
      <c r="W43" s="56">
        <v>34770</v>
      </c>
      <c r="X43" s="56">
        <v>0</v>
      </c>
      <c r="Y43" s="56">
        <v>0</v>
      </c>
      <c r="Z43" s="56">
        <v>0</v>
      </c>
      <c r="AA43" s="56">
        <v>0</v>
      </c>
      <c r="AB43" s="89">
        <v>0</v>
      </c>
      <c r="AC43" s="34">
        <v>0</v>
      </c>
      <c r="AD43" s="35">
        <f t="shared" si="1"/>
        <v>67710</v>
      </c>
      <c r="AE43" s="34">
        <v>34770</v>
      </c>
      <c r="AF43" s="35">
        <f t="shared" si="2"/>
        <v>34770</v>
      </c>
      <c r="AG43" s="35">
        <f t="shared" si="3"/>
        <v>641415</v>
      </c>
    </row>
    <row r="44" spans="1:33">
      <c r="A44" s="1" t="s">
        <v>1</v>
      </c>
      <c r="B44" s="7" t="s">
        <v>93</v>
      </c>
      <c r="C44" s="77">
        <v>1898</v>
      </c>
      <c r="D44" s="62">
        <v>1884</v>
      </c>
      <c r="E44" s="62">
        <v>2218</v>
      </c>
      <c r="F44" s="62">
        <v>2287</v>
      </c>
      <c r="G44" s="62">
        <v>1741</v>
      </c>
      <c r="H44" s="62">
        <v>2318</v>
      </c>
      <c r="I44" s="62">
        <v>1888</v>
      </c>
      <c r="J44" s="62">
        <v>1748</v>
      </c>
      <c r="K44" s="62">
        <v>1864</v>
      </c>
      <c r="L44" s="62">
        <v>2322</v>
      </c>
      <c r="M44" s="62">
        <v>1978</v>
      </c>
      <c r="N44" s="62">
        <v>2105</v>
      </c>
      <c r="O44" s="62">
        <v>1442</v>
      </c>
      <c r="P44" s="62">
        <v>1791</v>
      </c>
      <c r="Q44" s="62">
        <v>1848</v>
      </c>
      <c r="R44" s="62">
        <v>2002</v>
      </c>
      <c r="S44" s="62">
        <v>1571</v>
      </c>
      <c r="T44" s="92">
        <v>1637</v>
      </c>
      <c r="U44" s="11">
        <f t="shared" si="0"/>
        <v>34542</v>
      </c>
      <c r="V44" s="61">
        <v>2209</v>
      </c>
      <c r="W44" s="62">
        <v>2120</v>
      </c>
      <c r="X44" s="62">
        <v>511</v>
      </c>
      <c r="Y44" s="62">
        <v>668</v>
      </c>
      <c r="Z44" s="62">
        <v>0</v>
      </c>
      <c r="AA44" s="62">
        <v>0</v>
      </c>
      <c r="AB44" s="92">
        <v>0</v>
      </c>
      <c r="AC44" s="10">
        <v>592</v>
      </c>
      <c r="AD44" s="11">
        <f t="shared" si="1"/>
        <v>6100</v>
      </c>
      <c r="AE44" s="10">
        <v>2354</v>
      </c>
      <c r="AF44" s="11">
        <f t="shared" si="2"/>
        <v>2354</v>
      </c>
      <c r="AG44" s="11">
        <f t="shared" si="3"/>
        <v>42996</v>
      </c>
    </row>
    <row r="45" spans="1:33">
      <c r="A45" s="1" t="s">
        <v>1</v>
      </c>
      <c r="B45" s="16" t="s">
        <v>94</v>
      </c>
      <c r="C45" s="76">
        <v>47348</v>
      </c>
      <c r="D45" s="60">
        <v>50364</v>
      </c>
      <c r="E45" s="60">
        <v>59788</v>
      </c>
      <c r="F45" s="60">
        <v>64402</v>
      </c>
      <c r="G45" s="60">
        <v>50191</v>
      </c>
      <c r="H45" s="60">
        <v>59888</v>
      </c>
      <c r="I45" s="60">
        <v>50368</v>
      </c>
      <c r="J45" s="60">
        <v>50228</v>
      </c>
      <c r="K45" s="60">
        <v>50344</v>
      </c>
      <c r="L45" s="60">
        <v>56862</v>
      </c>
      <c r="M45" s="60">
        <v>50458</v>
      </c>
      <c r="N45" s="60">
        <v>50585</v>
      </c>
      <c r="O45" s="60">
        <v>52952</v>
      </c>
      <c r="P45" s="60">
        <v>44211</v>
      </c>
      <c r="Q45" s="60">
        <v>44268</v>
      </c>
      <c r="R45" s="60">
        <v>50482</v>
      </c>
      <c r="S45" s="60">
        <v>43991</v>
      </c>
      <c r="T45" s="91">
        <v>47087</v>
      </c>
      <c r="U45" s="20">
        <f t="shared" si="0"/>
        <v>923817</v>
      </c>
      <c r="V45" s="59">
        <v>56749</v>
      </c>
      <c r="W45" s="60">
        <v>59690</v>
      </c>
      <c r="X45" s="60">
        <v>511</v>
      </c>
      <c r="Y45" s="60">
        <v>668</v>
      </c>
      <c r="Z45" s="60">
        <v>0</v>
      </c>
      <c r="AA45" s="60">
        <v>0</v>
      </c>
      <c r="AB45" s="91">
        <v>0</v>
      </c>
      <c r="AC45" s="19">
        <v>592</v>
      </c>
      <c r="AD45" s="20">
        <f t="shared" si="1"/>
        <v>118210</v>
      </c>
      <c r="AE45" s="19">
        <v>59924</v>
      </c>
      <c r="AF45" s="20">
        <f t="shared" si="2"/>
        <v>59924</v>
      </c>
      <c r="AG45" s="20">
        <f t="shared" si="3"/>
        <v>1101951</v>
      </c>
    </row>
    <row r="46" spans="1:33">
      <c r="A46" s="1" t="s">
        <v>1</v>
      </c>
      <c r="B46" s="31" t="s">
        <v>95</v>
      </c>
      <c r="C46" s="73">
        <v>1300</v>
      </c>
      <c r="D46" s="54">
        <v>1300</v>
      </c>
      <c r="E46" s="54">
        <v>1300</v>
      </c>
      <c r="F46" s="54">
        <v>0</v>
      </c>
      <c r="G46" s="54">
        <v>1300</v>
      </c>
      <c r="H46" s="54">
        <v>1300</v>
      </c>
      <c r="I46" s="54">
        <v>1300</v>
      </c>
      <c r="J46" s="54">
        <v>1300</v>
      </c>
      <c r="K46" s="54">
        <v>1300</v>
      </c>
      <c r="L46" s="54">
        <v>1300</v>
      </c>
      <c r="M46" s="54">
        <v>0</v>
      </c>
      <c r="N46" s="54">
        <v>1300</v>
      </c>
      <c r="O46" s="54">
        <v>1300</v>
      </c>
      <c r="P46" s="54">
        <v>1300</v>
      </c>
      <c r="Q46" s="54">
        <v>1300</v>
      </c>
      <c r="R46" s="54">
        <v>1300</v>
      </c>
      <c r="S46" s="54">
        <v>1300</v>
      </c>
      <c r="T46" s="88">
        <v>0</v>
      </c>
      <c r="U46" s="33">
        <f t="shared" si="0"/>
        <v>19500</v>
      </c>
      <c r="V46" s="53">
        <v>0</v>
      </c>
      <c r="W46" s="54">
        <v>0</v>
      </c>
      <c r="X46" s="54">
        <v>0</v>
      </c>
      <c r="Y46" s="54">
        <v>0</v>
      </c>
      <c r="Z46" s="54">
        <v>0</v>
      </c>
      <c r="AA46" s="54">
        <v>0</v>
      </c>
      <c r="AB46" s="88">
        <v>0</v>
      </c>
      <c r="AC46" s="32">
        <v>0</v>
      </c>
      <c r="AD46" s="33">
        <f t="shared" si="1"/>
        <v>0</v>
      </c>
      <c r="AE46" s="32">
        <v>0</v>
      </c>
      <c r="AF46" s="33">
        <f t="shared" si="2"/>
        <v>0</v>
      </c>
      <c r="AG46" s="33">
        <f t="shared" si="3"/>
        <v>19500</v>
      </c>
    </row>
    <row r="47" spans="1:33">
      <c r="A47" s="1" t="s">
        <v>1</v>
      </c>
      <c r="B47" s="7" t="s">
        <v>96</v>
      </c>
      <c r="C47" s="77">
        <v>8800</v>
      </c>
      <c r="D47" s="62">
        <v>1500</v>
      </c>
      <c r="E47" s="62">
        <v>14600</v>
      </c>
      <c r="F47" s="62">
        <v>17100</v>
      </c>
      <c r="G47" s="62">
        <v>9500</v>
      </c>
      <c r="H47" s="62">
        <v>13100</v>
      </c>
      <c r="I47" s="62">
        <v>15100</v>
      </c>
      <c r="J47" s="62">
        <v>10100</v>
      </c>
      <c r="K47" s="62">
        <v>13400</v>
      </c>
      <c r="L47" s="62">
        <v>16100</v>
      </c>
      <c r="M47" s="62">
        <v>11300</v>
      </c>
      <c r="N47" s="62">
        <v>13200</v>
      </c>
      <c r="O47" s="62">
        <v>5600</v>
      </c>
      <c r="P47" s="62">
        <v>0</v>
      </c>
      <c r="Q47" s="62">
        <v>8500</v>
      </c>
      <c r="R47" s="62">
        <v>3100</v>
      </c>
      <c r="S47" s="62">
        <v>2000</v>
      </c>
      <c r="T47" s="92">
        <v>17300</v>
      </c>
      <c r="U47" s="11">
        <f t="shared" si="0"/>
        <v>180300</v>
      </c>
      <c r="V47" s="61">
        <v>16800</v>
      </c>
      <c r="W47" s="62">
        <v>16400</v>
      </c>
      <c r="X47" s="62">
        <v>600</v>
      </c>
      <c r="Y47" s="62">
        <v>500</v>
      </c>
      <c r="Z47" s="62">
        <v>0</v>
      </c>
      <c r="AA47" s="62">
        <v>0</v>
      </c>
      <c r="AB47" s="92">
        <v>0</v>
      </c>
      <c r="AC47" s="10">
        <v>2300</v>
      </c>
      <c r="AD47" s="11">
        <f t="shared" si="1"/>
        <v>36600</v>
      </c>
      <c r="AE47" s="10">
        <v>17300</v>
      </c>
      <c r="AF47" s="11">
        <f t="shared" si="2"/>
        <v>17300</v>
      </c>
      <c r="AG47" s="11">
        <f t="shared" si="3"/>
        <v>234200</v>
      </c>
    </row>
    <row r="48" spans="1:33">
      <c r="A48" s="1" t="s">
        <v>1</v>
      </c>
      <c r="B48" s="16" t="s">
        <v>97</v>
      </c>
      <c r="C48" s="76">
        <v>57448</v>
      </c>
      <c r="D48" s="60">
        <v>53164</v>
      </c>
      <c r="E48" s="60">
        <v>75688</v>
      </c>
      <c r="F48" s="60">
        <v>81502</v>
      </c>
      <c r="G48" s="60">
        <v>60991</v>
      </c>
      <c r="H48" s="60">
        <v>74288</v>
      </c>
      <c r="I48" s="60">
        <v>66768</v>
      </c>
      <c r="J48" s="60">
        <v>61628</v>
      </c>
      <c r="K48" s="60">
        <v>65044</v>
      </c>
      <c r="L48" s="60">
        <v>74262</v>
      </c>
      <c r="M48" s="60">
        <v>61758</v>
      </c>
      <c r="N48" s="60">
        <v>65085</v>
      </c>
      <c r="O48" s="60">
        <v>59852</v>
      </c>
      <c r="P48" s="60">
        <v>45511</v>
      </c>
      <c r="Q48" s="60">
        <v>54068</v>
      </c>
      <c r="R48" s="60">
        <v>54882</v>
      </c>
      <c r="S48" s="60">
        <v>47291</v>
      </c>
      <c r="T48" s="91">
        <v>64387</v>
      </c>
      <c r="U48" s="20">
        <f t="shared" si="0"/>
        <v>1123617</v>
      </c>
      <c r="V48" s="59">
        <v>73549</v>
      </c>
      <c r="W48" s="60">
        <v>76090</v>
      </c>
      <c r="X48" s="60">
        <v>1111</v>
      </c>
      <c r="Y48" s="60">
        <v>1168</v>
      </c>
      <c r="Z48" s="60">
        <v>0</v>
      </c>
      <c r="AA48" s="60">
        <v>0</v>
      </c>
      <c r="AB48" s="91">
        <v>0</v>
      </c>
      <c r="AC48" s="19">
        <v>2892</v>
      </c>
      <c r="AD48" s="20">
        <f t="shared" si="1"/>
        <v>154810</v>
      </c>
      <c r="AE48" s="19">
        <v>77224</v>
      </c>
      <c r="AF48" s="20">
        <f t="shared" si="2"/>
        <v>77224</v>
      </c>
      <c r="AG48" s="20">
        <f t="shared" si="3"/>
        <v>1355651</v>
      </c>
    </row>
    <row r="49" spans="1:33">
      <c r="A49" s="1" t="s">
        <v>1</v>
      </c>
      <c r="B49" s="16" t="s">
        <v>98</v>
      </c>
      <c r="C49" s="76">
        <v>254465</v>
      </c>
      <c r="D49" s="60">
        <v>259942</v>
      </c>
      <c r="E49" s="60">
        <v>304365</v>
      </c>
      <c r="F49" s="60">
        <v>313683</v>
      </c>
      <c r="G49" s="60">
        <v>225070</v>
      </c>
      <c r="H49" s="60">
        <v>323887</v>
      </c>
      <c r="I49" s="60">
        <v>261409</v>
      </c>
      <c r="J49" s="60">
        <v>239632</v>
      </c>
      <c r="K49" s="60">
        <v>256736</v>
      </c>
      <c r="L49" s="60">
        <v>324257</v>
      </c>
      <c r="M49" s="60">
        <v>274555</v>
      </c>
      <c r="N49" s="60">
        <v>291749</v>
      </c>
      <c r="O49" s="60">
        <v>183321</v>
      </c>
      <c r="P49" s="60">
        <v>243196</v>
      </c>
      <c r="Q49" s="60">
        <v>256298</v>
      </c>
      <c r="R49" s="60">
        <v>273539</v>
      </c>
      <c r="S49" s="60">
        <v>210149</v>
      </c>
      <c r="T49" s="91">
        <v>222776</v>
      </c>
      <c r="U49" s="20">
        <f t="shared" si="0"/>
        <v>4719029</v>
      </c>
      <c r="V49" s="59">
        <v>308251</v>
      </c>
      <c r="W49" s="60">
        <v>287806</v>
      </c>
      <c r="X49" s="60">
        <v>81809</v>
      </c>
      <c r="Y49" s="60">
        <v>108332</v>
      </c>
      <c r="Z49" s="60">
        <v>89930</v>
      </c>
      <c r="AA49" s="60">
        <v>83260</v>
      </c>
      <c r="AB49" s="91">
        <v>67390</v>
      </c>
      <c r="AC49" s="19">
        <v>90948</v>
      </c>
      <c r="AD49" s="20">
        <f t="shared" si="1"/>
        <v>1117726</v>
      </c>
      <c r="AE49" s="19">
        <v>325076</v>
      </c>
      <c r="AF49" s="20">
        <f t="shared" si="2"/>
        <v>325076</v>
      </c>
      <c r="AG49" s="20">
        <f t="shared" si="3"/>
        <v>6161831</v>
      </c>
    </row>
    <row r="50" spans="1:33">
      <c r="A50" s="1" t="s">
        <v>1</v>
      </c>
      <c r="B50" s="16" t="s">
        <v>99</v>
      </c>
      <c r="C50" s="76">
        <v>258937</v>
      </c>
      <c r="D50" s="60">
        <v>260785</v>
      </c>
      <c r="E50" s="60">
        <v>294051</v>
      </c>
      <c r="F50" s="60">
        <v>299687</v>
      </c>
      <c r="G50" s="60">
        <v>229166</v>
      </c>
      <c r="H50" s="60">
        <v>312078</v>
      </c>
      <c r="I50" s="60">
        <v>247924</v>
      </c>
      <c r="J50" s="60">
        <v>229636</v>
      </c>
      <c r="K50" s="60">
        <v>245544</v>
      </c>
      <c r="L50" s="60">
        <v>312686</v>
      </c>
      <c r="M50" s="60">
        <v>267978</v>
      </c>
      <c r="N50" s="60">
        <v>285669</v>
      </c>
      <c r="O50" s="60">
        <v>180469</v>
      </c>
      <c r="P50" s="60">
        <v>252906</v>
      </c>
      <c r="Q50" s="60">
        <v>253946</v>
      </c>
      <c r="R50" s="60">
        <v>278854</v>
      </c>
      <c r="S50" s="60">
        <v>214567</v>
      </c>
      <c r="T50" s="91">
        <v>208391</v>
      </c>
      <c r="U50" s="20">
        <f t="shared" si="0"/>
        <v>4633274</v>
      </c>
      <c r="V50" s="59">
        <v>294690</v>
      </c>
      <c r="W50" s="60">
        <v>277235</v>
      </c>
      <c r="X50" s="60">
        <v>84016</v>
      </c>
      <c r="Y50" s="60">
        <v>110126</v>
      </c>
      <c r="Z50" s="60">
        <v>93492</v>
      </c>
      <c r="AA50" s="60">
        <v>87578</v>
      </c>
      <c r="AB50" s="91">
        <v>70197</v>
      </c>
      <c r="AC50" s="19">
        <v>95826</v>
      </c>
      <c r="AD50" s="20">
        <f t="shared" si="1"/>
        <v>1113160</v>
      </c>
      <c r="AE50" s="19">
        <v>315143</v>
      </c>
      <c r="AF50" s="20">
        <f t="shared" si="2"/>
        <v>315143</v>
      </c>
      <c r="AG50" s="20">
        <f t="shared" si="3"/>
        <v>6061577</v>
      </c>
    </row>
    <row r="51" spans="1:33">
      <c r="A51" s="1" t="s">
        <v>1</v>
      </c>
      <c r="B51" s="16" t="s">
        <v>100</v>
      </c>
      <c r="C51" s="76">
        <v>258937</v>
      </c>
      <c r="D51" s="60">
        <v>260785</v>
      </c>
      <c r="E51" s="60">
        <v>294051</v>
      </c>
      <c r="F51" s="60">
        <v>299687</v>
      </c>
      <c r="G51" s="60">
        <v>229166</v>
      </c>
      <c r="H51" s="60">
        <v>312078</v>
      </c>
      <c r="I51" s="60">
        <v>247924</v>
      </c>
      <c r="J51" s="60">
        <v>229636</v>
      </c>
      <c r="K51" s="60">
        <v>245544</v>
      </c>
      <c r="L51" s="60">
        <v>312686</v>
      </c>
      <c r="M51" s="60">
        <v>267978</v>
      </c>
      <c r="N51" s="60">
        <v>285669</v>
      </c>
      <c r="O51" s="60">
        <v>180469</v>
      </c>
      <c r="P51" s="60">
        <v>252906</v>
      </c>
      <c r="Q51" s="60">
        <v>253946</v>
      </c>
      <c r="R51" s="60">
        <v>278854</v>
      </c>
      <c r="S51" s="60">
        <v>214567</v>
      </c>
      <c r="T51" s="91">
        <v>208391</v>
      </c>
      <c r="U51" s="20">
        <f t="shared" si="0"/>
        <v>4633274</v>
      </c>
      <c r="V51" s="59">
        <v>294690</v>
      </c>
      <c r="W51" s="60">
        <v>277235</v>
      </c>
      <c r="X51" s="60">
        <v>84016</v>
      </c>
      <c r="Y51" s="60">
        <v>110126</v>
      </c>
      <c r="Z51" s="60">
        <v>93492</v>
      </c>
      <c r="AA51" s="60">
        <v>87578</v>
      </c>
      <c r="AB51" s="91">
        <v>70197</v>
      </c>
      <c r="AC51" s="19">
        <v>95826</v>
      </c>
      <c r="AD51" s="20">
        <f t="shared" si="1"/>
        <v>1113160</v>
      </c>
      <c r="AE51" s="19">
        <v>315143</v>
      </c>
      <c r="AF51" s="20">
        <f t="shared" si="2"/>
        <v>315143</v>
      </c>
      <c r="AG51" s="20">
        <f t="shared" si="3"/>
        <v>6061577</v>
      </c>
    </row>
    <row r="52" spans="1:33">
      <c r="A52" s="1" t="s">
        <v>1</v>
      </c>
      <c r="B52" s="16" t="s">
        <v>101</v>
      </c>
      <c r="C52" s="76">
        <v>1</v>
      </c>
      <c r="D52" s="60">
        <v>0</v>
      </c>
      <c r="E52" s="60">
        <v>1</v>
      </c>
      <c r="F52" s="60">
        <v>0</v>
      </c>
      <c r="G52" s="60">
        <v>1</v>
      </c>
      <c r="H52" s="60">
        <v>0</v>
      </c>
      <c r="I52" s="60">
        <v>0</v>
      </c>
      <c r="J52" s="60">
        <v>1</v>
      </c>
      <c r="K52" s="60">
        <v>0</v>
      </c>
      <c r="L52" s="60">
        <v>0</v>
      </c>
      <c r="M52" s="60">
        <v>0</v>
      </c>
      <c r="N52" s="60">
        <v>0</v>
      </c>
      <c r="O52" s="60">
        <v>4</v>
      </c>
      <c r="P52" s="60">
        <v>0</v>
      </c>
      <c r="Q52" s="60">
        <v>0</v>
      </c>
      <c r="R52" s="60">
        <v>1</v>
      </c>
      <c r="S52" s="60">
        <v>0</v>
      </c>
      <c r="T52" s="91">
        <v>0</v>
      </c>
      <c r="U52" s="20"/>
      <c r="V52" s="59">
        <v>0</v>
      </c>
      <c r="W52" s="60">
        <v>1</v>
      </c>
      <c r="X52" s="60">
        <v>0</v>
      </c>
      <c r="Y52" s="60">
        <v>0</v>
      </c>
      <c r="Z52" s="60">
        <v>1</v>
      </c>
      <c r="AA52" s="60">
        <v>1</v>
      </c>
      <c r="AB52" s="91">
        <v>1</v>
      </c>
      <c r="AC52" s="19">
        <v>1</v>
      </c>
      <c r="AD52" s="20"/>
      <c r="AE52" s="19">
        <v>0</v>
      </c>
      <c r="AF52" s="20"/>
      <c r="AG52" s="20"/>
    </row>
    <row r="53" spans="1:33">
      <c r="A53" s="1" t="s">
        <v>1</v>
      </c>
      <c r="B53" s="16" t="s">
        <v>102</v>
      </c>
      <c r="C53" s="78" t="s">
        <v>103</v>
      </c>
      <c r="D53" s="64" t="s">
        <v>103</v>
      </c>
      <c r="E53" s="64" t="s">
        <v>103</v>
      </c>
      <c r="F53" s="64" t="s">
        <v>103</v>
      </c>
      <c r="G53" s="64" t="s">
        <v>103</v>
      </c>
      <c r="H53" s="64" t="s">
        <v>103</v>
      </c>
      <c r="I53" s="64" t="s">
        <v>103</v>
      </c>
      <c r="J53" s="64" t="s">
        <v>103</v>
      </c>
      <c r="K53" s="64" t="s">
        <v>103</v>
      </c>
      <c r="L53" s="64" t="s">
        <v>103</v>
      </c>
      <c r="M53" s="64" t="s">
        <v>103</v>
      </c>
      <c r="N53" s="64" t="s">
        <v>103</v>
      </c>
      <c r="O53" s="64" t="s">
        <v>103</v>
      </c>
      <c r="P53" s="64" t="s">
        <v>103</v>
      </c>
      <c r="Q53" s="64" t="s">
        <v>103</v>
      </c>
      <c r="R53" s="64" t="s">
        <v>103</v>
      </c>
      <c r="S53" s="64" t="s">
        <v>103</v>
      </c>
      <c r="T53" s="93" t="s">
        <v>103</v>
      </c>
      <c r="U53" s="22"/>
      <c r="V53" s="63" t="s">
        <v>103</v>
      </c>
      <c r="W53" s="64" t="s">
        <v>103</v>
      </c>
      <c r="X53" s="64" t="s">
        <v>103</v>
      </c>
      <c r="Y53" s="64" t="s">
        <v>103</v>
      </c>
      <c r="Z53" s="64" t="s">
        <v>103</v>
      </c>
      <c r="AA53" s="64" t="s">
        <v>103</v>
      </c>
      <c r="AB53" s="93" t="s">
        <v>103</v>
      </c>
      <c r="AC53" s="21" t="s">
        <v>103</v>
      </c>
      <c r="AD53" s="22"/>
      <c r="AE53" s="21" t="s">
        <v>103</v>
      </c>
      <c r="AF53" s="22"/>
      <c r="AG53" s="22"/>
    </row>
    <row r="54" spans="1:33">
      <c r="A54" s="1" t="s">
        <v>1</v>
      </c>
      <c r="B54" s="16" t="s">
        <v>104</v>
      </c>
      <c r="C54" s="76">
        <v>5090</v>
      </c>
      <c r="D54" s="60">
        <v>6910</v>
      </c>
      <c r="E54" s="60">
        <v>6900</v>
      </c>
      <c r="F54" s="60">
        <v>9500</v>
      </c>
      <c r="G54" s="60">
        <v>4040</v>
      </c>
      <c r="H54" s="60">
        <v>10330</v>
      </c>
      <c r="I54" s="60">
        <v>6960</v>
      </c>
      <c r="J54" s="60">
        <v>4560</v>
      </c>
      <c r="K54" s="60">
        <v>6790</v>
      </c>
      <c r="L54" s="60">
        <v>10360</v>
      </c>
      <c r="M54" s="60">
        <v>7430</v>
      </c>
      <c r="N54" s="60">
        <v>8040</v>
      </c>
      <c r="O54" s="60">
        <v>0</v>
      </c>
      <c r="P54" s="60">
        <v>6310</v>
      </c>
      <c r="Q54" s="60">
        <v>6780</v>
      </c>
      <c r="R54" s="60">
        <v>5780</v>
      </c>
      <c r="S54" s="60">
        <v>5130</v>
      </c>
      <c r="T54" s="91">
        <v>5580</v>
      </c>
      <c r="U54" s="20">
        <f t="shared" si="0"/>
        <v>116490</v>
      </c>
      <c r="V54" s="59">
        <v>9050</v>
      </c>
      <c r="W54" s="60">
        <v>6290</v>
      </c>
      <c r="X54" s="60">
        <v>0</v>
      </c>
      <c r="Y54" s="60">
        <v>1150</v>
      </c>
      <c r="Z54" s="60">
        <v>0</v>
      </c>
      <c r="AA54" s="60">
        <v>0</v>
      </c>
      <c r="AB54" s="91">
        <v>0</v>
      </c>
      <c r="AC54" s="19">
        <v>0</v>
      </c>
      <c r="AD54" s="20">
        <f t="shared" si="1"/>
        <v>16490</v>
      </c>
      <c r="AE54" s="19">
        <v>10430</v>
      </c>
      <c r="AF54" s="20">
        <f t="shared" si="2"/>
        <v>10430</v>
      </c>
      <c r="AG54" s="20">
        <f t="shared" si="3"/>
        <v>143410</v>
      </c>
    </row>
    <row r="55" spans="1:33">
      <c r="A55" s="1" t="s">
        <v>1</v>
      </c>
      <c r="B55" s="16" t="s">
        <v>105</v>
      </c>
      <c r="C55" s="76">
        <v>5090</v>
      </c>
      <c r="D55" s="60">
        <v>6910</v>
      </c>
      <c r="E55" s="60">
        <v>6900</v>
      </c>
      <c r="F55" s="60">
        <v>9500</v>
      </c>
      <c r="G55" s="60">
        <v>4040</v>
      </c>
      <c r="H55" s="60">
        <v>10330</v>
      </c>
      <c r="I55" s="60">
        <v>6960</v>
      </c>
      <c r="J55" s="60">
        <v>4560</v>
      </c>
      <c r="K55" s="60">
        <v>6790</v>
      </c>
      <c r="L55" s="60">
        <v>10360</v>
      </c>
      <c r="M55" s="60">
        <v>7430</v>
      </c>
      <c r="N55" s="60">
        <v>8040</v>
      </c>
      <c r="O55" s="60">
        <v>0</v>
      </c>
      <c r="P55" s="60">
        <v>6310</v>
      </c>
      <c r="Q55" s="60">
        <v>6780</v>
      </c>
      <c r="R55" s="60">
        <v>5780</v>
      </c>
      <c r="S55" s="60">
        <v>5130</v>
      </c>
      <c r="T55" s="91">
        <v>5580</v>
      </c>
      <c r="U55" s="20">
        <f t="shared" si="0"/>
        <v>116490</v>
      </c>
      <c r="V55" s="59">
        <v>9050</v>
      </c>
      <c r="W55" s="60">
        <v>6290</v>
      </c>
      <c r="X55" s="60">
        <v>0</v>
      </c>
      <c r="Y55" s="60">
        <v>1150</v>
      </c>
      <c r="Z55" s="60">
        <v>0</v>
      </c>
      <c r="AA55" s="60">
        <v>0</v>
      </c>
      <c r="AB55" s="91">
        <v>0</v>
      </c>
      <c r="AC55" s="19">
        <v>0</v>
      </c>
      <c r="AD55" s="20">
        <f t="shared" si="1"/>
        <v>16490</v>
      </c>
      <c r="AE55" s="19">
        <v>10430</v>
      </c>
      <c r="AF55" s="20">
        <f t="shared" si="2"/>
        <v>10430</v>
      </c>
      <c r="AG55" s="20">
        <f t="shared" si="3"/>
        <v>143410</v>
      </c>
    </row>
    <row r="56" spans="1:33" ht="19.5" thickBot="1">
      <c r="A56" s="1" t="s">
        <v>1</v>
      </c>
      <c r="B56" s="12" t="s">
        <v>106</v>
      </c>
      <c r="C56" s="79">
        <v>60000</v>
      </c>
      <c r="D56" s="66">
        <v>30000</v>
      </c>
      <c r="E56" s="66">
        <v>60000</v>
      </c>
      <c r="F56" s="66">
        <v>30000</v>
      </c>
      <c r="G56" s="66">
        <v>30000</v>
      </c>
      <c r="H56" s="66">
        <v>30000</v>
      </c>
      <c r="I56" s="66">
        <v>30000</v>
      </c>
      <c r="J56" s="66">
        <v>60000</v>
      </c>
      <c r="K56" s="66">
        <v>30000</v>
      </c>
      <c r="L56" s="66">
        <v>30000</v>
      </c>
      <c r="M56" s="66">
        <v>30000</v>
      </c>
      <c r="N56" s="66">
        <v>30000</v>
      </c>
      <c r="O56" s="66">
        <v>150000</v>
      </c>
      <c r="P56" s="66">
        <v>30000</v>
      </c>
      <c r="Q56" s="66">
        <v>30000</v>
      </c>
      <c r="R56" s="66">
        <v>60000</v>
      </c>
      <c r="S56" s="66">
        <v>30000</v>
      </c>
      <c r="T56" s="94">
        <v>30000</v>
      </c>
      <c r="U56" s="14">
        <f t="shared" si="0"/>
        <v>780000</v>
      </c>
      <c r="V56" s="65">
        <v>90000</v>
      </c>
      <c r="W56" s="66">
        <v>60000</v>
      </c>
      <c r="X56" s="66">
        <v>0</v>
      </c>
      <c r="Y56" s="66">
        <v>30000</v>
      </c>
      <c r="Z56" s="66">
        <v>60000</v>
      </c>
      <c r="AA56" s="66">
        <v>60000</v>
      </c>
      <c r="AB56" s="94">
        <v>60000</v>
      </c>
      <c r="AC56" s="13">
        <v>60000</v>
      </c>
      <c r="AD56" s="14">
        <f t="shared" si="1"/>
        <v>420000</v>
      </c>
      <c r="AE56" s="13">
        <v>30000</v>
      </c>
      <c r="AF56" s="14">
        <f t="shared" si="2"/>
        <v>30000</v>
      </c>
      <c r="AG56" s="14"/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EB49-6307-45C0-8A32-9A77FA6FB4C0}">
  <sheetPr>
    <pageSetUpPr fitToPage="1"/>
  </sheetPr>
  <dimension ref="A1:N5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2" style="2" customWidth="1"/>
    <col min="15" max="239" width="9" style="2"/>
    <col min="240" max="240" width="2.375" style="2" customWidth="1"/>
    <col min="241" max="241" width="13.25" style="2" bestFit="1" customWidth="1"/>
    <col min="242" max="243" width="11.125" style="2" bestFit="1" customWidth="1"/>
    <col min="244" max="244" width="13.25" style="2" bestFit="1" customWidth="1"/>
    <col min="245" max="245" width="11.125" style="2" bestFit="1" customWidth="1"/>
    <col min="246" max="246" width="9" style="2"/>
    <col min="247" max="247" width="11.125" style="2" bestFit="1" customWidth="1"/>
    <col min="248" max="248" width="9" style="2"/>
    <col min="249" max="260" width="11.125" style="2" bestFit="1" customWidth="1"/>
    <col min="261" max="261" width="9" style="2"/>
    <col min="262" max="268" width="11.125" style="2" bestFit="1" customWidth="1"/>
    <col min="269" max="269" width="9.625" style="2" bestFit="1" customWidth="1"/>
    <col min="270" max="495" width="9" style="2"/>
    <col min="496" max="496" width="2.375" style="2" customWidth="1"/>
    <col min="497" max="497" width="13.25" style="2" bestFit="1" customWidth="1"/>
    <col min="498" max="499" width="11.125" style="2" bestFit="1" customWidth="1"/>
    <col min="500" max="500" width="13.25" style="2" bestFit="1" customWidth="1"/>
    <col min="501" max="501" width="11.125" style="2" bestFit="1" customWidth="1"/>
    <col min="502" max="502" width="9" style="2"/>
    <col min="503" max="503" width="11.125" style="2" bestFit="1" customWidth="1"/>
    <col min="504" max="504" width="9" style="2"/>
    <col min="505" max="516" width="11.125" style="2" bestFit="1" customWidth="1"/>
    <col min="517" max="517" width="9" style="2"/>
    <col min="518" max="524" width="11.125" style="2" bestFit="1" customWidth="1"/>
    <col min="525" max="525" width="9.625" style="2" bestFit="1" customWidth="1"/>
    <col min="526" max="751" width="9" style="2"/>
    <col min="752" max="752" width="2.375" style="2" customWidth="1"/>
    <col min="753" max="753" width="13.25" style="2" bestFit="1" customWidth="1"/>
    <col min="754" max="755" width="11.125" style="2" bestFit="1" customWidth="1"/>
    <col min="756" max="756" width="13.25" style="2" bestFit="1" customWidth="1"/>
    <col min="757" max="757" width="11.125" style="2" bestFit="1" customWidth="1"/>
    <col min="758" max="758" width="9" style="2"/>
    <col min="759" max="759" width="11.125" style="2" bestFit="1" customWidth="1"/>
    <col min="760" max="760" width="9" style="2"/>
    <col min="761" max="772" width="11.125" style="2" bestFit="1" customWidth="1"/>
    <col min="773" max="773" width="9" style="2"/>
    <col min="774" max="780" width="11.125" style="2" bestFit="1" customWidth="1"/>
    <col min="781" max="781" width="9.625" style="2" bestFit="1" customWidth="1"/>
    <col min="782" max="1007" width="9" style="2"/>
    <col min="1008" max="1008" width="2.375" style="2" customWidth="1"/>
    <col min="1009" max="1009" width="13.25" style="2" bestFit="1" customWidth="1"/>
    <col min="1010" max="1011" width="11.125" style="2" bestFit="1" customWidth="1"/>
    <col min="1012" max="1012" width="13.25" style="2" bestFit="1" customWidth="1"/>
    <col min="1013" max="1013" width="11.125" style="2" bestFit="1" customWidth="1"/>
    <col min="1014" max="1014" width="9" style="2"/>
    <col min="1015" max="1015" width="11.125" style="2" bestFit="1" customWidth="1"/>
    <col min="1016" max="1016" width="9" style="2"/>
    <col min="1017" max="1028" width="11.125" style="2" bestFit="1" customWidth="1"/>
    <col min="1029" max="1029" width="9" style="2"/>
    <col min="1030" max="1036" width="11.125" style="2" bestFit="1" customWidth="1"/>
    <col min="1037" max="1037" width="9.625" style="2" bestFit="1" customWidth="1"/>
    <col min="1038" max="1263" width="9" style="2"/>
    <col min="1264" max="1264" width="2.375" style="2" customWidth="1"/>
    <col min="1265" max="1265" width="13.25" style="2" bestFit="1" customWidth="1"/>
    <col min="1266" max="1267" width="11.125" style="2" bestFit="1" customWidth="1"/>
    <col min="1268" max="1268" width="13.25" style="2" bestFit="1" customWidth="1"/>
    <col min="1269" max="1269" width="11.125" style="2" bestFit="1" customWidth="1"/>
    <col min="1270" max="1270" width="9" style="2"/>
    <col min="1271" max="1271" width="11.125" style="2" bestFit="1" customWidth="1"/>
    <col min="1272" max="1272" width="9" style="2"/>
    <col min="1273" max="1284" width="11.125" style="2" bestFit="1" customWidth="1"/>
    <col min="1285" max="1285" width="9" style="2"/>
    <col min="1286" max="1292" width="11.125" style="2" bestFit="1" customWidth="1"/>
    <col min="1293" max="1293" width="9.625" style="2" bestFit="1" customWidth="1"/>
    <col min="1294" max="1519" width="9" style="2"/>
    <col min="1520" max="1520" width="2.375" style="2" customWidth="1"/>
    <col min="1521" max="1521" width="13.25" style="2" bestFit="1" customWidth="1"/>
    <col min="1522" max="1523" width="11.125" style="2" bestFit="1" customWidth="1"/>
    <col min="1524" max="1524" width="13.25" style="2" bestFit="1" customWidth="1"/>
    <col min="1525" max="1525" width="11.125" style="2" bestFit="1" customWidth="1"/>
    <col min="1526" max="1526" width="9" style="2"/>
    <col min="1527" max="1527" width="11.125" style="2" bestFit="1" customWidth="1"/>
    <col min="1528" max="1528" width="9" style="2"/>
    <col min="1529" max="1540" width="11.125" style="2" bestFit="1" customWidth="1"/>
    <col min="1541" max="1541" width="9" style="2"/>
    <col min="1542" max="1548" width="11.125" style="2" bestFit="1" customWidth="1"/>
    <col min="1549" max="1549" width="9.625" style="2" bestFit="1" customWidth="1"/>
    <col min="1550" max="1775" width="9" style="2"/>
    <col min="1776" max="1776" width="2.375" style="2" customWidth="1"/>
    <col min="1777" max="1777" width="13.25" style="2" bestFit="1" customWidth="1"/>
    <col min="1778" max="1779" width="11.125" style="2" bestFit="1" customWidth="1"/>
    <col min="1780" max="1780" width="13.25" style="2" bestFit="1" customWidth="1"/>
    <col min="1781" max="1781" width="11.125" style="2" bestFit="1" customWidth="1"/>
    <col min="1782" max="1782" width="9" style="2"/>
    <col min="1783" max="1783" width="11.125" style="2" bestFit="1" customWidth="1"/>
    <col min="1784" max="1784" width="9" style="2"/>
    <col min="1785" max="1796" width="11.125" style="2" bestFit="1" customWidth="1"/>
    <col min="1797" max="1797" width="9" style="2"/>
    <col min="1798" max="1804" width="11.125" style="2" bestFit="1" customWidth="1"/>
    <col min="1805" max="1805" width="9.625" style="2" bestFit="1" customWidth="1"/>
    <col min="1806" max="2031" width="9" style="2"/>
    <col min="2032" max="2032" width="2.375" style="2" customWidth="1"/>
    <col min="2033" max="2033" width="13.25" style="2" bestFit="1" customWidth="1"/>
    <col min="2034" max="2035" width="11.125" style="2" bestFit="1" customWidth="1"/>
    <col min="2036" max="2036" width="13.25" style="2" bestFit="1" customWidth="1"/>
    <col min="2037" max="2037" width="11.125" style="2" bestFit="1" customWidth="1"/>
    <col min="2038" max="2038" width="9" style="2"/>
    <col min="2039" max="2039" width="11.125" style="2" bestFit="1" customWidth="1"/>
    <col min="2040" max="2040" width="9" style="2"/>
    <col min="2041" max="2052" width="11.125" style="2" bestFit="1" customWidth="1"/>
    <col min="2053" max="2053" width="9" style="2"/>
    <col min="2054" max="2060" width="11.125" style="2" bestFit="1" customWidth="1"/>
    <col min="2061" max="2061" width="9.625" style="2" bestFit="1" customWidth="1"/>
    <col min="2062" max="2287" width="9" style="2"/>
    <col min="2288" max="2288" width="2.375" style="2" customWidth="1"/>
    <col min="2289" max="2289" width="13.25" style="2" bestFit="1" customWidth="1"/>
    <col min="2290" max="2291" width="11.125" style="2" bestFit="1" customWidth="1"/>
    <col min="2292" max="2292" width="13.25" style="2" bestFit="1" customWidth="1"/>
    <col min="2293" max="2293" width="11.125" style="2" bestFit="1" customWidth="1"/>
    <col min="2294" max="2294" width="9" style="2"/>
    <col min="2295" max="2295" width="11.125" style="2" bestFit="1" customWidth="1"/>
    <col min="2296" max="2296" width="9" style="2"/>
    <col min="2297" max="2308" width="11.125" style="2" bestFit="1" customWidth="1"/>
    <col min="2309" max="2309" width="9" style="2"/>
    <col min="2310" max="2316" width="11.125" style="2" bestFit="1" customWidth="1"/>
    <col min="2317" max="2317" width="9.625" style="2" bestFit="1" customWidth="1"/>
    <col min="2318" max="2543" width="9" style="2"/>
    <col min="2544" max="2544" width="2.375" style="2" customWidth="1"/>
    <col min="2545" max="2545" width="13.25" style="2" bestFit="1" customWidth="1"/>
    <col min="2546" max="2547" width="11.125" style="2" bestFit="1" customWidth="1"/>
    <col min="2548" max="2548" width="13.25" style="2" bestFit="1" customWidth="1"/>
    <col min="2549" max="2549" width="11.125" style="2" bestFit="1" customWidth="1"/>
    <col min="2550" max="2550" width="9" style="2"/>
    <col min="2551" max="2551" width="11.125" style="2" bestFit="1" customWidth="1"/>
    <col min="2552" max="2552" width="9" style="2"/>
    <col min="2553" max="2564" width="11.125" style="2" bestFit="1" customWidth="1"/>
    <col min="2565" max="2565" width="9" style="2"/>
    <col min="2566" max="2572" width="11.125" style="2" bestFit="1" customWidth="1"/>
    <col min="2573" max="2573" width="9.625" style="2" bestFit="1" customWidth="1"/>
    <col min="2574" max="2799" width="9" style="2"/>
    <col min="2800" max="2800" width="2.375" style="2" customWidth="1"/>
    <col min="2801" max="2801" width="13.25" style="2" bestFit="1" customWidth="1"/>
    <col min="2802" max="2803" width="11.125" style="2" bestFit="1" customWidth="1"/>
    <col min="2804" max="2804" width="13.25" style="2" bestFit="1" customWidth="1"/>
    <col min="2805" max="2805" width="11.125" style="2" bestFit="1" customWidth="1"/>
    <col min="2806" max="2806" width="9" style="2"/>
    <col min="2807" max="2807" width="11.125" style="2" bestFit="1" customWidth="1"/>
    <col min="2808" max="2808" width="9" style="2"/>
    <col min="2809" max="2820" width="11.125" style="2" bestFit="1" customWidth="1"/>
    <col min="2821" max="2821" width="9" style="2"/>
    <col min="2822" max="2828" width="11.125" style="2" bestFit="1" customWidth="1"/>
    <col min="2829" max="2829" width="9.625" style="2" bestFit="1" customWidth="1"/>
    <col min="2830" max="3055" width="9" style="2"/>
    <col min="3056" max="3056" width="2.375" style="2" customWidth="1"/>
    <col min="3057" max="3057" width="13.25" style="2" bestFit="1" customWidth="1"/>
    <col min="3058" max="3059" width="11.125" style="2" bestFit="1" customWidth="1"/>
    <col min="3060" max="3060" width="13.25" style="2" bestFit="1" customWidth="1"/>
    <col min="3061" max="3061" width="11.125" style="2" bestFit="1" customWidth="1"/>
    <col min="3062" max="3062" width="9" style="2"/>
    <col min="3063" max="3063" width="11.125" style="2" bestFit="1" customWidth="1"/>
    <col min="3064" max="3064" width="9" style="2"/>
    <col min="3065" max="3076" width="11.125" style="2" bestFit="1" customWidth="1"/>
    <col min="3077" max="3077" width="9" style="2"/>
    <col min="3078" max="3084" width="11.125" style="2" bestFit="1" customWidth="1"/>
    <col min="3085" max="3085" width="9.625" style="2" bestFit="1" customWidth="1"/>
    <col min="3086" max="3311" width="9" style="2"/>
    <col min="3312" max="3312" width="2.375" style="2" customWidth="1"/>
    <col min="3313" max="3313" width="13.25" style="2" bestFit="1" customWidth="1"/>
    <col min="3314" max="3315" width="11.125" style="2" bestFit="1" customWidth="1"/>
    <col min="3316" max="3316" width="13.25" style="2" bestFit="1" customWidth="1"/>
    <col min="3317" max="3317" width="11.125" style="2" bestFit="1" customWidth="1"/>
    <col min="3318" max="3318" width="9" style="2"/>
    <col min="3319" max="3319" width="11.125" style="2" bestFit="1" customWidth="1"/>
    <col min="3320" max="3320" width="9" style="2"/>
    <col min="3321" max="3332" width="11.125" style="2" bestFit="1" customWidth="1"/>
    <col min="3333" max="3333" width="9" style="2"/>
    <col min="3334" max="3340" width="11.125" style="2" bestFit="1" customWidth="1"/>
    <col min="3341" max="3341" width="9.625" style="2" bestFit="1" customWidth="1"/>
    <col min="3342" max="3567" width="9" style="2"/>
    <col min="3568" max="3568" width="2.375" style="2" customWidth="1"/>
    <col min="3569" max="3569" width="13.25" style="2" bestFit="1" customWidth="1"/>
    <col min="3570" max="3571" width="11.125" style="2" bestFit="1" customWidth="1"/>
    <col min="3572" max="3572" width="13.25" style="2" bestFit="1" customWidth="1"/>
    <col min="3573" max="3573" width="11.125" style="2" bestFit="1" customWidth="1"/>
    <col min="3574" max="3574" width="9" style="2"/>
    <col min="3575" max="3575" width="11.125" style="2" bestFit="1" customWidth="1"/>
    <col min="3576" max="3576" width="9" style="2"/>
    <col min="3577" max="3588" width="11.125" style="2" bestFit="1" customWidth="1"/>
    <col min="3589" max="3589" width="9" style="2"/>
    <col min="3590" max="3596" width="11.125" style="2" bestFit="1" customWidth="1"/>
    <col min="3597" max="3597" width="9.625" style="2" bestFit="1" customWidth="1"/>
    <col min="3598" max="3823" width="9" style="2"/>
    <col min="3824" max="3824" width="2.375" style="2" customWidth="1"/>
    <col min="3825" max="3825" width="13.25" style="2" bestFit="1" customWidth="1"/>
    <col min="3826" max="3827" width="11.125" style="2" bestFit="1" customWidth="1"/>
    <col min="3828" max="3828" width="13.25" style="2" bestFit="1" customWidth="1"/>
    <col min="3829" max="3829" width="11.125" style="2" bestFit="1" customWidth="1"/>
    <col min="3830" max="3830" width="9" style="2"/>
    <col min="3831" max="3831" width="11.125" style="2" bestFit="1" customWidth="1"/>
    <col min="3832" max="3832" width="9" style="2"/>
    <col min="3833" max="3844" width="11.125" style="2" bestFit="1" customWidth="1"/>
    <col min="3845" max="3845" width="9" style="2"/>
    <col min="3846" max="3852" width="11.125" style="2" bestFit="1" customWidth="1"/>
    <col min="3853" max="3853" width="9.625" style="2" bestFit="1" customWidth="1"/>
    <col min="3854" max="4079" width="9" style="2"/>
    <col min="4080" max="4080" width="2.375" style="2" customWidth="1"/>
    <col min="4081" max="4081" width="13.25" style="2" bestFit="1" customWidth="1"/>
    <col min="4082" max="4083" width="11.125" style="2" bestFit="1" customWidth="1"/>
    <col min="4084" max="4084" width="13.25" style="2" bestFit="1" customWidth="1"/>
    <col min="4085" max="4085" width="11.125" style="2" bestFit="1" customWidth="1"/>
    <col min="4086" max="4086" width="9" style="2"/>
    <col min="4087" max="4087" width="11.125" style="2" bestFit="1" customWidth="1"/>
    <col min="4088" max="4088" width="9" style="2"/>
    <col min="4089" max="4100" width="11.125" style="2" bestFit="1" customWidth="1"/>
    <col min="4101" max="4101" width="9" style="2"/>
    <col min="4102" max="4108" width="11.125" style="2" bestFit="1" customWidth="1"/>
    <col min="4109" max="4109" width="9.625" style="2" bestFit="1" customWidth="1"/>
    <col min="4110" max="4335" width="9" style="2"/>
    <col min="4336" max="4336" width="2.375" style="2" customWidth="1"/>
    <col min="4337" max="4337" width="13.25" style="2" bestFit="1" customWidth="1"/>
    <col min="4338" max="4339" width="11.125" style="2" bestFit="1" customWidth="1"/>
    <col min="4340" max="4340" width="13.25" style="2" bestFit="1" customWidth="1"/>
    <col min="4341" max="4341" width="11.125" style="2" bestFit="1" customWidth="1"/>
    <col min="4342" max="4342" width="9" style="2"/>
    <col min="4343" max="4343" width="11.125" style="2" bestFit="1" customWidth="1"/>
    <col min="4344" max="4344" width="9" style="2"/>
    <col min="4345" max="4356" width="11.125" style="2" bestFit="1" customWidth="1"/>
    <col min="4357" max="4357" width="9" style="2"/>
    <col min="4358" max="4364" width="11.125" style="2" bestFit="1" customWidth="1"/>
    <col min="4365" max="4365" width="9.625" style="2" bestFit="1" customWidth="1"/>
    <col min="4366" max="4591" width="9" style="2"/>
    <col min="4592" max="4592" width="2.375" style="2" customWidth="1"/>
    <col min="4593" max="4593" width="13.25" style="2" bestFit="1" customWidth="1"/>
    <col min="4594" max="4595" width="11.125" style="2" bestFit="1" customWidth="1"/>
    <col min="4596" max="4596" width="13.25" style="2" bestFit="1" customWidth="1"/>
    <col min="4597" max="4597" width="11.125" style="2" bestFit="1" customWidth="1"/>
    <col min="4598" max="4598" width="9" style="2"/>
    <col min="4599" max="4599" width="11.125" style="2" bestFit="1" customWidth="1"/>
    <col min="4600" max="4600" width="9" style="2"/>
    <col min="4601" max="4612" width="11.125" style="2" bestFit="1" customWidth="1"/>
    <col min="4613" max="4613" width="9" style="2"/>
    <col min="4614" max="4620" width="11.125" style="2" bestFit="1" customWidth="1"/>
    <col min="4621" max="4621" width="9.625" style="2" bestFit="1" customWidth="1"/>
    <col min="4622" max="4847" width="9" style="2"/>
    <col min="4848" max="4848" width="2.375" style="2" customWidth="1"/>
    <col min="4849" max="4849" width="13.25" style="2" bestFit="1" customWidth="1"/>
    <col min="4850" max="4851" width="11.125" style="2" bestFit="1" customWidth="1"/>
    <col min="4852" max="4852" width="13.25" style="2" bestFit="1" customWidth="1"/>
    <col min="4853" max="4853" width="11.125" style="2" bestFit="1" customWidth="1"/>
    <col min="4854" max="4854" width="9" style="2"/>
    <col min="4855" max="4855" width="11.125" style="2" bestFit="1" customWidth="1"/>
    <col min="4856" max="4856" width="9" style="2"/>
    <col min="4857" max="4868" width="11.125" style="2" bestFit="1" customWidth="1"/>
    <col min="4869" max="4869" width="9" style="2"/>
    <col min="4870" max="4876" width="11.125" style="2" bestFit="1" customWidth="1"/>
    <col min="4877" max="4877" width="9.625" style="2" bestFit="1" customWidth="1"/>
    <col min="4878" max="5103" width="9" style="2"/>
    <col min="5104" max="5104" width="2.375" style="2" customWidth="1"/>
    <col min="5105" max="5105" width="13.25" style="2" bestFit="1" customWidth="1"/>
    <col min="5106" max="5107" width="11.125" style="2" bestFit="1" customWidth="1"/>
    <col min="5108" max="5108" width="13.25" style="2" bestFit="1" customWidth="1"/>
    <col min="5109" max="5109" width="11.125" style="2" bestFit="1" customWidth="1"/>
    <col min="5110" max="5110" width="9" style="2"/>
    <col min="5111" max="5111" width="11.125" style="2" bestFit="1" customWidth="1"/>
    <col min="5112" max="5112" width="9" style="2"/>
    <col min="5113" max="5124" width="11.125" style="2" bestFit="1" customWidth="1"/>
    <col min="5125" max="5125" width="9" style="2"/>
    <col min="5126" max="5132" width="11.125" style="2" bestFit="1" customWidth="1"/>
    <col min="5133" max="5133" width="9.625" style="2" bestFit="1" customWidth="1"/>
    <col min="5134" max="5359" width="9" style="2"/>
    <col min="5360" max="5360" width="2.375" style="2" customWidth="1"/>
    <col min="5361" max="5361" width="13.25" style="2" bestFit="1" customWidth="1"/>
    <col min="5362" max="5363" width="11.125" style="2" bestFit="1" customWidth="1"/>
    <col min="5364" max="5364" width="13.25" style="2" bestFit="1" customWidth="1"/>
    <col min="5365" max="5365" width="11.125" style="2" bestFit="1" customWidth="1"/>
    <col min="5366" max="5366" width="9" style="2"/>
    <col min="5367" max="5367" width="11.125" style="2" bestFit="1" customWidth="1"/>
    <col min="5368" max="5368" width="9" style="2"/>
    <col min="5369" max="5380" width="11.125" style="2" bestFit="1" customWidth="1"/>
    <col min="5381" max="5381" width="9" style="2"/>
    <col min="5382" max="5388" width="11.125" style="2" bestFit="1" customWidth="1"/>
    <col min="5389" max="5389" width="9.625" style="2" bestFit="1" customWidth="1"/>
    <col min="5390" max="5615" width="9" style="2"/>
    <col min="5616" max="5616" width="2.375" style="2" customWidth="1"/>
    <col min="5617" max="5617" width="13.25" style="2" bestFit="1" customWidth="1"/>
    <col min="5618" max="5619" width="11.125" style="2" bestFit="1" customWidth="1"/>
    <col min="5620" max="5620" width="13.25" style="2" bestFit="1" customWidth="1"/>
    <col min="5621" max="5621" width="11.125" style="2" bestFit="1" customWidth="1"/>
    <col min="5622" max="5622" width="9" style="2"/>
    <col min="5623" max="5623" width="11.125" style="2" bestFit="1" customWidth="1"/>
    <col min="5624" max="5624" width="9" style="2"/>
    <col min="5625" max="5636" width="11.125" style="2" bestFit="1" customWidth="1"/>
    <col min="5637" max="5637" width="9" style="2"/>
    <col min="5638" max="5644" width="11.125" style="2" bestFit="1" customWidth="1"/>
    <col min="5645" max="5645" width="9.625" style="2" bestFit="1" customWidth="1"/>
    <col min="5646" max="5871" width="9" style="2"/>
    <col min="5872" max="5872" width="2.375" style="2" customWidth="1"/>
    <col min="5873" max="5873" width="13.25" style="2" bestFit="1" customWidth="1"/>
    <col min="5874" max="5875" width="11.125" style="2" bestFit="1" customWidth="1"/>
    <col min="5876" max="5876" width="13.25" style="2" bestFit="1" customWidth="1"/>
    <col min="5877" max="5877" width="11.125" style="2" bestFit="1" customWidth="1"/>
    <col min="5878" max="5878" width="9" style="2"/>
    <col min="5879" max="5879" width="11.125" style="2" bestFit="1" customWidth="1"/>
    <col min="5880" max="5880" width="9" style="2"/>
    <col min="5881" max="5892" width="11.125" style="2" bestFit="1" customWidth="1"/>
    <col min="5893" max="5893" width="9" style="2"/>
    <col min="5894" max="5900" width="11.125" style="2" bestFit="1" customWidth="1"/>
    <col min="5901" max="5901" width="9.625" style="2" bestFit="1" customWidth="1"/>
    <col min="5902" max="6127" width="9" style="2"/>
    <col min="6128" max="6128" width="2.375" style="2" customWidth="1"/>
    <col min="6129" max="6129" width="13.25" style="2" bestFit="1" customWidth="1"/>
    <col min="6130" max="6131" width="11.125" style="2" bestFit="1" customWidth="1"/>
    <col min="6132" max="6132" width="13.25" style="2" bestFit="1" customWidth="1"/>
    <col min="6133" max="6133" width="11.125" style="2" bestFit="1" customWidth="1"/>
    <col min="6134" max="6134" width="9" style="2"/>
    <col min="6135" max="6135" width="11.125" style="2" bestFit="1" customWidth="1"/>
    <col min="6136" max="6136" width="9" style="2"/>
    <col min="6137" max="6148" width="11.125" style="2" bestFit="1" customWidth="1"/>
    <col min="6149" max="6149" width="9" style="2"/>
    <col min="6150" max="6156" width="11.125" style="2" bestFit="1" customWidth="1"/>
    <col min="6157" max="6157" width="9.625" style="2" bestFit="1" customWidth="1"/>
    <col min="6158" max="6383" width="9" style="2"/>
    <col min="6384" max="6384" width="2.375" style="2" customWidth="1"/>
    <col min="6385" max="6385" width="13.25" style="2" bestFit="1" customWidth="1"/>
    <col min="6386" max="6387" width="11.125" style="2" bestFit="1" customWidth="1"/>
    <col min="6388" max="6388" width="13.25" style="2" bestFit="1" customWidth="1"/>
    <col min="6389" max="6389" width="11.125" style="2" bestFit="1" customWidth="1"/>
    <col min="6390" max="6390" width="9" style="2"/>
    <col min="6391" max="6391" width="11.125" style="2" bestFit="1" customWidth="1"/>
    <col min="6392" max="6392" width="9" style="2"/>
    <col min="6393" max="6404" width="11.125" style="2" bestFit="1" customWidth="1"/>
    <col min="6405" max="6405" width="9" style="2"/>
    <col min="6406" max="6412" width="11.125" style="2" bestFit="1" customWidth="1"/>
    <col min="6413" max="6413" width="9.625" style="2" bestFit="1" customWidth="1"/>
    <col min="6414" max="6639" width="9" style="2"/>
    <col min="6640" max="6640" width="2.375" style="2" customWidth="1"/>
    <col min="6641" max="6641" width="13.25" style="2" bestFit="1" customWidth="1"/>
    <col min="6642" max="6643" width="11.125" style="2" bestFit="1" customWidth="1"/>
    <col min="6644" max="6644" width="13.25" style="2" bestFit="1" customWidth="1"/>
    <col min="6645" max="6645" width="11.125" style="2" bestFit="1" customWidth="1"/>
    <col min="6646" max="6646" width="9" style="2"/>
    <col min="6647" max="6647" width="11.125" style="2" bestFit="1" customWidth="1"/>
    <col min="6648" max="6648" width="9" style="2"/>
    <col min="6649" max="6660" width="11.125" style="2" bestFit="1" customWidth="1"/>
    <col min="6661" max="6661" width="9" style="2"/>
    <col min="6662" max="6668" width="11.125" style="2" bestFit="1" customWidth="1"/>
    <col min="6669" max="6669" width="9.625" style="2" bestFit="1" customWidth="1"/>
    <col min="6670" max="6895" width="9" style="2"/>
    <col min="6896" max="6896" width="2.375" style="2" customWidth="1"/>
    <col min="6897" max="6897" width="13.25" style="2" bestFit="1" customWidth="1"/>
    <col min="6898" max="6899" width="11.125" style="2" bestFit="1" customWidth="1"/>
    <col min="6900" max="6900" width="13.25" style="2" bestFit="1" customWidth="1"/>
    <col min="6901" max="6901" width="11.125" style="2" bestFit="1" customWidth="1"/>
    <col min="6902" max="6902" width="9" style="2"/>
    <col min="6903" max="6903" width="11.125" style="2" bestFit="1" customWidth="1"/>
    <col min="6904" max="6904" width="9" style="2"/>
    <col min="6905" max="6916" width="11.125" style="2" bestFit="1" customWidth="1"/>
    <col min="6917" max="6917" width="9" style="2"/>
    <col min="6918" max="6924" width="11.125" style="2" bestFit="1" customWidth="1"/>
    <col min="6925" max="6925" width="9.625" style="2" bestFit="1" customWidth="1"/>
    <col min="6926" max="7151" width="9" style="2"/>
    <col min="7152" max="7152" width="2.375" style="2" customWidth="1"/>
    <col min="7153" max="7153" width="13.25" style="2" bestFit="1" customWidth="1"/>
    <col min="7154" max="7155" width="11.125" style="2" bestFit="1" customWidth="1"/>
    <col min="7156" max="7156" width="13.25" style="2" bestFit="1" customWidth="1"/>
    <col min="7157" max="7157" width="11.125" style="2" bestFit="1" customWidth="1"/>
    <col min="7158" max="7158" width="9" style="2"/>
    <col min="7159" max="7159" width="11.125" style="2" bestFit="1" customWidth="1"/>
    <col min="7160" max="7160" width="9" style="2"/>
    <col min="7161" max="7172" width="11.125" style="2" bestFit="1" customWidth="1"/>
    <col min="7173" max="7173" width="9" style="2"/>
    <col min="7174" max="7180" width="11.125" style="2" bestFit="1" customWidth="1"/>
    <col min="7181" max="7181" width="9.625" style="2" bestFit="1" customWidth="1"/>
    <col min="7182" max="7407" width="9" style="2"/>
    <col min="7408" max="7408" width="2.375" style="2" customWidth="1"/>
    <col min="7409" max="7409" width="13.25" style="2" bestFit="1" customWidth="1"/>
    <col min="7410" max="7411" width="11.125" style="2" bestFit="1" customWidth="1"/>
    <col min="7412" max="7412" width="13.25" style="2" bestFit="1" customWidth="1"/>
    <col min="7413" max="7413" width="11.125" style="2" bestFit="1" customWidth="1"/>
    <col min="7414" max="7414" width="9" style="2"/>
    <col min="7415" max="7415" width="11.125" style="2" bestFit="1" customWidth="1"/>
    <col min="7416" max="7416" width="9" style="2"/>
    <col min="7417" max="7428" width="11.125" style="2" bestFit="1" customWidth="1"/>
    <col min="7429" max="7429" width="9" style="2"/>
    <col min="7430" max="7436" width="11.125" style="2" bestFit="1" customWidth="1"/>
    <col min="7437" max="7437" width="9.625" style="2" bestFit="1" customWidth="1"/>
    <col min="7438" max="7663" width="9" style="2"/>
    <col min="7664" max="7664" width="2.375" style="2" customWidth="1"/>
    <col min="7665" max="7665" width="13.25" style="2" bestFit="1" customWidth="1"/>
    <col min="7666" max="7667" width="11.125" style="2" bestFit="1" customWidth="1"/>
    <col min="7668" max="7668" width="13.25" style="2" bestFit="1" customWidth="1"/>
    <col min="7669" max="7669" width="11.125" style="2" bestFit="1" customWidth="1"/>
    <col min="7670" max="7670" width="9" style="2"/>
    <col min="7671" max="7671" width="11.125" style="2" bestFit="1" customWidth="1"/>
    <col min="7672" max="7672" width="9" style="2"/>
    <col min="7673" max="7684" width="11.125" style="2" bestFit="1" customWidth="1"/>
    <col min="7685" max="7685" width="9" style="2"/>
    <col min="7686" max="7692" width="11.125" style="2" bestFit="1" customWidth="1"/>
    <col min="7693" max="7693" width="9.625" style="2" bestFit="1" customWidth="1"/>
    <col min="7694" max="7919" width="9" style="2"/>
    <col min="7920" max="7920" width="2.375" style="2" customWidth="1"/>
    <col min="7921" max="7921" width="13.25" style="2" bestFit="1" customWidth="1"/>
    <col min="7922" max="7923" width="11.125" style="2" bestFit="1" customWidth="1"/>
    <col min="7924" max="7924" width="13.25" style="2" bestFit="1" customWidth="1"/>
    <col min="7925" max="7925" width="11.125" style="2" bestFit="1" customWidth="1"/>
    <col min="7926" max="7926" width="9" style="2"/>
    <col min="7927" max="7927" width="11.125" style="2" bestFit="1" customWidth="1"/>
    <col min="7928" max="7928" width="9" style="2"/>
    <col min="7929" max="7940" width="11.125" style="2" bestFit="1" customWidth="1"/>
    <col min="7941" max="7941" width="9" style="2"/>
    <col min="7942" max="7948" width="11.125" style="2" bestFit="1" customWidth="1"/>
    <col min="7949" max="7949" width="9.625" style="2" bestFit="1" customWidth="1"/>
    <col min="7950" max="8175" width="9" style="2"/>
    <col min="8176" max="8176" width="2.375" style="2" customWidth="1"/>
    <col min="8177" max="8177" width="13.25" style="2" bestFit="1" customWidth="1"/>
    <col min="8178" max="8179" width="11.125" style="2" bestFit="1" customWidth="1"/>
    <col min="8180" max="8180" width="13.25" style="2" bestFit="1" customWidth="1"/>
    <col min="8181" max="8181" width="11.125" style="2" bestFit="1" customWidth="1"/>
    <col min="8182" max="8182" width="9" style="2"/>
    <col min="8183" max="8183" width="11.125" style="2" bestFit="1" customWidth="1"/>
    <col min="8184" max="8184" width="9" style="2"/>
    <col min="8185" max="8196" width="11.125" style="2" bestFit="1" customWidth="1"/>
    <col min="8197" max="8197" width="9" style="2"/>
    <col min="8198" max="8204" width="11.125" style="2" bestFit="1" customWidth="1"/>
    <col min="8205" max="8205" width="9.625" style="2" bestFit="1" customWidth="1"/>
    <col min="8206" max="8431" width="9" style="2"/>
    <col min="8432" max="8432" width="2.375" style="2" customWidth="1"/>
    <col min="8433" max="8433" width="13.25" style="2" bestFit="1" customWidth="1"/>
    <col min="8434" max="8435" width="11.125" style="2" bestFit="1" customWidth="1"/>
    <col min="8436" max="8436" width="13.25" style="2" bestFit="1" customWidth="1"/>
    <col min="8437" max="8437" width="11.125" style="2" bestFit="1" customWidth="1"/>
    <col min="8438" max="8438" width="9" style="2"/>
    <col min="8439" max="8439" width="11.125" style="2" bestFit="1" customWidth="1"/>
    <col min="8440" max="8440" width="9" style="2"/>
    <col min="8441" max="8452" width="11.125" style="2" bestFit="1" customWidth="1"/>
    <col min="8453" max="8453" width="9" style="2"/>
    <col min="8454" max="8460" width="11.125" style="2" bestFit="1" customWidth="1"/>
    <col min="8461" max="8461" width="9.625" style="2" bestFit="1" customWidth="1"/>
    <col min="8462" max="8687" width="9" style="2"/>
    <col min="8688" max="8688" width="2.375" style="2" customWidth="1"/>
    <col min="8689" max="8689" width="13.25" style="2" bestFit="1" customWidth="1"/>
    <col min="8690" max="8691" width="11.125" style="2" bestFit="1" customWidth="1"/>
    <col min="8692" max="8692" width="13.25" style="2" bestFit="1" customWidth="1"/>
    <col min="8693" max="8693" width="11.125" style="2" bestFit="1" customWidth="1"/>
    <col min="8694" max="8694" width="9" style="2"/>
    <col min="8695" max="8695" width="11.125" style="2" bestFit="1" customWidth="1"/>
    <col min="8696" max="8696" width="9" style="2"/>
    <col min="8697" max="8708" width="11.125" style="2" bestFit="1" customWidth="1"/>
    <col min="8709" max="8709" width="9" style="2"/>
    <col min="8710" max="8716" width="11.125" style="2" bestFit="1" customWidth="1"/>
    <col min="8717" max="8717" width="9.625" style="2" bestFit="1" customWidth="1"/>
    <col min="8718" max="8943" width="9" style="2"/>
    <col min="8944" max="8944" width="2.375" style="2" customWidth="1"/>
    <col min="8945" max="8945" width="13.25" style="2" bestFit="1" customWidth="1"/>
    <col min="8946" max="8947" width="11.125" style="2" bestFit="1" customWidth="1"/>
    <col min="8948" max="8948" width="13.25" style="2" bestFit="1" customWidth="1"/>
    <col min="8949" max="8949" width="11.125" style="2" bestFit="1" customWidth="1"/>
    <col min="8950" max="8950" width="9" style="2"/>
    <col min="8951" max="8951" width="11.125" style="2" bestFit="1" customWidth="1"/>
    <col min="8952" max="8952" width="9" style="2"/>
    <col min="8953" max="8964" width="11.125" style="2" bestFit="1" customWidth="1"/>
    <col min="8965" max="8965" width="9" style="2"/>
    <col min="8966" max="8972" width="11.125" style="2" bestFit="1" customWidth="1"/>
    <col min="8973" max="8973" width="9.625" style="2" bestFit="1" customWidth="1"/>
    <col min="8974" max="9199" width="9" style="2"/>
    <col min="9200" max="9200" width="2.375" style="2" customWidth="1"/>
    <col min="9201" max="9201" width="13.25" style="2" bestFit="1" customWidth="1"/>
    <col min="9202" max="9203" width="11.125" style="2" bestFit="1" customWidth="1"/>
    <col min="9204" max="9204" width="13.25" style="2" bestFit="1" customWidth="1"/>
    <col min="9205" max="9205" width="11.125" style="2" bestFit="1" customWidth="1"/>
    <col min="9206" max="9206" width="9" style="2"/>
    <col min="9207" max="9207" width="11.125" style="2" bestFit="1" customWidth="1"/>
    <col min="9208" max="9208" width="9" style="2"/>
    <col min="9209" max="9220" width="11.125" style="2" bestFit="1" customWidth="1"/>
    <col min="9221" max="9221" width="9" style="2"/>
    <col min="9222" max="9228" width="11.125" style="2" bestFit="1" customWidth="1"/>
    <col min="9229" max="9229" width="9.625" style="2" bestFit="1" customWidth="1"/>
    <col min="9230" max="9455" width="9" style="2"/>
    <col min="9456" max="9456" width="2.375" style="2" customWidth="1"/>
    <col min="9457" max="9457" width="13.25" style="2" bestFit="1" customWidth="1"/>
    <col min="9458" max="9459" width="11.125" style="2" bestFit="1" customWidth="1"/>
    <col min="9460" max="9460" width="13.25" style="2" bestFit="1" customWidth="1"/>
    <col min="9461" max="9461" width="11.125" style="2" bestFit="1" customWidth="1"/>
    <col min="9462" max="9462" width="9" style="2"/>
    <col min="9463" max="9463" width="11.125" style="2" bestFit="1" customWidth="1"/>
    <col min="9464" max="9464" width="9" style="2"/>
    <col min="9465" max="9476" width="11.125" style="2" bestFit="1" customWidth="1"/>
    <col min="9477" max="9477" width="9" style="2"/>
    <col min="9478" max="9484" width="11.125" style="2" bestFit="1" customWidth="1"/>
    <col min="9485" max="9485" width="9.625" style="2" bestFit="1" customWidth="1"/>
    <col min="9486" max="9711" width="9" style="2"/>
    <col min="9712" max="9712" width="2.375" style="2" customWidth="1"/>
    <col min="9713" max="9713" width="13.25" style="2" bestFit="1" customWidth="1"/>
    <col min="9714" max="9715" width="11.125" style="2" bestFit="1" customWidth="1"/>
    <col min="9716" max="9716" width="13.25" style="2" bestFit="1" customWidth="1"/>
    <col min="9717" max="9717" width="11.125" style="2" bestFit="1" customWidth="1"/>
    <col min="9718" max="9718" width="9" style="2"/>
    <col min="9719" max="9719" width="11.125" style="2" bestFit="1" customWidth="1"/>
    <col min="9720" max="9720" width="9" style="2"/>
    <col min="9721" max="9732" width="11.125" style="2" bestFit="1" customWidth="1"/>
    <col min="9733" max="9733" width="9" style="2"/>
    <col min="9734" max="9740" width="11.125" style="2" bestFit="1" customWidth="1"/>
    <col min="9741" max="9741" width="9.625" style="2" bestFit="1" customWidth="1"/>
    <col min="9742" max="9967" width="9" style="2"/>
    <col min="9968" max="9968" width="2.375" style="2" customWidth="1"/>
    <col min="9969" max="9969" width="13.25" style="2" bestFit="1" customWidth="1"/>
    <col min="9970" max="9971" width="11.125" style="2" bestFit="1" customWidth="1"/>
    <col min="9972" max="9972" width="13.25" style="2" bestFit="1" customWidth="1"/>
    <col min="9973" max="9973" width="11.125" style="2" bestFit="1" customWidth="1"/>
    <col min="9974" max="9974" width="9" style="2"/>
    <col min="9975" max="9975" width="11.125" style="2" bestFit="1" customWidth="1"/>
    <col min="9976" max="9976" width="9" style="2"/>
    <col min="9977" max="9988" width="11.125" style="2" bestFit="1" customWidth="1"/>
    <col min="9989" max="9989" width="9" style="2"/>
    <col min="9990" max="9996" width="11.125" style="2" bestFit="1" customWidth="1"/>
    <col min="9997" max="9997" width="9.625" style="2" bestFit="1" customWidth="1"/>
    <col min="9998" max="10223" width="9" style="2"/>
    <col min="10224" max="10224" width="2.375" style="2" customWidth="1"/>
    <col min="10225" max="10225" width="13.25" style="2" bestFit="1" customWidth="1"/>
    <col min="10226" max="10227" width="11.125" style="2" bestFit="1" customWidth="1"/>
    <col min="10228" max="10228" width="13.25" style="2" bestFit="1" customWidth="1"/>
    <col min="10229" max="10229" width="11.125" style="2" bestFit="1" customWidth="1"/>
    <col min="10230" max="10230" width="9" style="2"/>
    <col min="10231" max="10231" width="11.125" style="2" bestFit="1" customWidth="1"/>
    <col min="10232" max="10232" width="9" style="2"/>
    <col min="10233" max="10244" width="11.125" style="2" bestFit="1" customWidth="1"/>
    <col min="10245" max="10245" width="9" style="2"/>
    <col min="10246" max="10252" width="11.125" style="2" bestFit="1" customWidth="1"/>
    <col min="10253" max="10253" width="9.625" style="2" bestFit="1" customWidth="1"/>
    <col min="10254" max="10479" width="9" style="2"/>
    <col min="10480" max="10480" width="2.375" style="2" customWidth="1"/>
    <col min="10481" max="10481" width="13.25" style="2" bestFit="1" customWidth="1"/>
    <col min="10482" max="10483" width="11.125" style="2" bestFit="1" customWidth="1"/>
    <col min="10484" max="10484" width="13.25" style="2" bestFit="1" customWidth="1"/>
    <col min="10485" max="10485" width="11.125" style="2" bestFit="1" customWidth="1"/>
    <col min="10486" max="10486" width="9" style="2"/>
    <col min="10487" max="10487" width="11.125" style="2" bestFit="1" customWidth="1"/>
    <col min="10488" max="10488" width="9" style="2"/>
    <col min="10489" max="10500" width="11.125" style="2" bestFit="1" customWidth="1"/>
    <col min="10501" max="10501" width="9" style="2"/>
    <col min="10502" max="10508" width="11.125" style="2" bestFit="1" customWidth="1"/>
    <col min="10509" max="10509" width="9.625" style="2" bestFit="1" customWidth="1"/>
    <col min="10510" max="10735" width="9" style="2"/>
    <col min="10736" max="10736" width="2.375" style="2" customWidth="1"/>
    <col min="10737" max="10737" width="13.25" style="2" bestFit="1" customWidth="1"/>
    <col min="10738" max="10739" width="11.125" style="2" bestFit="1" customWidth="1"/>
    <col min="10740" max="10740" width="13.25" style="2" bestFit="1" customWidth="1"/>
    <col min="10741" max="10741" width="11.125" style="2" bestFit="1" customWidth="1"/>
    <col min="10742" max="10742" width="9" style="2"/>
    <col min="10743" max="10743" width="11.125" style="2" bestFit="1" customWidth="1"/>
    <col min="10744" max="10744" width="9" style="2"/>
    <col min="10745" max="10756" width="11.125" style="2" bestFit="1" customWidth="1"/>
    <col min="10757" max="10757" width="9" style="2"/>
    <col min="10758" max="10764" width="11.125" style="2" bestFit="1" customWidth="1"/>
    <col min="10765" max="10765" width="9.625" style="2" bestFit="1" customWidth="1"/>
    <col min="10766" max="10991" width="9" style="2"/>
    <col min="10992" max="10992" width="2.375" style="2" customWidth="1"/>
    <col min="10993" max="10993" width="13.25" style="2" bestFit="1" customWidth="1"/>
    <col min="10994" max="10995" width="11.125" style="2" bestFit="1" customWidth="1"/>
    <col min="10996" max="10996" width="13.25" style="2" bestFit="1" customWidth="1"/>
    <col min="10997" max="10997" width="11.125" style="2" bestFit="1" customWidth="1"/>
    <col min="10998" max="10998" width="9" style="2"/>
    <col min="10999" max="10999" width="11.125" style="2" bestFit="1" customWidth="1"/>
    <col min="11000" max="11000" width="9" style="2"/>
    <col min="11001" max="11012" width="11.125" style="2" bestFit="1" customWidth="1"/>
    <col min="11013" max="11013" width="9" style="2"/>
    <col min="11014" max="11020" width="11.125" style="2" bestFit="1" customWidth="1"/>
    <col min="11021" max="11021" width="9.625" style="2" bestFit="1" customWidth="1"/>
    <col min="11022" max="11247" width="9" style="2"/>
    <col min="11248" max="11248" width="2.375" style="2" customWidth="1"/>
    <col min="11249" max="11249" width="13.25" style="2" bestFit="1" customWidth="1"/>
    <col min="11250" max="11251" width="11.125" style="2" bestFit="1" customWidth="1"/>
    <col min="11252" max="11252" width="13.25" style="2" bestFit="1" customWidth="1"/>
    <col min="11253" max="11253" width="11.125" style="2" bestFit="1" customWidth="1"/>
    <col min="11254" max="11254" width="9" style="2"/>
    <col min="11255" max="11255" width="11.125" style="2" bestFit="1" customWidth="1"/>
    <col min="11256" max="11256" width="9" style="2"/>
    <col min="11257" max="11268" width="11.125" style="2" bestFit="1" customWidth="1"/>
    <col min="11269" max="11269" width="9" style="2"/>
    <col min="11270" max="11276" width="11.125" style="2" bestFit="1" customWidth="1"/>
    <col min="11277" max="11277" width="9.625" style="2" bestFit="1" customWidth="1"/>
    <col min="11278" max="11503" width="9" style="2"/>
    <col min="11504" max="11504" width="2.375" style="2" customWidth="1"/>
    <col min="11505" max="11505" width="13.25" style="2" bestFit="1" customWidth="1"/>
    <col min="11506" max="11507" width="11.125" style="2" bestFit="1" customWidth="1"/>
    <col min="11508" max="11508" width="13.25" style="2" bestFit="1" customWidth="1"/>
    <col min="11509" max="11509" width="11.125" style="2" bestFit="1" customWidth="1"/>
    <col min="11510" max="11510" width="9" style="2"/>
    <col min="11511" max="11511" width="11.125" style="2" bestFit="1" customWidth="1"/>
    <col min="11512" max="11512" width="9" style="2"/>
    <col min="11513" max="11524" width="11.125" style="2" bestFit="1" customWidth="1"/>
    <col min="11525" max="11525" width="9" style="2"/>
    <col min="11526" max="11532" width="11.125" style="2" bestFit="1" customWidth="1"/>
    <col min="11533" max="11533" width="9.625" style="2" bestFit="1" customWidth="1"/>
    <col min="11534" max="11759" width="9" style="2"/>
    <col min="11760" max="11760" width="2.375" style="2" customWidth="1"/>
    <col min="11761" max="11761" width="13.25" style="2" bestFit="1" customWidth="1"/>
    <col min="11762" max="11763" width="11.125" style="2" bestFit="1" customWidth="1"/>
    <col min="11764" max="11764" width="13.25" style="2" bestFit="1" customWidth="1"/>
    <col min="11765" max="11765" width="11.125" style="2" bestFit="1" customWidth="1"/>
    <col min="11766" max="11766" width="9" style="2"/>
    <col min="11767" max="11767" width="11.125" style="2" bestFit="1" customWidth="1"/>
    <col min="11768" max="11768" width="9" style="2"/>
    <col min="11769" max="11780" width="11.125" style="2" bestFit="1" customWidth="1"/>
    <col min="11781" max="11781" width="9" style="2"/>
    <col min="11782" max="11788" width="11.125" style="2" bestFit="1" customWidth="1"/>
    <col min="11789" max="11789" width="9.625" style="2" bestFit="1" customWidth="1"/>
    <col min="11790" max="12015" width="9" style="2"/>
    <col min="12016" max="12016" width="2.375" style="2" customWidth="1"/>
    <col min="12017" max="12017" width="13.25" style="2" bestFit="1" customWidth="1"/>
    <col min="12018" max="12019" width="11.125" style="2" bestFit="1" customWidth="1"/>
    <col min="12020" max="12020" width="13.25" style="2" bestFit="1" customWidth="1"/>
    <col min="12021" max="12021" width="11.125" style="2" bestFit="1" customWidth="1"/>
    <col min="12022" max="12022" width="9" style="2"/>
    <col min="12023" max="12023" width="11.125" style="2" bestFit="1" customWidth="1"/>
    <col min="12024" max="12024" width="9" style="2"/>
    <col min="12025" max="12036" width="11.125" style="2" bestFit="1" customWidth="1"/>
    <col min="12037" max="12037" width="9" style="2"/>
    <col min="12038" max="12044" width="11.125" style="2" bestFit="1" customWidth="1"/>
    <col min="12045" max="12045" width="9.625" style="2" bestFit="1" customWidth="1"/>
    <col min="12046" max="12271" width="9" style="2"/>
    <col min="12272" max="12272" width="2.375" style="2" customWidth="1"/>
    <col min="12273" max="12273" width="13.25" style="2" bestFit="1" customWidth="1"/>
    <col min="12274" max="12275" width="11.125" style="2" bestFit="1" customWidth="1"/>
    <col min="12276" max="12276" width="13.25" style="2" bestFit="1" customWidth="1"/>
    <col min="12277" max="12277" width="11.125" style="2" bestFit="1" customWidth="1"/>
    <col min="12278" max="12278" width="9" style="2"/>
    <col min="12279" max="12279" width="11.125" style="2" bestFit="1" customWidth="1"/>
    <col min="12280" max="12280" width="9" style="2"/>
    <col min="12281" max="12292" width="11.125" style="2" bestFit="1" customWidth="1"/>
    <col min="12293" max="12293" width="9" style="2"/>
    <col min="12294" max="12300" width="11.125" style="2" bestFit="1" customWidth="1"/>
    <col min="12301" max="12301" width="9.625" style="2" bestFit="1" customWidth="1"/>
    <col min="12302" max="12527" width="9" style="2"/>
    <col min="12528" max="12528" width="2.375" style="2" customWidth="1"/>
    <col min="12529" max="12529" width="13.25" style="2" bestFit="1" customWidth="1"/>
    <col min="12530" max="12531" width="11.125" style="2" bestFit="1" customWidth="1"/>
    <col min="12532" max="12532" width="13.25" style="2" bestFit="1" customWidth="1"/>
    <col min="12533" max="12533" width="11.125" style="2" bestFit="1" customWidth="1"/>
    <col min="12534" max="12534" width="9" style="2"/>
    <col min="12535" max="12535" width="11.125" style="2" bestFit="1" customWidth="1"/>
    <col min="12536" max="12536" width="9" style="2"/>
    <col min="12537" max="12548" width="11.125" style="2" bestFit="1" customWidth="1"/>
    <col min="12549" max="12549" width="9" style="2"/>
    <col min="12550" max="12556" width="11.125" style="2" bestFit="1" customWidth="1"/>
    <col min="12557" max="12557" width="9.625" style="2" bestFit="1" customWidth="1"/>
    <col min="12558" max="12783" width="9" style="2"/>
    <col min="12784" max="12784" width="2.375" style="2" customWidth="1"/>
    <col min="12785" max="12785" width="13.25" style="2" bestFit="1" customWidth="1"/>
    <col min="12786" max="12787" width="11.125" style="2" bestFit="1" customWidth="1"/>
    <col min="12788" max="12788" width="13.25" style="2" bestFit="1" customWidth="1"/>
    <col min="12789" max="12789" width="11.125" style="2" bestFit="1" customWidth="1"/>
    <col min="12790" max="12790" width="9" style="2"/>
    <col min="12791" max="12791" width="11.125" style="2" bestFit="1" customWidth="1"/>
    <col min="12792" max="12792" width="9" style="2"/>
    <col min="12793" max="12804" width="11.125" style="2" bestFit="1" customWidth="1"/>
    <col min="12805" max="12805" width="9" style="2"/>
    <col min="12806" max="12812" width="11.125" style="2" bestFit="1" customWidth="1"/>
    <col min="12813" max="12813" width="9.625" style="2" bestFit="1" customWidth="1"/>
    <col min="12814" max="13039" width="9" style="2"/>
    <col min="13040" max="13040" width="2.375" style="2" customWidth="1"/>
    <col min="13041" max="13041" width="13.25" style="2" bestFit="1" customWidth="1"/>
    <col min="13042" max="13043" width="11.125" style="2" bestFit="1" customWidth="1"/>
    <col min="13044" max="13044" width="13.25" style="2" bestFit="1" customWidth="1"/>
    <col min="13045" max="13045" width="11.125" style="2" bestFit="1" customWidth="1"/>
    <col min="13046" max="13046" width="9" style="2"/>
    <col min="13047" max="13047" width="11.125" style="2" bestFit="1" customWidth="1"/>
    <col min="13048" max="13048" width="9" style="2"/>
    <col min="13049" max="13060" width="11.125" style="2" bestFit="1" customWidth="1"/>
    <col min="13061" max="13061" width="9" style="2"/>
    <col min="13062" max="13068" width="11.125" style="2" bestFit="1" customWidth="1"/>
    <col min="13069" max="13069" width="9.625" style="2" bestFit="1" customWidth="1"/>
    <col min="13070" max="13295" width="9" style="2"/>
    <col min="13296" max="13296" width="2.375" style="2" customWidth="1"/>
    <col min="13297" max="13297" width="13.25" style="2" bestFit="1" customWidth="1"/>
    <col min="13298" max="13299" width="11.125" style="2" bestFit="1" customWidth="1"/>
    <col min="13300" max="13300" width="13.25" style="2" bestFit="1" customWidth="1"/>
    <col min="13301" max="13301" width="11.125" style="2" bestFit="1" customWidth="1"/>
    <col min="13302" max="13302" width="9" style="2"/>
    <col min="13303" max="13303" width="11.125" style="2" bestFit="1" customWidth="1"/>
    <col min="13304" max="13304" width="9" style="2"/>
    <col min="13305" max="13316" width="11.125" style="2" bestFit="1" customWidth="1"/>
    <col min="13317" max="13317" width="9" style="2"/>
    <col min="13318" max="13324" width="11.125" style="2" bestFit="1" customWidth="1"/>
    <col min="13325" max="13325" width="9.625" style="2" bestFit="1" customWidth="1"/>
    <col min="13326" max="13551" width="9" style="2"/>
    <col min="13552" max="13552" width="2.375" style="2" customWidth="1"/>
    <col min="13553" max="13553" width="13.25" style="2" bestFit="1" customWidth="1"/>
    <col min="13554" max="13555" width="11.125" style="2" bestFit="1" customWidth="1"/>
    <col min="13556" max="13556" width="13.25" style="2" bestFit="1" customWidth="1"/>
    <col min="13557" max="13557" width="11.125" style="2" bestFit="1" customWidth="1"/>
    <col min="13558" max="13558" width="9" style="2"/>
    <col min="13559" max="13559" width="11.125" style="2" bestFit="1" customWidth="1"/>
    <col min="13560" max="13560" width="9" style="2"/>
    <col min="13561" max="13572" width="11.125" style="2" bestFit="1" customWidth="1"/>
    <col min="13573" max="13573" width="9" style="2"/>
    <col min="13574" max="13580" width="11.125" style="2" bestFit="1" customWidth="1"/>
    <col min="13581" max="13581" width="9.625" style="2" bestFit="1" customWidth="1"/>
    <col min="13582" max="13807" width="9" style="2"/>
    <col min="13808" max="13808" width="2.375" style="2" customWidth="1"/>
    <col min="13809" max="13809" width="13.25" style="2" bestFit="1" customWidth="1"/>
    <col min="13810" max="13811" width="11.125" style="2" bestFit="1" customWidth="1"/>
    <col min="13812" max="13812" width="13.25" style="2" bestFit="1" customWidth="1"/>
    <col min="13813" max="13813" width="11.125" style="2" bestFit="1" customWidth="1"/>
    <col min="13814" max="13814" width="9" style="2"/>
    <col min="13815" max="13815" width="11.125" style="2" bestFit="1" customWidth="1"/>
    <col min="13816" max="13816" width="9" style="2"/>
    <col min="13817" max="13828" width="11.125" style="2" bestFit="1" customWidth="1"/>
    <col min="13829" max="13829" width="9" style="2"/>
    <col min="13830" max="13836" width="11.125" style="2" bestFit="1" customWidth="1"/>
    <col min="13837" max="13837" width="9.625" style="2" bestFit="1" customWidth="1"/>
    <col min="13838" max="14063" width="9" style="2"/>
    <col min="14064" max="14064" width="2.375" style="2" customWidth="1"/>
    <col min="14065" max="14065" width="13.25" style="2" bestFit="1" customWidth="1"/>
    <col min="14066" max="14067" width="11.125" style="2" bestFit="1" customWidth="1"/>
    <col min="14068" max="14068" width="13.25" style="2" bestFit="1" customWidth="1"/>
    <col min="14069" max="14069" width="11.125" style="2" bestFit="1" customWidth="1"/>
    <col min="14070" max="14070" width="9" style="2"/>
    <col min="14071" max="14071" width="11.125" style="2" bestFit="1" customWidth="1"/>
    <col min="14072" max="14072" width="9" style="2"/>
    <col min="14073" max="14084" width="11.125" style="2" bestFit="1" customWidth="1"/>
    <col min="14085" max="14085" width="9" style="2"/>
    <col min="14086" max="14092" width="11.125" style="2" bestFit="1" customWidth="1"/>
    <col min="14093" max="14093" width="9.625" style="2" bestFit="1" customWidth="1"/>
    <col min="14094" max="14319" width="9" style="2"/>
    <col min="14320" max="14320" width="2.375" style="2" customWidth="1"/>
    <col min="14321" max="14321" width="13.25" style="2" bestFit="1" customWidth="1"/>
    <col min="14322" max="14323" width="11.125" style="2" bestFit="1" customWidth="1"/>
    <col min="14324" max="14324" width="13.25" style="2" bestFit="1" customWidth="1"/>
    <col min="14325" max="14325" width="11.125" style="2" bestFit="1" customWidth="1"/>
    <col min="14326" max="14326" width="9" style="2"/>
    <col min="14327" max="14327" width="11.125" style="2" bestFit="1" customWidth="1"/>
    <col min="14328" max="14328" width="9" style="2"/>
    <col min="14329" max="14340" width="11.125" style="2" bestFit="1" customWidth="1"/>
    <col min="14341" max="14341" width="9" style="2"/>
    <col min="14342" max="14348" width="11.125" style="2" bestFit="1" customWidth="1"/>
    <col min="14349" max="14349" width="9.625" style="2" bestFit="1" customWidth="1"/>
    <col min="14350" max="14575" width="9" style="2"/>
    <col min="14576" max="14576" width="2.375" style="2" customWidth="1"/>
    <col min="14577" max="14577" width="13.25" style="2" bestFit="1" customWidth="1"/>
    <col min="14578" max="14579" width="11.125" style="2" bestFit="1" customWidth="1"/>
    <col min="14580" max="14580" width="13.25" style="2" bestFit="1" customWidth="1"/>
    <col min="14581" max="14581" width="11.125" style="2" bestFit="1" customWidth="1"/>
    <col min="14582" max="14582" width="9" style="2"/>
    <col min="14583" max="14583" width="11.125" style="2" bestFit="1" customWidth="1"/>
    <col min="14584" max="14584" width="9" style="2"/>
    <col min="14585" max="14596" width="11.125" style="2" bestFit="1" customWidth="1"/>
    <col min="14597" max="14597" width="9" style="2"/>
    <col min="14598" max="14604" width="11.125" style="2" bestFit="1" customWidth="1"/>
    <col min="14605" max="14605" width="9.625" style="2" bestFit="1" customWidth="1"/>
    <col min="14606" max="14831" width="9" style="2"/>
    <col min="14832" max="14832" width="2.375" style="2" customWidth="1"/>
    <col min="14833" max="14833" width="13.25" style="2" bestFit="1" customWidth="1"/>
    <col min="14834" max="14835" width="11.125" style="2" bestFit="1" customWidth="1"/>
    <col min="14836" max="14836" width="13.25" style="2" bestFit="1" customWidth="1"/>
    <col min="14837" max="14837" width="11.125" style="2" bestFit="1" customWidth="1"/>
    <col min="14838" max="14838" width="9" style="2"/>
    <col min="14839" max="14839" width="11.125" style="2" bestFit="1" customWidth="1"/>
    <col min="14840" max="14840" width="9" style="2"/>
    <col min="14841" max="14852" width="11.125" style="2" bestFit="1" customWidth="1"/>
    <col min="14853" max="14853" width="9" style="2"/>
    <col min="14854" max="14860" width="11.125" style="2" bestFit="1" customWidth="1"/>
    <col min="14861" max="14861" width="9.625" style="2" bestFit="1" customWidth="1"/>
    <col min="14862" max="15087" width="9" style="2"/>
    <col min="15088" max="15088" width="2.375" style="2" customWidth="1"/>
    <col min="15089" max="15089" width="13.25" style="2" bestFit="1" customWidth="1"/>
    <col min="15090" max="15091" width="11.125" style="2" bestFit="1" customWidth="1"/>
    <col min="15092" max="15092" width="13.25" style="2" bestFit="1" customWidth="1"/>
    <col min="15093" max="15093" width="11.125" style="2" bestFit="1" customWidth="1"/>
    <col min="15094" max="15094" width="9" style="2"/>
    <col min="15095" max="15095" width="11.125" style="2" bestFit="1" customWidth="1"/>
    <col min="15096" max="15096" width="9" style="2"/>
    <col min="15097" max="15108" width="11.125" style="2" bestFit="1" customWidth="1"/>
    <col min="15109" max="15109" width="9" style="2"/>
    <col min="15110" max="15116" width="11.125" style="2" bestFit="1" customWidth="1"/>
    <col min="15117" max="15117" width="9.625" style="2" bestFit="1" customWidth="1"/>
    <col min="15118" max="15343" width="9" style="2"/>
    <col min="15344" max="15344" width="2.375" style="2" customWidth="1"/>
    <col min="15345" max="15345" width="13.25" style="2" bestFit="1" customWidth="1"/>
    <col min="15346" max="15347" width="11.125" style="2" bestFit="1" customWidth="1"/>
    <col min="15348" max="15348" width="13.25" style="2" bestFit="1" customWidth="1"/>
    <col min="15349" max="15349" width="11.125" style="2" bestFit="1" customWidth="1"/>
    <col min="15350" max="15350" width="9" style="2"/>
    <col min="15351" max="15351" width="11.125" style="2" bestFit="1" customWidth="1"/>
    <col min="15352" max="15352" width="9" style="2"/>
    <col min="15353" max="15364" width="11.125" style="2" bestFit="1" customWidth="1"/>
    <col min="15365" max="15365" width="9" style="2"/>
    <col min="15366" max="15372" width="11.125" style="2" bestFit="1" customWidth="1"/>
    <col min="15373" max="15373" width="9.625" style="2" bestFit="1" customWidth="1"/>
    <col min="15374" max="15599" width="9" style="2"/>
    <col min="15600" max="15600" width="2.375" style="2" customWidth="1"/>
    <col min="15601" max="15601" width="13.25" style="2" bestFit="1" customWidth="1"/>
    <col min="15602" max="15603" width="11.125" style="2" bestFit="1" customWidth="1"/>
    <col min="15604" max="15604" width="13.25" style="2" bestFit="1" customWidth="1"/>
    <col min="15605" max="15605" width="11.125" style="2" bestFit="1" customWidth="1"/>
    <col min="15606" max="15606" width="9" style="2"/>
    <col min="15607" max="15607" width="11.125" style="2" bestFit="1" customWidth="1"/>
    <col min="15608" max="15608" width="9" style="2"/>
    <col min="15609" max="15620" width="11.125" style="2" bestFit="1" customWidth="1"/>
    <col min="15621" max="15621" width="9" style="2"/>
    <col min="15622" max="15628" width="11.125" style="2" bestFit="1" customWidth="1"/>
    <col min="15629" max="15629" width="9.625" style="2" bestFit="1" customWidth="1"/>
    <col min="15630" max="15855" width="9" style="2"/>
    <col min="15856" max="15856" width="2.375" style="2" customWidth="1"/>
    <col min="15857" max="15857" width="13.25" style="2" bestFit="1" customWidth="1"/>
    <col min="15858" max="15859" width="11.125" style="2" bestFit="1" customWidth="1"/>
    <col min="15860" max="15860" width="13.25" style="2" bestFit="1" customWidth="1"/>
    <col min="15861" max="15861" width="11.125" style="2" bestFit="1" customWidth="1"/>
    <col min="15862" max="15862" width="9" style="2"/>
    <col min="15863" max="15863" width="11.125" style="2" bestFit="1" customWidth="1"/>
    <col min="15864" max="15864" width="9" style="2"/>
    <col min="15865" max="15876" width="11.125" style="2" bestFit="1" customWidth="1"/>
    <col min="15877" max="15877" width="9" style="2"/>
    <col min="15878" max="15884" width="11.125" style="2" bestFit="1" customWidth="1"/>
    <col min="15885" max="15885" width="9.625" style="2" bestFit="1" customWidth="1"/>
    <col min="15886" max="16111" width="9" style="2"/>
    <col min="16112" max="16112" width="2.375" style="2" customWidth="1"/>
    <col min="16113" max="16113" width="13.25" style="2" bestFit="1" customWidth="1"/>
    <col min="16114" max="16115" width="11.125" style="2" bestFit="1" customWidth="1"/>
    <col min="16116" max="16116" width="13.25" style="2" bestFit="1" customWidth="1"/>
    <col min="16117" max="16117" width="11.125" style="2" bestFit="1" customWidth="1"/>
    <col min="16118" max="16118" width="9" style="2"/>
    <col min="16119" max="16119" width="11.125" style="2" bestFit="1" customWidth="1"/>
    <col min="16120" max="16120" width="9" style="2"/>
    <col min="16121" max="16132" width="11.125" style="2" bestFit="1" customWidth="1"/>
    <col min="16133" max="16133" width="9" style="2"/>
    <col min="16134" max="16140" width="11.1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107</v>
      </c>
    </row>
    <row r="3" spans="1:14">
      <c r="B3" s="15"/>
      <c r="C3" s="39" t="s">
        <v>16</v>
      </c>
      <c r="D3" s="40" t="s">
        <v>4</v>
      </c>
      <c r="E3" s="40" t="s">
        <v>25</v>
      </c>
      <c r="F3" s="40" t="s">
        <v>26</v>
      </c>
      <c r="G3" s="40" t="s">
        <v>23</v>
      </c>
      <c r="H3" s="40" t="s">
        <v>24</v>
      </c>
      <c r="I3" s="40" t="s">
        <v>27</v>
      </c>
      <c r="J3" s="5" t="s">
        <v>28</v>
      </c>
      <c r="K3" s="95" t="s">
        <v>109</v>
      </c>
      <c r="L3" s="5" t="s">
        <v>5</v>
      </c>
      <c r="M3" s="95" t="s">
        <v>109</v>
      </c>
      <c r="N3" s="97" t="s">
        <v>56</v>
      </c>
    </row>
    <row r="4" spans="1:14" ht="19.5" thickBot="1">
      <c r="A4" s="4"/>
      <c r="B4" s="6" t="s">
        <v>29</v>
      </c>
      <c r="C4" s="41" t="s">
        <v>43</v>
      </c>
      <c r="D4" s="42" t="s">
        <v>108</v>
      </c>
      <c r="E4" s="42" t="s">
        <v>52</v>
      </c>
      <c r="F4" s="42" t="s">
        <v>53</v>
      </c>
      <c r="G4" s="42" t="s">
        <v>50</v>
      </c>
      <c r="H4" s="42" t="s">
        <v>51</v>
      </c>
      <c r="I4" s="42" t="s">
        <v>54</v>
      </c>
      <c r="J4" s="3" t="s">
        <v>55</v>
      </c>
      <c r="K4" s="96" t="s">
        <v>111</v>
      </c>
      <c r="L4" s="3" t="s">
        <v>32</v>
      </c>
      <c r="M4" s="96" t="s">
        <v>112</v>
      </c>
      <c r="N4" s="6" t="s">
        <v>113</v>
      </c>
    </row>
    <row r="5" spans="1:14">
      <c r="A5" s="1" t="s">
        <v>1</v>
      </c>
      <c r="B5" s="23" t="s">
        <v>57</v>
      </c>
      <c r="C5" s="43">
        <v>18</v>
      </c>
      <c r="D5" s="44">
        <v>21</v>
      </c>
      <c r="E5" s="44">
        <v>13</v>
      </c>
      <c r="F5" s="44">
        <v>17</v>
      </c>
      <c r="G5" s="44">
        <v>11</v>
      </c>
      <c r="H5" s="44">
        <v>10</v>
      </c>
      <c r="I5" s="44">
        <v>8</v>
      </c>
      <c r="J5" s="24">
        <v>19</v>
      </c>
      <c r="K5" s="25">
        <f>SUM(C5:J5)</f>
        <v>117</v>
      </c>
      <c r="L5" s="24">
        <v>21</v>
      </c>
      <c r="M5" s="25">
        <f>SUM(L5)</f>
        <v>21</v>
      </c>
      <c r="N5" s="25">
        <v>483</v>
      </c>
    </row>
    <row r="6" spans="1:14">
      <c r="A6" s="1" t="s">
        <v>1</v>
      </c>
      <c r="B6" s="26" t="s">
        <v>58</v>
      </c>
      <c r="C6" s="45">
        <v>0</v>
      </c>
      <c r="D6" s="46">
        <v>2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27">
        <v>0</v>
      </c>
      <c r="K6" s="28">
        <f t="shared" ref="K6:K56" si="0">SUM(C6:J6)</f>
        <v>2</v>
      </c>
      <c r="L6" s="27">
        <v>0</v>
      </c>
      <c r="M6" s="28">
        <f t="shared" ref="M6:M56" si="1">SUM(L6)</f>
        <v>0</v>
      </c>
      <c r="N6" s="28">
        <v>46</v>
      </c>
    </row>
    <row r="7" spans="1:14">
      <c r="A7" s="1" t="s">
        <v>1</v>
      </c>
      <c r="B7" s="26" t="s">
        <v>59</v>
      </c>
      <c r="C7" s="45">
        <v>0</v>
      </c>
      <c r="D7" s="46">
        <v>1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27">
        <v>0</v>
      </c>
      <c r="K7" s="28">
        <f t="shared" si="0"/>
        <v>1</v>
      </c>
      <c r="L7" s="27">
        <v>0</v>
      </c>
      <c r="M7" s="28">
        <f t="shared" si="1"/>
        <v>0</v>
      </c>
      <c r="N7" s="28">
        <v>52</v>
      </c>
    </row>
    <row r="8" spans="1:14">
      <c r="A8" s="1" t="s">
        <v>1</v>
      </c>
      <c r="B8" s="26" t="s">
        <v>60</v>
      </c>
      <c r="C8" s="45"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27">
        <v>0</v>
      </c>
      <c r="K8" s="28">
        <f t="shared" si="0"/>
        <v>0</v>
      </c>
      <c r="L8" s="27">
        <v>0</v>
      </c>
      <c r="M8" s="28">
        <f t="shared" si="1"/>
        <v>0</v>
      </c>
      <c r="N8" s="28">
        <v>5</v>
      </c>
    </row>
    <row r="9" spans="1:14">
      <c r="A9" s="1" t="s">
        <v>1</v>
      </c>
      <c r="B9" s="26" t="s">
        <v>61</v>
      </c>
      <c r="C9" s="45">
        <v>2.5</v>
      </c>
      <c r="D9" s="46">
        <v>0</v>
      </c>
      <c r="E9" s="46">
        <v>1</v>
      </c>
      <c r="F9" s="46">
        <v>1</v>
      </c>
      <c r="G9" s="46">
        <v>1</v>
      </c>
      <c r="H9" s="46">
        <v>1</v>
      </c>
      <c r="I9" s="46">
        <v>1</v>
      </c>
      <c r="J9" s="27">
        <v>0</v>
      </c>
      <c r="K9" s="28">
        <f t="shared" si="0"/>
        <v>7.5</v>
      </c>
      <c r="L9" s="27">
        <v>0</v>
      </c>
      <c r="M9" s="28">
        <f t="shared" si="1"/>
        <v>0</v>
      </c>
      <c r="N9" s="28">
        <v>30</v>
      </c>
    </row>
    <row r="10" spans="1:14">
      <c r="A10" s="1" t="s">
        <v>1</v>
      </c>
      <c r="B10" s="26" t="s">
        <v>62</v>
      </c>
      <c r="C10" s="45"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27">
        <v>0</v>
      </c>
      <c r="K10" s="28">
        <f t="shared" si="0"/>
        <v>0</v>
      </c>
      <c r="L10" s="27">
        <v>0</v>
      </c>
      <c r="M10" s="28">
        <f t="shared" si="1"/>
        <v>0</v>
      </c>
      <c r="N10" s="28">
        <v>6</v>
      </c>
    </row>
    <row r="11" spans="1:14">
      <c r="A11" s="1" t="s">
        <v>1</v>
      </c>
      <c r="B11" s="26" t="s">
        <v>63</v>
      </c>
      <c r="C11" s="47">
        <v>0</v>
      </c>
      <c r="D11" s="48">
        <v>0</v>
      </c>
      <c r="E11" s="48">
        <v>3.25</v>
      </c>
      <c r="F11" s="48">
        <v>4.25</v>
      </c>
      <c r="G11" s="48">
        <v>3.2083333333333335</v>
      </c>
      <c r="H11" s="48">
        <v>2.9583333333333335</v>
      </c>
      <c r="I11" s="48">
        <v>2.5</v>
      </c>
      <c r="J11" s="29">
        <v>3.8333333333333335</v>
      </c>
      <c r="K11" s="30">
        <f t="shared" si="0"/>
        <v>20</v>
      </c>
      <c r="L11" s="29">
        <v>0</v>
      </c>
      <c r="M11" s="30">
        <f t="shared" si="1"/>
        <v>0</v>
      </c>
      <c r="N11" s="30">
        <v>20</v>
      </c>
    </row>
    <row r="12" spans="1:14">
      <c r="A12" s="1" t="s">
        <v>1</v>
      </c>
      <c r="B12" s="26" t="s">
        <v>64</v>
      </c>
      <c r="C12" s="47">
        <v>0</v>
      </c>
      <c r="D12" s="48">
        <v>0.95833333333333337</v>
      </c>
      <c r="E12" s="48">
        <v>0</v>
      </c>
      <c r="F12" s="48">
        <v>0</v>
      </c>
      <c r="G12" s="48">
        <v>0</v>
      </c>
      <c r="H12" s="48">
        <v>0</v>
      </c>
      <c r="I12" s="48">
        <v>4.1666666666666664E-2</v>
      </c>
      <c r="J12" s="29">
        <v>0</v>
      </c>
      <c r="K12" s="30">
        <f t="shared" si="0"/>
        <v>1</v>
      </c>
      <c r="L12" s="29">
        <v>0</v>
      </c>
      <c r="M12" s="30">
        <f t="shared" si="1"/>
        <v>0</v>
      </c>
      <c r="N12" s="30">
        <v>28.625</v>
      </c>
    </row>
    <row r="13" spans="1:14">
      <c r="A13" s="1" t="s">
        <v>1</v>
      </c>
      <c r="B13" s="26" t="s">
        <v>65</v>
      </c>
      <c r="C13" s="47">
        <v>0</v>
      </c>
      <c r="D13" s="48">
        <v>0.45833333333333331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29">
        <v>0</v>
      </c>
      <c r="K13" s="30">
        <f t="shared" si="0"/>
        <v>0.45833333333333331</v>
      </c>
      <c r="L13" s="29">
        <v>0</v>
      </c>
      <c r="M13" s="30">
        <f t="shared" si="1"/>
        <v>0</v>
      </c>
      <c r="N13" s="30">
        <v>16</v>
      </c>
    </row>
    <row r="14" spans="1:14">
      <c r="A14" s="1" t="s">
        <v>1</v>
      </c>
      <c r="B14" s="26" t="s">
        <v>66</v>
      </c>
      <c r="C14" s="47">
        <v>0</v>
      </c>
      <c r="D14" s="48">
        <v>4.1666666666666664E-2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29">
        <v>0</v>
      </c>
      <c r="K14" s="30">
        <f t="shared" si="0"/>
        <v>4.1666666666666664E-2</v>
      </c>
      <c r="L14" s="29">
        <v>0</v>
      </c>
      <c r="M14" s="30">
        <f t="shared" si="1"/>
        <v>0</v>
      </c>
      <c r="N14" s="30">
        <v>14.791666666666666</v>
      </c>
    </row>
    <row r="15" spans="1:14">
      <c r="A15" s="1" t="s">
        <v>1</v>
      </c>
      <c r="B15" s="26" t="s">
        <v>67</v>
      </c>
      <c r="C15" s="47">
        <v>0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29">
        <v>0</v>
      </c>
      <c r="K15" s="30">
        <f t="shared" si="0"/>
        <v>0</v>
      </c>
      <c r="L15" s="29">
        <v>0</v>
      </c>
      <c r="M15" s="30">
        <f t="shared" si="1"/>
        <v>0</v>
      </c>
      <c r="N15" s="30">
        <v>0.16666666666666666</v>
      </c>
    </row>
    <row r="16" spans="1:14">
      <c r="A16" s="1" t="s">
        <v>1</v>
      </c>
      <c r="B16" s="26" t="s">
        <v>68</v>
      </c>
      <c r="C16" s="47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29">
        <v>0</v>
      </c>
      <c r="K16" s="30">
        <f t="shared" si="0"/>
        <v>0</v>
      </c>
      <c r="L16" s="29">
        <v>0</v>
      </c>
      <c r="M16" s="30">
        <f t="shared" si="1"/>
        <v>0</v>
      </c>
      <c r="N16" s="30">
        <v>1</v>
      </c>
    </row>
    <row r="17" spans="1:14">
      <c r="A17" s="1" t="s">
        <v>1</v>
      </c>
      <c r="B17" s="26" t="s">
        <v>69</v>
      </c>
      <c r="C17" s="47">
        <v>0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0</v>
      </c>
      <c r="J17" s="29">
        <v>0</v>
      </c>
      <c r="K17" s="30">
        <f t="shared" si="0"/>
        <v>0</v>
      </c>
      <c r="L17" s="29">
        <v>0</v>
      </c>
      <c r="M17" s="30">
        <f t="shared" si="1"/>
        <v>0</v>
      </c>
      <c r="N17" s="30">
        <v>0.875</v>
      </c>
    </row>
    <row r="18" spans="1:14">
      <c r="A18" s="1" t="s">
        <v>1</v>
      </c>
      <c r="B18" s="26" t="s">
        <v>70</v>
      </c>
      <c r="C18" s="47">
        <v>0</v>
      </c>
      <c r="D18" s="48">
        <v>0</v>
      </c>
      <c r="E18" s="48">
        <v>0.25</v>
      </c>
      <c r="F18" s="48">
        <v>0.29166666666666669</v>
      </c>
      <c r="G18" s="48">
        <v>0.29166666666666669</v>
      </c>
      <c r="H18" s="48">
        <v>0.29166666666666669</v>
      </c>
      <c r="I18" s="48">
        <v>0.29166666666666669</v>
      </c>
      <c r="J18" s="29">
        <v>0</v>
      </c>
      <c r="K18" s="30">
        <f t="shared" si="0"/>
        <v>1.416666666666667</v>
      </c>
      <c r="L18" s="29">
        <v>0</v>
      </c>
      <c r="M18" s="30">
        <f t="shared" si="1"/>
        <v>0</v>
      </c>
      <c r="N18" s="30">
        <v>1.4166666666666667</v>
      </c>
    </row>
    <row r="19" spans="1:14">
      <c r="A19" s="1" t="s">
        <v>1</v>
      </c>
      <c r="B19" s="7" t="s">
        <v>71</v>
      </c>
      <c r="C19" s="49">
        <v>0</v>
      </c>
      <c r="D19" s="50">
        <v>0</v>
      </c>
      <c r="E19" s="50">
        <v>0</v>
      </c>
      <c r="F19" s="50">
        <v>0</v>
      </c>
      <c r="G19" s="50">
        <v>2.2916666666666665</v>
      </c>
      <c r="H19" s="50">
        <v>2.0833333333333335</v>
      </c>
      <c r="I19" s="50">
        <v>0.83333333333333337</v>
      </c>
      <c r="J19" s="8">
        <v>1.25</v>
      </c>
      <c r="K19" s="9">
        <f t="shared" si="0"/>
        <v>6.458333333333333</v>
      </c>
      <c r="L19" s="8">
        <v>0</v>
      </c>
      <c r="M19" s="9">
        <f t="shared" si="1"/>
        <v>0</v>
      </c>
      <c r="N19" s="9">
        <v>15.708333333333334</v>
      </c>
    </row>
    <row r="20" spans="1:14">
      <c r="A20" s="1" t="s">
        <v>1</v>
      </c>
      <c r="B20" s="16" t="s">
        <v>72</v>
      </c>
      <c r="C20" s="51">
        <v>21.5</v>
      </c>
      <c r="D20" s="52">
        <v>38</v>
      </c>
      <c r="E20" s="52">
        <v>21</v>
      </c>
      <c r="F20" s="52">
        <v>21</v>
      </c>
      <c r="G20" s="52">
        <v>6</v>
      </c>
      <c r="H20" s="52">
        <v>6</v>
      </c>
      <c r="I20" s="52">
        <v>4</v>
      </c>
      <c r="J20" s="17">
        <v>26</v>
      </c>
      <c r="K20" s="18"/>
      <c r="L20" s="17">
        <v>37</v>
      </c>
      <c r="M20" s="18"/>
      <c r="N20" s="18"/>
    </row>
    <row r="21" spans="1:14">
      <c r="A21" s="1" t="s">
        <v>1</v>
      </c>
      <c r="B21" s="31" t="s">
        <v>73</v>
      </c>
      <c r="C21" s="53">
        <v>365000</v>
      </c>
      <c r="D21" s="54">
        <v>270000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32">
        <v>0</v>
      </c>
      <c r="K21" s="33">
        <f t="shared" si="0"/>
        <v>635000</v>
      </c>
      <c r="L21" s="32">
        <v>385000</v>
      </c>
      <c r="M21" s="33">
        <f t="shared" si="1"/>
        <v>385000</v>
      </c>
      <c r="N21" s="33">
        <v>4266000</v>
      </c>
    </row>
    <row r="22" spans="1:14">
      <c r="A22" s="1" t="s">
        <v>1</v>
      </c>
      <c r="B22" s="26" t="s">
        <v>74</v>
      </c>
      <c r="C22" s="55">
        <v>0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34">
        <v>0</v>
      </c>
      <c r="K22" s="35">
        <f t="shared" si="0"/>
        <v>0</v>
      </c>
      <c r="L22" s="34">
        <v>0</v>
      </c>
      <c r="M22" s="35">
        <f t="shared" si="1"/>
        <v>0</v>
      </c>
      <c r="N22" s="35">
        <v>60000</v>
      </c>
    </row>
    <row r="23" spans="1:14">
      <c r="A23" s="1" t="s">
        <v>1</v>
      </c>
      <c r="B23" s="26" t="s">
        <v>75</v>
      </c>
      <c r="C23" s="55">
        <v>0</v>
      </c>
      <c r="D23" s="56">
        <v>3000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34">
        <v>0</v>
      </c>
      <c r="K23" s="35">
        <f t="shared" si="0"/>
        <v>3000</v>
      </c>
      <c r="L23" s="34">
        <v>0</v>
      </c>
      <c r="M23" s="35">
        <f t="shared" si="1"/>
        <v>0</v>
      </c>
      <c r="N23" s="35">
        <v>3000</v>
      </c>
    </row>
    <row r="24" spans="1:14">
      <c r="A24" s="1" t="s">
        <v>1</v>
      </c>
      <c r="B24" s="26" t="s">
        <v>76</v>
      </c>
      <c r="C24" s="55">
        <v>0</v>
      </c>
      <c r="D24" s="56">
        <v>0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34">
        <v>0</v>
      </c>
      <c r="K24" s="35">
        <f t="shared" si="0"/>
        <v>0</v>
      </c>
      <c r="L24" s="34">
        <v>0</v>
      </c>
      <c r="M24" s="35">
        <f t="shared" si="1"/>
        <v>0</v>
      </c>
      <c r="N24" s="35">
        <v>253023</v>
      </c>
    </row>
    <row r="25" spans="1:14">
      <c r="A25" s="1" t="s">
        <v>1</v>
      </c>
      <c r="B25" s="26" t="s">
        <v>77</v>
      </c>
      <c r="C25" s="55">
        <v>0</v>
      </c>
      <c r="D25" s="56">
        <v>1000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34">
        <v>0</v>
      </c>
      <c r="K25" s="35">
        <f t="shared" si="0"/>
        <v>1000</v>
      </c>
      <c r="L25" s="34">
        <v>0</v>
      </c>
      <c r="M25" s="35">
        <f t="shared" si="1"/>
        <v>0</v>
      </c>
      <c r="N25" s="35">
        <v>1000</v>
      </c>
    </row>
    <row r="26" spans="1:14">
      <c r="A26" s="1" t="s">
        <v>1</v>
      </c>
      <c r="B26" s="26" t="s">
        <v>78</v>
      </c>
      <c r="C26" s="55">
        <v>0</v>
      </c>
      <c r="D26" s="56">
        <v>0</v>
      </c>
      <c r="E26" s="56">
        <v>76440</v>
      </c>
      <c r="F26" s="56">
        <v>102000</v>
      </c>
      <c r="G26" s="56">
        <v>70840</v>
      </c>
      <c r="H26" s="56">
        <v>65320</v>
      </c>
      <c r="I26" s="56">
        <v>55200</v>
      </c>
      <c r="J26" s="34">
        <v>84640</v>
      </c>
      <c r="K26" s="35">
        <f t="shared" si="0"/>
        <v>454440</v>
      </c>
      <c r="L26" s="34">
        <v>0</v>
      </c>
      <c r="M26" s="35">
        <f t="shared" si="1"/>
        <v>0</v>
      </c>
      <c r="N26" s="35">
        <v>454440</v>
      </c>
    </row>
    <row r="27" spans="1:14">
      <c r="A27" s="1" t="s">
        <v>1</v>
      </c>
      <c r="B27" s="26" t="s">
        <v>79</v>
      </c>
      <c r="C27" s="55">
        <v>0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34">
        <v>0</v>
      </c>
      <c r="K27" s="35">
        <f t="shared" si="0"/>
        <v>0</v>
      </c>
      <c r="L27" s="34">
        <v>0</v>
      </c>
      <c r="M27" s="35">
        <f t="shared" si="1"/>
        <v>0</v>
      </c>
      <c r="N27" s="35">
        <v>49500</v>
      </c>
    </row>
    <row r="28" spans="1:14">
      <c r="A28" s="1" t="s">
        <v>1</v>
      </c>
      <c r="B28" s="26" t="s">
        <v>80</v>
      </c>
      <c r="C28" s="55">
        <v>0</v>
      </c>
      <c r="D28" s="56">
        <v>0</v>
      </c>
      <c r="E28" s="56">
        <v>5880</v>
      </c>
      <c r="F28" s="56">
        <v>7000</v>
      </c>
      <c r="G28" s="56">
        <v>6440</v>
      </c>
      <c r="H28" s="56">
        <v>6440</v>
      </c>
      <c r="I28" s="56">
        <v>6440</v>
      </c>
      <c r="J28" s="34">
        <v>0</v>
      </c>
      <c r="K28" s="35">
        <f t="shared" si="0"/>
        <v>32200</v>
      </c>
      <c r="L28" s="34">
        <v>0</v>
      </c>
      <c r="M28" s="35">
        <f t="shared" si="1"/>
        <v>0</v>
      </c>
      <c r="N28" s="35">
        <v>32200</v>
      </c>
    </row>
    <row r="29" spans="1:14">
      <c r="A29" s="1" t="s">
        <v>1</v>
      </c>
      <c r="B29" s="26" t="s">
        <v>81</v>
      </c>
      <c r="C29" s="55">
        <v>0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34">
        <v>0</v>
      </c>
      <c r="K29" s="35">
        <f t="shared" si="0"/>
        <v>0</v>
      </c>
      <c r="L29" s="34">
        <v>0</v>
      </c>
      <c r="M29" s="35">
        <f t="shared" si="1"/>
        <v>0</v>
      </c>
      <c r="N29" s="99">
        <v>-53250</v>
      </c>
    </row>
    <row r="30" spans="1:14">
      <c r="A30" s="1" t="s">
        <v>1</v>
      </c>
      <c r="B30" s="26" t="s">
        <v>64</v>
      </c>
      <c r="C30" s="55">
        <v>0</v>
      </c>
      <c r="D30" s="56">
        <v>47012</v>
      </c>
      <c r="E30" s="56">
        <v>0</v>
      </c>
      <c r="F30" s="56">
        <v>0</v>
      </c>
      <c r="G30" s="56">
        <v>0</v>
      </c>
      <c r="H30" s="56">
        <v>0</v>
      </c>
      <c r="I30" s="56">
        <v>1150</v>
      </c>
      <c r="J30" s="34">
        <v>0</v>
      </c>
      <c r="K30" s="35">
        <f t="shared" si="0"/>
        <v>48162</v>
      </c>
      <c r="L30" s="34">
        <v>0</v>
      </c>
      <c r="M30" s="35">
        <f t="shared" si="1"/>
        <v>0</v>
      </c>
      <c r="N30" s="35">
        <v>970620</v>
      </c>
    </row>
    <row r="31" spans="1:14">
      <c r="A31" s="1" t="s">
        <v>1</v>
      </c>
      <c r="B31" s="26" t="s">
        <v>82</v>
      </c>
      <c r="C31" s="55">
        <v>0</v>
      </c>
      <c r="D31" s="56">
        <v>24277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34">
        <v>0</v>
      </c>
      <c r="K31" s="35">
        <f t="shared" si="0"/>
        <v>24277</v>
      </c>
      <c r="L31" s="34">
        <v>0</v>
      </c>
      <c r="M31" s="35">
        <f t="shared" si="1"/>
        <v>0</v>
      </c>
      <c r="N31" s="35">
        <v>581356</v>
      </c>
    </row>
    <row r="32" spans="1:14">
      <c r="A32" s="1" t="s">
        <v>1</v>
      </c>
      <c r="B32" s="26" t="s">
        <v>83</v>
      </c>
      <c r="C32" s="55">
        <v>0</v>
      </c>
      <c r="D32" s="56">
        <v>2207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34">
        <v>0</v>
      </c>
      <c r="K32" s="35">
        <f t="shared" si="0"/>
        <v>2207</v>
      </c>
      <c r="L32" s="34">
        <v>0</v>
      </c>
      <c r="M32" s="35">
        <f t="shared" si="1"/>
        <v>0</v>
      </c>
      <c r="N32" s="35">
        <v>532739</v>
      </c>
    </row>
    <row r="33" spans="1:14">
      <c r="A33" s="1" t="s">
        <v>1</v>
      </c>
      <c r="B33" s="26" t="s">
        <v>84</v>
      </c>
      <c r="C33" s="55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34">
        <v>0</v>
      </c>
      <c r="K33" s="35">
        <f t="shared" si="0"/>
        <v>0</v>
      </c>
      <c r="L33" s="34">
        <v>0</v>
      </c>
      <c r="M33" s="35">
        <f t="shared" si="1"/>
        <v>0</v>
      </c>
      <c r="N33" s="35">
        <v>1432</v>
      </c>
    </row>
    <row r="34" spans="1:14">
      <c r="A34" s="1" t="s">
        <v>1</v>
      </c>
      <c r="B34" s="26" t="s">
        <v>85</v>
      </c>
      <c r="C34" s="55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34">
        <v>0</v>
      </c>
      <c r="K34" s="35">
        <f t="shared" si="0"/>
        <v>0</v>
      </c>
      <c r="L34" s="34">
        <v>0</v>
      </c>
      <c r="M34" s="35">
        <f t="shared" si="1"/>
        <v>0</v>
      </c>
      <c r="N34" s="35">
        <v>9329</v>
      </c>
    </row>
    <row r="35" spans="1:14">
      <c r="A35" s="1" t="s">
        <v>1</v>
      </c>
      <c r="B35" s="26" t="s">
        <v>69</v>
      </c>
      <c r="C35" s="55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34">
        <v>0</v>
      </c>
      <c r="K35" s="35">
        <f t="shared" si="0"/>
        <v>0</v>
      </c>
      <c r="L35" s="34">
        <v>0</v>
      </c>
      <c r="M35" s="35">
        <f t="shared" si="1"/>
        <v>0</v>
      </c>
      <c r="N35" s="35">
        <v>5764</v>
      </c>
    </row>
    <row r="36" spans="1:14">
      <c r="A36" s="1" t="s">
        <v>1</v>
      </c>
      <c r="B36" s="36" t="s">
        <v>71</v>
      </c>
      <c r="C36" s="57">
        <v>0</v>
      </c>
      <c r="D36" s="58">
        <v>0</v>
      </c>
      <c r="E36" s="58">
        <v>0</v>
      </c>
      <c r="F36" s="58">
        <v>0</v>
      </c>
      <c r="G36" s="58">
        <v>12650</v>
      </c>
      <c r="H36" s="58">
        <v>11500</v>
      </c>
      <c r="I36" s="58">
        <v>4600</v>
      </c>
      <c r="J36" s="37">
        <v>6900</v>
      </c>
      <c r="K36" s="38">
        <f t="shared" si="0"/>
        <v>35650</v>
      </c>
      <c r="L36" s="37">
        <v>0</v>
      </c>
      <c r="M36" s="38">
        <f t="shared" si="1"/>
        <v>0</v>
      </c>
      <c r="N36" s="38">
        <v>96629</v>
      </c>
    </row>
    <row r="37" spans="1:14">
      <c r="A37" s="1" t="s">
        <v>1</v>
      </c>
      <c r="B37" s="16" t="s">
        <v>86</v>
      </c>
      <c r="C37" s="59">
        <v>365000</v>
      </c>
      <c r="D37" s="60">
        <v>347496</v>
      </c>
      <c r="E37" s="60">
        <v>82320</v>
      </c>
      <c r="F37" s="60">
        <v>109000</v>
      </c>
      <c r="G37" s="60">
        <v>89930</v>
      </c>
      <c r="H37" s="60">
        <v>83260</v>
      </c>
      <c r="I37" s="60">
        <v>67390</v>
      </c>
      <c r="J37" s="19">
        <v>91540</v>
      </c>
      <c r="K37" s="20">
        <f t="shared" si="0"/>
        <v>1235936</v>
      </c>
      <c r="L37" s="19">
        <v>385000</v>
      </c>
      <c r="M37" s="20">
        <f t="shared" si="1"/>
        <v>385000</v>
      </c>
      <c r="N37" s="20">
        <v>7263782</v>
      </c>
    </row>
    <row r="38" spans="1:14">
      <c r="A38" s="1" t="s">
        <v>1</v>
      </c>
      <c r="B38" s="16" t="s">
        <v>87</v>
      </c>
      <c r="C38" s="59">
        <v>3239</v>
      </c>
      <c r="D38" s="60">
        <v>5829</v>
      </c>
      <c r="E38" s="60">
        <v>2807</v>
      </c>
      <c r="F38" s="60">
        <v>2294</v>
      </c>
      <c r="G38" s="60">
        <v>3562</v>
      </c>
      <c r="H38" s="60">
        <v>4318</v>
      </c>
      <c r="I38" s="60">
        <v>2807</v>
      </c>
      <c r="J38" s="19">
        <v>7178</v>
      </c>
      <c r="K38" s="20">
        <f t="shared" si="0"/>
        <v>32034</v>
      </c>
      <c r="L38" s="19">
        <v>7367</v>
      </c>
      <c r="M38" s="20">
        <f t="shared" si="1"/>
        <v>7367</v>
      </c>
      <c r="N38" s="20">
        <v>153446</v>
      </c>
    </row>
    <row r="39" spans="1:14">
      <c r="A39" s="1" t="s">
        <v>1</v>
      </c>
      <c r="B39" s="7" t="s">
        <v>88</v>
      </c>
      <c r="C39" s="61">
        <v>3239</v>
      </c>
      <c r="D39" s="62">
        <v>5829</v>
      </c>
      <c r="E39" s="62">
        <v>2807</v>
      </c>
      <c r="F39" s="62">
        <v>2294</v>
      </c>
      <c r="G39" s="62">
        <v>3562</v>
      </c>
      <c r="H39" s="62">
        <v>4318</v>
      </c>
      <c r="I39" s="62">
        <v>2807</v>
      </c>
      <c r="J39" s="10">
        <v>7178</v>
      </c>
      <c r="K39" s="11">
        <f t="shared" si="0"/>
        <v>32034</v>
      </c>
      <c r="L39" s="10">
        <v>7367</v>
      </c>
      <c r="M39" s="11">
        <f t="shared" si="1"/>
        <v>7367</v>
      </c>
      <c r="N39" s="11">
        <v>153446</v>
      </c>
    </row>
    <row r="40" spans="1:14">
      <c r="A40" s="1" t="s">
        <v>1</v>
      </c>
      <c r="B40" s="16" t="s">
        <v>89</v>
      </c>
      <c r="C40" s="59">
        <v>368239</v>
      </c>
      <c r="D40" s="60">
        <v>353325</v>
      </c>
      <c r="E40" s="60">
        <v>85127</v>
      </c>
      <c r="F40" s="60">
        <v>111294</v>
      </c>
      <c r="G40" s="60">
        <v>93492</v>
      </c>
      <c r="H40" s="60">
        <v>87578</v>
      </c>
      <c r="I40" s="60">
        <v>70197</v>
      </c>
      <c r="J40" s="19">
        <v>98718</v>
      </c>
      <c r="K40" s="20">
        <f t="shared" si="0"/>
        <v>1267970</v>
      </c>
      <c r="L40" s="19">
        <v>392367</v>
      </c>
      <c r="M40" s="20">
        <f t="shared" si="1"/>
        <v>392367</v>
      </c>
      <c r="N40" s="20">
        <v>7417228</v>
      </c>
    </row>
    <row r="41" spans="1:14">
      <c r="A41" s="1" t="s">
        <v>1</v>
      </c>
      <c r="B41" s="31" t="s">
        <v>90</v>
      </c>
      <c r="C41" s="53">
        <v>18360</v>
      </c>
      <c r="D41" s="54">
        <v>19380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32">
        <v>0</v>
      </c>
      <c r="K41" s="33">
        <f t="shared" si="0"/>
        <v>37740</v>
      </c>
      <c r="L41" s="32">
        <v>19380</v>
      </c>
      <c r="M41" s="33">
        <f t="shared" si="1"/>
        <v>19380</v>
      </c>
      <c r="N41" s="33">
        <v>357510</v>
      </c>
    </row>
    <row r="42" spans="1:14">
      <c r="A42" s="1" t="s">
        <v>1</v>
      </c>
      <c r="B42" s="26" t="s">
        <v>91</v>
      </c>
      <c r="C42" s="55">
        <v>3240</v>
      </c>
      <c r="D42" s="56">
        <v>3420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34">
        <v>0</v>
      </c>
      <c r="K42" s="35">
        <f t="shared" si="0"/>
        <v>6660</v>
      </c>
      <c r="L42" s="34">
        <v>3420</v>
      </c>
      <c r="M42" s="35">
        <f t="shared" si="1"/>
        <v>3420</v>
      </c>
      <c r="N42" s="35">
        <v>60030</v>
      </c>
    </row>
    <row r="43" spans="1:14">
      <c r="A43" s="1" t="s">
        <v>1</v>
      </c>
      <c r="B43" s="26" t="s">
        <v>92</v>
      </c>
      <c r="C43" s="55">
        <v>32940</v>
      </c>
      <c r="D43" s="56">
        <v>34770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34">
        <v>0</v>
      </c>
      <c r="K43" s="35">
        <f t="shared" si="0"/>
        <v>67710</v>
      </c>
      <c r="L43" s="34">
        <v>34770</v>
      </c>
      <c r="M43" s="35">
        <f t="shared" si="1"/>
        <v>34770</v>
      </c>
      <c r="N43" s="35">
        <v>641415</v>
      </c>
    </row>
    <row r="44" spans="1:14">
      <c r="A44" s="1" t="s">
        <v>1</v>
      </c>
      <c r="B44" s="7" t="s">
        <v>93</v>
      </c>
      <c r="C44" s="61">
        <v>2209</v>
      </c>
      <c r="D44" s="62">
        <v>2120</v>
      </c>
      <c r="E44" s="62">
        <v>511</v>
      </c>
      <c r="F44" s="62">
        <v>668</v>
      </c>
      <c r="G44" s="62">
        <v>0</v>
      </c>
      <c r="H44" s="62">
        <v>0</v>
      </c>
      <c r="I44" s="62">
        <v>0</v>
      </c>
      <c r="J44" s="10">
        <v>592</v>
      </c>
      <c r="K44" s="11">
        <f t="shared" si="0"/>
        <v>6100</v>
      </c>
      <c r="L44" s="10">
        <v>2354</v>
      </c>
      <c r="M44" s="11">
        <f t="shared" si="1"/>
        <v>2354</v>
      </c>
      <c r="N44" s="11">
        <v>42996</v>
      </c>
    </row>
    <row r="45" spans="1:14">
      <c r="A45" s="1" t="s">
        <v>1</v>
      </c>
      <c r="B45" s="16" t="s">
        <v>94</v>
      </c>
      <c r="C45" s="59">
        <v>56749</v>
      </c>
      <c r="D45" s="60">
        <v>59690</v>
      </c>
      <c r="E45" s="60">
        <v>511</v>
      </c>
      <c r="F45" s="60">
        <v>668</v>
      </c>
      <c r="G45" s="60">
        <v>0</v>
      </c>
      <c r="H45" s="60">
        <v>0</v>
      </c>
      <c r="I45" s="60">
        <v>0</v>
      </c>
      <c r="J45" s="19">
        <v>592</v>
      </c>
      <c r="K45" s="20">
        <f t="shared" si="0"/>
        <v>118210</v>
      </c>
      <c r="L45" s="19">
        <v>59924</v>
      </c>
      <c r="M45" s="20">
        <f t="shared" si="1"/>
        <v>59924</v>
      </c>
      <c r="N45" s="20">
        <v>1101951</v>
      </c>
    </row>
    <row r="46" spans="1:14">
      <c r="A46" s="1" t="s">
        <v>1</v>
      </c>
      <c r="B46" s="31" t="s">
        <v>95</v>
      </c>
      <c r="C46" s="53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32">
        <v>0</v>
      </c>
      <c r="K46" s="33">
        <f t="shared" si="0"/>
        <v>0</v>
      </c>
      <c r="L46" s="32">
        <v>0</v>
      </c>
      <c r="M46" s="33">
        <f t="shared" si="1"/>
        <v>0</v>
      </c>
      <c r="N46" s="33">
        <v>19500</v>
      </c>
    </row>
    <row r="47" spans="1:14">
      <c r="A47" s="1" t="s">
        <v>1</v>
      </c>
      <c r="B47" s="7" t="s">
        <v>96</v>
      </c>
      <c r="C47" s="61">
        <v>16800</v>
      </c>
      <c r="D47" s="62">
        <v>16400</v>
      </c>
      <c r="E47" s="62">
        <v>600</v>
      </c>
      <c r="F47" s="62">
        <v>500</v>
      </c>
      <c r="G47" s="62">
        <v>0</v>
      </c>
      <c r="H47" s="62">
        <v>0</v>
      </c>
      <c r="I47" s="62">
        <v>0</v>
      </c>
      <c r="J47" s="10">
        <v>2300</v>
      </c>
      <c r="K47" s="11">
        <f t="shared" si="0"/>
        <v>36600</v>
      </c>
      <c r="L47" s="10">
        <v>17300</v>
      </c>
      <c r="M47" s="11">
        <f t="shared" si="1"/>
        <v>17300</v>
      </c>
      <c r="N47" s="11">
        <v>234200</v>
      </c>
    </row>
    <row r="48" spans="1:14">
      <c r="A48" s="1" t="s">
        <v>1</v>
      </c>
      <c r="B48" s="16" t="s">
        <v>97</v>
      </c>
      <c r="C48" s="59">
        <v>73549</v>
      </c>
      <c r="D48" s="60">
        <v>76090</v>
      </c>
      <c r="E48" s="60">
        <v>1111</v>
      </c>
      <c r="F48" s="60">
        <v>1168</v>
      </c>
      <c r="G48" s="60">
        <v>0</v>
      </c>
      <c r="H48" s="60">
        <v>0</v>
      </c>
      <c r="I48" s="60">
        <v>0</v>
      </c>
      <c r="J48" s="19">
        <v>2892</v>
      </c>
      <c r="K48" s="20">
        <f t="shared" si="0"/>
        <v>154810</v>
      </c>
      <c r="L48" s="19">
        <v>77224</v>
      </c>
      <c r="M48" s="20">
        <f t="shared" si="1"/>
        <v>77224</v>
      </c>
      <c r="N48" s="20">
        <v>1355651</v>
      </c>
    </row>
    <row r="49" spans="1:14">
      <c r="A49" s="1" t="s">
        <v>1</v>
      </c>
      <c r="B49" s="16" t="s">
        <v>98</v>
      </c>
      <c r="C49" s="59">
        <v>308251</v>
      </c>
      <c r="D49" s="60">
        <v>287806</v>
      </c>
      <c r="E49" s="60">
        <v>81809</v>
      </c>
      <c r="F49" s="60">
        <v>108332</v>
      </c>
      <c r="G49" s="60">
        <v>89930</v>
      </c>
      <c r="H49" s="60">
        <v>83260</v>
      </c>
      <c r="I49" s="60">
        <v>67390</v>
      </c>
      <c r="J49" s="19">
        <v>90948</v>
      </c>
      <c r="K49" s="20">
        <f t="shared" si="0"/>
        <v>1117726</v>
      </c>
      <c r="L49" s="19">
        <v>325076</v>
      </c>
      <c r="M49" s="20">
        <f t="shared" si="1"/>
        <v>325076</v>
      </c>
      <c r="N49" s="20">
        <v>6161831</v>
      </c>
    </row>
    <row r="50" spans="1:14">
      <c r="A50" s="1" t="s">
        <v>1</v>
      </c>
      <c r="B50" s="16" t="s">
        <v>99</v>
      </c>
      <c r="C50" s="59">
        <v>294690</v>
      </c>
      <c r="D50" s="60">
        <v>277235</v>
      </c>
      <c r="E50" s="60">
        <v>84016</v>
      </c>
      <c r="F50" s="60">
        <v>110126</v>
      </c>
      <c r="G50" s="60">
        <v>93492</v>
      </c>
      <c r="H50" s="60">
        <v>87578</v>
      </c>
      <c r="I50" s="60">
        <v>70197</v>
      </c>
      <c r="J50" s="19">
        <v>95826</v>
      </c>
      <c r="K50" s="20">
        <f t="shared" si="0"/>
        <v>1113160</v>
      </c>
      <c r="L50" s="19">
        <v>315143</v>
      </c>
      <c r="M50" s="20">
        <f t="shared" si="1"/>
        <v>315143</v>
      </c>
      <c r="N50" s="20">
        <v>6061577</v>
      </c>
    </row>
    <row r="51" spans="1:14">
      <c r="A51" s="1" t="s">
        <v>1</v>
      </c>
      <c r="B51" s="16" t="s">
        <v>100</v>
      </c>
      <c r="C51" s="59">
        <v>294690</v>
      </c>
      <c r="D51" s="60">
        <v>277235</v>
      </c>
      <c r="E51" s="60">
        <v>84016</v>
      </c>
      <c r="F51" s="60">
        <v>110126</v>
      </c>
      <c r="G51" s="60">
        <v>93492</v>
      </c>
      <c r="H51" s="60">
        <v>87578</v>
      </c>
      <c r="I51" s="60">
        <v>70197</v>
      </c>
      <c r="J51" s="19">
        <v>95826</v>
      </c>
      <c r="K51" s="20">
        <f t="shared" si="0"/>
        <v>1113160</v>
      </c>
      <c r="L51" s="19">
        <v>315143</v>
      </c>
      <c r="M51" s="20">
        <f t="shared" si="1"/>
        <v>315143</v>
      </c>
      <c r="N51" s="20">
        <v>6061577</v>
      </c>
    </row>
    <row r="52" spans="1:14">
      <c r="A52" s="1" t="s">
        <v>1</v>
      </c>
      <c r="B52" s="16" t="s">
        <v>101</v>
      </c>
      <c r="C52" s="59">
        <v>0</v>
      </c>
      <c r="D52" s="60">
        <v>1</v>
      </c>
      <c r="E52" s="60">
        <v>0</v>
      </c>
      <c r="F52" s="60">
        <v>0</v>
      </c>
      <c r="G52" s="60">
        <v>1</v>
      </c>
      <c r="H52" s="60">
        <v>1</v>
      </c>
      <c r="I52" s="60">
        <v>1</v>
      </c>
      <c r="J52" s="19">
        <v>1</v>
      </c>
      <c r="K52" s="20"/>
      <c r="L52" s="19">
        <v>0</v>
      </c>
      <c r="M52" s="20"/>
      <c r="N52" s="20"/>
    </row>
    <row r="53" spans="1:14">
      <c r="A53" s="1" t="s">
        <v>1</v>
      </c>
      <c r="B53" s="16" t="s">
        <v>102</v>
      </c>
      <c r="C53" s="63" t="s">
        <v>103</v>
      </c>
      <c r="D53" s="64" t="s">
        <v>103</v>
      </c>
      <c r="E53" s="64" t="s">
        <v>103</v>
      </c>
      <c r="F53" s="64" t="s">
        <v>103</v>
      </c>
      <c r="G53" s="64" t="s">
        <v>103</v>
      </c>
      <c r="H53" s="64" t="s">
        <v>103</v>
      </c>
      <c r="I53" s="64" t="s">
        <v>103</v>
      </c>
      <c r="J53" s="21" t="s">
        <v>103</v>
      </c>
      <c r="K53" s="22"/>
      <c r="L53" s="21" t="s">
        <v>103</v>
      </c>
      <c r="M53" s="22"/>
      <c r="N53" s="22"/>
    </row>
    <row r="54" spans="1:14">
      <c r="A54" s="1" t="s">
        <v>1</v>
      </c>
      <c r="B54" s="16" t="s">
        <v>104</v>
      </c>
      <c r="C54" s="59">
        <v>9050</v>
      </c>
      <c r="D54" s="60">
        <v>6290</v>
      </c>
      <c r="E54" s="60">
        <v>0</v>
      </c>
      <c r="F54" s="60">
        <v>1150</v>
      </c>
      <c r="G54" s="60">
        <v>0</v>
      </c>
      <c r="H54" s="60">
        <v>0</v>
      </c>
      <c r="I54" s="60">
        <v>0</v>
      </c>
      <c r="J54" s="19">
        <v>0</v>
      </c>
      <c r="K54" s="20">
        <f t="shared" si="0"/>
        <v>16490</v>
      </c>
      <c r="L54" s="19">
        <v>10430</v>
      </c>
      <c r="M54" s="20">
        <f t="shared" si="1"/>
        <v>10430</v>
      </c>
      <c r="N54" s="20">
        <v>143410</v>
      </c>
    </row>
    <row r="55" spans="1:14">
      <c r="A55" s="1" t="s">
        <v>1</v>
      </c>
      <c r="B55" s="16" t="s">
        <v>105</v>
      </c>
      <c r="C55" s="59">
        <v>9050</v>
      </c>
      <c r="D55" s="60">
        <v>6290</v>
      </c>
      <c r="E55" s="60">
        <v>0</v>
      </c>
      <c r="F55" s="60">
        <v>1150</v>
      </c>
      <c r="G55" s="60">
        <v>0</v>
      </c>
      <c r="H55" s="60">
        <v>0</v>
      </c>
      <c r="I55" s="60">
        <v>0</v>
      </c>
      <c r="J55" s="19">
        <v>0</v>
      </c>
      <c r="K55" s="20">
        <f t="shared" si="0"/>
        <v>16490</v>
      </c>
      <c r="L55" s="19">
        <v>10430</v>
      </c>
      <c r="M55" s="20">
        <f t="shared" si="1"/>
        <v>10430</v>
      </c>
      <c r="N55" s="20">
        <v>143410</v>
      </c>
    </row>
    <row r="56" spans="1:14" ht="19.5" thickBot="1">
      <c r="A56" s="1" t="s">
        <v>1</v>
      </c>
      <c r="B56" s="12" t="s">
        <v>106</v>
      </c>
      <c r="C56" s="65">
        <v>90000</v>
      </c>
      <c r="D56" s="66">
        <v>60000</v>
      </c>
      <c r="E56" s="66">
        <v>0</v>
      </c>
      <c r="F56" s="66">
        <v>30000</v>
      </c>
      <c r="G56" s="66">
        <v>60000</v>
      </c>
      <c r="H56" s="66">
        <v>60000</v>
      </c>
      <c r="I56" s="66">
        <v>60000</v>
      </c>
      <c r="J56" s="13">
        <v>60000</v>
      </c>
      <c r="K56" s="14">
        <f t="shared" si="0"/>
        <v>420000</v>
      </c>
      <c r="L56" s="13">
        <v>30000</v>
      </c>
      <c r="M56" s="14">
        <f t="shared" si="1"/>
        <v>30000</v>
      </c>
      <c r="N56" s="14"/>
    </row>
  </sheetData>
  <phoneticPr fontId="3"/>
  <pageMargins left="0.11811023622047245" right="0.11811023622047245" top="0.15748031496062992" bottom="0.15748031496062992" header="0.11811023622047245" footer="0.11811023622047245"/>
  <pageSetup paperSize="12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8268-4831-4AE0-B94A-4A7F02D251B5}">
  <sheetPr>
    <pageSetUpPr fitToPage="1"/>
  </sheetPr>
  <dimension ref="A1:U56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1" width="12" style="2" customWidth="1"/>
    <col min="22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53" width="11.125" style="2" bestFit="1" customWidth="1"/>
    <col min="254" max="254" width="9" style="2"/>
    <col min="255" max="266" width="11.125" style="2" bestFit="1" customWidth="1"/>
    <col min="267" max="267" width="9" style="2"/>
    <col min="268" max="274" width="11.125" style="2" bestFit="1" customWidth="1"/>
    <col min="275" max="275" width="9.625" style="2" bestFit="1" customWidth="1"/>
    <col min="276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09" width="11.125" style="2" bestFit="1" customWidth="1"/>
    <col min="510" max="510" width="9" style="2"/>
    <col min="511" max="522" width="11.125" style="2" bestFit="1" customWidth="1"/>
    <col min="523" max="523" width="9" style="2"/>
    <col min="524" max="530" width="11.125" style="2" bestFit="1" customWidth="1"/>
    <col min="531" max="531" width="9.625" style="2" bestFit="1" customWidth="1"/>
    <col min="532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65" width="11.125" style="2" bestFit="1" customWidth="1"/>
    <col min="766" max="766" width="9" style="2"/>
    <col min="767" max="778" width="11.125" style="2" bestFit="1" customWidth="1"/>
    <col min="779" max="779" width="9" style="2"/>
    <col min="780" max="786" width="11.125" style="2" bestFit="1" customWidth="1"/>
    <col min="787" max="787" width="9.625" style="2" bestFit="1" customWidth="1"/>
    <col min="788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21" width="11.125" style="2" bestFit="1" customWidth="1"/>
    <col min="1022" max="1022" width="9" style="2"/>
    <col min="1023" max="1034" width="11.125" style="2" bestFit="1" customWidth="1"/>
    <col min="1035" max="1035" width="9" style="2"/>
    <col min="1036" max="1042" width="11.125" style="2" bestFit="1" customWidth="1"/>
    <col min="1043" max="1043" width="9.625" style="2" bestFit="1" customWidth="1"/>
    <col min="1044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77" width="11.125" style="2" bestFit="1" customWidth="1"/>
    <col min="1278" max="1278" width="9" style="2"/>
    <col min="1279" max="1290" width="11.125" style="2" bestFit="1" customWidth="1"/>
    <col min="1291" max="1291" width="9" style="2"/>
    <col min="1292" max="1298" width="11.125" style="2" bestFit="1" customWidth="1"/>
    <col min="1299" max="1299" width="9.625" style="2" bestFit="1" customWidth="1"/>
    <col min="1300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33" width="11.125" style="2" bestFit="1" customWidth="1"/>
    <col min="1534" max="1534" width="9" style="2"/>
    <col min="1535" max="1546" width="11.125" style="2" bestFit="1" customWidth="1"/>
    <col min="1547" max="1547" width="9" style="2"/>
    <col min="1548" max="1554" width="11.125" style="2" bestFit="1" customWidth="1"/>
    <col min="1555" max="1555" width="9.625" style="2" bestFit="1" customWidth="1"/>
    <col min="1556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89" width="11.125" style="2" bestFit="1" customWidth="1"/>
    <col min="1790" max="1790" width="9" style="2"/>
    <col min="1791" max="1802" width="11.125" style="2" bestFit="1" customWidth="1"/>
    <col min="1803" max="1803" width="9" style="2"/>
    <col min="1804" max="1810" width="11.125" style="2" bestFit="1" customWidth="1"/>
    <col min="1811" max="1811" width="9.625" style="2" bestFit="1" customWidth="1"/>
    <col min="1812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45" width="11.125" style="2" bestFit="1" customWidth="1"/>
    <col min="2046" max="2046" width="9" style="2"/>
    <col min="2047" max="2058" width="11.125" style="2" bestFit="1" customWidth="1"/>
    <col min="2059" max="2059" width="9" style="2"/>
    <col min="2060" max="2066" width="11.125" style="2" bestFit="1" customWidth="1"/>
    <col min="2067" max="2067" width="9.625" style="2" bestFit="1" customWidth="1"/>
    <col min="2068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01" width="11.125" style="2" bestFit="1" customWidth="1"/>
    <col min="2302" max="2302" width="9" style="2"/>
    <col min="2303" max="2314" width="11.125" style="2" bestFit="1" customWidth="1"/>
    <col min="2315" max="2315" width="9" style="2"/>
    <col min="2316" max="2322" width="11.125" style="2" bestFit="1" customWidth="1"/>
    <col min="2323" max="2323" width="9.625" style="2" bestFit="1" customWidth="1"/>
    <col min="2324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57" width="11.125" style="2" bestFit="1" customWidth="1"/>
    <col min="2558" max="2558" width="9" style="2"/>
    <col min="2559" max="2570" width="11.125" style="2" bestFit="1" customWidth="1"/>
    <col min="2571" max="2571" width="9" style="2"/>
    <col min="2572" max="2578" width="11.125" style="2" bestFit="1" customWidth="1"/>
    <col min="2579" max="2579" width="9.625" style="2" bestFit="1" customWidth="1"/>
    <col min="2580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13" width="11.125" style="2" bestFit="1" customWidth="1"/>
    <col min="2814" max="2814" width="9" style="2"/>
    <col min="2815" max="2826" width="11.125" style="2" bestFit="1" customWidth="1"/>
    <col min="2827" max="2827" width="9" style="2"/>
    <col min="2828" max="2834" width="11.125" style="2" bestFit="1" customWidth="1"/>
    <col min="2835" max="2835" width="9.625" style="2" bestFit="1" customWidth="1"/>
    <col min="2836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69" width="11.125" style="2" bestFit="1" customWidth="1"/>
    <col min="3070" max="3070" width="9" style="2"/>
    <col min="3071" max="3082" width="11.125" style="2" bestFit="1" customWidth="1"/>
    <col min="3083" max="3083" width="9" style="2"/>
    <col min="3084" max="3090" width="11.125" style="2" bestFit="1" customWidth="1"/>
    <col min="3091" max="3091" width="9.625" style="2" bestFit="1" customWidth="1"/>
    <col min="3092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25" width="11.125" style="2" bestFit="1" customWidth="1"/>
    <col min="3326" max="3326" width="9" style="2"/>
    <col min="3327" max="3338" width="11.125" style="2" bestFit="1" customWidth="1"/>
    <col min="3339" max="3339" width="9" style="2"/>
    <col min="3340" max="3346" width="11.125" style="2" bestFit="1" customWidth="1"/>
    <col min="3347" max="3347" width="9.625" style="2" bestFit="1" customWidth="1"/>
    <col min="3348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81" width="11.125" style="2" bestFit="1" customWidth="1"/>
    <col min="3582" max="3582" width="9" style="2"/>
    <col min="3583" max="3594" width="11.125" style="2" bestFit="1" customWidth="1"/>
    <col min="3595" max="3595" width="9" style="2"/>
    <col min="3596" max="3602" width="11.125" style="2" bestFit="1" customWidth="1"/>
    <col min="3603" max="3603" width="9.625" style="2" bestFit="1" customWidth="1"/>
    <col min="3604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37" width="11.125" style="2" bestFit="1" customWidth="1"/>
    <col min="3838" max="3838" width="9" style="2"/>
    <col min="3839" max="3850" width="11.125" style="2" bestFit="1" customWidth="1"/>
    <col min="3851" max="3851" width="9" style="2"/>
    <col min="3852" max="3858" width="11.125" style="2" bestFit="1" customWidth="1"/>
    <col min="3859" max="3859" width="9.625" style="2" bestFit="1" customWidth="1"/>
    <col min="3860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093" width="11.125" style="2" bestFit="1" customWidth="1"/>
    <col min="4094" max="4094" width="9" style="2"/>
    <col min="4095" max="4106" width="11.125" style="2" bestFit="1" customWidth="1"/>
    <col min="4107" max="4107" width="9" style="2"/>
    <col min="4108" max="4114" width="11.125" style="2" bestFit="1" customWidth="1"/>
    <col min="4115" max="4115" width="9.625" style="2" bestFit="1" customWidth="1"/>
    <col min="4116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49" width="11.125" style="2" bestFit="1" customWidth="1"/>
    <col min="4350" max="4350" width="9" style="2"/>
    <col min="4351" max="4362" width="11.125" style="2" bestFit="1" customWidth="1"/>
    <col min="4363" max="4363" width="9" style="2"/>
    <col min="4364" max="4370" width="11.125" style="2" bestFit="1" customWidth="1"/>
    <col min="4371" max="4371" width="9.625" style="2" bestFit="1" customWidth="1"/>
    <col min="4372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05" width="11.125" style="2" bestFit="1" customWidth="1"/>
    <col min="4606" max="4606" width="9" style="2"/>
    <col min="4607" max="4618" width="11.125" style="2" bestFit="1" customWidth="1"/>
    <col min="4619" max="4619" width="9" style="2"/>
    <col min="4620" max="4626" width="11.125" style="2" bestFit="1" customWidth="1"/>
    <col min="4627" max="4627" width="9.625" style="2" bestFit="1" customWidth="1"/>
    <col min="4628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61" width="11.125" style="2" bestFit="1" customWidth="1"/>
    <col min="4862" max="4862" width="9" style="2"/>
    <col min="4863" max="4874" width="11.125" style="2" bestFit="1" customWidth="1"/>
    <col min="4875" max="4875" width="9" style="2"/>
    <col min="4876" max="4882" width="11.125" style="2" bestFit="1" customWidth="1"/>
    <col min="4883" max="4883" width="9.625" style="2" bestFit="1" customWidth="1"/>
    <col min="4884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17" width="11.125" style="2" bestFit="1" customWidth="1"/>
    <col min="5118" max="5118" width="9" style="2"/>
    <col min="5119" max="5130" width="11.125" style="2" bestFit="1" customWidth="1"/>
    <col min="5131" max="5131" width="9" style="2"/>
    <col min="5132" max="5138" width="11.125" style="2" bestFit="1" customWidth="1"/>
    <col min="5139" max="5139" width="9.625" style="2" bestFit="1" customWidth="1"/>
    <col min="5140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73" width="11.125" style="2" bestFit="1" customWidth="1"/>
    <col min="5374" max="5374" width="9" style="2"/>
    <col min="5375" max="5386" width="11.125" style="2" bestFit="1" customWidth="1"/>
    <col min="5387" max="5387" width="9" style="2"/>
    <col min="5388" max="5394" width="11.125" style="2" bestFit="1" customWidth="1"/>
    <col min="5395" max="5395" width="9.625" style="2" bestFit="1" customWidth="1"/>
    <col min="5396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29" width="11.125" style="2" bestFit="1" customWidth="1"/>
    <col min="5630" max="5630" width="9" style="2"/>
    <col min="5631" max="5642" width="11.125" style="2" bestFit="1" customWidth="1"/>
    <col min="5643" max="5643" width="9" style="2"/>
    <col min="5644" max="5650" width="11.125" style="2" bestFit="1" customWidth="1"/>
    <col min="5651" max="5651" width="9.625" style="2" bestFit="1" customWidth="1"/>
    <col min="5652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85" width="11.125" style="2" bestFit="1" customWidth="1"/>
    <col min="5886" max="5886" width="9" style="2"/>
    <col min="5887" max="5898" width="11.125" style="2" bestFit="1" customWidth="1"/>
    <col min="5899" max="5899" width="9" style="2"/>
    <col min="5900" max="5906" width="11.125" style="2" bestFit="1" customWidth="1"/>
    <col min="5907" max="5907" width="9.625" style="2" bestFit="1" customWidth="1"/>
    <col min="5908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41" width="11.125" style="2" bestFit="1" customWidth="1"/>
    <col min="6142" max="6142" width="9" style="2"/>
    <col min="6143" max="6154" width="11.125" style="2" bestFit="1" customWidth="1"/>
    <col min="6155" max="6155" width="9" style="2"/>
    <col min="6156" max="6162" width="11.125" style="2" bestFit="1" customWidth="1"/>
    <col min="6163" max="6163" width="9.625" style="2" bestFit="1" customWidth="1"/>
    <col min="6164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397" width="11.125" style="2" bestFit="1" customWidth="1"/>
    <col min="6398" max="6398" width="9" style="2"/>
    <col min="6399" max="6410" width="11.125" style="2" bestFit="1" customWidth="1"/>
    <col min="6411" max="6411" width="9" style="2"/>
    <col min="6412" max="6418" width="11.125" style="2" bestFit="1" customWidth="1"/>
    <col min="6419" max="6419" width="9.625" style="2" bestFit="1" customWidth="1"/>
    <col min="6420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53" width="11.125" style="2" bestFit="1" customWidth="1"/>
    <col min="6654" max="6654" width="9" style="2"/>
    <col min="6655" max="6666" width="11.125" style="2" bestFit="1" customWidth="1"/>
    <col min="6667" max="6667" width="9" style="2"/>
    <col min="6668" max="6674" width="11.125" style="2" bestFit="1" customWidth="1"/>
    <col min="6675" max="6675" width="9.625" style="2" bestFit="1" customWidth="1"/>
    <col min="6676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09" width="11.125" style="2" bestFit="1" customWidth="1"/>
    <col min="6910" max="6910" width="9" style="2"/>
    <col min="6911" max="6922" width="11.125" style="2" bestFit="1" customWidth="1"/>
    <col min="6923" max="6923" width="9" style="2"/>
    <col min="6924" max="6930" width="11.125" style="2" bestFit="1" customWidth="1"/>
    <col min="6931" max="6931" width="9.625" style="2" bestFit="1" customWidth="1"/>
    <col min="6932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65" width="11.125" style="2" bestFit="1" customWidth="1"/>
    <col min="7166" max="7166" width="9" style="2"/>
    <col min="7167" max="7178" width="11.125" style="2" bestFit="1" customWidth="1"/>
    <col min="7179" max="7179" width="9" style="2"/>
    <col min="7180" max="7186" width="11.125" style="2" bestFit="1" customWidth="1"/>
    <col min="7187" max="7187" width="9.625" style="2" bestFit="1" customWidth="1"/>
    <col min="7188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21" width="11.125" style="2" bestFit="1" customWidth="1"/>
    <col min="7422" max="7422" width="9" style="2"/>
    <col min="7423" max="7434" width="11.125" style="2" bestFit="1" customWidth="1"/>
    <col min="7435" max="7435" width="9" style="2"/>
    <col min="7436" max="7442" width="11.125" style="2" bestFit="1" customWidth="1"/>
    <col min="7443" max="7443" width="9.625" style="2" bestFit="1" customWidth="1"/>
    <col min="7444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77" width="11.125" style="2" bestFit="1" customWidth="1"/>
    <col min="7678" max="7678" width="9" style="2"/>
    <col min="7679" max="7690" width="11.125" style="2" bestFit="1" customWidth="1"/>
    <col min="7691" max="7691" width="9" style="2"/>
    <col min="7692" max="7698" width="11.125" style="2" bestFit="1" customWidth="1"/>
    <col min="7699" max="7699" width="9.625" style="2" bestFit="1" customWidth="1"/>
    <col min="7700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33" width="11.125" style="2" bestFit="1" customWidth="1"/>
    <col min="7934" max="7934" width="9" style="2"/>
    <col min="7935" max="7946" width="11.125" style="2" bestFit="1" customWidth="1"/>
    <col min="7947" max="7947" width="9" style="2"/>
    <col min="7948" max="7954" width="11.125" style="2" bestFit="1" customWidth="1"/>
    <col min="7955" max="7955" width="9.625" style="2" bestFit="1" customWidth="1"/>
    <col min="7956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89" width="11.125" style="2" bestFit="1" customWidth="1"/>
    <col min="8190" max="8190" width="9" style="2"/>
    <col min="8191" max="8202" width="11.125" style="2" bestFit="1" customWidth="1"/>
    <col min="8203" max="8203" width="9" style="2"/>
    <col min="8204" max="8210" width="11.125" style="2" bestFit="1" customWidth="1"/>
    <col min="8211" max="8211" width="9.625" style="2" bestFit="1" customWidth="1"/>
    <col min="8212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45" width="11.125" style="2" bestFit="1" customWidth="1"/>
    <col min="8446" max="8446" width="9" style="2"/>
    <col min="8447" max="8458" width="11.125" style="2" bestFit="1" customWidth="1"/>
    <col min="8459" max="8459" width="9" style="2"/>
    <col min="8460" max="8466" width="11.125" style="2" bestFit="1" customWidth="1"/>
    <col min="8467" max="8467" width="9.625" style="2" bestFit="1" customWidth="1"/>
    <col min="8468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01" width="11.125" style="2" bestFit="1" customWidth="1"/>
    <col min="8702" max="8702" width="9" style="2"/>
    <col min="8703" max="8714" width="11.125" style="2" bestFit="1" customWidth="1"/>
    <col min="8715" max="8715" width="9" style="2"/>
    <col min="8716" max="8722" width="11.125" style="2" bestFit="1" customWidth="1"/>
    <col min="8723" max="8723" width="9.625" style="2" bestFit="1" customWidth="1"/>
    <col min="8724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57" width="11.125" style="2" bestFit="1" customWidth="1"/>
    <col min="8958" max="8958" width="9" style="2"/>
    <col min="8959" max="8970" width="11.125" style="2" bestFit="1" customWidth="1"/>
    <col min="8971" max="8971" width="9" style="2"/>
    <col min="8972" max="8978" width="11.125" style="2" bestFit="1" customWidth="1"/>
    <col min="8979" max="8979" width="9.625" style="2" bestFit="1" customWidth="1"/>
    <col min="8980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13" width="11.125" style="2" bestFit="1" customWidth="1"/>
    <col min="9214" max="9214" width="9" style="2"/>
    <col min="9215" max="9226" width="11.125" style="2" bestFit="1" customWidth="1"/>
    <col min="9227" max="9227" width="9" style="2"/>
    <col min="9228" max="9234" width="11.125" style="2" bestFit="1" customWidth="1"/>
    <col min="9235" max="9235" width="9.625" style="2" bestFit="1" customWidth="1"/>
    <col min="9236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69" width="11.125" style="2" bestFit="1" customWidth="1"/>
    <col min="9470" max="9470" width="9" style="2"/>
    <col min="9471" max="9482" width="11.125" style="2" bestFit="1" customWidth="1"/>
    <col min="9483" max="9483" width="9" style="2"/>
    <col min="9484" max="9490" width="11.125" style="2" bestFit="1" customWidth="1"/>
    <col min="9491" max="9491" width="9.625" style="2" bestFit="1" customWidth="1"/>
    <col min="9492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25" width="11.125" style="2" bestFit="1" customWidth="1"/>
    <col min="9726" max="9726" width="9" style="2"/>
    <col min="9727" max="9738" width="11.125" style="2" bestFit="1" customWidth="1"/>
    <col min="9739" max="9739" width="9" style="2"/>
    <col min="9740" max="9746" width="11.125" style="2" bestFit="1" customWidth="1"/>
    <col min="9747" max="9747" width="9.625" style="2" bestFit="1" customWidth="1"/>
    <col min="9748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81" width="11.125" style="2" bestFit="1" customWidth="1"/>
    <col min="9982" max="9982" width="9" style="2"/>
    <col min="9983" max="9994" width="11.125" style="2" bestFit="1" customWidth="1"/>
    <col min="9995" max="9995" width="9" style="2"/>
    <col min="9996" max="10002" width="11.125" style="2" bestFit="1" customWidth="1"/>
    <col min="10003" max="10003" width="9.625" style="2" bestFit="1" customWidth="1"/>
    <col min="10004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37" width="11.125" style="2" bestFit="1" customWidth="1"/>
    <col min="10238" max="10238" width="9" style="2"/>
    <col min="10239" max="10250" width="11.125" style="2" bestFit="1" customWidth="1"/>
    <col min="10251" max="10251" width="9" style="2"/>
    <col min="10252" max="10258" width="11.125" style="2" bestFit="1" customWidth="1"/>
    <col min="10259" max="10259" width="9.625" style="2" bestFit="1" customWidth="1"/>
    <col min="10260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493" width="11.125" style="2" bestFit="1" customWidth="1"/>
    <col min="10494" max="10494" width="9" style="2"/>
    <col min="10495" max="10506" width="11.125" style="2" bestFit="1" customWidth="1"/>
    <col min="10507" max="10507" width="9" style="2"/>
    <col min="10508" max="10514" width="11.125" style="2" bestFit="1" customWidth="1"/>
    <col min="10515" max="10515" width="9.625" style="2" bestFit="1" customWidth="1"/>
    <col min="10516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49" width="11.125" style="2" bestFit="1" customWidth="1"/>
    <col min="10750" max="10750" width="9" style="2"/>
    <col min="10751" max="10762" width="11.125" style="2" bestFit="1" customWidth="1"/>
    <col min="10763" max="10763" width="9" style="2"/>
    <col min="10764" max="10770" width="11.125" style="2" bestFit="1" customWidth="1"/>
    <col min="10771" max="10771" width="9.625" style="2" bestFit="1" customWidth="1"/>
    <col min="10772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05" width="11.125" style="2" bestFit="1" customWidth="1"/>
    <col min="11006" max="11006" width="9" style="2"/>
    <col min="11007" max="11018" width="11.125" style="2" bestFit="1" customWidth="1"/>
    <col min="11019" max="11019" width="9" style="2"/>
    <col min="11020" max="11026" width="11.125" style="2" bestFit="1" customWidth="1"/>
    <col min="11027" max="11027" width="9.625" style="2" bestFit="1" customWidth="1"/>
    <col min="11028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61" width="11.125" style="2" bestFit="1" customWidth="1"/>
    <col min="11262" max="11262" width="9" style="2"/>
    <col min="11263" max="11274" width="11.125" style="2" bestFit="1" customWidth="1"/>
    <col min="11275" max="11275" width="9" style="2"/>
    <col min="11276" max="11282" width="11.125" style="2" bestFit="1" customWidth="1"/>
    <col min="11283" max="11283" width="9.625" style="2" bestFit="1" customWidth="1"/>
    <col min="11284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17" width="11.125" style="2" bestFit="1" customWidth="1"/>
    <col min="11518" max="11518" width="9" style="2"/>
    <col min="11519" max="11530" width="11.125" style="2" bestFit="1" customWidth="1"/>
    <col min="11531" max="11531" width="9" style="2"/>
    <col min="11532" max="11538" width="11.125" style="2" bestFit="1" customWidth="1"/>
    <col min="11539" max="11539" width="9.625" style="2" bestFit="1" customWidth="1"/>
    <col min="11540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73" width="11.125" style="2" bestFit="1" customWidth="1"/>
    <col min="11774" max="11774" width="9" style="2"/>
    <col min="11775" max="11786" width="11.125" style="2" bestFit="1" customWidth="1"/>
    <col min="11787" max="11787" width="9" style="2"/>
    <col min="11788" max="11794" width="11.125" style="2" bestFit="1" customWidth="1"/>
    <col min="11795" max="11795" width="9.625" style="2" bestFit="1" customWidth="1"/>
    <col min="11796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29" width="11.125" style="2" bestFit="1" customWidth="1"/>
    <col min="12030" max="12030" width="9" style="2"/>
    <col min="12031" max="12042" width="11.125" style="2" bestFit="1" customWidth="1"/>
    <col min="12043" max="12043" width="9" style="2"/>
    <col min="12044" max="12050" width="11.125" style="2" bestFit="1" customWidth="1"/>
    <col min="12051" max="12051" width="9.625" style="2" bestFit="1" customWidth="1"/>
    <col min="12052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85" width="11.125" style="2" bestFit="1" customWidth="1"/>
    <col min="12286" max="12286" width="9" style="2"/>
    <col min="12287" max="12298" width="11.125" style="2" bestFit="1" customWidth="1"/>
    <col min="12299" max="12299" width="9" style="2"/>
    <col min="12300" max="12306" width="11.125" style="2" bestFit="1" customWidth="1"/>
    <col min="12307" max="12307" width="9.625" style="2" bestFit="1" customWidth="1"/>
    <col min="12308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41" width="11.125" style="2" bestFit="1" customWidth="1"/>
    <col min="12542" max="12542" width="9" style="2"/>
    <col min="12543" max="12554" width="11.125" style="2" bestFit="1" customWidth="1"/>
    <col min="12555" max="12555" width="9" style="2"/>
    <col min="12556" max="12562" width="11.125" style="2" bestFit="1" customWidth="1"/>
    <col min="12563" max="12563" width="9.625" style="2" bestFit="1" customWidth="1"/>
    <col min="12564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797" width="11.125" style="2" bestFit="1" customWidth="1"/>
    <col min="12798" max="12798" width="9" style="2"/>
    <col min="12799" max="12810" width="11.125" style="2" bestFit="1" customWidth="1"/>
    <col min="12811" max="12811" width="9" style="2"/>
    <col min="12812" max="12818" width="11.125" style="2" bestFit="1" customWidth="1"/>
    <col min="12819" max="12819" width="9.625" style="2" bestFit="1" customWidth="1"/>
    <col min="12820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53" width="11.125" style="2" bestFit="1" customWidth="1"/>
    <col min="13054" max="13054" width="9" style="2"/>
    <col min="13055" max="13066" width="11.125" style="2" bestFit="1" customWidth="1"/>
    <col min="13067" max="13067" width="9" style="2"/>
    <col min="13068" max="13074" width="11.125" style="2" bestFit="1" customWidth="1"/>
    <col min="13075" max="13075" width="9.625" style="2" bestFit="1" customWidth="1"/>
    <col min="13076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09" width="11.125" style="2" bestFit="1" customWidth="1"/>
    <col min="13310" max="13310" width="9" style="2"/>
    <col min="13311" max="13322" width="11.125" style="2" bestFit="1" customWidth="1"/>
    <col min="13323" max="13323" width="9" style="2"/>
    <col min="13324" max="13330" width="11.125" style="2" bestFit="1" customWidth="1"/>
    <col min="13331" max="13331" width="9.625" style="2" bestFit="1" customWidth="1"/>
    <col min="13332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65" width="11.125" style="2" bestFit="1" customWidth="1"/>
    <col min="13566" max="13566" width="9" style="2"/>
    <col min="13567" max="13578" width="11.125" style="2" bestFit="1" customWidth="1"/>
    <col min="13579" max="13579" width="9" style="2"/>
    <col min="13580" max="13586" width="11.125" style="2" bestFit="1" customWidth="1"/>
    <col min="13587" max="13587" width="9.625" style="2" bestFit="1" customWidth="1"/>
    <col min="13588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21" width="11.125" style="2" bestFit="1" customWidth="1"/>
    <col min="13822" max="13822" width="9" style="2"/>
    <col min="13823" max="13834" width="11.125" style="2" bestFit="1" customWidth="1"/>
    <col min="13835" max="13835" width="9" style="2"/>
    <col min="13836" max="13842" width="11.125" style="2" bestFit="1" customWidth="1"/>
    <col min="13843" max="13843" width="9.625" style="2" bestFit="1" customWidth="1"/>
    <col min="13844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77" width="11.125" style="2" bestFit="1" customWidth="1"/>
    <col min="14078" max="14078" width="9" style="2"/>
    <col min="14079" max="14090" width="11.125" style="2" bestFit="1" customWidth="1"/>
    <col min="14091" max="14091" width="9" style="2"/>
    <col min="14092" max="14098" width="11.125" style="2" bestFit="1" customWidth="1"/>
    <col min="14099" max="14099" width="9.625" style="2" bestFit="1" customWidth="1"/>
    <col min="14100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33" width="11.125" style="2" bestFit="1" customWidth="1"/>
    <col min="14334" max="14334" width="9" style="2"/>
    <col min="14335" max="14346" width="11.125" style="2" bestFit="1" customWidth="1"/>
    <col min="14347" max="14347" width="9" style="2"/>
    <col min="14348" max="14354" width="11.125" style="2" bestFit="1" customWidth="1"/>
    <col min="14355" max="14355" width="9.625" style="2" bestFit="1" customWidth="1"/>
    <col min="14356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89" width="11.125" style="2" bestFit="1" customWidth="1"/>
    <col min="14590" max="14590" width="9" style="2"/>
    <col min="14591" max="14602" width="11.125" style="2" bestFit="1" customWidth="1"/>
    <col min="14603" max="14603" width="9" style="2"/>
    <col min="14604" max="14610" width="11.125" style="2" bestFit="1" customWidth="1"/>
    <col min="14611" max="14611" width="9.625" style="2" bestFit="1" customWidth="1"/>
    <col min="14612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45" width="11.125" style="2" bestFit="1" customWidth="1"/>
    <col min="14846" max="14846" width="9" style="2"/>
    <col min="14847" max="14858" width="11.125" style="2" bestFit="1" customWidth="1"/>
    <col min="14859" max="14859" width="9" style="2"/>
    <col min="14860" max="14866" width="11.125" style="2" bestFit="1" customWidth="1"/>
    <col min="14867" max="14867" width="9.625" style="2" bestFit="1" customWidth="1"/>
    <col min="14868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01" width="11.125" style="2" bestFit="1" customWidth="1"/>
    <col min="15102" max="15102" width="9" style="2"/>
    <col min="15103" max="15114" width="11.125" style="2" bestFit="1" customWidth="1"/>
    <col min="15115" max="15115" width="9" style="2"/>
    <col min="15116" max="15122" width="11.125" style="2" bestFit="1" customWidth="1"/>
    <col min="15123" max="15123" width="9.625" style="2" bestFit="1" customWidth="1"/>
    <col min="15124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57" width="11.125" style="2" bestFit="1" customWidth="1"/>
    <col min="15358" max="15358" width="9" style="2"/>
    <col min="15359" max="15370" width="11.125" style="2" bestFit="1" customWidth="1"/>
    <col min="15371" max="15371" width="9" style="2"/>
    <col min="15372" max="15378" width="11.125" style="2" bestFit="1" customWidth="1"/>
    <col min="15379" max="15379" width="9.625" style="2" bestFit="1" customWidth="1"/>
    <col min="15380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13" width="11.125" style="2" bestFit="1" customWidth="1"/>
    <col min="15614" max="15614" width="9" style="2"/>
    <col min="15615" max="15626" width="11.125" style="2" bestFit="1" customWidth="1"/>
    <col min="15627" max="15627" width="9" style="2"/>
    <col min="15628" max="15634" width="11.125" style="2" bestFit="1" customWidth="1"/>
    <col min="15635" max="15635" width="9.625" style="2" bestFit="1" customWidth="1"/>
    <col min="15636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69" width="11.125" style="2" bestFit="1" customWidth="1"/>
    <col min="15870" max="15870" width="9" style="2"/>
    <col min="15871" max="15882" width="11.125" style="2" bestFit="1" customWidth="1"/>
    <col min="15883" max="15883" width="9" style="2"/>
    <col min="15884" max="15890" width="11.125" style="2" bestFit="1" customWidth="1"/>
    <col min="15891" max="15891" width="9.625" style="2" bestFit="1" customWidth="1"/>
    <col min="15892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25" width="11.125" style="2" bestFit="1" customWidth="1"/>
    <col min="16126" max="16126" width="9" style="2"/>
    <col min="16127" max="16138" width="11.125" style="2" bestFit="1" customWidth="1"/>
    <col min="16139" max="16139" width="9" style="2"/>
    <col min="16140" max="16146" width="11.125" style="2" bestFit="1" customWidth="1"/>
    <col min="16147" max="16147" width="9.625" style="2" bestFit="1" customWidth="1"/>
    <col min="16148" max="16384" width="9" style="2"/>
  </cols>
  <sheetData>
    <row r="1" spans="1:21">
      <c r="A1" s="1" t="s">
        <v>0</v>
      </c>
    </row>
    <row r="2" spans="1:21" ht="19.5" thickBot="1">
      <c r="A2" s="1" t="s">
        <v>107</v>
      </c>
    </row>
    <row r="3" spans="1:21">
      <c r="B3" s="15"/>
      <c r="C3" s="80" t="s">
        <v>2</v>
      </c>
      <c r="D3" s="40" t="s">
        <v>3</v>
      </c>
      <c r="E3" s="40" t="s">
        <v>6</v>
      </c>
      <c r="F3" s="40" t="s">
        <v>7</v>
      </c>
      <c r="G3" s="40" t="s">
        <v>8</v>
      </c>
      <c r="H3" s="40" t="s">
        <v>9</v>
      </c>
      <c r="I3" s="40" t="s">
        <v>10</v>
      </c>
      <c r="J3" s="40" t="s">
        <v>11</v>
      </c>
      <c r="K3" s="40" t="s">
        <v>12</v>
      </c>
      <c r="L3" s="40" t="s">
        <v>13</v>
      </c>
      <c r="M3" s="40" t="s">
        <v>14</v>
      </c>
      <c r="N3" s="40" t="s">
        <v>15</v>
      </c>
      <c r="O3" s="40" t="s">
        <v>17</v>
      </c>
      <c r="P3" s="40" t="s">
        <v>18</v>
      </c>
      <c r="Q3" s="40" t="s">
        <v>19</v>
      </c>
      <c r="R3" s="40" t="s">
        <v>20</v>
      </c>
      <c r="S3" s="40" t="s">
        <v>21</v>
      </c>
      <c r="T3" s="81" t="s">
        <v>22</v>
      </c>
      <c r="U3" s="95" t="s">
        <v>109</v>
      </c>
    </row>
    <row r="4" spans="1:21" ht="19.5" thickBot="1">
      <c r="A4" s="4"/>
      <c r="B4" s="6" t="s">
        <v>29</v>
      </c>
      <c r="C4" s="67" t="s">
        <v>30</v>
      </c>
      <c r="D4" s="42" t="s">
        <v>31</v>
      </c>
      <c r="E4" s="42" t="s">
        <v>33</v>
      </c>
      <c r="F4" s="42" t="s">
        <v>34</v>
      </c>
      <c r="G4" s="42" t="s">
        <v>35</v>
      </c>
      <c r="H4" s="42" t="s">
        <v>36</v>
      </c>
      <c r="I4" s="42" t="s">
        <v>37</v>
      </c>
      <c r="J4" s="42" t="s">
        <v>38</v>
      </c>
      <c r="K4" s="42" t="s">
        <v>39</v>
      </c>
      <c r="L4" s="42" t="s">
        <v>40</v>
      </c>
      <c r="M4" s="42" t="s">
        <v>41</v>
      </c>
      <c r="N4" s="42" t="s">
        <v>42</v>
      </c>
      <c r="O4" s="42" t="s">
        <v>44</v>
      </c>
      <c r="P4" s="42" t="s">
        <v>45</v>
      </c>
      <c r="Q4" s="42" t="s">
        <v>46</v>
      </c>
      <c r="R4" s="42" t="s">
        <v>47</v>
      </c>
      <c r="S4" s="42" t="s">
        <v>48</v>
      </c>
      <c r="T4" s="82" t="s">
        <v>49</v>
      </c>
      <c r="U4" s="96" t="s">
        <v>110</v>
      </c>
    </row>
    <row r="5" spans="1:21">
      <c r="A5" s="1" t="s">
        <v>1</v>
      </c>
      <c r="B5" s="23" t="s">
        <v>57</v>
      </c>
      <c r="C5" s="68">
        <v>19</v>
      </c>
      <c r="D5" s="44">
        <v>21</v>
      </c>
      <c r="E5" s="44">
        <v>20</v>
      </c>
      <c r="F5" s="44">
        <v>20</v>
      </c>
      <c r="G5" s="44">
        <v>19</v>
      </c>
      <c r="H5" s="44">
        <v>18</v>
      </c>
      <c r="I5" s="44">
        <v>21</v>
      </c>
      <c r="J5" s="44">
        <v>20</v>
      </c>
      <c r="K5" s="44">
        <v>19</v>
      </c>
      <c r="L5" s="44">
        <v>20</v>
      </c>
      <c r="M5" s="44">
        <v>19</v>
      </c>
      <c r="N5" s="44">
        <v>21</v>
      </c>
      <c r="O5" s="44">
        <v>13</v>
      </c>
      <c r="P5" s="44">
        <v>19</v>
      </c>
      <c r="Q5" s="44">
        <v>17</v>
      </c>
      <c r="R5" s="44">
        <v>19</v>
      </c>
      <c r="S5" s="44">
        <v>19</v>
      </c>
      <c r="T5" s="83">
        <v>21</v>
      </c>
      <c r="U5" s="25">
        <f>SUM(C5:T5)</f>
        <v>345</v>
      </c>
    </row>
    <row r="6" spans="1:21">
      <c r="A6" s="1" t="s">
        <v>1</v>
      </c>
      <c r="B6" s="26" t="s">
        <v>58</v>
      </c>
      <c r="C6" s="69">
        <v>4</v>
      </c>
      <c r="D6" s="46">
        <v>1</v>
      </c>
      <c r="E6" s="46">
        <v>2</v>
      </c>
      <c r="F6" s="46">
        <v>0</v>
      </c>
      <c r="G6" s="46">
        <v>1</v>
      </c>
      <c r="H6" s="46">
        <v>4</v>
      </c>
      <c r="I6" s="46">
        <v>3</v>
      </c>
      <c r="J6" s="46">
        <v>4</v>
      </c>
      <c r="K6" s="46">
        <v>2</v>
      </c>
      <c r="L6" s="46">
        <v>4</v>
      </c>
      <c r="M6" s="46">
        <v>1</v>
      </c>
      <c r="N6" s="46">
        <v>4</v>
      </c>
      <c r="O6" s="46">
        <v>2</v>
      </c>
      <c r="P6" s="46">
        <v>2</v>
      </c>
      <c r="Q6" s="46">
        <v>3</v>
      </c>
      <c r="R6" s="46">
        <v>2</v>
      </c>
      <c r="S6" s="46">
        <v>2</v>
      </c>
      <c r="T6" s="84">
        <v>3</v>
      </c>
      <c r="U6" s="28">
        <f t="shared" ref="U6:U56" si="0">SUM(C6:T6)</f>
        <v>44</v>
      </c>
    </row>
    <row r="7" spans="1:21">
      <c r="A7" s="1" t="s">
        <v>1</v>
      </c>
      <c r="B7" s="26" t="s">
        <v>59</v>
      </c>
      <c r="C7" s="69">
        <v>4</v>
      </c>
      <c r="D7" s="46">
        <v>5</v>
      </c>
      <c r="E7" s="46">
        <v>1</v>
      </c>
      <c r="F7" s="46">
        <v>3</v>
      </c>
      <c r="G7" s="46">
        <v>4</v>
      </c>
      <c r="H7" s="46">
        <v>2</v>
      </c>
      <c r="I7" s="46">
        <v>3</v>
      </c>
      <c r="J7" s="46">
        <v>2</v>
      </c>
      <c r="K7" s="46">
        <v>5</v>
      </c>
      <c r="L7" s="46">
        <v>3</v>
      </c>
      <c r="M7" s="46">
        <v>5</v>
      </c>
      <c r="N7" s="46">
        <v>1</v>
      </c>
      <c r="O7" s="46">
        <v>0</v>
      </c>
      <c r="P7" s="46">
        <v>3</v>
      </c>
      <c r="Q7" s="46">
        <v>3</v>
      </c>
      <c r="R7" s="46">
        <v>3</v>
      </c>
      <c r="S7" s="46">
        <v>1</v>
      </c>
      <c r="T7" s="84">
        <v>3</v>
      </c>
      <c r="U7" s="28">
        <f t="shared" si="0"/>
        <v>51</v>
      </c>
    </row>
    <row r="8" spans="1:21">
      <c r="A8" s="1" t="s">
        <v>1</v>
      </c>
      <c r="B8" s="26" t="s">
        <v>60</v>
      </c>
      <c r="C8" s="69">
        <v>0</v>
      </c>
      <c r="D8" s="46">
        <v>0</v>
      </c>
      <c r="E8" s="46">
        <v>0</v>
      </c>
      <c r="F8" s="46">
        <v>1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1</v>
      </c>
      <c r="N8" s="46">
        <v>0</v>
      </c>
      <c r="O8" s="46">
        <v>0</v>
      </c>
      <c r="P8" s="46">
        <v>0</v>
      </c>
      <c r="Q8" s="46">
        <v>2</v>
      </c>
      <c r="R8" s="46">
        <v>1</v>
      </c>
      <c r="S8" s="46">
        <v>0</v>
      </c>
      <c r="T8" s="84">
        <v>0</v>
      </c>
      <c r="U8" s="28">
        <f t="shared" si="0"/>
        <v>5</v>
      </c>
    </row>
    <row r="9" spans="1:21">
      <c r="A9" s="1" t="s">
        <v>1</v>
      </c>
      <c r="B9" s="26" t="s">
        <v>61</v>
      </c>
      <c r="C9" s="69">
        <v>2</v>
      </c>
      <c r="D9" s="46">
        <v>0</v>
      </c>
      <c r="E9" s="46">
        <v>1</v>
      </c>
      <c r="F9" s="46">
        <v>0</v>
      </c>
      <c r="G9" s="46">
        <v>2</v>
      </c>
      <c r="H9" s="46">
        <v>3</v>
      </c>
      <c r="I9" s="46">
        <v>0</v>
      </c>
      <c r="J9" s="46">
        <v>1</v>
      </c>
      <c r="K9" s="46">
        <v>2</v>
      </c>
      <c r="L9" s="46">
        <v>1</v>
      </c>
      <c r="M9" s="46">
        <v>1</v>
      </c>
      <c r="N9" s="46">
        <v>0</v>
      </c>
      <c r="O9" s="46">
        <v>2</v>
      </c>
      <c r="P9" s="46">
        <v>2.5</v>
      </c>
      <c r="Q9" s="46">
        <v>2</v>
      </c>
      <c r="R9" s="46">
        <v>1</v>
      </c>
      <c r="S9" s="46">
        <v>2</v>
      </c>
      <c r="T9" s="84">
        <v>0</v>
      </c>
      <c r="U9" s="28">
        <f t="shared" si="0"/>
        <v>22.5</v>
      </c>
    </row>
    <row r="10" spans="1:21">
      <c r="A10" s="1" t="s">
        <v>1</v>
      </c>
      <c r="B10" s="26" t="s">
        <v>62</v>
      </c>
      <c r="C10" s="69"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6</v>
      </c>
      <c r="P10" s="46">
        <v>0</v>
      </c>
      <c r="Q10" s="46">
        <v>0</v>
      </c>
      <c r="R10" s="46">
        <v>0</v>
      </c>
      <c r="S10" s="46">
        <v>0</v>
      </c>
      <c r="T10" s="84">
        <v>0</v>
      </c>
      <c r="U10" s="28">
        <f t="shared" si="0"/>
        <v>6</v>
      </c>
    </row>
    <row r="11" spans="1:21">
      <c r="A11" s="1" t="s">
        <v>1</v>
      </c>
      <c r="B11" s="26" t="s">
        <v>63</v>
      </c>
      <c r="C11" s="70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85">
        <v>0</v>
      </c>
      <c r="U11" s="30">
        <f t="shared" si="0"/>
        <v>0</v>
      </c>
    </row>
    <row r="12" spans="1:21">
      <c r="A12" s="1" t="s">
        <v>1</v>
      </c>
      <c r="B12" s="26" t="s">
        <v>64</v>
      </c>
      <c r="C12" s="70">
        <v>0.54166666666666663</v>
      </c>
      <c r="D12" s="48">
        <v>1.2916666666666667</v>
      </c>
      <c r="E12" s="48">
        <v>0.41666666666666669</v>
      </c>
      <c r="F12" s="48">
        <v>2.5416666666666665</v>
      </c>
      <c r="G12" s="48">
        <v>1.0416666666666667</v>
      </c>
      <c r="H12" s="48">
        <v>2.2083333333333335</v>
      </c>
      <c r="I12" s="48">
        <v>1.7916666666666665</v>
      </c>
      <c r="J12" s="48">
        <v>1.0416666666666667</v>
      </c>
      <c r="K12" s="48">
        <v>1.4166666666666667</v>
      </c>
      <c r="L12" s="48">
        <v>1.4583333333333333</v>
      </c>
      <c r="M12" s="48">
        <v>2.5833333333333335</v>
      </c>
      <c r="N12" s="48">
        <v>0.83333333333333337</v>
      </c>
      <c r="O12" s="48">
        <v>1.875</v>
      </c>
      <c r="P12" s="48">
        <v>1.2916666666666667</v>
      </c>
      <c r="Q12" s="48">
        <v>1.875</v>
      </c>
      <c r="R12" s="48">
        <v>3.0416666666666665</v>
      </c>
      <c r="S12" s="48">
        <v>1.6666666666666665</v>
      </c>
      <c r="T12" s="85">
        <v>0.70833333333333337</v>
      </c>
      <c r="U12" s="30">
        <f t="shared" si="0"/>
        <v>27.625</v>
      </c>
    </row>
    <row r="13" spans="1:21">
      <c r="A13" s="1" t="s">
        <v>1</v>
      </c>
      <c r="B13" s="26" t="s">
        <v>65</v>
      </c>
      <c r="C13" s="70">
        <v>1.4166666666666667</v>
      </c>
      <c r="D13" s="48">
        <v>0.29166666666666669</v>
      </c>
      <c r="E13" s="48">
        <v>0.75</v>
      </c>
      <c r="F13" s="48">
        <v>0</v>
      </c>
      <c r="G13" s="48">
        <v>0.25</v>
      </c>
      <c r="H13" s="48">
        <v>1.4166666666666667</v>
      </c>
      <c r="I13" s="48">
        <v>1.0416666666666667</v>
      </c>
      <c r="J13" s="48">
        <v>1.125</v>
      </c>
      <c r="K13" s="48">
        <v>0.625</v>
      </c>
      <c r="L13" s="48">
        <v>1.6666666666666665</v>
      </c>
      <c r="M13" s="48">
        <v>0.375</v>
      </c>
      <c r="N13" s="48">
        <v>1.3333333333333333</v>
      </c>
      <c r="O13" s="48">
        <v>0.75</v>
      </c>
      <c r="P13" s="48">
        <v>0.875</v>
      </c>
      <c r="Q13" s="48">
        <v>0.95833333333333337</v>
      </c>
      <c r="R13" s="48">
        <v>0.83333333333333337</v>
      </c>
      <c r="S13" s="48">
        <v>0.70833333333333337</v>
      </c>
      <c r="T13" s="85">
        <v>1.125</v>
      </c>
      <c r="U13" s="30">
        <f t="shared" si="0"/>
        <v>15.54166666666667</v>
      </c>
    </row>
    <row r="14" spans="1:21">
      <c r="A14" s="1" t="s">
        <v>1</v>
      </c>
      <c r="B14" s="26" t="s">
        <v>66</v>
      </c>
      <c r="C14" s="70">
        <v>1.5</v>
      </c>
      <c r="D14" s="48">
        <v>1.5833333333333335</v>
      </c>
      <c r="E14" s="48">
        <v>0.375</v>
      </c>
      <c r="F14" s="48">
        <v>0.79166666666666663</v>
      </c>
      <c r="G14" s="48">
        <v>0.95833333333333337</v>
      </c>
      <c r="H14" s="48">
        <v>0.66666666666666663</v>
      </c>
      <c r="I14" s="48">
        <v>0.91666666666666663</v>
      </c>
      <c r="J14" s="48">
        <v>0.58333333333333337</v>
      </c>
      <c r="K14" s="48">
        <v>1.5</v>
      </c>
      <c r="L14" s="48">
        <v>1.0833333333333333</v>
      </c>
      <c r="M14" s="48">
        <v>0.83333333333333337</v>
      </c>
      <c r="N14" s="48">
        <v>0.25</v>
      </c>
      <c r="O14" s="48">
        <v>0</v>
      </c>
      <c r="P14" s="48">
        <v>1.0416666666666667</v>
      </c>
      <c r="Q14" s="48">
        <v>0.91666666666666663</v>
      </c>
      <c r="R14" s="48">
        <v>0.58333333333333337</v>
      </c>
      <c r="S14" s="48">
        <v>0.20833333333333334</v>
      </c>
      <c r="T14" s="85">
        <v>0.95833333333333337</v>
      </c>
      <c r="U14" s="30">
        <f t="shared" si="0"/>
        <v>14.750000000000002</v>
      </c>
    </row>
    <row r="15" spans="1:21">
      <c r="A15" s="1" t="s">
        <v>1</v>
      </c>
      <c r="B15" s="26" t="s">
        <v>67</v>
      </c>
      <c r="C15" s="70">
        <v>0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0.16666666666666666</v>
      </c>
      <c r="R15" s="48">
        <v>0</v>
      </c>
      <c r="S15" s="48">
        <v>0</v>
      </c>
      <c r="T15" s="85">
        <v>0</v>
      </c>
      <c r="U15" s="30">
        <f t="shared" si="0"/>
        <v>0.16666666666666666</v>
      </c>
    </row>
    <row r="16" spans="1:21">
      <c r="A16" s="1" t="s">
        <v>1</v>
      </c>
      <c r="B16" s="26" t="s">
        <v>68</v>
      </c>
      <c r="C16" s="70">
        <v>0</v>
      </c>
      <c r="D16" s="48">
        <v>0</v>
      </c>
      <c r="E16" s="48">
        <v>0</v>
      </c>
      <c r="F16" s="48">
        <v>0.20833333333333334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0.375</v>
      </c>
      <c r="N16" s="48">
        <v>0</v>
      </c>
      <c r="O16" s="48">
        <v>0</v>
      </c>
      <c r="P16" s="48">
        <v>0</v>
      </c>
      <c r="Q16" s="48">
        <v>0.16666666666666666</v>
      </c>
      <c r="R16" s="48">
        <v>0.25</v>
      </c>
      <c r="S16" s="48">
        <v>0</v>
      </c>
      <c r="T16" s="85">
        <v>0</v>
      </c>
      <c r="U16" s="30">
        <f t="shared" si="0"/>
        <v>1</v>
      </c>
    </row>
    <row r="17" spans="1:21">
      <c r="A17" s="1" t="s">
        <v>1</v>
      </c>
      <c r="B17" s="26" t="s">
        <v>69</v>
      </c>
      <c r="C17" s="70">
        <v>0</v>
      </c>
      <c r="D17" s="48">
        <v>0</v>
      </c>
      <c r="E17" s="48">
        <v>0</v>
      </c>
      <c r="F17" s="48">
        <v>0.20833333333333334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0.125</v>
      </c>
      <c r="N17" s="48">
        <v>0</v>
      </c>
      <c r="O17" s="48">
        <v>0</v>
      </c>
      <c r="P17" s="48">
        <v>0</v>
      </c>
      <c r="Q17" s="48">
        <v>0</v>
      </c>
      <c r="R17" s="48">
        <v>0.54166666666666663</v>
      </c>
      <c r="S17" s="48">
        <v>0</v>
      </c>
      <c r="T17" s="85">
        <v>0</v>
      </c>
      <c r="U17" s="30">
        <f t="shared" si="0"/>
        <v>0.875</v>
      </c>
    </row>
    <row r="18" spans="1:21">
      <c r="A18" s="1" t="s">
        <v>1</v>
      </c>
      <c r="B18" s="26" t="s">
        <v>70</v>
      </c>
      <c r="C18" s="70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85">
        <v>0</v>
      </c>
      <c r="U18" s="30">
        <f t="shared" si="0"/>
        <v>0</v>
      </c>
    </row>
    <row r="19" spans="1:21">
      <c r="A19" s="1" t="s">
        <v>1</v>
      </c>
      <c r="B19" s="7" t="s">
        <v>71</v>
      </c>
      <c r="C19" s="71">
        <v>0.25</v>
      </c>
      <c r="D19" s="50">
        <v>8.3333333333333329E-2</v>
      </c>
      <c r="E19" s="50">
        <v>0</v>
      </c>
      <c r="F19" s="50">
        <v>0.91666666666666663</v>
      </c>
      <c r="G19" s="50">
        <v>0.125</v>
      </c>
      <c r="H19" s="50">
        <v>0.54166666666666663</v>
      </c>
      <c r="I19" s="50">
        <v>4.1666666666666664E-2</v>
      </c>
      <c r="J19" s="50">
        <v>8.3333333333333329E-2</v>
      </c>
      <c r="K19" s="50">
        <v>0.125</v>
      </c>
      <c r="L19" s="50">
        <v>0.70833333333333337</v>
      </c>
      <c r="M19" s="50">
        <v>0.83333333333333337</v>
      </c>
      <c r="N19" s="50">
        <v>0.41666666666666669</v>
      </c>
      <c r="O19" s="50">
        <v>0.79166666666666663</v>
      </c>
      <c r="P19" s="50">
        <v>1.4583333333333333</v>
      </c>
      <c r="Q19" s="50">
        <v>1.125</v>
      </c>
      <c r="R19" s="50">
        <v>1.4583333333333333</v>
      </c>
      <c r="S19" s="50">
        <v>0.25</v>
      </c>
      <c r="T19" s="86">
        <v>4.1666666666666664E-2</v>
      </c>
      <c r="U19" s="9">
        <f t="shared" si="0"/>
        <v>9.25</v>
      </c>
    </row>
    <row r="20" spans="1:21">
      <c r="A20" s="1" t="s">
        <v>1</v>
      </c>
      <c r="B20" s="16" t="s">
        <v>72</v>
      </c>
      <c r="C20" s="72">
        <v>20</v>
      </c>
      <c r="D20" s="52">
        <v>18</v>
      </c>
      <c r="E20" s="52">
        <v>34</v>
      </c>
      <c r="F20" s="52">
        <v>39</v>
      </c>
      <c r="G20" s="52">
        <v>30</v>
      </c>
      <c r="H20" s="52">
        <v>30</v>
      </c>
      <c r="I20" s="52">
        <v>21</v>
      </c>
      <c r="J20" s="52">
        <v>33</v>
      </c>
      <c r="K20" s="52">
        <v>27.5</v>
      </c>
      <c r="L20" s="52">
        <v>37</v>
      </c>
      <c r="M20" s="52">
        <v>20</v>
      </c>
      <c r="N20" s="52">
        <v>38</v>
      </c>
      <c r="O20" s="52">
        <v>20</v>
      </c>
      <c r="P20" s="52">
        <v>29.5</v>
      </c>
      <c r="Q20" s="52">
        <v>10</v>
      </c>
      <c r="R20" s="52">
        <v>11</v>
      </c>
      <c r="S20" s="52">
        <v>14</v>
      </c>
      <c r="T20" s="87">
        <v>18</v>
      </c>
      <c r="U20" s="18">
        <f t="shared" si="0"/>
        <v>450</v>
      </c>
    </row>
    <row r="21" spans="1:21">
      <c r="A21" s="1" t="s">
        <v>1</v>
      </c>
      <c r="B21" s="31" t="s">
        <v>73</v>
      </c>
      <c r="C21" s="73">
        <v>177000</v>
      </c>
      <c r="D21" s="54">
        <v>187000</v>
      </c>
      <c r="E21" s="54">
        <v>192000</v>
      </c>
      <c r="F21" s="54">
        <v>192000</v>
      </c>
      <c r="G21" s="54">
        <v>187000</v>
      </c>
      <c r="H21" s="54">
        <v>192000</v>
      </c>
      <c r="I21" s="54">
        <v>177000</v>
      </c>
      <c r="J21" s="54">
        <v>182000</v>
      </c>
      <c r="K21" s="54">
        <v>177000</v>
      </c>
      <c r="L21" s="54">
        <v>187000</v>
      </c>
      <c r="M21" s="54">
        <v>182000</v>
      </c>
      <c r="N21" s="54">
        <v>187000</v>
      </c>
      <c r="O21" s="54">
        <v>177000</v>
      </c>
      <c r="P21" s="54">
        <v>170000</v>
      </c>
      <c r="Q21" s="54">
        <v>170000</v>
      </c>
      <c r="R21" s="54">
        <v>170000</v>
      </c>
      <c r="S21" s="54">
        <v>170000</v>
      </c>
      <c r="T21" s="88">
        <v>170000</v>
      </c>
      <c r="U21" s="33">
        <f t="shared" si="0"/>
        <v>3246000</v>
      </c>
    </row>
    <row r="22" spans="1:21">
      <c r="A22" s="1" t="s">
        <v>1</v>
      </c>
      <c r="B22" s="26" t="s">
        <v>74</v>
      </c>
      <c r="C22" s="74">
        <v>0</v>
      </c>
      <c r="D22" s="56">
        <v>0</v>
      </c>
      <c r="E22" s="56">
        <v>20000</v>
      </c>
      <c r="F22" s="56">
        <v>20000</v>
      </c>
      <c r="G22" s="56">
        <v>5000</v>
      </c>
      <c r="H22" s="56">
        <v>5000</v>
      </c>
      <c r="I22" s="56">
        <v>0</v>
      </c>
      <c r="J22" s="56">
        <v>5000</v>
      </c>
      <c r="K22" s="56">
        <v>0</v>
      </c>
      <c r="L22" s="56">
        <v>0</v>
      </c>
      <c r="M22" s="56">
        <v>0</v>
      </c>
      <c r="N22" s="56">
        <v>0</v>
      </c>
      <c r="O22" s="56">
        <v>5000</v>
      </c>
      <c r="P22" s="56">
        <v>0</v>
      </c>
      <c r="Q22" s="56">
        <v>0</v>
      </c>
      <c r="R22" s="56">
        <v>0</v>
      </c>
      <c r="S22" s="56">
        <v>0</v>
      </c>
      <c r="T22" s="89">
        <v>0</v>
      </c>
      <c r="U22" s="35">
        <f t="shared" si="0"/>
        <v>60000</v>
      </c>
    </row>
    <row r="23" spans="1:21">
      <c r="A23" s="1" t="s">
        <v>1</v>
      </c>
      <c r="B23" s="26" t="s">
        <v>75</v>
      </c>
      <c r="C23" s="74">
        <v>0</v>
      </c>
      <c r="D23" s="56">
        <v>0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89">
        <v>0</v>
      </c>
      <c r="U23" s="35">
        <f t="shared" si="0"/>
        <v>0</v>
      </c>
    </row>
    <row r="24" spans="1:21">
      <c r="A24" s="1" t="s">
        <v>1</v>
      </c>
      <c r="B24" s="26" t="s">
        <v>76</v>
      </c>
      <c r="C24" s="74">
        <v>0</v>
      </c>
      <c r="D24" s="56">
        <v>5730</v>
      </c>
      <c r="E24" s="56">
        <v>85489</v>
      </c>
      <c r="F24" s="56">
        <v>20113</v>
      </c>
      <c r="G24" s="56">
        <v>0</v>
      </c>
      <c r="H24" s="56">
        <v>18772</v>
      </c>
      <c r="I24" s="56">
        <v>4341</v>
      </c>
      <c r="J24" s="56">
        <v>0</v>
      </c>
      <c r="K24" s="56">
        <v>5427</v>
      </c>
      <c r="L24" s="56">
        <v>34224</v>
      </c>
      <c r="M24" s="56">
        <v>0</v>
      </c>
      <c r="N24" s="56">
        <v>61944</v>
      </c>
      <c r="O24" s="56">
        <v>9236</v>
      </c>
      <c r="P24" s="56">
        <v>0</v>
      </c>
      <c r="Q24" s="56">
        <v>0</v>
      </c>
      <c r="R24" s="56">
        <v>0</v>
      </c>
      <c r="S24" s="56">
        <v>0</v>
      </c>
      <c r="T24" s="89">
        <v>7747</v>
      </c>
      <c r="U24" s="35">
        <f t="shared" si="0"/>
        <v>253023</v>
      </c>
    </row>
    <row r="25" spans="1:21">
      <c r="A25" s="1" t="s">
        <v>1</v>
      </c>
      <c r="B25" s="26" t="s">
        <v>77</v>
      </c>
      <c r="C25" s="74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89">
        <v>0</v>
      </c>
      <c r="U25" s="35">
        <f t="shared" si="0"/>
        <v>0</v>
      </c>
    </row>
    <row r="26" spans="1:21">
      <c r="A26" s="1" t="s">
        <v>1</v>
      </c>
      <c r="B26" s="26" t="s">
        <v>78</v>
      </c>
      <c r="C26" s="74">
        <v>0</v>
      </c>
      <c r="D26" s="56">
        <v>0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89">
        <v>0</v>
      </c>
      <c r="U26" s="35">
        <f t="shared" si="0"/>
        <v>0</v>
      </c>
    </row>
    <row r="27" spans="1:21">
      <c r="A27" s="1" t="s">
        <v>1</v>
      </c>
      <c r="B27" s="26" t="s">
        <v>79</v>
      </c>
      <c r="C27" s="74">
        <v>3500</v>
      </c>
      <c r="D27" s="56">
        <v>3500</v>
      </c>
      <c r="E27" s="56">
        <v>3500</v>
      </c>
      <c r="F27" s="56">
        <v>3500</v>
      </c>
      <c r="G27" s="56">
        <v>1000</v>
      </c>
      <c r="H27" s="56">
        <v>3500</v>
      </c>
      <c r="I27" s="56">
        <v>3500</v>
      </c>
      <c r="J27" s="56">
        <v>3500</v>
      </c>
      <c r="K27" s="56">
        <v>3500</v>
      </c>
      <c r="L27" s="56">
        <v>3500</v>
      </c>
      <c r="M27" s="56">
        <v>3500</v>
      </c>
      <c r="N27" s="56">
        <v>3500</v>
      </c>
      <c r="O27" s="56">
        <v>3500</v>
      </c>
      <c r="P27" s="56">
        <v>3500</v>
      </c>
      <c r="Q27" s="56">
        <v>1000</v>
      </c>
      <c r="R27" s="56">
        <v>0</v>
      </c>
      <c r="S27" s="56">
        <v>1000</v>
      </c>
      <c r="T27" s="89">
        <v>1000</v>
      </c>
      <c r="U27" s="35">
        <f t="shared" si="0"/>
        <v>49500</v>
      </c>
    </row>
    <row r="28" spans="1:21">
      <c r="A28" s="1" t="s">
        <v>1</v>
      </c>
      <c r="B28" s="26" t="s">
        <v>80</v>
      </c>
      <c r="C28" s="74">
        <v>0</v>
      </c>
      <c r="D28" s="56">
        <v>0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89">
        <v>0</v>
      </c>
      <c r="U28" s="35">
        <f t="shared" si="0"/>
        <v>0</v>
      </c>
    </row>
    <row r="29" spans="1:21">
      <c r="A29" s="1" t="s">
        <v>1</v>
      </c>
      <c r="B29" s="26" t="s">
        <v>81</v>
      </c>
      <c r="C29" s="74">
        <v>0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98">
        <v>-53250</v>
      </c>
      <c r="P29" s="56">
        <v>0</v>
      </c>
      <c r="Q29" s="56">
        <v>0</v>
      </c>
      <c r="R29" s="56">
        <v>0</v>
      </c>
      <c r="S29" s="56">
        <v>0</v>
      </c>
      <c r="T29" s="89">
        <v>0</v>
      </c>
      <c r="U29" s="99">
        <f t="shared" si="0"/>
        <v>-53250</v>
      </c>
    </row>
    <row r="30" spans="1:21">
      <c r="A30" s="1" t="s">
        <v>1</v>
      </c>
      <c r="B30" s="26" t="s">
        <v>64</v>
      </c>
      <c r="C30" s="74">
        <v>17563</v>
      </c>
      <c r="D30" s="56">
        <v>44206</v>
      </c>
      <c r="E30" s="56">
        <v>16130</v>
      </c>
      <c r="F30" s="56">
        <v>98393</v>
      </c>
      <c r="G30" s="56">
        <v>36125</v>
      </c>
      <c r="H30" s="56">
        <v>79553</v>
      </c>
      <c r="I30" s="56">
        <v>58093</v>
      </c>
      <c r="J30" s="56">
        <v>35650</v>
      </c>
      <c r="K30" s="56">
        <v>45934</v>
      </c>
      <c r="L30" s="56">
        <v>49910</v>
      </c>
      <c r="M30" s="56">
        <v>86118</v>
      </c>
      <c r="N30" s="56">
        <v>28520</v>
      </c>
      <c r="O30" s="56">
        <v>62505</v>
      </c>
      <c r="P30" s="56">
        <v>40269</v>
      </c>
      <c r="Q30" s="56">
        <v>57600</v>
      </c>
      <c r="R30" s="56">
        <v>92929</v>
      </c>
      <c r="S30" s="56">
        <v>51200</v>
      </c>
      <c r="T30" s="89">
        <v>21760</v>
      </c>
      <c r="U30" s="35">
        <f t="shared" si="0"/>
        <v>922458</v>
      </c>
    </row>
    <row r="31" spans="1:21">
      <c r="A31" s="1" t="s">
        <v>1</v>
      </c>
      <c r="B31" s="26" t="s">
        <v>82</v>
      </c>
      <c r="C31" s="74">
        <v>49606</v>
      </c>
      <c r="D31" s="56">
        <v>10780</v>
      </c>
      <c r="E31" s="56">
        <v>31356</v>
      </c>
      <c r="F31" s="56">
        <v>0</v>
      </c>
      <c r="G31" s="56">
        <v>9366</v>
      </c>
      <c r="H31" s="56">
        <v>55114</v>
      </c>
      <c r="I31" s="56">
        <v>36475</v>
      </c>
      <c r="J31" s="56">
        <v>41580</v>
      </c>
      <c r="K31" s="56">
        <v>21885</v>
      </c>
      <c r="L31" s="56">
        <v>61600</v>
      </c>
      <c r="M31" s="56">
        <v>13500</v>
      </c>
      <c r="N31" s="56">
        <v>49280</v>
      </c>
      <c r="O31" s="56">
        <v>27000</v>
      </c>
      <c r="P31" s="56">
        <v>29463</v>
      </c>
      <c r="Q31" s="56">
        <v>31786</v>
      </c>
      <c r="R31" s="56">
        <v>27480</v>
      </c>
      <c r="S31" s="56">
        <v>23494</v>
      </c>
      <c r="T31" s="89">
        <v>37314</v>
      </c>
      <c r="U31" s="35">
        <f t="shared" si="0"/>
        <v>557079</v>
      </c>
    </row>
    <row r="32" spans="1:21">
      <c r="A32" s="1" t="s">
        <v>1</v>
      </c>
      <c r="B32" s="26" t="s">
        <v>83</v>
      </c>
      <c r="C32" s="74">
        <v>52524</v>
      </c>
      <c r="D32" s="56">
        <v>58520</v>
      </c>
      <c r="E32" s="56">
        <v>15678</v>
      </c>
      <c r="F32" s="56">
        <v>33098</v>
      </c>
      <c r="G32" s="56">
        <v>35903</v>
      </c>
      <c r="H32" s="56">
        <v>25936</v>
      </c>
      <c r="I32" s="56">
        <v>32098</v>
      </c>
      <c r="J32" s="56">
        <v>21560</v>
      </c>
      <c r="K32" s="56">
        <v>52524</v>
      </c>
      <c r="L32" s="56">
        <v>40040</v>
      </c>
      <c r="M32" s="56">
        <v>30000</v>
      </c>
      <c r="N32" s="56">
        <v>9240</v>
      </c>
      <c r="O32" s="56">
        <v>0</v>
      </c>
      <c r="P32" s="56">
        <v>35075</v>
      </c>
      <c r="Q32" s="56">
        <v>30404</v>
      </c>
      <c r="R32" s="56">
        <v>19236</v>
      </c>
      <c r="S32" s="56">
        <v>6910</v>
      </c>
      <c r="T32" s="89">
        <v>31786</v>
      </c>
      <c r="U32" s="35">
        <f t="shared" si="0"/>
        <v>530532</v>
      </c>
    </row>
    <row r="33" spans="1:21">
      <c r="A33" s="1" t="s">
        <v>1</v>
      </c>
      <c r="B33" s="26" t="s">
        <v>84</v>
      </c>
      <c r="C33" s="74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1432</v>
      </c>
      <c r="R33" s="56">
        <v>0</v>
      </c>
      <c r="S33" s="56">
        <v>0</v>
      </c>
      <c r="T33" s="89">
        <v>0</v>
      </c>
      <c r="U33" s="35">
        <f t="shared" si="0"/>
        <v>1432</v>
      </c>
    </row>
    <row r="34" spans="1:21">
      <c r="A34" s="1" t="s">
        <v>1</v>
      </c>
      <c r="B34" s="26" t="s">
        <v>85</v>
      </c>
      <c r="C34" s="74">
        <v>0</v>
      </c>
      <c r="D34" s="56">
        <v>0</v>
      </c>
      <c r="E34" s="56">
        <v>0</v>
      </c>
      <c r="F34" s="56">
        <v>2260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3501</v>
      </c>
      <c r="N34" s="56">
        <v>0</v>
      </c>
      <c r="O34" s="56">
        <v>0</v>
      </c>
      <c r="P34" s="56">
        <v>0</v>
      </c>
      <c r="Q34" s="56">
        <v>1432</v>
      </c>
      <c r="R34" s="56">
        <v>2136</v>
      </c>
      <c r="S34" s="56">
        <v>0</v>
      </c>
      <c r="T34" s="89">
        <v>0</v>
      </c>
      <c r="U34" s="35">
        <f t="shared" si="0"/>
        <v>9329</v>
      </c>
    </row>
    <row r="35" spans="1:21">
      <c r="A35" s="1" t="s">
        <v>1</v>
      </c>
      <c r="B35" s="26" t="s">
        <v>69</v>
      </c>
      <c r="C35" s="74">
        <v>0</v>
      </c>
      <c r="D35" s="56">
        <v>0</v>
      </c>
      <c r="E35" s="56">
        <v>0</v>
      </c>
      <c r="F35" s="56">
        <v>1615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834</v>
      </c>
      <c r="N35" s="56">
        <v>0</v>
      </c>
      <c r="O35" s="56">
        <v>0</v>
      </c>
      <c r="P35" s="56">
        <v>0</v>
      </c>
      <c r="Q35" s="56">
        <v>0</v>
      </c>
      <c r="R35" s="56">
        <v>3315</v>
      </c>
      <c r="S35" s="56">
        <v>0</v>
      </c>
      <c r="T35" s="89">
        <v>0</v>
      </c>
      <c r="U35" s="35">
        <f t="shared" si="0"/>
        <v>5764</v>
      </c>
    </row>
    <row r="36" spans="1:21">
      <c r="A36" s="1" t="s">
        <v>1</v>
      </c>
      <c r="B36" s="36" t="s">
        <v>71</v>
      </c>
      <c r="C36" s="75">
        <v>1620</v>
      </c>
      <c r="D36" s="58">
        <v>570</v>
      </c>
      <c r="E36" s="58">
        <v>0</v>
      </c>
      <c r="F36" s="58">
        <v>7106</v>
      </c>
      <c r="G36" s="58">
        <v>867</v>
      </c>
      <c r="H36" s="58">
        <v>3900</v>
      </c>
      <c r="I36" s="58">
        <v>270</v>
      </c>
      <c r="J36" s="58">
        <v>570</v>
      </c>
      <c r="K36" s="58">
        <v>810</v>
      </c>
      <c r="L36" s="58">
        <v>4845</v>
      </c>
      <c r="M36" s="58">
        <v>5560</v>
      </c>
      <c r="N36" s="58">
        <v>2850</v>
      </c>
      <c r="O36" s="58">
        <v>5282</v>
      </c>
      <c r="P36" s="58">
        <v>9100</v>
      </c>
      <c r="Q36" s="58">
        <v>6912</v>
      </c>
      <c r="R36" s="58">
        <v>8925</v>
      </c>
      <c r="S36" s="58">
        <v>1536</v>
      </c>
      <c r="T36" s="90">
        <v>256</v>
      </c>
      <c r="U36" s="38">
        <f t="shared" si="0"/>
        <v>60979</v>
      </c>
    </row>
    <row r="37" spans="1:21">
      <c r="A37" s="1" t="s">
        <v>1</v>
      </c>
      <c r="B37" s="16" t="s">
        <v>86</v>
      </c>
      <c r="C37" s="76">
        <v>301813</v>
      </c>
      <c r="D37" s="60">
        <v>310306</v>
      </c>
      <c r="E37" s="60">
        <v>364153</v>
      </c>
      <c r="F37" s="60">
        <v>378085</v>
      </c>
      <c r="G37" s="60">
        <v>275261</v>
      </c>
      <c r="H37" s="60">
        <v>383775</v>
      </c>
      <c r="I37" s="60">
        <v>311777</v>
      </c>
      <c r="J37" s="60">
        <v>289860</v>
      </c>
      <c r="K37" s="60">
        <v>307080</v>
      </c>
      <c r="L37" s="60">
        <v>381119</v>
      </c>
      <c r="M37" s="60">
        <v>325013</v>
      </c>
      <c r="N37" s="60">
        <v>342334</v>
      </c>
      <c r="O37" s="60">
        <v>236273</v>
      </c>
      <c r="P37" s="60">
        <v>287407</v>
      </c>
      <c r="Q37" s="60">
        <v>300566</v>
      </c>
      <c r="R37" s="60">
        <v>324021</v>
      </c>
      <c r="S37" s="60">
        <v>254140</v>
      </c>
      <c r="T37" s="91">
        <v>269863</v>
      </c>
      <c r="U37" s="20">
        <f t="shared" si="0"/>
        <v>5642846</v>
      </c>
    </row>
    <row r="38" spans="1:21">
      <c r="A38" s="1" t="s">
        <v>1</v>
      </c>
      <c r="B38" s="16" t="s">
        <v>87</v>
      </c>
      <c r="C38" s="76">
        <v>14572</v>
      </c>
      <c r="D38" s="60">
        <v>3643</v>
      </c>
      <c r="E38" s="60">
        <v>5586</v>
      </c>
      <c r="F38" s="60">
        <v>3104</v>
      </c>
      <c r="G38" s="60">
        <v>14896</v>
      </c>
      <c r="H38" s="60">
        <v>2591</v>
      </c>
      <c r="I38" s="60">
        <v>2915</v>
      </c>
      <c r="J38" s="60">
        <v>1404</v>
      </c>
      <c r="K38" s="60">
        <v>3508</v>
      </c>
      <c r="L38" s="60">
        <v>5829</v>
      </c>
      <c r="M38" s="60">
        <v>4723</v>
      </c>
      <c r="N38" s="60">
        <v>8420</v>
      </c>
      <c r="O38" s="60">
        <v>4048</v>
      </c>
      <c r="P38" s="60">
        <v>11010</v>
      </c>
      <c r="Q38" s="60">
        <v>7448</v>
      </c>
      <c r="R38" s="60">
        <v>9715</v>
      </c>
      <c r="S38" s="60">
        <v>7718</v>
      </c>
      <c r="T38" s="91">
        <v>2915</v>
      </c>
      <c r="U38" s="20">
        <f t="shared" si="0"/>
        <v>114045</v>
      </c>
    </row>
    <row r="39" spans="1:21">
      <c r="A39" s="1" t="s">
        <v>1</v>
      </c>
      <c r="B39" s="7" t="s">
        <v>88</v>
      </c>
      <c r="C39" s="77">
        <v>14572</v>
      </c>
      <c r="D39" s="62">
        <v>3643</v>
      </c>
      <c r="E39" s="62">
        <v>5586</v>
      </c>
      <c r="F39" s="62">
        <v>3104</v>
      </c>
      <c r="G39" s="62">
        <v>14896</v>
      </c>
      <c r="H39" s="62">
        <v>2591</v>
      </c>
      <c r="I39" s="62">
        <v>2915</v>
      </c>
      <c r="J39" s="62">
        <v>1404</v>
      </c>
      <c r="K39" s="62">
        <v>3508</v>
      </c>
      <c r="L39" s="62">
        <v>5829</v>
      </c>
      <c r="M39" s="62">
        <v>4723</v>
      </c>
      <c r="N39" s="62">
        <v>8420</v>
      </c>
      <c r="O39" s="62">
        <v>4048</v>
      </c>
      <c r="P39" s="62">
        <v>11010</v>
      </c>
      <c r="Q39" s="62">
        <v>7448</v>
      </c>
      <c r="R39" s="62">
        <v>9715</v>
      </c>
      <c r="S39" s="62">
        <v>7718</v>
      </c>
      <c r="T39" s="92">
        <v>2915</v>
      </c>
      <c r="U39" s="11">
        <f t="shared" si="0"/>
        <v>114045</v>
      </c>
    </row>
    <row r="40" spans="1:21">
      <c r="A40" s="1" t="s">
        <v>1</v>
      </c>
      <c r="B40" s="16" t="s">
        <v>89</v>
      </c>
      <c r="C40" s="76">
        <v>316385</v>
      </c>
      <c r="D40" s="60">
        <v>313949</v>
      </c>
      <c r="E40" s="60">
        <v>369739</v>
      </c>
      <c r="F40" s="60">
        <v>381189</v>
      </c>
      <c r="G40" s="60">
        <v>290157</v>
      </c>
      <c r="H40" s="60">
        <v>386366</v>
      </c>
      <c r="I40" s="60">
        <v>314692</v>
      </c>
      <c r="J40" s="60">
        <v>291264</v>
      </c>
      <c r="K40" s="60">
        <v>310588</v>
      </c>
      <c r="L40" s="60">
        <v>386948</v>
      </c>
      <c r="M40" s="60">
        <v>329736</v>
      </c>
      <c r="N40" s="60">
        <v>350754</v>
      </c>
      <c r="O40" s="60">
        <v>240321</v>
      </c>
      <c r="P40" s="60">
        <v>298417</v>
      </c>
      <c r="Q40" s="60">
        <v>308014</v>
      </c>
      <c r="R40" s="60">
        <v>333736</v>
      </c>
      <c r="S40" s="60">
        <v>261858</v>
      </c>
      <c r="T40" s="91">
        <v>272778</v>
      </c>
      <c r="U40" s="20">
        <f t="shared" si="0"/>
        <v>5756891</v>
      </c>
    </row>
    <row r="41" spans="1:21">
      <c r="A41" s="1" t="s">
        <v>1</v>
      </c>
      <c r="B41" s="31" t="s">
        <v>90</v>
      </c>
      <c r="C41" s="73">
        <v>15300</v>
      </c>
      <c r="D41" s="54">
        <v>16320</v>
      </c>
      <c r="E41" s="54">
        <v>19380</v>
      </c>
      <c r="F41" s="54">
        <v>20910</v>
      </c>
      <c r="G41" s="54">
        <v>17340</v>
      </c>
      <c r="H41" s="54">
        <v>19380</v>
      </c>
      <c r="I41" s="54">
        <v>16320</v>
      </c>
      <c r="J41" s="54">
        <v>16320</v>
      </c>
      <c r="K41" s="54">
        <v>16320</v>
      </c>
      <c r="L41" s="54">
        <v>18360</v>
      </c>
      <c r="M41" s="54">
        <v>16320</v>
      </c>
      <c r="N41" s="54">
        <v>16320</v>
      </c>
      <c r="O41" s="54">
        <v>17340</v>
      </c>
      <c r="P41" s="54">
        <v>14280</v>
      </c>
      <c r="Q41" s="54">
        <v>14280</v>
      </c>
      <c r="R41" s="54">
        <v>16320</v>
      </c>
      <c r="S41" s="54">
        <v>14280</v>
      </c>
      <c r="T41" s="88">
        <v>15300</v>
      </c>
      <c r="U41" s="33">
        <f t="shared" si="0"/>
        <v>300390</v>
      </c>
    </row>
    <row r="42" spans="1:21">
      <c r="A42" s="1" t="s">
        <v>1</v>
      </c>
      <c r="B42" s="26" t="s">
        <v>91</v>
      </c>
      <c r="C42" s="74">
        <v>2700</v>
      </c>
      <c r="D42" s="56">
        <v>2880</v>
      </c>
      <c r="E42" s="56">
        <v>3420</v>
      </c>
      <c r="F42" s="56">
        <v>3690</v>
      </c>
      <c r="G42" s="100">
        <v>0</v>
      </c>
      <c r="H42" s="56">
        <v>3420</v>
      </c>
      <c r="I42" s="56">
        <v>2880</v>
      </c>
      <c r="J42" s="56">
        <v>2880</v>
      </c>
      <c r="K42" s="56">
        <v>2880</v>
      </c>
      <c r="L42" s="56">
        <v>3240</v>
      </c>
      <c r="M42" s="56">
        <v>2880</v>
      </c>
      <c r="N42" s="56">
        <v>2880</v>
      </c>
      <c r="O42" s="56">
        <v>3060</v>
      </c>
      <c r="P42" s="56">
        <v>2520</v>
      </c>
      <c r="Q42" s="56">
        <v>2520</v>
      </c>
      <c r="R42" s="56">
        <v>2880</v>
      </c>
      <c r="S42" s="56">
        <v>2520</v>
      </c>
      <c r="T42" s="89">
        <v>2700</v>
      </c>
      <c r="U42" s="35">
        <f t="shared" si="0"/>
        <v>49950</v>
      </c>
    </row>
    <row r="43" spans="1:21">
      <c r="A43" s="1" t="s">
        <v>1</v>
      </c>
      <c r="B43" s="26" t="s">
        <v>92</v>
      </c>
      <c r="C43" s="74">
        <v>27450</v>
      </c>
      <c r="D43" s="56">
        <v>29280</v>
      </c>
      <c r="E43" s="56">
        <v>34770</v>
      </c>
      <c r="F43" s="56">
        <v>37515</v>
      </c>
      <c r="G43" s="56">
        <v>31110</v>
      </c>
      <c r="H43" s="56">
        <v>34770</v>
      </c>
      <c r="I43" s="56">
        <v>29280</v>
      </c>
      <c r="J43" s="56">
        <v>29280</v>
      </c>
      <c r="K43" s="56">
        <v>29280</v>
      </c>
      <c r="L43" s="56">
        <v>32940</v>
      </c>
      <c r="M43" s="56">
        <v>29280</v>
      </c>
      <c r="N43" s="56">
        <v>29280</v>
      </c>
      <c r="O43" s="56">
        <v>31110</v>
      </c>
      <c r="P43" s="56">
        <v>25620</v>
      </c>
      <c r="Q43" s="56">
        <v>25620</v>
      </c>
      <c r="R43" s="56">
        <v>29280</v>
      </c>
      <c r="S43" s="56">
        <v>25620</v>
      </c>
      <c r="T43" s="89">
        <v>27450</v>
      </c>
      <c r="U43" s="35">
        <f t="shared" si="0"/>
        <v>538935</v>
      </c>
    </row>
    <row r="44" spans="1:21">
      <c r="A44" s="1" t="s">
        <v>1</v>
      </c>
      <c r="B44" s="7" t="s">
        <v>93</v>
      </c>
      <c r="C44" s="77">
        <v>1898</v>
      </c>
      <c r="D44" s="62">
        <v>1884</v>
      </c>
      <c r="E44" s="62">
        <v>2218</v>
      </c>
      <c r="F44" s="62">
        <v>2287</v>
      </c>
      <c r="G44" s="62">
        <v>1741</v>
      </c>
      <c r="H44" s="62">
        <v>2318</v>
      </c>
      <c r="I44" s="62">
        <v>1888</v>
      </c>
      <c r="J44" s="62">
        <v>1748</v>
      </c>
      <c r="K44" s="62">
        <v>1864</v>
      </c>
      <c r="L44" s="62">
        <v>2322</v>
      </c>
      <c r="M44" s="62">
        <v>1978</v>
      </c>
      <c r="N44" s="62">
        <v>2105</v>
      </c>
      <c r="O44" s="62">
        <v>1442</v>
      </c>
      <c r="P44" s="62">
        <v>1791</v>
      </c>
      <c r="Q44" s="62">
        <v>1848</v>
      </c>
      <c r="R44" s="62">
        <v>2002</v>
      </c>
      <c r="S44" s="62">
        <v>1571</v>
      </c>
      <c r="T44" s="92">
        <v>1637</v>
      </c>
      <c r="U44" s="11">
        <f t="shared" si="0"/>
        <v>34542</v>
      </c>
    </row>
    <row r="45" spans="1:21">
      <c r="A45" s="1" t="s">
        <v>1</v>
      </c>
      <c r="B45" s="16" t="s">
        <v>94</v>
      </c>
      <c r="C45" s="76">
        <v>47348</v>
      </c>
      <c r="D45" s="60">
        <v>50364</v>
      </c>
      <c r="E45" s="60">
        <v>59788</v>
      </c>
      <c r="F45" s="60">
        <v>64402</v>
      </c>
      <c r="G45" s="60">
        <v>50191</v>
      </c>
      <c r="H45" s="60">
        <v>59888</v>
      </c>
      <c r="I45" s="60">
        <v>50368</v>
      </c>
      <c r="J45" s="60">
        <v>50228</v>
      </c>
      <c r="K45" s="60">
        <v>50344</v>
      </c>
      <c r="L45" s="60">
        <v>56862</v>
      </c>
      <c r="M45" s="60">
        <v>50458</v>
      </c>
      <c r="N45" s="60">
        <v>50585</v>
      </c>
      <c r="O45" s="60">
        <v>52952</v>
      </c>
      <c r="P45" s="60">
        <v>44211</v>
      </c>
      <c r="Q45" s="60">
        <v>44268</v>
      </c>
      <c r="R45" s="60">
        <v>50482</v>
      </c>
      <c r="S45" s="60">
        <v>43991</v>
      </c>
      <c r="T45" s="91">
        <v>47087</v>
      </c>
      <c r="U45" s="20">
        <f t="shared" si="0"/>
        <v>923817</v>
      </c>
    </row>
    <row r="46" spans="1:21">
      <c r="A46" s="1" t="s">
        <v>1</v>
      </c>
      <c r="B46" s="31" t="s">
        <v>95</v>
      </c>
      <c r="C46" s="73">
        <v>1300</v>
      </c>
      <c r="D46" s="54">
        <v>1300</v>
      </c>
      <c r="E46" s="54">
        <v>1300</v>
      </c>
      <c r="F46" s="54">
        <v>0</v>
      </c>
      <c r="G46" s="54">
        <v>1300</v>
      </c>
      <c r="H46" s="54">
        <v>1300</v>
      </c>
      <c r="I46" s="54">
        <v>1300</v>
      </c>
      <c r="J46" s="54">
        <v>1300</v>
      </c>
      <c r="K46" s="54">
        <v>1300</v>
      </c>
      <c r="L46" s="54">
        <v>1300</v>
      </c>
      <c r="M46" s="54">
        <v>0</v>
      </c>
      <c r="N46" s="54">
        <v>1300</v>
      </c>
      <c r="O46" s="54">
        <v>1300</v>
      </c>
      <c r="P46" s="54">
        <v>1300</v>
      </c>
      <c r="Q46" s="54">
        <v>1300</v>
      </c>
      <c r="R46" s="54">
        <v>1300</v>
      </c>
      <c r="S46" s="54">
        <v>1300</v>
      </c>
      <c r="T46" s="88">
        <v>0</v>
      </c>
      <c r="U46" s="33">
        <f t="shared" si="0"/>
        <v>19500</v>
      </c>
    </row>
    <row r="47" spans="1:21">
      <c r="A47" s="1" t="s">
        <v>1</v>
      </c>
      <c r="B47" s="7" t="s">
        <v>96</v>
      </c>
      <c r="C47" s="77">
        <v>8800</v>
      </c>
      <c r="D47" s="62">
        <v>1500</v>
      </c>
      <c r="E47" s="62">
        <v>14600</v>
      </c>
      <c r="F47" s="62">
        <v>17100</v>
      </c>
      <c r="G47" s="62">
        <v>9500</v>
      </c>
      <c r="H47" s="62">
        <v>13100</v>
      </c>
      <c r="I47" s="62">
        <v>15100</v>
      </c>
      <c r="J47" s="62">
        <v>10100</v>
      </c>
      <c r="K47" s="62">
        <v>13400</v>
      </c>
      <c r="L47" s="62">
        <v>16100</v>
      </c>
      <c r="M47" s="62">
        <v>11300</v>
      </c>
      <c r="N47" s="62">
        <v>13200</v>
      </c>
      <c r="O47" s="62">
        <v>5600</v>
      </c>
      <c r="P47" s="62">
        <v>0</v>
      </c>
      <c r="Q47" s="62">
        <v>8500</v>
      </c>
      <c r="R47" s="62">
        <v>3100</v>
      </c>
      <c r="S47" s="62">
        <v>2000</v>
      </c>
      <c r="T47" s="92">
        <v>17300</v>
      </c>
      <c r="U47" s="11">
        <f t="shared" si="0"/>
        <v>180300</v>
      </c>
    </row>
    <row r="48" spans="1:21">
      <c r="A48" s="1" t="s">
        <v>1</v>
      </c>
      <c r="B48" s="16" t="s">
        <v>97</v>
      </c>
      <c r="C48" s="76">
        <v>57448</v>
      </c>
      <c r="D48" s="60">
        <v>53164</v>
      </c>
      <c r="E48" s="60">
        <v>75688</v>
      </c>
      <c r="F48" s="60">
        <v>81502</v>
      </c>
      <c r="G48" s="60">
        <v>60991</v>
      </c>
      <c r="H48" s="60">
        <v>74288</v>
      </c>
      <c r="I48" s="60">
        <v>66768</v>
      </c>
      <c r="J48" s="60">
        <v>61628</v>
      </c>
      <c r="K48" s="60">
        <v>65044</v>
      </c>
      <c r="L48" s="60">
        <v>74262</v>
      </c>
      <c r="M48" s="60">
        <v>61758</v>
      </c>
      <c r="N48" s="60">
        <v>65085</v>
      </c>
      <c r="O48" s="60">
        <v>59852</v>
      </c>
      <c r="P48" s="60">
        <v>45511</v>
      </c>
      <c r="Q48" s="60">
        <v>54068</v>
      </c>
      <c r="R48" s="60">
        <v>54882</v>
      </c>
      <c r="S48" s="60">
        <v>47291</v>
      </c>
      <c r="T48" s="91">
        <v>64387</v>
      </c>
      <c r="U48" s="20">
        <f t="shared" si="0"/>
        <v>1123617</v>
      </c>
    </row>
    <row r="49" spans="1:21">
      <c r="A49" s="1" t="s">
        <v>1</v>
      </c>
      <c r="B49" s="16" t="s">
        <v>98</v>
      </c>
      <c r="C49" s="76">
        <v>254465</v>
      </c>
      <c r="D49" s="60">
        <v>259942</v>
      </c>
      <c r="E49" s="60">
        <v>304365</v>
      </c>
      <c r="F49" s="60">
        <v>313683</v>
      </c>
      <c r="G49" s="60">
        <v>225070</v>
      </c>
      <c r="H49" s="60">
        <v>323887</v>
      </c>
      <c r="I49" s="60">
        <v>261409</v>
      </c>
      <c r="J49" s="60">
        <v>239632</v>
      </c>
      <c r="K49" s="60">
        <v>256736</v>
      </c>
      <c r="L49" s="60">
        <v>324257</v>
      </c>
      <c r="M49" s="60">
        <v>274555</v>
      </c>
      <c r="N49" s="60">
        <v>291749</v>
      </c>
      <c r="O49" s="60">
        <v>183321</v>
      </c>
      <c r="P49" s="60">
        <v>243196</v>
      </c>
      <c r="Q49" s="60">
        <v>256298</v>
      </c>
      <c r="R49" s="60">
        <v>273539</v>
      </c>
      <c r="S49" s="60">
        <v>210149</v>
      </c>
      <c r="T49" s="91">
        <v>222776</v>
      </c>
      <c r="U49" s="20">
        <f t="shared" si="0"/>
        <v>4719029</v>
      </c>
    </row>
    <row r="50" spans="1:21">
      <c r="A50" s="1" t="s">
        <v>1</v>
      </c>
      <c r="B50" s="16" t="s">
        <v>99</v>
      </c>
      <c r="C50" s="76">
        <v>258937</v>
      </c>
      <c r="D50" s="60">
        <v>260785</v>
      </c>
      <c r="E50" s="60">
        <v>294051</v>
      </c>
      <c r="F50" s="60">
        <v>299687</v>
      </c>
      <c r="G50" s="60">
        <v>229166</v>
      </c>
      <c r="H50" s="60">
        <v>312078</v>
      </c>
      <c r="I50" s="60">
        <v>247924</v>
      </c>
      <c r="J50" s="60">
        <v>229636</v>
      </c>
      <c r="K50" s="60">
        <v>245544</v>
      </c>
      <c r="L50" s="60">
        <v>312686</v>
      </c>
      <c r="M50" s="60">
        <v>267978</v>
      </c>
      <c r="N50" s="60">
        <v>285669</v>
      </c>
      <c r="O50" s="60">
        <v>180469</v>
      </c>
      <c r="P50" s="60">
        <v>252906</v>
      </c>
      <c r="Q50" s="60">
        <v>253946</v>
      </c>
      <c r="R50" s="60">
        <v>278854</v>
      </c>
      <c r="S50" s="60">
        <v>214567</v>
      </c>
      <c r="T50" s="91">
        <v>208391</v>
      </c>
      <c r="U50" s="20">
        <f t="shared" si="0"/>
        <v>4633274</v>
      </c>
    </row>
    <row r="51" spans="1:21">
      <c r="A51" s="1" t="s">
        <v>1</v>
      </c>
      <c r="B51" s="16" t="s">
        <v>100</v>
      </c>
      <c r="C51" s="76">
        <v>258937</v>
      </c>
      <c r="D51" s="60">
        <v>260785</v>
      </c>
      <c r="E51" s="60">
        <v>294051</v>
      </c>
      <c r="F51" s="60">
        <v>299687</v>
      </c>
      <c r="G51" s="60">
        <v>229166</v>
      </c>
      <c r="H51" s="60">
        <v>312078</v>
      </c>
      <c r="I51" s="60">
        <v>247924</v>
      </c>
      <c r="J51" s="60">
        <v>229636</v>
      </c>
      <c r="K51" s="60">
        <v>245544</v>
      </c>
      <c r="L51" s="60">
        <v>312686</v>
      </c>
      <c r="M51" s="60">
        <v>267978</v>
      </c>
      <c r="N51" s="60">
        <v>285669</v>
      </c>
      <c r="O51" s="60">
        <v>180469</v>
      </c>
      <c r="P51" s="60">
        <v>252906</v>
      </c>
      <c r="Q51" s="60">
        <v>253946</v>
      </c>
      <c r="R51" s="60">
        <v>278854</v>
      </c>
      <c r="S51" s="60">
        <v>214567</v>
      </c>
      <c r="T51" s="91">
        <v>208391</v>
      </c>
      <c r="U51" s="20">
        <f t="shared" si="0"/>
        <v>4633274</v>
      </c>
    </row>
    <row r="52" spans="1:21">
      <c r="A52" s="1" t="s">
        <v>1</v>
      </c>
      <c r="B52" s="16" t="s">
        <v>101</v>
      </c>
      <c r="C52" s="76">
        <v>1</v>
      </c>
      <c r="D52" s="60">
        <v>0</v>
      </c>
      <c r="E52" s="60">
        <v>1</v>
      </c>
      <c r="F52" s="60">
        <v>0</v>
      </c>
      <c r="G52" s="60">
        <v>1</v>
      </c>
      <c r="H52" s="60">
        <v>0</v>
      </c>
      <c r="I52" s="60">
        <v>0</v>
      </c>
      <c r="J52" s="60">
        <v>1</v>
      </c>
      <c r="K52" s="60">
        <v>0</v>
      </c>
      <c r="L52" s="60">
        <v>0</v>
      </c>
      <c r="M52" s="60">
        <v>0</v>
      </c>
      <c r="N52" s="60">
        <v>0</v>
      </c>
      <c r="O52" s="60">
        <v>4</v>
      </c>
      <c r="P52" s="60">
        <v>0</v>
      </c>
      <c r="Q52" s="60">
        <v>0</v>
      </c>
      <c r="R52" s="60">
        <v>1</v>
      </c>
      <c r="S52" s="60">
        <v>0</v>
      </c>
      <c r="T52" s="91">
        <v>0</v>
      </c>
      <c r="U52" s="20"/>
    </row>
    <row r="53" spans="1:21">
      <c r="A53" s="1" t="s">
        <v>1</v>
      </c>
      <c r="B53" s="16" t="s">
        <v>102</v>
      </c>
      <c r="C53" s="78" t="s">
        <v>103</v>
      </c>
      <c r="D53" s="64" t="s">
        <v>103</v>
      </c>
      <c r="E53" s="64" t="s">
        <v>103</v>
      </c>
      <c r="F53" s="64" t="s">
        <v>103</v>
      </c>
      <c r="G53" s="64" t="s">
        <v>103</v>
      </c>
      <c r="H53" s="64" t="s">
        <v>103</v>
      </c>
      <c r="I53" s="64" t="s">
        <v>103</v>
      </c>
      <c r="J53" s="64" t="s">
        <v>103</v>
      </c>
      <c r="K53" s="64" t="s">
        <v>103</v>
      </c>
      <c r="L53" s="64" t="s">
        <v>103</v>
      </c>
      <c r="M53" s="64" t="s">
        <v>103</v>
      </c>
      <c r="N53" s="64" t="s">
        <v>103</v>
      </c>
      <c r="O53" s="64" t="s">
        <v>103</v>
      </c>
      <c r="P53" s="64" t="s">
        <v>103</v>
      </c>
      <c r="Q53" s="64" t="s">
        <v>103</v>
      </c>
      <c r="R53" s="64" t="s">
        <v>103</v>
      </c>
      <c r="S53" s="64" t="s">
        <v>103</v>
      </c>
      <c r="T53" s="93" t="s">
        <v>103</v>
      </c>
      <c r="U53" s="22"/>
    </row>
    <row r="54" spans="1:21">
      <c r="A54" s="1" t="s">
        <v>1</v>
      </c>
      <c r="B54" s="16" t="s">
        <v>104</v>
      </c>
      <c r="C54" s="76">
        <v>5090</v>
      </c>
      <c r="D54" s="60">
        <v>6910</v>
      </c>
      <c r="E54" s="60">
        <v>6900</v>
      </c>
      <c r="F54" s="60">
        <v>9500</v>
      </c>
      <c r="G54" s="60">
        <v>4040</v>
      </c>
      <c r="H54" s="60">
        <v>10330</v>
      </c>
      <c r="I54" s="60">
        <v>6960</v>
      </c>
      <c r="J54" s="60">
        <v>4560</v>
      </c>
      <c r="K54" s="60">
        <v>6790</v>
      </c>
      <c r="L54" s="60">
        <v>10360</v>
      </c>
      <c r="M54" s="60">
        <v>7430</v>
      </c>
      <c r="N54" s="60">
        <v>8040</v>
      </c>
      <c r="O54" s="60">
        <v>0</v>
      </c>
      <c r="P54" s="60">
        <v>6310</v>
      </c>
      <c r="Q54" s="60">
        <v>6780</v>
      </c>
      <c r="R54" s="60">
        <v>5780</v>
      </c>
      <c r="S54" s="60">
        <v>5130</v>
      </c>
      <c r="T54" s="91">
        <v>5580</v>
      </c>
      <c r="U54" s="20">
        <f t="shared" si="0"/>
        <v>116490</v>
      </c>
    </row>
    <row r="55" spans="1:21">
      <c r="A55" s="1" t="s">
        <v>1</v>
      </c>
      <c r="B55" s="16" t="s">
        <v>105</v>
      </c>
      <c r="C55" s="76">
        <v>5090</v>
      </c>
      <c r="D55" s="60">
        <v>6910</v>
      </c>
      <c r="E55" s="60">
        <v>6900</v>
      </c>
      <c r="F55" s="60">
        <v>9500</v>
      </c>
      <c r="G55" s="60">
        <v>4040</v>
      </c>
      <c r="H55" s="60">
        <v>10330</v>
      </c>
      <c r="I55" s="60">
        <v>6960</v>
      </c>
      <c r="J55" s="60">
        <v>4560</v>
      </c>
      <c r="K55" s="60">
        <v>6790</v>
      </c>
      <c r="L55" s="60">
        <v>10360</v>
      </c>
      <c r="M55" s="60">
        <v>7430</v>
      </c>
      <c r="N55" s="60">
        <v>8040</v>
      </c>
      <c r="O55" s="60">
        <v>0</v>
      </c>
      <c r="P55" s="60">
        <v>6310</v>
      </c>
      <c r="Q55" s="60">
        <v>6780</v>
      </c>
      <c r="R55" s="60">
        <v>5780</v>
      </c>
      <c r="S55" s="60">
        <v>5130</v>
      </c>
      <c r="T55" s="91">
        <v>5580</v>
      </c>
      <c r="U55" s="20">
        <f t="shared" si="0"/>
        <v>116490</v>
      </c>
    </row>
    <row r="56" spans="1:21" ht="19.5" thickBot="1">
      <c r="A56" s="1" t="s">
        <v>1</v>
      </c>
      <c r="B56" s="12" t="s">
        <v>106</v>
      </c>
      <c r="C56" s="79">
        <v>60000</v>
      </c>
      <c r="D56" s="66">
        <v>30000</v>
      </c>
      <c r="E56" s="66">
        <v>60000</v>
      </c>
      <c r="F56" s="66">
        <v>30000</v>
      </c>
      <c r="G56" s="66">
        <v>30000</v>
      </c>
      <c r="H56" s="66">
        <v>30000</v>
      </c>
      <c r="I56" s="66">
        <v>30000</v>
      </c>
      <c r="J56" s="66">
        <v>60000</v>
      </c>
      <c r="K56" s="66">
        <v>30000</v>
      </c>
      <c r="L56" s="66">
        <v>30000</v>
      </c>
      <c r="M56" s="66">
        <v>30000</v>
      </c>
      <c r="N56" s="66">
        <v>30000</v>
      </c>
      <c r="O56" s="66">
        <v>150000</v>
      </c>
      <c r="P56" s="66">
        <v>30000</v>
      </c>
      <c r="Q56" s="66">
        <v>30000</v>
      </c>
      <c r="R56" s="66">
        <v>60000</v>
      </c>
      <c r="S56" s="66">
        <v>30000</v>
      </c>
      <c r="T56" s="94">
        <v>30000</v>
      </c>
      <c r="U56" s="14">
        <f t="shared" si="0"/>
        <v>780000</v>
      </c>
    </row>
  </sheetData>
  <phoneticPr fontId="3"/>
  <pageMargins left="0.31496062992125984" right="0.31496062992125984" top="0.15748031496062992" bottom="0.15748031496062992" header="0.31496062992125984" footer="0.31496062992125984"/>
  <pageSetup paperSize="12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2024年 5月度給与 (2)</vt:lpstr>
      <vt:lpstr>2024年 5月度給与 (3)</vt:lpstr>
      <vt:lpstr>2024年 5月度給与 (4)</vt:lpstr>
      <vt:lpstr>'2024年 5月度給与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2024-06-07T00:54:04Z</cp:lastPrinted>
  <dcterms:created xsi:type="dcterms:W3CDTF">2024-06-06T04:33:18Z</dcterms:created>
  <dcterms:modified xsi:type="dcterms:W3CDTF">2024-06-07T07:26:40Z</dcterms:modified>
</cp:coreProperties>
</file>