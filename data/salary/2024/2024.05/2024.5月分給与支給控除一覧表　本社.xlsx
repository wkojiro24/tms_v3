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若林運送 Dropbox\深沢道夫\総務・経理\給与集計内訳\2024\2024.05\"/>
    </mc:Choice>
  </mc:AlternateContent>
  <xr:revisionPtr revIDLastSave="0" documentId="13_ncr:1_{98043217-C9EE-4B56-B485-02526C3A8629}" xr6:coauthVersionLast="47" xr6:coauthVersionMax="47" xr10:uidLastSave="{00000000-0000-0000-0000-000000000000}"/>
  <bookViews>
    <workbookView xWindow="-120" yWindow="-120" windowWidth="20730" windowHeight="11160" xr2:uid="{68A6969A-002B-44A2-B40D-FE8D4B29B0DE}"/>
  </bookViews>
  <sheets>
    <sheet name="2024年 5月度給与 (2)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9" i="3" l="1"/>
  <c r="K11" i="3"/>
  <c r="L11" i="3" s="1"/>
  <c r="K12" i="3"/>
  <c r="L12" i="3" s="1"/>
  <c r="K13" i="3"/>
  <c r="K14" i="3"/>
  <c r="L14" i="3" s="1"/>
  <c r="K15" i="3"/>
  <c r="L15" i="3" s="1"/>
  <c r="K16" i="3"/>
  <c r="L16" i="3" s="1"/>
  <c r="K17" i="3"/>
  <c r="K18" i="3"/>
  <c r="L18" i="3" s="1"/>
  <c r="K19" i="3"/>
  <c r="L19" i="3" s="1"/>
  <c r="K20" i="3"/>
  <c r="L20" i="3" s="1"/>
  <c r="K21" i="3"/>
  <c r="K22" i="3"/>
  <c r="L22" i="3" s="1"/>
  <c r="K23" i="3"/>
  <c r="L23" i="3" s="1"/>
  <c r="K24" i="3"/>
  <c r="L24" i="3" s="1"/>
  <c r="K25" i="3"/>
  <c r="K26" i="3"/>
  <c r="L26" i="3" s="1"/>
  <c r="K27" i="3"/>
  <c r="L27" i="3" s="1"/>
  <c r="K28" i="3"/>
  <c r="L28" i="3" s="1"/>
  <c r="K29" i="3"/>
  <c r="K30" i="3"/>
  <c r="L30" i="3" s="1"/>
  <c r="K31" i="3"/>
  <c r="L31" i="3" s="1"/>
  <c r="K32" i="3"/>
  <c r="L32" i="3" s="1"/>
  <c r="K34" i="3"/>
  <c r="K35" i="3"/>
  <c r="L35" i="3" s="1"/>
  <c r="K36" i="3"/>
  <c r="L36" i="3" s="1"/>
  <c r="K10" i="3"/>
  <c r="L10" i="3" s="1"/>
  <c r="K6" i="3"/>
  <c r="L6" i="3" s="1"/>
  <c r="K7" i="3"/>
  <c r="L7" i="3" s="1"/>
  <c r="K8" i="3"/>
  <c r="L8" i="3" s="1"/>
  <c r="K5" i="3"/>
  <c r="L5" i="3" s="1"/>
  <c r="G11" i="3"/>
  <c r="G12" i="3"/>
  <c r="G13" i="3"/>
  <c r="L13" i="3" s="1"/>
  <c r="G14" i="3"/>
  <c r="G15" i="3"/>
  <c r="G16" i="3"/>
  <c r="G17" i="3"/>
  <c r="L17" i="3" s="1"/>
  <c r="G18" i="3"/>
  <c r="G19" i="3"/>
  <c r="G20" i="3"/>
  <c r="G21" i="3"/>
  <c r="L21" i="3" s="1"/>
  <c r="G22" i="3"/>
  <c r="G23" i="3"/>
  <c r="G24" i="3"/>
  <c r="G25" i="3"/>
  <c r="L25" i="3" s="1"/>
  <c r="G26" i="3"/>
  <c r="G27" i="3"/>
  <c r="G28" i="3"/>
  <c r="G29" i="3"/>
  <c r="L29" i="3" s="1"/>
  <c r="G30" i="3"/>
  <c r="G31" i="3"/>
  <c r="G32" i="3"/>
  <c r="G34" i="3"/>
  <c r="L34" i="3" s="1"/>
  <c r="G35" i="3"/>
  <c r="G36" i="3"/>
  <c r="G10" i="3"/>
  <c r="G6" i="3"/>
  <c r="G7" i="3"/>
  <c r="G8" i="3"/>
  <c r="G5" i="3"/>
</calcChain>
</file>

<file path=xl/sharedStrings.xml><?xml version="1.0" encoding="utf-8"?>
<sst xmlns="http://schemas.openxmlformats.org/spreadsheetml/2006/main" count="94" uniqueCount="56">
  <si>
    <t>支給控除一覧表</t>
    <phoneticPr fontId="4"/>
  </si>
  <si>
    <t/>
  </si>
  <si>
    <t>1010</t>
    <phoneticPr fontId="4"/>
  </si>
  <si>
    <t>1019</t>
    <phoneticPr fontId="4"/>
  </si>
  <si>
    <t>1024</t>
    <phoneticPr fontId="4"/>
  </si>
  <si>
    <t>1111</t>
    <phoneticPr fontId="4"/>
  </si>
  <si>
    <t>1020</t>
    <phoneticPr fontId="4"/>
  </si>
  <si>
    <t>1041</t>
    <phoneticPr fontId="4"/>
  </si>
  <si>
    <t>1036</t>
    <phoneticPr fontId="4"/>
  </si>
  <si>
    <t>項目名</t>
    <phoneticPr fontId="4"/>
  </si>
  <si>
    <t>若林　権太郎</t>
    <phoneticPr fontId="4"/>
  </si>
  <si>
    <t>若林　孝次郎</t>
    <phoneticPr fontId="4"/>
  </si>
  <si>
    <t>若林　裕子</t>
    <phoneticPr fontId="4"/>
  </si>
  <si>
    <t>若林　英司</t>
    <phoneticPr fontId="4"/>
  </si>
  <si>
    <t>深沢　道夫</t>
    <phoneticPr fontId="4"/>
  </si>
  <si>
    <t>浅田　恵美子</t>
    <phoneticPr fontId="4"/>
  </si>
  <si>
    <t>渋谷　晶子</t>
    <phoneticPr fontId="4"/>
  </si>
  <si>
    <t>合計</t>
    <phoneticPr fontId="4"/>
  </si>
  <si>
    <t>平日出勤日数</t>
    <phoneticPr fontId="4"/>
  </si>
  <si>
    <t>有休日数</t>
    <phoneticPr fontId="4"/>
  </si>
  <si>
    <t>就労時間</t>
    <phoneticPr fontId="4"/>
  </si>
  <si>
    <t>所定内残業</t>
    <phoneticPr fontId="4"/>
  </si>
  <si>
    <t>有休残日数</t>
    <phoneticPr fontId="4"/>
  </si>
  <si>
    <t>基本給</t>
    <phoneticPr fontId="4"/>
  </si>
  <si>
    <t>職責加算</t>
    <phoneticPr fontId="4"/>
  </si>
  <si>
    <t>大都市加算</t>
    <phoneticPr fontId="4"/>
  </si>
  <si>
    <t>基本給2</t>
    <phoneticPr fontId="4"/>
  </si>
  <si>
    <t>役員報酬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</si>
  <si>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</si>
  <si>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</si>
  <si>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</si>
  <si>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</si>
  <si>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</si>
  <si>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</si>
  <si>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</si>
  <si>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</si>
  <si>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</si>
  <si>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</si>
  <si>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</si>
  <si>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</si>
  <si>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</si>
  <si>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</si>
  <si>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</si>
  <si>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</si>
  <si>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</si>
  <si>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税額表</t>
    <phoneticPr fontId="4"/>
  </si>
  <si>
    <t>甲欄</t>
    <phoneticPr fontId="4"/>
  </si>
  <si>
    <t>乙欄</t>
    <phoneticPr fontId="4"/>
  </si>
  <si>
    <t>(減税前税額)</t>
    <phoneticPr fontId="4"/>
  </si>
  <si>
    <t>(定額減税額)</t>
    <phoneticPr fontId="4"/>
  </si>
  <si>
    <t>(減税設定額)</t>
    <phoneticPr fontId="4"/>
  </si>
  <si>
    <t>2024年 5月度給与</t>
    <phoneticPr fontId="4"/>
  </si>
  <si>
    <t>小計</t>
    <rPh sb="0" eb="2">
      <t>ショウケイ</t>
    </rPh>
    <phoneticPr fontId="3"/>
  </si>
  <si>
    <t>4名</t>
    <rPh sb="1" eb="2">
      <t>メイ</t>
    </rPh>
    <phoneticPr fontId="3"/>
  </si>
  <si>
    <t>3名</t>
    <rPh sb="1" eb="2">
      <t>メイ</t>
    </rPh>
    <phoneticPr fontId="3"/>
  </si>
  <si>
    <t>4名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</si>
</sst>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hair">
        <color auto="1"/>
      </left>
      <right/>
      <top style="medium">
        <color indexed="64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/>
      <diagonal/>
    </border>
    <border>
      <left/>
      <right style="hair">
        <color auto="1"/>
      </right>
      <top/>
      <bottom style="medium">
        <color indexed="64"/>
      </bottom>
      <diagonal/>
    </border>
    <border>
      <left/>
      <right style="hair">
        <color auto="1"/>
      </right>
      <top style="medium">
        <color indexed="64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91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49" fontId="2" fillId="0" borderId="4" xfId="1" applyNumberFormat="1" applyFont="1" applyBorder="1" applyAlignment="1">
      <alignment horizontal="left"/>
    </xf>
    <xf numFmtId="176" fontId="2" fillId="0" borderId="0" xfId="1" applyNumberFormat="1" applyFont="1"/>
    <xf numFmtId="176" fontId="2" fillId="0" borderId="4" xfId="1" applyNumberFormat="1" applyFont="1" applyBorder="1"/>
    <xf numFmtId="3" fontId="2" fillId="0" borderId="0" xfId="1" applyNumberFormat="1" applyFont="1"/>
    <xf numFmtId="3" fontId="2" fillId="0" borderId="4" xfId="1" applyNumberFormat="1" applyFont="1" applyBorder="1"/>
    <xf numFmtId="49" fontId="2" fillId="0" borderId="3" xfId="1" applyNumberFormat="1" applyFont="1" applyBorder="1" applyAlignment="1">
      <alignment horizontal="left"/>
    </xf>
    <xf numFmtId="3" fontId="2" fillId="0" borderId="1" xfId="1" applyNumberFormat="1" applyFont="1" applyBorder="1"/>
    <xf numFmtId="3" fontId="2" fillId="0" borderId="3" xfId="1" applyNumberFormat="1" applyFont="1" applyBorder="1"/>
    <xf numFmtId="0" fontId="2" fillId="0" borderId="5" xfId="1" applyFont="1" applyBorder="1" applyAlignment="1">
      <alignment horizontal="center"/>
    </xf>
    <xf numFmtId="49" fontId="2" fillId="0" borderId="6" xfId="1" applyNumberFormat="1" applyFont="1" applyBorder="1" applyAlignment="1">
      <alignment horizontal="left"/>
    </xf>
    <xf numFmtId="2" fontId="2" fillId="0" borderId="7" xfId="1" applyNumberFormat="1" applyFont="1" applyBorder="1"/>
    <xf numFmtId="2" fontId="2" fillId="0" borderId="6" xfId="1" applyNumberFormat="1" applyFont="1" applyBorder="1"/>
    <xf numFmtId="3" fontId="2" fillId="0" borderId="7" xfId="1" applyNumberFormat="1" applyFont="1" applyBorder="1"/>
    <xf numFmtId="3" fontId="2" fillId="0" borderId="6" xfId="1" applyNumberFormat="1" applyFont="1" applyBorder="1"/>
    <xf numFmtId="49" fontId="2" fillId="0" borderId="8" xfId="1" applyNumberFormat="1" applyFont="1" applyBorder="1" applyAlignment="1">
      <alignment horizontal="left"/>
    </xf>
    <xf numFmtId="3" fontId="2" fillId="0" borderId="9" xfId="1" applyNumberFormat="1" applyFont="1" applyBorder="1"/>
    <xf numFmtId="3" fontId="2" fillId="0" borderId="8" xfId="1" applyNumberFormat="1" applyFont="1" applyBorder="1"/>
    <xf numFmtId="49" fontId="2" fillId="0" borderId="10" xfId="1" applyNumberFormat="1" applyFont="1" applyBorder="1" applyAlignment="1">
      <alignment horizontal="left"/>
    </xf>
    <xf numFmtId="3" fontId="2" fillId="0" borderId="11" xfId="1" applyNumberFormat="1" applyFont="1" applyBorder="1"/>
    <xf numFmtId="3" fontId="2" fillId="0" borderId="10" xfId="1" applyNumberFormat="1" applyFont="1" applyBorder="1"/>
    <xf numFmtId="49" fontId="2" fillId="0" borderId="7" xfId="1" applyNumberFormat="1" applyFont="1" applyBorder="1"/>
    <xf numFmtId="49" fontId="2" fillId="0" borderId="6" xfId="1" applyNumberFormat="1" applyFont="1" applyBorder="1"/>
    <xf numFmtId="49" fontId="2" fillId="0" borderId="12" xfId="1" applyNumberFormat="1" applyFont="1" applyBorder="1" applyAlignment="1">
      <alignment horizontal="center"/>
    </xf>
    <xf numFmtId="49" fontId="2" fillId="0" borderId="13" xfId="1" applyNumberFormat="1" applyFont="1" applyBorder="1" applyAlignment="1">
      <alignment horizontal="center"/>
    </xf>
    <xf numFmtId="49" fontId="2" fillId="0" borderId="14" xfId="1" applyNumberFormat="1" applyFont="1" applyBorder="1" applyAlignment="1">
      <alignment horizontal="center"/>
    </xf>
    <xf numFmtId="49" fontId="2" fillId="0" borderId="15" xfId="1" applyNumberFormat="1" applyFont="1" applyBorder="1" applyAlignment="1">
      <alignment horizontal="center"/>
    </xf>
    <xf numFmtId="176" fontId="2" fillId="0" borderId="16" xfId="1" applyNumberFormat="1" applyFont="1" applyBorder="1"/>
    <xf numFmtId="176" fontId="2" fillId="0" borderId="17" xfId="1" applyNumberFormat="1" applyFont="1" applyBorder="1"/>
    <xf numFmtId="2" fontId="2" fillId="0" borderId="18" xfId="1" applyNumberFormat="1" applyFont="1" applyBorder="1"/>
    <xf numFmtId="2" fontId="2" fillId="0" borderId="19" xfId="1" applyNumberFormat="1" applyFont="1" applyBorder="1"/>
    <xf numFmtId="3" fontId="2" fillId="0" borderId="16" xfId="1" applyNumberFormat="1" applyFont="1" applyBorder="1"/>
    <xf numFmtId="3" fontId="2" fillId="0" borderId="17" xfId="1" applyNumberFormat="1" applyFont="1" applyBorder="1"/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3" fontId="2" fillId="0" borderId="21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49" fontId="2" fillId="0" borderId="18" xfId="1" applyNumberFormat="1" applyFont="1" applyBorder="1"/>
    <xf numFmtId="49" fontId="2" fillId="0" borderId="19" xfId="1" applyNumberFormat="1" applyFont="1" applyBorder="1"/>
    <xf numFmtId="3" fontId="2" fillId="0" borderId="14" xfId="1" applyNumberFormat="1" applyFont="1" applyBorder="1"/>
    <xf numFmtId="3" fontId="2" fillId="0" borderId="15" xfId="1" applyNumberFormat="1" applyFont="1" applyBorder="1"/>
    <xf numFmtId="49" fontId="2" fillId="0" borderId="24" xfId="1" applyNumberFormat="1" applyFont="1" applyBorder="1" applyAlignment="1">
      <alignment horizontal="left"/>
    </xf>
    <xf numFmtId="2" fontId="2" fillId="0" borderId="25" xfId="1" applyNumberFormat="1" applyFont="1" applyBorder="1"/>
    <xf numFmtId="2" fontId="2" fillId="0" borderId="26" xfId="1" applyNumberFormat="1" applyFont="1" applyBorder="1"/>
    <xf numFmtId="2" fontId="2" fillId="0" borderId="27" xfId="1" applyNumberFormat="1" applyFont="1" applyBorder="1"/>
    <xf numFmtId="2" fontId="2" fillId="0" borderId="24" xfId="1" applyNumberFormat="1" applyFont="1" applyBorder="1"/>
    <xf numFmtId="2" fontId="2" fillId="0" borderId="22" xfId="1" applyNumberFormat="1" applyFont="1" applyBorder="1"/>
    <xf numFmtId="2" fontId="2" fillId="0" borderId="23" xfId="1" applyNumberFormat="1" applyFont="1" applyBorder="1"/>
    <xf numFmtId="2" fontId="2" fillId="0" borderId="11" xfId="1" applyNumberFormat="1" applyFont="1" applyBorder="1"/>
    <xf numFmtId="2" fontId="2" fillId="0" borderId="10" xfId="1" applyNumberFormat="1" applyFont="1" applyBorder="1"/>
    <xf numFmtId="176" fontId="2" fillId="0" borderId="22" xfId="1" applyNumberFormat="1" applyFont="1" applyBorder="1"/>
    <xf numFmtId="176" fontId="2" fillId="0" borderId="23" xfId="1" applyNumberFormat="1" applyFont="1" applyBorder="1"/>
    <xf numFmtId="176" fontId="2" fillId="0" borderId="11" xfId="1" applyNumberFormat="1" applyFont="1" applyBorder="1"/>
    <xf numFmtId="176" fontId="2" fillId="0" borderId="10" xfId="1" applyNumberFormat="1" applyFont="1" applyBorder="1"/>
    <xf numFmtId="0" fontId="2" fillId="0" borderId="3" xfId="1" applyFont="1" applyBorder="1" applyAlignment="1">
      <alignment horizontal="right"/>
    </xf>
    <xf numFmtId="49" fontId="2" fillId="0" borderId="28" xfId="1" applyNumberFormat="1" applyFont="1" applyBorder="1" applyAlignment="1">
      <alignment horizontal="center"/>
    </xf>
    <xf numFmtId="49" fontId="2" fillId="0" borderId="29" xfId="1" applyNumberFormat="1" applyFont="1" applyBorder="1" applyAlignment="1">
      <alignment horizontal="center"/>
    </xf>
    <xf numFmtId="2" fontId="2" fillId="0" borderId="30" xfId="1" applyNumberFormat="1" applyFont="1" applyBorder="1"/>
    <xf numFmtId="2" fontId="2" fillId="0" borderId="31" xfId="1" applyNumberFormat="1" applyFont="1" applyBorder="1"/>
    <xf numFmtId="176" fontId="2" fillId="0" borderId="31" xfId="1" applyNumberFormat="1" applyFont="1" applyBorder="1"/>
    <xf numFmtId="176" fontId="2" fillId="0" borderId="32" xfId="1" applyNumberFormat="1" applyFont="1" applyBorder="1"/>
    <xf numFmtId="2" fontId="2" fillId="0" borderId="33" xfId="1" applyNumberFormat="1" applyFont="1" applyBorder="1"/>
    <xf numFmtId="3" fontId="2" fillId="0" borderId="34" xfId="1" applyNumberFormat="1" applyFont="1" applyBorder="1"/>
    <xf numFmtId="3" fontId="2" fillId="0" borderId="31" xfId="1" applyNumberFormat="1" applyFont="1" applyBorder="1"/>
    <xf numFmtId="3" fontId="2" fillId="0" borderId="32" xfId="1" applyNumberFormat="1" applyFont="1" applyBorder="1"/>
    <xf numFmtId="3" fontId="2" fillId="0" borderId="33" xfId="1" applyNumberFormat="1" applyFont="1" applyBorder="1"/>
    <xf numFmtId="49" fontId="2" fillId="0" borderId="33" xfId="1" applyNumberFormat="1" applyFont="1" applyBorder="1"/>
    <xf numFmtId="3" fontId="2" fillId="0" borderId="29" xfId="1" applyNumberFormat="1" applyFont="1" applyBorder="1"/>
    <xf numFmtId="49" fontId="2" fillId="0" borderId="35" xfId="1" applyNumberFormat="1" applyFont="1" applyBorder="1" applyAlignment="1">
      <alignment horizontal="center"/>
    </xf>
    <xf numFmtId="49" fontId="2" fillId="0" borderId="36" xfId="1" applyNumberFormat="1" applyFont="1" applyBorder="1" applyAlignment="1">
      <alignment horizontal="center"/>
    </xf>
    <xf numFmtId="2" fontId="2" fillId="0" borderId="37" xfId="1" applyNumberFormat="1" applyFont="1" applyBorder="1"/>
    <xf numFmtId="2" fontId="2" fillId="0" borderId="38" xfId="1" applyNumberFormat="1" applyFont="1" applyBorder="1"/>
    <xf numFmtId="176" fontId="2" fillId="0" borderId="38" xfId="1" applyNumberFormat="1" applyFont="1" applyBorder="1"/>
    <xf numFmtId="176" fontId="2" fillId="0" borderId="39" xfId="1" applyNumberFormat="1" applyFont="1" applyBorder="1"/>
    <xf numFmtId="2" fontId="2" fillId="0" borderId="40" xfId="1" applyNumberFormat="1" applyFont="1" applyBorder="1"/>
    <xf numFmtId="3" fontId="2" fillId="0" borderId="41" xfId="1" applyNumberFormat="1" applyFont="1" applyBorder="1"/>
    <xf numFmtId="3" fontId="2" fillId="0" borderId="38" xfId="1" applyNumberFormat="1" applyFont="1" applyBorder="1"/>
    <xf numFmtId="3" fontId="2" fillId="0" borderId="39" xfId="1" applyNumberFormat="1" applyFont="1" applyBorder="1"/>
    <xf numFmtId="3" fontId="2" fillId="0" borderId="40" xfId="1" applyNumberFormat="1" applyFont="1" applyBorder="1"/>
    <xf numFmtId="49" fontId="2" fillId="0" borderId="40" xfId="1" applyNumberFormat="1" applyFont="1" applyBorder="1"/>
    <xf numFmtId="3" fontId="2" fillId="0" borderId="36" xfId="1" applyNumberFormat="1" applyFont="1" applyBorder="1"/>
    <xf numFmtId="49" fontId="2" fillId="0" borderId="5" xfId="1" applyNumberFormat="1" applyFont="1" applyBorder="1" applyAlignment="1">
      <alignment horizontal="center"/>
    </xf>
    <xf numFmtId="49" fontId="2" fillId="0" borderId="3" xfId="1" applyNumberFormat="1" applyFont="1" applyBorder="1" applyAlignment="1">
      <alignment horizontal="right"/>
    </xf>
    <xf numFmtId="0" fontId="2" fillId="0" borderId="5" xfId="1" applyFont="1" applyBorder="1"/>
  </cellXfs>
  <cellStyles count="2">
    <cellStyle name="標準" xfId="0" builtinId="0"/>
    <cellStyle name="標準 2" xfId="1" xr:uid="{219334F7-14A2-43C9-9494-198435212F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9E92D-E683-4741-B030-742DAAA82F8C}">
  <sheetPr>
    <pageSetUpPr fitToPage="1"/>
  </sheetPr>
  <dimension ref="A1:L36"/>
  <sheetViews>
    <sheetView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B3" sqref="B3"/>
    </sheetView>
  </sheetViews>
  <sheetFormatPr defaultRowHeight="18.75"/>
  <cols>
    <col min="1" max="1" width="2.375" style="2" customWidth="1"/>
    <col min="2" max="2" width="13.25" style="2" bestFit="1" customWidth="1"/>
    <col min="3" max="12" width="11.75" style="2" customWidth="1"/>
    <col min="13" max="257" width="9" style="2"/>
    <col min="258" max="258" width="2.375" style="2" customWidth="1"/>
    <col min="259" max="261" width="13.25" style="2" bestFit="1" customWidth="1"/>
    <col min="262" max="264" width="11.125" style="2" bestFit="1" customWidth="1"/>
    <col min="265" max="265" width="13.25" style="2" bestFit="1" customWidth="1"/>
    <col min="266" max="266" width="11.125" style="2" bestFit="1" customWidth="1"/>
    <col min="267" max="267" width="9.625" style="2" bestFit="1" customWidth="1"/>
    <col min="268" max="513" width="9" style="2"/>
    <col min="514" max="514" width="2.375" style="2" customWidth="1"/>
    <col min="515" max="517" width="13.25" style="2" bestFit="1" customWidth="1"/>
    <col min="518" max="520" width="11.125" style="2" bestFit="1" customWidth="1"/>
    <col min="521" max="521" width="13.25" style="2" bestFit="1" customWidth="1"/>
    <col min="522" max="522" width="11.125" style="2" bestFit="1" customWidth="1"/>
    <col min="523" max="523" width="9.625" style="2" bestFit="1" customWidth="1"/>
    <col min="524" max="769" width="9" style="2"/>
    <col min="770" max="770" width="2.375" style="2" customWidth="1"/>
    <col min="771" max="773" width="13.25" style="2" bestFit="1" customWidth="1"/>
    <col min="774" max="776" width="11.125" style="2" bestFit="1" customWidth="1"/>
    <col min="777" max="777" width="13.25" style="2" bestFit="1" customWidth="1"/>
    <col min="778" max="778" width="11.125" style="2" bestFit="1" customWidth="1"/>
    <col min="779" max="779" width="9.625" style="2" bestFit="1" customWidth="1"/>
    <col min="780" max="1025" width="9" style="2"/>
    <col min="1026" max="1026" width="2.375" style="2" customWidth="1"/>
    <col min="1027" max="1029" width="13.25" style="2" bestFit="1" customWidth="1"/>
    <col min="1030" max="1032" width="11.125" style="2" bestFit="1" customWidth="1"/>
    <col min="1033" max="1033" width="13.25" style="2" bestFit="1" customWidth="1"/>
    <col min="1034" max="1034" width="11.125" style="2" bestFit="1" customWidth="1"/>
    <col min="1035" max="1035" width="9.625" style="2" bestFit="1" customWidth="1"/>
    <col min="1036" max="1281" width="9" style="2"/>
    <col min="1282" max="1282" width="2.375" style="2" customWidth="1"/>
    <col min="1283" max="1285" width="13.25" style="2" bestFit="1" customWidth="1"/>
    <col min="1286" max="1288" width="11.125" style="2" bestFit="1" customWidth="1"/>
    <col min="1289" max="1289" width="13.25" style="2" bestFit="1" customWidth="1"/>
    <col min="1290" max="1290" width="11.125" style="2" bestFit="1" customWidth="1"/>
    <col min="1291" max="1291" width="9.625" style="2" bestFit="1" customWidth="1"/>
    <col min="1292" max="1537" width="9" style="2"/>
    <col min="1538" max="1538" width="2.375" style="2" customWidth="1"/>
    <col min="1539" max="1541" width="13.25" style="2" bestFit="1" customWidth="1"/>
    <col min="1542" max="1544" width="11.125" style="2" bestFit="1" customWidth="1"/>
    <col min="1545" max="1545" width="13.25" style="2" bestFit="1" customWidth="1"/>
    <col min="1546" max="1546" width="11.125" style="2" bestFit="1" customWidth="1"/>
    <col min="1547" max="1547" width="9.625" style="2" bestFit="1" customWidth="1"/>
    <col min="1548" max="1793" width="9" style="2"/>
    <col min="1794" max="1794" width="2.375" style="2" customWidth="1"/>
    <col min="1795" max="1797" width="13.25" style="2" bestFit="1" customWidth="1"/>
    <col min="1798" max="1800" width="11.125" style="2" bestFit="1" customWidth="1"/>
    <col min="1801" max="1801" width="13.25" style="2" bestFit="1" customWidth="1"/>
    <col min="1802" max="1802" width="11.125" style="2" bestFit="1" customWidth="1"/>
    <col min="1803" max="1803" width="9.625" style="2" bestFit="1" customWidth="1"/>
    <col min="1804" max="2049" width="9" style="2"/>
    <col min="2050" max="2050" width="2.375" style="2" customWidth="1"/>
    <col min="2051" max="2053" width="13.25" style="2" bestFit="1" customWidth="1"/>
    <col min="2054" max="2056" width="11.125" style="2" bestFit="1" customWidth="1"/>
    <col min="2057" max="2057" width="13.25" style="2" bestFit="1" customWidth="1"/>
    <col min="2058" max="2058" width="11.125" style="2" bestFit="1" customWidth="1"/>
    <col min="2059" max="2059" width="9.625" style="2" bestFit="1" customWidth="1"/>
    <col min="2060" max="2305" width="9" style="2"/>
    <col min="2306" max="2306" width="2.375" style="2" customWidth="1"/>
    <col min="2307" max="2309" width="13.25" style="2" bestFit="1" customWidth="1"/>
    <col min="2310" max="2312" width="11.125" style="2" bestFit="1" customWidth="1"/>
    <col min="2313" max="2313" width="13.25" style="2" bestFit="1" customWidth="1"/>
    <col min="2314" max="2314" width="11.125" style="2" bestFit="1" customWidth="1"/>
    <col min="2315" max="2315" width="9.625" style="2" bestFit="1" customWidth="1"/>
    <col min="2316" max="2561" width="9" style="2"/>
    <col min="2562" max="2562" width="2.375" style="2" customWidth="1"/>
    <col min="2563" max="2565" width="13.25" style="2" bestFit="1" customWidth="1"/>
    <col min="2566" max="2568" width="11.125" style="2" bestFit="1" customWidth="1"/>
    <col min="2569" max="2569" width="13.25" style="2" bestFit="1" customWidth="1"/>
    <col min="2570" max="2570" width="11.125" style="2" bestFit="1" customWidth="1"/>
    <col min="2571" max="2571" width="9.625" style="2" bestFit="1" customWidth="1"/>
    <col min="2572" max="2817" width="9" style="2"/>
    <col min="2818" max="2818" width="2.375" style="2" customWidth="1"/>
    <col min="2819" max="2821" width="13.25" style="2" bestFit="1" customWidth="1"/>
    <col min="2822" max="2824" width="11.125" style="2" bestFit="1" customWidth="1"/>
    <col min="2825" max="2825" width="13.25" style="2" bestFit="1" customWidth="1"/>
    <col min="2826" max="2826" width="11.125" style="2" bestFit="1" customWidth="1"/>
    <col min="2827" max="2827" width="9.625" style="2" bestFit="1" customWidth="1"/>
    <col min="2828" max="3073" width="9" style="2"/>
    <col min="3074" max="3074" width="2.375" style="2" customWidth="1"/>
    <col min="3075" max="3077" width="13.25" style="2" bestFit="1" customWidth="1"/>
    <col min="3078" max="3080" width="11.125" style="2" bestFit="1" customWidth="1"/>
    <col min="3081" max="3081" width="13.25" style="2" bestFit="1" customWidth="1"/>
    <col min="3082" max="3082" width="11.125" style="2" bestFit="1" customWidth="1"/>
    <col min="3083" max="3083" width="9.625" style="2" bestFit="1" customWidth="1"/>
    <col min="3084" max="3329" width="9" style="2"/>
    <col min="3330" max="3330" width="2.375" style="2" customWidth="1"/>
    <col min="3331" max="3333" width="13.25" style="2" bestFit="1" customWidth="1"/>
    <col min="3334" max="3336" width="11.125" style="2" bestFit="1" customWidth="1"/>
    <col min="3337" max="3337" width="13.25" style="2" bestFit="1" customWidth="1"/>
    <col min="3338" max="3338" width="11.125" style="2" bestFit="1" customWidth="1"/>
    <col min="3339" max="3339" width="9.625" style="2" bestFit="1" customWidth="1"/>
    <col min="3340" max="3585" width="9" style="2"/>
    <col min="3586" max="3586" width="2.375" style="2" customWidth="1"/>
    <col min="3587" max="3589" width="13.25" style="2" bestFit="1" customWidth="1"/>
    <col min="3590" max="3592" width="11.125" style="2" bestFit="1" customWidth="1"/>
    <col min="3593" max="3593" width="13.25" style="2" bestFit="1" customWidth="1"/>
    <col min="3594" max="3594" width="11.125" style="2" bestFit="1" customWidth="1"/>
    <col min="3595" max="3595" width="9.625" style="2" bestFit="1" customWidth="1"/>
    <col min="3596" max="3841" width="9" style="2"/>
    <col min="3842" max="3842" width="2.375" style="2" customWidth="1"/>
    <col min="3843" max="3845" width="13.25" style="2" bestFit="1" customWidth="1"/>
    <col min="3846" max="3848" width="11.125" style="2" bestFit="1" customWidth="1"/>
    <col min="3849" max="3849" width="13.25" style="2" bestFit="1" customWidth="1"/>
    <col min="3850" max="3850" width="11.125" style="2" bestFit="1" customWidth="1"/>
    <col min="3851" max="3851" width="9.625" style="2" bestFit="1" customWidth="1"/>
    <col min="3852" max="4097" width="9" style="2"/>
    <col min="4098" max="4098" width="2.375" style="2" customWidth="1"/>
    <col min="4099" max="4101" width="13.25" style="2" bestFit="1" customWidth="1"/>
    <col min="4102" max="4104" width="11.125" style="2" bestFit="1" customWidth="1"/>
    <col min="4105" max="4105" width="13.25" style="2" bestFit="1" customWidth="1"/>
    <col min="4106" max="4106" width="11.125" style="2" bestFit="1" customWidth="1"/>
    <col min="4107" max="4107" width="9.625" style="2" bestFit="1" customWidth="1"/>
    <col min="4108" max="4353" width="9" style="2"/>
    <col min="4354" max="4354" width="2.375" style="2" customWidth="1"/>
    <col min="4355" max="4357" width="13.25" style="2" bestFit="1" customWidth="1"/>
    <col min="4358" max="4360" width="11.125" style="2" bestFit="1" customWidth="1"/>
    <col min="4361" max="4361" width="13.25" style="2" bestFit="1" customWidth="1"/>
    <col min="4362" max="4362" width="11.125" style="2" bestFit="1" customWidth="1"/>
    <col min="4363" max="4363" width="9.625" style="2" bestFit="1" customWidth="1"/>
    <col min="4364" max="4609" width="9" style="2"/>
    <col min="4610" max="4610" width="2.375" style="2" customWidth="1"/>
    <col min="4611" max="4613" width="13.25" style="2" bestFit="1" customWidth="1"/>
    <col min="4614" max="4616" width="11.125" style="2" bestFit="1" customWidth="1"/>
    <col min="4617" max="4617" width="13.25" style="2" bestFit="1" customWidth="1"/>
    <col min="4618" max="4618" width="11.125" style="2" bestFit="1" customWidth="1"/>
    <col min="4619" max="4619" width="9.625" style="2" bestFit="1" customWidth="1"/>
    <col min="4620" max="4865" width="9" style="2"/>
    <col min="4866" max="4866" width="2.375" style="2" customWidth="1"/>
    <col min="4867" max="4869" width="13.25" style="2" bestFit="1" customWidth="1"/>
    <col min="4870" max="4872" width="11.125" style="2" bestFit="1" customWidth="1"/>
    <col min="4873" max="4873" width="13.25" style="2" bestFit="1" customWidth="1"/>
    <col min="4874" max="4874" width="11.125" style="2" bestFit="1" customWidth="1"/>
    <col min="4875" max="4875" width="9.625" style="2" bestFit="1" customWidth="1"/>
    <col min="4876" max="5121" width="9" style="2"/>
    <col min="5122" max="5122" width="2.375" style="2" customWidth="1"/>
    <col min="5123" max="5125" width="13.25" style="2" bestFit="1" customWidth="1"/>
    <col min="5126" max="5128" width="11.125" style="2" bestFit="1" customWidth="1"/>
    <col min="5129" max="5129" width="13.25" style="2" bestFit="1" customWidth="1"/>
    <col min="5130" max="5130" width="11.125" style="2" bestFit="1" customWidth="1"/>
    <col min="5131" max="5131" width="9.625" style="2" bestFit="1" customWidth="1"/>
    <col min="5132" max="5377" width="9" style="2"/>
    <col min="5378" max="5378" width="2.375" style="2" customWidth="1"/>
    <col min="5379" max="5381" width="13.25" style="2" bestFit="1" customWidth="1"/>
    <col min="5382" max="5384" width="11.125" style="2" bestFit="1" customWidth="1"/>
    <col min="5385" max="5385" width="13.25" style="2" bestFit="1" customWidth="1"/>
    <col min="5386" max="5386" width="11.125" style="2" bestFit="1" customWidth="1"/>
    <col min="5387" max="5387" width="9.625" style="2" bestFit="1" customWidth="1"/>
    <col min="5388" max="5633" width="9" style="2"/>
    <col min="5634" max="5634" width="2.375" style="2" customWidth="1"/>
    <col min="5635" max="5637" width="13.25" style="2" bestFit="1" customWidth="1"/>
    <col min="5638" max="5640" width="11.125" style="2" bestFit="1" customWidth="1"/>
    <col min="5641" max="5641" width="13.25" style="2" bestFit="1" customWidth="1"/>
    <col min="5642" max="5642" width="11.125" style="2" bestFit="1" customWidth="1"/>
    <col min="5643" max="5643" width="9.625" style="2" bestFit="1" customWidth="1"/>
    <col min="5644" max="5889" width="9" style="2"/>
    <col min="5890" max="5890" width="2.375" style="2" customWidth="1"/>
    <col min="5891" max="5893" width="13.25" style="2" bestFit="1" customWidth="1"/>
    <col min="5894" max="5896" width="11.125" style="2" bestFit="1" customWidth="1"/>
    <col min="5897" max="5897" width="13.25" style="2" bestFit="1" customWidth="1"/>
    <col min="5898" max="5898" width="11.125" style="2" bestFit="1" customWidth="1"/>
    <col min="5899" max="5899" width="9.625" style="2" bestFit="1" customWidth="1"/>
    <col min="5900" max="6145" width="9" style="2"/>
    <col min="6146" max="6146" width="2.375" style="2" customWidth="1"/>
    <col min="6147" max="6149" width="13.25" style="2" bestFit="1" customWidth="1"/>
    <col min="6150" max="6152" width="11.125" style="2" bestFit="1" customWidth="1"/>
    <col min="6153" max="6153" width="13.25" style="2" bestFit="1" customWidth="1"/>
    <col min="6154" max="6154" width="11.125" style="2" bestFit="1" customWidth="1"/>
    <col min="6155" max="6155" width="9.625" style="2" bestFit="1" customWidth="1"/>
    <col min="6156" max="6401" width="9" style="2"/>
    <col min="6402" max="6402" width="2.375" style="2" customWidth="1"/>
    <col min="6403" max="6405" width="13.25" style="2" bestFit="1" customWidth="1"/>
    <col min="6406" max="6408" width="11.125" style="2" bestFit="1" customWidth="1"/>
    <col min="6409" max="6409" width="13.25" style="2" bestFit="1" customWidth="1"/>
    <col min="6410" max="6410" width="11.125" style="2" bestFit="1" customWidth="1"/>
    <col min="6411" max="6411" width="9.625" style="2" bestFit="1" customWidth="1"/>
    <col min="6412" max="6657" width="9" style="2"/>
    <col min="6658" max="6658" width="2.375" style="2" customWidth="1"/>
    <col min="6659" max="6661" width="13.25" style="2" bestFit="1" customWidth="1"/>
    <col min="6662" max="6664" width="11.125" style="2" bestFit="1" customWidth="1"/>
    <col min="6665" max="6665" width="13.25" style="2" bestFit="1" customWidth="1"/>
    <col min="6666" max="6666" width="11.125" style="2" bestFit="1" customWidth="1"/>
    <col min="6667" max="6667" width="9.625" style="2" bestFit="1" customWidth="1"/>
    <col min="6668" max="6913" width="9" style="2"/>
    <col min="6914" max="6914" width="2.375" style="2" customWidth="1"/>
    <col min="6915" max="6917" width="13.25" style="2" bestFit="1" customWidth="1"/>
    <col min="6918" max="6920" width="11.125" style="2" bestFit="1" customWidth="1"/>
    <col min="6921" max="6921" width="13.25" style="2" bestFit="1" customWidth="1"/>
    <col min="6922" max="6922" width="11.125" style="2" bestFit="1" customWidth="1"/>
    <col min="6923" max="6923" width="9.625" style="2" bestFit="1" customWidth="1"/>
    <col min="6924" max="7169" width="9" style="2"/>
    <col min="7170" max="7170" width="2.375" style="2" customWidth="1"/>
    <col min="7171" max="7173" width="13.25" style="2" bestFit="1" customWidth="1"/>
    <col min="7174" max="7176" width="11.125" style="2" bestFit="1" customWidth="1"/>
    <col min="7177" max="7177" width="13.25" style="2" bestFit="1" customWidth="1"/>
    <col min="7178" max="7178" width="11.125" style="2" bestFit="1" customWidth="1"/>
    <col min="7179" max="7179" width="9.625" style="2" bestFit="1" customWidth="1"/>
    <col min="7180" max="7425" width="9" style="2"/>
    <col min="7426" max="7426" width="2.375" style="2" customWidth="1"/>
    <col min="7427" max="7429" width="13.25" style="2" bestFit="1" customWidth="1"/>
    <col min="7430" max="7432" width="11.125" style="2" bestFit="1" customWidth="1"/>
    <col min="7433" max="7433" width="13.25" style="2" bestFit="1" customWidth="1"/>
    <col min="7434" max="7434" width="11.125" style="2" bestFit="1" customWidth="1"/>
    <col min="7435" max="7435" width="9.625" style="2" bestFit="1" customWidth="1"/>
    <col min="7436" max="7681" width="9" style="2"/>
    <col min="7682" max="7682" width="2.375" style="2" customWidth="1"/>
    <col min="7683" max="7685" width="13.25" style="2" bestFit="1" customWidth="1"/>
    <col min="7686" max="7688" width="11.125" style="2" bestFit="1" customWidth="1"/>
    <col min="7689" max="7689" width="13.25" style="2" bestFit="1" customWidth="1"/>
    <col min="7690" max="7690" width="11.125" style="2" bestFit="1" customWidth="1"/>
    <col min="7691" max="7691" width="9.625" style="2" bestFit="1" customWidth="1"/>
    <col min="7692" max="7937" width="9" style="2"/>
    <col min="7938" max="7938" width="2.375" style="2" customWidth="1"/>
    <col min="7939" max="7941" width="13.25" style="2" bestFit="1" customWidth="1"/>
    <col min="7942" max="7944" width="11.125" style="2" bestFit="1" customWidth="1"/>
    <col min="7945" max="7945" width="13.25" style="2" bestFit="1" customWidth="1"/>
    <col min="7946" max="7946" width="11.125" style="2" bestFit="1" customWidth="1"/>
    <col min="7947" max="7947" width="9.625" style="2" bestFit="1" customWidth="1"/>
    <col min="7948" max="8193" width="9" style="2"/>
    <col min="8194" max="8194" width="2.375" style="2" customWidth="1"/>
    <col min="8195" max="8197" width="13.25" style="2" bestFit="1" customWidth="1"/>
    <col min="8198" max="8200" width="11.125" style="2" bestFit="1" customWidth="1"/>
    <col min="8201" max="8201" width="13.25" style="2" bestFit="1" customWidth="1"/>
    <col min="8202" max="8202" width="11.125" style="2" bestFit="1" customWidth="1"/>
    <col min="8203" max="8203" width="9.625" style="2" bestFit="1" customWidth="1"/>
    <col min="8204" max="8449" width="9" style="2"/>
    <col min="8450" max="8450" width="2.375" style="2" customWidth="1"/>
    <col min="8451" max="8453" width="13.25" style="2" bestFit="1" customWidth="1"/>
    <col min="8454" max="8456" width="11.125" style="2" bestFit="1" customWidth="1"/>
    <col min="8457" max="8457" width="13.25" style="2" bestFit="1" customWidth="1"/>
    <col min="8458" max="8458" width="11.125" style="2" bestFit="1" customWidth="1"/>
    <col min="8459" max="8459" width="9.625" style="2" bestFit="1" customWidth="1"/>
    <col min="8460" max="8705" width="9" style="2"/>
    <col min="8706" max="8706" width="2.375" style="2" customWidth="1"/>
    <col min="8707" max="8709" width="13.25" style="2" bestFit="1" customWidth="1"/>
    <col min="8710" max="8712" width="11.125" style="2" bestFit="1" customWidth="1"/>
    <col min="8713" max="8713" width="13.25" style="2" bestFit="1" customWidth="1"/>
    <col min="8714" max="8714" width="11.125" style="2" bestFit="1" customWidth="1"/>
    <col min="8715" max="8715" width="9.625" style="2" bestFit="1" customWidth="1"/>
    <col min="8716" max="8961" width="9" style="2"/>
    <col min="8962" max="8962" width="2.375" style="2" customWidth="1"/>
    <col min="8963" max="8965" width="13.25" style="2" bestFit="1" customWidth="1"/>
    <col min="8966" max="8968" width="11.125" style="2" bestFit="1" customWidth="1"/>
    <col min="8969" max="8969" width="13.25" style="2" bestFit="1" customWidth="1"/>
    <col min="8970" max="8970" width="11.125" style="2" bestFit="1" customWidth="1"/>
    <col min="8971" max="8971" width="9.625" style="2" bestFit="1" customWidth="1"/>
    <col min="8972" max="9217" width="9" style="2"/>
    <col min="9218" max="9218" width="2.375" style="2" customWidth="1"/>
    <col min="9219" max="9221" width="13.25" style="2" bestFit="1" customWidth="1"/>
    <col min="9222" max="9224" width="11.125" style="2" bestFit="1" customWidth="1"/>
    <col min="9225" max="9225" width="13.25" style="2" bestFit="1" customWidth="1"/>
    <col min="9226" max="9226" width="11.125" style="2" bestFit="1" customWidth="1"/>
    <col min="9227" max="9227" width="9.625" style="2" bestFit="1" customWidth="1"/>
    <col min="9228" max="9473" width="9" style="2"/>
    <col min="9474" max="9474" width="2.375" style="2" customWidth="1"/>
    <col min="9475" max="9477" width="13.25" style="2" bestFit="1" customWidth="1"/>
    <col min="9478" max="9480" width="11.125" style="2" bestFit="1" customWidth="1"/>
    <col min="9481" max="9481" width="13.25" style="2" bestFit="1" customWidth="1"/>
    <col min="9482" max="9482" width="11.125" style="2" bestFit="1" customWidth="1"/>
    <col min="9483" max="9483" width="9.625" style="2" bestFit="1" customWidth="1"/>
    <col min="9484" max="9729" width="9" style="2"/>
    <col min="9730" max="9730" width="2.375" style="2" customWidth="1"/>
    <col min="9731" max="9733" width="13.25" style="2" bestFit="1" customWidth="1"/>
    <col min="9734" max="9736" width="11.125" style="2" bestFit="1" customWidth="1"/>
    <col min="9737" max="9737" width="13.25" style="2" bestFit="1" customWidth="1"/>
    <col min="9738" max="9738" width="11.125" style="2" bestFit="1" customWidth="1"/>
    <col min="9739" max="9739" width="9.625" style="2" bestFit="1" customWidth="1"/>
    <col min="9740" max="9985" width="9" style="2"/>
    <col min="9986" max="9986" width="2.375" style="2" customWidth="1"/>
    <col min="9987" max="9989" width="13.25" style="2" bestFit="1" customWidth="1"/>
    <col min="9990" max="9992" width="11.125" style="2" bestFit="1" customWidth="1"/>
    <col min="9993" max="9993" width="13.25" style="2" bestFit="1" customWidth="1"/>
    <col min="9994" max="9994" width="11.125" style="2" bestFit="1" customWidth="1"/>
    <col min="9995" max="9995" width="9.625" style="2" bestFit="1" customWidth="1"/>
    <col min="9996" max="10241" width="9" style="2"/>
    <col min="10242" max="10242" width="2.375" style="2" customWidth="1"/>
    <col min="10243" max="10245" width="13.25" style="2" bestFit="1" customWidth="1"/>
    <col min="10246" max="10248" width="11.125" style="2" bestFit="1" customWidth="1"/>
    <col min="10249" max="10249" width="13.25" style="2" bestFit="1" customWidth="1"/>
    <col min="10250" max="10250" width="11.125" style="2" bestFit="1" customWidth="1"/>
    <col min="10251" max="10251" width="9.625" style="2" bestFit="1" customWidth="1"/>
    <col min="10252" max="10497" width="9" style="2"/>
    <col min="10498" max="10498" width="2.375" style="2" customWidth="1"/>
    <col min="10499" max="10501" width="13.25" style="2" bestFit="1" customWidth="1"/>
    <col min="10502" max="10504" width="11.125" style="2" bestFit="1" customWidth="1"/>
    <col min="10505" max="10505" width="13.25" style="2" bestFit="1" customWidth="1"/>
    <col min="10506" max="10506" width="11.125" style="2" bestFit="1" customWidth="1"/>
    <col min="10507" max="10507" width="9.625" style="2" bestFit="1" customWidth="1"/>
    <col min="10508" max="10753" width="9" style="2"/>
    <col min="10754" max="10754" width="2.375" style="2" customWidth="1"/>
    <col min="10755" max="10757" width="13.25" style="2" bestFit="1" customWidth="1"/>
    <col min="10758" max="10760" width="11.125" style="2" bestFit="1" customWidth="1"/>
    <col min="10761" max="10761" width="13.25" style="2" bestFit="1" customWidth="1"/>
    <col min="10762" max="10762" width="11.125" style="2" bestFit="1" customWidth="1"/>
    <col min="10763" max="10763" width="9.625" style="2" bestFit="1" customWidth="1"/>
    <col min="10764" max="11009" width="9" style="2"/>
    <col min="11010" max="11010" width="2.375" style="2" customWidth="1"/>
    <col min="11011" max="11013" width="13.25" style="2" bestFit="1" customWidth="1"/>
    <col min="11014" max="11016" width="11.125" style="2" bestFit="1" customWidth="1"/>
    <col min="11017" max="11017" width="13.25" style="2" bestFit="1" customWidth="1"/>
    <col min="11018" max="11018" width="11.125" style="2" bestFit="1" customWidth="1"/>
    <col min="11019" max="11019" width="9.625" style="2" bestFit="1" customWidth="1"/>
    <col min="11020" max="11265" width="9" style="2"/>
    <col min="11266" max="11266" width="2.375" style="2" customWidth="1"/>
    <col min="11267" max="11269" width="13.25" style="2" bestFit="1" customWidth="1"/>
    <col min="11270" max="11272" width="11.125" style="2" bestFit="1" customWidth="1"/>
    <col min="11273" max="11273" width="13.25" style="2" bestFit="1" customWidth="1"/>
    <col min="11274" max="11274" width="11.125" style="2" bestFit="1" customWidth="1"/>
    <col min="11275" max="11275" width="9.625" style="2" bestFit="1" customWidth="1"/>
    <col min="11276" max="11521" width="9" style="2"/>
    <col min="11522" max="11522" width="2.375" style="2" customWidth="1"/>
    <col min="11523" max="11525" width="13.25" style="2" bestFit="1" customWidth="1"/>
    <col min="11526" max="11528" width="11.125" style="2" bestFit="1" customWidth="1"/>
    <col min="11529" max="11529" width="13.25" style="2" bestFit="1" customWidth="1"/>
    <col min="11530" max="11530" width="11.125" style="2" bestFit="1" customWidth="1"/>
    <col min="11531" max="11531" width="9.625" style="2" bestFit="1" customWidth="1"/>
    <col min="11532" max="11777" width="9" style="2"/>
    <col min="11778" max="11778" width="2.375" style="2" customWidth="1"/>
    <col min="11779" max="11781" width="13.25" style="2" bestFit="1" customWidth="1"/>
    <col min="11782" max="11784" width="11.125" style="2" bestFit="1" customWidth="1"/>
    <col min="11785" max="11785" width="13.25" style="2" bestFit="1" customWidth="1"/>
    <col min="11786" max="11786" width="11.125" style="2" bestFit="1" customWidth="1"/>
    <col min="11787" max="11787" width="9.625" style="2" bestFit="1" customWidth="1"/>
    <col min="11788" max="12033" width="9" style="2"/>
    <col min="12034" max="12034" width="2.375" style="2" customWidth="1"/>
    <col min="12035" max="12037" width="13.25" style="2" bestFit="1" customWidth="1"/>
    <col min="12038" max="12040" width="11.125" style="2" bestFit="1" customWidth="1"/>
    <col min="12041" max="12041" width="13.25" style="2" bestFit="1" customWidth="1"/>
    <col min="12042" max="12042" width="11.125" style="2" bestFit="1" customWidth="1"/>
    <col min="12043" max="12043" width="9.625" style="2" bestFit="1" customWidth="1"/>
    <col min="12044" max="12289" width="9" style="2"/>
    <col min="12290" max="12290" width="2.375" style="2" customWidth="1"/>
    <col min="12291" max="12293" width="13.25" style="2" bestFit="1" customWidth="1"/>
    <col min="12294" max="12296" width="11.125" style="2" bestFit="1" customWidth="1"/>
    <col min="12297" max="12297" width="13.25" style="2" bestFit="1" customWidth="1"/>
    <col min="12298" max="12298" width="11.125" style="2" bestFit="1" customWidth="1"/>
    <col min="12299" max="12299" width="9.625" style="2" bestFit="1" customWidth="1"/>
    <col min="12300" max="12545" width="9" style="2"/>
    <col min="12546" max="12546" width="2.375" style="2" customWidth="1"/>
    <col min="12547" max="12549" width="13.25" style="2" bestFit="1" customWidth="1"/>
    <col min="12550" max="12552" width="11.125" style="2" bestFit="1" customWidth="1"/>
    <col min="12553" max="12553" width="13.25" style="2" bestFit="1" customWidth="1"/>
    <col min="12554" max="12554" width="11.125" style="2" bestFit="1" customWidth="1"/>
    <col min="12555" max="12555" width="9.625" style="2" bestFit="1" customWidth="1"/>
    <col min="12556" max="12801" width="9" style="2"/>
    <col min="12802" max="12802" width="2.375" style="2" customWidth="1"/>
    <col min="12803" max="12805" width="13.25" style="2" bestFit="1" customWidth="1"/>
    <col min="12806" max="12808" width="11.125" style="2" bestFit="1" customWidth="1"/>
    <col min="12809" max="12809" width="13.25" style="2" bestFit="1" customWidth="1"/>
    <col min="12810" max="12810" width="11.125" style="2" bestFit="1" customWidth="1"/>
    <col min="12811" max="12811" width="9.625" style="2" bestFit="1" customWidth="1"/>
    <col min="12812" max="13057" width="9" style="2"/>
    <col min="13058" max="13058" width="2.375" style="2" customWidth="1"/>
    <col min="13059" max="13061" width="13.25" style="2" bestFit="1" customWidth="1"/>
    <col min="13062" max="13064" width="11.125" style="2" bestFit="1" customWidth="1"/>
    <col min="13065" max="13065" width="13.25" style="2" bestFit="1" customWidth="1"/>
    <col min="13066" max="13066" width="11.125" style="2" bestFit="1" customWidth="1"/>
    <col min="13067" max="13067" width="9.625" style="2" bestFit="1" customWidth="1"/>
    <col min="13068" max="13313" width="9" style="2"/>
    <col min="13314" max="13314" width="2.375" style="2" customWidth="1"/>
    <col min="13315" max="13317" width="13.25" style="2" bestFit="1" customWidth="1"/>
    <col min="13318" max="13320" width="11.125" style="2" bestFit="1" customWidth="1"/>
    <col min="13321" max="13321" width="13.25" style="2" bestFit="1" customWidth="1"/>
    <col min="13322" max="13322" width="11.125" style="2" bestFit="1" customWidth="1"/>
    <col min="13323" max="13323" width="9.625" style="2" bestFit="1" customWidth="1"/>
    <col min="13324" max="13569" width="9" style="2"/>
    <col min="13570" max="13570" width="2.375" style="2" customWidth="1"/>
    <col min="13571" max="13573" width="13.25" style="2" bestFit="1" customWidth="1"/>
    <col min="13574" max="13576" width="11.125" style="2" bestFit="1" customWidth="1"/>
    <col min="13577" max="13577" width="13.25" style="2" bestFit="1" customWidth="1"/>
    <col min="13578" max="13578" width="11.125" style="2" bestFit="1" customWidth="1"/>
    <col min="13579" max="13579" width="9.625" style="2" bestFit="1" customWidth="1"/>
    <col min="13580" max="13825" width="9" style="2"/>
    <col min="13826" max="13826" width="2.375" style="2" customWidth="1"/>
    <col min="13827" max="13829" width="13.25" style="2" bestFit="1" customWidth="1"/>
    <col min="13830" max="13832" width="11.125" style="2" bestFit="1" customWidth="1"/>
    <col min="13833" max="13833" width="13.25" style="2" bestFit="1" customWidth="1"/>
    <col min="13834" max="13834" width="11.125" style="2" bestFit="1" customWidth="1"/>
    <col min="13835" max="13835" width="9.625" style="2" bestFit="1" customWidth="1"/>
    <col min="13836" max="14081" width="9" style="2"/>
    <col min="14082" max="14082" width="2.375" style="2" customWidth="1"/>
    <col min="14083" max="14085" width="13.25" style="2" bestFit="1" customWidth="1"/>
    <col min="14086" max="14088" width="11.125" style="2" bestFit="1" customWidth="1"/>
    <col min="14089" max="14089" width="13.25" style="2" bestFit="1" customWidth="1"/>
    <col min="14090" max="14090" width="11.125" style="2" bestFit="1" customWidth="1"/>
    <col min="14091" max="14091" width="9.625" style="2" bestFit="1" customWidth="1"/>
    <col min="14092" max="14337" width="9" style="2"/>
    <col min="14338" max="14338" width="2.375" style="2" customWidth="1"/>
    <col min="14339" max="14341" width="13.25" style="2" bestFit="1" customWidth="1"/>
    <col min="14342" max="14344" width="11.125" style="2" bestFit="1" customWidth="1"/>
    <col min="14345" max="14345" width="13.25" style="2" bestFit="1" customWidth="1"/>
    <col min="14346" max="14346" width="11.125" style="2" bestFit="1" customWidth="1"/>
    <col min="14347" max="14347" width="9.625" style="2" bestFit="1" customWidth="1"/>
    <col min="14348" max="14593" width="9" style="2"/>
    <col min="14594" max="14594" width="2.375" style="2" customWidth="1"/>
    <col min="14595" max="14597" width="13.25" style="2" bestFit="1" customWidth="1"/>
    <col min="14598" max="14600" width="11.125" style="2" bestFit="1" customWidth="1"/>
    <col min="14601" max="14601" width="13.25" style="2" bestFit="1" customWidth="1"/>
    <col min="14602" max="14602" width="11.125" style="2" bestFit="1" customWidth="1"/>
    <col min="14603" max="14603" width="9.625" style="2" bestFit="1" customWidth="1"/>
    <col min="14604" max="14849" width="9" style="2"/>
    <col min="14850" max="14850" width="2.375" style="2" customWidth="1"/>
    <col min="14851" max="14853" width="13.25" style="2" bestFit="1" customWidth="1"/>
    <col min="14854" max="14856" width="11.125" style="2" bestFit="1" customWidth="1"/>
    <col min="14857" max="14857" width="13.25" style="2" bestFit="1" customWidth="1"/>
    <col min="14858" max="14858" width="11.125" style="2" bestFit="1" customWidth="1"/>
    <col min="14859" max="14859" width="9.625" style="2" bestFit="1" customWidth="1"/>
    <col min="14860" max="15105" width="9" style="2"/>
    <col min="15106" max="15106" width="2.375" style="2" customWidth="1"/>
    <col min="15107" max="15109" width="13.25" style="2" bestFit="1" customWidth="1"/>
    <col min="15110" max="15112" width="11.125" style="2" bestFit="1" customWidth="1"/>
    <col min="15113" max="15113" width="13.25" style="2" bestFit="1" customWidth="1"/>
    <col min="15114" max="15114" width="11.125" style="2" bestFit="1" customWidth="1"/>
    <col min="15115" max="15115" width="9.625" style="2" bestFit="1" customWidth="1"/>
    <col min="15116" max="15361" width="9" style="2"/>
    <col min="15362" max="15362" width="2.375" style="2" customWidth="1"/>
    <col min="15363" max="15365" width="13.25" style="2" bestFit="1" customWidth="1"/>
    <col min="15366" max="15368" width="11.125" style="2" bestFit="1" customWidth="1"/>
    <col min="15369" max="15369" width="13.25" style="2" bestFit="1" customWidth="1"/>
    <col min="15370" max="15370" width="11.125" style="2" bestFit="1" customWidth="1"/>
    <col min="15371" max="15371" width="9.625" style="2" bestFit="1" customWidth="1"/>
    <col min="15372" max="15617" width="9" style="2"/>
    <col min="15618" max="15618" width="2.375" style="2" customWidth="1"/>
    <col min="15619" max="15621" width="13.25" style="2" bestFit="1" customWidth="1"/>
    <col min="15622" max="15624" width="11.125" style="2" bestFit="1" customWidth="1"/>
    <col min="15625" max="15625" width="13.25" style="2" bestFit="1" customWidth="1"/>
    <col min="15626" max="15626" width="11.125" style="2" bestFit="1" customWidth="1"/>
    <col min="15627" max="15627" width="9.625" style="2" bestFit="1" customWidth="1"/>
    <col min="15628" max="15873" width="9" style="2"/>
    <col min="15874" max="15874" width="2.375" style="2" customWidth="1"/>
    <col min="15875" max="15877" width="13.25" style="2" bestFit="1" customWidth="1"/>
    <col min="15878" max="15880" width="11.125" style="2" bestFit="1" customWidth="1"/>
    <col min="15881" max="15881" width="13.25" style="2" bestFit="1" customWidth="1"/>
    <col min="15882" max="15882" width="11.125" style="2" bestFit="1" customWidth="1"/>
    <col min="15883" max="15883" width="9.625" style="2" bestFit="1" customWidth="1"/>
    <col min="15884" max="16129" width="9" style="2"/>
    <col min="16130" max="16130" width="2.375" style="2" customWidth="1"/>
    <col min="16131" max="16133" width="13.25" style="2" bestFit="1" customWidth="1"/>
    <col min="16134" max="16136" width="11.125" style="2" bestFit="1" customWidth="1"/>
    <col min="16137" max="16137" width="13.25" style="2" bestFit="1" customWidth="1"/>
    <col min="16138" max="16138" width="11.125" style="2" bestFit="1" customWidth="1"/>
    <col min="16139" max="16139" width="9.625" style="2" bestFit="1" customWidth="1"/>
    <col min="16140" max="16384" width="9" style="2"/>
  </cols>
  <sheetData>
    <row r="1" spans="1:12">
      <c r="A1" s="1" t="s">
        <v>0</v>
      </c>
    </row>
    <row r="2" spans="1:12" ht="19.5" thickBot="1">
      <c r="A2" s="1" t="s">
        <v>51</v>
      </c>
    </row>
    <row r="3" spans="1:12">
      <c r="B3" s="14"/>
      <c r="C3" s="28" t="s">
        <v>2</v>
      </c>
      <c r="D3" s="29" t="s">
        <v>3</v>
      </c>
      <c r="E3" s="29" t="s">
        <v>4</v>
      </c>
      <c r="F3" s="62" t="s">
        <v>5</v>
      </c>
      <c r="G3" s="88" t="s">
        <v>52</v>
      </c>
      <c r="H3" s="75" t="s">
        <v>7</v>
      </c>
      <c r="I3" s="29" t="s">
        <v>6</v>
      </c>
      <c r="J3" s="4" t="s">
        <v>8</v>
      </c>
      <c r="K3" s="88" t="s">
        <v>52</v>
      </c>
      <c r="L3" s="90" t="s">
        <v>17</v>
      </c>
    </row>
    <row r="4" spans="1:12" ht="19.5" thickBot="1">
      <c r="B4" s="5" t="s">
        <v>9</v>
      </c>
      <c r="C4" s="30" t="s">
        <v>10</v>
      </c>
      <c r="D4" s="31" t="s">
        <v>11</v>
      </c>
      <c r="E4" s="31" t="s">
        <v>12</v>
      </c>
      <c r="F4" s="63" t="s">
        <v>13</v>
      </c>
      <c r="G4" s="89" t="s">
        <v>53</v>
      </c>
      <c r="H4" s="76" t="s">
        <v>15</v>
      </c>
      <c r="I4" s="31" t="s">
        <v>14</v>
      </c>
      <c r="J4" s="3" t="s">
        <v>16</v>
      </c>
      <c r="K4" s="89" t="s">
        <v>54</v>
      </c>
      <c r="L4" s="61" t="s">
        <v>55</v>
      </c>
    </row>
    <row r="5" spans="1:12">
      <c r="A5" s="1" t="s">
        <v>1</v>
      </c>
      <c r="B5" s="48" t="s">
        <v>18</v>
      </c>
      <c r="C5" s="49">
        <v>0</v>
      </c>
      <c r="D5" s="50">
        <v>0</v>
      </c>
      <c r="E5" s="50">
        <v>0</v>
      </c>
      <c r="F5" s="64">
        <v>0</v>
      </c>
      <c r="G5" s="52">
        <f>SUM(C5:F5)</f>
        <v>0</v>
      </c>
      <c r="H5" s="77">
        <v>21</v>
      </c>
      <c r="I5" s="50">
        <v>20</v>
      </c>
      <c r="J5" s="51">
        <v>17</v>
      </c>
      <c r="K5" s="52">
        <f>SUM(H5:J5)</f>
        <v>58</v>
      </c>
      <c r="L5" s="52">
        <f>SUM(K5,G5)</f>
        <v>58</v>
      </c>
    </row>
    <row r="6" spans="1:12">
      <c r="A6" s="1" t="s">
        <v>1</v>
      </c>
      <c r="B6" s="23" t="s">
        <v>19</v>
      </c>
      <c r="C6" s="53">
        <v>0</v>
      </c>
      <c r="D6" s="54">
        <v>0</v>
      </c>
      <c r="E6" s="54">
        <v>0</v>
      </c>
      <c r="F6" s="65">
        <v>0</v>
      </c>
      <c r="G6" s="56">
        <f t="shared" ref="G6:G8" si="0">SUM(C6:F6)</f>
        <v>0</v>
      </c>
      <c r="H6" s="78">
        <v>0</v>
      </c>
      <c r="I6" s="54">
        <v>1</v>
      </c>
      <c r="J6" s="55">
        <v>0</v>
      </c>
      <c r="K6" s="56">
        <f t="shared" ref="K6:K8" si="1">SUM(H6:J6)</f>
        <v>1</v>
      </c>
      <c r="L6" s="56">
        <f t="shared" ref="L6:L36" si="2">SUM(K6,G6)</f>
        <v>1</v>
      </c>
    </row>
    <row r="7" spans="1:12">
      <c r="A7" s="1" t="s">
        <v>1</v>
      </c>
      <c r="B7" s="23" t="s">
        <v>20</v>
      </c>
      <c r="C7" s="57">
        <v>0</v>
      </c>
      <c r="D7" s="58">
        <v>0</v>
      </c>
      <c r="E7" s="58">
        <v>0</v>
      </c>
      <c r="F7" s="66">
        <v>0</v>
      </c>
      <c r="G7" s="60">
        <f t="shared" si="0"/>
        <v>0</v>
      </c>
      <c r="H7" s="79">
        <v>0</v>
      </c>
      <c r="I7" s="58">
        <v>0</v>
      </c>
      <c r="J7" s="59">
        <v>3.5416666666666665</v>
      </c>
      <c r="K7" s="60">
        <f t="shared" si="1"/>
        <v>3.5416666666666665</v>
      </c>
      <c r="L7" s="60">
        <f t="shared" si="2"/>
        <v>3.5416666666666665</v>
      </c>
    </row>
    <row r="8" spans="1:12">
      <c r="A8" s="1" t="s">
        <v>1</v>
      </c>
      <c r="B8" s="6" t="s">
        <v>21</v>
      </c>
      <c r="C8" s="32">
        <v>0</v>
      </c>
      <c r="D8" s="33">
        <v>0</v>
      </c>
      <c r="E8" s="33">
        <v>0</v>
      </c>
      <c r="F8" s="67">
        <v>0</v>
      </c>
      <c r="G8" s="8">
        <f t="shared" si="0"/>
        <v>0</v>
      </c>
      <c r="H8" s="80">
        <v>0</v>
      </c>
      <c r="I8" s="33">
        <v>0.16666666666666666</v>
      </c>
      <c r="J8" s="7">
        <v>0</v>
      </c>
      <c r="K8" s="8">
        <f t="shared" si="1"/>
        <v>0.16666666666666666</v>
      </c>
      <c r="L8" s="8">
        <f t="shared" si="2"/>
        <v>0.16666666666666666</v>
      </c>
    </row>
    <row r="9" spans="1:12">
      <c r="A9" s="1" t="s">
        <v>1</v>
      </c>
      <c r="B9" s="15" t="s">
        <v>22</v>
      </c>
      <c r="C9" s="34">
        <v>0</v>
      </c>
      <c r="D9" s="35">
        <v>0</v>
      </c>
      <c r="E9" s="35">
        <v>0</v>
      </c>
      <c r="F9" s="68">
        <v>0</v>
      </c>
      <c r="G9" s="17"/>
      <c r="H9" s="81">
        <v>39</v>
      </c>
      <c r="I9" s="35">
        <v>38</v>
      </c>
      <c r="J9" s="16">
        <v>40</v>
      </c>
      <c r="K9" s="17"/>
      <c r="L9" s="17">
        <f t="shared" si="2"/>
        <v>0</v>
      </c>
    </row>
    <row r="10" spans="1:12">
      <c r="A10" s="1" t="s">
        <v>1</v>
      </c>
      <c r="B10" s="20" t="s">
        <v>23</v>
      </c>
      <c r="C10" s="40">
        <v>0</v>
      </c>
      <c r="D10" s="41">
        <v>0</v>
      </c>
      <c r="E10" s="41">
        <v>0</v>
      </c>
      <c r="F10" s="69">
        <v>0</v>
      </c>
      <c r="G10" s="22">
        <f>SUM(C10:F10)</f>
        <v>0</v>
      </c>
      <c r="H10" s="82">
        <v>375000</v>
      </c>
      <c r="I10" s="41">
        <v>300000</v>
      </c>
      <c r="J10" s="21">
        <v>0</v>
      </c>
      <c r="K10" s="22">
        <f>SUM(H10:J10)</f>
        <v>675000</v>
      </c>
      <c r="L10" s="22">
        <f t="shared" si="2"/>
        <v>675000</v>
      </c>
    </row>
    <row r="11" spans="1:12">
      <c r="A11" s="1" t="s">
        <v>1</v>
      </c>
      <c r="B11" s="23" t="s">
        <v>24</v>
      </c>
      <c r="C11" s="42">
        <v>0</v>
      </c>
      <c r="D11" s="43">
        <v>0</v>
      </c>
      <c r="E11" s="43">
        <v>0</v>
      </c>
      <c r="F11" s="70">
        <v>0</v>
      </c>
      <c r="G11" s="25">
        <f t="shared" ref="G11:G36" si="3">SUM(C11:F11)</f>
        <v>0</v>
      </c>
      <c r="H11" s="83">
        <v>0</v>
      </c>
      <c r="I11" s="43">
        <v>3000</v>
      </c>
      <c r="J11" s="24">
        <v>0</v>
      </c>
      <c r="K11" s="25">
        <f t="shared" ref="K11:K36" si="4">SUM(H11:J11)</f>
        <v>3000</v>
      </c>
      <c r="L11" s="25">
        <f t="shared" si="2"/>
        <v>3000</v>
      </c>
    </row>
    <row r="12" spans="1:12">
      <c r="A12" s="1" t="s">
        <v>1</v>
      </c>
      <c r="B12" s="23" t="s">
        <v>25</v>
      </c>
      <c r="C12" s="42">
        <v>0</v>
      </c>
      <c r="D12" s="43">
        <v>0</v>
      </c>
      <c r="E12" s="43">
        <v>0</v>
      </c>
      <c r="F12" s="70">
        <v>0</v>
      </c>
      <c r="G12" s="25">
        <f t="shared" si="3"/>
        <v>0</v>
      </c>
      <c r="H12" s="83">
        <v>50000</v>
      </c>
      <c r="I12" s="43">
        <v>50000</v>
      </c>
      <c r="J12" s="24">
        <v>0</v>
      </c>
      <c r="K12" s="25">
        <f t="shared" si="4"/>
        <v>100000</v>
      </c>
      <c r="L12" s="25">
        <f t="shared" si="2"/>
        <v>100000</v>
      </c>
    </row>
    <row r="13" spans="1:12">
      <c r="A13" s="1" t="s">
        <v>1</v>
      </c>
      <c r="B13" s="23" t="s">
        <v>26</v>
      </c>
      <c r="C13" s="42">
        <v>0</v>
      </c>
      <c r="D13" s="43">
        <v>0</v>
      </c>
      <c r="E13" s="43">
        <v>0</v>
      </c>
      <c r="F13" s="70">
        <v>0</v>
      </c>
      <c r="G13" s="25">
        <f t="shared" si="3"/>
        <v>0</v>
      </c>
      <c r="H13" s="83">
        <v>0</v>
      </c>
      <c r="I13" s="43">
        <v>0</v>
      </c>
      <c r="J13" s="24">
        <v>105400</v>
      </c>
      <c r="K13" s="25">
        <f t="shared" si="4"/>
        <v>105400</v>
      </c>
      <c r="L13" s="25">
        <f t="shared" si="2"/>
        <v>105400</v>
      </c>
    </row>
    <row r="14" spans="1:12">
      <c r="A14" s="1" t="s">
        <v>1</v>
      </c>
      <c r="B14" s="23" t="s">
        <v>27</v>
      </c>
      <c r="C14" s="42">
        <v>1190000</v>
      </c>
      <c r="D14" s="43">
        <v>590000</v>
      </c>
      <c r="E14" s="43">
        <v>100000</v>
      </c>
      <c r="F14" s="70">
        <v>260000</v>
      </c>
      <c r="G14" s="25">
        <f t="shared" si="3"/>
        <v>2140000</v>
      </c>
      <c r="H14" s="83">
        <v>0</v>
      </c>
      <c r="I14" s="43">
        <v>0</v>
      </c>
      <c r="J14" s="24">
        <v>0</v>
      </c>
      <c r="K14" s="25">
        <f t="shared" si="4"/>
        <v>0</v>
      </c>
      <c r="L14" s="25">
        <f t="shared" si="2"/>
        <v>2140000</v>
      </c>
    </row>
    <row r="15" spans="1:12">
      <c r="A15" s="1" t="s">
        <v>1</v>
      </c>
      <c r="B15" s="6" t="s">
        <v>21</v>
      </c>
      <c r="C15" s="36">
        <v>0</v>
      </c>
      <c r="D15" s="37">
        <v>0</v>
      </c>
      <c r="E15" s="37">
        <v>0</v>
      </c>
      <c r="F15" s="71">
        <v>0</v>
      </c>
      <c r="G15" s="10">
        <f t="shared" si="3"/>
        <v>0</v>
      </c>
      <c r="H15" s="84">
        <v>0</v>
      </c>
      <c r="I15" s="37">
        <v>9944</v>
      </c>
      <c r="J15" s="9">
        <v>0</v>
      </c>
      <c r="K15" s="10">
        <f t="shared" si="4"/>
        <v>9944</v>
      </c>
      <c r="L15" s="10">
        <f t="shared" si="2"/>
        <v>9944</v>
      </c>
    </row>
    <row r="16" spans="1:12">
      <c r="A16" s="1" t="s">
        <v>1</v>
      </c>
      <c r="B16" s="15" t="s">
        <v>28</v>
      </c>
      <c r="C16" s="38">
        <v>1190000</v>
      </c>
      <c r="D16" s="39">
        <v>590000</v>
      </c>
      <c r="E16" s="39">
        <v>100000</v>
      </c>
      <c r="F16" s="72">
        <v>260000</v>
      </c>
      <c r="G16" s="19">
        <f t="shared" si="3"/>
        <v>2140000</v>
      </c>
      <c r="H16" s="85">
        <v>425000</v>
      </c>
      <c r="I16" s="39">
        <v>362944</v>
      </c>
      <c r="J16" s="18">
        <v>105400</v>
      </c>
      <c r="K16" s="19">
        <f t="shared" si="4"/>
        <v>893344</v>
      </c>
      <c r="L16" s="19">
        <f t="shared" si="2"/>
        <v>3033344</v>
      </c>
    </row>
    <row r="17" spans="1:12">
      <c r="A17" s="1" t="s">
        <v>1</v>
      </c>
      <c r="B17" s="20" t="s">
        <v>29</v>
      </c>
      <c r="C17" s="40">
        <v>0</v>
      </c>
      <c r="D17" s="41">
        <v>0</v>
      </c>
      <c r="E17" s="41">
        <v>0</v>
      </c>
      <c r="F17" s="69">
        <v>0</v>
      </c>
      <c r="G17" s="22">
        <f t="shared" si="3"/>
        <v>0</v>
      </c>
      <c r="H17" s="82">
        <v>11440</v>
      </c>
      <c r="I17" s="41">
        <v>1287</v>
      </c>
      <c r="J17" s="21">
        <v>0</v>
      </c>
      <c r="K17" s="22">
        <f t="shared" si="4"/>
        <v>12727</v>
      </c>
      <c r="L17" s="22">
        <f t="shared" si="2"/>
        <v>12727</v>
      </c>
    </row>
    <row r="18" spans="1:12">
      <c r="A18" s="1" t="s">
        <v>1</v>
      </c>
      <c r="B18" s="6" t="s">
        <v>30</v>
      </c>
      <c r="C18" s="36">
        <v>0</v>
      </c>
      <c r="D18" s="37">
        <v>0</v>
      </c>
      <c r="E18" s="37">
        <v>0</v>
      </c>
      <c r="F18" s="71">
        <v>0</v>
      </c>
      <c r="G18" s="10">
        <f t="shared" si="3"/>
        <v>0</v>
      </c>
      <c r="H18" s="84">
        <v>11440</v>
      </c>
      <c r="I18" s="37">
        <v>1287</v>
      </c>
      <c r="J18" s="9">
        <v>0</v>
      </c>
      <c r="K18" s="10">
        <f t="shared" si="4"/>
        <v>12727</v>
      </c>
      <c r="L18" s="10">
        <f t="shared" si="2"/>
        <v>12727</v>
      </c>
    </row>
    <row r="19" spans="1:12">
      <c r="A19" s="1" t="s">
        <v>1</v>
      </c>
      <c r="B19" s="15" t="s">
        <v>31</v>
      </c>
      <c r="C19" s="38">
        <v>1190000</v>
      </c>
      <c r="D19" s="39">
        <v>590000</v>
      </c>
      <c r="E19" s="39">
        <v>100000</v>
      </c>
      <c r="F19" s="72">
        <v>260000</v>
      </c>
      <c r="G19" s="19">
        <f t="shared" si="3"/>
        <v>2140000</v>
      </c>
      <c r="H19" s="85">
        <v>436440</v>
      </c>
      <c r="I19" s="39">
        <v>364231</v>
      </c>
      <c r="J19" s="18">
        <v>105400</v>
      </c>
      <c r="K19" s="19">
        <f t="shared" si="4"/>
        <v>906071</v>
      </c>
      <c r="L19" s="19">
        <f t="shared" si="2"/>
        <v>3046071</v>
      </c>
    </row>
    <row r="20" spans="1:12">
      <c r="A20" s="1" t="s">
        <v>1</v>
      </c>
      <c r="B20" s="20" t="s">
        <v>32</v>
      </c>
      <c r="C20" s="40">
        <v>61710</v>
      </c>
      <c r="D20" s="41">
        <v>0</v>
      </c>
      <c r="E20" s="41">
        <v>0</v>
      </c>
      <c r="F20" s="69">
        <v>0</v>
      </c>
      <c r="G20" s="22">
        <f t="shared" si="3"/>
        <v>61710</v>
      </c>
      <c r="H20" s="82">
        <v>22440</v>
      </c>
      <c r="I20" s="41">
        <v>20910</v>
      </c>
      <c r="J20" s="21">
        <v>0</v>
      </c>
      <c r="K20" s="22">
        <f t="shared" si="4"/>
        <v>43350</v>
      </c>
      <c r="L20" s="22">
        <f t="shared" si="2"/>
        <v>105060</v>
      </c>
    </row>
    <row r="21" spans="1:12">
      <c r="A21" s="1" t="s">
        <v>1</v>
      </c>
      <c r="B21" s="23" t="s">
        <v>33</v>
      </c>
      <c r="C21" s="42">
        <v>10890</v>
      </c>
      <c r="D21" s="43">
        <v>0</v>
      </c>
      <c r="E21" s="43">
        <v>0</v>
      </c>
      <c r="F21" s="70">
        <v>0</v>
      </c>
      <c r="G21" s="25">
        <f t="shared" si="3"/>
        <v>10890</v>
      </c>
      <c r="H21" s="83">
        <v>3960</v>
      </c>
      <c r="I21" s="43">
        <v>3690</v>
      </c>
      <c r="J21" s="24">
        <v>0</v>
      </c>
      <c r="K21" s="25">
        <f t="shared" si="4"/>
        <v>7650</v>
      </c>
      <c r="L21" s="25">
        <f t="shared" si="2"/>
        <v>18540</v>
      </c>
    </row>
    <row r="22" spans="1:12">
      <c r="A22" s="1" t="s">
        <v>1</v>
      </c>
      <c r="B22" s="23" t="s">
        <v>34</v>
      </c>
      <c r="C22" s="42">
        <v>59475</v>
      </c>
      <c r="D22" s="43">
        <v>0</v>
      </c>
      <c r="E22" s="43">
        <v>0</v>
      </c>
      <c r="F22" s="70">
        <v>0</v>
      </c>
      <c r="G22" s="25">
        <f t="shared" si="3"/>
        <v>59475</v>
      </c>
      <c r="H22" s="83">
        <v>40260</v>
      </c>
      <c r="I22" s="43">
        <v>37515</v>
      </c>
      <c r="J22" s="24">
        <v>0</v>
      </c>
      <c r="K22" s="25">
        <f t="shared" si="4"/>
        <v>77775</v>
      </c>
      <c r="L22" s="25">
        <f t="shared" si="2"/>
        <v>137250</v>
      </c>
    </row>
    <row r="23" spans="1:12">
      <c r="A23" s="1" t="s">
        <v>1</v>
      </c>
      <c r="B23" s="6" t="s">
        <v>35</v>
      </c>
      <c r="C23" s="36">
        <v>0</v>
      </c>
      <c r="D23" s="37">
        <v>0</v>
      </c>
      <c r="E23" s="37">
        <v>0</v>
      </c>
      <c r="F23" s="71">
        <v>0</v>
      </c>
      <c r="G23" s="10">
        <f t="shared" si="3"/>
        <v>0</v>
      </c>
      <c r="H23" s="84">
        <v>2619</v>
      </c>
      <c r="I23" s="37">
        <v>2185</v>
      </c>
      <c r="J23" s="9">
        <v>632</v>
      </c>
      <c r="K23" s="10">
        <f t="shared" si="4"/>
        <v>5436</v>
      </c>
      <c r="L23" s="10">
        <f t="shared" si="2"/>
        <v>5436</v>
      </c>
    </row>
    <row r="24" spans="1:12">
      <c r="A24" s="1" t="s">
        <v>1</v>
      </c>
      <c r="B24" s="15" t="s">
        <v>36</v>
      </c>
      <c r="C24" s="38">
        <v>132075</v>
      </c>
      <c r="D24" s="39">
        <v>0</v>
      </c>
      <c r="E24" s="39">
        <v>0</v>
      </c>
      <c r="F24" s="72">
        <v>0</v>
      </c>
      <c r="G24" s="19">
        <f t="shared" si="3"/>
        <v>132075</v>
      </c>
      <c r="H24" s="85">
        <v>69279</v>
      </c>
      <c r="I24" s="39">
        <v>64300</v>
      </c>
      <c r="J24" s="18">
        <v>632</v>
      </c>
      <c r="K24" s="19">
        <f t="shared" si="4"/>
        <v>134211</v>
      </c>
      <c r="L24" s="19">
        <f t="shared" si="2"/>
        <v>266286</v>
      </c>
    </row>
    <row r="25" spans="1:12">
      <c r="A25" s="1" t="s">
        <v>1</v>
      </c>
      <c r="B25" s="20" t="s">
        <v>37</v>
      </c>
      <c r="C25" s="40">
        <v>127530</v>
      </c>
      <c r="D25" s="41">
        <v>191900</v>
      </c>
      <c r="E25" s="41">
        <v>0</v>
      </c>
      <c r="F25" s="69">
        <v>40400</v>
      </c>
      <c r="G25" s="22">
        <f t="shared" si="3"/>
        <v>359830</v>
      </c>
      <c r="H25" s="82">
        <v>0</v>
      </c>
      <c r="I25" s="41">
        <v>0</v>
      </c>
      <c r="J25" s="21">
        <v>0</v>
      </c>
      <c r="K25" s="22">
        <f t="shared" si="4"/>
        <v>0</v>
      </c>
      <c r="L25" s="22">
        <f t="shared" si="2"/>
        <v>359830</v>
      </c>
    </row>
    <row r="26" spans="1:12">
      <c r="A26" s="1" t="s">
        <v>1</v>
      </c>
      <c r="B26" s="23" t="s">
        <v>38</v>
      </c>
      <c r="C26" s="42">
        <v>84700</v>
      </c>
      <c r="D26" s="43">
        <v>0</v>
      </c>
      <c r="E26" s="43">
        <v>900</v>
      </c>
      <c r="F26" s="70">
        <v>0</v>
      </c>
      <c r="G26" s="25">
        <f t="shared" si="3"/>
        <v>85600</v>
      </c>
      <c r="H26" s="83">
        <v>23600</v>
      </c>
      <c r="I26" s="43">
        <v>23300</v>
      </c>
      <c r="J26" s="24">
        <v>2300</v>
      </c>
      <c r="K26" s="25">
        <f t="shared" si="4"/>
        <v>49200</v>
      </c>
      <c r="L26" s="25">
        <f t="shared" si="2"/>
        <v>134800</v>
      </c>
    </row>
    <row r="27" spans="1:12">
      <c r="A27" s="1" t="s">
        <v>1</v>
      </c>
      <c r="B27" s="6" t="s">
        <v>39</v>
      </c>
      <c r="C27" s="36">
        <v>1140</v>
      </c>
      <c r="D27" s="37">
        <v>0</v>
      </c>
      <c r="E27" s="37">
        <v>0</v>
      </c>
      <c r="F27" s="71">
        <v>0</v>
      </c>
      <c r="G27" s="10">
        <f t="shared" si="3"/>
        <v>1140</v>
      </c>
      <c r="H27" s="84">
        <v>0</v>
      </c>
      <c r="I27" s="37">
        <v>0</v>
      </c>
      <c r="J27" s="9">
        <v>0</v>
      </c>
      <c r="K27" s="10">
        <f t="shared" si="4"/>
        <v>0</v>
      </c>
      <c r="L27" s="10">
        <f t="shared" si="2"/>
        <v>1140</v>
      </c>
    </row>
    <row r="28" spans="1:12">
      <c r="A28" s="1" t="s">
        <v>1</v>
      </c>
      <c r="B28" s="15" t="s">
        <v>40</v>
      </c>
      <c r="C28" s="38">
        <v>345445</v>
      </c>
      <c r="D28" s="39">
        <v>191900</v>
      </c>
      <c r="E28" s="39">
        <v>900</v>
      </c>
      <c r="F28" s="72">
        <v>40400</v>
      </c>
      <c r="G28" s="19">
        <f t="shared" si="3"/>
        <v>578645</v>
      </c>
      <c r="H28" s="85">
        <v>92879</v>
      </c>
      <c r="I28" s="39">
        <v>87600</v>
      </c>
      <c r="J28" s="18">
        <v>2932</v>
      </c>
      <c r="K28" s="19">
        <f t="shared" si="4"/>
        <v>183411</v>
      </c>
      <c r="L28" s="19">
        <f t="shared" si="2"/>
        <v>762056</v>
      </c>
    </row>
    <row r="29" spans="1:12">
      <c r="A29" s="1" t="s">
        <v>1</v>
      </c>
      <c r="B29" s="15" t="s">
        <v>41</v>
      </c>
      <c r="C29" s="38">
        <v>1057925</v>
      </c>
      <c r="D29" s="39">
        <v>590000</v>
      </c>
      <c r="E29" s="39">
        <v>100000</v>
      </c>
      <c r="F29" s="72">
        <v>260000</v>
      </c>
      <c r="G29" s="19">
        <f t="shared" si="3"/>
        <v>2007925</v>
      </c>
      <c r="H29" s="85">
        <v>355721</v>
      </c>
      <c r="I29" s="39">
        <v>298644</v>
      </c>
      <c r="J29" s="18">
        <v>104768</v>
      </c>
      <c r="K29" s="19">
        <f t="shared" si="4"/>
        <v>759133</v>
      </c>
      <c r="L29" s="19">
        <f t="shared" si="2"/>
        <v>2767058</v>
      </c>
    </row>
    <row r="30" spans="1:12">
      <c r="A30" s="1" t="s">
        <v>1</v>
      </c>
      <c r="B30" s="15" t="s">
        <v>42</v>
      </c>
      <c r="C30" s="38">
        <v>844555</v>
      </c>
      <c r="D30" s="39">
        <v>398100</v>
      </c>
      <c r="E30" s="39">
        <v>99100</v>
      </c>
      <c r="F30" s="72">
        <v>219600</v>
      </c>
      <c r="G30" s="19">
        <f t="shared" si="3"/>
        <v>1561355</v>
      </c>
      <c r="H30" s="85">
        <v>343561</v>
      </c>
      <c r="I30" s="39">
        <v>276631</v>
      </c>
      <c r="J30" s="18">
        <v>102468</v>
      </c>
      <c r="K30" s="19">
        <f t="shared" si="4"/>
        <v>722660</v>
      </c>
      <c r="L30" s="19">
        <f t="shared" si="2"/>
        <v>2284015</v>
      </c>
    </row>
    <row r="31" spans="1:12">
      <c r="A31" s="1" t="s">
        <v>1</v>
      </c>
      <c r="B31" s="15" t="s">
        <v>43</v>
      </c>
      <c r="C31" s="38">
        <v>0</v>
      </c>
      <c r="D31" s="39">
        <v>0</v>
      </c>
      <c r="E31" s="39">
        <v>99100</v>
      </c>
      <c r="F31" s="72">
        <v>0</v>
      </c>
      <c r="G31" s="19">
        <f t="shared" si="3"/>
        <v>99100</v>
      </c>
      <c r="H31" s="85">
        <v>0</v>
      </c>
      <c r="I31" s="39">
        <v>0</v>
      </c>
      <c r="J31" s="18">
        <v>0</v>
      </c>
      <c r="K31" s="19">
        <f t="shared" si="4"/>
        <v>0</v>
      </c>
      <c r="L31" s="19">
        <f t="shared" si="2"/>
        <v>99100</v>
      </c>
    </row>
    <row r="32" spans="1:12">
      <c r="A32" s="1" t="s">
        <v>1</v>
      </c>
      <c r="B32" s="15" t="s">
        <v>44</v>
      </c>
      <c r="C32" s="38">
        <v>844555</v>
      </c>
      <c r="D32" s="39">
        <v>398100</v>
      </c>
      <c r="E32" s="39">
        <v>0</v>
      </c>
      <c r="F32" s="72">
        <v>219600</v>
      </c>
      <c r="G32" s="19">
        <f t="shared" si="3"/>
        <v>1462255</v>
      </c>
      <c r="H32" s="85">
        <v>343561</v>
      </c>
      <c r="I32" s="39">
        <v>276631</v>
      </c>
      <c r="J32" s="18">
        <v>102468</v>
      </c>
      <c r="K32" s="19">
        <f t="shared" si="4"/>
        <v>722660</v>
      </c>
      <c r="L32" s="19">
        <f t="shared" si="2"/>
        <v>2184915</v>
      </c>
    </row>
    <row r="33" spans="1:12">
      <c r="A33" s="1" t="s">
        <v>1</v>
      </c>
      <c r="B33" s="15" t="s">
        <v>45</v>
      </c>
      <c r="C33" s="44" t="s">
        <v>46</v>
      </c>
      <c r="D33" s="45" t="s">
        <v>47</v>
      </c>
      <c r="E33" s="45" t="s">
        <v>46</v>
      </c>
      <c r="F33" s="73" t="s">
        <v>47</v>
      </c>
      <c r="G33" s="27"/>
      <c r="H33" s="86" t="s">
        <v>46</v>
      </c>
      <c r="I33" s="45" t="s">
        <v>46</v>
      </c>
      <c r="J33" s="26" t="s">
        <v>46</v>
      </c>
      <c r="K33" s="27"/>
      <c r="L33" s="27"/>
    </row>
    <row r="34" spans="1:12">
      <c r="A34" s="1" t="s">
        <v>1</v>
      </c>
      <c r="B34" s="15" t="s">
        <v>48</v>
      </c>
      <c r="C34" s="38">
        <v>157530</v>
      </c>
      <c r="D34" s="39">
        <v>191900</v>
      </c>
      <c r="E34" s="39">
        <v>720</v>
      </c>
      <c r="F34" s="72">
        <v>40400</v>
      </c>
      <c r="G34" s="19">
        <f t="shared" si="3"/>
        <v>390550</v>
      </c>
      <c r="H34" s="85">
        <v>12930</v>
      </c>
      <c r="I34" s="39">
        <v>8290</v>
      </c>
      <c r="J34" s="18">
        <v>970</v>
      </c>
      <c r="K34" s="19">
        <f t="shared" si="4"/>
        <v>22190</v>
      </c>
      <c r="L34" s="19">
        <f t="shared" si="2"/>
        <v>412740</v>
      </c>
    </row>
    <row r="35" spans="1:12">
      <c r="A35" s="1" t="s">
        <v>1</v>
      </c>
      <c r="B35" s="15" t="s">
        <v>49</v>
      </c>
      <c r="C35" s="38">
        <v>30000</v>
      </c>
      <c r="D35" s="39">
        <v>0</v>
      </c>
      <c r="E35" s="39">
        <v>720</v>
      </c>
      <c r="F35" s="72">
        <v>0</v>
      </c>
      <c r="G35" s="19">
        <f t="shared" si="3"/>
        <v>30720</v>
      </c>
      <c r="H35" s="85">
        <v>12930</v>
      </c>
      <c r="I35" s="39">
        <v>8290</v>
      </c>
      <c r="J35" s="18">
        <v>970</v>
      </c>
      <c r="K35" s="19">
        <f t="shared" si="4"/>
        <v>22190</v>
      </c>
      <c r="L35" s="19">
        <f t="shared" si="2"/>
        <v>52910</v>
      </c>
    </row>
    <row r="36" spans="1:12" ht="19.5" thickBot="1">
      <c r="A36" s="1" t="s">
        <v>1</v>
      </c>
      <c r="B36" s="11" t="s">
        <v>50</v>
      </c>
      <c r="C36" s="46">
        <v>30000</v>
      </c>
      <c r="D36" s="47">
        <v>0</v>
      </c>
      <c r="E36" s="47">
        <v>30000</v>
      </c>
      <c r="F36" s="74">
        <v>0</v>
      </c>
      <c r="G36" s="13">
        <f t="shared" si="3"/>
        <v>60000</v>
      </c>
      <c r="H36" s="87">
        <v>30000</v>
      </c>
      <c r="I36" s="47">
        <v>30000</v>
      </c>
      <c r="J36" s="12">
        <v>30000</v>
      </c>
      <c r="K36" s="13">
        <f t="shared" si="4"/>
        <v>90000</v>
      </c>
      <c r="L36" s="13">
        <f t="shared" si="2"/>
        <v>150000</v>
      </c>
    </row>
  </sheetData>
  <phoneticPr fontId="4"/>
  <pageMargins left="0.31496062992125984" right="0.31496062992125984" top="0.35433070866141736" bottom="0.35433070866141736" header="0.11811023622047245" footer="0.11811023622047245"/>
  <pageSetup paperSize="1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2024年 5月度給与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fukasawa</dc:creator>
  <cp:lastModifiedBy>fukasawa</cp:lastModifiedBy>
  <cp:lastPrinted>2024-06-06T05:31:32Z</cp:lastPrinted>
  <dcterms:created xsi:type="dcterms:W3CDTF">2024-06-06T03:55:51Z</dcterms:created>
  <dcterms:modified xsi:type="dcterms:W3CDTF">2024-06-07T00:51:08Z</dcterms:modified>
</cp:coreProperties>
</file>