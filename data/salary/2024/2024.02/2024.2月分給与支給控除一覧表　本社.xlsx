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2\"/>
    </mc:Choice>
  </mc:AlternateContent>
  <xr:revisionPtr revIDLastSave="3" documentId="13_ncr:1_{A8FBF143-2E87-47A3-A0C8-38E619B04CC9}" xr6:coauthVersionLast="47" xr6:coauthVersionMax="47" xr10:uidLastSave="{7F1A6867-C3D7-4B2B-8074-2CBF69AE8838}"/>
  <bookViews>
    <workbookView xWindow="-120" yWindow="-120" windowWidth="20730" windowHeight="11160" xr2:uid="{5149DEDA-21DD-465A-ABDB-1257299260F6}"/>
  </bookViews>
  <sheets>
    <sheet name="2024年 2月度給与 (2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5" i="3"/>
  <c r="L5" i="3" l="1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8" i="3"/>
  <c r="L7" i="3"/>
  <c r="L6" i="3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<sst xmlns="http://schemas.openxmlformats.org/spreadsheetml/2006/main" count="90" uniqueCount="55">
  <si>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</si>
  <si>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>2024年2月度給与</t>
    <phoneticPr fontId="4"/>
  </si>
  <si>
    <t>1010</t>
    <phoneticPr fontId="4"/>
  </si>
  <si>
    <t>1019</t>
    <phoneticPr fontId="4"/>
  </si>
  <si>
    <t>1024</t>
    <phoneticPr fontId="4"/>
  </si>
  <si>
    <t>1111</t>
    <phoneticPr fontId="4"/>
  </si>
  <si>
    <t>小計</t>
    <rPh sb="0" eb="2">
      <t>ショウケイ</t>
    </rPh>
    <phoneticPr fontId="3"/>
  </si>
  <si>
    <t>1020</t>
    <phoneticPr fontId="4"/>
  </si>
  <si>
    <t>1041</t>
    <phoneticPr fontId="4"/>
  </si>
  <si>
    <t>1036</t>
    <phoneticPr fontId="4"/>
  </si>
  <si>
    <t>合計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</si>
  <si>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</si>
  <si>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</si>
  <si>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</si>
  <si>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</si>
  <si>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</si>
  <si>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４名</t>
    <rPh sb="1" eb="2">
      <t>メイ</t>
    </rPh>
    <phoneticPr fontId="3"/>
  </si>
  <si>
    <t>深沢　道夫</t>
    <phoneticPr fontId="4"/>
  </si>
  <si>
    <t>浅田　恵美子</t>
    <phoneticPr fontId="4"/>
  </si>
  <si>
    <t>渋谷　晶子</t>
    <phoneticPr fontId="4"/>
  </si>
  <si>
    <t>３名</t>
    <rPh sb="1" eb="2">
      <t>メイ</t>
    </rPh>
    <phoneticPr fontId="3"/>
  </si>
  <si>
    <t>７名</t>
    <rPh sb="1" eb="2">
      <t>メイ</t>
    </rPh>
    <phoneticPr fontId="4"/>
  </si>
  <si>
    <t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</si>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</sst>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2" xfId="1" applyFont="1" applyBorder="1"/>
    <xf numFmtId="0" fontId="2" fillId="0" borderId="4" xfId="1" applyFont="1" applyBorder="1" applyAlignment="1">
      <alignment horizontal="right"/>
    </xf>
  </cellXfs>
  <cellStyles count="2">
    <cellStyle name="標準" xfId="0" builtinId="0"/>
    <cellStyle name="標準 2" xfId="1" xr:uid="{46A65759-C74F-4C44-A031-E9BC5DD7B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C19E-2DA6-4E76-B71F-ADF3E03EF9A7}">
  <sheetPr>
    <pageSetUpPr fitToPage="1"/>
  </sheetPr>
  <dimension ref="A1:L34"/>
  <sheetViews>
    <sheetView tabSelected="1" workbookViewId="0">
      <pane xSplit="2" ySplit="4" topLeftCell="C5" activePane="bottomRight" state="frozen"/>
      <selection pane="bottomRight" activeCell="R17" sqref="R17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2" width="13.2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1</v>
      </c>
    </row>
    <row r="3" spans="1:12">
      <c r="B3" s="4"/>
      <c r="C3" s="33" t="s">
        <v>2</v>
      </c>
      <c r="D3" s="34" t="s">
        <v>3</v>
      </c>
      <c r="E3" s="34" t="s">
        <v>4</v>
      </c>
      <c r="F3" s="57" t="s">
        <v>5</v>
      </c>
      <c r="G3" s="81" t="s">
        <v>6</v>
      </c>
      <c r="H3" s="69" t="s">
        <v>7</v>
      </c>
      <c r="I3" s="34" t="s">
        <v>8</v>
      </c>
      <c r="J3" s="5" t="s">
        <v>9</v>
      </c>
      <c r="K3" s="81" t="s">
        <v>6</v>
      </c>
      <c r="L3" s="83" t="s">
        <v>10</v>
      </c>
    </row>
    <row r="4" spans="1:12" ht="19.5" thickBot="1">
      <c r="B4" s="6" t="s">
        <v>11</v>
      </c>
      <c r="C4" s="35" t="s">
        <v>12</v>
      </c>
      <c r="D4" s="36" t="s">
        <v>13</v>
      </c>
      <c r="E4" s="36" t="s">
        <v>14</v>
      </c>
      <c r="F4" s="58" t="s">
        <v>15</v>
      </c>
      <c r="G4" s="82" t="s">
        <v>16</v>
      </c>
      <c r="H4" s="70" t="s">
        <v>17</v>
      </c>
      <c r="I4" s="36" t="s">
        <v>18</v>
      </c>
      <c r="J4" s="3" t="s">
        <v>19</v>
      </c>
      <c r="K4" s="82" t="s">
        <v>20</v>
      </c>
      <c r="L4" s="84" t="s">
        <v>21</v>
      </c>
    </row>
    <row r="5" spans="1:12">
      <c r="A5" s="1" t="s">
        <v>22</v>
      </c>
      <c r="B5" s="18" t="s">
        <v>23</v>
      </c>
      <c r="C5" s="37">
        <v>0</v>
      </c>
      <c r="D5" s="38">
        <v>0</v>
      </c>
      <c r="E5" s="38">
        <v>0</v>
      </c>
      <c r="F5" s="59">
        <v>0</v>
      </c>
      <c r="G5" s="20">
        <f>SUM(C5:F5)</f>
        <v>0</v>
      </c>
      <c r="H5" s="71">
        <v>19</v>
      </c>
      <c r="I5" s="38">
        <v>18</v>
      </c>
      <c r="J5" s="19">
        <v>16</v>
      </c>
      <c r="K5" s="20">
        <f>SUM(H5:J5)</f>
        <v>53</v>
      </c>
      <c r="L5" s="20">
        <f>SUM(K5,G5)</f>
        <v>53</v>
      </c>
    </row>
    <row r="6" spans="1:12">
      <c r="A6" s="1" t="s">
        <v>22</v>
      </c>
      <c r="B6" s="21" t="s">
        <v>24</v>
      </c>
      <c r="C6" s="39">
        <v>0</v>
      </c>
      <c r="D6" s="40">
        <v>0</v>
      </c>
      <c r="E6" s="40">
        <v>0</v>
      </c>
      <c r="F6" s="60">
        <v>0</v>
      </c>
      <c r="G6" s="23">
        <f t="shared" ref="G6:G32" si="0">SUM(C6:F6)</f>
        <v>0</v>
      </c>
      <c r="H6" s="72">
        <v>0</v>
      </c>
      <c r="I6" s="40">
        <v>1</v>
      </c>
      <c r="J6" s="22">
        <v>2</v>
      </c>
      <c r="K6" s="23">
        <f t="shared" ref="K6:K33" si="1">SUM(H6:J6)</f>
        <v>3</v>
      </c>
      <c r="L6" s="23">
        <f t="shared" ref="L6:L32" si="2">SUM(K6,G6)</f>
        <v>3</v>
      </c>
    </row>
    <row r="7" spans="1:12">
      <c r="A7" s="1" t="s">
        <v>22</v>
      </c>
      <c r="B7" s="21" t="s">
        <v>25</v>
      </c>
      <c r="C7" s="41">
        <v>0</v>
      </c>
      <c r="D7" s="42">
        <v>0</v>
      </c>
      <c r="E7" s="42">
        <v>0</v>
      </c>
      <c r="F7" s="61">
        <v>0</v>
      </c>
      <c r="G7" s="25">
        <f t="shared" si="0"/>
        <v>0</v>
      </c>
      <c r="H7" s="73">
        <v>0</v>
      </c>
      <c r="I7" s="42">
        <v>0</v>
      </c>
      <c r="J7" s="24">
        <v>3.2083333333333335</v>
      </c>
      <c r="K7" s="25">
        <f t="shared" si="1"/>
        <v>3.2083333333333335</v>
      </c>
      <c r="L7" s="25">
        <f t="shared" si="2"/>
        <v>3.2083333333333335</v>
      </c>
    </row>
    <row r="8" spans="1:12">
      <c r="A8" s="1" t="s">
        <v>22</v>
      </c>
      <c r="B8" s="7" t="s">
        <v>26</v>
      </c>
      <c r="C8" s="43">
        <v>0</v>
      </c>
      <c r="D8" s="44">
        <v>0</v>
      </c>
      <c r="E8" s="44">
        <v>0</v>
      </c>
      <c r="F8" s="62">
        <v>0</v>
      </c>
      <c r="G8" s="9">
        <f t="shared" si="0"/>
        <v>0</v>
      </c>
      <c r="H8" s="74">
        <v>0</v>
      </c>
      <c r="I8" s="44">
        <v>0</v>
      </c>
      <c r="J8" s="8">
        <v>0.41666666666666669</v>
      </c>
      <c r="K8" s="9">
        <f t="shared" si="1"/>
        <v>0.41666666666666669</v>
      </c>
      <c r="L8" s="9">
        <f t="shared" si="2"/>
        <v>0.41666666666666669</v>
      </c>
    </row>
    <row r="9" spans="1:12">
      <c r="A9" s="1" t="s">
        <v>22</v>
      </c>
      <c r="B9" s="15" t="s">
        <v>27</v>
      </c>
      <c r="C9" s="45">
        <v>0</v>
      </c>
      <c r="D9" s="46">
        <v>0</v>
      </c>
      <c r="E9" s="46">
        <v>0</v>
      </c>
      <c r="F9" s="63">
        <v>0</v>
      </c>
      <c r="G9" s="17">
        <f t="shared" si="0"/>
        <v>0</v>
      </c>
      <c r="H9" s="75">
        <v>20</v>
      </c>
      <c r="I9" s="46">
        <v>32</v>
      </c>
      <c r="J9" s="16">
        <v>26</v>
      </c>
      <c r="K9" s="17">
        <f t="shared" si="1"/>
        <v>78</v>
      </c>
      <c r="L9" s="17"/>
    </row>
    <row r="10" spans="1:12">
      <c r="A10" s="1" t="s">
        <v>22</v>
      </c>
      <c r="B10" s="28" t="s">
        <v>28</v>
      </c>
      <c r="C10" s="51">
        <v>0</v>
      </c>
      <c r="D10" s="52">
        <v>0</v>
      </c>
      <c r="E10" s="52">
        <v>0</v>
      </c>
      <c r="F10" s="64">
        <v>0</v>
      </c>
      <c r="G10" s="30">
        <f t="shared" si="0"/>
        <v>0</v>
      </c>
      <c r="H10" s="76">
        <v>300000</v>
      </c>
      <c r="I10" s="52">
        <v>375000</v>
      </c>
      <c r="J10" s="29">
        <v>0</v>
      </c>
      <c r="K10" s="30">
        <f t="shared" si="1"/>
        <v>675000</v>
      </c>
      <c r="L10" s="30">
        <f t="shared" si="2"/>
        <v>675000</v>
      </c>
    </row>
    <row r="11" spans="1:12">
      <c r="A11" s="1" t="s">
        <v>22</v>
      </c>
      <c r="B11" s="21" t="s">
        <v>29</v>
      </c>
      <c r="C11" s="53">
        <v>0</v>
      </c>
      <c r="D11" s="54">
        <v>0</v>
      </c>
      <c r="E11" s="54">
        <v>0</v>
      </c>
      <c r="F11" s="65">
        <v>0</v>
      </c>
      <c r="G11" s="32">
        <f t="shared" si="0"/>
        <v>0</v>
      </c>
      <c r="H11" s="77">
        <v>50000</v>
      </c>
      <c r="I11" s="54">
        <v>50000</v>
      </c>
      <c r="J11" s="31">
        <v>0</v>
      </c>
      <c r="K11" s="32">
        <f t="shared" si="1"/>
        <v>100000</v>
      </c>
      <c r="L11" s="32">
        <f t="shared" si="2"/>
        <v>100000</v>
      </c>
    </row>
    <row r="12" spans="1:12">
      <c r="A12" s="1" t="s">
        <v>22</v>
      </c>
      <c r="B12" s="21" t="s">
        <v>30</v>
      </c>
      <c r="C12" s="53">
        <v>0</v>
      </c>
      <c r="D12" s="54">
        <v>0</v>
      </c>
      <c r="E12" s="54">
        <v>0</v>
      </c>
      <c r="F12" s="65">
        <v>0</v>
      </c>
      <c r="G12" s="32">
        <f t="shared" si="0"/>
        <v>0</v>
      </c>
      <c r="H12" s="77">
        <v>65000</v>
      </c>
      <c r="I12" s="54">
        <v>0</v>
      </c>
      <c r="J12" s="31">
        <v>0</v>
      </c>
      <c r="K12" s="32">
        <f t="shared" si="1"/>
        <v>65000</v>
      </c>
      <c r="L12" s="32">
        <f t="shared" si="2"/>
        <v>65000</v>
      </c>
    </row>
    <row r="13" spans="1:12">
      <c r="A13" s="1" t="s">
        <v>22</v>
      </c>
      <c r="B13" s="21" t="s">
        <v>31</v>
      </c>
      <c r="C13" s="53">
        <v>0</v>
      </c>
      <c r="D13" s="54">
        <v>0</v>
      </c>
      <c r="E13" s="54">
        <v>0</v>
      </c>
      <c r="F13" s="65">
        <v>0</v>
      </c>
      <c r="G13" s="32">
        <f t="shared" si="0"/>
        <v>0</v>
      </c>
      <c r="H13" s="77">
        <v>0</v>
      </c>
      <c r="I13" s="54">
        <v>0</v>
      </c>
      <c r="J13" s="31">
        <v>95480</v>
      </c>
      <c r="K13" s="32">
        <f t="shared" si="1"/>
        <v>95480</v>
      </c>
      <c r="L13" s="32">
        <f t="shared" si="2"/>
        <v>95480</v>
      </c>
    </row>
    <row r="14" spans="1:12">
      <c r="A14" s="1" t="s">
        <v>22</v>
      </c>
      <c r="B14" s="21" t="s">
        <v>32</v>
      </c>
      <c r="C14" s="53">
        <v>1190000</v>
      </c>
      <c r="D14" s="54">
        <v>590000</v>
      </c>
      <c r="E14" s="54">
        <v>100000</v>
      </c>
      <c r="F14" s="65">
        <v>260000</v>
      </c>
      <c r="G14" s="32">
        <f t="shared" si="0"/>
        <v>2140000</v>
      </c>
      <c r="H14" s="77">
        <v>0</v>
      </c>
      <c r="I14" s="54">
        <v>0</v>
      </c>
      <c r="J14" s="31">
        <v>0</v>
      </c>
      <c r="K14" s="32">
        <f t="shared" si="1"/>
        <v>0</v>
      </c>
      <c r="L14" s="32">
        <f t="shared" si="2"/>
        <v>2140000</v>
      </c>
    </row>
    <row r="15" spans="1:12">
      <c r="A15" s="1" t="s">
        <v>22</v>
      </c>
      <c r="B15" s="7" t="s">
        <v>33</v>
      </c>
      <c r="C15" s="47">
        <v>0</v>
      </c>
      <c r="D15" s="48">
        <v>0</v>
      </c>
      <c r="E15" s="48">
        <v>0</v>
      </c>
      <c r="F15" s="66">
        <v>0</v>
      </c>
      <c r="G15" s="11">
        <f t="shared" si="0"/>
        <v>0</v>
      </c>
      <c r="H15" s="78">
        <v>0</v>
      </c>
      <c r="I15" s="48">
        <v>0</v>
      </c>
      <c r="J15" s="10">
        <v>12400</v>
      </c>
      <c r="K15" s="11">
        <f t="shared" si="1"/>
        <v>12400</v>
      </c>
      <c r="L15" s="11">
        <f t="shared" si="2"/>
        <v>12400</v>
      </c>
    </row>
    <row r="16" spans="1:12">
      <c r="A16" s="1" t="s">
        <v>22</v>
      </c>
      <c r="B16" s="15" t="s">
        <v>34</v>
      </c>
      <c r="C16" s="49">
        <v>1190000</v>
      </c>
      <c r="D16" s="50">
        <v>590000</v>
      </c>
      <c r="E16" s="50">
        <v>100000</v>
      </c>
      <c r="F16" s="67">
        <v>260000</v>
      </c>
      <c r="G16" s="27">
        <f t="shared" si="0"/>
        <v>2140000</v>
      </c>
      <c r="H16" s="79">
        <v>415000</v>
      </c>
      <c r="I16" s="50">
        <v>425000</v>
      </c>
      <c r="J16" s="26">
        <v>107880</v>
      </c>
      <c r="K16" s="27">
        <f t="shared" si="1"/>
        <v>947880</v>
      </c>
      <c r="L16" s="27">
        <f t="shared" si="2"/>
        <v>3087880</v>
      </c>
    </row>
    <row r="17" spans="1:12">
      <c r="A17" s="1" t="s">
        <v>22</v>
      </c>
      <c r="B17" s="28" t="s">
        <v>35</v>
      </c>
      <c r="C17" s="51">
        <v>0</v>
      </c>
      <c r="D17" s="52">
        <v>0</v>
      </c>
      <c r="E17" s="52">
        <v>0</v>
      </c>
      <c r="F17" s="64">
        <v>0</v>
      </c>
      <c r="G17" s="30">
        <f t="shared" si="0"/>
        <v>0</v>
      </c>
      <c r="H17" s="76">
        <v>1629</v>
      </c>
      <c r="I17" s="52">
        <v>9680</v>
      </c>
      <c r="J17" s="29">
        <v>0</v>
      </c>
      <c r="K17" s="30">
        <f t="shared" si="1"/>
        <v>11309</v>
      </c>
      <c r="L17" s="30">
        <f t="shared" si="2"/>
        <v>11309</v>
      </c>
    </row>
    <row r="18" spans="1:12">
      <c r="A18" s="1" t="s">
        <v>22</v>
      </c>
      <c r="B18" s="7" t="s">
        <v>36</v>
      </c>
      <c r="C18" s="47">
        <v>0</v>
      </c>
      <c r="D18" s="48">
        <v>0</v>
      </c>
      <c r="E18" s="48">
        <v>0</v>
      </c>
      <c r="F18" s="66">
        <v>0</v>
      </c>
      <c r="G18" s="11">
        <f t="shared" si="0"/>
        <v>0</v>
      </c>
      <c r="H18" s="78">
        <v>1629</v>
      </c>
      <c r="I18" s="48">
        <v>9680</v>
      </c>
      <c r="J18" s="10">
        <v>0</v>
      </c>
      <c r="K18" s="11">
        <f t="shared" si="1"/>
        <v>11309</v>
      </c>
      <c r="L18" s="11">
        <f t="shared" si="2"/>
        <v>11309</v>
      </c>
    </row>
    <row r="19" spans="1:12">
      <c r="A19" s="1" t="s">
        <v>22</v>
      </c>
      <c r="B19" s="15" t="s">
        <v>37</v>
      </c>
      <c r="C19" s="49">
        <v>1190000</v>
      </c>
      <c r="D19" s="50">
        <v>590000</v>
      </c>
      <c r="E19" s="50">
        <v>100000</v>
      </c>
      <c r="F19" s="67">
        <v>260000</v>
      </c>
      <c r="G19" s="27">
        <f t="shared" si="0"/>
        <v>2140000</v>
      </c>
      <c r="H19" s="79">
        <v>416629</v>
      </c>
      <c r="I19" s="50">
        <v>434680</v>
      </c>
      <c r="J19" s="26">
        <v>107880</v>
      </c>
      <c r="K19" s="27">
        <f t="shared" si="1"/>
        <v>959189</v>
      </c>
      <c r="L19" s="27">
        <f t="shared" si="2"/>
        <v>3099189</v>
      </c>
    </row>
    <row r="20" spans="1:12">
      <c r="A20" s="1" t="s">
        <v>22</v>
      </c>
      <c r="B20" s="28" t="s">
        <v>38</v>
      </c>
      <c r="C20" s="51">
        <v>49980</v>
      </c>
      <c r="D20" s="52">
        <v>0</v>
      </c>
      <c r="E20" s="52">
        <v>0</v>
      </c>
      <c r="F20" s="64">
        <v>0</v>
      </c>
      <c r="G20" s="30">
        <f t="shared" si="0"/>
        <v>49980</v>
      </c>
      <c r="H20" s="76">
        <v>20910</v>
      </c>
      <c r="I20" s="52">
        <v>22440</v>
      </c>
      <c r="J20" s="29">
        <v>0</v>
      </c>
      <c r="K20" s="30">
        <f t="shared" si="1"/>
        <v>43350</v>
      </c>
      <c r="L20" s="30">
        <f t="shared" si="2"/>
        <v>93330</v>
      </c>
    </row>
    <row r="21" spans="1:12">
      <c r="A21" s="1" t="s">
        <v>22</v>
      </c>
      <c r="B21" s="21" t="s">
        <v>39</v>
      </c>
      <c r="C21" s="53">
        <v>8820</v>
      </c>
      <c r="D21" s="54">
        <v>0</v>
      </c>
      <c r="E21" s="54">
        <v>0</v>
      </c>
      <c r="F21" s="65">
        <v>0</v>
      </c>
      <c r="G21" s="32">
        <f t="shared" si="0"/>
        <v>8820</v>
      </c>
      <c r="H21" s="77">
        <v>3690</v>
      </c>
      <c r="I21" s="54">
        <v>3960</v>
      </c>
      <c r="J21" s="31">
        <v>0</v>
      </c>
      <c r="K21" s="32">
        <f t="shared" si="1"/>
        <v>7650</v>
      </c>
      <c r="L21" s="32">
        <f t="shared" si="2"/>
        <v>16470</v>
      </c>
    </row>
    <row r="22" spans="1:12">
      <c r="A22" s="1" t="s">
        <v>22</v>
      </c>
      <c r="B22" s="21" t="s">
        <v>40</v>
      </c>
      <c r="C22" s="53">
        <v>59475</v>
      </c>
      <c r="D22" s="54">
        <v>0</v>
      </c>
      <c r="E22" s="54">
        <v>0</v>
      </c>
      <c r="F22" s="65">
        <v>0</v>
      </c>
      <c r="G22" s="32">
        <f t="shared" si="0"/>
        <v>59475</v>
      </c>
      <c r="H22" s="77">
        <v>37515</v>
      </c>
      <c r="I22" s="54">
        <v>40260</v>
      </c>
      <c r="J22" s="31">
        <v>0</v>
      </c>
      <c r="K22" s="32">
        <f t="shared" si="1"/>
        <v>77775</v>
      </c>
      <c r="L22" s="32">
        <f t="shared" si="2"/>
        <v>137250</v>
      </c>
    </row>
    <row r="23" spans="1:12">
      <c r="A23" s="1" t="s">
        <v>22</v>
      </c>
      <c r="B23" s="7" t="s">
        <v>41</v>
      </c>
      <c r="C23" s="47">
        <v>0</v>
      </c>
      <c r="D23" s="48">
        <v>0</v>
      </c>
      <c r="E23" s="48">
        <v>0</v>
      </c>
      <c r="F23" s="66">
        <v>0</v>
      </c>
      <c r="G23" s="11">
        <f t="shared" si="0"/>
        <v>0</v>
      </c>
      <c r="H23" s="78">
        <v>2500</v>
      </c>
      <c r="I23" s="48">
        <v>2608</v>
      </c>
      <c r="J23" s="10">
        <v>647</v>
      </c>
      <c r="K23" s="11">
        <f t="shared" si="1"/>
        <v>5755</v>
      </c>
      <c r="L23" s="11">
        <f t="shared" si="2"/>
        <v>5755</v>
      </c>
    </row>
    <row r="24" spans="1:12">
      <c r="A24" s="1" t="s">
        <v>22</v>
      </c>
      <c r="B24" s="15" t="s">
        <v>42</v>
      </c>
      <c r="C24" s="49">
        <v>118275</v>
      </c>
      <c r="D24" s="50">
        <v>0</v>
      </c>
      <c r="E24" s="50">
        <v>0</v>
      </c>
      <c r="F24" s="67">
        <v>0</v>
      </c>
      <c r="G24" s="27">
        <f t="shared" si="0"/>
        <v>118275</v>
      </c>
      <c r="H24" s="79">
        <v>64615</v>
      </c>
      <c r="I24" s="50">
        <v>69268</v>
      </c>
      <c r="J24" s="26">
        <v>647</v>
      </c>
      <c r="K24" s="27">
        <f t="shared" si="1"/>
        <v>134530</v>
      </c>
      <c r="L24" s="27">
        <f t="shared" si="2"/>
        <v>252805</v>
      </c>
    </row>
    <row r="25" spans="1:12">
      <c r="A25" s="1" t="s">
        <v>22</v>
      </c>
      <c r="B25" s="28" t="s">
        <v>43</v>
      </c>
      <c r="C25" s="51">
        <v>151510</v>
      </c>
      <c r="D25" s="52">
        <v>191900</v>
      </c>
      <c r="E25" s="52">
        <v>720</v>
      </c>
      <c r="F25" s="64">
        <v>40400</v>
      </c>
      <c r="G25" s="30">
        <f t="shared" si="0"/>
        <v>384530</v>
      </c>
      <c r="H25" s="76">
        <v>12500</v>
      </c>
      <c r="I25" s="52">
        <v>12930</v>
      </c>
      <c r="J25" s="29">
        <v>1090</v>
      </c>
      <c r="K25" s="30">
        <f t="shared" si="1"/>
        <v>26520</v>
      </c>
      <c r="L25" s="30">
        <f t="shared" si="2"/>
        <v>411050</v>
      </c>
    </row>
    <row r="26" spans="1:12">
      <c r="A26" s="1" t="s">
        <v>22</v>
      </c>
      <c r="B26" s="21" t="s">
        <v>44</v>
      </c>
      <c r="C26" s="53">
        <v>84700</v>
      </c>
      <c r="D26" s="54">
        <v>0</v>
      </c>
      <c r="E26" s="54">
        <v>900</v>
      </c>
      <c r="F26" s="65">
        <v>0</v>
      </c>
      <c r="G26" s="32">
        <f t="shared" si="0"/>
        <v>85600</v>
      </c>
      <c r="H26" s="77">
        <v>23300</v>
      </c>
      <c r="I26" s="54">
        <v>23600</v>
      </c>
      <c r="J26" s="31">
        <v>2300</v>
      </c>
      <c r="K26" s="32">
        <f t="shared" si="1"/>
        <v>49200</v>
      </c>
      <c r="L26" s="32">
        <f t="shared" si="2"/>
        <v>134800</v>
      </c>
    </row>
    <row r="27" spans="1:12">
      <c r="A27" s="1" t="s">
        <v>22</v>
      </c>
      <c r="B27" s="7" t="s">
        <v>45</v>
      </c>
      <c r="C27" s="47">
        <v>32000</v>
      </c>
      <c r="D27" s="48">
        <v>0</v>
      </c>
      <c r="E27" s="48">
        <v>0</v>
      </c>
      <c r="F27" s="66">
        <v>0</v>
      </c>
      <c r="G27" s="11">
        <f t="shared" si="0"/>
        <v>32000</v>
      </c>
      <c r="H27" s="78">
        <v>0</v>
      </c>
      <c r="I27" s="48">
        <v>0</v>
      </c>
      <c r="J27" s="10">
        <v>0</v>
      </c>
      <c r="K27" s="11">
        <f t="shared" si="1"/>
        <v>0</v>
      </c>
      <c r="L27" s="11">
        <f t="shared" si="2"/>
        <v>32000</v>
      </c>
    </row>
    <row r="28" spans="1:12">
      <c r="A28" s="1" t="s">
        <v>22</v>
      </c>
      <c r="B28" s="15" t="s">
        <v>46</v>
      </c>
      <c r="C28" s="49">
        <v>386485</v>
      </c>
      <c r="D28" s="50">
        <v>191900</v>
      </c>
      <c r="E28" s="50">
        <v>1620</v>
      </c>
      <c r="F28" s="67">
        <v>40400</v>
      </c>
      <c r="G28" s="27">
        <f t="shared" si="0"/>
        <v>620405</v>
      </c>
      <c r="H28" s="79">
        <v>100415</v>
      </c>
      <c r="I28" s="50">
        <v>105798</v>
      </c>
      <c r="J28" s="26">
        <v>4037</v>
      </c>
      <c r="K28" s="27">
        <f t="shared" si="1"/>
        <v>210250</v>
      </c>
      <c r="L28" s="27">
        <f t="shared" si="2"/>
        <v>830655</v>
      </c>
    </row>
    <row r="29" spans="1:12">
      <c r="A29" s="1" t="s">
        <v>22</v>
      </c>
      <c r="B29" s="15" t="s">
        <v>47</v>
      </c>
      <c r="C29" s="49">
        <v>1071725</v>
      </c>
      <c r="D29" s="50">
        <v>590000</v>
      </c>
      <c r="E29" s="50">
        <v>100000</v>
      </c>
      <c r="F29" s="67">
        <v>260000</v>
      </c>
      <c r="G29" s="27">
        <f t="shared" si="0"/>
        <v>2021725</v>
      </c>
      <c r="H29" s="79">
        <v>350385</v>
      </c>
      <c r="I29" s="50">
        <v>355732</v>
      </c>
      <c r="J29" s="26">
        <v>107233</v>
      </c>
      <c r="K29" s="27">
        <f t="shared" si="1"/>
        <v>813350</v>
      </c>
      <c r="L29" s="27">
        <f t="shared" si="2"/>
        <v>2835075</v>
      </c>
    </row>
    <row r="30" spans="1:12">
      <c r="A30" s="1" t="s">
        <v>22</v>
      </c>
      <c r="B30" s="15" t="s">
        <v>48</v>
      </c>
      <c r="C30" s="49">
        <v>803515</v>
      </c>
      <c r="D30" s="50">
        <v>398100</v>
      </c>
      <c r="E30" s="50">
        <v>98380</v>
      </c>
      <c r="F30" s="67">
        <v>219600</v>
      </c>
      <c r="G30" s="27">
        <f t="shared" si="0"/>
        <v>1519595</v>
      </c>
      <c r="H30" s="79">
        <v>316214</v>
      </c>
      <c r="I30" s="50">
        <v>328882</v>
      </c>
      <c r="J30" s="26">
        <v>103843</v>
      </c>
      <c r="K30" s="27">
        <f t="shared" si="1"/>
        <v>748939</v>
      </c>
      <c r="L30" s="27">
        <f t="shared" si="2"/>
        <v>2268534</v>
      </c>
    </row>
    <row r="31" spans="1:12">
      <c r="A31" s="1" t="s">
        <v>22</v>
      </c>
      <c r="B31" s="15" t="s">
        <v>49</v>
      </c>
      <c r="C31" s="49">
        <v>0</v>
      </c>
      <c r="D31" s="50">
        <v>0</v>
      </c>
      <c r="E31" s="50">
        <v>98380</v>
      </c>
      <c r="F31" s="67">
        <v>0</v>
      </c>
      <c r="G31" s="27">
        <f t="shared" si="0"/>
        <v>98380</v>
      </c>
      <c r="H31" s="79">
        <v>0</v>
      </c>
      <c r="I31" s="50">
        <v>0</v>
      </c>
      <c r="J31" s="26">
        <v>0</v>
      </c>
      <c r="K31" s="27">
        <f t="shared" si="1"/>
        <v>0</v>
      </c>
      <c r="L31" s="27">
        <f t="shared" si="2"/>
        <v>98380</v>
      </c>
    </row>
    <row r="32" spans="1:12">
      <c r="A32" s="1" t="s">
        <v>22</v>
      </c>
      <c r="B32" s="15" t="s">
        <v>50</v>
      </c>
      <c r="C32" s="49">
        <v>803515</v>
      </c>
      <c r="D32" s="50">
        <v>398100</v>
      </c>
      <c r="E32" s="50">
        <v>0</v>
      </c>
      <c r="F32" s="67">
        <v>219600</v>
      </c>
      <c r="G32" s="27">
        <f t="shared" si="0"/>
        <v>1421215</v>
      </c>
      <c r="H32" s="79">
        <v>316214</v>
      </c>
      <c r="I32" s="50">
        <v>328882</v>
      </c>
      <c r="J32" s="26">
        <v>103843</v>
      </c>
      <c r="K32" s="27">
        <f t="shared" si="1"/>
        <v>748939</v>
      </c>
      <c r="L32" s="27">
        <f t="shared" si="2"/>
        <v>2170154</v>
      </c>
    </row>
    <row r="33" spans="1:12">
      <c r="A33" s="1" t="s">
        <v>22</v>
      </c>
      <c r="B33" s="15" t="s">
        <v>51</v>
      </c>
      <c r="C33" s="49">
        <v>1</v>
      </c>
      <c r="D33" s="50">
        <v>0</v>
      </c>
      <c r="E33" s="50">
        <v>0</v>
      </c>
      <c r="F33" s="67">
        <v>0</v>
      </c>
      <c r="G33" s="27"/>
      <c r="H33" s="79">
        <v>0</v>
      </c>
      <c r="I33" s="50">
        <v>0</v>
      </c>
      <c r="J33" s="26">
        <v>0</v>
      </c>
      <c r="K33" s="27">
        <f t="shared" si="1"/>
        <v>0</v>
      </c>
      <c r="L33" s="27"/>
    </row>
    <row r="34" spans="1:12" ht="19.5" thickBot="1">
      <c r="A34" s="1" t="s">
        <v>22</v>
      </c>
      <c r="B34" s="12" t="s">
        <v>52</v>
      </c>
      <c r="C34" s="55" t="s">
        <v>53</v>
      </c>
      <c r="D34" s="56" t="s">
        <v>54</v>
      </c>
      <c r="E34" s="56" t="s">
        <v>53</v>
      </c>
      <c r="F34" s="68" t="s">
        <v>54</v>
      </c>
      <c r="G34" s="14"/>
      <c r="H34" s="80" t="s">
        <v>53</v>
      </c>
      <c r="I34" s="56" t="s">
        <v>53</v>
      </c>
      <c r="J34" s="13" t="s">
        <v>53</v>
      </c>
      <c r="K34" s="14"/>
      <c r="L34" s="14"/>
    </row>
  </sheetData>
  <phoneticPr fontId="4"/>
  <pageMargins left="0.31496062992125984" right="0.31496062992125984" top="0.35433070866141736" bottom="0.35433070866141736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fukasawa</dc:creator>
  <cp:keywords/>
  <dc:description/>
  <cp:lastModifiedBy>若林孝次郎</cp:lastModifiedBy>
  <cp:revision/>
  <dcterms:created xsi:type="dcterms:W3CDTF">2024-03-07T04:33:49Z</dcterms:created>
  <dcterms:modified xsi:type="dcterms:W3CDTF">2025-09-28T01:49:48Z</dcterms:modified>
  <cp:category/>
  <cp:contentStatus/>
</cp:coreProperties>
</file>