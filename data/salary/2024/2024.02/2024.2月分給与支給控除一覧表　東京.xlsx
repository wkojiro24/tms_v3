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2\"/>
    </mc:Choice>
  </mc:AlternateContent>
  <xr:revisionPtr revIDLastSave="0" documentId="13_ncr:1_{9F9B25B1-9C46-4103-B417-9E494944DFC1}" xr6:coauthVersionLast="47" xr6:coauthVersionMax="47" xr10:uidLastSave="{00000000-0000-0000-0000-000000000000}"/>
  <bookViews>
    <workbookView xWindow="-120" yWindow="-120" windowWidth="20730" windowHeight="11160" xr2:uid="{F99D533B-AF25-4B4E-B536-4E2615924B57}"/>
  </bookViews>
  <sheets>
    <sheet name="2024年 2月度給与 (2)" sheetId="3" r:id="rId1"/>
  </sheets>
  <definedNames>
    <definedName name="_xlnm.Print_Area" localSheetId="0">'2024年 2月度給与 (2)'!$A$1:$M$45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" i="3" l="1"/>
  <c r="M21" i="3"/>
  <c r="M25" i="3"/>
  <c r="M29" i="3"/>
  <c r="M33" i="3"/>
  <c r="M37" i="3"/>
  <c r="M41" i="3"/>
  <c r="L6" i="3"/>
  <c r="M6" i="3" s="1"/>
  <c r="L7" i="3"/>
  <c r="M7" i="3" s="1"/>
  <c r="L8" i="3"/>
  <c r="L9" i="3"/>
  <c r="M9" i="3" s="1"/>
  <c r="L10" i="3"/>
  <c r="M10" i="3" s="1"/>
  <c r="L11" i="3"/>
  <c r="M11" i="3" s="1"/>
  <c r="L12" i="3"/>
  <c r="L13" i="3"/>
  <c r="M13" i="3" s="1"/>
  <c r="L14" i="3"/>
  <c r="M14" i="3" s="1"/>
  <c r="L15" i="3"/>
  <c r="L16" i="3"/>
  <c r="M16" i="3" s="1"/>
  <c r="L17" i="3"/>
  <c r="L18" i="3"/>
  <c r="M18" i="3" s="1"/>
  <c r="L19" i="3"/>
  <c r="M19" i="3" s="1"/>
  <c r="L20" i="3"/>
  <c r="M20" i="3" s="1"/>
  <c r="L21" i="3"/>
  <c r="L22" i="3"/>
  <c r="M22" i="3" s="1"/>
  <c r="L23" i="3"/>
  <c r="M23" i="3" s="1"/>
  <c r="L24" i="3"/>
  <c r="M24" i="3" s="1"/>
  <c r="L25" i="3"/>
  <c r="L26" i="3"/>
  <c r="M26" i="3" s="1"/>
  <c r="L27" i="3"/>
  <c r="M27" i="3" s="1"/>
  <c r="L28" i="3"/>
  <c r="M28" i="3" s="1"/>
  <c r="L29" i="3"/>
  <c r="L30" i="3"/>
  <c r="M30" i="3" s="1"/>
  <c r="L31" i="3"/>
  <c r="M31" i="3" s="1"/>
  <c r="L32" i="3"/>
  <c r="M32" i="3" s="1"/>
  <c r="L33" i="3"/>
  <c r="L34" i="3"/>
  <c r="M34" i="3" s="1"/>
  <c r="L35" i="3"/>
  <c r="M35" i="3" s="1"/>
  <c r="L36" i="3"/>
  <c r="M36" i="3" s="1"/>
  <c r="L37" i="3"/>
  <c r="L38" i="3"/>
  <c r="M38" i="3" s="1"/>
  <c r="L39" i="3"/>
  <c r="M39" i="3" s="1"/>
  <c r="L40" i="3"/>
  <c r="M40" i="3" s="1"/>
  <c r="L41" i="3"/>
  <c r="L42" i="3"/>
  <c r="M42" i="3" s="1"/>
  <c r="L43" i="3"/>
  <c r="M43" i="3" s="1"/>
  <c r="L5" i="3"/>
  <c r="M5" i="3" s="1"/>
  <c r="E6" i="3"/>
  <c r="E7" i="3"/>
  <c r="E8" i="3"/>
  <c r="M8" i="3" s="1"/>
  <c r="E9" i="3"/>
  <c r="E10" i="3"/>
  <c r="E11" i="3"/>
  <c r="E12" i="3"/>
  <c r="M12" i="3" s="1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5" i="3"/>
</calcChain>
</file>

<file path=xl/sharedStrings.xml><?xml version="1.0" encoding="utf-8"?>
<sst xmlns="http://schemas.openxmlformats.org/spreadsheetml/2006/main" count="115" uniqueCount="65">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</sst>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4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2" xfId="1" applyNumberFormat="1" applyFont="1" applyBorder="1"/>
    <xf numFmtId="3" fontId="2" fillId="0" borderId="35" xfId="1" applyNumberFormat="1" applyFont="1" applyBorder="1"/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49" fontId="2" fillId="0" borderId="37" xfId="1" applyNumberFormat="1" applyFont="1" applyBorder="1"/>
    <xf numFmtId="0" fontId="2" fillId="0" borderId="2" xfId="1" applyFont="1" applyBorder="1"/>
  </cellXfs>
  <cellStyles count="2">
    <cellStyle name="標準" xfId="0" builtinId="0"/>
    <cellStyle name="標準 2" xfId="1" xr:uid="{75F0B687-CC7C-4940-8816-4407646A87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6651-E7AE-4C70-B3B5-F2FA46BF4737}">
  <sheetPr>
    <pageSetUpPr fitToPage="1"/>
  </sheetPr>
  <dimension ref="A1:M45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/>
    </sheetView>
  </sheetViews>
  <sheetFormatPr defaultRowHeight="18.75"/>
  <cols>
    <col min="1" max="1" width="2.375" style="2" customWidth="1"/>
    <col min="2" max="2" width="13.25" style="2" bestFit="1" customWidth="1"/>
    <col min="3" max="13" width="11.7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60</v>
      </c>
    </row>
    <row r="3" spans="1:13">
      <c r="B3" s="4"/>
      <c r="C3" s="37" t="s">
        <v>4</v>
      </c>
      <c r="D3" s="5" t="s">
        <v>9</v>
      </c>
      <c r="E3" s="62" t="s">
        <v>61</v>
      </c>
      <c r="F3" s="36" t="s">
        <v>2</v>
      </c>
      <c r="G3" s="37" t="s">
        <v>3</v>
      </c>
      <c r="H3" s="37" t="s">
        <v>5</v>
      </c>
      <c r="I3" s="37" t="s">
        <v>6</v>
      </c>
      <c r="J3" s="37" t="s">
        <v>7</v>
      </c>
      <c r="K3" s="69" t="s">
        <v>8</v>
      </c>
      <c r="L3" s="62" t="s">
        <v>61</v>
      </c>
      <c r="M3" s="83" t="s">
        <v>19</v>
      </c>
    </row>
    <row r="4" spans="1:13" ht="19.5" thickBot="1">
      <c r="B4" s="6" t="s">
        <v>10</v>
      </c>
      <c r="C4" s="39" t="s">
        <v>13</v>
      </c>
      <c r="D4" s="3" t="s">
        <v>18</v>
      </c>
      <c r="E4" s="63" t="s">
        <v>62</v>
      </c>
      <c r="F4" s="38" t="s">
        <v>11</v>
      </c>
      <c r="G4" s="39" t="s">
        <v>12</v>
      </c>
      <c r="H4" s="39" t="s">
        <v>14</v>
      </c>
      <c r="I4" s="39" t="s">
        <v>15</v>
      </c>
      <c r="J4" s="39" t="s">
        <v>16</v>
      </c>
      <c r="K4" s="70" t="s">
        <v>17</v>
      </c>
      <c r="L4" s="63" t="s">
        <v>63</v>
      </c>
      <c r="M4" s="6" t="s">
        <v>64</v>
      </c>
    </row>
    <row r="5" spans="1:13">
      <c r="A5" s="1" t="s">
        <v>1</v>
      </c>
      <c r="B5" s="18" t="s">
        <v>20</v>
      </c>
      <c r="C5" s="41">
        <v>19</v>
      </c>
      <c r="D5" s="19">
        <v>11</v>
      </c>
      <c r="E5" s="20">
        <f>SUM(C5:D5)</f>
        <v>30</v>
      </c>
      <c r="F5" s="40">
        <v>18</v>
      </c>
      <c r="G5" s="41">
        <v>17</v>
      </c>
      <c r="H5" s="41">
        <v>19</v>
      </c>
      <c r="I5" s="41">
        <v>18</v>
      </c>
      <c r="J5" s="41">
        <v>19</v>
      </c>
      <c r="K5" s="71">
        <v>19</v>
      </c>
      <c r="L5" s="20">
        <f>SUM(F5:K5)</f>
        <v>110</v>
      </c>
      <c r="M5" s="20">
        <f>SUM(L5,E5)</f>
        <v>140</v>
      </c>
    </row>
    <row r="6" spans="1:13">
      <c r="A6" s="1" t="s">
        <v>1</v>
      </c>
      <c r="B6" s="21" t="s">
        <v>21</v>
      </c>
      <c r="C6" s="43">
        <v>0</v>
      </c>
      <c r="D6" s="22">
        <v>0</v>
      </c>
      <c r="E6" s="23">
        <f t="shared" ref="E6:E43" si="0">SUM(C6:D6)</f>
        <v>0</v>
      </c>
      <c r="F6" s="42">
        <v>1</v>
      </c>
      <c r="G6" s="43">
        <v>2</v>
      </c>
      <c r="H6" s="43">
        <v>2</v>
      </c>
      <c r="I6" s="43">
        <v>0</v>
      </c>
      <c r="J6" s="43">
        <v>4</v>
      </c>
      <c r="K6" s="72">
        <v>2</v>
      </c>
      <c r="L6" s="23">
        <f t="shared" ref="L6:L43" si="1">SUM(F6:K6)</f>
        <v>11</v>
      </c>
      <c r="M6" s="23">
        <f t="shared" ref="M6:M43" si="2">SUM(L6,E6)</f>
        <v>11</v>
      </c>
    </row>
    <row r="7" spans="1:13">
      <c r="A7" s="1" t="s">
        <v>1</v>
      </c>
      <c r="B7" s="21" t="s">
        <v>22</v>
      </c>
      <c r="C7" s="43">
        <v>0</v>
      </c>
      <c r="D7" s="22">
        <v>0</v>
      </c>
      <c r="E7" s="23">
        <f t="shared" si="0"/>
        <v>0</v>
      </c>
      <c r="F7" s="42">
        <v>0</v>
      </c>
      <c r="G7" s="43">
        <v>0</v>
      </c>
      <c r="H7" s="43">
        <v>1</v>
      </c>
      <c r="I7" s="43">
        <v>0</v>
      </c>
      <c r="J7" s="43">
        <v>1</v>
      </c>
      <c r="K7" s="72">
        <v>1</v>
      </c>
      <c r="L7" s="23">
        <f t="shared" si="1"/>
        <v>3</v>
      </c>
      <c r="M7" s="23">
        <f t="shared" si="2"/>
        <v>3</v>
      </c>
    </row>
    <row r="8" spans="1:13">
      <c r="A8" s="1" t="s">
        <v>1</v>
      </c>
      <c r="B8" s="21" t="s">
        <v>23</v>
      </c>
      <c r="C8" s="43">
        <v>0</v>
      </c>
      <c r="D8" s="22">
        <v>2</v>
      </c>
      <c r="E8" s="23">
        <f t="shared" si="0"/>
        <v>2</v>
      </c>
      <c r="F8" s="42">
        <v>1</v>
      </c>
      <c r="G8" s="43">
        <v>2</v>
      </c>
      <c r="H8" s="43">
        <v>0</v>
      </c>
      <c r="I8" s="43">
        <v>1</v>
      </c>
      <c r="J8" s="43">
        <v>0</v>
      </c>
      <c r="K8" s="72">
        <v>0</v>
      </c>
      <c r="L8" s="23">
        <f t="shared" si="1"/>
        <v>4</v>
      </c>
      <c r="M8" s="23">
        <f t="shared" si="2"/>
        <v>6</v>
      </c>
    </row>
    <row r="9" spans="1:13">
      <c r="A9" s="1" t="s">
        <v>1</v>
      </c>
      <c r="B9" s="21" t="s">
        <v>24</v>
      </c>
      <c r="C9" s="45">
        <v>0</v>
      </c>
      <c r="D9" s="24">
        <v>3</v>
      </c>
      <c r="E9" s="25">
        <f t="shared" si="0"/>
        <v>3</v>
      </c>
      <c r="F9" s="44">
        <v>0</v>
      </c>
      <c r="G9" s="45">
        <v>0</v>
      </c>
      <c r="H9" s="45">
        <v>0</v>
      </c>
      <c r="I9" s="45">
        <v>0</v>
      </c>
      <c r="J9" s="45">
        <v>0</v>
      </c>
      <c r="K9" s="73">
        <v>0</v>
      </c>
      <c r="L9" s="25">
        <f t="shared" si="1"/>
        <v>0</v>
      </c>
      <c r="M9" s="25">
        <f t="shared" si="2"/>
        <v>3</v>
      </c>
    </row>
    <row r="10" spans="1:13">
      <c r="A10" s="1" t="s">
        <v>1</v>
      </c>
      <c r="B10" s="21" t="s">
        <v>25</v>
      </c>
      <c r="C10" s="45">
        <v>0</v>
      </c>
      <c r="D10" s="24">
        <v>0</v>
      </c>
      <c r="E10" s="25">
        <f t="shared" si="0"/>
        <v>0</v>
      </c>
      <c r="F10" s="44">
        <v>1.75</v>
      </c>
      <c r="G10" s="45">
        <v>2.125</v>
      </c>
      <c r="H10" s="45">
        <v>1.5</v>
      </c>
      <c r="I10" s="45">
        <v>1.4583333333333333</v>
      </c>
      <c r="J10" s="45">
        <v>1.5833333333333335</v>
      </c>
      <c r="K10" s="73">
        <v>1.8333333333333335</v>
      </c>
      <c r="L10" s="25">
        <f t="shared" si="1"/>
        <v>10.25</v>
      </c>
      <c r="M10" s="25">
        <f t="shared" si="2"/>
        <v>10.25</v>
      </c>
    </row>
    <row r="11" spans="1:13">
      <c r="A11" s="1" t="s">
        <v>1</v>
      </c>
      <c r="B11" s="21" t="s">
        <v>26</v>
      </c>
      <c r="C11" s="45">
        <v>0</v>
      </c>
      <c r="D11" s="24">
        <v>0</v>
      </c>
      <c r="E11" s="25">
        <f t="shared" si="0"/>
        <v>0</v>
      </c>
      <c r="F11" s="44">
        <v>0.16666666666666666</v>
      </c>
      <c r="G11" s="45">
        <v>0.41666666666666669</v>
      </c>
      <c r="H11" s="45">
        <v>0.79166666666666663</v>
      </c>
      <c r="I11" s="45">
        <v>0</v>
      </c>
      <c r="J11" s="45">
        <v>0.83333333333333337</v>
      </c>
      <c r="K11" s="73">
        <v>0.54166666666666663</v>
      </c>
      <c r="L11" s="25">
        <f t="shared" si="1"/>
        <v>2.75</v>
      </c>
      <c r="M11" s="25">
        <f t="shared" si="2"/>
        <v>2.75</v>
      </c>
    </row>
    <row r="12" spans="1:13">
      <c r="A12" s="1" t="s">
        <v>1</v>
      </c>
      <c r="B12" s="21" t="s">
        <v>27</v>
      </c>
      <c r="C12" s="45">
        <v>0</v>
      </c>
      <c r="D12" s="24">
        <v>0</v>
      </c>
      <c r="E12" s="25">
        <f t="shared" si="0"/>
        <v>0</v>
      </c>
      <c r="F12" s="44">
        <v>0</v>
      </c>
      <c r="G12" s="45">
        <v>0</v>
      </c>
      <c r="H12" s="45">
        <v>0.33333333333333331</v>
      </c>
      <c r="I12" s="45">
        <v>0</v>
      </c>
      <c r="J12" s="45">
        <v>0.33333333333333331</v>
      </c>
      <c r="K12" s="73">
        <v>0.45833333333333331</v>
      </c>
      <c r="L12" s="25">
        <f t="shared" si="1"/>
        <v>1.125</v>
      </c>
      <c r="M12" s="25">
        <f t="shared" si="2"/>
        <v>1.125</v>
      </c>
    </row>
    <row r="13" spans="1:13">
      <c r="A13" s="1" t="s">
        <v>1</v>
      </c>
      <c r="B13" s="21" t="s">
        <v>28</v>
      </c>
      <c r="C13" s="45">
        <v>0</v>
      </c>
      <c r="D13" s="24">
        <v>0.58333333333333337</v>
      </c>
      <c r="E13" s="25">
        <f t="shared" si="0"/>
        <v>0.58333333333333337</v>
      </c>
      <c r="F13" s="44">
        <v>0</v>
      </c>
      <c r="G13" s="45">
        <v>0</v>
      </c>
      <c r="H13" s="45">
        <v>0</v>
      </c>
      <c r="I13" s="45">
        <v>0</v>
      </c>
      <c r="J13" s="45">
        <v>0</v>
      </c>
      <c r="K13" s="73">
        <v>0</v>
      </c>
      <c r="L13" s="25">
        <f t="shared" si="1"/>
        <v>0</v>
      </c>
      <c r="M13" s="25">
        <f t="shared" si="2"/>
        <v>0.58333333333333337</v>
      </c>
    </row>
    <row r="14" spans="1:13">
      <c r="A14" s="1" t="s">
        <v>1</v>
      </c>
      <c r="B14" s="7" t="s">
        <v>29</v>
      </c>
      <c r="C14" s="47">
        <v>0</v>
      </c>
      <c r="D14" s="8">
        <v>0</v>
      </c>
      <c r="E14" s="9">
        <f t="shared" si="0"/>
        <v>0</v>
      </c>
      <c r="F14" s="46">
        <v>0.33333333333333331</v>
      </c>
      <c r="G14" s="47">
        <v>0.45833333333333331</v>
      </c>
      <c r="H14" s="47">
        <v>0.33333333333333331</v>
      </c>
      <c r="I14" s="47">
        <v>0.375</v>
      </c>
      <c r="J14" s="47">
        <v>0.29166666666666669</v>
      </c>
      <c r="K14" s="74">
        <v>0.375</v>
      </c>
      <c r="L14" s="9">
        <f t="shared" si="1"/>
        <v>2.166666666666667</v>
      </c>
      <c r="M14" s="9">
        <f t="shared" si="2"/>
        <v>2.166666666666667</v>
      </c>
    </row>
    <row r="15" spans="1:13">
      <c r="A15" s="1" t="s">
        <v>1</v>
      </c>
      <c r="B15" s="15" t="s">
        <v>30</v>
      </c>
      <c r="C15" s="49">
        <v>33</v>
      </c>
      <c r="D15" s="16">
        <v>3</v>
      </c>
      <c r="E15" s="17">
        <f t="shared" si="0"/>
        <v>36</v>
      </c>
      <c r="F15" s="48">
        <v>17</v>
      </c>
      <c r="G15" s="49">
        <v>21</v>
      </c>
      <c r="H15" s="49">
        <v>28</v>
      </c>
      <c r="I15" s="49">
        <v>10</v>
      </c>
      <c r="J15" s="49">
        <v>26</v>
      </c>
      <c r="K15" s="75">
        <v>27</v>
      </c>
      <c r="L15" s="17">
        <f t="shared" si="1"/>
        <v>129</v>
      </c>
      <c r="M15" s="17"/>
    </row>
    <row r="16" spans="1:13">
      <c r="A16" s="1" t="s">
        <v>1</v>
      </c>
      <c r="B16" s="31" t="s">
        <v>31</v>
      </c>
      <c r="C16" s="55">
        <v>355000</v>
      </c>
      <c r="D16" s="32">
        <v>0</v>
      </c>
      <c r="E16" s="33">
        <f t="shared" si="0"/>
        <v>355000</v>
      </c>
      <c r="F16" s="54">
        <v>177000</v>
      </c>
      <c r="G16" s="55">
        <v>192000</v>
      </c>
      <c r="H16" s="55">
        <v>177000</v>
      </c>
      <c r="I16" s="55">
        <v>177000</v>
      </c>
      <c r="J16" s="55">
        <v>177000</v>
      </c>
      <c r="K16" s="76">
        <v>170000</v>
      </c>
      <c r="L16" s="33">
        <f t="shared" si="1"/>
        <v>1070000</v>
      </c>
      <c r="M16" s="33">
        <f t="shared" si="2"/>
        <v>1425000</v>
      </c>
    </row>
    <row r="17" spans="1:13">
      <c r="A17" s="1" t="s">
        <v>1</v>
      </c>
      <c r="B17" s="21" t="s">
        <v>32</v>
      </c>
      <c r="C17" s="57">
        <v>0</v>
      </c>
      <c r="D17" s="34">
        <v>0</v>
      </c>
      <c r="E17" s="35">
        <f t="shared" si="0"/>
        <v>0</v>
      </c>
      <c r="F17" s="56">
        <v>0</v>
      </c>
      <c r="G17" s="57">
        <v>5000</v>
      </c>
      <c r="H17" s="57">
        <v>0</v>
      </c>
      <c r="I17" s="57">
        <v>0</v>
      </c>
      <c r="J17" s="57">
        <v>0</v>
      </c>
      <c r="K17" s="77">
        <v>0</v>
      </c>
      <c r="L17" s="35">
        <f t="shared" si="1"/>
        <v>5000</v>
      </c>
      <c r="M17" s="35">
        <f t="shared" si="2"/>
        <v>5000</v>
      </c>
    </row>
    <row r="18" spans="1:13">
      <c r="A18" s="1" t="s">
        <v>1</v>
      </c>
      <c r="B18" s="21" t="s">
        <v>33</v>
      </c>
      <c r="C18" s="57">
        <v>0</v>
      </c>
      <c r="D18" s="34">
        <v>0</v>
      </c>
      <c r="E18" s="35">
        <f t="shared" si="0"/>
        <v>0</v>
      </c>
      <c r="F18" s="56">
        <v>6000</v>
      </c>
      <c r="G18" s="57">
        <v>0</v>
      </c>
      <c r="H18" s="57">
        <v>15000</v>
      </c>
      <c r="I18" s="57">
        <v>0</v>
      </c>
      <c r="J18" s="57">
        <v>0</v>
      </c>
      <c r="K18" s="77">
        <v>0</v>
      </c>
      <c r="L18" s="35">
        <f t="shared" si="1"/>
        <v>21000</v>
      </c>
      <c r="M18" s="35">
        <f t="shared" si="2"/>
        <v>21000</v>
      </c>
    </row>
    <row r="19" spans="1:13">
      <c r="A19" s="1" t="s">
        <v>1</v>
      </c>
      <c r="B19" s="21" t="s">
        <v>34</v>
      </c>
      <c r="C19" s="57">
        <v>50000</v>
      </c>
      <c r="D19" s="34">
        <v>0</v>
      </c>
      <c r="E19" s="35">
        <f t="shared" si="0"/>
        <v>50000</v>
      </c>
      <c r="F19" s="56">
        <v>50000</v>
      </c>
      <c r="G19" s="57">
        <v>50000</v>
      </c>
      <c r="H19" s="57">
        <v>50000</v>
      </c>
      <c r="I19" s="57">
        <v>50000</v>
      </c>
      <c r="J19" s="57">
        <v>50000</v>
      </c>
      <c r="K19" s="77">
        <v>50000</v>
      </c>
      <c r="L19" s="35">
        <f t="shared" si="1"/>
        <v>300000</v>
      </c>
      <c r="M19" s="35">
        <f t="shared" si="2"/>
        <v>350000</v>
      </c>
    </row>
    <row r="20" spans="1:13">
      <c r="A20" s="1" t="s">
        <v>1</v>
      </c>
      <c r="B20" s="21" t="s">
        <v>35</v>
      </c>
      <c r="C20" s="57">
        <v>0</v>
      </c>
      <c r="D20" s="34">
        <v>86400</v>
      </c>
      <c r="E20" s="35">
        <f t="shared" si="0"/>
        <v>86400</v>
      </c>
      <c r="F20" s="56">
        <v>0</v>
      </c>
      <c r="G20" s="57">
        <v>0</v>
      </c>
      <c r="H20" s="57">
        <v>0</v>
      </c>
      <c r="I20" s="57">
        <v>0</v>
      </c>
      <c r="J20" s="57">
        <v>0</v>
      </c>
      <c r="K20" s="77">
        <v>0</v>
      </c>
      <c r="L20" s="35">
        <f t="shared" si="1"/>
        <v>0</v>
      </c>
      <c r="M20" s="35">
        <f t="shared" si="2"/>
        <v>86400</v>
      </c>
    </row>
    <row r="21" spans="1:13">
      <c r="A21" s="1" t="s">
        <v>1</v>
      </c>
      <c r="B21" s="21" t="s">
        <v>36</v>
      </c>
      <c r="C21" s="57">
        <v>0</v>
      </c>
      <c r="D21" s="34">
        <v>0</v>
      </c>
      <c r="E21" s="35">
        <f t="shared" si="0"/>
        <v>0</v>
      </c>
      <c r="F21" s="56">
        <v>3500</v>
      </c>
      <c r="G21" s="57">
        <v>3500</v>
      </c>
      <c r="H21" s="57">
        <v>1000</v>
      </c>
      <c r="I21" s="57">
        <v>3500</v>
      </c>
      <c r="J21" s="57">
        <v>3500</v>
      </c>
      <c r="K21" s="77">
        <v>3500</v>
      </c>
      <c r="L21" s="35">
        <f t="shared" si="1"/>
        <v>18500</v>
      </c>
      <c r="M21" s="35">
        <f t="shared" si="2"/>
        <v>18500</v>
      </c>
    </row>
    <row r="22" spans="1:13">
      <c r="A22" s="1" t="s">
        <v>1</v>
      </c>
      <c r="B22" s="21" t="s">
        <v>37</v>
      </c>
      <c r="C22" s="57">
        <v>0</v>
      </c>
      <c r="D22" s="34">
        <v>16800</v>
      </c>
      <c r="E22" s="35">
        <f t="shared" si="0"/>
        <v>16800</v>
      </c>
      <c r="F22" s="56">
        <v>0</v>
      </c>
      <c r="G22" s="57">
        <v>0</v>
      </c>
      <c r="H22" s="57">
        <v>0</v>
      </c>
      <c r="I22" s="57">
        <v>0</v>
      </c>
      <c r="J22" s="57">
        <v>0</v>
      </c>
      <c r="K22" s="77">
        <v>0</v>
      </c>
      <c r="L22" s="35">
        <f t="shared" si="1"/>
        <v>0</v>
      </c>
      <c r="M22" s="35">
        <f t="shared" si="2"/>
        <v>16800</v>
      </c>
    </row>
    <row r="23" spans="1:13">
      <c r="A23" s="1" t="s">
        <v>1</v>
      </c>
      <c r="B23" s="21" t="s">
        <v>38</v>
      </c>
      <c r="C23" s="57">
        <v>0</v>
      </c>
      <c r="D23" s="34">
        <v>0</v>
      </c>
      <c r="E23" s="35">
        <f t="shared" si="0"/>
        <v>0</v>
      </c>
      <c r="F23" s="56">
        <v>13500</v>
      </c>
      <c r="G23" s="57">
        <v>10500</v>
      </c>
      <c r="H23" s="57">
        <v>13500</v>
      </c>
      <c r="I23" s="57">
        <v>13000</v>
      </c>
      <c r="J23" s="57">
        <v>13000</v>
      </c>
      <c r="K23" s="77">
        <v>15000</v>
      </c>
      <c r="L23" s="35">
        <f t="shared" si="1"/>
        <v>78500</v>
      </c>
      <c r="M23" s="35">
        <f t="shared" si="2"/>
        <v>78500</v>
      </c>
    </row>
    <row r="24" spans="1:13">
      <c r="A24" s="1" t="s">
        <v>1</v>
      </c>
      <c r="B24" s="21" t="s">
        <v>25</v>
      </c>
      <c r="C24" s="57">
        <v>0</v>
      </c>
      <c r="D24" s="34">
        <v>0</v>
      </c>
      <c r="E24" s="35">
        <f t="shared" si="0"/>
        <v>0</v>
      </c>
      <c r="F24" s="56">
        <v>78582</v>
      </c>
      <c r="G24" s="57">
        <v>99654</v>
      </c>
      <c r="H24" s="57">
        <v>69120</v>
      </c>
      <c r="I24" s="57">
        <v>63805</v>
      </c>
      <c r="J24" s="57">
        <v>69274</v>
      </c>
      <c r="K24" s="77">
        <v>78540</v>
      </c>
      <c r="L24" s="35">
        <f t="shared" si="1"/>
        <v>458975</v>
      </c>
      <c r="M24" s="35">
        <f t="shared" si="2"/>
        <v>458975</v>
      </c>
    </row>
    <row r="25" spans="1:13">
      <c r="A25" s="1" t="s">
        <v>1</v>
      </c>
      <c r="B25" s="21" t="s">
        <v>39</v>
      </c>
      <c r="C25" s="57">
        <v>0</v>
      </c>
      <c r="D25" s="34">
        <v>0</v>
      </c>
      <c r="E25" s="35">
        <f t="shared" si="0"/>
        <v>0</v>
      </c>
      <c r="F25" s="56">
        <v>8084</v>
      </c>
      <c r="G25" s="57">
        <v>21100</v>
      </c>
      <c r="H25" s="57">
        <v>39406</v>
      </c>
      <c r="I25" s="57">
        <v>0</v>
      </c>
      <c r="J25" s="57">
        <v>39360</v>
      </c>
      <c r="K25" s="77">
        <v>25064</v>
      </c>
      <c r="L25" s="35">
        <f t="shared" si="1"/>
        <v>133014</v>
      </c>
      <c r="M25" s="35">
        <f t="shared" si="2"/>
        <v>133014</v>
      </c>
    </row>
    <row r="26" spans="1:13">
      <c r="A26" s="1" t="s">
        <v>1</v>
      </c>
      <c r="B26" s="21" t="s">
        <v>40</v>
      </c>
      <c r="C26" s="57">
        <v>0</v>
      </c>
      <c r="D26" s="34">
        <v>0</v>
      </c>
      <c r="E26" s="35">
        <f t="shared" si="0"/>
        <v>0</v>
      </c>
      <c r="F26" s="56">
        <v>0</v>
      </c>
      <c r="G26" s="57">
        <v>0</v>
      </c>
      <c r="H26" s="57">
        <v>16592</v>
      </c>
      <c r="I26" s="57">
        <v>0</v>
      </c>
      <c r="J26" s="57">
        <v>15744</v>
      </c>
      <c r="K26" s="77">
        <v>21208</v>
      </c>
      <c r="L26" s="35">
        <f t="shared" si="1"/>
        <v>53544</v>
      </c>
      <c r="M26" s="35">
        <f t="shared" si="2"/>
        <v>53544</v>
      </c>
    </row>
    <row r="27" spans="1:13">
      <c r="A27" s="1" t="s">
        <v>1</v>
      </c>
      <c r="B27" s="7" t="s">
        <v>29</v>
      </c>
      <c r="C27" s="51">
        <v>0</v>
      </c>
      <c r="D27" s="10">
        <v>0</v>
      </c>
      <c r="E27" s="11">
        <f t="shared" si="0"/>
        <v>0</v>
      </c>
      <c r="F27" s="50">
        <v>2992</v>
      </c>
      <c r="G27" s="51">
        <v>4301</v>
      </c>
      <c r="H27" s="51">
        <v>3072</v>
      </c>
      <c r="I27" s="51">
        <v>3285</v>
      </c>
      <c r="J27" s="51">
        <v>2555</v>
      </c>
      <c r="K27" s="78">
        <v>3213</v>
      </c>
      <c r="L27" s="11">
        <f t="shared" si="1"/>
        <v>19418</v>
      </c>
      <c r="M27" s="11">
        <f t="shared" si="2"/>
        <v>19418</v>
      </c>
    </row>
    <row r="28" spans="1:13">
      <c r="A28" s="1" t="s">
        <v>1</v>
      </c>
      <c r="B28" s="15" t="s">
        <v>41</v>
      </c>
      <c r="C28" s="53">
        <v>405000</v>
      </c>
      <c r="D28" s="26">
        <v>103200</v>
      </c>
      <c r="E28" s="27">
        <f t="shared" si="0"/>
        <v>508200</v>
      </c>
      <c r="F28" s="52">
        <v>339658</v>
      </c>
      <c r="G28" s="53">
        <v>386055</v>
      </c>
      <c r="H28" s="53">
        <v>384690</v>
      </c>
      <c r="I28" s="53">
        <v>310590</v>
      </c>
      <c r="J28" s="53">
        <v>370433</v>
      </c>
      <c r="K28" s="79">
        <v>366525</v>
      </c>
      <c r="L28" s="27">
        <f t="shared" si="1"/>
        <v>2157951</v>
      </c>
      <c r="M28" s="27">
        <f t="shared" si="2"/>
        <v>2666151</v>
      </c>
    </row>
    <row r="29" spans="1:13">
      <c r="A29" s="1" t="s">
        <v>1</v>
      </c>
      <c r="B29" s="31" t="s">
        <v>42</v>
      </c>
      <c r="C29" s="55">
        <v>12591</v>
      </c>
      <c r="D29" s="32">
        <v>3960</v>
      </c>
      <c r="E29" s="33">
        <f t="shared" si="0"/>
        <v>16551</v>
      </c>
      <c r="F29" s="54">
        <v>5483</v>
      </c>
      <c r="G29" s="55">
        <v>4984</v>
      </c>
      <c r="H29" s="55">
        <v>9536</v>
      </c>
      <c r="I29" s="55">
        <v>4146</v>
      </c>
      <c r="J29" s="55">
        <v>4407</v>
      </c>
      <c r="K29" s="76">
        <v>5771</v>
      </c>
      <c r="L29" s="33">
        <f t="shared" si="1"/>
        <v>34327</v>
      </c>
      <c r="M29" s="33">
        <f t="shared" si="2"/>
        <v>50878</v>
      </c>
    </row>
    <row r="30" spans="1:13">
      <c r="A30" s="1" t="s">
        <v>1</v>
      </c>
      <c r="B30" s="7" t="s">
        <v>43</v>
      </c>
      <c r="C30" s="51">
        <v>12591</v>
      </c>
      <c r="D30" s="10">
        <v>3960</v>
      </c>
      <c r="E30" s="11">
        <f t="shared" si="0"/>
        <v>16551</v>
      </c>
      <c r="F30" s="50">
        <v>5483</v>
      </c>
      <c r="G30" s="51">
        <v>4984</v>
      </c>
      <c r="H30" s="51">
        <v>9536</v>
      </c>
      <c r="I30" s="51">
        <v>4146</v>
      </c>
      <c r="J30" s="51">
        <v>4407</v>
      </c>
      <c r="K30" s="78">
        <v>5771</v>
      </c>
      <c r="L30" s="11">
        <f t="shared" si="1"/>
        <v>34327</v>
      </c>
      <c r="M30" s="11">
        <f t="shared" si="2"/>
        <v>50878</v>
      </c>
    </row>
    <row r="31" spans="1:13">
      <c r="A31" s="1" t="s">
        <v>1</v>
      </c>
      <c r="B31" s="15" t="s">
        <v>44</v>
      </c>
      <c r="C31" s="53">
        <v>417591</v>
      </c>
      <c r="D31" s="26">
        <v>107160</v>
      </c>
      <c r="E31" s="27">
        <f t="shared" si="0"/>
        <v>524751</v>
      </c>
      <c r="F31" s="52">
        <v>345141</v>
      </c>
      <c r="G31" s="53">
        <v>391039</v>
      </c>
      <c r="H31" s="53">
        <v>394226</v>
      </c>
      <c r="I31" s="53">
        <v>314736</v>
      </c>
      <c r="J31" s="53">
        <v>374840</v>
      </c>
      <c r="K31" s="79">
        <v>372296</v>
      </c>
      <c r="L31" s="27">
        <f t="shared" si="1"/>
        <v>2192278</v>
      </c>
      <c r="M31" s="27">
        <f t="shared" si="2"/>
        <v>2717029</v>
      </c>
    </row>
    <row r="32" spans="1:13">
      <c r="A32" s="1" t="s">
        <v>1</v>
      </c>
      <c r="B32" s="31" t="s">
        <v>45</v>
      </c>
      <c r="C32" s="55">
        <v>20910</v>
      </c>
      <c r="D32" s="32">
        <v>0</v>
      </c>
      <c r="E32" s="33">
        <f t="shared" si="0"/>
        <v>20910</v>
      </c>
      <c r="F32" s="54">
        <v>19380</v>
      </c>
      <c r="G32" s="55">
        <v>19380</v>
      </c>
      <c r="H32" s="55">
        <v>18360</v>
      </c>
      <c r="I32" s="55">
        <v>15300</v>
      </c>
      <c r="J32" s="55">
        <v>19380</v>
      </c>
      <c r="K32" s="76">
        <v>17340</v>
      </c>
      <c r="L32" s="33">
        <f t="shared" si="1"/>
        <v>109140</v>
      </c>
      <c r="M32" s="33">
        <f t="shared" si="2"/>
        <v>130050</v>
      </c>
    </row>
    <row r="33" spans="1:13">
      <c r="A33" s="1" t="s">
        <v>1</v>
      </c>
      <c r="B33" s="21" t="s">
        <v>46</v>
      </c>
      <c r="C33" s="57">
        <v>3690</v>
      </c>
      <c r="D33" s="34">
        <v>0</v>
      </c>
      <c r="E33" s="35">
        <f t="shared" si="0"/>
        <v>3690</v>
      </c>
      <c r="F33" s="56">
        <v>3420</v>
      </c>
      <c r="G33" s="57">
        <v>3420</v>
      </c>
      <c r="H33" s="57">
        <v>3240</v>
      </c>
      <c r="I33" s="57">
        <v>2700</v>
      </c>
      <c r="J33" s="57">
        <v>3420</v>
      </c>
      <c r="K33" s="77">
        <v>3060</v>
      </c>
      <c r="L33" s="35">
        <f t="shared" si="1"/>
        <v>19260</v>
      </c>
      <c r="M33" s="35">
        <f t="shared" si="2"/>
        <v>22950</v>
      </c>
    </row>
    <row r="34" spans="1:13">
      <c r="A34" s="1" t="s">
        <v>1</v>
      </c>
      <c r="B34" s="21" t="s">
        <v>47</v>
      </c>
      <c r="C34" s="57">
        <v>37515</v>
      </c>
      <c r="D34" s="34">
        <v>0</v>
      </c>
      <c r="E34" s="35">
        <f t="shared" si="0"/>
        <v>37515</v>
      </c>
      <c r="F34" s="56">
        <v>34770</v>
      </c>
      <c r="G34" s="57">
        <v>34770</v>
      </c>
      <c r="H34" s="57">
        <v>32940</v>
      </c>
      <c r="I34" s="57">
        <v>27450</v>
      </c>
      <c r="J34" s="57">
        <v>34770</v>
      </c>
      <c r="K34" s="77">
        <v>31110</v>
      </c>
      <c r="L34" s="35">
        <f t="shared" si="1"/>
        <v>195810</v>
      </c>
      <c r="M34" s="35">
        <f t="shared" si="2"/>
        <v>233325</v>
      </c>
    </row>
    <row r="35" spans="1:13">
      <c r="A35" s="1" t="s">
        <v>1</v>
      </c>
      <c r="B35" s="7" t="s">
        <v>48</v>
      </c>
      <c r="C35" s="51">
        <v>2506</v>
      </c>
      <c r="D35" s="10">
        <v>643</v>
      </c>
      <c r="E35" s="11">
        <f t="shared" si="0"/>
        <v>3149</v>
      </c>
      <c r="F35" s="50">
        <v>2071</v>
      </c>
      <c r="G35" s="51">
        <v>2346</v>
      </c>
      <c r="H35" s="51">
        <v>2365</v>
      </c>
      <c r="I35" s="51">
        <v>1888</v>
      </c>
      <c r="J35" s="51">
        <v>2249</v>
      </c>
      <c r="K35" s="78">
        <v>2234</v>
      </c>
      <c r="L35" s="11">
        <f t="shared" si="1"/>
        <v>13153</v>
      </c>
      <c r="M35" s="11">
        <f t="shared" si="2"/>
        <v>16302</v>
      </c>
    </row>
    <row r="36" spans="1:13">
      <c r="A36" s="1" t="s">
        <v>1</v>
      </c>
      <c r="B36" s="15" t="s">
        <v>49</v>
      </c>
      <c r="C36" s="53">
        <v>64621</v>
      </c>
      <c r="D36" s="26">
        <v>643</v>
      </c>
      <c r="E36" s="27">
        <f t="shared" si="0"/>
        <v>65264</v>
      </c>
      <c r="F36" s="52">
        <v>59641</v>
      </c>
      <c r="G36" s="53">
        <v>59916</v>
      </c>
      <c r="H36" s="53">
        <v>56905</v>
      </c>
      <c r="I36" s="53">
        <v>47338</v>
      </c>
      <c r="J36" s="53">
        <v>59819</v>
      </c>
      <c r="K36" s="79">
        <v>53744</v>
      </c>
      <c r="L36" s="27">
        <f t="shared" si="1"/>
        <v>337363</v>
      </c>
      <c r="M36" s="27">
        <f t="shared" si="2"/>
        <v>402627</v>
      </c>
    </row>
    <row r="37" spans="1:13">
      <c r="A37" s="1" t="s">
        <v>1</v>
      </c>
      <c r="B37" s="31" t="s">
        <v>50</v>
      </c>
      <c r="C37" s="55">
        <v>6750</v>
      </c>
      <c r="D37" s="32">
        <v>850</v>
      </c>
      <c r="E37" s="33">
        <f t="shared" si="0"/>
        <v>7600</v>
      </c>
      <c r="F37" s="54">
        <v>6010</v>
      </c>
      <c r="G37" s="55">
        <v>10520</v>
      </c>
      <c r="H37" s="55">
        <v>7860</v>
      </c>
      <c r="I37" s="55">
        <v>3790</v>
      </c>
      <c r="J37" s="55">
        <v>9250</v>
      </c>
      <c r="K37" s="76">
        <v>5630</v>
      </c>
      <c r="L37" s="33">
        <f t="shared" si="1"/>
        <v>43060</v>
      </c>
      <c r="M37" s="33">
        <f t="shared" si="2"/>
        <v>50660</v>
      </c>
    </row>
    <row r="38" spans="1:13">
      <c r="A38" s="1" t="s">
        <v>1</v>
      </c>
      <c r="B38" s="21" t="s">
        <v>51</v>
      </c>
      <c r="C38" s="57">
        <v>23700</v>
      </c>
      <c r="D38" s="34">
        <v>700</v>
      </c>
      <c r="E38" s="35">
        <f t="shared" si="0"/>
        <v>24400</v>
      </c>
      <c r="F38" s="56">
        <v>14200</v>
      </c>
      <c r="G38" s="57">
        <v>16800</v>
      </c>
      <c r="H38" s="57">
        <v>12300</v>
      </c>
      <c r="I38" s="57">
        <v>10800</v>
      </c>
      <c r="J38" s="57">
        <v>15200</v>
      </c>
      <c r="K38" s="77">
        <v>5500</v>
      </c>
      <c r="L38" s="35">
        <f t="shared" si="1"/>
        <v>74800</v>
      </c>
      <c r="M38" s="35">
        <f t="shared" si="2"/>
        <v>99200</v>
      </c>
    </row>
    <row r="39" spans="1:13">
      <c r="A39" s="1" t="s">
        <v>1</v>
      </c>
      <c r="B39" s="64" t="s">
        <v>52</v>
      </c>
      <c r="C39" s="65">
        <v>0</v>
      </c>
      <c r="D39" s="66">
        <v>0</v>
      </c>
      <c r="E39" s="67">
        <f t="shared" si="0"/>
        <v>0</v>
      </c>
      <c r="F39" s="68">
        <v>0</v>
      </c>
      <c r="G39" s="65">
        <v>0</v>
      </c>
      <c r="H39" s="65">
        <v>0</v>
      </c>
      <c r="I39" s="65">
        <v>9400</v>
      </c>
      <c r="J39" s="65">
        <v>5600</v>
      </c>
      <c r="K39" s="80">
        <v>0</v>
      </c>
      <c r="L39" s="67">
        <f t="shared" si="1"/>
        <v>15000</v>
      </c>
      <c r="M39" s="67">
        <f t="shared" si="2"/>
        <v>15000</v>
      </c>
    </row>
    <row r="40" spans="1:13">
      <c r="A40" s="1" t="s">
        <v>1</v>
      </c>
      <c r="B40" s="28" t="s">
        <v>53</v>
      </c>
      <c r="C40" s="59">
        <v>95071</v>
      </c>
      <c r="D40" s="29">
        <v>2193</v>
      </c>
      <c r="E40" s="30">
        <f t="shared" si="0"/>
        <v>97264</v>
      </c>
      <c r="F40" s="58">
        <v>79851</v>
      </c>
      <c r="G40" s="59">
        <v>87236</v>
      </c>
      <c r="H40" s="59">
        <v>77065</v>
      </c>
      <c r="I40" s="59">
        <v>71328</v>
      </c>
      <c r="J40" s="59">
        <v>89869</v>
      </c>
      <c r="K40" s="81">
        <v>64874</v>
      </c>
      <c r="L40" s="30">
        <f t="shared" si="1"/>
        <v>470223</v>
      </c>
      <c r="M40" s="30">
        <f t="shared" si="2"/>
        <v>567487</v>
      </c>
    </row>
    <row r="41" spans="1:13">
      <c r="A41" s="1" t="s">
        <v>1</v>
      </c>
      <c r="B41" s="15" t="s">
        <v>54</v>
      </c>
      <c r="C41" s="53">
        <v>340379</v>
      </c>
      <c r="D41" s="26">
        <v>102557</v>
      </c>
      <c r="E41" s="27">
        <f t="shared" si="0"/>
        <v>442936</v>
      </c>
      <c r="F41" s="52">
        <v>280017</v>
      </c>
      <c r="G41" s="53">
        <v>326139</v>
      </c>
      <c r="H41" s="53">
        <v>327785</v>
      </c>
      <c r="I41" s="53">
        <v>263252</v>
      </c>
      <c r="J41" s="53">
        <v>310614</v>
      </c>
      <c r="K41" s="79">
        <v>312781</v>
      </c>
      <c r="L41" s="27">
        <f t="shared" si="1"/>
        <v>1820588</v>
      </c>
      <c r="M41" s="27">
        <f t="shared" si="2"/>
        <v>2263524</v>
      </c>
    </row>
    <row r="42" spans="1:13">
      <c r="A42" s="1" t="s">
        <v>1</v>
      </c>
      <c r="B42" s="15" t="s">
        <v>55</v>
      </c>
      <c r="C42" s="53">
        <v>322520</v>
      </c>
      <c r="D42" s="26">
        <v>104967</v>
      </c>
      <c r="E42" s="27">
        <f t="shared" si="0"/>
        <v>427487</v>
      </c>
      <c r="F42" s="52">
        <v>265290</v>
      </c>
      <c r="G42" s="53">
        <v>303803</v>
      </c>
      <c r="H42" s="53">
        <v>317161</v>
      </c>
      <c r="I42" s="53">
        <v>243408</v>
      </c>
      <c r="J42" s="53">
        <v>284971</v>
      </c>
      <c r="K42" s="79">
        <v>307422</v>
      </c>
      <c r="L42" s="27">
        <f t="shared" si="1"/>
        <v>1722055</v>
      </c>
      <c r="M42" s="27">
        <f t="shared" si="2"/>
        <v>2149542</v>
      </c>
    </row>
    <row r="43" spans="1:13">
      <c r="A43" s="1" t="s">
        <v>1</v>
      </c>
      <c r="B43" s="15" t="s">
        <v>56</v>
      </c>
      <c r="C43" s="53">
        <v>322520</v>
      </c>
      <c r="D43" s="26">
        <v>104967</v>
      </c>
      <c r="E43" s="27">
        <f t="shared" si="0"/>
        <v>427487</v>
      </c>
      <c r="F43" s="52">
        <v>265290</v>
      </c>
      <c r="G43" s="53">
        <v>303803</v>
      </c>
      <c r="H43" s="53">
        <v>317161</v>
      </c>
      <c r="I43" s="53">
        <v>243408</v>
      </c>
      <c r="J43" s="53">
        <v>284971</v>
      </c>
      <c r="K43" s="79">
        <v>307422</v>
      </c>
      <c r="L43" s="27">
        <f t="shared" si="1"/>
        <v>1722055</v>
      </c>
      <c r="M43" s="27">
        <f t="shared" si="2"/>
        <v>2149542</v>
      </c>
    </row>
    <row r="44" spans="1:13">
      <c r="A44" s="1" t="s">
        <v>1</v>
      </c>
      <c r="B44" s="15" t="s">
        <v>57</v>
      </c>
      <c r="C44" s="53">
        <v>2</v>
      </c>
      <c r="D44" s="26">
        <v>0</v>
      </c>
      <c r="E44" s="27"/>
      <c r="F44" s="52">
        <v>1</v>
      </c>
      <c r="G44" s="53">
        <v>0</v>
      </c>
      <c r="H44" s="53">
        <v>1</v>
      </c>
      <c r="I44" s="53">
        <v>2</v>
      </c>
      <c r="J44" s="53">
        <v>0</v>
      </c>
      <c r="K44" s="79">
        <v>2</v>
      </c>
      <c r="L44" s="27"/>
      <c r="M44" s="27"/>
    </row>
    <row r="45" spans="1:13" ht="19.5" thickBot="1">
      <c r="A45" s="1" t="s">
        <v>1</v>
      </c>
      <c r="B45" s="12" t="s">
        <v>58</v>
      </c>
      <c r="C45" s="61" t="s">
        <v>59</v>
      </c>
      <c r="D45" s="13" t="s">
        <v>59</v>
      </c>
      <c r="E45" s="14"/>
      <c r="F45" s="60" t="s">
        <v>59</v>
      </c>
      <c r="G45" s="61" t="s">
        <v>59</v>
      </c>
      <c r="H45" s="61" t="s">
        <v>59</v>
      </c>
      <c r="I45" s="61" t="s">
        <v>59</v>
      </c>
      <c r="J45" s="61" t="s">
        <v>59</v>
      </c>
      <c r="K45" s="82" t="s">
        <v>59</v>
      </c>
      <c r="L45" s="14"/>
      <c r="M45" s="14"/>
    </row>
  </sheetData>
  <phoneticPr fontId="4"/>
  <pageMargins left="0.31496062992125984" right="0.31496062992125984" top="0.35433070866141736" bottom="0.35433070866141736" header="0.31496062992125984" footer="0.31496062992125984"/>
  <pageSetup paperSize="12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2月度給与 (2)</vt:lpstr>
      <vt:lpstr>'2024年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2024-03-07T05:18:23Z</cp:lastPrinted>
  <dcterms:created xsi:type="dcterms:W3CDTF">2024-03-07T04:37:59Z</dcterms:created>
  <dcterms:modified xsi:type="dcterms:W3CDTF">2024-03-11T00:37:48Z</dcterms:modified>
</cp:coreProperties>
</file>