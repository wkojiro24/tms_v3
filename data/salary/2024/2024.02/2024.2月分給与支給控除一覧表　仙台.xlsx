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2\"/>
    </mc:Choice>
  </mc:AlternateContent>
  <xr:revisionPtr revIDLastSave="0" documentId="13_ncr:1_{1E6C34A6-D42E-4323-B87C-0B52C7810C69}" xr6:coauthVersionLast="47" xr6:coauthVersionMax="47" xr10:uidLastSave="{00000000-0000-0000-0000-000000000000}"/>
  <bookViews>
    <workbookView xWindow="-120" yWindow="-120" windowWidth="20730" windowHeight="11160" xr2:uid="{7C28DE5C-AC97-4A47-8601-9178477EAA4D}"/>
  </bookViews>
  <sheets>
    <sheet name="2024年 2月度給与 (2)" sheetId="3" r:id="rId1"/>
  </sheets>
  <definedNames>
    <definedName name="_xlnm.Print_Area" localSheetId="0">'2024年 2月度給与 (2)'!$A$1:$N$43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3" l="1"/>
  <c r="N22" i="3"/>
  <c r="N26" i="3"/>
  <c r="N30" i="3"/>
  <c r="N34" i="3"/>
  <c r="N38" i="3"/>
  <c r="N5" i="3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M15" i="3"/>
  <c r="N15" i="3" s="1"/>
  <c r="M16" i="3"/>
  <c r="N16" i="3" s="1"/>
  <c r="M17" i="3"/>
  <c r="N17" i="3" s="1"/>
  <c r="M18" i="3"/>
  <c r="M19" i="3"/>
  <c r="N19" i="3" s="1"/>
  <c r="M20" i="3"/>
  <c r="N20" i="3" s="1"/>
  <c r="M21" i="3"/>
  <c r="N21" i="3" s="1"/>
  <c r="M22" i="3"/>
  <c r="M23" i="3"/>
  <c r="N23" i="3" s="1"/>
  <c r="M24" i="3"/>
  <c r="N24" i="3" s="1"/>
  <c r="M25" i="3"/>
  <c r="N25" i="3" s="1"/>
  <c r="M26" i="3"/>
  <c r="M27" i="3"/>
  <c r="N27" i="3" s="1"/>
  <c r="M28" i="3"/>
  <c r="N28" i="3" s="1"/>
  <c r="M29" i="3"/>
  <c r="N29" i="3" s="1"/>
  <c r="M30" i="3"/>
  <c r="M31" i="3"/>
  <c r="N31" i="3" s="1"/>
  <c r="M32" i="3"/>
  <c r="N32" i="3" s="1"/>
  <c r="M33" i="3"/>
  <c r="N33" i="3" s="1"/>
  <c r="M34" i="3"/>
  <c r="M35" i="3"/>
  <c r="N35" i="3" s="1"/>
  <c r="M36" i="3"/>
  <c r="N36" i="3" s="1"/>
  <c r="M37" i="3"/>
  <c r="N37" i="3" s="1"/>
  <c r="M38" i="3"/>
  <c r="M39" i="3"/>
  <c r="N39" i="3" s="1"/>
  <c r="M40" i="3"/>
  <c r="N40" i="3" s="1"/>
  <c r="M41" i="3"/>
  <c r="N41" i="3" s="1"/>
  <c r="M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5" i="3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<sst xmlns="http://schemas.openxmlformats.org/spreadsheetml/2006/main" count="113" uniqueCount="64">
  <si>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</si>
  <si>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</si>
  <si>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</si>
  <si>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</si>
  <si>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</si>
  <si>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</si>
  <si>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</si>
  <si>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</si>
  <si>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</si>
  <si>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</si>
  <si>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</si>
  <si>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</si>
  <si>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</si>
  <si>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</si>
  <si>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</si>
  <si>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</si>
  <si>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</si>
  <si>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</si>
  <si>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</si>
  <si>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</si>
  <si>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</si>
  <si>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</si>
  <si>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</si>
  <si>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</si>
  <si>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</si>
  <si>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</si>
  <si>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</si>
  <si>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</si>
  <si>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</si>
  <si>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</si>
  <si>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</si>
  <si>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</si>
  <si>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</si>
  <si>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</si>
  <si>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</si>
  <si>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</si>
  <si>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</si>
  <si>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</si>
  <si>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</si>
  <si>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</si>
  <si>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</si>
  <si>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</si>
  <si>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</si>
  <si>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</si>
  <si>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</si>
  <si>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</si>
  <si>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</si>
  <si>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</si>
  <si>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</si>
  <si>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</si>
  <si>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</si>
  <si>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</si>
  <si>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</si>
  <si>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</si>
  <si>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</si>
  <si>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</si>
  <si>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</si>
  <si>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2月度給与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</si>
  <si>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</si>
  <si>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</si>
  <si>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</si>
  <si>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</si>
  <si>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小計</t>
    <rPh sb="0" eb="2">
      <t>ショウケイ</t>
    </rPh>
    <phoneticPr fontId="4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</si>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</sst>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97D71256-BE60-42DD-BAB4-FEA8CA42B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85E0-E62E-4746-8DCB-6A67E0CA0F6E}">
  <sheetPr>
    <pageSetUpPr fitToPage="1"/>
  </sheetPr>
  <dimension ref="A1:N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2.3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57</v>
      </c>
    </row>
    <row r="3" spans="1:14">
      <c r="B3" s="4"/>
      <c r="C3" s="34" t="s">
        <v>5</v>
      </c>
      <c r="D3" s="34" t="s">
        <v>8</v>
      </c>
      <c r="E3" s="57" t="s">
        <v>7</v>
      </c>
      <c r="F3" s="69" t="s">
        <v>60</v>
      </c>
      <c r="G3" s="33" t="s">
        <v>2</v>
      </c>
      <c r="H3" s="34" t="s">
        <v>3</v>
      </c>
      <c r="I3" s="34" t="s">
        <v>4</v>
      </c>
      <c r="J3" s="34" t="s">
        <v>6</v>
      </c>
      <c r="K3" s="34" t="s">
        <v>9</v>
      </c>
      <c r="L3" s="5" t="s">
        <v>10</v>
      </c>
      <c r="M3" s="69" t="s">
        <v>62</v>
      </c>
      <c r="N3" s="71"/>
    </row>
    <row r="4" spans="1:14" ht="19.5" thickBot="1">
      <c r="B4" s="6" t="s">
        <v>11</v>
      </c>
      <c r="C4" s="36" t="s">
        <v>15</v>
      </c>
      <c r="D4" s="36" t="s">
        <v>17</v>
      </c>
      <c r="E4" s="58" t="s">
        <v>59</v>
      </c>
      <c r="F4" s="70" t="s">
        <v>61</v>
      </c>
      <c r="G4" s="35" t="s">
        <v>12</v>
      </c>
      <c r="H4" s="36" t="s">
        <v>13</v>
      </c>
      <c r="I4" s="36" t="s">
        <v>14</v>
      </c>
      <c r="J4" s="36" t="s">
        <v>16</v>
      </c>
      <c r="K4" s="36" t="s">
        <v>18</v>
      </c>
      <c r="L4" s="3" t="s">
        <v>58</v>
      </c>
      <c r="M4" s="70" t="s">
        <v>63</v>
      </c>
      <c r="N4" s="6" t="s">
        <v>19</v>
      </c>
    </row>
    <row r="5" spans="1:14">
      <c r="A5" s="1" t="s">
        <v>1</v>
      </c>
      <c r="B5" s="20" t="s">
        <v>20</v>
      </c>
      <c r="C5" s="38">
        <v>18</v>
      </c>
      <c r="D5" s="38">
        <v>19</v>
      </c>
      <c r="E5" s="59">
        <v>18</v>
      </c>
      <c r="F5" s="22">
        <f>SUM(C5:E5)</f>
        <v>55</v>
      </c>
      <c r="G5" s="37">
        <v>17</v>
      </c>
      <c r="H5" s="38">
        <v>16</v>
      </c>
      <c r="I5" s="38">
        <v>18</v>
      </c>
      <c r="J5" s="38">
        <v>17</v>
      </c>
      <c r="K5" s="38">
        <v>19</v>
      </c>
      <c r="L5" s="21">
        <v>15</v>
      </c>
      <c r="M5" s="22">
        <f>SUM(G5:L5)</f>
        <v>102</v>
      </c>
      <c r="N5" s="22">
        <f>SUM(M5,F5)</f>
        <v>157</v>
      </c>
    </row>
    <row r="6" spans="1:14">
      <c r="A6" s="1" t="s">
        <v>1</v>
      </c>
      <c r="B6" s="23" t="s">
        <v>21</v>
      </c>
      <c r="C6" s="40">
        <v>0</v>
      </c>
      <c r="D6" s="40">
        <v>0</v>
      </c>
      <c r="E6" s="60">
        <v>2</v>
      </c>
      <c r="F6" s="25">
        <f t="shared" ref="F6:F41" si="0">SUM(C6:E6)</f>
        <v>2</v>
      </c>
      <c r="G6" s="39">
        <v>3</v>
      </c>
      <c r="H6" s="40">
        <v>2</v>
      </c>
      <c r="I6" s="40">
        <v>2</v>
      </c>
      <c r="J6" s="40">
        <v>1</v>
      </c>
      <c r="K6" s="40">
        <v>4</v>
      </c>
      <c r="L6" s="24">
        <v>1</v>
      </c>
      <c r="M6" s="25">
        <f t="shared" ref="M6:M41" si="1">SUM(G6:L6)</f>
        <v>13</v>
      </c>
      <c r="N6" s="25">
        <f t="shared" ref="N6:N41" si="2">SUM(M6,F6)</f>
        <v>15</v>
      </c>
    </row>
    <row r="7" spans="1:14">
      <c r="A7" s="1" t="s">
        <v>1</v>
      </c>
      <c r="B7" s="23" t="s">
        <v>22</v>
      </c>
      <c r="C7" s="40">
        <v>0</v>
      </c>
      <c r="D7" s="40">
        <v>0</v>
      </c>
      <c r="E7" s="60">
        <v>2</v>
      </c>
      <c r="F7" s="25">
        <f t="shared" si="0"/>
        <v>2</v>
      </c>
      <c r="G7" s="39">
        <v>1</v>
      </c>
      <c r="H7" s="40">
        <v>5</v>
      </c>
      <c r="I7" s="40">
        <v>3</v>
      </c>
      <c r="J7" s="40">
        <v>3</v>
      </c>
      <c r="K7" s="40">
        <v>1</v>
      </c>
      <c r="L7" s="24">
        <v>3</v>
      </c>
      <c r="M7" s="25">
        <f t="shared" si="1"/>
        <v>16</v>
      </c>
      <c r="N7" s="25">
        <f t="shared" si="2"/>
        <v>18</v>
      </c>
    </row>
    <row r="8" spans="1:14">
      <c r="A8" s="1" t="s">
        <v>1</v>
      </c>
      <c r="B8" s="23" t="s">
        <v>23</v>
      </c>
      <c r="C8" s="40">
        <v>1</v>
      </c>
      <c r="D8" s="40">
        <v>0</v>
      </c>
      <c r="E8" s="60">
        <v>1</v>
      </c>
      <c r="F8" s="25">
        <f t="shared" si="0"/>
        <v>2</v>
      </c>
      <c r="G8" s="39">
        <v>2</v>
      </c>
      <c r="H8" s="40">
        <v>3</v>
      </c>
      <c r="I8" s="40">
        <v>1</v>
      </c>
      <c r="J8" s="40">
        <v>2</v>
      </c>
      <c r="K8" s="40">
        <v>0</v>
      </c>
      <c r="L8" s="24">
        <v>4</v>
      </c>
      <c r="M8" s="25">
        <f t="shared" si="1"/>
        <v>12</v>
      </c>
      <c r="N8" s="25">
        <f t="shared" si="2"/>
        <v>14</v>
      </c>
    </row>
    <row r="9" spans="1:14">
      <c r="A9" s="1" t="s">
        <v>1</v>
      </c>
      <c r="B9" s="23" t="s">
        <v>24</v>
      </c>
      <c r="C9" s="42">
        <v>0</v>
      </c>
      <c r="D9" s="42">
        <v>0</v>
      </c>
      <c r="E9" s="61">
        <v>0.125</v>
      </c>
      <c r="F9" s="27">
        <f t="shared" si="0"/>
        <v>0.125</v>
      </c>
      <c r="G9" s="41">
        <v>2.0833333333333335</v>
      </c>
      <c r="H9" s="42">
        <v>0.70833333333333337</v>
      </c>
      <c r="I9" s="42">
        <v>1.2083333333333333</v>
      </c>
      <c r="J9" s="42">
        <v>1.7083333333333335</v>
      </c>
      <c r="K9" s="42">
        <v>2.3333333333333335</v>
      </c>
      <c r="L9" s="26">
        <v>1.6666666666666665</v>
      </c>
      <c r="M9" s="27">
        <f t="shared" si="1"/>
        <v>9.7083333333333339</v>
      </c>
      <c r="N9" s="27">
        <f t="shared" si="2"/>
        <v>9.8333333333333339</v>
      </c>
    </row>
    <row r="10" spans="1:14">
      <c r="A10" s="1" t="s">
        <v>1</v>
      </c>
      <c r="B10" s="23" t="s">
        <v>25</v>
      </c>
      <c r="C10" s="42">
        <v>0</v>
      </c>
      <c r="D10" s="42">
        <v>0</v>
      </c>
      <c r="E10" s="61">
        <v>0.625</v>
      </c>
      <c r="F10" s="27">
        <f t="shared" si="0"/>
        <v>0.625</v>
      </c>
      <c r="G10" s="41">
        <v>1.3333333333333333</v>
      </c>
      <c r="H10" s="42">
        <v>0.66666666666666663</v>
      </c>
      <c r="I10" s="42">
        <v>0.75</v>
      </c>
      <c r="J10" s="42">
        <v>0.5</v>
      </c>
      <c r="K10" s="42">
        <v>1.5</v>
      </c>
      <c r="L10" s="26">
        <v>0.33333333333333331</v>
      </c>
      <c r="M10" s="27">
        <f t="shared" si="1"/>
        <v>5.083333333333333</v>
      </c>
      <c r="N10" s="27">
        <f t="shared" si="2"/>
        <v>5.708333333333333</v>
      </c>
    </row>
    <row r="11" spans="1:14">
      <c r="A11" s="1" t="s">
        <v>1</v>
      </c>
      <c r="B11" s="23" t="s">
        <v>26</v>
      </c>
      <c r="C11" s="42">
        <v>0</v>
      </c>
      <c r="D11" s="42">
        <v>0</v>
      </c>
      <c r="E11" s="61">
        <v>0.45833333333333331</v>
      </c>
      <c r="F11" s="27">
        <f t="shared" si="0"/>
        <v>0.45833333333333331</v>
      </c>
      <c r="G11" s="41">
        <v>0.54166666666666663</v>
      </c>
      <c r="H11" s="42">
        <v>1.75</v>
      </c>
      <c r="I11" s="42">
        <v>1.2083333333333333</v>
      </c>
      <c r="J11" s="42">
        <v>1.1666666666666667</v>
      </c>
      <c r="K11" s="42">
        <v>0.29166666666666669</v>
      </c>
      <c r="L11" s="26">
        <v>1.1666666666666667</v>
      </c>
      <c r="M11" s="27">
        <f t="shared" si="1"/>
        <v>6.1250000000000009</v>
      </c>
      <c r="N11" s="27">
        <f t="shared" si="2"/>
        <v>6.5833333333333339</v>
      </c>
    </row>
    <row r="12" spans="1:14">
      <c r="A12" s="1" t="s">
        <v>1</v>
      </c>
      <c r="B12" s="23" t="s">
        <v>27</v>
      </c>
      <c r="C12" s="42">
        <v>0</v>
      </c>
      <c r="D12" s="42">
        <v>0</v>
      </c>
      <c r="E12" s="61">
        <v>0.33333333333333331</v>
      </c>
      <c r="F12" s="27">
        <f t="shared" si="0"/>
        <v>0.33333333333333331</v>
      </c>
      <c r="G12" s="41">
        <v>0</v>
      </c>
      <c r="H12" s="42">
        <v>0</v>
      </c>
      <c r="I12" s="42">
        <v>0</v>
      </c>
      <c r="J12" s="42">
        <v>0</v>
      </c>
      <c r="K12" s="42">
        <v>0</v>
      </c>
      <c r="L12" s="26">
        <v>0</v>
      </c>
      <c r="M12" s="27">
        <f t="shared" si="1"/>
        <v>0</v>
      </c>
      <c r="N12" s="27">
        <f t="shared" si="2"/>
        <v>0.33333333333333331</v>
      </c>
    </row>
    <row r="13" spans="1:14">
      <c r="A13" s="1" t="s">
        <v>1</v>
      </c>
      <c r="B13" s="7" t="s">
        <v>28</v>
      </c>
      <c r="C13" s="44">
        <v>0.125</v>
      </c>
      <c r="D13" s="44">
        <v>0</v>
      </c>
      <c r="E13" s="62">
        <v>0</v>
      </c>
      <c r="F13" s="9">
        <f t="shared" si="0"/>
        <v>0.125</v>
      </c>
      <c r="G13" s="43">
        <v>1.625</v>
      </c>
      <c r="H13" s="44">
        <v>2.2916666666666665</v>
      </c>
      <c r="I13" s="44">
        <v>2.5</v>
      </c>
      <c r="J13" s="44">
        <v>1.5</v>
      </c>
      <c r="K13" s="44">
        <v>0.875</v>
      </c>
      <c r="L13" s="8">
        <v>0.91666666666666663</v>
      </c>
      <c r="M13" s="9">
        <f t="shared" si="1"/>
        <v>9.7083333333333321</v>
      </c>
      <c r="N13" s="9">
        <f t="shared" si="2"/>
        <v>9.8333333333333321</v>
      </c>
    </row>
    <row r="14" spans="1:14">
      <c r="A14" s="1" t="s">
        <v>1</v>
      </c>
      <c r="B14" s="15" t="s">
        <v>29</v>
      </c>
      <c r="C14" s="46">
        <v>27.5</v>
      </c>
      <c r="D14" s="46">
        <v>17.5</v>
      </c>
      <c r="E14" s="63">
        <v>17</v>
      </c>
      <c r="F14" s="19">
        <f t="shared" si="0"/>
        <v>62</v>
      </c>
      <c r="G14" s="45">
        <v>21</v>
      </c>
      <c r="H14" s="46">
        <v>18</v>
      </c>
      <c r="I14" s="46">
        <v>21</v>
      </c>
      <c r="J14" s="46">
        <v>19</v>
      </c>
      <c r="K14" s="46">
        <v>7</v>
      </c>
      <c r="L14" s="18">
        <v>2</v>
      </c>
      <c r="M14" s="19">
        <f t="shared" si="1"/>
        <v>88</v>
      </c>
      <c r="N14" s="19"/>
    </row>
    <row r="15" spans="1:14">
      <c r="A15" s="1" t="s">
        <v>1</v>
      </c>
      <c r="B15" s="28" t="s">
        <v>30</v>
      </c>
      <c r="C15" s="48">
        <v>365000</v>
      </c>
      <c r="D15" s="48">
        <v>365000</v>
      </c>
      <c r="E15" s="64">
        <v>170000</v>
      </c>
      <c r="F15" s="30">
        <f t="shared" si="0"/>
        <v>900000</v>
      </c>
      <c r="G15" s="47">
        <v>182000</v>
      </c>
      <c r="H15" s="48">
        <v>177000</v>
      </c>
      <c r="I15" s="48">
        <v>177000</v>
      </c>
      <c r="J15" s="48">
        <v>187000</v>
      </c>
      <c r="K15" s="48">
        <v>170000</v>
      </c>
      <c r="L15" s="29">
        <v>170000</v>
      </c>
      <c r="M15" s="30">
        <f t="shared" si="1"/>
        <v>1063000</v>
      </c>
      <c r="N15" s="30">
        <f t="shared" si="2"/>
        <v>1963000</v>
      </c>
    </row>
    <row r="16" spans="1:14">
      <c r="A16" s="1" t="s">
        <v>1</v>
      </c>
      <c r="B16" s="23" t="s">
        <v>31</v>
      </c>
      <c r="C16" s="50">
        <v>0</v>
      </c>
      <c r="D16" s="50">
        <v>0</v>
      </c>
      <c r="E16" s="65">
        <v>0</v>
      </c>
      <c r="F16" s="32">
        <f t="shared" si="0"/>
        <v>0</v>
      </c>
      <c r="G16" s="49">
        <v>5000</v>
      </c>
      <c r="H16" s="50">
        <v>0</v>
      </c>
      <c r="I16" s="50">
        <v>0</v>
      </c>
      <c r="J16" s="50">
        <v>0</v>
      </c>
      <c r="K16" s="50">
        <v>0</v>
      </c>
      <c r="L16" s="31">
        <v>0</v>
      </c>
      <c r="M16" s="32">
        <f t="shared" si="1"/>
        <v>5000</v>
      </c>
      <c r="N16" s="32">
        <f t="shared" si="2"/>
        <v>5000</v>
      </c>
    </row>
    <row r="17" spans="1:14">
      <c r="A17" s="1" t="s">
        <v>1</v>
      </c>
      <c r="B17" s="23" t="s">
        <v>32</v>
      </c>
      <c r="C17" s="50">
        <v>0</v>
      </c>
      <c r="D17" s="50">
        <v>0</v>
      </c>
      <c r="E17" s="65">
        <v>6000</v>
      </c>
      <c r="F17" s="32">
        <f t="shared" si="0"/>
        <v>6000</v>
      </c>
      <c r="G17" s="49">
        <v>6000</v>
      </c>
      <c r="H17" s="50">
        <v>10000</v>
      </c>
      <c r="I17" s="50">
        <v>0</v>
      </c>
      <c r="J17" s="50">
        <v>0</v>
      </c>
      <c r="K17" s="50">
        <v>0</v>
      </c>
      <c r="L17" s="31">
        <v>0</v>
      </c>
      <c r="M17" s="32">
        <f t="shared" si="1"/>
        <v>16000</v>
      </c>
      <c r="N17" s="32">
        <f t="shared" si="2"/>
        <v>22000</v>
      </c>
    </row>
    <row r="18" spans="1:14">
      <c r="A18" s="1" t="s">
        <v>1</v>
      </c>
      <c r="B18" s="23" t="s">
        <v>33</v>
      </c>
      <c r="C18" s="50">
        <v>0</v>
      </c>
      <c r="D18" s="50">
        <v>0</v>
      </c>
      <c r="E18" s="65">
        <v>0</v>
      </c>
      <c r="F18" s="32">
        <f t="shared" si="0"/>
        <v>0</v>
      </c>
      <c r="G18" s="49">
        <v>8928</v>
      </c>
      <c r="H18" s="50">
        <v>0</v>
      </c>
      <c r="I18" s="50">
        <v>0</v>
      </c>
      <c r="J18" s="50">
        <v>7845</v>
      </c>
      <c r="K18" s="50">
        <v>0</v>
      </c>
      <c r="L18" s="31">
        <v>0</v>
      </c>
      <c r="M18" s="32">
        <f t="shared" si="1"/>
        <v>16773</v>
      </c>
      <c r="N18" s="32">
        <f t="shared" si="2"/>
        <v>16773</v>
      </c>
    </row>
    <row r="19" spans="1:14">
      <c r="A19" s="1" t="s">
        <v>1</v>
      </c>
      <c r="B19" s="23" t="s">
        <v>34</v>
      </c>
      <c r="C19" s="50">
        <v>0</v>
      </c>
      <c r="D19" s="50">
        <v>0</v>
      </c>
      <c r="E19" s="65">
        <v>0</v>
      </c>
      <c r="F19" s="32">
        <f t="shared" si="0"/>
        <v>0</v>
      </c>
      <c r="G19" s="49">
        <v>3500</v>
      </c>
      <c r="H19" s="50">
        <v>3500</v>
      </c>
      <c r="I19" s="50">
        <v>3500</v>
      </c>
      <c r="J19" s="50">
        <v>3500</v>
      </c>
      <c r="K19" s="50">
        <v>2000</v>
      </c>
      <c r="L19" s="31">
        <v>2000</v>
      </c>
      <c r="M19" s="32">
        <f t="shared" si="1"/>
        <v>18000</v>
      </c>
      <c r="N19" s="32">
        <f t="shared" si="2"/>
        <v>18000</v>
      </c>
    </row>
    <row r="20" spans="1:14">
      <c r="A20" s="1" t="s">
        <v>1</v>
      </c>
      <c r="B20" s="23" t="s">
        <v>35</v>
      </c>
      <c r="C20" s="50">
        <v>0</v>
      </c>
      <c r="D20" s="50">
        <v>0</v>
      </c>
      <c r="E20" s="65">
        <v>0</v>
      </c>
      <c r="F20" s="32">
        <f t="shared" si="0"/>
        <v>0</v>
      </c>
      <c r="G20" s="49">
        <v>0</v>
      </c>
      <c r="H20" s="50">
        <v>12600</v>
      </c>
      <c r="I20" s="50">
        <v>0</v>
      </c>
      <c r="J20" s="50">
        <v>0</v>
      </c>
      <c r="K20" s="50">
        <v>0</v>
      </c>
      <c r="L20" s="31">
        <v>0</v>
      </c>
      <c r="M20" s="32">
        <f t="shared" si="1"/>
        <v>12600</v>
      </c>
      <c r="N20" s="32">
        <f t="shared" si="2"/>
        <v>12600</v>
      </c>
    </row>
    <row r="21" spans="1:14">
      <c r="A21" s="1" t="s">
        <v>1</v>
      </c>
      <c r="B21" s="23" t="s">
        <v>24</v>
      </c>
      <c r="C21" s="50">
        <v>0</v>
      </c>
      <c r="D21" s="50">
        <v>0</v>
      </c>
      <c r="E21" s="65">
        <v>4518</v>
      </c>
      <c r="F21" s="32">
        <f t="shared" si="0"/>
        <v>4518</v>
      </c>
      <c r="G21" s="49">
        <v>73550</v>
      </c>
      <c r="H21" s="50">
        <v>25840</v>
      </c>
      <c r="I21" s="50">
        <v>39179</v>
      </c>
      <c r="J21" s="50">
        <v>58466</v>
      </c>
      <c r="K21" s="50">
        <v>72128</v>
      </c>
      <c r="L21" s="31">
        <v>51520</v>
      </c>
      <c r="M21" s="32">
        <f t="shared" si="1"/>
        <v>320683</v>
      </c>
      <c r="N21" s="32">
        <f t="shared" si="2"/>
        <v>325201</v>
      </c>
    </row>
    <row r="22" spans="1:14">
      <c r="A22" s="1" t="s">
        <v>1</v>
      </c>
      <c r="B22" s="23" t="s">
        <v>36</v>
      </c>
      <c r="C22" s="50">
        <v>0</v>
      </c>
      <c r="D22" s="50">
        <v>0</v>
      </c>
      <c r="E22" s="65">
        <v>24405</v>
      </c>
      <c r="F22" s="32">
        <f t="shared" si="0"/>
        <v>24405</v>
      </c>
      <c r="G22" s="49">
        <v>50848</v>
      </c>
      <c r="H22" s="50">
        <v>26272</v>
      </c>
      <c r="I22" s="50">
        <v>26262</v>
      </c>
      <c r="J22" s="50">
        <v>18480</v>
      </c>
      <c r="K22" s="50">
        <v>50076</v>
      </c>
      <c r="L22" s="31">
        <v>11128</v>
      </c>
      <c r="M22" s="32">
        <f t="shared" si="1"/>
        <v>183066</v>
      </c>
      <c r="N22" s="32">
        <f t="shared" si="2"/>
        <v>207471</v>
      </c>
    </row>
    <row r="23" spans="1:14">
      <c r="A23" s="1" t="s">
        <v>1</v>
      </c>
      <c r="B23" s="23" t="s">
        <v>37</v>
      </c>
      <c r="C23" s="50">
        <v>0</v>
      </c>
      <c r="D23" s="50">
        <v>0</v>
      </c>
      <c r="E23" s="65">
        <v>17897</v>
      </c>
      <c r="F23" s="32">
        <f t="shared" si="0"/>
        <v>17897</v>
      </c>
      <c r="G23" s="49">
        <v>20657</v>
      </c>
      <c r="H23" s="50">
        <v>68964</v>
      </c>
      <c r="I23" s="50">
        <v>42311</v>
      </c>
      <c r="J23" s="50">
        <v>43120</v>
      </c>
      <c r="K23" s="50">
        <v>9737</v>
      </c>
      <c r="L23" s="31">
        <v>38948</v>
      </c>
      <c r="M23" s="32">
        <f t="shared" si="1"/>
        <v>223737</v>
      </c>
      <c r="N23" s="32">
        <f t="shared" si="2"/>
        <v>241634</v>
      </c>
    </row>
    <row r="24" spans="1:14">
      <c r="A24" s="1" t="s">
        <v>1</v>
      </c>
      <c r="B24" s="23" t="s">
        <v>27</v>
      </c>
      <c r="C24" s="50">
        <v>0</v>
      </c>
      <c r="D24" s="50">
        <v>0</v>
      </c>
      <c r="E24" s="65">
        <v>9640</v>
      </c>
      <c r="F24" s="32">
        <f t="shared" si="0"/>
        <v>9640</v>
      </c>
      <c r="G24" s="49">
        <v>0</v>
      </c>
      <c r="H24" s="50">
        <v>0</v>
      </c>
      <c r="I24" s="50">
        <v>0</v>
      </c>
      <c r="J24" s="50">
        <v>0</v>
      </c>
      <c r="K24" s="50">
        <v>0</v>
      </c>
      <c r="L24" s="31">
        <v>0</v>
      </c>
      <c r="M24" s="32">
        <f t="shared" si="1"/>
        <v>0</v>
      </c>
      <c r="N24" s="32">
        <f t="shared" si="2"/>
        <v>9640</v>
      </c>
    </row>
    <row r="25" spans="1:14">
      <c r="A25" s="1" t="s">
        <v>1</v>
      </c>
      <c r="B25" s="7" t="s">
        <v>28</v>
      </c>
      <c r="C25" s="52">
        <v>1641</v>
      </c>
      <c r="D25" s="52">
        <v>0</v>
      </c>
      <c r="E25" s="66">
        <v>0</v>
      </c>
      <c r="F25" s="11">
        <f t="shared" si="0"/>
        <v>1641</v>
      </c>
      <c r="G25" s="51">
        <v>11466</v>
      </c>
      <c r="H25" s="52">
        <v>16720</v>
      </c>
      <c r="I25" s="52">
        <v>16200</v>
      </c>
      <c r="J25" s="52">
        <v>10260</v>
      </c>
      <c r="K25" s="52">
        <v>5418</v>
      </c>
      <c r="L25" s="10">
        <v>5676</v>
      </c>
      <c r="M25" s="11">
        <f t="shared" si="1"/>
        <v>65740</v>
      </c>
      <c r="N25" s="11">
        <f t="shared" si="2"/>
        <v>67381</v>
      </c>
    </row>
    <row r="26" spans="1:14">
      <c r="A26" s="1" t="s">
        <v>1</v>
      </c>
      <c r="B26" s="15" t="s">
        <v>38</v>
      </c>
      <c r="C26" s="54">
        <v>366641</v>
      </c>
      <c r="D26" s="54">
        <v>365000</v>
      </c>
      <c r="E26" s="67">
        <v>232460</v>
      </c>
      <c r="F26" s="17">
        <f t="shared" si="0"/>
        <v>964101</v>
      </c>
      <c r="G26" s="53">
        <v>361949</v>
      </c>
      <c r="H26" s="54">
        <v>340896</v>
      </c>
      <c r="I26" s="54">
        <v>304452</v>
      </c>
      <c r="J26" s="54">
        <v>328671</v>
      </c>
      <c r="K26" s="54">
        <v>309359</v>
      </c>
      <c r="L26" s="16">
        <v>279272</v>
      </c>
      <c r="M26" s="17">
        <f t="shared" si="1"/>
        <v>1924599</v>
      </c>
      <c r="N26" s="17">
        <f t="shared" si="2"/>
        <v>2888700</v>
      </c>
    </row>
    <row r="27" spans="1:14">
      <c r="A27" s="1" t="s">
        <v>1</v>
      </c>
      <c r="B27" s="28" t="s">
        <v>39</v>
      </c>
      <c r="C27" s="48">
        <v>6061</v>
      </c>
      <c r="D27" s="48">
        <v>14135</v>
      </c>
      <c r="E27" s="64">
        <v>540</v>
      </c>
      <c r="F27" s="30">
        <f t="shared" si="0"/>
        <v>20736</v>
      </c>
      <c r="G27" s="47">
        <v>7730</v>
      </c>
      <c r="H27" s="48">
        <v>2258</v>
      </c>
      <c r="I27" s="48">
        <v>2258</v>
      </c>
      <c r="J27" s="48">
        <v>9791</v>
      </c>
      <c r="K27" s="48">
        <v>7068</v>
      </c>
      <c r="L27" s="29">
        <v>933</v>
      </c>
      <c r="M27" s="30">
        <f t="shared" si="1"/>
        <v>30038</v>
      </c>
      <c r="N27" s="30">
        <f t="shared" si="2"/>
        <v>50774</v>
      </c>
    </row>
    <row r="28" spans="1:14">
      <c r="A28" s="1" t="s">
        <v>1</v>
      </c>
      <c r="B28" s="7" t="s">
        <v>40</v>
      </c>
      <c r="C28" s="52">
        <v>6061</v>
      </c>
      <c r="D28" s="52">
        <v>14135</v>
      </c>
      <c r="E28" s="66">
        <v>540</v>
      </c>
      <c r="F28" s="11">
        <f t="shared" si="0"/>
        <v>20736</v>
      </c>
      <c r="G28" s="51">
        <v>7730</v>
      </c>
      <c r="H28" s="52">
        <v>2258</v>
      </c>
      <c r="I28" s="52">
        <v>2258</v>
      </c>
      <c r="J28" s="52">
        <v>9791</v>
      </c>
      <c r="K28" s="52">
        <v>7068</v>
      </c>
      <c r="L28" s="10">
        <v>933</v>
      </c>
      <c r="M28" s="11">
        <f t="shared" si="1"/>
        <v>30038</v>
      </c>
      <c r="N28" s="11">
        <f t="shared" si="2"/>
        <v>50774</v>
      </c>
    </row>
    <row r="29" spans="1:14">
      <c r="A29" s="1" t="s">
        <v>1</v>
      </c>
      <c r="B29" s="15" t="s">
        <v>41</v>
      </c>
      <c r="C29" s="54">
        <v>372702</v>
      </c>
      <c r="D29" s="54">
        <v>379135</v>
      </c>
      <c r="E29" s="67">
        <v>233000</v>
      </c>
      <c r="F29" s="17">
        <f t="shared" si="0"/>
        <v>984837</v>
      </c>
      <c r="G29" s="53">
        <v>369679</v>
      </c>
      <c r="H29" s="54">
        <v>343154</v>
      </c>
      <c r="I29" s="54">
        <v>306710</v>
      </c>
      <c r="J29" s="54">
        <v>338462</v>
      </c>
      <c r="K29" s="54">
        <v>316427</v>
      </c>
      <c r="L29" s="16">
        <v>280205</v>
      </c>
      <c r="M29" s="17">
        <f t="shared" si="1"/>
        <v>1954637</v>
      </c>
      <c r="N29" s="17">
        <f t="shared" si="2"/>
        <v>2939474</v>
      </c>
    </row>
    <row r="30" spans="1:14">
      <c r="A30" s="1" t="s">
        <v>1</v>
      </c>
      <c r="B30" s="28" t="s">
        <v>42</v>
      </c>
      <c r="C30" s="48">
        <v>18360</v>
      </c>
      <c r="D30" s="48">
        <v>19380</v>
      </c>
      <c r="E30" s="64">
        <v>11220</v>
      </c>
      <c r="F30" s="30">
        <f t="shared" si="0"/>
        <v>48960</v>
      </c>
      <c r="G30" s="47">
        <v>16320</v>
      </c>
      <c r="H30" s="48">
        <v>15300</v>
      </c>
      <c r="I30" s="48">
        <v>14280</v>
      </c>
      <c r="J30" s="48">
        <v>17340</v>
      </c>
      <c r="K30" s="48">
        <v>14280</v>
      </c>
      <c r="L30" s="29">
        <v>15300</v>
      </c>
      <c r="M30" s="30">
        <f t="shared" si="1"/>
        <v>92820</v>
      </c>
      <c r="N30" s="30">
        <f t="shared" si="2"/>
        <v>141780</v>
      </c>
    </row>
    <row r="31" spans="1:14">
      <c r="A31" s="1" t="s">
        <v>1</v>
      </c>
      <c r="B31" s="23" t="s">
        <v>43</v>
      </c>
      <c r="C31" s="50">
        <v>3240</v>
      </c>
      <c r="D31" s="50">
        <v>3420</v>
      </c>
      <c r="E31" s="65">
        <v>0</v>
      </c>
      <c r="F31" s="32">
        <f t="shared" si="0"/>
        <v>6660</v>
      </c>
      <c r="G31" s="49">
        <v>2880</v>
      </c>
      <c r="H31" s="50">
        <v>2700</v>
      </c>
      <c r="I31" s="50">
        <v>2520</v>
      </c>
      <c r="J31" s="50">
        <v>3060</v>
      </c>
      <c r="K31" s="50">
        <v>2520</v>
      </c>
      <c r="L31" s="31">
        <v>2700</v>
      </c>
      <c r="M31" s="32">
        <f t="shared" si="1"/>
        <v>16380</v>
      </c>
      <c r="N31" s="32">
        <f t="shared" si="2"/>
        <v>23040</v>
      </c>
    </row>
    <row r="32" spans="1:14">
      <c r="A32" s="1" t="s">
        <v>1</v>
      </c>
      <c r="B32" s="23" t="s">
        <v>44</v>
      </c>
      <c r="C32" s="50">
        <v>32940</v>
      </c>
      <c r="D32" s="50">
        <v>34770</v>
      </c>
      <c r="E32" s="65">
        <v>20130</v>
      </c>
      <c r="F32" s="32">
        <f t="shared" si="0"/>
        <v>87840</v>
      </c>
      <c r="G32" s="49">
        <v>29280</v>
      </c>
      <c r="H32" s="50">
        <v>27450</v>
      </c>
      <c r="I32" s="50">
        <v>25620</v>
      </c>
      <c r="J32" s="50">
        <v>31110</v>
      </c>
      <c r="K32" s="50">
        <v>25620</v>
      </c>
      <c r="L32" s="31">
        <v>27450</v>
      </c>
      <c r="M32" s="32">
        <f t="shared" si="1"/>
        <v>166530</v>
      </c>
      <c r="N32" s="32">
        <f t="shared" si="2"/>
        <v>254370</v>
      </c>
    </row>
    <row r="33" spans="1:14">
      <c r="A33" s="1" t="s">
        <v>1</v>
      </c>
      <c r="B33" s="7" t="s">
        <v>45</v>
      </c>
      <c r="C33" s="52">
        <v>2236</v>
      </c>
      <c r="D33" s="52">
        <v>2275</v>
      </c>
      <c r="E33" s="66">
        <v>1398</v>
      </c>
      <c r="F33" s="11">
        <f t="shared" si="0"/>
        <v>5909</v>
      </c>
      <c r="G33" s="51">
        <v>2218</v>
      </c>
      <c r="H33" s="52">
        <v>2059</v>
      </c>
      <c r="I33" s="52">
        <v>1840</v>
      </c>
      <c r="J33" s="52">
        <v>2031</v>
      </c>
      <c r="K33" s="52">
        <v>1899</v>
      </c>
      <c r="L33" s="10">
        <v>1681</v>
      </c>
      <c r="M33" s="11">
        <f t="shared" si="1"/>
        <v>11728</v>
      </c>
      <c r="N33" s="11">
        <f t="shared" si="2"/>
        <v>17637</v>
      </c>
    </row>
    <row r="34" spans="1:14">
      <c r="A34" s="1" t="s">
        <v>1</v>
      </c>
      <c r="B34" s="15" t="s">
        <v>46</v>
      </c>
      <c r="C34" s="54">
        <v>56776</v>
      </c>
      <c r="D34" s="54">
        <v>59845</v>
      </c>
      <c r="E34" s="67">
        <v>32748</v>
      </c>
      <c r="F34" s="17">
        <f t="shared" si="0"/>
        <v>149369</v>
      </c>
      <c r="G34" s="53">
        <v>50698</v>
      </c>
      <c r="H34" s="54">
        <v>47509</v>
      </c>
      <c r="I34" s="54">
        <v>44260</v>
      </c>
      <c r="J34" s="54">
        <v>53541</v>
      </c>
      <c r="K34" s="54">
        <v>44319</v>
      </c>
      <c r="L34" s="16">
        <v>47131</v>
      </c>
      <c r="M34" s="17">
        <f t="shared" si="1"/>
        <v>287458</v>
      </c>
      <c r="N34" s="17">
        <f t="shared" si="2"/>
        <v>436827</v>
      </c>
    </row>
    <row r="35" spans="1:14">
      <c r="A35" s="1" t="s">
        <v>1</v>
      </c>
      <c r="B35" s="28" t="s">
        <v>47</v>
      </c>
      <c r="C35" s="48">
        <v>9190</v>
      </c>
      <c r="D35" s="48">
        <v>8800</v>
      </c>
      <c r="E35" s="64">
        <v>4750</v>
      </c>
      <c r="F35" s="30">
        <f t="shared" si="0"/>
        <v>22740</v>
      </c>
      <c r="G35" s="47">
        <v>5560</v>
      </c>
      <c r="H35" s="48">
        <v>6490</v>
      </c>
      <c r="I35" s="48">
        <v>6920</v>
      </c>
      <c r="J35" s="48">
        <v>7450</v>
      </c>
      <c r="K35" s="48">
        <v>7090</v>
      </c>
      <c r="L35" s="29">
        <v>4300</v>
      </c>
      <c r="M35" s="30">
        <f t="shared" si="1"/>
        <v>37810</v>
      </c>
      <c r="N35" s="30">
        <f t="shared" si="2"/>
        <v>60550</v>
      </c>
    </row>
    <row r="36" spans="1:14">
      <c r="A36" s="1" t="s">
        <v>1</v>
      </c>
      <c r="B36" s="23" t="s">
        <v>48</v>
      </c>
      <c r="C36" s="50">
        <v>18900</v>
      </c>
      <c r="D36" s="50">
        <v>18400</v>
      </c>
      <c r="E36" s="65">
        <v>8200</v>
      </c>
      <c r="F36" s="32">
        <f t="shared" si="0"/>
        <v>45500</v>
      </c>
      <c r="G36" s="49">
        <v>10200</v>
      </c>
      <c r="H36" s="50">
        <v>7100</v>
      </c>
      <c r="I36" s="50">
        <v>12900</v>
      </c>
      <c r="J36" s="50">
        <v>15300</v>
      </c>
      <c r="K36" s="50">
        <v>11800</v>
      </c>
      <c r="L36" s="31">
        <v>11000</v>
      </c>
      <c r="M36" s="32">
        <f t="shared" si="1"/>
        <v>68300</v>
      </c>
      <c r="N36" s="32">
        <f t="shared" si="2"/>
        <v>113800</v>
      </c>
    </row>
    <row r="37" spans="1:14">
      <c r="A37" s="1" t="s">
        <v>1</v>
      </c>
      <c r="B37" s="7" t="s">
        <v>49</v>
      </c>
      <c r="C37" s="52">
        <v>8150</v>
      </c>
      <c r="D37" s="52">
        <v>0</v>
      </c>
      <c r="E37" s="66">
        <v>0</v>
      </c>
      <c r="F37" s="11">
        <f t="shared" si="0"/>
        <v>8150</v>
      </c>
      <c r="G37" s="51">
        <v>0</v>
      </c>
      <c r="H37" s="52">
        <v>0</v>
      </c>
      <c r="I37" s="52">
        <v>0</v>
      </c>
      <c r="J37" s="52">
        <v>0</v>
      </c>
      <c r="K37" s="52">
        <v>0</v>
      </c>
      <c r="L37" s="10">
        <v>0</v>
      </c>
      <c r="M37" s="11">
        <f t="shared" si="1"/>
        <v>0</v>
      </c>
      <c r="N37" s="11">
        <f t="shared" si="2"/>
        <v>8150</v>
      </c>
    </row>
    <row r="38" spans="1:14">
      <c r="A38" s="1" t="s">
        <v>1</v>
      </c>
      <c r="B38" s="15" t="s">
        <v>50</v>
      </c>
      <c r="C38" s="54">
        <v>93016</v>
      </c>
      <c r="D38" s="54">
        <v>87045</v>
      </c>
      <c r="E38" s="67">
        <v>45698</v>
      </c>
      <c r="F38" s="17">
        <f t="shared" si="0"/>
        <v>225759</v>
      </c>
      <c r="G38" s="53">
        <v>66458</v>
      </c>
      <c r="H38" s="54">
        <v>61099</v>
      </c>
      <c r="I38" s="54">
        <v>64080</v>
      </c>
      <c r="J38" s="54">
        <v>76291</v>
      </c>
      <c r="K38" s="54">
        <v>63209</v>
      </c>
      <c r="L38" s="16">
        <v>62431</v>
      </c>
      <c r="M38" s="17">
        <f t="shared" si="1"/>
        <v>393568</v>
      </c>
      <c r="N38" s="17">
        <f t="shared" si="2"/>
        <v>619327</v>
      </c>
    </row>
    <row r="39" spans="1:14">
      <c r="A39" s="1" t="s">
        <v>1</v>
      </c>
      <c r="B39" s="15" t="s">
        <v>51</v>
      </c>
      <c r="C39" s="54">
        <v>309865</v>
      </c>
      <c r="D39" s="54">
        <v>305155</v>
      </c>
      <c r="E39" s="67">
        <v>199712</v>
      </c>
      <c r="F39" s="17">
        <f t="shared" si="0"/>
        <v>814732</v>
      </c>
      <c r="G39" s="53">
        <v>311251</v>
      </c>
      <c r="H39" s="54">
        <v>293387</v>
      </c>
      <c r="I39" s="54">
        <v>260192</v>
      </c>
      <c r="J39" s="54">
        <v>275130</v>
      </c>
      <c r="K39" s="54">
        <v>265040</v>
      </c>
      <c r="L39" s="16">
        <v>232141</v>
      </c>
      <c r="M39" s="17">
        <f t="shared" si="1"/>
        <v>1637141</v>
      </c>
      <c r="N39" s="17">
        <f t="shared" si="2"/>
        <v>2451873</v>
      </c>
    </row>
    <row r="40" spans="1:14">
      <c r="A40" s="1" t="s">
        <v>1</v>
      </c>
      <c r="B40" s="15" t="s">
        <v>52</v>
      </c>
      <c r="C40" s="54">
        <v>279686</v>
      </c>
      <c r="D40" s="54">
        <v>292090</v>
      </c>
      <c r="E40" s="67">
        <v>187302</v>
      </c>
      <c r="F40" s="17">
        <f t="shared" si="0"/>
        <v>759078</v>
      </c>
      <c r="G40" s="53">
        <v>303221</v>
      </c>
      <c r="H40" s="54">
        <v>282055</v>
      </c>
      <c r="I40" s="54">
        <v>242630</v>
      </c>
      <c r="J40" s="54">
        <v>262171</v>
      </c>
      <c r="K40" s="54">
        <v>253218</v>
      </c>
      <c r="L40" s="16">
        <v>217774</v>
      </c>
      <c r="M40" s="17">
        <f t="shared" si="1"/>
        <v>1561069</v>
      </c>
      <c r="N40" s="17">
        <f t="shared" si="2"/>
        <v>2320147</v>
      </c>
    </row>
    <row r="41" spans="1:14">
      <c r="A41" s="1" t="s">
        <v>1</v>
      </c>
      <c r="B41" s="15" t="s">
        <v>53</v>
      </c>
      <c r="C41" s="54">
        <v>279686</v>
      </c>
      <c r="D41" s="54">
        <v>292090</v>
      </c>
      <c r="E41" s="67">
        <v>187302</v>
      </c>
      <c r="F41" s="17">
        <f t="shared" si="0"/>
        <v>759078</v>
      </c>
      <c r="G41" s="53">
        <v>303221</v>
      </c>
      <c r="H41" s="54">
        <v>282055</v>
      </c>
      <c r="I41" s="54">
        <v>242630</v>
      </c>
      <c r="J41" s="54">
        <v>262171</v>
      </c>
      <c r="K41" s="54">
        <v>253218</v>
      </c>
      <c r="L41" s="16">
        <v>217774</v>
      </c>
      <c r="M41" s="17">
        <f t="shared" si="1"/>
        <v>1561069</v>
      </c>
      <c r="N41" s="17">
        <f t="shared" si="2"/>
        <v>2320147</v>
      </c>
    </row>
    <row r="42" spans="1:14">
      <c r="A42" s="1" t="s">
        <v>1</v>
      </c>
      <c r="B42" s="15" t="s">
        <v>54</v>
      </c>
      <c r="C42" s="54">
        <v>0</v>
      </c>
      <c r="D42" s="54">
        <v>0</v>
      </c>
      <c r="E42" s="67">
        <v>0</v>
      </c>
      <c r="F42" s="17"/>
      <c r="G42" s="53">
        <v>2</v>
      </c>
      <c r="H42" s="54">
        <v>1</v>
      </c>
      <c r="I42" s="54">
        <v>0</v>
      </c>
      <c r="J42" s="54">
        <v>0</v>
      </c>
      <c r="K42" s="54">
        <v>0</v>
      </c>
      <c r="L42" s="16">
        <v>1</v>
      </c>
      <c r="M42" s="17"/>
      <c r="N42" s="17"/>
    </row>
    <row r="43" spans="1:14" ht="19.5" thickBot="1">
      <c r="A43" s="1" t="s">
        <v>1</v>
      </c>
      <c r="B43" s="12" t="s">
        <v>55</v>
      </c>
      <c r="C43" s="56" t="s">
        <v>56</v>
      </c>
      <c r="D43" s="56" t="s">
        <v>56</v>
      </c>
      <c r="E43" s="68" t="s">
        <v>56</v>
      </c>
      <c r="F43" s="14"/>
      <c r="G43" s="55" t="s">
        <v>56</v>
      </c>
      <c r="H43" s="56" t="s">
        <v>56</v>
      </c>
      <c r="I43" s="56" t="s">
        <v>56</v>
      </c>
      <c r="J43" s="56" t="s">
        <v>56</v>
      </c>
      <c r="K43" s="56" t="s">
        <v>56</v>
      </c>
      <c r="L43" s="13" t="s">
        <v>56</v>
      </c>
      <c r="M43" s="14"/>
      <c r="N43" s="14"/>
    </row>
  </sheetData>
  <phoneticPr fontId="4"/>
  <pageMargins left="0.31496062992125984" right="0.11811023622047245" top="0.35433070866141736" bottom="0.35433070866141736" header="0.11811023622047245" footer="0.31496062992125984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2月度給与 (2)</vt:lpstr>
      <vt:lpstr>'2024年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2024-03-07T06:23:59Z</cp:lastPrinted>
  <dcterms:created xsi:type="dcterms:W3CDTF">2024-03-07T04:36:01Z</dcterms:created>
  <dcterms:modified xsi:type="dcterms:W3CDTF">2024-03-11T00:36:58Z</dcterms:modified>
</cp:coreProperties>
</file>