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2\"/>
    </mc:Choice>
  </mc:AlternateContent>
  <xr:revisionPtr revIDLastSave="0" documentId="13_ncr:1_{B97DFE91-980D-41CE-8560-5240F380F804}" xr6:coauthVersionLast="47" xr6:coauthVersionMax="47" xr10:uidLastSave="{00000000-0000-0000-0000-000000000000}"/>
  <bookViews>
    <workbookView xWindow="-120" yWindow="-120" windowWidth="20730" windowHeight="11160" xr2:uid="{AFFABD58-0008-4167-A95C-03451A6CAA32}"/>
  </bookViews>
  <sheets>
    <sheet name="2024年2月度給与 (2)" sheetId="3" r:id="rId1"/>
  </sheets>
  <definedNames>
    <definedName name="_xlnm.Print_Area" localSheetId="0">'2024年2月度給与 (2)'!$A$1:$L$43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3" l="1"/>
  <c r="K7" i="3"/>
  <c r="L7" i="3" s="1"/>
  <c r="K8" i="3"/>
  <c r="L8" i="3" s="1"/>
  <c r="K9" i="3"/>
  <c r="L9" i="3" s="1"/>
  <c r="K10" i="3"/>
  <c r="K11" i="3"/>
  <c r="L11" i="3" s="1"/>
  <c r="K12" i="3"/>
  <c r="L12" i="3" s="1"/>
  <c r="K13" i="3"/>
  <c r="L13" i="3" s="1"/>
  <c r="K14" i="3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6" i="3"/>
  <c r="L6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6" i="3"/>
</calcChain>
</file>

<file path=xl/sharedStrings.xml><?xml version="1.0" encoding="utf-8"?>
<sst xmlns="http://schemas.openxmlformats.org/spreadsheetml/2006/main" count="107" uniqueCount="60">
  <si>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</si>
  <si>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</si>
  <si>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</si>
  <si>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</si>
  <si>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</si>
  <si>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</si>
  <si>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1113</t>
    <phoneticPr fontId="4"/>
  </si>
  <si>
    <t>1114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</si>
  <si>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</si>
  <si>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</si>
  <si>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</si>
  <si>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</si>
  <si>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</si>
  <si>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</si>
  <si>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伊藤憲男</t>
    <phoneticPr fontId="4"/>
  </si>
  <si>
    <t>吉田亨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</si>
  <si>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</si>
  <si>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</si>
  <si>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</si>
  <si>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</si>
  <si>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</si>
  <si>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</si>
  <si>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</si>
  <si>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</si>
  <si>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</si>
  <si>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</si>
  <si>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</si>
  <si>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</si>
  <si>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</si>
  <si>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</si>
  <si>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</si>
  <si>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</si>
  <si>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</si>
  <si>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</si>
  <si>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</si>
  <si>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</si>
  <si>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</si>
  <si>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</si>
  <si>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</si>
  <si>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</si>
  <si>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</si>
  <si>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</si>
  <si>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</si>
  <si>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</si>
  <si>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</si>
  <si>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</si>
  <si>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</si>
  <si>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</si>
  <si>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</si>
  <si>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</si>
  <si>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</si>
  <si>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</si>
  <si>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</si>
  <si>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</si>
  <si>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</si>
  <si>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</si>
  <si>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</si>
  <si>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</si>
  <si>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５名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</si>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</sst>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0" fontId="2" fillId="0" borderId="6" xfId="1" applyFont="1" applyBorder="1" applyAlignment="1">
      <alignment horizontal="left"/>
    </xf>
    <xf numFmtId="0" fontId="2" fillId="0" borderId="7" xfId="1" applyFont="1" applyBorder="1"/>
    <xf numFmtId="0" fontId="2" fillId="0" borderId="6" xfId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0" fontId="2" fillId="0" borderId="24" xfId="1" applyFont="1" applyBorder="1"/>
    <xf numFmtId="0" fontId="2" fillId="0" borderId="25" xfId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0" fontId="2" fillId="0" borderId="33" xfId="1" applyFont="1" applyBorder="1"/>
    <xf numFmtId="49" fontId="2" fillId="0" borderId="29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390C5E2D-C059-4403-AA19-5234F5B39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D2DB-8EC1-4EFA-BB7B-4AFC3BEFAA03}">
  <sheetPr>
    <pageSetUpPr fitToPage="1"/>
  </sheetPr>
  <dimension ref="A1:L43"/>
  <sheetViews>
    <sheetView tabSelected="1" workbookViewId="0">
      <pane xSplit="2" ySplit="5" topLeftCell="C6" activePane="bottomRight" state="frozen"/>
      <selection pane="topRight" activeCell="C1" sqref="C1"/>
      <selection pane="bottomLeft" activeCell="A9" sqref="A9"/>
      <selection pane="bottomRight"/>
    </sheetView>
  </sheetViews>
  <sheetFormatPr defaultRowHeight="18.75"/>
  <cols>
    <col min="1" max="1" width="2.375" style="2" customWidth="1"/>
    <col min="2" max="2" width="13.25" style="2" bestFit="1" customWidth="1"/>
    <col min="3" max="12" width="12.125" style="2" customWidth="1"/>
    <col min="13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3" width="11.125" style="2" bestFit="1" customWidth="1"/>
    <col min="264" max="264" width="9" style="2"/>
    <col min="265" max="265" width="8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19" width="11.125" style="2" bestFit="1" customWidth="1"/>
    <col min="520" max="520" width="9" style="2"/>
    <col min="521" max="521" width="8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5" width="11.125" style="2" bestFit="1" customWidth="1"/>
    <col min="776" max="776" width="9" style="2"/>
    <col min="777" max="777" width="8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1" width="11.125" style="2" bestFit="1" customWidth="1"/>
    <col min="1032" max="1032" width="9" style="2"/>
    <col min="1033" max="1033" width="8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7" width="11.125" style="2" bestFit="1" customWidth="1"/>
    <col min="1288" max="1288" width="9" style="2"/>
    <col min="1289" max="1289" width="8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3" width="11.125" style="2" bestFit="1" customWidth="1"/>
    <col min="1544" max="1544" width="9" style="2"/>
    <col min="1545" max="1545" width="8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799" width="11.125" style="2" bestFit="1" customWidth="1"/>
    <col min="1800" max="1800" width="9" style="2"/>
    <col min="1801" max="1801" width="8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5" width="11.125" style="2" bestFit="1" customWidth="1"/>
    <col min="2056" max="2056" width="9" style="2"/>
    <col min="2057" max="2057" width="8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1" width="11.125" style="2" bestFit="1" customWidth="1"/>
    <col min="2312" max="2312" width="9" style="2"/>
    <col min="2313" max="2313" width="8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7" width="11.125" style="2" bestFit="1" customWidth="1"/>
    <col min="2568" max="2568" width="9" style="2"/>
    <col min="2569" max="2569" width="8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3" width="11.125" style="2" bestFit="1" customWidth="1"/>
    <col min="2824" max="2824" width="9" style="2"/>
    <col min="2825" max="2825" width="8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79" width="11.125" style="2" bestFit="1" customWidth="1"/>
    <col min="3080" max="3080" width="9" style="2"/>
    <col min="3081" max="3081" width="8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5" width="11.125" style="2" bestFit="1" customWidth="1"/>
    <col min="3336" max="3336" width="9" style="2"/>
    <col min="3337" max="3337" width="8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1" width="11.125" style="2" bestFit="1" customWidth="1"/>
    <col min="3592" max="3592" width="9" style="2"/>
    <col min="3593" max="3593" width="8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7" width="11.125" style="2" bestFit="1" customWidth="1"/>
    <col min="3848" max="3848" width="9" style="2"/>
    <col min="3849" max="3849" width="8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3" width="11.125" style="2" bestFit="1" customWidth="1"/>
    <col min="4104" max="4104" width="9" style="2"/>
    <col min="4105" max="4105" width="8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59" width="11.125" style="2" bestFit="1" customWidth="1"/>
    <col min="4360" max="4360" width="9" style="2"/>
    <col min="4361" max="4361" width="8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5" width="11.125" style="2" bestFit="1" customWidth="1"/>
    <col min="4616" max="4616" width="9" style="2"/>
    <col min="4617" max="4617" width="8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1" width="11.125" style="2" bestFit="1" customWidth="1"/>
    <col min="4872" max="4872" width="9" style="2"/>
    <col min="4873" max="4873" width="8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7" width="11.125" style="2" bestFit="1" customWidth="1"/>
    <col min="5128" max="5128" width="9" style="2"/>
    <col min="5129" max="5129" width="8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3" width="11.125" style="2" bestFit="1" customWidth="1"/>
    <col min="5384" max="5384" width="9" style="2"/>
    <col min="5385" max="5385" width="8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39" width="11.125" style="2" bestFit="1" customWidth="1"/>
    <col min="5640" max="5640" width="9" style="2"/>
    <col min="5641" max="5641" width="8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5" width="11.125" style="2" bestFit="1" customWidth="1"/>
    <col min="5896" max="5896" width="9" style="2"/>
    <col min="5897" max="5897" width="8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1" width="11.125" style="2" bestFit="1" customWidth="1"/>
    <col min="6152" max="6152" width="9" style="2"/>
    <col min="6153" max="6153" width="8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7" width="11.125" style="2" bestFit="1" customWidth="1"/>
    <col min="6408" max="6408" width="9" style="2"/>
    <col min="6409" max="6409" width="8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3" width="11.125" style="2" bestFit="1" customWidth="1"/>
    <col min="6664" max="6664" width="9" style="2"/>
    <col min="6665" max="6665" width="8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19" width="11.125" style="2" bestFit="1" customWidth="1"/>
    <col min="6920" max="6920" width="9" style="2"/>
    <col min="6921" max="6921" width="8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5" width="11.125" style="2" bestFit="1" customWidth="1"/>
    <col min="7176" max="7176" width="9" style="2"/>
    <col min="7177" max="7177" width="8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1" width="11.125" style="2" bestFit="1" customWidth="1"/>
    <col min="7432" max="7432" width="9" style="2"/>
    <col min="7433" max="7433" width="8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7" width="11.125" style="2" bestFit="1" customWidth="1"/>
    <col min="7688" max="7688" width="9" style="2"/>
    <col min="7689" max="7689" width="8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3" width="11.125" style="2" bestFit="1" customWidth="1"/>
    <col min="7944" max="7944" width="9" style="2"/>
    <col min="7945" max="7945" width="8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199" width="11.125" style="2" bestFit="1" customWidth="1"/>
    <col min="8200" max="8200" width="9" style="2"/>
    <col min="8201" max="8201" width="8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5" width="11.125" style="2" bestFit="1" customWidth="1"/>
    <col min="8456" max="8456" width="9" style="2"/>
    <col min="8457" max="8457" width="8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1" width="11.125" style="2" bestFit="1" customWidth="1"/>
    <col min="8712" max="8712" width="9" style="2"/>
    <col min="8713" max="8713" width="8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7" width="11.125" style="2" bestFit="1" customWidth="1"/>
    <col min="8968" max="8968" width="9" style="2"/>
    <col min="8969" max="8969" width="8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3" width="11.125" style="2" bestFit="1" customWidth="1"/>
    <col min="9224" max="9224" width="9" style="2"/>
    <col min="9225" max="9225" width="8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79" width="11.125" style="2" bestFit="1" customWidth="1"/>
    <col min="9480" max="9480" width="9" style="2"/>
    <col min="9481" max="9481" width="8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5" width="11.125" style="2" bestFit="1" customWidth="1"/>
    <col min="9736" max="9736" width="9" style="2"/>
    <col min="9737" max="9737" width="8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1" width="11.125" style="2" bestFit="1" customWidth="1"/>
    <col min="9992" max="9992" width="9" style="2"/>
    <col min="9993" max="9993" width="8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7" width="11.125" style="2" bestFit="1" customWidth="1"/>
    <col min="10248" max="10248" width="9" style="2"/>
    <col min="10249" max="10249" width="8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3" width="11.125" style="2" bestFit="1" customWidth="1"/>
    <col min="10504" max="10504" width="9" style="2"/>
    <col min="10505" max="10505" width="8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59" width="11.125" style="2" bestFit="1" customWidth="1"/>
    <col min="10760" max="10760" width="9" style="2"/>
    <col min="10761" max="10761" width="8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5" width="11.125" style="2" bestFit="1" customWidth="1"/>
    <col min="11016" max="11016" width="9" style="2"/>
    <col min="11017" max="11017" width="8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1" width="11.125" style="2" bestFit="1" customWidth="1"/>
    <col min="11272" max="11272" width="9" style="2"/>
    <col min="11273" max="11273" width="8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7" width="11.125" style="2" bestFit="1" customWidth="1"/>
    <col min="11528" max="11528" width="9" style="2"/>
    <col min="11529" max="11529" width="8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3" width="11.125" style="2" bestFit="1" customWidth="1"/>
    <col min="11784" max="11784" width="9" style="2"/>
    <col min="11785" max="11785" width="8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39" width="11.125" style="2" bestFit="1" customWidth="1"/>
    <col min="12040" max="12040" width="9" style="2"/>
    <col min="12041" max="12041" width="8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5" width="11.125" style="2" bestFit="1" customWidth="1"/>
    <col min="12296" max="12296" width="9" style="2"/>
    <col min="12297" max="12297" width="8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1" width="11.125" style="2" bestFit="1" customWidth="1"/>
    <col min="12552" max="12552" width="9" style="2"/>
    <col min="12553" max="12553" width="8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7" width="11.125" style="2" bestFit="1" customWidth="1"/>
    <col min="12808" max="12808" width="9" style="2"/>
    <col min="12809" max="12809" width="8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3" width="11.125" style="2" bestFit="1" customWidth="1"/>
    <col min="13064" max="13064" width="9" style="2"/>
    <col min="13065" max="13065" width="8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19" width="11.125" style="2" bestFit="1" customWidth="1"/>
    <col min="13320" max="13320" width="9" style="2"/>
    <col min="13321" max="13321" width="8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5" width="11.125" style="2" bestFit="1" customWidth="1"/>
    <col min="13576" max="13576" width="9" style="2"/>
    <col min="13577" max="13577" width="8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1" width="11.125" style="2" bestFit="1" customWidth="1"/>
    <col min="13832" max="13832" width="9" style="2"/>
    <col min="13833" max="13833" width="8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7" width="11.125" style="2" bestFit="1" customWidth="1"/>
    <col min="14088" max="14088" width="9" style="2"/>
    <col min="14089" max="14089" width="8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3" width="11.125" style="2" bestFit="1" customWidth="1"/>
    <col min="14344" max="14344" width="9" style="2"/>
    <col min="14345" max="14345" width="8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599" width="11.125" style="2" bestFit="1" customWidth="1"/>
    <col min="14600" max="14600" width="9" style="2"/>
    <col min="14601" max="14601" width="8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5" width="11.125" style="2" bestFit="1" customWidth="1"/>
    <col min="14856" max="14856" width="9" style="2"/>
    <col min="14857" max="14857" width="8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1" width="11.125" style="2" bestFit="1" customWidth="1"/>
    <col min="15112" max="15112" width="9" style="2"/>
    <col min="15113" max="15113" width="8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7" width="11.125" style="2" bestFit="1" customWidth="1"/>
    <col min="15368" max="15368" width="9" style="2"/>
    <col min="15369" max="15369" width="8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3" width="11.125" style="2" bestFit="1" customWidth="1"/>
    <col min="15624" max="15624" width="9" style="2"/>
    <col min="15625" max="15625" width="8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79" width="11.125" style="2" bestFit="1" customWidth="1"/>
    <col min="15880" max="15880" width="9" style="2"/>
    <col min="15881" max="15881" width="8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5" width="11.125" style="2" bestFit="1" customWidth="1"/>
    <col min="16136" max="16136" width="9" style="2"/>
    <col min="16137" max="16137" width="8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 ht="19.5" thickBot="1">
      <c r="A3" s="1" t="s">
        <v>55</v>
      </c>
    </row>
    <row r="4" spans="1:12">
      <c r="B4" s="14"/>
      <c r="C4" s="37" t="s">
        <v>4</v>
      </c>
      <c r="D4" s="4" t="s">
        <v>8</v>
      </c>
      <c r="E4" s="62" t="s">
        <v>56</v>
      </c>
      <c r="F4" s="36" t="s">
        <v>2</v>
      </c>
      <c r="G4" s="37" t="s">
        <v>3</v>
      </c>
      <c r="H4" s="37" t="s">
        <v>5</v>
      </c>
      <c r="I4" s="37" t="s">
        <v>6</v>
      </c>
      <c r="J4" s="64" t="s">
        <v>7</v>
      </c>
      <c r="K4" s="62" t="s">
        <v>56</v>
      </c>
      <c r="L4" s="77" t="s">
        <v>17</v>
      </c>
    </row>
    <row r="5" spans="1:12" ht="19.5" thickBot="1">
      <c r="B5" s="5" t="s">
        <v>9</v>
      </c>
      <c r="C5" s="39" t="s">
        <v>12</v>
      </c>
      <c r="D5" s="3" t="s">
        <v>16</v>
      </c>
      <c r="E5" s="63" t="s">
        <v>57</v>
      </c>
      <c r="F5" s="38" t="s">
        <v>10</v>
      </c>
      <c r="G5" s="39" t="s">
        <v>11</v>
      </c>
      <c r="H5" s="39" t="s">
        <v>13</v>
      </c>
      <c r="I5" s="39" t="s">
        <v>14</v>
      </c>
      <c r="J5" s="65" t="s">
        <v>15</v>
      </c>
      <c r="K5" s="63" t="s">
        <v>58</v>
      </c>
      <c r="L5" s="5" t="s">
        <v>59</v>
      </c>
    </row>
    <row r="6" spans="1:12">
      <c r="A6" s="1" t="s">
        <v>1</v>
      </c>
      <c r="B6" s="18" t="s">
        <v>18</v>
      </c>
      <c r="C6" s="41">
        <v>19</v>
      </c>
      <c r="D6" s="19">
        <v>11</v>
      </c>
      <c r="E6" s="20">
        <f>SUM(C6:D6)</f>
        <v>30</v>
      </c>
      <c r="F6" s="40">
        <v>18</v>
      </c>
      <c r="G6" s="41">
        <v>19</v>
      </c>
      <c r="H6" s="41">
        <v>17</v>
      </c>
      <c r="I6" s="41">
        <v>19</v>
      </c>
      <c r="J6" s="66">
        <v>19</v>
      </c>
      <c r="K6" s="20">
        <f>SUM(F6:J6)</f>
        <v>92</v>
      </c>
      <c r="L6" s="20">
        <f>SUM(K6,E6)</f>
        <v>122</v>
      </c>
    </row>
    <row r="7" spans="1:12">
      <c r="A7" s="1" t="s">
        <v>1</v>
      </c>
      <c r="B7" s="21" t="s">
        <v>19</v>
      </c>
      <c r="C7" s="43">
        <v>0</v>
      </c>
      <c r="D7" s="22">
        <v>0</v>
      </c>
      <c r="E7" s="23">
        <f t="shared" ref="E7:E41" si="0">SUM(C7:D7)</f>
        <v>0</v>
      </c>
      <c r="F7" s="42">
        <v>1</v>
      </c>
      <c r="G7" s="43">
        <v>2</v>
      </c>
      <c r="H7" s="43">
        <v>2</v>
      </c>
      <c r="I7" s="43">
        <v>0</v>
      </c>
      <c r="J7" s="67">
        <v>1</v>
      </c>
      <c r="K7" s="23">
        <f t="shared" ref="K7:K41" si="1">SUM(F7:J7)</f>
        <v>6</v>
      </c>
      <c r="L7" s="23">
        <f t="shared" ref="L7:L41" si="2">SUM(K7,E7)</f>
        <v>6</v>
      </c>
    </row>
    <row r="8" spans="1:12">
      <c r="A8" s="1" t="s">
        <v>1</v>
      </c>
      <c r="B8" s="21" t="s">
        <v>20</v>
      </c>
      <c r="C8" s="43">
        <v>0</v>
      </c>
      <c r="D8" s="22">
        <v>2</v>
      </c>
      <c r="E8" s="23">
        <f t="shared" si="0"/>
        <v>2</v>
      </c>
      <c r="F8" s="42">
        <v>1</v>
      </c>
      <c r="G8" s="43">
        <v>0</v>
      </c>
      <c r="H8" s="43">
        <v>2</v>
      </c>
      <c r="I8" s="43">
        <v>0</v>
      </c>
      <c r="J8" s="67">
        <v>0</v>
      </c>
      <c r="K8" s="23">
        <f t="shared" si="1"/>
        <v>3</v>
      </c>
      <c r="L8" s="23">
        <f t="shared" si="2"/>
        <v>5</v>
      </c>
    </row>
    <row r="9" spans="1:12">
      <c r="A9" s="1" t="s">
        <v>1</v>
      </c>
      <c r="B9" s="21" t="s">
        <v>21</v>
      </c>
      <c r="C9" s="45">
        <v>0</v>
      </c>
      <c r="D9" s="24">
        <v>2.2916666666666665</v>
      </c>
      <c r="E9" s="25">
        <f t="shared" si="0"/>
        <v>2.2916666666666665</v>
      </c>
      <c r="F9" s="44">
        <v>0</v>
      </c>
      <c r="G9" s="45">
        <v>0</v>
      </c>
      <c r="H9" s="45">
        <v>0</v>
      </c>
      <c r="I9" s="45">
        <v>0</v>
      </c>
      <c r="J9" s="68">
        <v>0</v>
      </c>
      <c r="K9" s="25">
        <f t="shared" si="1"/>
        <v>0</v>
      </c>
      <c r="L9" s="25">
        <f t="shared" si="2"/>
        <v>2.2916666666666665</v>
      </c>
    </row>
    <row r="10" spans="1:12">
      <c r="A10" s="1" t="s">
        <v>1</v>
      </c>
      <c r="B10" s="21" t="s">
        <v>22</v>
      </c>
      <c r="C10" s="45">
        <v>0</v>
      </c>
      <c r="D10" s="24">
        <v>0</v>
      </c>
      <c r="E10" s="25">
        <f t="shared" si="0"/>
        <v>0</v>
      </c>
      <c r="F10" s="44">
        <v>1.5416666666666665</v>
      </c>
      <c r="G10" s="45">
        <v>2.5</v>
      </c>
      <c r="H10" s="45">
        <v>1.7916666666666665</v>
      </c>
      <c r="I10" s="45">
        <v>1.2916666666666667</v>
      </c>
      <c r="J10" s="68">
        <v>1.3333333333333333</v>
      </c>
      <c r="K10" s="25">
        <f t="shared" si="1"/>
        <v>8.4583333333333321</v>
      </c>
      <c r="L10" s="25">
        <f t="shared" si="2"/>
        <v>8.4583333333333321</v>
      </c>
    </row>
    <row r="11" spans="1:12">
      <c r="A11" s="1" t="s">
        <v>1</v>
      </c>
      <c r="B11" s="21" t="s">
        <v>23</v>
      </c>
      <c r="C11" s="45">
        <v>0</v>
      </c>
      <c r="D11" s="24">
        <v>0</v>
      </c>
      <c r="E11" s="25">
        <f t="shared" si="0"/>
        <v>0</v>
      </c>
      <c r="F11" s="44">
        <v>8.3333333333333329E-2</v>
      </c>
      <c r="G11" s="45">
        <v>0.375</v>
      </c>
      <c r="H11" s="45">
        <v>0.29166666666666669</v>
      </c>
      <c r="I11" s="45">
        <v>0</v>
      </c>
      <c r="J11" s="68">
        <v>0.125</v>
      </c>
      <c r="K11" s="25">
        <f t="shared" si="1"/>
        <v>0.875</v>
      </c>
      <c r="L11" s="25">
        <f t="shared" si="2"/>
        <v>0.875</v>
      </c>
    </row>
    <row r="12" spans="1:12">
      <c r="A12" s="1" t="s">
        <v>1</v>
      </c>
      <c r="B12" s="21" t="s">
        <v>24</v>
      </c>
      <c r="C12" s="45">
        <v>0</v>
      </c>
      <c r="D12" s="24">
        <v>0.41666666666666669</v>
      </c>
      <c r="E12" s="25">
        <f t="shared" si="0"/>
        <v>0.41666666666666669</v>
      </c>
      <c r="F12" s="44">
        <v>0</v>
      </c>
      <c r="G12" s="45">
        <v>0</v>
      </c>
      <c r="H12" s="45">
        <v>0</v>
      </c>
      <c r="I12" s="45">
        <v>0</v>
      </c>
      <c r="J12" s="68">
        <v>0</v>
      </c>
      <c r="K12" s="25">
        <f t="shared" si="1"/>
        <v>0</v>
      </c>
      <c r="L12" s="25">
        <f t="shared" si="2"/>
        <v>0.41666666666666669</v>
      </c>
    </row>
    <row r="13" spans="1:12">
      <c r="A13" s="1" t="s">
        <v>1</v>
      </c>
      <c r="B13" s="6" t="s">
        <v>25</v>
      </c>
      <c r="C13" s="47">
        <v>0.25</v>
      </c>
      <c r="D13" s="7">
        <v>0</v>
      </c>
      <c r="E13" s="8">
        <f t="shared" si="0"/>
        <v>0.25</v>
      </c>
      <c r="F13" s="46">
        <v>0.16666666666666666</v>
      </c>
      <c r="G13" s="47">
        <v>0.16666666666666666</v>
      </c>
      <c r="H13" s="47">
        <v>8.3333333333333329E-2</v>
      </c>
      <c r="I13" s="47">
        <v>0.16666666666666666</v>
      </c>
      <c r="J13" s="69">
        <v>4.1666666666666664E-2</v>
      </c>
      <c r="K13" s="8">
        <f t="shared" si="1"/>
        <v>0.62499999999999989</v>
      </c>
      <c r="L13" s="8">
        <f t="shared" si="2"/>
        <v>0.87499999999999989</v>
      </c>
    </row>
    <row r="14" spans="1:12">
      <c r="A14" s="1" t="s">
        <v>1</v>
      </c>
      <c r="B14" s="15" t="s">
        <v>26</v>
      </c>
      <c r="C14" s="49">
        <v>31</v>
      </c>
      <c r="D14" s="16">
        <v>8</v>
      </c>
      <c r="E14" s="17">
        <f t="shared" si="0"/>
        <v>39</v>
      </c>
      <c r="F14" s="48">
        <v>18</v>
      </c>
      <c r="G14" s="49">
        <v>28</v>
      </c>
      <c r="H14" s="49">
        <v>6</v>
      </c>
      <c r="I14" s="49">
        <v>0</v>
      </c>
      <c r="J14" s="70">
        <v>0</v>
      </c>
      <c r="K14" s="17">
        <f t="shared" si="1"/>
        <v>52</v>
      </c>
      <c r="L14" s="17"/>
    </row>
    <row r="15" spans="1:12">
      <c r="A15" s="1" t="s">
        <v>1</v>
      </c>
      <c r="B15" s="26" t="s">
        <v>27</v>
      </c>
      <c r="C15" s="51">
        <v>365000</v>
      </c>
      <c r="D15" s="27">
        <v>0</v>
      </c>
      <c r="E15" s="28">
        <f t="shared" si="0"/>
        <v>365000</v>
      </c>
      <c r="F15" s="50">
        <v>182000</v>
      </c>
      <c r="G15" s="51">
        <v>187000</v>
      </c>
      <c r="H15" s="51">
        <v>182000</v>
      </c>
      <c r="I15" s="51">
        <v>170000</v>
      </c>
      <c r="J15" s="71">
        <v>187000</v>
      </c>
      <c r="K15" s="28">
        <f t="shared" si="1"/>
        <v>908000</v>
      </c>
      <c r="L15" s="28">
        <f t="shared" si="2"/>
        <v>1273000</v>
      </c>
    </row>
    <row r="16" spans="1:12">
      <c r="A16" s="1" t="s">
        <v>1</v>
      </c>
      <c r="B16" s="21" t="s">
        <v>28</v>
      </c>
      <c r="C16" s="53">
        <v>0</v>
      </c>
      <c r="D16" s="29">
        <v>0</v>
      </c>
      <c r="E16" s="30">
        <f t="shared" si="0"/>
        <v>0</v>
      </c>
      <c r="F16" s="52">
        <v>5000</v>
      </c>
      <c r="G16" s="53">
        <v>0</v>
      </c>
      <c r="H16" s="53">
        <v>0</v>
      </c>
      <c r="I16" s="53">
        <v>0</v>
      </c>
      <c r="J16" s="72">
        <v>0</v>
      </c>
      <c r="K16" s="30">
        <f t="shared" si="1"/>
        <v>5000</v>
      </c>
      <c r="L16" s="30">
        <f t="shared" si="2"/>
        <v>5000</v>
      </c>
    </row>
    <row r="17" spans="1:12">
      <c r="A17" s="1" t="s">
        <v>1</v>
      </c>
      <c r="B17" s="21" t="s">
        <v>29</v>
      </c>
      <c r="C17" s="53">
        <v>0</v>
      </c>
      <c r="D17" s="29">
        <v>0</v>
      </c>
      <c r="E17" s="30">
        <f t="shared" si="0"/>
        <v>0</v>
      </c>
      <c r="F17" s="52">
        <v>3000</v>
      </c>
      <c r="G17" s="53">
        <v>3000</v>
      </c>
      <c r="H17" s="53">
        <v>0</v>
      </c>
      <c r="I17" s="53">
        <v>0</v>
      </c>
      <c r="J17" s="72">
        <v>15000</v>
      </c>
      <c r="K17" s="30">
        <f t="shared" si="1"/>
        <v>21000</v>
      </c>
      <c r="L17" s="30">
        <f t="shared" si="2"/>
        <v>21000</v>
      </c>
    </row>
    <row r="18" spans="1:12">
      <c r="A18" s="1" t="s">
        <v>1</v>
      </c>
      <c r="B18" s="21" t="s">
        <v>30</v>
      </c>
      <c r="C18" s="53">
        <v>50000</v>
      </c>
      <c r="D18" s="29">
        <v>0</v>
      </c>
      <c r="E18" s="30">
        <f t="shared" si="0"/>
        <v>50000</v>
      </c>
      <c r="F18" s="52">
        <v>50000</v>
      </c>
      <c r="G18" s="53">
        <v>50000</v>
      </c>
      <c r="H18" s="53">
        <v>50000</v>
      </c>
      <c r="I18" s="53">
        <v>50000</v>
      </c>
      <c r="J18" s="72">
        <v>50000</v>
      </c>
      <c r="K18" s="30">
        <f t="shared" si="1"/>
        <v>250000</v>
      </c>
      <c r="L18" s="30">
        <f t="shared" si="2"/>
        <v>300000</v>
      </c>
    </row>
    <row r="19" spans="1:12">
      <c r="A19" s="1" t="s">
        <v>1</v>
      </c>
      <c r="B19" s="21" t="s">
        <v>31</v>
      </c>
      <c r="C19" s="53">
        <v>0</v>
      </c>
      <c r="D19" s="29">
        <v>0</v>
      </c>
      <c r="E19" s="30">
        <f t="shared" si="0"/>
        <v>0</v>
      </c>
      <c r="F19" s="52">
        <v>0</v>
      </c>
      <c r="G19" s="53">
        <v>0</v>
      </c>
      <c r="H19" s="53">
        <v>0</v>
      </c>
      <c r="I19" s="53">
        <v>0</v>
      </c>
      <c r="J19" s="72">
        <v>79362</v>
      </c>
      <c r="K19" s="30">
        <f t="shared" si="1"/>
        <v>79362</v>
      </c>
      <c r="L19" s="30">
        <f t="shared" si="2"/>
        <v>79362</v>
      </c>
    </row>
    <row r="20" spans="1:12">
      <c r="A20" s="1" t="s">
        <v>1</v>
      </c>
      <c r="B20" s="21" t="s">
        <v>32</v>
      </c>
      <c r="C20" s="53">
        <v>0</v>
      </c>
      <c r="D20" s="29">
        <v>61600</v>
      </c>
      <c r="E20" s="30">
        <f t="shared" si="0"/>
        <v>61600</v>
      </c>
      <c r="F20" s="52">
        <v>0</v>
      </c>
      <c r="G20" s="53">
        <v>0</v>
      </c>
      <c r="H20" s="53">
        <v>0</v>
      </c>
      <c r="I20" s="53">
        <v>0</v>
      </c>
      <c r="J20" s="72">
        <v>0</v>
      </c>
      <c r="K20" s="30">
        <f t="shared" si="1"/>
        <v>0</v>
      </c>
      <c r="L20" s="30">
        <f t="shared" si="2"/>
        <v>61600</v>
      </c>
    </row>
    <row r="21" spans="1:12">
      <c r="A21" s="1" t="s">
        <v>1</v>
      </c>
      <c r="B21" s="21" t="s">
        <v>33</v>
      </c>
      <c r="C21" s="53">
        <v>0</v>
      </c>
      <c r="D21" s="29">
        <v>0</v>
      </c>
      <c r="E21" s="30">
        <f t="shared" si="0"/>
        <v>0</v>
      </c>
      <c r="F21" s="52">
        <v>3500</v>
      </c>
      <c r="G21" s="53">
        <v>3500</v>
      </c>
      <c r="H21" s="53">
        <v>3500</v>
      </c>
      <c r="I21" s="53">
        <v>0</v>
      </c>
      <c r="J21" s="72">
        <v>0</v>
      </c>
      <c r="K21" s="30">
        <f t="shared" si="1"/>
        <v>10500</v>
      </c>
      <c r="L21" s="30">
        <f t="shared" si="2"/>
        <v>10500</v>
      </c>
    </row>
    <row r="22" spans="1:12">
      <c r="A22" s="1" t="s">
        <v>1</v>
      </c>
      <c r="B22" s="21" t="s">
        <v>34</v>
      </c>
      <c r="C22" s="53">
        <v>0</v>
      </c>
      <c r="D22" s="29">
        <v>11200</v>
      </c>
      <c r="E22" s="30">
        <f t="shared" si="0"/>
        <v>11200</v>
      </c>
      <c r="F22" s="52">
        <v>0</v>
      </c>
      <c r="G22" s="53">
        <v>0</v>
      </c>
      <c r="H22" s="53">
        <v>0</v>
      </c>
      <c r="I22" s="53">
        <v>0</v>
      </c>
      <c r="J22" s="72">
        <v>0</v>
      </c>
      <c r="K22" s="30">
        <f t="shared" si="1"/>
        <v>0</v>
      </c>
      <c r="L22" s="30">
        <f t="shared" si="2"/>
        <v>11200</v>
      </c>
    </row>
    <row r="23" spans="1:12">
      <c r="A23" s="1" t="s">
        <v>1</v>
      </c>
      <c r="B23" s="21" t="s">
        <v>35</v>
      </c>
      <c r="C23" s="53">
        <v>0</v>
      </c>
      <c r="D23" s="29">
        <v>0</v>
      </c>
      <c r="E23" s="30">
        <f t="shared" si="0"/>
        <v>0</v>
      </c>
      <c r="F23" s="52">
        <v>0</v>
      </c>
      <c r="G23" s="53">
        <v>13000</v>
      </c>
      <c r="H23" s="53">
        <v>13000</v>
      </c>
      <c r="I23" s="53">
        <v>0</v>
      </c>
      <c r="J23" s="72">
        <v>13000</v>
      </c>
      <c r="K23" s="30">
        <f t="shared" si="1"/>
        <v>39000</v>
      </c>
      <c r="L23" s="30">
        <f t="shared" si="2"/>
        <v>39000</v>
      </c>
    </row>
    <row r="24" spans="1:12">
      <c r="A24" s="1" t="s">
        <v>1</v>
      </c>
      <c r="B24" s="21" t="s">
        <v>22</v>
      </c>
      <c r="C24" s="53">
        <v>0</v>
      </c>
      <c r="D24" s="29">
        <v>0</v>
      </c>
      <c r="E24" s="30">
        <f t="shared" si="0"/>
        <v>0</v>
      </c>
      <c r="F24" s="52">
        <v>67451</v>
      </c>
      <c r="G24" s="53">
        <v>115200</v>
      </c>
      <c r="H24" s="53">
        <v>79980</v>
      </c>
      <c r="I24" s="53">
        <v>51026</v>
      </c>
      <c r="J24" s="72">
        <v>63488</v>
      </c>
      <c r="K24" s="30">
        <f t="shared" si="1"/>
        <v>377145</v>
      </c>
      <c r="L24" s="30">
        <f t="shared" si="2"/>
        <v>377145</v>
      </c>
    </row>
    <row r="25" spans="1:12">
      <c r="A25" s="1" t="s">
        <v>1</v>
      </c>
      <c r="B25" s="21" t="s">
        <v>36</v>
      </c>
      <c r="C25" s="53">
        <v>0</v>
      </c>
      <c r="D25" s="29">
        <v>0</v>
      </c>
      <c r="E25" s="30">
        <f t="shared" si="0"/>
        <v>0</v>
      </c>
      <c r="F25" s="52">
        <v>3936</v>
      </c>
      <c r="G25" s="53">
        <v>18666</v>
      </c>
      <c r="H25" s="53">
        <v>14063</v>
      </c>
      <c r="I25" s="53">
        <v>0</v>
      </c>
      <c r="J25" s="72">
        <v>6426</v>
      </c>
      <c r="K25" s="30">
        <f t="shared" si="1"/>
        <v>43091</v>
      </c>
      <c r="L25" s="30">
        <f t="shared" si="2"/>
        <v>43091</v>
      </c>
    </row>
    <row r="26" spans="1:12">
      <c r="A26" s="1" t="s">
        <v>1</v>
      </c>
      <c r="B26" s="6" t="s">
        <v>25</v>
      </c>
      <c r="C26" s="55">
        <v>3726</v>
      </c>
      <c r="D26" s="9">
        <v>0</v>
      </c>
      <c r="E26" s="10">
        <f t="shared" si="0"/>
        <v>3726</v>
      </c>
      <c r="F26" s="54">
        <v>1460</v>
      </c>
      <c r="G26" s="55">
        <v>1536</v>
      </c>
      <c r="H26" s="55">
        <v>744</v>
      </c>
      <c r="I26" s="55">
        <v>1316</v>
      </c>
      <c r="J26" s="73">
        <v>397</v>
      </c>
      <c r="K26" s="10">
        <f t="shared" si="1"/>
        <v>5453</v>
      </c>
      <c r="L26" s="10">
        <f t="shared" si="2"/>
        <v>9179</v>
      </c>
    </row>
    <row r="27" spans="1:12">
      <c r="A27" s="1" t="s">
        <v>1</v>
      </c>
      <c r="B27" s="15" t="s">
        <v>37</v>
      </c>
      <c r="C27" s="57">
        <v>418726</v>
      </c>
      <c r="D27" s="31">
        <v>72800</v>
      </c>
      <c r="E27" s="32">
        <f t="shared" si="0"/>
        <v>491526</v>
      </c>
      <c r="F27" s="56">
        <v>316347</v>
      </c>
      <c r="G27" s="57">
        <v>391902</v>
      </c>
      <c r="H27" s="57">
        <v>343287</v>
      </c>
      <c r="I27" s="57">
        <v>272342</v>
      </c>
      <c r="J27" s="74">
        <v>414673</v>
      </c>
      <c r="K27" s="32">
        <f t="shared" si="1"/>
        <v>1738551</v>
      </c>
      <c r="L27" s="32">
        <f t="shared" si="2"/>
        <v>2230077</v>
      </c>
    </row>
    <row r="28" spans="1:12">
      <c r="A28" s="1" t="s">
        <v>1</v>
      </c>
      <c r="B28" s="26" t="s">
        <v>38</v>
      </c>
      <c r="C28" s="51">
        <v>10651</v>
      </c>
      <c r="D28" s="27">
        <v>0</v>
      </c>
      <c r="E28" s="28">
        <f t="shared" si="0"/>
        <v>10651</v>
      </c>
      <c r="F28" s="50">
        <v>6178</v>
      </c>
      <c r="G28" s="51">
        <v>1602</v>
      </c>
      <c r="H28" s="51">
        <v>0</v>
      </c>
      <c r="I28" s="51">
        <v>9266</v>
      </c>
      <c r="J28" s="71">
        <v>7688</v>
      </c>
      <c r="K28" s="28">
        <f t="shared" si="1"/>
        <v>24734</v>
      </c>
      <c r="L28" s="28">
        <f t="shared" si="2"/>
        <v>35385</v>
      </c>
    </row>
    <row r="29" spans="1:12">
      <c r="A29" s="1" t="s">
        <v>1</v>
      </c>
      <c r="B29" s="6" t="s">
        <v>39</v>
      </c>
      <c r="C29" s="55">
        <v>10651</v>
      </c>
      <c r="D29" s="9">
        <v>0</v>
      </c>
      <c r="E29" s="10">
        <f t="shared" si="0"/>
        <v>10651</v>
      </c>
      <c r="F29" s="54">
        <v>6178</v>
      </c>
      <c r="G29" s="55">
        <v>1602</v>
      </c>
      <c r="H29" s="55">
        <v>0</v>
      </c>
      <c r="I29" s="55">
        <v>9266</v>
      </c>
      <c r="J29" s="73">
        <v>7688</v>
      </c>
      <c r="K29" s="10">
        <f t="shared" si="1"/>
        <v>24734</v>
      </c>
      <c r="L29" s="10">
        <f t="shared" si="2"/>
        <v>35385</v>
      </c>
    </row>
    <row r="30" spans="1:12">
      <c r="A30" s="1" t="s">
        <v>1</v>
      </c>
      <c r="B30" s="15" t="s">
        <v>40</v>
      </c>
      <c r="C30" s="57">
        <v>429377</v>
      </c>
      <c r="D30" s="31">
        <v>72800</v>
      </c>
      <c r="E30" s="32">
        <f t="shared" si="0"/>
        <v>502177</v>
      </c>
      <c r="F30" s="56">
        <v>322525</v>
      </c>
      <c r="G30" s="57">
        <v>393504</v>
      </c>
      <c r="H30" s="57">
        <v>343287</v>
      </c>
      <c r="I30" s="57">
        <v>281608</v>
      </c>
      <c r="J30" s="74">
        <v>422361</v>
      </c>
      <c r="K30" s="32">
        <f t="shared" si="1"/>
        <v>1763285</v>
      </c>
      <c r="L30" s="32">
        <f t="shared" si="2"/>
        <v>2265462</v>
      </c>
    </row>
    <row r="31" spans="1:12">
      <c r="A31" s="1" t="s">
        <v>1</v>
      </c>
      <c r="B31" s="26" t="s">
        <v>41</v>
      </c>
      <c r="C31" s="51">
        <v>20910</v>
      </c>
      <c r="D31" s="27">
        <v>0</v>
      </c>
      <c r="E31" s="28">
        <f t="shared" si="0"/>
        <v>20910</v>
      </c>
      <c r="F31" s="50">
        <v>18360</v>
      </c>
      <c r="G31" s="51">
        <v>20910</v>
      </c>
      <c r="H31" s="51">
        <v>17340</v>
      </c>
      <c r="I31" s="51">
        <v>15300</v>
      </c>
      <c r="J31" s="71">
        <v>19380</v>
      </c>
      <c r="K31" s="28">
        <f t="shared" si="1"/>
        <v>91290</v>
      </c>
      <c r="L31" s="28">
        <f t="shared" si="2"/>
        <v>112200</v>
      </c>
    </row>
    <row r="32" spans="1:12">
      <c r="A32" s="1" t="s">
        <v>1</v>
      </c>
      <c r="B32" s="21" t="s">
        <v>42</v>
      </c>
      <c r="C32" s="53">
        <v>3690</v>
      </c>
      <c r="D32" s="29">
        <v>0</v>
      </c>
      <c r="E32" s="30">
        <f t="shared" si="0"/>
        <v>3690</v>
      </c>
      <c r="F32" s="52">
        <v>0</v>
      </c>
      <c r="G32" s="53">
        <v>3690</v>
      </c>
      <c r="H32" s="53">
        <v>3060</v>
      </c>
      <c r="I32" s="53">
        <v>2700</v>
      </c>
      <c r="J32" s="72">
        <v>3420</v>
      </c>
      <c r="K32" s="30">
        <f t="shared" si="1"/>
        <v>12870</v>
      </c>
      <c r="L32" s="30">
        <f t="shared" si="2"/>
        <v>16560</v>
      </c>
    </row>
    <row r="33" spans="1:12">
      <c r="A33" s="1" t="s">
        <v>1</v>
      </c>
      <c r="B33" s="21" t="s">
        <v>43</v>
      </c>
      <c r="C33" s="53">
        <v>37515</v>
      </c>
      <c r="D33" s="29">
        <v>0</v>
      </c>
      <c r="E33" s="30">
        <f t="shared" si="0"/>
        <v>37515</v>
      </c>
      <c r="F33" s="52">
        <v>32940</v>
      </c>
      <c r="G33" s="53">
        <v>37515</v>
      </c>
      <c r="H33" s="53">
        <v>31110</v>
      </c>
      <c r="I33" s="53">
        <v>27450</v>
      </c>
      <c r="J33" s="72">
        <v>34770</v>
      </c>
      <c r="K33" s="30">
        <f t="shared" si="1"/>
        <v>163785</v>
      </c>
      <c r="L33" s="30">
        <f t="shared" si="2"/>
        <v>201300</v>
      </c>
    </row>
    <row r="34" spans="1:12">
      <c r="A34" s="1" t="s">
        <v>1</v>
      </c>
      <c r="B34" s="6" t="s">
        <v>44</v>
      </c>
      <c r="C34" s="55">
        <v>2576</v>
      </c>
      <c r="D34" s="9">
        <v>437</v>
      </c>
      <c r="E34" s="10">
        <f t="shared" si="0"/>
        <v>3013</v>
      </c>
      <c r="F34" s="54">
        <v>1935</v>
      </c>
      <c r="G34" s="55">
        <v>2361</v>
      </c>
      <c r="H34" s="55">
        <v>2060</v>
      </c>
      <c r="I34" s="55">
        <v>1690</v>
      </c>
      <c r="J34" s="73">
        <v>2534</v>
      </c>
      <c r="K34" s="10">
        <f t="shared" si="1"/>
        <v>10580</v>
      </c>
      <c r="L34" s="10">
        <f t="shared" si="2"/>
        <v>13593</v>
      </c>
    </row>
    <row r="35" spans="1:12">
      <c r="A35" s="1" t="s">
        <v>1</v>
      </c>
      <c r="B35" s="15" t="s">
        <v>45</v>
      </c>
      <c r="C35" s="57">
        <v>64691</v>
      </c>
      <c r="D35" s="31">
        <v>437</v>
      </c>
      <c r="E35" s="32">
        <f t="shared" si="0"/>
        <v>65128</v>
      </c>
      <c r="F35" s="56">
        <v>53235</v>
      </c>
      <c r="G35" s="57">
        <v>64476</v>
      </c>
      <c r="H35" s="57">
        <v>53570</v>
      </c>
      <c r="I35" s="57">
        <v>47140</v>
      </c>
      <c r="J35" s="74">
        <v>60104</v>
      </c>
      <c r="K35" s="32">
        <f t="shared" si="1"/>
        <v>278525</v>
      </c>
      <c r="L35" s="32">
        <f t="shared" si="2"/>
        <v>343653</v>
      </c>
    </row>
    <row r="36" spans="1:12">
      <c r="A36" s="1" t="s">
        <v>1</v>
      </c>
      <c r="B36" s="26" t="s">
        <v>46</v>
      </c>
      <c r="C36" s="51">
        <v>9560</v>
      </c>
      <c r="D36" s="27">
        <v>0</v>
      </c>
      <c r="E36" s="28">
        <f t="shared" si="0"/>
        <v>9560</v>
      </c>
      <c r="F36" s="50">
        <v>5400</v>
      </c>
      <c r="G36" s="51">
        <v>10620</v>
      </c>
      <c r="H36" s="51">
        <v>6350</v>
      </c>
      <c r="I36" s="51">
        <v>4050</v>
      </c>
      <c r="J36" s="71">
        <v>12840</v>
      </c>
      <c r="K36" s="28">
        <f t="shared" si="1"/>
        <v>39260</v>
      </c>
      <c r="L36" s="28">
        <f t="shared" si="2"/>
        <v>48820</v>
      </c>
    </row>
    <row r="37" spans="1:12">
      <c r="A37" s="1" t="s">
        <v>1</v>
      </c>
      <c r="B37" s="6" t="s">
        <v>47</v>
      </c>
      <c r="C37" s="55">
        <v>19700</v>
      </c>
      <c r="D37" s="9">
        <v>0</v>
      </c>
      <c r="E37" s="10">
        <f t="shared" si="0"/>
        <v>19700</v>
      </c>
      <c r="F37" s="54">
        <v>12600</v>
      </c>
      <c r="G37" s="55">
        <v>19400</v>
      </c>
      <c r="H37" s="55">
        <v>4400</v>
      </c>
      <c r="I37" s="55">
        <v>0</v>
      </c>
      <c r="J37" s="73">
        <v>7400</v>
      </c>
      <c r="K37" s="10">
        <f t="shared" si="1"/>
        <v>43800</v>
      </c>
      <c r="L37" s="10">
        <f t="shared" si="2"/>
        <v>63500</v>
      </c>
    </row>
    <row r="38" spans="1:12">
      <c r="A38" s="1" t="s">
        <v>1</v>
      </c>
      <c r="B38" s="33" t="s">
        <v>48</v>
      </c>
      <c r="C38" s="59">
        <v>93951</v>
      </c>
      <c r="D38" s="34">
        <v>437</v>
      </c>
      <c r="E38" s="35">
        <f t="shared" si="0"/>
        <v>94388</v>
      </c>
      <c r="F38" s="58">
        <v>71235</v>
      </c>
      <c r="G38" s="59">
        <v>94496</v>
      </c>
      <c r="H38" s="59">
        <v>64320</v>
      </c>
      <c r="I38" s="59">
        <v>51190</v>
      </c>
      <c r="J38" s="75">
        <v>80344</v>
      </c>
      <c r="K38" s="35">
        <f t="shared" si="1"/>
        <v>361585</v>
      </c>
      <c r="L38" s="35">
        <f t="shared" si="2"/>
        <v>455973</v>
      </c>
    </row>
    <row r="39" spans="1:12">
      <c r="A39" s="1" t="s">
        <v>1</v>
      </c>
      <c r="B39" s="15" t="s">
        <v>49</v>
      </c>
      <c r="C39" s="57">
        <v>354035</v>
      </c>
      <c r="D39" s="31">
        <v>72363</v>
      </c>
      <c r="E39" s="32">
        <f t="shared" si="0"/>
        <v>426398</v>
      </c>
      <c r="F39" s="56">
        <v>263112</v>
      </c>
      <c r="G39" s="57">
        <v>327426</v>
      </c>
      <c r="H39" s="57">
        <v>289717</v>
      </c>
      <c r="I39" s="57">
        <v>225202</v>
      </c>
      <c r="J39" s="74">
        <v>354569</v>
      </c>
      <c r="K39" s="32">
        <f t="shared" si="1"/>
        <v>1460026</v>
      </c>
      <c r="L39" s="32">
        <f t="shared" si="2"/>
        <v>1886424</v>
      </c>
    </row>
    <row r="40" spans="1:12">
      <c r="A40" s="1" t="s">
        <v>1</v>
      </c>
      <c r="B40" s="15" t="s">
        <v>50</v>
      </c>
      <c r="C40" s="57">
        <v>335426</v>
      </c>
      <c r="D40" s="31">
        <v>72363</v>
      </c>
      <c r="E40" s="32">
        <f t="shared" si="0"/>
        <v>407789</v>
      </c>
      <c r="F40" s="56">
        <v>251290</v>
      </c>
      <c r="G40" s="57">
        <v>299008</v>
      </c>
      <c r="H40" s="57">
        <v>278967</v>
      </c>
      <c r="I40" s="57">
        <v>230418</v>
      </c>
      <c r="J40" s="74">
        <v>342017</v>
      </c>
      <c r="K40" s="32">
        <f t="shared" si="1"/>
        <v>1401700</v>
      </c>
      <c r="L40" s="32">
        <f t="shared" si="2"/>
        <v>1809489</v>
      </c>
    </row>
    <row r="41" spans="1:12">
      <c r="A41" s="1" t="s">
        <v>1</v>
      </c>
      <c r="B41" s="15" t="s">
        <v>51</v>
      </c>
      <c r="C41" s="57">
        <v>335426</v>
      </c>
      <c r="D41" s="31">
        <v>72363</v>
      </c>
      <c r="E41" s="32">
        <f t="shared" si="0"/>
        <v>407789</v>
      </c>
      <c r="F41" s="56">
        <v>251290</v>
      </c>
      <c r="G41" s="57">
        <v>299008</v>
      </c>
      <c r="H41" s="57">
        <v>278967</v>
      </c>
      <c r="I41" s="57">
        <v>230418</v>
      </c>
      <c r="J41" s="74">
        <v>342017</v>
      </c>
      <c r="K41" s="32">
        <f t="shared" si="1"/>
        <v>1401700</v>
      </c>
      <c r="L41" s="32">
        <f t="shared" si="2"/>
        <v>1809489</v>
      </c>
    </row>
    <row r="42" spans="1:12">
      <c r="A42" s="1" t="s">
        <v>1</v>
      </c>
      <c r="B42" s="15" t="s">
        <v>52</v>
      </c>
      <c r="C42" s="57">
        <v>1</v>
      </c>
      <c r="D42" s="31">
        <v>0</v>
      </c>
      <c r="E42" s="32"/>
      <c r="F42" s="56">
        <v>1</v>
      </c>
      <c r="G42" s="57">
        <v>0</v>
      </c>
      <c r="H42" s="57">
        <v>1</v>
      </c>
      <c r="I42" s="57">
        <v>1</v>
      </c>
      <c r="J42" s="74">
        <v>0</v>
      </c>
      <c r="K42" s="32"/>
      <c r="L42" s="32"/>
    </row>
    <row r="43" spans="1:12" ht="19.5" thickBot="1">
      <c r="A43" s="1" t="s">
        <v>1</v>
      </c>
      <c r="B43" s="11" t="s">
        <v>53</v>
      </c>
      <c r="C43" s="61" t="s">
        <v>54</v>
      </c>
      <c r="D43" s="12" t="s">
        <v>54</v>
      </c>
      <c r="E43" s="13"/>
      <c r="F43" s="60" t="s">
        <v>54</v>
      </c>
      <c r="G43" s="61" t="s">
        <v>54</v>
      </c>
      <c r="H43" s="61" t="s">
        <v>54</v>
      </c>
      <c r="I43" s="61" t="s">
        <v>54</v>
      </c>
      <c r="J43" s="76" t="s">
        <v>54</v>
      </c>
      <c r="K43" s="13"/>
      <c r="L43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2024年2月度給与 (2)</vt:lpstr>
      <vt:lpstr>'2024年2月度給与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2024-03-07T05:30:39Z</cp:lastPrinted>
  <dcterms:created xsi:type="dcterms:W3CDTF">2024-03-07T04:40:45Z</dcterms:created>
  <dcterms:modified xsi:type="dcterms:W3CDTF">2024-03-11T00:37:24Z</dcterms:modified>
</cp:coreProperties>
</file>