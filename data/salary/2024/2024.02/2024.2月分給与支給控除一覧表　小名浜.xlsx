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2\"/>
    </mc:Choice>
  </mc:AlternateContent>
  <xr:revisionPtr revIDLastSave="0" documentId="13_ncr:1_{690634C7-1F8B-4485-989D-6B0BA1CD2710}" xr6:coauthVersionLast="47" xr6:coauthVersionMax="47" xr10:uidLastSave="{00000000-0000-0000-0000-000000000000}"/>
  <bookViews>
    <workbookView xWindow="-120" yWindow="-120" windowWidth="20730" windowHeight="11160" xr2:uid="{75E55521-7E46-4903-967F-86A343E1F1D5}"/>
  </bookViews>
  <sheets>
    <sheet name="2024年 2月度給与 (2)" sheetId="3" r:id="rId1"/>
    <sheet name="2024年 2月度給与 (4)" sheetId="5" r:id="rId2"/>
    <sheet name="2024年 2月度給与 (3)" sheetId="4" r:id="rId3"/>
  </sheets>
  <definedNames>
    <definedName name="_xlnm.Print_Area" localSheetId="1">'2024年 2月度給与 (4)'!$A$1:$N$56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4" i="5" l="1"/>
  <c r="K54" i="5"/>
  <c r="M53" i="5"/>
  <c r="K53" i="5"/>
  <c r="M52" i="5"/>
  <c r="K52" i="5"/>
  <c r="M51" i="5"/>
  <c r="K51" i="5"/>
  <c r="M50" i="5"/>
  <c r="K50" i="5"/>
  <c r="M49" i="5"/>
  <c r="K49" i="5"/>
  <c r="M48" i="5"/>
  <c r="K48" i="5"/>
  <c r="M47" i="5"/>
  <c r="K47" i="5"/>
  <c r="M46" i="5"/>
  <c r="K46" i="5"/>
  <c r="M45" i="5"/>
  <c r="K45" i="5"/>
  <c r="M44" i="5"/>
  <c r="K44" i="5"/>
  <c r="M43" i="5"/>
  <c r="K43" i="5"/>
  <c r="M42" i="5"/>
  <c r="K42" i="5"/>
  <c r="M41" i="5"/>
  <c r="K41" i="5"/>
  <c r="M40" i="5"/>
  <c r="K40" i="5"/>
  <c r="M39" i="5"/>
  <c r="K39" i="5"/>
  <c r="M38" i="5"/>
  <c r="K38" i="5"/>
  <c r="M37" i="5"/>
  <c r="K37" i="5"/>
  <c r="M36" i="5"/>
  <c r="K36" i="5"/>
  <c r="M35" i="5"/>
  <c r="K35" i="5"/>
  <c r="M34" i="5"/>
  <c r="K34" i="5"/>
  <c r="M33" i="5"/>
  <c r="K33" i="5"/>
  <c r="M32" i="5"/>
  <c r="K32" i="5"/>
  <c r="M31" i="5"/>
  <c r="K31" i="5"/>
  <c r="M30" i="5"/>
  <c r="K30" i="5"/>
  <c r="M29" i="5"/>
  <c r="K29" i="5"/>
  <c r="M28" i="5"/>
  <c r="K28" i="5"/>
  <c r="M27" i="5"/>
  <c r="K27" i="5"/>
  <c r="M26" i="5"/>
  <c r="K26" i="5"/>
  <c r="M25" i="5"/>
  <c r="K25" i="5"/>
  <c r="M24" i="5"/>
  <c r="K24" i="5"/>
  <c r="M23" i="5"/>
  <c r="K23" i="5"/>
  <c r="M22" i="5"/>
  <c r="K22" i="5"/>
  <c r="M21" i="5"/>
  <c r="K21" i="5"/>
  <c r="M20" i="5"/>
  <c r="K20" i="5"/>
  <c r="M19" i="5"/>
  <c r="K19" i="5"/>
  <c r="M18" i="5"/>
  <c r="K18" i="5"/>
  <c r="M17" i="5"/>
  <c r="K17" i="5"/>
  <c r="M16" i="5"/>
  <c r="K16" i="5"/>
  <c r="M15" i="5"/>
  <c r="K15" i="5"/>
  <c r="M14" i="5"/>
  <c r="K14" i="5"/>
  <c r="M13" i="5"/>
  <c r="K13" i="5"/>
  <c r="M12" i="5"/>
  <c r="K12" i="5"/>
  <c r="M11" i="5"/>
  <c r="K11" i="5"/>
  <c r="M10" i="5"/>
  <c r="K10" i="5"/>
  <c r="M9" i="5"/>
  <c r="K9" i="5"/>
  <c r="M8" i="5"/>
  <c r="K8" i="5"/>
  <c r="M7" i="5"/>
  <c r="K7" i="5"/>
  <c r="M6" i="5"/>
  <c r="K6" i="5"/>
  <c r="M5" i="5"/>
  <c r="K5" i="5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AG6" i="3"/>
  <c r="AH6" i="3" s="1"/>
  <c r="AG7" i="3"/>
  <c r="AH7" i="3" s="1"/>
  <c r="AG8" i="3"/>
  <c r="AG9" i="3"/>
  <c r="AG10" i="3"/>
  <c r="AH10" i="3" s="1"/>
  <c r="AG11" i="3"/>
  <c r="AH11" i="3" s="1"/>
  <c r="AG12" i="3"/>
  <c r="AG13" i="3"/>
  <c r="AG14" i="3"/>
  <c r="AH14" i="3" s="1"/>
  <c r="AG15" i="3"/>
  <c r="AH15" i="3" s="1"/>
  <c r="AG16" i="3"/>
  <c r="AG17" i="3"/>
  <c r="AG18" i="3"/>
  <c r="AH18" i="3" s="1"/>
  <c r="AG19" i="3"/>
  <c r="AH19" i="3" s="1"/>
  <c r="AG20" i="3"/>
  <c r="AG21" i="3"/>
  <c r="AG22" i="3"/>
  <c r="AH22" i="3" s="1"/>
  <c r="AG23" i="3"/>
  <c r="AH23" i="3" s="1"/>
  <c r="AG24" i="3"/>
  <c r="AG25" i="3"/>
  <c r="AG26" i="3"/>
  <c r="AH26" i="3" s="1"/>
  <c r="AG27" i="3"/>
  <c r="AH27" i="3" s="1"/>
  <c r="AG28" i="3"/>
  <c r="AG29" i="3"/>
  <c r="AG30" i="3"/>
  <c r="AH30" i="3" s="1"/>
  <c r="AG31" i="3"/>
  <c r="AH31" i="3" s="1"/>
  <c r="AG32" i="3"/>
  <c r="AG33" i="3"/>
  <c r="AG34" i="3"/>
  <c r="AH34" i="3" s="1"/>
  <c r="AG35" i="3"/>
  <c r="AH35" i="3" s="1"/>
  <c r="AG36" i="3"/>
  <c r="AG37" i="3"/>
  <c r="AG38" i="3"/>
  <c r="AH38" i="3" s="1"/>
  <c r="AG39" i="3"/>
  <c r="AH39" i="3" s="1"/>
  <c r="AG40" i="3"/>
  <c r="AG41" i="3"/>
  <c r="AG42" i="3"/>
  <c r="AH42" i="3" s="1"/>
  <c r="AG43" i="3"/>
  <c r="AH43" i="3" s="1"/>
  <c r="AG44" i="3"/>
  <c r="AG45" i="3"/>
  <c r="AG46" i="3"/>
  <c r="AH46" i="3" s="1"/>
  <c r="AG47" i="3"/>
  <c r="AH47" i="3" s="1"/>
  <c r="AG48" i="3"/>
  <c r="AG49" i="3"/>
  <c r="AG50" i="3"/>
  <c r="AH50" i="3" s="1"/>
  <c r="AG51" i="3"/>
  <c r="AH51" i="3" s="1"/>
  <c r="AG52" i="3"/>
  <c r="AG53" i="3"/>
  <c r="AG54" i="3"/>
  <c r="AH54" i="3" s="1"/>
  <c r="AG5" i="3"/>
  <c r="AH5" i="3" s="1"/>
  <c r="AE6" i="3"/>
  <c r="AE7" i="3"/>
  <c r="AE8" i="3"/>
  <c r="AH8" i="3" s="1"/>
  <c r="AE9" i="3"/>
  <c r="AH9" i="3" s="1"/>
  <c r="AE10" i="3"/>
  <c r="AE11" i="3"/>
  <c r="AE12" i="3"/>
  <c r="AH12" i="3" s="1"/>
  <c r="AE13" i="3"/>
  <c r="AH13" i="3" s="1"/>
  <c r="AE14" i="3"/>
  <c r="AE15" i="3"/>
  <c r="AE16" i="3"/>
  <c r="AH16" i="3" s="1"/>
  <c r="AE17" i="3"/>
  <c r="AH17" i="3" s="1"/>
  <c r="AE18" i="3"/>
  <c r="AE19" i="3"/>
  <c r="AE20" i="3"/>
  <c r="AH20" i="3" s="1"/>
  <c r="AE21" i="3"/>
  <c r="AH21" i="3" s="1"/>
  <c r="AE22" i="3"/>
  <c r="AE23" i="3"/>
  <c r="AE24" i="3"/>
  <c r="AH24" i="3" s="1"/>
  <c r="AE25" i="3"/>
  <c r="AH25" i="3" s="1"/>
  <c r="AE26" i="3"/>
  <c r="AE27" i="3"/>
  <c r="AE28" i="3"/>
  <c r="AH28" i="3" s="1"/>
  <c r="AE29" i="3"/>
  <c r="AH29" i="3" s="1"/>
  <c r="AE30" i="3"/>
  <c r="AE31" i="3"/>
  <c r="AE32" i="3"/>
  <c r="AH32" i="3" s="1"/>
  <c r="AE33" i="3"/>
  <c r="AH33" i="3" s="1"/>
  <c r="AE34" i="3"/>
  <c r="AE35" i="3"/>
  <c r="AE36" i="3"/>
  <c r="AH36" i="3" s="1"/>
  <c r="AE37" i="3"/>
  <c r="AH37" i="3" s="1"/>
  <c r="AE38" i="3"/>
  <c r="AE39" i="3"/>
  <c r="AE40" i="3"/>
  <c r="AH40" i="3" s="1"/>
  <c r="AE41" i="3"/>
  <c r="AH41" i="3" s="1"/>
  <c r="AE42" i="3"/>
  <c r="AE43" i="3"/>
  <c r="AE44" i="3"/>
  <c r="AH44" i="3" s="1"/>
  <c r="AE45" i="3"/>
  <c r="AH45" i="3" s="1"/>
  <c r="AE46" i="3"/>
  <c r="AE47" i="3"/>
  <c r="AE48" i="3"/>
  <c r="AH48" i="3" s="1"/>
  <c r="AE49" i="3"/>
  <c r="AH49" i="3" s="1"/>
  <c r="AE50" i="3"/>
  <c r="AE51" i="3"/>
  <c r="AE52" i="3"/>
  <c r="AH52" i="3" s="1"/>
  <c r="AE53" i="3"/>
  <c r="AH53" i="3" s="1"/>
  <c r="AE54" i="3"/>
  <c r="AE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" i="3"/>
</calcChain>
</file>

<file path=xl/sharedStrings.xml><?xml version="1.0" encoding="utf-8"?>
<sst xmlns="http://schemas.openxmlformats.org/spreadsheetml/2006/main" count="505" uniqueCount="116">
  <si>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</si>
  <si>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</si>
  <si>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</si>
  <si>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</si>
  <si>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</si>
  <si>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</si>
  <si>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</si>
  <si>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</si>
  <si>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</si>
  <si>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</si>
  <si>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</si>
  <si>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</si>
  <si>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</si>
  <si>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</si>
  <si>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</si>
  <si>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</si>
  <si>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</si>
  <si>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</si>
  <si>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</si>
  <si>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</si>
  <si>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</si>
  <si>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</si>
  <si>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</si>
  <si>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</si>
  <si>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</si>
  <si>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</si>
  <si>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</si>
  <si>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</si>
  <si>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</si>
  <si>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</si>
  <si>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</si>
  <si>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</si>
  <si>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</si>
  <si>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</si>
  <si>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</si>
  <si>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</si>
  <si>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</si>
  <si>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</si>
  <si>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</si>
  <si>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</si>
  <si>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</si>
  <si>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</si>
  <si>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</si>
  <si>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</si>
  <si>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</si>
  <si>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</si>
  <si>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</si>
  <si>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</si>
  <si>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</si>
  <si>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</si>
  <si>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</si>
  <si>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</si>
  <si>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</si>
  <si>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</si>
  <si>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</si>
  <si>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</si>
  <si>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</si>
  <si>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</si>
  <si>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</si>
  <si>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</si>
  <si>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</si>
  <si>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</si>
  <si>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</si>
  <si>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</si>
  <si>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</si>
  <si>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</si>
  <si>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</si>
  <si>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</si>
  <si>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</si>
  <si>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</si>
  <si>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</si>
  <si>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</si>
  <si>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</si>
  <si>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</si>
  <si>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</si>
  <si>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</si>
  <si>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</si>
  <si>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</si>
  <si>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</si>
  <si>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</si>
  <si>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</si>
  <si>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</si>
  <si>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</si>
  <si>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特別休暇</t>
    <phoneticPr fontId="4"/>
  </si>
  <si>
    <t>過不足調整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</si>
  <si>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</si>
  <si>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</si>
  <si>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</si>
  <si>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</si>
  <si>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</si>
  <si>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</si>
  <si>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</si>
  <si>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</si>
  <si>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</si>
  <si>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</si>
  <si>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</si>
  <si>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</si>
  <si>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</si>
  <si>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</si>
  <si>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</si>
  <si>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</si>
  <si>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</si>
  <si>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</si>
  <si>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</si>
  <si>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</si>
  <si>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</si>
  <si>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</si>
  <si>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</si>
  <si>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</si>
  <si>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2月度給与</t>
    <phoneticPr fontId="4"/>
  </si>
  <si>
    <t>下山田英治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</si>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</sst>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177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177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1E12CE52-C6CA-4281-91D7-E80AE5B82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9597-73C5-4055-AB82-411D97DF52DA}">
  <dimension ref="A1:AH56"/>
  <sheetViews>
    <sheetView tabSelected="1" workbookViewId="0">
      <pane xSplit="2" ySplit="4" topLeftCell="G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34" width="11.625" style="2" customWidth="1"/>
    <col min="35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80" width="11.125" style="2" bestFit="1" customWidth="1"/>
    <col min="281" max="281" width="9" style="2"/>
    <col min="282" max="288" width="11.125" style="2" bestFit="1" customWidth="1"/>
    <col min="289" max="289" width="9.625" style="2" bestFit="1" customWidth="1"/>
    <col min="29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6" width="11.125" style="2" bestFit="1" customWidth="1"/>
    <col min="537" max="537" width="9" style="2"/>
    <col min="538" max="544" width="11.125" style="2" bestFit="1" customWidth="1"/>
    <col min="545" max="545" width="9.625" style="2" bestFit="1" customWidth="1"/>
    <col min="54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2" width="11.125" style="2" bestFit="1" customWidth="1"/>
    <col min="793" max="793" width="9" style="2"/>
    <col min="794" max="800" width="11.125" style="2" bestFit="1" customWidth="1"/>
    <col min="801" max="801" width="9.625" style="2" bestFit="1" customWidth="1"/>
    <col min="80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8" width="11.125" style="2" bestFit="1" customWidth="1"/>
    <col min="1049" max="1049" width="9" style="2"/>
    <col min="1050" max="1056" width="11.125" style="2" bestFit="1" customWidth="1"/>
    <col min="1057" max="1057" width="9.625" style="2" bestFit="1" customWidth="1"/>
    <col min="105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4" width="11.125" style="2" bestFit="1" customWidth="1"/>
    <col min="1305" max="1305" width="9" style="2"/>
    <col min="1306" max="1312" width="11.125" style="2" bestFit="1" customWidth="1"/>
    <col min="1313" max="1313" width="9.625" style="2" bestFit="1" customWidth="1"/>
    <col min="131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60" width="11.125" style="2" bestFit="1" customWidth="1"/>
    <col min="1561" max="1561" width="9" style="2"/>
    <col min="1562" max="1568" width="11.125" style="2" bestFit="1" customWidth="1"/>
    <col min="1569" max="1569" width="9.625" style="2" bestFit="1" customWidth="1"/>
    <col min="157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6" width="11.125" style="2" bestFit="1" customWidth="1"/>
    <col min="1817" max="1817" width="9" style="2"/>
    <col min="1818" max="1824" width="11.125" style="2" bestFit="1" customWidth="1"/>
    <col min="1825" max="1825" width="9.625" style="2" bestFit="1" customWidth="1"/>
    <col min="182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2" width="11.125" style="2" bestFit="1" customWidth="1"/>
    <col min="2073" max="2073" width="9" style="2"/>
    <col min="2074" max="2080" width="11.125" style="2" bestFit="1" customWidth="1"/>
    <col min="2081" max="2081" width="9.625" style="2" bestFit="1" customWidth="1"/>
    <col min="208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8" width="11.125" style="2" bestFit="1" customWidth="1"/>
    <col min="2329" max="2329" width="9" style="2"/>
    <col min="2330" max="2336" width="11.125" style="2" bestFit="1" customWidth="1"/>
    <col min="2337" max="2337" width="9.625" style="2" bestFit="1" customWidth="1"/>
    <col min="233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4" width="11.125" style="2" bestFit="1" customWidth="1"/>
    <col min="2585" max="2585" width="9" style="2"/>
    <col min="2586" max="2592" width="11.125" style="2" bestFit="1" customWidth="1"/>
    <col min="2593" max="2593" width="9.625" style="2" bestFit="1" customWidth="1"/>
    <col min="259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40" width="11.125" style="2" bestFit="1" customWidth="1"/>
    <col min="2841" max="2841" width="9" style="2"/>
    <col min="2842" max="2848" width="11.125" style="2" bestFit="1" customWidth="1"/>
    <col min="2849" max="2849" width="9.625" style="2" bestFit="1" customWidth="1"/>
    <col min="285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6" width="11.125" style="2" bestFit="1" customWidth="1"/>
    <col min="3097" max="3097" width="9" style="2"/>
    <col min="3098" max="3104" width="11.125" style="2" bestFit="1" customWidth="1"/>
    <col min="3105" max="3105" width="9.625" style="2" bestFit="1" customWidth="1"/>
    <col min="310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2" width="11.125" style="2" bestFit="1" customWidth="1"/>
    <col min="3353" max="3353" width="9" style="2"/>
    <col min="3354" max="3360" width="11.125" style="2" bestFit="1" customWidth="1"/>
    <col min="3361" max="3361" width="9.625" style="2" bestFit="1" customWidth="1"/>
    <col min="336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8" width="11.125" style="2" bestFit="1" customWidth="1"/>
    <col min="3609" max="3609" width="9" style="2"/>
    <col min="3610" max="3616" width="11.125" style="2" bestFit="1" customWidth="1"/>
    <col min="3617" max="3617" width="9.625" style="2" bestFit="1" customWidth="1"/>
    <col min="361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4" width="11.125" style="2" bestFit="1" customWidth="1"/>
    <col min="3865" max="3865" width="9" style="2"/>
    <col min="3866" max="3872" width="11.125" style="2" bestFit="1" customWidth="1"/>
    <col min="3873" max="3873" width="9.625" style="2" bestFit="1" customWidth="1"/>
    <col min="387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20" width="11.125" style="2" bestFit="1" customWidth="1"/>
    <col min="4121" max="4121" width="9" style="2"/>
    <col min="4122" max="4128" width="11.125" style="2" bestFit="1" customWidth="1"/>
    <col min="4129" max="4129" width="9.625" style="2" bestFit="1" customWidth="1"/>
    <col min="413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6" width="11.125" style="2" bestFit="1" customWidth="1"/>
    <col min="4377" max="4377" width="9" style="2"/>
    <col min="4378" max="4384" width="11.125" style="2" bestFit="1" customWidth="1"/>
    <col min="4385" max="4385" width="9.625" style="2" bestFit="1" customWidth="1"/>
    <col min="438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2" width="11.125" style="2" bestFit="1" customWidth="1"/>
    <col min="4633" max="4633" width="9" style="2"/>
    <col min="4634" max="4640" width="11.125" style="2" bestFit="1" customWidth="1"/>
    <col min="4641" max="4641" width="9.625" style="2" bestFit="1" customWidth="1"/>
    <col min="464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8" width="11.125" style="2" bestFit="1" customWidth="1"/>
    <col min="4889" max="4889" width="9" style="2"/>
    <col min="4890" max="4896" width="11.125" style="2" bestFit="1" customWidth="1"/>
    <col min="4897" max="4897" width="9.625" style="2" bestFit="1" customWidth="1"/>
    <col min="489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4" width="11.125" style="2" bestFit="1" customWidth="1"/>
    <col min="5145" max="5145" width="9" style="2"/>
    <col min="5146" max="5152" width="11.125" style="2" bestFit="1" customWidth="1"/>
    <col min="5153" max="5153" width="9.625" style="2" bestFit="1" customWidth="1"/>
    <col min="515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400" width="11.125" style="2" bestFit="1" customWidth="1"/>
    <col min="5401" max="5401" width="9" style="2"/>
    <col min="5402" max="5408" width="11.125" style="2" bestFit="1" customWidth="1"/>
    <col min="5409" max="5409" width="9.625" style="2" bestFit="1" customWidth="1"/>
    <col min="541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6" width="11.125" style="2" bestFit="1" customWidth="1"/>
    <col min="5657" max="5657" width="9" style="2"/>
    <col min="5658" max="5664" width="11.125" style="2" bestFit="1" customWidth="1"/>
    <col min="5665" max="5665" width="9.625" style="2" bestFit="1" customWidth="1"/>
    <col min="566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2" width="11.125" style="2" bestFit="1" customWidth="1"/>
    <col min="5913" max="5913" width="9" style="2"/>
    <col min="5914" max="5920" width="11.125" style="2" bestFit="1" customWidth="1"/>
    <col min="5921" max="5921" width="9.625" style="2" bestFit="1" customWidth="1"/>
    <col min="592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8" width="11.125" style="2" bestFit="1" customWidth="1"/>
    <col min="6169" max="6169" width="9" style="2"/>
    <col min="6170" max="6176" width="11.125" style="2" bestFit="1" customWidth="1"/>
    <col min="6177" max="6177" width="9.625" style="2" bestFit="1" customWidth="1"/>
    <col min="617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4" width="11.125" style="2" bestFit="1" customWidth="1"/>
    <col min="6425" max="6425" width="9" style="2"/>
    <col min="6426" max="6432" width="11.125" style="2" bestFit="1" customWidth="1"/>
    <col min="6433" max="6433" width="9.625" style="2" bestFit="1" customWidth="1"/>
    <col min="643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80" width="11.125" style="2" bestFit="1" customWidth="1"/>
    <col min="6681" max="6681" width="9" style="2"/>
    <col min="6682" max="6688" width="11.125" style="2" bestFit="1" customWidth="1"/>
    <col min="6689" max="6689" width="9.625" style="2" bestFit="1" customWidth="1"/>
    <col min="669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6" width="11.125" style="2" bestFit="1" customWidth="1"/>
    <col min="6937" max="6937" width="9" style="2"/>
    <col min="6938" max="6944" width="11.125" style="2" bestFit="1" customWidth="1"/>
    <col min="6945" max="6945" width="9.625" style="2" bestFit="1" customWidth="1"/>
    <col min="694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2" width="11.125" style="2" bestFit="1" customWidth="1"/>
    <col min="7193" max="7193" width="9" style="2"/>
    <col min="7194" max="7200" width="11.125" style="2" bestFit="1" customWidth="1"/>
    <col min="7201" max="7201" width="9.625" style="2" bestFit="1" customWidth="1"/>
    <col min="720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8" width="11.125" style="2" bestFit="1" customWidth="1"/>
    <col min="7449" max="7449" width="9" style="2"/>
    <col min="7450" max="7456" width="11.125" style="2" bestFit="1" customWidth="1"/>
    <col min="7457" max="7457" width="9.625" style="2" bestFit="1" customWidth="1"/>
    <col min="745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4" width="11.125" style="2" bestFit="1" customWidth="1"/>
    <col min="7705" max="7705" width="9" style="2"/>
    <col min="7706" max="7712" width="11.125" style="2" bestFit="1" customWidth="1"/>
    <col min="7713" max="7713" width="9.625" style="2" bestFit="1" customWidth="1"/>
    <col min="771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60" width="11.125" style="2" bestFit="1" customWidth="1"/>
    <col min="7961" max="7961" width="9" style="2"/>
    <col min="7962" max="7968" width="11.125" style="2" bestFit="1" customWidth="1"/>
    <col min="7969" max="7969" width="9.625" style="2" bestFit="1" customWidth="1"/>
    <col min="797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6" width="11.125" style="2" bestFit="1" customWidth="1"/>
    <col min="8217" max="8217" width="9" style="2"/>
    <col min="8218" max="8224" width="11.125" style="2" bestFit="1" customWidth="1"/>
    <col min="8225" max="8225" width="9.625" style="2" bestFit="1" customWidth="1"/>
    <col min="822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2" width="11.125" style="2" bestFit="1" customWidth="1"/>
    <col min="8473" max="8473" width="9" style="2"/>
    <col min="8474" max="8480" width="11.125" style="2" bestFit="1" customWidth="1"/>
    <col min="8481" max="8481" width="9.625" style="2" bestFit="1" customWidth="1"/>
    <col min="848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8" width="11.125" style="2" bestFit="1" customWidth="1"/>
    <col min="8729" max="8729" width="9" style="2"/>
    <col min="8730" max="8736" width="11.125" style="2" bestFit="1" customWidth="1"/>
    <col min="8737" max="8737" width="9.625" style="2" bestFit="1" customWidth="1"/>
    <col min="873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4" width="11.125" style="2" bestFit="1" customWidth="1"/>
    <col min="8985" max="8985" width="9" style="2"/>
    <col min="8986" max="8992" width="11.125" style="2" bestFit="1" customWidth="1"/>
    <col min="8993" max="8993" width="9.625" style="2" bestFit="1" customWidth="1"/>
    <col min="899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40" width="11.125" style="2" bestFit="1" customWidth="1"/>
    <col min="9241" max="9241" width="9" style="2"/>
    <col min="9242" max="9248" width="11.125" style="2" bestFit="1" customWidth="1"/>
    <col min="9249" max="9249" width="9.625" style="2" bestFit="1" customWidth="1"/>
    <col min="925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6" width="11.125" style="2" bestFit="1" customWidth="1"/>
    <col min="9497" max="9497" width="9" style="2"/>
    <col min="9498" max="9504" width="11.125" style="2" bestFit="1" customWidth="1"/>
    <col min="9505" max="9505" width="9.625" style="2" bestFit="1" customWidth="1"/>
    <col min="950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2" width="11.125" style="2" bestFit="1" customWidth="1"/>
    <col min="9753" max="9753" width="9" style="2"/>
    <col min="9754" max="9760" width="11.125" style="2" bestFit="1" customWidth="1"/>
    <col min="9761" max="9761" width="9.625" style="2" bestFit="1" customWidth="1"/>
    <col min="976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8" width="11.125" style="2" bestFit="1" customWidth="1"/>
    <col min="10009" max="10009" width="9" style="2"/>
    <col min="10010" max="10016" width="11.125" style="2" bestFit="1" customWidth="1"/>
    <col min="10017" max="10017" width="9.625" style="2" bestFit="1" customWidth="1"/>
    <col min="1001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4" width="11.125" style="2" bestFit="1" customWidth="1"/>
    <col min="10265" max="10265" width="9" style="2"/>
    <col min="10266" max="10272" width="11.125" style="2" bestFit="1" customWidth="1"/>
    <col min="10273" max="10273" width="9.625" style="2" bestFit="1" customWidth="1"/>
    <col min="1027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20" width="11.125" style="2" bestFit="1" customWidth="1"/>
    <col min="10521" max="10521" width="9" style="2"/>
    <col min="10522" max="10528" width="11.125" style="2" bestFit="1" customWidth="1"/>
    <col min="10529" max="10529" width="9.625" style="2" bestFit="1" customWidth="1"/>
    <col min="1053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6" width="11.125" style="2" bestFit="1" customWidth="1"/>
    <col min="10777" max="10777" width="9" style="2"/>
    <col min="10778" max="10784" width="11.125" style="2" bestFit="1" customWidth="1"/>
    <col min="10785" max="10785" width="9.625" style="2" bestFit="1" customWidth="1"/>
    <col min="1078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2" width="11.125" style="2" bestFit="1" customWidth="1"/>
    <col min="11033" max="11033" width="9" style="2"/>
    <col min="11034" max="11040" width="11.125" style="2" bestFit="1" customWidth="1"/>
    <col min="11041" max="11041" width="9.625" style="2" bestFit="1" customWidth="1"/>
    <col min="1104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8" width="11.125" style="2" bestFit="1" customWidth="1"/>
    <col min="11289" max="11289" width="9" style="2"/>
    <col min="11290" max="11296" width="11.125" style="2" bestFit="1" customWidth="1"/>
    <col min="11297" max="11297" width="9.625" style="2" bestFit="1" customWidth="1"/>
    <col min="1129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4" width="11.125" style="2" bestFit="1" customWidth="1"/>
    <col min="11545" max="11545" width="9" style="2"/>
    <col min="11546" max="11552" width="11.125" style="2" bestFit="1" customWidth="1"/>
    <col min="11553" max="11553" width="9.625" style="2" bestFit="1" customWidth="1"/>
    <col min="1155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800" width="11.125" style="2" bestFit="1" customWidth="1"/>
    <col min="11801" max="11801" width="9" style="2"/>
    <col min="11802" max="11808" width="11.125" style="2" bestFit="1" customWidth="1"/>
    <col min="11809" max="11809" width="9.625" style="2" bestFit="1" customWidth="1"/>
    <col min="1181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6" width="11.125" style="2" bestFit="1" customWidth="1"/>
    <col min="12057" max="12057" width="9" style="2"/>
    <col min="12058" max="12064" width="11.125" style="2" bestFit="1" customWidth="1"/>
    <col min="12065" max="12065" width="9.625" style="2" bestFit="1" customWidth="1"/>
    <col min="1206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2" width="11.125" style="2" bestFit="1" customWidth="1"/>
    <col min="12313" max="12313" width="9" style="2"/>
    <col min="12314" max="12320" width="11.125" style="2" bestFit="1" customWidth="1"/>
    <col min="12321" max="12321" width="9.625" style="2" bestFit="1" customWidth="1"/>
    <col min="1232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8" width="11.125" style="2" bestFit="1" customWidth="1"/>
    <col min="12569" max="12569" width="9" style="2"/>
    <col min="12570" max="12576" width="11.125" style="2" bestFit="1" customWidth="1"/>
    <col min="12577" max="12577" width="9.625" style="2" bestFit="1" customWidth="1"/>
    <col min="1257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4" width="11.125" style="2" bestFit="1" customWidth="1"/>
    <col min="12825" max="12825" width="9" style="2"/>
    <col min="12826" max="12832" width="11.125" style="2" bestFit="1" customWidth="1"/>
    <col min="12833" max="12833" width="9.625" style="2" bestFit="1" customWidth="1"/>
    <col min="1283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80" width="11.125" style="2" bestFit="1" customWidth="1"/>
    <col min="13081" max="13081" width="9" style="2"/>
    <col min="13082" max="13088" width="11.125" style="2" bestFit="1" customWidth="1"/>
    <col min="13089" max="13089" width="9.625" style="2" bestFit="1" customWidth="1"/>
    <col min="1309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6" width="11.125" style="2" bestFit="1" customWidth="1"/>
    <col min="13337" max="13337" width="9" style="2"/>
    <col min="13338" max="13344" width="11.125" style="2" bestFit="1" customWidth="1"/>
    <col min="13345" max="13345" width="9.625" style="2" bestFit="1" customWidth="1"/>
    <col min="1334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2" width="11.125" style="2" bestFit="1" customWidth="1"/>
    <col min="13593" max="13593" width="9" style="2"/>
    <col min="13594" max="13600" width="11.125" style="2" bestFit="1" customWidth="1"/>
    <col min="13601" max="13601" width="9.625" style="2" bestFit="1" customWidth="1"/>
    <col min="1360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8" width="11.125" style="2" bestFit="1" customWidth="1"/>
    <col min="13849" max="13849" width="9" style="2"/>
    <col min="13850" max="13856" width="11.125" style="2" bestFit="1" customWidth="1"/>
    <col min="13857" max="13857" width="9.625" style="2" bestFit="1" customWidth="1"/>
    <col min="1385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4" width="11.125" style="2" bestFit="1" customWidth="1"/>
    <col min="14105" max="14105" width="9" style="2"/>
    <col min="14106" max="14112" width="11.125" style="2" bestFit="1" customWidth="1"/>
    <col min="14113" max="14113" width="9.625" style="2" bestFit="1" customWidth="1"/>
    <col min="1411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60" width="11.125" style="2" bestFit="1" customWidth="1"/>
    <col min="14361" max="14361" width="9" style="2"/>
    <col min="14362" max="14368" width="11.125" style="2" bestFit="1" customWidth="1"/>
    <col min="14369" max="14369" width="9.625" style="2" bestFit="1" customWidth="1"/>
    <col min="1437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6" width="11.125" style="2" bestFit="1" customWidth="1"/>
    <col min="14617" max="14617" width="9" style="2"/>
    <col min="14618" max="14624" width="11.125" style="2" bestFit="1" customWidth="1"/>
    <col min="14625" max="14625" width="9.625" style="2" bestFit="1" customWidth="1"/>
    <col min="1462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2" width="11.125" style="2" bestFit="1" customWidth="1"/>
    <col min="14873" max="14873" width="9" style="2"/>
    <col min="14874" max="14880" width="11.125" style="2" bestFit="1" customWidth="1"/>
    <col min="14881" max="14881" width="9.625" style="2" bestFit="1" customWidth="1"/>
    <col min="1488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8" width="11.125" style="2" bestFit="1" customWidth="1"/>
    <col min="15129" max="15129" width="9" style="2"/>
    <col min="15130" max="15136" width="11.125" style="2" bestFit="1" customWidth="1"/>
    <col min="15137" max="15137" width="9.625" style="2" bestFit="1" customWidth="1"/>
    <col min="1513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4" width="11.125" style="2" bestFit="1" customWidth="1"/>
    <col min="15385" max="15385" width="9" style="2"/>
    <col min="15386" max="15392" width="11.125" style="2" bestFit="1" customWidth="1"/>
    <col min="15393" max="15393" width="9.625" style="2" bestFit="1" customWidth="1"/>
    <col min="1539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40" width="11.125" style="2" bestFit="1" customWidth="1"/>
    <col min="15641" max="15641" width="9" style="2"/>
    <col min="15642" max="15648" width="11.125" style="2" bestFit="1" customWidth="1"/>
    <col min="15649" max="15649" width="9.625" style="2" bestFit="1" customWidth="1"/>
    <col min="1565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6" width="11.125" style="2" bestFit="1" customWidth="1"/>
    <col min="15897" max="15897" width="9" style="2"/>
    <col min="15898" max="15904" width="11.125" style="2" bestFit="1" customWidth="1"/>
    <col min="15905" max="15905" width="9.625" style="2" bestFit="1" customWidth="1"/>
    <col min="1590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2" width="11.125" style="2" bestFit="1" customWidth="1"/>
    <col min="16153" max="16153" width="9" style="2"/>
    <col min="16154" max="16160" width="11.125" style="2" bestFit="1" customWidth="1"/>
    <col min="16161" max="16161" width="9.625" style="2" bestFit="1" customWidth="1"/>
    <col min="16162" max="16384" width="9" style="2"/>
  </cols>
  <sheetData>
    <row r="1" spans="1:34">
      <c r="A1" s="1" t="s">
        <v>0</v>
      </c>
    </row>
    <row r="2" spans="1:34" ht="19.5" thickBot="1">
      <c r="A2" s="1" t="s">
        <v>109</v>
      </c>
    </row>
    <row r="3" spans="1:34">
      <c r="B3" s="14"/>
      <c r="C3" s="34" t="s">
        <v>2</v>
      </c>
      <c r="D3" s="35" t="s">
        <v>3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5" t="s">
        <v>13</v>
      </c>
      <c r="M3" s="35" t="s">
        <v>14</v>
      </c>
      <c r="N3" s="35" t="s">
        <v>15</v>
      </c>
      <c r="O3" s="35" t="s">
        <v>16</v>
      </c>
      <c r="P3" s="35" t="s">
        <v>18</v>
      </c>
      <c r="Q3" s="35" t="s">
        <v>19</v>
      </c>
      <c r="R3" s="35" t="s">
        <v>20</v>
      </c>
      <c r="S3" s="35" t="s">
        <v>21</v>
      </c>
      <c r="T3" s="35" t="s">
        <v>22</v>
      </c>
      <c r="U3" s="59" t="s">
        <v>23</v>
      </c>
      <c r="V3" s="83" t="s">
        <v>111</v>
      </c>
      <c r="W3" s="71" t="s">
        <v>17</v>
      </c>
      <c r="X3" s="35" t="s">
        <v>4</v>
      </c>
      <c r="Y3" s="35" t="s">
        <v>26</v>
      </c>
      <c r="Z3" s="35" t="s">
        <v>27</v>
      </c>
      <c r="AA3" s="35" t="s">
        <v>24</v>
      </c>
      <c r="AB3" s="35" t="s">
        <v>25</v>
      </c>
      <c r="AC3" s="35" t="s">
        <v>28</v>
      </c>
      <c r="AD3" s="4" t="s">
        <v>29</v>
      </c>
      <c r="AE3" s="83" t="s">
        <v>111</v>
      </c>
      <c r="AF3" s="85" t="s">
        <v>5</v>
      </c>
      <c r="AG3" s="83" t="s">
        <v>111</v>
      </c>
      <c r="AH3" s="86" t="s">
        <v>58</v>
      </c>
    </row>
    <row r="4" spans="1:34" ht="19.5" thickBot="1">
      <c r="B4" s="5" t="s">
        <v>30</v>
      </c>
      <c r="C4" s="36" t="s">
        <v>31</v>
      </c>
      <c r="D4" s="37" t="s">
        <v>32</v>
      </c>
      <c r="E4" s="37" t="s">
        <v>34</v>
      </c>
      <c r="F4" s="37" t="s">
        <v>35</v>
      </c>
      <c r="G4" s="37" t="s">
        <v>36</v>
      </c>
      <c r="H4" s="37" t="s">
        <v>37</v>
      </c>
      <c r="I4" s="37" t="s">
        <v>38</v>
      </c>
      <c r="J4" s="37" t="s">
        <v>39</v>
      </c>
      <c r="K4" s="37" t="s">
        <v>40</v>
      </c>
      <c r="L4" s="37" t="s">
        <v>41</v>
      </c>
      <c r="M4" s="37" t="s">
        <v>42</v>
      </c>
      <c r="N4" s="37" t="s">
        <v>43</v>
      </c>
      <c r="O4" s="37" t="s">
        <v>44</v>
      </c>
      <c r="P4" s="37" t="s">
        <v>46</v>
      </c>
      <c r="Q4" s="37" t="s">
        <v>47</v>
      </c>
      <c r="R4" s="37" t="s">
        <v>48</v>
      </c>
      <c r="S4" s="37" t="s">
        <v>49</v>
      </c>
      <c r="T4" s="37" t="s">
        <v>50</v>
      </c>
      <c r="U4" s="60" t="s">
        <v>51</v>
      </c>
      <c r="V4" s="84" t="s">
        <v>112</v>
      </c>
      <c r="W4" s="72" t="s">
        <v>45</v>
      </c>
      <c r="X4" s="37" t="s">
        <v>110</v>
      </c>
      <c r="Y4" s="37" t="s">
        <v>54</v>
      </c>
      <c r="Z4" s="37" t="s">
        <v>55</v>
      </c>
      <c r="AA4" s="37" t="s">
        <v>52</v>
      </c>
      <c r="AB4" s="37" t="s">
        <v>53</v>
      </c>
      <c r="AC4" s="37" t="s">
        <v>56</v>
      </c>
      <c r="AD4" s="3" t="s">
        <v>57</v>
      </c>
      <c r="AE4" s="84" t="s">
        <v>113</v>
      </c>
      <c r="AF4" s="84" t="s">
        <v>33</v>
      </c>
      <c r="AG4" s="84" t="s">
        <v>114</v>
      </c>
      <c r="AH4" s="5" t="s">
        <v>115</v>
      </c>
    </row>
    <row r="5" spans="1:34">
      <c r="A5" s="1" t="s">
        <v>1</v>
      </c>
      <c r="B5" s="27" t="s">
        <v>59</v>
      </c>
      <c r="C5" s="38">
        <v>18</v>
      </c>
      <c r="D5" s="39">
        <v>19</v>
      </c>
      <c r="E5" s="39">
        <v>16</v>
      </c>
      <c r="F5" s="39">
        <v>17</v>
      </c>
      <c r="G5" s="39">
        <v>16</v>
      </c>
      <c r="H5" s="39">
        <v>17</v>
      </c>
      <c r="I5" s="39">
        <v>18</v>
      </c>
      <c r="J5" s="39">
        <v>18</v>
      </c>
      <c r="K5" s="39">
        <v>18</v>
      </c>
      <c r="L5" s="39">
        <v>17</v>
      </c>
      <c r="M5" s="39">
        <v>19</v>
      </c>
      <c r="N5" s="39">
        <v>18</v>
      </c>
      <c r="O5" s="39">
        <v>19</v>
      </c>
      <c r="P5" s="39">
        <v>14</v>
      </c>
      <c r="Q5" s="39">
        <v>18</v>
      </c>
      <c r="R5" s="39">
        <v>17</v>
      </c>
      <c r="S5" s="39">
        <v>17</v>
      </c>
      <c r="T5" s="39">
        <v>19</v>
      </c>
      <c r="U5" s="61">
        <v>19</v>
      </c>
      <c r="V5" s="29">
        <f>SUM(C5:U5)</f>
        <v>334</v>
      </c>
      <c r="W5" s="73">
        <v>18</v>
      </c>
      <c r="X5" s="39">
        <v>12</v>
      </c>
      <c r="Y5" s="39">
        <v>12</v>
      </c>
      <c r="Z5" s="39">
        <v>16</v>
      </c>
      <c r="AA5" s="39">
        <v>10</v>
      </c>
      <c r="AB5" s="39">
        <v>10</v>
      </c>
      <c r="AC5" s="39">
        <v>6</v>
      </c>
      <c r="AD5" s="28">
        <v>18</v>
      </c>
      <c r="AE5" s="29">
        <f>SUM(W5:AD5)</f>
        <v>102</v>
      </c>
      <c r="AF5" s="29">
        <v>19</v>
      </c>
      <c r="AG5" s="29">
        <f>SUM(AF5)</f>
        <v>19</v>
      </c>
      <c r="AH5" s="29">
        <f>SUM(AG5,AE5,V5)</f>
        <v>455</v>
      </c>
    </row>
    <row r="6" spans="1:34">
      <c r="A6" s="1" t="s">
        <v>1</v>
      </c>
      <c r="B6" s="23" t="s">
        <v>60</v>
      </c>
      <c r="C6" s="40">
        <v>2</v>
      </c>
      <c r="D6" s="41">
        <v>1</v>
      </c>
      <c r="E6" s="41">
        <v>0</v>
      </c>
      <c r="F6" s="41">
        <v>3</v>
      </c>
      <c r="G6" s="41">
        <v>2</v>
      </c>
      <c r="H6" s="41">
        <v>2</v>
      </c>
      <c r="I6" s="41">
        <v>3</v>
      </c>
      <c r="J6" s="41">
        <v>4</v>
      </c>
      <c r="K6" s="41">
        <v>2</v>
      </c>
      <c r="L6" s="41">
        <v>3</v>
      </c>
      <c r="M6" s="41">
        <v>3</v>
      </c>
      <c r="N6" s="41">
        <v>1</v>
      </c>
      <c r="O6" s="41">
        <v>3</v>
      </c>
      <c r="P6" s="41">
        <v>3</v>
      </c>
      <c r="Q6" s="41">
        <v>3</v>
      </c>
      <c r="R6" s="41">
        <v>4</v>
      </c>
      <c r="S6" s="41">
        <v>2</v>
      </c>
      <c r="T6" s="41">
        <v>2</v>
      </c>
      <c r="U6" s="62">
        <v>3</v>
      </c>
      <c r="V6" s="31">
        <f t="shared" ref="V6:V54" si="0">SUM(C6:U6)</f>
        <v>46</v>
      </c>
      <c r="W6" s="74">
        <v>0</v>
      </c>
      <c r="X6" s="41">
        <v>3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30">
        <v>0</v>
      </c>
      <c r="AE6" s="31">
        <f t="shared" ref="AE6:AE54" si="1">SUM(W6:AD6)</f>
        <v>3</v>
      </c>
      <c r="AF6" s="31">
        <v>0</v>
      </c>
      <c r="AG6" s="31">
        <f t="shared" ref="AG6:AG54" si="2">SUM(AF6)</f>
        <v>0</v>
      </c>
      <c r="AH6" s="31">
        <f t="shared" ref="AH6:AH54" si="3">SUM(AG6,AE6,V6)</f>
        <v>49</v>
      </c>
    </row>
    <row r="7" spans="1:34">
      <c r="A7" s="1" t="s">
        <v>1</v>
      </c>
      <c r="B7" s="23" t="s">
        <v>61</v>
      </c>
      <c r="C7" s="40">
        <v>4</v>
      </c>
      <c r="D7" s="41">
        <v>6</v>
      </c>
      <c r="E7" s="41">
        <v>2</v>
      </c>
      <c r="F7" s="41">
        <v>1</v>
      </c>
      <c r="G7" s="41">
        <v>3</v>
      </c>
      <c r="H7" s="41">
        <v>2</v>
      </c>
      <c r="I7" s="41">
        <v>2</v>
      </c>
      <c r="J7" s="41">
        <v>2</v>
      </c>
      <c r="K7" s="41">
        <v>4</v>
      </c>
      <c r="L7" s="41">
        <v>2</v>
      </c>
      <c r="M7" s="41">
        <v>1</v>
      </c>
      <c r="N7" s="41">
        <v>4</v>
      </c>
      <c r="O7" s="41">
        <v>3</v>
      </c>
      <c r="P7" s="41">
        <v>4</v>
      </c>
      <c r="Q7" s="41">
        <v>1</v>
      </c>
      <c r="R7" s="41">
        <v>3</v>
      </c>
      <c r="S7" s="41">
        <v>4</v>
      </c>
      <c r="T7" s="41">
        <v>4</v>
      </c>
      <c r="U7" s="62">
        <v>3</v>
      </c>
      <c r="V7" s="31">
        <f t="shared" si="0"/>
        <v>55</v>
      </c>
      <c r="W7" s="74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30">
        <v>0</v>
      </c>
      <c r="AE7" s="31">
        <f t="shared" si="1"/>
        <v>0</v>
      </c>
      <c r="AF7" s="31">
        <v>0</v>
      </c>
      <c r="AG7" s="31">
        <f t="shared" si="2"/>
        <v>0</v>
      </c>
      <c r="AH7" s="31">
        <f t="shared" si="3"/>
        <v>55</v>
      </c>
    </row>
    <row r="8" spans="1:34">
      <c r="A8" s="1" t="s">
        <v>1</v>
      </c>
      <c r="B8" s="23" t="s">
        <v>62</v>
      </c>
      <c r="C8" s="40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1</v>
      </c>
      <c r="O8" s="41">
        <v>0</v>
      </c>
      <c r="P8" s="41">
        <v>0</v>
      </c>
      <c r="Q8" s="41">
        <v>1</v>
      </c>
      <c r="R8" s="41">
        <v>2</v>
      </c>
      <c r="S8" s="41">
        <v>1</v>
      </c>
      <c r="T8" s="41">
        <v>0</v>
      </c>
      <c r="U8" s="62">
        <v>0</v>
      </c>
      <c r="V8" s="31">
        <f t="shared" si="0"/>
        <v>5</v>
      </c>
      <c r="W8" s="74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30">
        <v>0</v>
      </c>
      <c r="AE8" s="31">
        <f t="shared" si="1"/>
        <v>0</v>
      </c>
      <c r="AF8" s="31">
        <v>0</v>
      </c>
      <c r="AG8" s="31">
        <f t="shared" si="2"/>
        <v>0</v>
      </c>
      <c r="AH8" s="31">
        <f t="shared" si="3"/>
        <v>5</v>
      </c>
    </row>
    <row r="9" spans="1:34">
      <c r="A9" s="1" t="s">
        <v>1</v>
      </c>
      <c r="B9" s="23" t="s">
        <v>63</v>
      </c>
      <c r="C9" s="40">
        <v>1</v>
      </c>
      <c r="D9" s="41">
        <v>0</v>
      </c>
      <c r="E9" s="41">
        <v>3</v>
      </c>
      <c r="F9" s="41">
        <v>2</v>
      </c>
      <c r="G9" s="41">
        <v>3</v>
      </c>
      <c r="H9" s="41">
        <v>2</v>
      </c>
      <c r="I9" s="41">
        <v>1</v>
      </c>
      <c r="J9" s="41">
        <v>1</v>
      </c>
      <c r="K9" s="41">
        <v>1.5</v>
      </c>
      <c r="L9" s="41">
        <v>0</v>
      </c>
      <c r="M9" s="41">
        <v>0</v>
      </c>
      <c r="N9" s="41">
        <v>0</v>
      </c>
      <c r="O9" s="41">
        <v>0</v>
      </c>
      <c r="P9" s="41">
        <v>1</v>
      </c>
      <c r="Q9" s="41">
        <v>0</v>
      </c>
      <c r="R9" s="41">
        <v>0</v>
      </c>
      <c r="S9" s="41">
        <v>1</v>
      </c>
      <c r="T9" s="41">
        <v>0</v>
      </c>
      <c r="U9" s="62">
        <v>0</v>
      </c>
      <c r="V9" s="31">
        <f t="shared" si="0"/>
        <v>16.5</v>
      </c>
      <c r="W9" s="74">
        <v>1</v>
      </c>
      <c r="X9" s="41">
        <v>2</v>
      </c>
      <c r="Y9" s="41">
        <v>2</v>
      </c>
      <c r="Z9" s="41">
        <v>1</v>
      </c>
      <c r="AA9" s="41">
        <v>0</v>
      </c>
      <c r="AB9" s="41">
        <v>0</v>
      </c>
      <c r="AC9" s="41">
        <v>0</v>
      </c>
      <c r="AD9" s="30">
        <v>0</v>
      </c>
      <c r="AE9" s="31">
        <f t="shared" si="1"/>
        <v>6</v>
      </c>
      <c r="AF9" s="31">
        <v>0</v>
      </c>
      <c r="AG9" s="31">
        <f t="shared" si="2"/>
        <v>0</v>
      </c>
      <c r="AH9" s="31">
        <f t="shared" si="3"/>
        <v>22.5</v>
      </c>
    </row>
    <row r="10" spans="1:34">
      <c r="A10" s="1" t="s">
        <v>1</v>
      </c>
      <c r="B10" s="23" t="s">
        <v>64</v>
      </c>
      <c r="C10" s="40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2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62">
        <v>0</v>
      </c>
      <c r="V10" s="31">
        <f t="shared" si="0"/>
        <v>2</v>
      </c>
      <c r="W10" s="74">
        <v>0</v>
      </c>
      <c r="X10" s="41">
        <v>5</v>
      </c>
      <c r="Y10" s="41">
        <v>0</v>
      </c>
      <c r="Z10" s="41">
        <v>0</v>
      </c>
      <c r="AA10" s="41">
        <v>0</v>
      </c>
      <c r="AB10" s="41">
        <v>0</v>
      </c>
      <c r="AC10" s="41">
        <v>1</v>
      </c>
      <c r="AD10" s="30">
        <v>0</v>
      </c>
      <c r="AE10" s="31">
        <f t="shared" si="1"/>
        <v>6</v>
      </c>
      <c r="AF10" s="31">
        <v>0</v>
      </c>
      <c r="AG10" s="31">
        <f t="shared" si="2"/>
        <v>0</v>
      </c>
      <c r="AH10" s="31">
        <f t="shared" si="3"/>
        <v>8</v>
      </c>
    </row>
    <row r="11" spans="1:34">
      <c r="A11" s="1" t="s">
        <v>1</v>
      </c>
      <c r="B11" s="23" t="s">
        <v>65</v>
      </c>
      <c r="C11" s="40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4</v>
      </c>
      <c r="Q11" s="41">
        <v>0</v>
      </c>
      <c r="R11" s="41">
        <v>0</v>
      </c>
      <c r="S11" s="41">
        <v>0</v>
      </c>
      <c r="T11" s="41">
        <v>0</v>
      </c>
      <c r="U11" s="62">
        <v>0</v>
      </c>
      <c r="V11" s="31">
        <f t="shared" si="0"/>
        <v>4</v>
      </c>
      <c r="W11" s="74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30">
        <v>0</v>
      </c>
      <c r="AE11" s="31">
        <f t="shared" si="1"/>
        <v>0</v>
      </c>
      <c r="AF11" s="31">
        <v>0</v>
      </c>
      <c r="AG11" s="31">
        <f t="shared" si="2"/>
        <v>0</v>
      </c>
      <c r="AH11" s="31">
        <f t="shared" si="3"/>
        <v>4</v>
      </c>
    </row>
    <row r="12" spans="1:34">
      <c r="A12" s="1" t="s">
        <v>1</v>
      </c>
      <c r="B12" s="23" t="s">
        <v>66</v>
      </c>
      <c r="C12" s="42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63">
        <v>0</v>
      </c>
      <c r="V12" s="33">
        <f t="shared" si="0"/>
        <v>0</v>
      </c>
      <c r="W12" s="75">
        <v>0</v>
      </c>
      <c r="X12" s="43">
        <v>0</v>
      </c>
      <c r="Y12" s="43">
        <v>3.0416666666666665</v>
      </c>
      <c r="Z12" s="43">
        <v>4.375</v>
      </c>
      <c r="AA12" s="43">
        <v>2.9583333333333335</v>
      </c>
      <c r="AB12" s="43">
        <v>2.9583333333333335</v>
      </c>
      <c r="AC12" s="43">
        <v>1.9166666666666665</v>
      </c>
      <c r="AD12" s="32">
        <v>3.875</v>
      </c>
      <c r="AE12" s="33">
        <f t="shared" si="1"/>
        <v>19.125</v>
      </c>
      <c r="AF12" s="33">
        <v>0</v>
      </c>
      <c r="AG12" s="33">
        <f t="shared" si="2"/>
        <v>0</v>
      </c>
      <c r="AH12" s="33">
        <f t="shared" si="3"/>
        <v>19.125</v>
      </c>
    </row>
    <row r="13" spans="1:34">
      <c r="A13" s="1" t="s">
        <v>1</v>
      </c>
      <c r="B13" s="23" t="s">
        <v>67</v>
      </c>
      <c r="C13" s="42">
        <v>0.91666666666666663</v>
      </c>
      <c r="D13" s="43">
        <v>1.5</v>
      </c>
      <c r="E13" s="43">
        <v>0.95833333333333337</v>
      </c>
      <c r="F13" s="43">
        <v>2.625</v>
      </c>
      <c r="G13" s="43">
        <v>2.4166666666666665</v>
      </c>
      <c r="H13" s="43">
        <v>2.5833333333333335</v>
      </c>
      <c r="I13" s="43">
        <v>1.7916666666666665</v>
      </c>
      <c r="J13" s="43">
        <v>2.2083333333333335</v>
      </c>
      <c r="K13" s="43">
        <v>1.625</v>
      </c>
      <c r="L13" s="43">
        <v>1.5</v>
      </c>
      <c r="M13" s="43">
        <v>1.625</v>
      </c>
      <c r="N13" s="43">
        <v>0.5</v>
      </c>
      <c r="O13" s="43">
        <v>1.2083333333333333</v>
      </c>
      <c r="P13" s="43">
        <v>2.0416666666666665</v>
      </c>
      <c r="Q13" s="43">
        <v>1.2916666666666667</v>
      </c>
      <c r="R13" s="43">
        <v>2.0833333333333335</v>
      </c>
      <c r="S13" s="43">
        <v>2.5416666666666665</v>
      </c>
      <c r="T13" s="43">
        <v>2.1666666666666665</v>
      </c>
      <c r="U13" s="63">
        <v>1.875</v>
      </c>
      <c r="V13" s="33">
        <f t="shared" si="0"/>
        <v>33.458333333333336</v>
      </c>
      <c r="W13" s="75">
        <v>0</v>
      </c>
      <c r="X13" s="43">
        <v>0.66666666666666663</v>
      </c>
      <c r="Y13" s="43">
        <v>0</v>
      </c>
      <c r="Z13" s="43">
        <v>0</v>
      </c>
      <c r="AA13" s="43">
        <v>0</v>
      </c>
      <c r="AB13" s="43">
        <v>0</v>
      </c>
      <c r="AC13" s="43">
        <v>8.3333333333333329E-2</v>
      </c>
      <c r="AD13" s="32">
        <v>0</v>
      </c>
      <c r="AE13" s="33">
        <f t="shared" si="1"/>
        <v>0.75</v>
      </c>
      <c r="AF13" s="33">
        <v>0</v>
      </c>
      <c r="AG13" s="33">
        <f t="shared" si="2"/>
        <v>0</v>
      </c>
      <c r="AH13" s="33">
        <f t="shared" si="3"/>
        <v>34.208333333333336</v>
      </c>
    </row>
    <row r="14" spans="1:34">
      <c r="A14" s="1" t="s">
        <v>1</v>
      </c>
      <c r="B14" s="23" t="s">
        <v>68</v>
      </c>
      <c r="C14" s="42">
        <v>0.875</v>
      </c>
      <c r="D14" s="43">
        <v>8.3333333333333329E-2</v>
      </c>
      <c r="E14" s="43">
        <v>0</v>
      </c>
      <c r="F14" s="43">
        <v>0.70833333333333337</v>
      </c>
      <c r="G14" s="43">
        <v>0.66666666666666663</v>
      </c>
      <c r="H14" s="43">
        <v>0.54166666666666663</v>
      </c>
      <c r="I14" s="43">
        <v>1.125</v>
      </c>
      <c r="J14" s="43">
        <v>1.5</v>
      </c>
      <c r="K14" s="43">
        <v>0.83333333333333337</v>
      </c>
      <c r="L14" s="43">
        <v>0.875</v>
      </c>
      <c r="M14" s="43">
        <v>1.2083333333333333</v>
      </c>
      <c r="N14" s="43">
        <v>0.29166666666666669</v>
      </c>
      <c r="O14" s="43">
        <v>0.875</v>
      </c>
      <c r="P14" s="43">
        <v>1.2916666666666667</v>
      </c>
      <c r="Q14" s="43">
        <v>0.875</v>
      </c>
      <c r="R14" s="43">
        <v>1.4583333333333333</v>
      </c>
      <c r="S14" s="43">
        <v>0.91666666666666663</v>
      </c>
      <c r="T14" s="43">
        <v>0.875</v>
      </c>
      <c r="U14" s="63">
        <v>0.875</v>
      </c>
      <c r="V14" s="33">
        <f t="shared" si="0"/>
        <v>15.874999999999998</v>
      </c>
      <c r="W14" s="75">
        <v>0</v>
      </c>
      <c r="X14" s="43">
        <v>0.91666666666666663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32">
        <v>0</v>
      </c>
      <c r="AE14" s="33">
        <f t="shared" si="1"/>
        <v>0.91666666666666663</v>
      </c>
      <c r="AF14" s="33">
        <v>0</v>
      </c>
      <c r="AG14" s="33">
        <f t="shared" si="2"/>
        <v>0</v>
      </c>
      <c r="AH14" s="33">
        <f t="shared" si="3"/>
        <v>16.791666666666664</v>
      </c>
    </row>
    <row r="15" spans="1:34">
      <c r="A15" s="1" t="s">
        <v>1</v>
      </c>
      <c r="B15" s="23" t="s">
        <v>69</v>
      </c>
      <c r="C15" s="42">
        <v>1.375</v>
      </c>
      <c r="D15" s="43">
        <v>2</v>
      </c>
      <c r="E15" s="43">
        <v>0.5</v>
      </c>
      <c r="F15" s="43">
        <v>0.33333333333333331</v>
      </c>
      <c r="G15" s="43">
        <v>0.91666666666666663</v>
      </c>
      <c r="H15" s="43">
        <v>0.70833333333333337</v>
      </c>
      <c r="I15" s="43">
        <v>0.95833333333333337</v>
      </c>
      <c r="J15" s="43">
        <v>1</v>
      </c>
      <c r="K15" s="43">
        <v>1.3333333333333333</v>
      </c>
      <c r="L15" s="43">
        <v>0.5</v>
      </c>
      <c r="M15" s="43">
        <v>0.45833333333333331</v>
      </c>
      <c r="N15" s="43">
        <v>0.95833333333333337</v>
      </c>
      <c r="O15" s="43">
        <v>0.875</v>
      </c>
      <c r="P15" s="43">
        <v>1.2916666666666667</v>
      </c>
      <c r="Q15" s="43">
        <v>0.45833333333333331</v>
      </c>
      <c r="R15" s="43">
        <v>0.95833333333333337</v>
      </c>
      <c r="S15" s="43">
        <v>0.75</v>
      </c>
      <c r="T15" s="43">
        <v>1.5833333333333335</v>
      </c>
      <c r="U15" s="63">
        <v>1.0833333333333333</v>
      </c>
      <c r="V15" s="33">
        <f t="shared" si="0"/>
        <v>18.041666666666668</v>
      </c>
      <c r="W15" s="75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32">
        <v>0</v>
      </c>
      <c r="AE15" s="33">
        <f t="shared" si="1"/>
        <v>0</v>
      </c>
      <c r="AF15" s="33">
        <v>0</v>
      </c>
      <c r="AG15" s="33">
        <f t="shared" si="2"/>
        <v>0</v>
      </c>
      <c r="AH15" s="33">
        <f t="shared" si="3"/>
        <v>18.041666666666668</v>
      </c>
    </row>
    <row r="16" spans="1:34">
      <c r="A16" s="1" t="s">
        <v>1</v>
      </c>
      <c r="B16" s="23" t="s">
        <v>70</v>
      </c>
      <c r="C16" s="42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0.41666666666666669</v>
      </c>
      <c r="R16" s="43">
        <v>0.25</v>
      </c>
      <c r="S16" s="43">
        <v>0</v>
      </c>
      <c r="T16" s="43">
        <v>0</v>
      </c>
      <c r="U16" s="63">
        <v>0</v>
      </c>
      <c r="V16" s="33">
        <f t="shared" si="0"/>
        <v>0.66666666666666674</v>
      </c>
      <c r="W16" s="75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32">
        <v>0</v>
      </c>
      <c r="AE16" s="33">
        <f t="shared" si="1"/>
        <v>0</v>
      </c>
      <c r="AF16" s="33">
        <v>0</v>
      </c>
      <c r="AG16" s="33">
        <f t="shared" si="2"/>
        <v>0</v>
      </c>
      <c r="AH16" s="33">
        <f t="shared" si="3"/>
        <v>0.66666666666666674</v>
      </c>
    </row>
    <row r="17" spans="1:34">
      <c r="A17" s="1" t="s">
        <v>1</v>
      </c>
      <c r="B17" s="23" t="s">
        <v>71</v>
      </c>
      <c r="C17" s="42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0.29166666666666669</v>
      </c>
      <c r="O17" s="43">
        <v>0</v>
      </c>
      <c r="P17" s="43">
        <v>0</v>
      </c>
      <c r="Q17" s="43">
        <v>0</v>
      </c>
      <c r="R17" s="43">
        <v>0.45833333333333331</v>
      </c>
      <c r="S17" s="43">
        <v>0.25</v>
      </c>
      <c r="T17" s="43">
        <v>0</v>
      </c>
      <c r="U17" s="63">
        <v>0</v>
      </c>
      <c r="V17" s="33">
        <f t="shared" si="0"/>
        <v>1</v>
      </c>
      <c r="W17" s="75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32">
        <v>0</v>
      </c>
      <c r="AE17" s="33">
        <f t="shared" si="1"/>
        <v>0</v>
      </c>
      <c r="AF17" s="33">
        <v>0</v>
      </c>
      <c r="AG17" s="33">
        <f t="shared" si="2"/>
        <v>0</v>
      </c>
      <c r="AH17" s="33">
        <f t="shared" si="3"/>
        <v>1</v>
      </c>
    </row>
    <row r="18" spans="1:34">
      <c r="A18" s="1" t="s">
        <v>1</v>
      </c>
      <c r="B18" s="23" t="s">
        <v>72</v>
      </c>
      <c r="C18" s="42">
        <v>0</v>
      </c>
      <c r="D18" s="43">
        <v>0</v>
      </c>
      <c r="E18" s="43">
        <v>0</v>
      </c>
      <c r="F18" s="43">
        <v>0.125</v>
      </c>
      <c r="G18" s="43">
        <v>0</v>
      </c>
      <c r="H18" s="43">
        <v>0.29166666666666669</v>
      </c>
      <c r="I18" s="43">
        <v>0</v>
      </c>
      <c r="J18" s="43">
        <v>4.1666666666666664E-2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4.1666666666666664E-2</v>
      </c>
      <c r="T18" s="43">
        <v>0</v>
      </c>
      <c r="U18" s="63">
        <v>0</v>
      </c>
      <c r="V18" s="33">
        <f t="shared" si="0"/>
        <v>0.5</v>
      </c>
      <c r="W18" s="75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32">
        <v>0</v>
      </c>
      <c r="AE18" s="33">
        <f t="shared" si="1"/>
        <v>0</v>
      </c>
      <c r="AF18" s="33">
        <v>0</v>
      </c>
      <c r="AG18" s="33">
        <f t="shared" si="2"/>
        <v>0</v>
      </c>
      <c r="AH18" s="33">
        <f t="shared" si="3"/>
        <v>0.5</v>
      </c>
    </row>
    <row r="19" spans="1:34">
      <c r="A19" s="1" t="s">
        <v>1</v>
      </c>
      <c r="B19" s="23" t="s">
        <v>73</v>
      </c>
      <c r="C19" s="42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63">
        <v>0</v>
      </c>
      <c r="V19" s="33">
        <f t="shared" si="0"/>
        <v>0</v>
      </c>
      <c r="W19" s="75">
        <v>0</v>
      </c>
      <c r="X19" s="43">
        <v>0</v>
      </c>
      <c r="Y19" s="43">
        <v>0.5</v>
      </c>
      <c r="Z19" s="43">
        <v>0.29166666666666669</v>
      </c>
      <c r="AA19" s="43">
        <v>0</v>
      </c>
      <c r="AB19" s="43">
        <v>0</v>
      </c>
      <c r="AC19" s="43">
        <v>0</v>
      </c>
      <c r="AD19" s="32">
        <v>0</v>
      </c>
      <c r="AE19" s="33">
        <f t="shared" si="1"/>
        <v>0.79166666666666674</v>
      </c>
      <c r="AF19" s="33">
        <v>0</v>
      </c>
      <c r="AG19" s="33">
        <f t="shared" si="2"/>
        <v>0</v>
      </c>
      <c r="AH19" s="33">
        <f t="shared" si="3"/>
        <v>0.79166666666666674</v>
      </c>
    </row>
    <row r="20" spans="1:34">
      <c r="A20" s="1" t="s">
        <v>1</v>
      </c>
      <c r="B20" s="6" t="s">
        <v>74</v>
      </c>
      <c r="C20" s="44">
        <v>0.375</v>
      </c>
      <c r="D20" s="45">
        <v>0.29166666666666669</v>
      </c>
      <c r="E20" s="45">
        <v>0.45833333333333331</v>
      </c>
      <c r="F20" s="45">
        <v>1.0833333333333333</v>
      </c>
      <c r="G20" s="45">
        <v>1.375</v>
      </c>
      <c r="H20" s="45">
        <v>1.1666666666666667</v>
      </c>
      <c r="I20" s="45">
        <v>8.3333333333333329E-2</v>
      </c>
      <c r="J20" s="45">
        <v>0.20833333333333334</v>
      </c>
      <c r="K20" s="45">
        <v>0.16666666666666666</v>
      </c>
      <c r="L20" s="45">
        <v>0.625</v>
      </c>
      <c r="M20" s="45">
        <v>0.41666666666666669</v>
      </c>
      <c r="N20" s="45">
        <v>0.58333333333333337</v>
      </c>
      <c r="O20" s="45">
        <v>0.41666666666666669</v>
      </c>
      <c r="P20" s="45">
        <v>0.95833333333333337</v>
      </c>
      <c r="Q20" s="45">
        <v>2.0833333333333335</v>
      </c>
      <c r="R20" s="45">
        <v>0.91666666666666663</v>
      </c>
      <c r="S20" s="45">
        <v>1.75</v>
      </c>
      <c r="T20" s="45">
        <v>0.58333333333333337</v>
      </c>
      <c r="U20" s="64">
        <v>0.41666666666666669</v>
      </c>
      <c r="V20" s="8">
        <f t="shared" si="0"/>
        <v>13.958333333333334</v>
      </c>
      <c r="W20" s="76">
        <v>0.33333333333333331</v>
      </c>
      <c r="X20" s="45">
        <v>0</v>
      </c>
      <c r="Y20" s="45">
        <v>0</v>
      </c>
      <c r="Z20" s="45">
        <v>0</v>
      </c>
      <c r="AA20" s="45">
        <v>2.0833333333333335</v>
      </c>
      <c r="AB20" s="45">
        <v>2.0833333333333335</v>
      </c>
      <c r="AC20" s="45">
        <v>0.41666666666666669</v>
      </c>
      <c r="AD20" s="7">
        <v>1.25</v>
      </c>
      <c r="AE20" s="8">
        <f t="shared" si="1"/>
        <v>6.166666666666667</v>
      </c>
      <c r="AF20" s="8">
        <v>4.1666666666666664E-2</v>
      </c>
      <c r="AG20" s="8">
        <f t="shared" si="2"/>
        <v>4.1666666666666664E-2</v>
      </c>
      <c r="AH20" s="8">
        <f t="shared" si="3"/>
        <v>20.166666666666668</v>
      </c>
    </row>
    <row r="21" spans="1:34">
      <c r="A21" s="1" t="s">
        <v>1</v>
      </c>
      <c r="B21" s="15" t="s">
        <v>75</v>
      </c>
      <c r="C21" s="46">
        <v>3</v>
      </c>
      <c r="D21" s="47">
        <v>0</v>
      </c>
      <c r="E21" s="47">
        <v>22</v>
      </c>
      <c r="F21" s="47">
        <v>21</v>
      </c>
      <c r="G21" s="47">
        <v>15</v>
      </c>
      <c r="H21" s="47">
        <v>14</v>
      </c>
      <c r="I21" s="47">
        <v>4</v>
      </c>
      <c r="J21" s="47">
        <v>17</v>
      </c>
      <c r="K21" s="47">
        <v>16.5</v>
      </c>
      <c r="L21" s="47">
        <v>28</v>
      </c>
      <c r="M21" s="47">
        <v>2</v>
      </c>
      <c r="N21" s="47">
        <v>4</v>
      </c>
      <c r="O21" s="47">
        <v>23</v>
      </c>
      <c r="P21" s="47">
        <v>4</v>
      </c>
      <c r="Q21" s="47">
        <v>21</v>
      </c>
      <c r="R21" s="47">
        <v>3</v>
      </c>
      <c r="S21" s="47">
        <v>3</v>
      </c>
      <c r="T21" s="47">
        <v>5</v>
      </c>
      <c r="U21" s="65">
        <v>10</v>
      </c>
      <c r="V21" s="17">
        <f t="shared" si="0"/>
        <v>215.5</v>
      </c>
      <c r="W21" s="77">
        <v>10</v>
      </c>
      <c r="X21" s="47">
        <v>31</v>
      </c>
      <c r="Y21" s="47">
        <v>13</v>
      </c>
      <c r="Z21" s="47">
        <v>16</v>
      </c>
      <c r="AA21" s="47">
        <v>0</v>
      </c>
      <c r="AB21" s="47">
        <v>0</v>
      </c>
      <c r="AC21" s="47">
        <v>2</v>
      </c>
      <c r="AD21" s="16">
        <v>17</v>
      </c>
      <c r="AE21" s="17">
        <f t="shared" si="1"/>
        <v>89</v>
      </c>
      <c r="AF21" s="17">
        <v>27</v>
      </c>
      <c r="AG21" s="17">
        <f t="shared" si="2"/>
        <v>27</v>
      </c>
      <c r="AH21" s="17">
        <f t="shared" si="3"/>
        <v>331.5</v>
      </c>
    </row>
    <row r="22" spans="1:34">
      <c r="A22" s="1" t="s">
        <v>1</v>
      </c>
      <c r="B22" s="20" t="s">
        <v>76</v>
      </c>
      <c r="C22" s="48">
        <v>177000</v>
      </c>
      <c r="D22" s="49">
        <v>187000</v>
      </c>
      <c r="E22" s="49">
        <v>192000</v>
      </c>
      <c r="F22" s="49">
        <v>192000</v>
      </c>
      <c r="G22" s="49">
        <v>187000</v>
      </c>
      <c r="H22" s="49">
        <v>192000</v>
      </c>
      <c r="I22" s="49">
        <v>177000</v>
      </c>
      <c r="J22" s="49">
        <v>182000</v>
      </c>
      <c r="K22" s="49">
        <v>177000</v>
      </c>
      <c r="L22" s="49">
        <v>187000</v>
      </c>
      <c r="M22" s="49">
        <v>177000</v>
      </c>
      <c r="N22" s="49">
        <v>182000</v>
      </c>
      <c r="O22" s="49">
        <v>187000</v>
      </c>
      <c r="P22" s="49">
        <v>177000</v>
      </c>
      <c r="Q22" s="49">
        <v>170000</v>
      </c>
      <c r="R22" s="49">
        <v>170000</v>
      </c>
      <c r="S22" s="49">
        <v>170000</v>
      </c>
      <c r="T22" s="49">
        <v>170000</v>
      </c>
      <c r="U22" s="66">
        <v>170000</v>
      </c>
      <c r="V22" s="22">
        <f t="shared" si="0"/>
        <v>3423000</v>
      </c>
      <c r="W22" s="78">
        <v>365000</v>
      </c>
      <c r="X22" s="49">
        <v>270000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21">
        <v>0</v>
      </c>
      <c r="AE22" s="22">
        <f t="shared" si="1"/>
        <v>635000</v>
      </c>
      <c r="AF22" s="22">
        <v>385000</v>
      </c>
      <c r="AG22" s="22">
        <f t="shared" si="2"/>
        <v>385000</v>
      </c>
      <c r="AH22" s="22">
        <f t="shared" si="3"/>
        <v>4443000</v>
      </c>
    </row>
    <row r="23" spans="1:34">
      <c r="A23" s="1" t="s">
        <v>1</v>
      </c>
      <c r="B23" s="23" t="s">
        <v>77</v>
      </c>
      <c r="C23" s="50">
        <v>0</v>
      </c>
      <c r="D23" s="51">
        <v>0</v>
      </c>
      <c r="E23" s="51">
        <v>20000</v>
      </c>
      <c r="F23" s="51">
        <v>20000</v>
      </c>
      <c r="G23" s="51">
        <v>5000</v>
      </c>
      <c r="H23" s="51">
        <v>5000</v>
      </c>
      <c r="I23" s="51">
        <v>0</v>
      </c>
      <c r="J23" s="51">
        <v>5000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5000</v>
      </c>
      <c r="Q23" s="51">
        <v>0</v>
      </c>
      <c r="R23" s="51">
        <v>0</v>
      </c>
      <c r="S23" s="51">
        <v>0</v>
      </c>
      <c r="T23" s="51">
        <v>0</v>
      </c>
      <c r="U23" s="67">
        <v>0</v>
      </c>
      <c r="V23" s="25">
        <f t="shared" si="0"/>
        <v>60000</v>
      </c>
      <c r="W23" s="79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24">
        <v>0</v>
      </c>
      <c r="AE23" s="25">
        <f t="shared" si="1"/>
        <v>0</v>
      </c>
      <c r="AF23" s="25">
        <v>0</v>
      </c>
      <c r="AG23" s="25">
        <f t="shared" si="2"/>
        <v>0</v>
      </c>
      <c r="AH23" s="25">
        <f t="shared" si="3"/>
        <v>60000</v>
      </c>
    </row>
    <row r="24" spans="1:34">
      <c r="A24" s="1" t="s">
        <v>1</v>
      </c>
      <c r="B24" s="23" t="s">
        <v>78</v>
      </c>
      <c r="C24" s="50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67">
        <v>0</v>
      </c>
      <c r="V24" s="25">
        <f t="shared" si="0"/>
        <v>0</v>
      </c>
      <c r="W24" s="79">
        <v>0</v>
      </c>
      <c r="X24" s="51">
        <v>3000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24">
        <v>0</v>
      </c>
      <c r="AE24" s="25">
        <f t="shared" si="1"/>
        <v>3000</v>
      </c>
      <c r="AF24" s="25">
        <v>0</v>
      </c>
      <c r="AG24" s="25">
        <f t="shared" si="2"/>
        <v>0</v>
      </c>
      <c r="AH24" s="25">
        <f t="shared" si="3"/>
        <v>3000</v>
      </c>
    </row>
    <row r="25" spans="1:34">
      <c r="A25" s="1" t="s">
        <v>1</v>
      </c>
      <c r="B25" s="23" t="s">
        <v>79</v>
      </c>
      <c r="C25" s="50">
        <v>0</v>
      </c>
      <c r="D25" s="51">
        <v>7640</v>
      </c>
      <c r="E25" s="51">
        <v>90004</v>
      </c>
      <c r="F25" s="51">
        <v>24135</v>
      </c>
      <c r="G25" s="51">
        <v>0</v>
      </c>
      <c r="H25" s="51">
        <v>22526</v>
      </c>
      <c r="I25" s="51">
        <v>5788</v>
      </c>
      <c r="J25" s="51">
        <v>0</v>
      </c>
      <c r="K25" s="51">
        <v>7235</v>
      </c>
      <c r="L25" s="51">
        <v>46658</v>
      </c>
      <c r="M25" s="51">
        <v>0</v>
      </c>
      <c r="N25" s="51">
        <v>83173</v>
      </c>
      <c r="O25" s="51">
        <v>26010</v>
      </c>
      <c r="P25" s="51">
        <v>11083</v>
      </c>
      <c r="Q25" s="51">
        <v>0</v>
      </c>
      <c r="R25" s="51">
        <v>0</v>
      </c>
      <c r="S25" s="51">
        <v>0</v>
      </c>
      <c r="T25" s="51">
        <v>0</v>
      </c>
      <c r="U25" s="67">
        <v>0</v>
      </c>
      <c r="V25" s="25">
        <f t="shared" si="0"/>
        <v>324252</v>
      </c>
      <c r="W25" s="79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24">
        <v>0</v>
      </c>
      <c r="AE25" s="25">
        <f t="shared" si="1"/>
        <v>0</v>
      </c>
      <c r="AF25" s="25">
        <v>0</v>
      </c>
      <c r="AG25" s="25">
        <f t="shared" si="2"/>
        <v>0</v>
      </c>
      <c r="AH25" s="25">
        <f t="shared" si="3"/>
        <v>324252</v>
      </c>
    </row>
    <row r="26" spans="1:34">
      <c r="A26" s="1" t="s">
        <v>1</v>
      </c>
      <c r="B26" s="23" t="s">
        <v>80</v>
      </c>
      <c r="C26" s="50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67">
        <v>0</v>
      </c>
      <c r="V26" s="25">
        <f t="shared" si="0"/>
        <v>0</v>
      </c>
      <c r="W26" s="79">
        <v>0</v>
      </c>
      <c r="X26" s="51">
        <v>0</v>
      </c>
      <c r="Y26" s="51">
        <v>71540</v>
      </c>
      <c r="Z26" s="51">
        <v>105000</v>
      </c>
      <c r="AA26" s="51">
        <v>65320</v>
      </c>
      <c r="AB26" s="51">
        <v>65320</v>
      </c>
      <c r="AC26" s="51">
        <v>42320</v>
      </c>
      <c r="AD26" s="24">
        <v>85560</v>
      </c>
      <c r="AE26" s="25">
        <f t="shared" si="1"/>
        <v>435060</v>
      </c>
      <c r="AF26" s="25">
        <v>0</v>
      </c>
      <c r="AG26" s="25">
        <f t="shared" si="2"/>
        <v>0</v>
      </c>
      <c r="AH26" s="25">
        <f t="shared" si="3"/>
        <v>435060</v>
      </c>
    </row>
    <row r="27" spans="1:34">
      <c r="A27" s="1" t="s">
        <v>1</v>
      </c>
      <c r="B27" s="23" t="s">
        <v>81</v>
      </c>
      <c r="C27" s="50">
        <v>3500</v>
      </c>
      <c r="D27" s="51">
        <v>3500</v>
      </c>
      <c r="E27" s="51">
        <v>3500</v>
      </c>
      <c r="F27" s="51">
        <v>3500</v>
      </c>
      <c r="G27" s="51">
        <v>1000</v>
      </c>
      <c r="H27" s="51">
        <v>3500</v>
      </c>
      <c r="I27" s="51">
        <v>3500</v>
      </c>
      <c r="J27" s="51">
        <v>3500</v>
      </c>
      <c r="K27" s="51">
        <v>3500</v>
      </c>
      <c r="L27" s="51">
        <v>3500</v>
      </c>
      <c r="M27" s="51">
        <v>3500</v>
      </c>
      <c r="N27" s="51">
        <v>3500</v>
      </c>
      <c r="O27" s="51">
        <v>3500</v>
      </c>
      <c r="P27" s="51">
        <v>3500</v>
      </c>
      <c r="Q27" s="51">
        <v>3500</v>
      </c>
      <c r="R27" s="51">
        <v>1000</v>
      </c>
      <c r="S27" s="51">
        <v>0</v>
      </c>
      <c r="T27" s="51">
        <v>1000</v>
      </c>
      <c r="U27" s="67">
        <v>0</v>
      </c>
      <c r="V27" s="25">
        <f t="shared" si="0"/>
        <v>52000</v>
      </c>
      <c r="W27" s="79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24">
        <v>0</v>
      </c>
      <c r="AE27" s="25">
        <f t="shared" si="1"/>
        <v>0</v>
      </c>
      <c r="AF27" s="25">
        <v>0</v>
      </c>
      <c r="AG27" s="25">
        <f t="shared" si="2"/>
        <v>0</v>
      </c>
      <c r="AH27" s="25">
        <f t="shared" si="3"/>
        <v>52000</v>
      </c>
    </row>
    <row r="28" spans="1:34">
      <c r="A28" s="1" t="s">
        <v>1</v>
      </c>
      <c r="B28" s="23" t="s">
        <v>82</v>
      </c>
      <c r="C28" s="50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67">
        <v>0</v>
      </c>
      <c r="V28" s="25">
        <f t="shared" si="0"/>
        <v>0</v>
      </c>
      <c r="W28" s="79">
        <v>0</v>
      </c>
      <c r="X28" s="51">
        <v>0</v>
      </c>
      <c r="Y28" s="51">
        <v>11760</v>
      </c>
      <c r="Z28" s="51">
        <v>7000</v>
      </c>
      <c r="AA28" s="51">
        <v>0</v>
      </c>
      <c r="AB28" s="51">
        <v>0</v>
      </c>
      <c r="AC28" s="51">
        <v>0</v>
      </c>
      <c r="AD28" s="24">
        <v>0</v>
      </c>
      <c r="AE28" s="25">
        <f t="shared" si="1"/>
        <v>18760</v>
      </c>
      <c r="AF28" s="25">
        <v>0</v>
      </c>
      <c r="AG28" s="25">
        <f t="shared" si="2"/>
        <v>0</v>
      </c>
      <c r="AH28" s="25">
        <f t="shared" si="3"/>
        <v>18760</v>
      </c>
    </row>
    <row r="29" spans="1:34">
      <c r="A29" s="1" t="s">
        <v>1</v>
      </c>
      <c r="B29" s="23" t="s">
        <v>83</v>
      </c>
      <c r="C29" s="50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67">
        <v>0</v>
      </c>
      <c r="V29" s="25">
        <f t="shared" si="0"/>
        <v>0</v>
      </c>
      <c r="W29" s="79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6440</v>
      </c>
      <c r="AD29" s="24">
        <v>0</v>
      </c>
      <c r="AE29" s="25">
        <f t="shared" si="1"/>
        <v>6440</v>
      </c>
      <c r="AF29" s="25">
        <v>0</v>
      </c>
      <c r="AG29" s="25">
        <f t="shared" si="2"/>
        <v>0</v>
      </c>
      <c r="AH29" s="25">
        <f t="shared" si="3"/>
        <v>6440</v>
      </c>
    </row>
    <row r="30" spans="1:34">
      <c r="A30" s="1" t="s">
        <v>1</v>
      </c>
      <c r="B30" s="23" t="s">
        <v>84</v>
      </c>
      <c r="C30" s="50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2">
        <v>-12760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67">
        <v>0</v>
      </c>
      <c r="V30" s="26">
        <f t="shared" si="0"/>
        <v>-12760</v>
      </c>
      <c r="W30" s="79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24">
        <v>0</v>
      </c>
      <c r="AE30" s="25">
        <f t="shared" si="1"/>
        <v>0</v>
      </c>
      <c r="AF30" s="25">
        <v>0</v>
      </c>
      <c r="AG30" s="25">
        <f t="shared" si="2"/>
        <v>0</v>
      </c>
      <c r="AH30" s="26">
        <f t="shared" si="3"/>
        <v>-12760</v>
      </c>
    </row>
    <row r="31" spans="1:34">
      <c r="A31" s="1" t="s">
        <v>1</v>
      </c>
      <c r="B31" s="23" t="s">
        <v>85</v>
      </c>
      <c r="C31" s="50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2">
        <v>-35500</v>
      </c>
      <c r="Q31" s="51">
        <v>0</v>
      </c>
      <c r="R31" s="51">
        <v>0</v>
      </c>
      <c r="S31" s="51">
        <v>0</v>
      </c>
      <c r="T31" s="51">
        <v>0</v>
      </c>
      <c r="U31" s="67">
        <v>0</v>
      </c>
      <c r="V31" s="26">
        <f t="shared" si="0"/>
        <v>-35500</v>
      </c>
      <c r="W31" s="79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24">
        <v>0</v>
      </c>
      <c r="AE31" s="25">
        <f t="shared" si="1"/>
        <v>0</v>
      </c>
      <c r="AF31" s="25">
        <v>0</v>
      </c>
      <c r="AG31" s="25">
        <f t="shared" si="2"/>
        <v>0</v>
      </c>
      <c r="AH31" s="26">
        <f t="shared" si="3"/>
        <v>-35500</v>
      </c>
    </row>
    <row r="32" spans="1:34">
      <c r="A32" s="1" t="s">
        <v>1</v>
      </c>
      <c r="B32" s="23" t="s">
        <v>67</v>
      </c>
      <c r="C32" s="50">
        <v>29722</v>
      </c>
      <c r="D32" s="51">
        <v>51336</v>
      </c>
      <c r="E32" s="51">
        <v>37099</v>
      </c>
      <c r="F32" s="51">
        <v>101619</v>
      </c>
      <c r="G32" s="51">
        <v>83810</v>
      </c>
      <c r="H32" s="51">
        <v>93062</v>
      </c>
      <c r="I32" s="51">
        <v>58093</v>
      </c>
      <c r="J32" s="51">
        <v>75578</v>
      </c>
      <c r="K32" s="51">
        <v>52689</v>
      </c>
      <c r="L32" s="51">
        <v>51336</v>
      </c>
      <c r="M32" s="51">
        <v>52689</v>
      </c>
      <c r="N32" s="51">
        <v>16668</v>
      </c>
      <c r="O32" s="51">
        <v>41354</v>
      </c>
      <c r="P32" s="51">
        <v>68061</v>
      </c>
      <c r="Q32" s="51">
        <v>40269</v>
      </c>
      <c r="R32" s="51">
        <v>64000</v>
      </c>
      <c r="S32" s="51">
        <v>77653</v>
      </c>
      <c r="T32" s="51">
        <v>66560</v>
      </c>
      <c r="U32" s="67">
        <v>57285</v>
      </c>
      <c r="V32" s="25">
        <f t="shared" si="0"/>
        <v>1118883</v>
      </c>
      <c r="W32" s="79">
        <v>0</v>
      </c>
      <c r="X32" s="51">
        <v>32704</v>
      </c>
      <c r="Y32" s="51">
        <v>0</v>
      </c>
      <c r="Z32" s="51">
        <v>0</v>
      </c>
      <c r="AA32" s="51">
        <v>0</v>
      </c>
      <c r="AB32" s="51">
        <v>0</v>
      </c>
      <c r="AC32" s="51">
        <v>2300</v>
      </c>
      <c r="AD32" s="24">
        <v>0</v>
      </c>
      <c r="AE32" s="25">
        <f t="shared" si="1"/>
        <v>35004</v>
      </c>
      <c r="AF32" s="25">
        <v>0</v>
      </c>
      <c r="AG32" s="25">
        <f t="shared" si="2"/>
        <v>0</v>
      </c>
      <c r="AH32" s="25">
        <f t="shared" si="3"/>
        <v>1153887</v>
      </c>
    </row>
    <row r="33" spans="1:34">
      <c r="A33" s="1" t="s">
        <v>1</v>
      </c>
      <c r="B33" s="23" t="s">
        <v>86</v>
      </c>
      <c r="C33" s="50">
        <v>30639</v>
      </c>
      <c r="D33" s="51">
        <v>3080</v>
      </c>
      <c r="E33" s="51">
        <v>0</v>
      </c>
      <c r="F33" s="51">
        <v>29614</v>
      </c>
      <c r="G33" s="51">
        <v>24976</v>
      </c>
      <c r="H33" s="51">
        <v>21073</v>
      </c>
      <c r="I33" s="51">
        <v>39393</v>
      </c>
      <c r="J33" s="51">
        <v>55440</v>
      </c>
      <c r="K33" s="51">
        <v>29180</v>
      </c>
      <c r="L33" s="51">
        <v>32340</v>
      </c>
      <c r="M33" s="51">
        <v>42311</v>
      </c>
      <c r="N33" s="51">
        <v>10500</v>
      </c>
      <c r="O33" s="51">
        <v>32340</v>
      </c>
      <c r="P33" s="51">
        <v>46500</v>
      </c>
      <c r="Q33" s="51">
        <v>29463</v>
      </c>
      <c r="R33" s="51">
        <v>48370</v>
      </c>
      <c r="S33" s="51">
        <v>30228</v>
      </c>
      <c r="T33" s="51">
        <v>29022</v>
      </c>
      <c r="U33" s="67">
        <v>28854</v>
      </c>
      <c r="V33" s="25">
        <f t="shared" si="0"/>
        <v>563323</v>
      </c>
      <c r="W33" s="79">
        <v>0</v>
      </c>
      <c r="X33" s="51">
        <v>48554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24">
        <v>0</v>
      </c>
      <c r="AE33" s="25">
        <f t="shared" si="1"/>
        <v>48554</v>
      </c>
      <c r="AF33" s="25">
        <v>0</v>
      </c>
      <c r="AG33" s="25">
        <f t="shared" si="2"/>
        <v>0</v>
      </c>
      <c r="AH33" s="25">
        <f t="shared" si="3"/>
        <v>611877</v>
      </c>
    </row>
    <row r="34" spans="1:34">
      <c r="A34" s="1" t="s">
        <v>1</v>
      </c>
      <c r="B34" s="23" t="s">
        <v>87</v>
      </c>
      <c r="C34" s="50">
        <v>48147</v>
      </c>
      <c r="D34" s="51">
        <v>73920</v>
      </c>
      <c r="E34" s="51">
        <v>20904</v>
      </c>
      <c r="F34" s="51">
        <v>13936</v>
      </c>
      <c r="G34" s="51">
        <v>34342</v>
      </c>
      <c r="H34" s="51">
        <v>27557</v>
      </c>
      <c r="I34" s="51">
        <v>33557</v>
      </c>
      <c r="J34" s="51">
        <v>36960</v>
      </c>
      <c r="K34" s="51">
        <v>46688</v>
      </c>
      <c r="L34" s="51">
        <v>18480</v>
      </c>
      <c r="M34" s="51">
        <v>16049</v>
      </c>
      <c r="N34" s="51">
        <v>34500</v>
      </c>
      <c r="O34" s="51">
        <v>32340</v>
      </c>
      <c r="P34" s="51">
        <v>46500</v>
      </c>
      <c r="Q34" s="51">
        <v>15433</v>
      </c>
      <c r="R34" s="51">
        <v>31786</v>
      </c>
      <c r="S34" s="51">
        <v>24732</v>
      </c>
      <c r="T34" s="51">
        <v>52516</v>
      </c>
      <c r="U34" s="67">
        <v>35724</v>
      </c>
      <c r="V34" s="25">
        <f t="shared" si="0"/>
        <v>644071</v>
      </c>
      <c r="W34" s="79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24">
        <v>0</v>
      </c>
      <c r="AE34" s="25">
        <f t="shared" si="1"/>
        <v>0</v>
      </c>
      <c r="AF34" s="25">
        <v>0</v>
      </c>
      <c r="AG34" s="25">
        <f t="shared" si="2"/>
        <v>0</v>
      </c>
      <c r="AH34" s="25">
        <f t="shared" si="3"/>
        <v>644071</v>
      </c>
    </row>
    <row r="35" spans="1:34">
      <c r="A35" s="1" t="s">
        <v>1</v>
      </c>
      <c r="B35" s="23" t="s">
        <v>88</v>
      </c>
      <c r="C35" s="50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3640</v>
      </c>
      <c r="R35" s="51">
        <v>2148</v>
      </c>
      <c r="S35" s="51">
        <v>0</v>
      </c>
      <c r="T35" s="51">
        <v>0</v>
      </c>
      <c r="U35" s="67">
        <v>0</v>
      </c>
      <c r="V35" s="25">
        <f t="shared" si="0"/>
        <v>5788</v>
      </c>
      <c r="W35" s="79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24">
        <v>0</v>
      </c>
      <c r="AE35" s="25">
        <f t="shared" si="1"/>
        <v>0</v>
      </c>
      <c r="AF35" s="25">
        <v>0</v>
      </c>
      <c r="AG35" s="25">
        <f t="shared" si="2"/>
        <v>0</v>
      </c>
      <c r="AH35" s="25">
        <f t="shared" si="3"/>
        <v>5788</v>
      </c>
    </row>
    <row r="36" spans="1:34">
      <c r="A36" s="1" t="s">
        <v>1</v>
      </c>
      <c r="B36" s="23" t="s">
        <v>89</v>
      </c>
      <c r="C36" s="50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2723</v>
      </c>
      <c r="O36" s="51">
        <v>0</v>
      </c>
      <c r="P36" s="51">
        <v>0</v>
      </c>
      <c r="Q36" s="51">
        <v>0</v>
      </c>
      <c r="R36" s="51">
        <v>3938</v>
      </c>
      <c r="S36" s="51">
        <v>2136</v>
      </c>
      <c r="T36" s="51">
        <v>0</v>
      </c>
      <c r="U36" s="67">
        <v>0</v>
      </c>
      <c r="V36" s="25">
        <f t="shared" si="0"/>
        <v>8797</v>
      </c>
      <c r="W36" s="79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24">
        <v>0</v>
      </c>
      <c r="AE36" s="25">
        <f t="shared" si="1"/>
        <v>0</v>
      </c>
      <c r="AF36" s="25">
        <v>0</v>
      </c>
      <c r="AG36" s="25">
        <f t="shared" si="2"/>
        <v>0</v>
      </c>
      <c r="AH36" s="25">
        <f t="shared" si="3"/>
        <v>8797</v>
      </c>
    </row>
    <row r="37" spans="1:34">
      <c r="A37" s="1" t="s">
        <v>1</v>
      </c>
      <c r="B37" s="23" t="s">
        <v>72</v>
      </c>
      <c r="C37" s="50">
        <v>0</v>
      </c>
      <c r="D37" s="51">
        <v>0</v>
      </c>
      <c r="E37" s="51">
        <v>0</v>
      </c>
      <c r="F37" s="51">
        <v>969</v>
      </c>
      <c r="G37" s="51">
        <v>0</v>
      </c>
      <c r="H37" s="51">
        <v>2100</v>
      </c>
      <c r="I37" s="51">
        <v>0</v>
      </c>
      <c r="J37" s="51">
        <v>285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255</v>
      </c>
      <c r="T37" s="51">
        <v>0</v>
      </c>
      <c r="U37" s="67">
        <v>0</v>
      </c>
      <c r="V37" s="25">
        <f t="shared" si="0"/>
        <v>3609</v>
      </c>
      <c r="W37" s="79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24">
        <v>0</v>
      </c>
      <c r="AE37" s="25">
        <f t="shared" si="1"/>
        <v>0</v>
      </c>
      <c r="AF37" s="25">
        <v>0</v>
      </c>
      <c r="AG37" s="25">
        <f t="shared" si="2"/>
        <v>0</v>
      </c>
      <c r="AH37" s="25">
        <f t="shared" si="3"/>
        <v>3609</v>
      </c>
    </row>
    <row r="38" spans="1:34">
      <c r="A38" s="1" t="s">
        <v>1</v>
      </c>
      <c r="B38" s="6" t="s">
        <v>74</v>
      </c>
      <c r="C38" s="53">
        <v>2430</v>
      </c>
      <c r="D38" s="54">
        <v>1995</v>
      </c>
      <c r="E38" s="54">
        <v>3553</v>
      </c>
      <c r="F38" s="54">
        <v>8398</v>
      </c>
      <c r="G38" s="54">
        <v>9537</v>
      </c>
      <c r="H38" s="54">
        <v>8400</v>
      </c>
      <c r="I38" s="54">
        <v>540</v>
      </c>
      <c r="J38" s="54">
        <v>1425</v>
      </c>
      <c r="K38" s="54">
        <v>1080</v>
      </c>
      <c r="L38" s="54">
        <v>4275</v>
      </c>
      <c r="M38" s="54">
        <v>2700</v>
      </c>
      <c r="N38" s="54">
        <v>3892</v>
      </c>
      <c r="O38" s="54">
        <v>2850</v>
      </c>
      <c r="P38" s="54">
        <v>6394</v>
      </c>
      <c r="Q38" s="54">
        <v>13000</v>
      </c>
      <c r="R38" s="54">
        <v>5632</v>
      </c>
      <c r="S38" s="54">
        <v>10710</v>
      </c>
      <c r="T38" s="54">
        <v>3584</v>
      </c>
      <c r="U38" s="68">
        <v>2550</v>
      </c>
      <c r="V38" s="10">
        <f t="shared" si="0"/>
        <v>92945</v>
      </c>
      <c r="W38" s="80">
        <v>4376</v>
      </c>
      <c r="X38" s="54">
        <v>0</v>
      </c>
      <c r="Y38" s="54">
        <v>0</v>
      </c>
      <c r="Z38" s="54">
        <v>0</v>
      </c>
      <c r="AA38" s="54">
        <v>11500</v>
      </c>
      <c r="AB38" s="54">
        <v>11500</v>
      </c>
      <c r="AC38" s="54">
        <v>2300</v>
      </c>
      <c r="AD38" s="9">
        <v>6900</v>
      </c>
      <c r="AE38" s="10">
        <f t="shared" si="1"/>
        <v>36576</v>
      </c>
      <c r="AF38" s="10">
        <v>576</v>
      </c>
      <c r="AG38" s="10">
        <f t="shared" si="2"/>
        <v>576</v>
      </c>
      <c r="AH38" s="10">
        <f t="shared" si="3"/>
        <v>130097</v>
      </c>
    </row>
    <row r="39" spans="1:34">
      <c r="A39" s="1" t="s">
        <v>1</v>
      </c>
      <c r="B39" s="15" t="s">
        <v>90</v>
      </c>
      <c r="C39" s="55">
        <v>291438</v>
      </c>
      <c r="D39" s="56">
        <v>328471</v>
      </c>
      <c r="E39" s="56">
        <v>367060</v>
      </c>
      <c r="F39" s="56">
        <v>394171</v>
      </c>
      <c r="G39" s="56">
        <v>345665</v>
      </c>
      <c r="H39" s="56">
        <v>375218</v>
      </c>
      <c r="I39" s="56">
        <v>317871</v>
      </c>
      <c r="J39" s="56">
        <v>360188</v>
      </c>
      <c r="K39" s="56">
        <v>317372</v>
      </c>
      <c r="L39" s="56">
        <v>343589</v>
      </c>
      <c r="M39" s="56">
        <v>294249</v>
      </c>
      <c r="N39" s="56">
        <v>324196</v>
      </c>
      <c r="O39" s="56">
        <v>325394</v>
      </c>
      <c r="P39" s="56">
        <v>328538</v>
      </c>
      <c r="Q39" s="56">
        <v>275305</v>
      </c>
      <c r="R39" s="56">
        <v>326874</v>
      </c>
      <c r="S39" s="56">
        <v>315714</v>
      </c>
      <c r="T39" s="56">
        <v>322682</v>
      </c>
      <c r="U39" s="69">
        <v>294413</v>
      </c>
      <c r="V39" s="19">
        <f t="shared" si="0"/>
        <v>6248408</v>
      </c>
      <c r="W39" s="81">
        <v>369376</v>
      </c>
      <c r="X39" s="56">
        <v>354258</v>
      </c>
      <c r="Y39" s="56">
        <v>83300</v>
      </c>
      <c r="Z39" s="56">
        <v>112000</v>
      </c>
      <c r="AA39" s="56">
        <v>76820</v>
      </c>
      <c r="AB39" s="56">
        <v>76820</v>
      </c>
      <c r="AC39" s="56">
        <v>53360</v>
      </c>
      <c r="AD39" s="18">
        <v>92460</v>
      </c>
      <c r="AE39" s="19">
        <f t="shared" si="1"/>
        <v>1218394</v>
      </c>
      <c r="AF39" s="19">
        <v>385576</v>
      </c>
      <c r="AG39" s="19">
        <f t="shared" si="2"/>
        <v>385576</v>
      </c>
      <c r="AH39" s="19">
        <f t="shared" si="3"/>
        <v>7852378</v>
      </c>
    </row>
    <row r="40" spans="1:34">
      <c r="A40" s="1" t="s">
        <v>1</v>
      </c>
      <c r="B40" s="20" t="s">
        <v>91</v>
      </c>
      <c r="C40" s="48">
        <v>13337</v>
      </c>
      <c r="D40" s="49">
        <v>3474</v>
      </c>
      <c r="E40" s="49">
        <v>4502</v>
      </c>
      <c r="F40" s="49">
        <v>2918</v>
      </c>
      <c r="G40" s="49">
        <v>13420</v>
      </c>
      <c r="H40" s="49">
        <v>2334</v>
      </c>
      <c r="I40" s="49">
        <v>2557</v>
      </c>
      <c r="J40" s="49">
        <v>1334</v>
      </c>
      <c r="K40" s="49">
        <v>3335</v>
      </c>
      <c r="L40" s="49">
        <v>4891</v>
      </c>
      <c r="M40" s="49">
        <v>6391</v>
      </c>
      <c r="N40" s="49">
        <v>1258</v>
      </c>
      <c r="O40" s="49">
        <v>8336</v>
      </c>
      <c r="P40" s="49">
        <v>5835</v>
      </c>
      <c r="Q40" s="49">
        <v>10392</v>
      </c>
      <c r="R40" s="49">
        <v>8002</v>
      </c>
      <c r="S40" s="49">
        <v>9586</v>
      </c>
      <c r="T40" s="49">
        <v>9030</v>
      </c>
      <c r="U40" s="66">
        <v>2668</v>
      </c>
      <c r="V40" s="22">
        <f t="shared" si="0"/>
        <v>113600</v>
      </c>
      <c r="W40" s="78">
        <v>3501</v>
      </c>
      <c r="X40" s="49">
        <v>3751</v>
      </c>
      <c r="Y40" s="49">
        <v>2668</v>
      </c>
      <c r="Z40" s="49">
        <v>2223</v>
      </c>
      <c r="AA40" s="49">
        <v>3335</v>
      </c>
      <c r="AB40" s="49">
        <v>4446</v>
      </c>
      <c r="AC40" s="49">
        <v>2168</v>
      </c>
      <c r="AD40" s="21">
        <v>7002</v>
      </c>
      <c r="AE40" s="22">
        <f t="shared" si="1"/>
        <v>29094</v>
      </c>
      <c r="AF40" s="22">
        <v>0</v>
      </c>
      <c r="AG40" s="22">
        <f t="shared" si="2"/>
        <v>0</v>
      </c>
      <c r="AH40" s="22">
        <f t="shared" si="3"/>
        <v>142694</v>
      </c>
    </row>
    <row r="41" spans="1:34">
      <c r="A41" s="1" t="s">
        <v>1</v>
      </c>
      <c r="B41" s="6" t="s">
        <v>92</v>
      </c>
      <c r="C41" s="53">
        <v>13337</v>
      </c>
      <c r="D41" s="54">
        <v>3474</v>
      </c>
      <c r="E41" s="54">
        <v>4502</v>
      </c>
      <c r="F41" s="54">
        <v>2918</v>
      </c>
      <c r="G41" s="54">
        <v>13420</v>
      </c>
      <c r="H41" s="54">
        <v>2334</v>
      </c>
      <c r="I41" s="54">
        <v>2557</v>
      </c>
      <c r="J41" s="54">
        <v>1334</v>
      </c>
      <c r="K41" s="54">
        <v>3335</v>
      </c>
      <c r="L41" s="54">
        <v>4891</v>
      </c>
      <c r="M41" s="54">
        <v>6391</v>
      </c>
      <c r="N41" s="54">
        <v>1258</v>
      </c>
      <c r="O41" s="54">
        <v>8336</v>
      </c>
      <c r="P41" s="54">
        <v>5835</v>
      </c>
      <c r="Q41" s="54">
        <v>10392</v>
      </c>
      <c r="R41" s="54">
        <v>8002</v>
      </c>
      <c r="S41" s="54">
        <v>9586</v>
      </c>
      <c r="T41" s="54">
        <v>9030</v>
      </c>
      <c r="U41" s="68">
        <v>2668</v>
      </c>
      <c r="V41" s="10">
        <f t="shared" si="0"/>
        <v>113600</v>
      </c>
      <c r="W41" s="80">
        <v>3501</v>
      </c>
      <c r="X41" s="54">
        <v>3751</v>
      </c>
      <c r="Y41" s="54">
        <v>2668</v>
      </c>
      <c r="Z41" s="54">
        <v>2223</v>
      </c>
      <c r="AA41" s="54">
        <v>3335</v>
      </c>
      <c r="AB41" s="54">
        <v>4446</v>
      </c>
      <c r="AC41" s="54">
        <v>2168</v>
      </c>
      <c r="AD41" s="9">
        <v>7002</v>
      </c>
      <c r="AE41" s="10">
        <f t="shared" si="1"/>
        <v>29094</v>
      </c>
      <c r="AF41" s="10">
        <v>0</v>
      </c>
      <c r="AG41" s="10">
        <f t="shared" si="2"/>
        <v>0</v>
      </c>
      <c r="AH41" s="10">
        <f t="shared" si="3"/>
        <v>142694</v>
      </c>
    </row>
    <row r="42" spans="1:34">
      <c r="A42" s="1" t="s">
        <v>1</v>
      </c>
      <c r="B42" s="15" t="s">
        <v>93</v>
      </c>
      <c r="C42" s="55">
        <v>304775</v>
      </c>
      <c r="D42" s="56">
        <v>331945</v>
      </c>
      <c r="E42" s="56">
        <v>371562</v>
      </c>
      <c r="F42" s="56">
        <v>397089</v>
      </c>
      <c r="G42" s="56">
        <v>359085</v>
      </c>
      <c r="H42" s="56">
        <v>377552</v>
      </c>
      <c r="I42" s="56">
        <v>320428</v>
      </c>
      <c r="J42" s="56">
        <v>361522</v>
      </c>
      <c r="K42" s="56">
        <v>320707</v>
      </c>
      <c r="L42" s="56">
        <v>348480</v>
      </c>
      <c r="M42" s="56">
        <v>300640</v>
      </c>
      <c r="N42" s="56">
        <v>325454</v>
      </c>
      <c r="O42" s="56">
        <v>333730</v>
      </c>
      <c r="P42" s="56">
        <v>334373</v>
      </c>
      <c r="Q42" s="56">
        <v>285697</v>
      </c>
      <c r="R42" s="56">
        <v>334876</v>
      </c>
      <c r="S42" s="56">
        <v>325300</v>
      </c>
      <c r="T42" s="56">
        <v>331712</v>
      </c>
      <c r="U42" s="69">
        <v>297081</v>
      </c>
      <c r="V42" s="19">
        <f t="shared" si="0"/>
        <v>6362008</v>
      </c>
      <c r="W42" s="81">
        <v>372877</v>
      </c>
      <c r="X42" s="56">
        <v>358009</v>
      </c>
      <c r="Y42" s="56">
        <v>85968</v>
      </c>
      <c r="Z42" s="56">
        <v>114223</v>
      </c>
      <c r="AA42" s="56">
        <v>80155</v>
      </c>
      <c r="AB42" s="56">
        <v>81266</v>
      </c>
      <c r="AC42" s="56">
        <v>55528</v>
      </c>
      <c r="AD42" s="18">
        <v>99462</v>
      </c>
      <c r="AE42" s="19">
        <f t="shared" si="1"/>
        <v>1247488</v>
      </c>
      <c r="AF42" s="19">
        <v>385576</v>
      </c>
      <c r="AG42" s="19">
        <f t="shared" si="2"/>
        <v>385576</v>
      </c>
      <c r="AH42" s="19">
        <f t="shared" si="3"/>
        <v>7995072</v>
      </c>
    </row>
    <row r="43" spans="1:34">
      <c r="A43" s="1" t="s">
        <v>1</v>
      </c>
      <c r="B43" s="20" t="s">
        <v>94</v>
      </c>
      <c r="C43" s="48">
        <v>15300</v>
      </c>
      <c r="D43" s="49">
        <v>16320</v>
      </c>
      <c r="E43" s="49">
        <v>19380</v>
      </c>
      <c r="F43" s="49">
        <v>20910</v>
      </c>
      <c r="G43" s="49">
        <v>17340</v>
      </c>
      <c r="H43" s="49">
        <v>19380</v>
      </c>
      <c r="I43" s="49">
        <v>16320</v>
      </c>
      <c r="J43" s="49">
        <v>16320</v>
      </c>
      <c r="K43" s="49">
        <v>16320</v>
      </c>
      <c r="L43" s="49">
        <v>18360</v>
      </c>
      <c r="M43" s="49">
        <v>15300</v>
      </c>
      <c r="N43" s="49">
        <v>16320</v>
      </c>
      <c r="O43" s="49">
        <v>16320</v>
      </c>
      <c r="P43" s="49">
        <v>17340</v>
      </c>
      <c r="Q43" s="49">
        <v>14280</v>
      </c>
      <c r="R43" s="49">
        <v>14280</v>
      </c>
      <c r="S43" s="49">
        <v>16320</v>
      </c>
      <c r="T43" s="49">
        <v>14280</v>
      </c>
      <c r="U43" s="66">
        <v>15300</v>
      </c>
      <c r="V43" s="22">
        <f t="shared" si="0"/>
        <v>315690</v>
      </c>
      <c r="W43" s="78">
        <v>18360</v>
      </c>
      <c r="X43" s="49">
        <v>19380</v>
      </c>
      <c r="Y43" s="49">
        <v>0</v>
      </c>
      <c r="Z43" s="49">
        <v>0</v>
      </c>
      <c r="AA43" s="49">
        <v>0</v>
      </c>
      <c r="AB43" s="49">
        <v>0</v>
      </c>
      <c r="AC43" s="49">
        <v>0</v>
      </c>
      <c r="AD43" s="21">
        <v>0</v>
      </c>
      <c r="AE43" s="22">
        <f t="shared" si="1"/>
        <v>37740</v>
      </c>
      <c r="AF43" s="22">
        <v>19380</v>
      </c>
      <c r="AG43" s="22">
        <f t="shared" si="2"/>
        <v>19380</v>
      </c>
      <c r="AH43" s="22">
        <f t="shared" si="3"/>
        <v>372810</v>
      </c>
    </row>
    <row r="44" spans="1:34">
      <c r="A44" s="1" t="s">
        <v>1</v>
      </c>
      <c r="B44" s="23" t="s">
        <v>95</v>
      </c>
      <c r="C44" s="50">
        <v>2700</v>
      </c>
      <c r="D44" s="51">
        <v>2880</v>
      </c>
      <c r="E44" s="51">
        <v>3420</v>
      </c>
      <c r="F44" s="51">
        <v>3690</v>
      </c>
      <c r="G44" s="51">
        <v>3060</v>
      </c>
      <c r="H44" s="51">
        <v>3420</v>
      </c>
      <c r="I44" s="51">
        <v>2880</v>
      </c>
      <c r="J44" s="51">
        <v>2880</v>
      </c>
      <c r="K44" s="51">
        <v>2880</v>
      </c>
      <c r="L44" s="51">
        <v>3240</v>
      </c>
      <c r="M44" s="51">
        <v>2700</v>
      </c>
      <c r="N44" s="51">
        <v>2880</v>
      </c>
      <c r="O44" s="51">
        <v>2880</v>
      </c>
      <c r="P44" s="51">
        <v>3060</v>
      </c>
      <c r="Q44" s="51">
        <v>2520</v>
      </c>
      <c r="R44" s="51">
        <v>2520</v>
      </c>
      <c r="S44" s="51">
        <v>2880</v>
      </c>
      <c r="T44" s="51">
        <v>2520</v>
      </c>
      <c r="U44" s="67">
        <v>2700</v>
      </c>
      <c r="V44" s="25">
        <f t="shared" si="0"/>
        <v>55710</v>
      </c>
      <c r="W44" s="79">
        <v>3240</v>
      </c>
      <c r="X44" s="51">
        <v>3420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24">
        <v>0</v>
      </c>
      <c r="AE44" s="25">
        <f t="shared" si="1"/>
        <v>6660</v>
      </c>
      <c r="AF44" s="25">
        <v>3420</v>
      </c>
      <c r="AG44" s="25">
        <f t="shared" si="2"/>
        <v>3420</v>
      </c>
      <c r="AH44" s="25">
        <f t="shared" si="3"/>
        <v>65790</v>
      </c>
    </row>
    <row r="45" spans="1:34">
      <c r="A45" s="1" t="s">
        <v>1</v>
      </c>
      <c r="B45" s="23" t="s">
        <v>96</v>
      </c>
      <c r="C45" s="50">
        <v>27450</v>
      </c>
      <c r="D45" s="51">
        <v>29280</v>
      </c>
      <c r="E45" s="51">
        <v>34770</v>
      </c>
      <c r="F45" s="51">
        <v>37515</v>
      </c>
      <c r="G45" s="51">
        <v>31110</v>
      </c>
      <c r="H45" s="51">
        <v>34770</v>
      </c>
      <c r="I45" s="51">
        <v>29280</v>
      </c>
      <c r="J45" s="51">
        <v>29280</v>
      </c>
      <c r="K45" s="51">
        <v>29280</v>
      </c>
      <c r="L45" s="51">
        <v>32940</v>
      </c>
      <c r="M45" s="51">
        <v>27450</v>
      </c>
      <c r="N45" s="51">
        <v>29280</v>
      </c>
      <c r="O45" s="51">
        <v>29280</v>
      </c>
      <c r="P45" s="51">
        <v>31110</v>
      </c>
      <c r="Q45" s="51">
        <v>25620</v>
      </c>
      <c r="R45" s="51">
        <v>25620</v>
      </c>
      <c r="S45" s="51">
        <v>29280</v>
      </c>
      <c r="T45" s="51">
        <v>25620</v>
      </c>
      <c r="U45" s="67">
        <v>27450</v>
      </c>
      <c r="V45" s="25">
        <f t="shared" si="0"/>
        <v>566385</v>
      </c>
      <c r="W45" s="79">
        <v>32940</v>
      </c>
      <c r="X45" s="51">
        <v>34770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24">
        <v>0</v>
      </c>
      <c r="AE45" s="25">
        <f t="shared" si="1"/>
        <v>67710</v>
      </c>
      <c r="AF45" s="25">
        <v>34770</v>
      </c>
      <c r="AG45" s="25">
        <f t="shared" si="2"/>
        <v>34770</v>
      </c>
      <c r="AH45" s="25">
        <f t="shared" si="3"/>
        <v>668865</v>
      </c>
    </row>
    <row r="46" spans="1:34">
      <c r="A46" s="1" t="s">
        <v>1</v>
      </c>
      <c r="B46" s="6" t="s">
        <v>97</v>
      </c>
      <c r="C46" s="53">
        <v>1829</v>
      </c>
      <c r="D46" s="54">
        <v>1992</v>
      </c>
      <c r="E46" s="54">
        <v>2229</v>
      </c>
      <c r="F46" s="54">
        <v>2383</v>
      </c>
      <c r="G46" s="54">
        <v>2155</v>
      </c>
      <c r="H46" s="54">
        <v>2265</v>
      </c>
      <c r="I46" s="54">
        <v>1923</v>
      </c>
      <c r="J46" s="54">
        <v>2169</v>
      </c>
      <c r="K46" s="54">
        <v>1924</v>
      </c>
      <c r="L46" s="54">
        <v>2091</v>
      </c>
      <c r="M46" s="54">
        <v>1804</v>
      </c>
      <c r="N46" s="54">
        <v>1953</v>
      </c>
      <c r="O46" s="54">
        <v>2002</v>
      </c>
      <c r="P46" s="54">
        <v>2006</v>
      </c>
      <c r="Q46" s="54">
        <v>1714</v>
      </c>
      <c r="R46" s="54">
        <v>2009</v>
      </c>
      <c r="S46" s="54">
        <v>1952</v>
      </c>
      <c r="T46" s="54">
        <v>1990</v>
      </c>
      <c r="U46" s="68">
        <v>1782</v>
      </c>
      <c r="V46" s="10">
        <f t="shared" si="0"/>
        <v>38172</v>
      </c>
      <c r="W46" s="80">
        <v>2237</v>
      </c>
      <c r="X46" s="54">
        <v>2148</v>
      </c>
      <c r="Y46" s="54">
        <v>516</v>
      </c>
      <c r="Z46" s="54">
        <v>685</v>
      </c>
      <c r="AA46" s="54">
        <v>0</v>
      </c>
      <c r="AB46" s="54">
        <v>0</v>
      </c>
      <c r="AC46" s="54">
        <v>0</v>
      </c>
      <c r="AD46" s="9">
        <v>597</v>
      </c>
      <c r="AE46" s="10">
        <f t="shared" si="1"/>
        <v>6183</v>
      </c>
      <c r="AF46" s="10">
        <v>2313</v>
      </c>
      <c r="AG46" s="10">
        <f t="shared" si="2"/>
        <v>2313</v>
      </c>
      <c r="AH46" s="10">
        <f t="shared" si="3"/>
        <v>46668</v>
      </c>
    </row>
    <row r="47" spans="1:34">
      <c r="A47" s="1" t="s">
        <v>1</v>
      </c>
      <c r="B47" s="15" t="s">
        <v>98</v>
      </c>
      <c r="C47" s="55">
        <v>47279</v>
      </c>
      <c r="D47" s="56">
        <v>50472</v>
      </c>
      <c r="E47" s="56">
        <v>59799</v>
      </c>
      <c r="F47" s="56">
        <v>64498</v>
      </c>
      <c r="G47" s="56">
        <v>53665</v>
      </c>
      <c r="H47" s="56">
        <v>59835</v>
      </c>
      <c r="I47" s="56">
        <v>50403</v>
      </c>
      <c r="J47" s="56">
        <v>50649</v>
      </c>
      <c r="K47" s="56">
        <v>50404</v>
      </c>
      <c r="L47" s="56">
        <v>56631</v>
      </c>
      <c r="M47" s="56">
        <v>47254</v>
      </c>
      <c r="N47" s="56">
        <v>50433</v>
      </c>
      <c r="O47" s="56">
        <v>50482</v>
      </c>
      <c r="P47" s="56">
        <v>53516</v>
      </c>
      <c r="Q47" s="56">
        <v>44134</v>
      </c>
      <c r="R47" s="56">
        <v>44429</v>
      </c>
      <c r="S47" s="56">
        <v>50432</v>
      </c>
      <c r="T47" s="56">
        <v>44410</v>
      </c>
      <c r="U47" s="69">
        <v>47232</v>
      </c>
      <c r="V47" s="19">
        <f t="shared" si="0"/>
        <v>975957</v>
      </c>
      <c r="W47" s="81">
        <v>56777</v>
      </c>
      <c r="X47" s="56">
        <v>59718</v>
      </c>
      <c r="Y47" s="56">
        <v>516</v>
      </c>
      <c r="Z47" s="56">
        <v>685</v>
      </c>
      <c r="AA47" s="56">
        <v>0</v>
      </c>
      <c r="AB47" s="56">
        <v>0</v>
      </c>
      <c r="AC47" s="56">
        <v>0</v>
      </c>
      <c r="AD47" s="18">
        <v>597</v>
      </c>
      <c r="AE47" s="19">
        <f t="shared" si="1"/>
        <v>118293</v>
      </c>
      <c r="AF47" s="19">
        <v>59883</v>
      </c>
      <c r="AG47" s="19">
        <f t="shared" si="2"/>
        <v>59883</v>
      </c>
      <c r="AH47" s="19">
        <f t="shared" si="3"/>
        <v>1154133</v>
      </c>
    </row>
    <row r="48" spans="1:34">
      <c r="A48" s="1" t="s">
        <v>1</v>
      </c>
      <c r="B48" s="20" t="s">
        <v>99</v>
      </c>
      <c r="C48" s="48">
        <v>4730</v>
      </c>
      <c r="D48" s="49">
        <v>7550</v>
      </c>
      <c r="E48" s="49">
        <v>7020</v>
      </c>
      <c r="F48" s="49">
        <v>10800</v>
      </c>
      <c r="G48" s="49">
        <v>6440</v>
      </c>
      <c r="H48" s="49">
        <v>9640</v>
      </c>
      <c r="I48" s="49">
        <v>7180</v>
      </c>
      <c r="J48" s="49">
        <v>7110</v>
      </c>
      <c r="K48" s="49">
        <v>7160</v>
      </c>
      <c r="L48" s="49">
        <v>7870</v>
      </c>
      <c r="M48" s="49">
        <v>6440</v>
      </c>
      <c r="N48" s="49">
        <v>7400</v>
      </c>
      <c r="O48" s="49">
        <v>7440</v>
      </c>
      <c r="P48" s="49">
        <v>980</v>
      </c>
      <c r="Q48" s="49">
        <v>5880</v>
      </c>
      <c r="R48" s="49">
        <v>7710</v>
      </c>
      <c r="S48" s="49">
        <v>5480</v>
      </c>
      <c r="T48" s="49">
        <v>7560</v>
      </c>
      <c r="U48" s="66">
        <v>6450</v>
      </c>
      <c r="V48" s="22">
        <f t="shared" si="0"/>
        <v>130840</v>
      </c>
      <c r="W48" s="78">
        <v>9410</v>
      </c>
      <c r="X48" s="49">
        <v>6530</v>
      </c>
      <c r="Y48" s="49">
        <v>0</v>
      </c>
      <c r="Z48" s="49">
        <v>1300</v>
      </c>
      <c r="AA48" s="49">
        <v>0</v>
      </c>
      <c r="AB48" s="49">
        <v>0</v>
      </c>
      <c r="AC48" s="49">
        <v>0</v>
      </c>
      <c r="AD48" s="21">
        <v>0</v>
      </c>
      <c r="AE48" s="22">
        <f t="shared" si="1"/>
        <v>17240</v>
      </c>
      <c r="AF48" s="22">
        <v>10480</v>
      </c>
      <c r="AG48" s="22">
        <f t="shared" si="2"/>
        <v>10480</v>
      </c>
      <c r="AH48" s="22">
        <f t="shared" si="3"/>
        <v>158560</v>
      </c>
    </row>
    <row r="49" spans="1:34">
      <c r="A49" s="1" t="s">
        <v>1</v>
      </c>
      <c r="B49" s="23" t="s">
        <v>100</v>
      </c>
      <c r="C49" s="50">
        <v>1300</v>
      </c>
      <c r="D49" s="51">
        <v>1300</v>
      </c>
      <c r="E49" s="51">
        <v>1300</v>
      </c>
      <c r="F49" s="51">
        <v>0</v>
      </c>
      <c r="G49" s="51">
        <v>1300</v>
      </c>
      <c r="H49" s="51">
        <v>1300</v>
      </c>
      <c r="I49" s="51">
        <v>1300</v>
      </c>
      <c r="J49" s="51">
        <v>1300</v>
      </c>
      <c r="K49" s="51">
        <v>1300</v>
      </c>
      <c r="L49" s="51">
        <v>1300</v>
      </c>
      <c r="M49" s="51">
        <v>0</v>
      </c>
      <c r="N49" s="51">
        <v>0</v>
      </c>
      <c r="O49" s="51">
        <v>1300</v>
      </c>
      <c r="P49" s="51">
        <v>1300</v>
      </c>
      <c r="Q49" s="51">
        <v>1300</v>
      </c>
      <c r="R49" s="51">
        <v>1300</v>
      </c>
      <c r="S49" s="51">
        <v>1300</v>
      </c>
      <c r="T49" s="51">
        <v>1300</v>
      </c>
      <c r="U49" s="67">
        <v>0</v>
      </c>
      <c r="V49" s="25">
        <f t="shared" si="0"/>
        <v>19500</v>
      </c>
      <c r="W49" s="79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24">
        <v>0</v>
      </c>
      <c r="AE49" s="25">
        <f t="shared" si="1"/>
        <v>0</v>
      </c>
      <c r="AF49" s="25">
        <v>0</v>
      </c>
      <c r="AG49" s="25">
        <f t="shared" si="2"/>
        <v>0</v>
      </c>
      <c r="AH49" s="25">
        <f t="shared" si="3"/>
        <v>19500</v>
      </c>
    </row>
    <row r="50" spans="1:34">
      <c r="A50" s="1" t="s">
        <v>1</v>
      </c>
      <c r="B50" s="6" t="s">
        <v>101</v>
      </c>
      <c r="C50" s="53">
        <v>8800</v>
      </c>
      <c r="D50" s="54">
        <v>1500</v>
      </c>
      <c r="E50" s="54">
        <v>14600</v>
      </c>
      <c r="F50" s="54">
        <v>17100</v>
      </c>
      <c r="G50" s="54">
        <v>9500</v>
      </c>
      <c r="H50" s="54">
        <v>13100</v>
      </c>
      <c r="I50" s="54">
        <v>15100</v>
      </c>
      <c r="J50" s="54">
        <v>10100</v>
      </c>
      <c r="K50" s="54">
        <v>13400</v>
      </c>
      <c r="L50" s="54">
        <v>16100</v>
      </c>
      <c r="M50" s="54">
        <v>10500</v>
      </c>
      <c r="N50" s="54">
        <v>11300</v>
      </c>
      <c r="O50" s="54">
        <v>13200</v>
      </c>
      <c r="P50" s="54">
        <v>5600</v>
      </c>
      <c r="Q50" s="54">
        <v>0</v>
      </c>
      <c r="R50" s="54">
        <v>8500</v>
      </c>
      <c r="S50" s="54">
        <v>3100</v>
      </c>
      <c r="T50" s="54">
        <v>2000</v>
      </c>
      <c r="U50" s="68">
        <v>17300</v>
      </c>
      <c r="V50" s="10">
        <f t="shared" si="0"/>
        <v>190800</v>
      </c>
      <c r="W50" s="80">
        <v>16800</v>
      </c>
      <c r="X50" s="54">
        <v>16400</v>
      </c>
      <c r="Y50" s="54">
        <v>600</v>
      </c>
      <c r="Z50" s="54">
        <v>500</v>
      </c>
      <c r="AA50" s="54">
        <v>0</v>
      </c>
      <c r="AB50" s="54">
        <v>0</v>
      </c>
      <c r="AC50" s="54">
        <v>0</v>
      </c>
      <c r="AD50" s="9">
        <v>2300</v>
      </c>
      <c r="AE50" s="10">
        <f t="shared" si="1"/>
        <v>36600</v>
      </c>
      <c r="AF50" s="10">
        <v>17300</v>
      </c>
      <c r="AG50" s="10">
        <f t="shared" si="2"/>
        <v>17300</v>
      </c>
      <c r="AH50" s="10">
        <f t="shared" si="3"/>
        <v>244700</v>
      </c>
    </row>
    <row r="51" spans="1:34">
      <c r="A51" s="1" t="s">
        <v>1</v>
      </c>
      <c r="B51" s="15" t="s">
        <v>102</v>
      </c>
      <c r="C51" s="55">
        <v>62109</v>
      </c>
      <c r="D51" s="56">
        <v>60822</v>
      </c>
      <c r="E51" s="56">
        <v>82719</v>
      </c>
      <c r="F51" s="56">
        <v>92398</v>
      </c>
      <c r="G51" s="56">
        <v>70905</v>
      </c>
      <c r="H51" s="56">
        <v>83875</v>
      </c>
      <c r="I51" s="56">
        <v>73983</v>
      </c>
      <c r="J51" s="56">
        <v>69159</v>
      </c>
      <c r="K51" s="56">
        <v>72264</v>
      </c>
      <c r="L51" s="56">
        <v>81901</v>
      </c>
      <c r="M51" s="56">
        <v>64194</v>
      </c>
      <c r="N51" s="56">
        <v>69133</v>
      </c>
      <c r="O51" s="56">
        <v>72422</v>
      </c>
      <c r="P51" s="56">
        <v>61396</v>
      </c>
      <c r="Q51" s="56">
        <v>51314</v>
      </c>
      <c r="R51" s="56">
        <v>61939</v>
      </c>
      <c r="S51" s="56">
        <v>60312</v>
      </c>
      <c r="T51" s="56">
        <v>55270</v>
      </c>
      <c r="U51" s="69">
        <v>70982</v>
      </c>
      <c r="V51" s="19">
        <f t="shared" si="0"/>
        <v>1317097</v>
      </c>
      <c r="W51" s="81">
        <v>82987</v>
      </c>
      <c r="X51" s="56">
        <v>82648</v>
      </c>
      <c r="Y51" s="56">
        <v>1116</v>
      </c>
      <c r="Z51" s="56">
        <v>2485</v>
      </c>
      <c r="AA51" s="56">
        <v>0</v>
      </c>
      <c r="AB51" s="56">
        <v>0</v>
      </c>
      <c r="AC51" s="56">
        <v>0</v>
      </c>
      <c r="AD51" s="18">
        <v>2897</v>
      </c>
      <c r="AE51" s="19">
        <f t="shared" si="1"/>
        <v>172133</v>
      </c>
      <c r="AF51" s="19">
        <v>87663</v>
      </c>
      <c r="AG51" s="19">
        <f t="shared" si="2"/>
        <v>87663</v>
      </c>
      <c r="AH51" s="19">
        <f t="shared" si="3"/>
        <v>1576893</v>
      </c>
    </row>
    <row r="52" spans="1:34">
      <c r="A52" s="1" t="s">
        <v>1</v>
      </c>
      <c r="B52" s="15" t="s">
        <v>103</v>
      </c>
      <c r="C52" s="55">
        <v>244159</v>
      </c>
      <c r="D52" s="56">
        <v>277999</v>
      </c>
      <c r="E52" s="56">
        <v>307261</v>
      </c>
      <c r="F52" s="56">
        <v>329673</v>
      </c>
      <c r="G52" s="56">
        <v>292000</v>
      </c>
      <c r="H52" s="56">
        <v>315383</v>
      </c>
      <c r="I52" s="56">
        <v>267468</v>
      </c>
      <c r="J52" s="56">
        <v>309539</v>
      </c>
      <c r="K52" s="56">
        <v>266968</v>
      </c>
      <c r="L52" s="56">
        <v>286958</v>
      </c>
      <c r="M52" s="56">
        <v>246995</v>
      </c>
      <c r="N52" s="56">
        <v>273763</v>
      </c>
      <c r="O52" s="56">
        <v>274912</v>
      </c>
      <c r="P52" s="56">
        <v>275022</v>
      </c>
      <c r="Q52" s="56">
        <v>231171</v>
      </c>
      <c r="R52" s="56">
        <v>282445</v>
      </c>
      <c r="S52" s="56">
        <v>265282</v>
      </c>
      <c r="T52" s="56">
        <v>278272</v>
      </c>
      <c r="U52" s="69">
        <v>247181</v>
      </c>
      <c r="V52" s="19">
        <f t="shared" si="0"/>
        <v>5272451</v>
      </c>
      <c r="W52" s="81">
        <v>312599</v>
      </c>
      <c r="X52" s="56">
        <v>294540</v>
      </c>
      <c r="Y52" s="56">
        <v>82784</v>
      </c>
      <c r="Z52" s="56">
        <v>111315</v>
      </c>
      <c r="AA52" s="56">
        <v>76820</v>
      </c>
      <c r="AB52" s="56">
        <v>76820</v>
      </c>
      <c r="AC52" s="56">
        <v>53360</v>
      </c>
      <c r="AD52" s="18">
        <v>91863</v>
      </c>
      <c r="AE52" s="19">
        <f t="shared" si="1"/>
        <v>1100101</v>
      </c>
      <c r="AF52" s="19">
        <v>325693</v>
      </c>
      <c r="AG52" s="19">
        <f t="shared" si="2"/>
        <v>325693</v>
      </c>
      <c r="AH52" s="19">
        <f t="shared" si="3"/>
        <v>6698245</v>
      </c>
    </row>
    <row r="53" spans="1:34">
      <c r="A53" s="1" t="s">
        <v>1</v>
      </c>
      <c r="B53" s="15" t="s">
        <v>104</v>
      </c>
      <c r="C53" s="55">
        <v>242666</v>
      </c>
      <c r="D53" s="56">
        <v>271123</v>
      </c>
      <c r="E53" s="56">
        <v>288843</v>
      </c>
      <c r="F53" s="56">
        <v>304691</v>
      </c>
      <c r="G53" s="56">
        <v>288180</v>
      </c>
      <c r="H53" s="56">
        <v>293677</v>
      </c>
      <c r="I53" s="56">
        <v>246445</v>
      </c>
      <c r="J53" s="56">
        <v>292363</v>
      </c>
      <c r="K53" s="56">
        <v>248443</v>
      </c>
      <c r="L53" s="56">
        <v>266579</v>
      </c>
      <c r="M53" s="56">
        <v>236446</v>
      </c>
      <c r="N53" s="56">
        <v>256321</v>
      </c>
      <c r="O53" s="56">
        <v>261308</v>
      </c>
      <c r="P53" s="56">
        <v>272977</v>
      </c>
      <c r="Q53" s="56">
        <v>234383</v>
      </c>
      <c r="R53" s="56">
        <v>272937</v>
      </c>
      <c r="S53" s="56">
        <v>264988</v>
      </c>
      <c r="T53" s="56">
        <v>276442</v>
      </c>
      <c r="U53" s="69">
        <v>226099</v>
      </c>
      <c r="V53" s="19">
        <f t="shared" si="0"/>
        <v>5044911</v>
      </c>
      <c r="W53" s="81">
        <v>289890</v>
      </c>
      <c r="X53" s="56">
        <v>275361</v>
      </c>
      <c r="Y53" s="56">
        <v>84852</v>
      </c>
      <c r="Z53" s="56">
        <v>111738</v>
      </c>
      <c r="AA53" s="56">
        <v>80155</v>
      </c>
      <c r="AB53" s="56">
        <v>81266</v>
      </c>
      <c r="AC53" s="56">
        <v>55528</v>
      </c>
      <c r="AD53" s="18">
        <v>96565</v>
      </c>
      <c r="AE53" s="19">
        <f t="shared" si="1"/>
        <v>1075355</v>
      </c>
      <c r="AF53" s="19">
        <v>297913</v>
      </c>
      <c r="AG53" s="19">
        <f t="shared" si="2"/>
        <v>297913</v>
      </c>
      <c r="AH53" s="19">
        <f t="shared" si="3"/>
        <v>6418179</v>
      </c>
    </row>
    <row r="54" spans="1:34">
      <c r="A54" s="1" t="s">
        <v>1</v>
      </c>
      <c r="B54" s="15" t="s">
        <v>105</v>
      </c>
      <c r="C54" s="55">
        <v>242666</v>
      </c>
      <c r="D54" s="56">
        <v>271123</v>
      </c>
      <c r="E54" s="56">
        <v>288843</v>
      </c>
      <c r="F54" s="56">
        <v>304691</v>
      </c>
      <c r="G54" s="56">
        <v>288180</v>
      </c>
      <c r="H54" s="56">
        <v>293677</v>
      </c>
      <c r="I54" s="56">
        <v>246445</v>
      </c>
      <c r="J54" s="56">
        <v>292363</v>
      </c>
      <c r="K54" s="56">
        <v>248443</v>
      </c>
      <c r="L54" s="56">
        <v>266579</v>
      </c>
      <c r="M54" s="56">
        <v>236446</v>
      </c>
      <c r="N54" s="56">
        <v>256321</v>
      </c>
      <c r="O54" s="56">
        <v>261308</v>
      </c>
      <c r="P54" s="56">
        <v>272977</v>
      </c>
      <c r="Q54" s="56">
        <v>234383</v>
      </c>
      <c r="R54" s="56">
        <v>272937</v>
      </c>
      <c r="S54" s="56">
        <v>264988</v>
      </c>
      <c r="T54" s="56">
        <v>276442</v>
      </c>
      <c r="U54" s="69">
        <v>226099</v>
      </c>
      <c r="V54" s="19">
        <f t="shared" si="0"/>
        <v>5044911</v>
      </c>
      <c r="W54" s="81">
        <v>289890</v>
      </c>
      <c r="X54" s="56">
        <v>275361</v>
      </c>
      <c r="Y54" s="56">
        <v>84852</v>
      </c>
      <c r="Z54" s="56">
        <v>111738</v>
      </c>
      <c r="AA54" s="56">
        <v>80155</v>
      </c>
      <c r="AB54" s="56">
        <v>81266</v>
      </c>
      <c r="AC54" s="56">
        <v>55528</v>
      </c>
      <c r="AD54" s="18">
        <v>96565</v>
      </c>
      <c r="AE54" s="19">
        <f t="shared" si="1"/>
        <v>1075355</v>
      </c>
      <c r="AF54" s="19">
        <v>297913</v>
      </c>
      <c r="AG54" s="19">
        <f t="shared" si="2"/>
        <v>297913</v>
      </c>
      <c r="AH54" s="19">
        <f t="shared" si="3"/>
        <v>6418179</v>
      </c>
    </row>
    <row r="55" spans="1:34">
      <c r="A55" s="1" t="s">
        <v>1</v>
      </c>
      <c r="B55" s="15" t="s">
        <v>106</v>
      </c>
      <c r="C55" s="55">
        <v>1</v>
      </c>
      <c r="D55" s="56">
        <v>0</v>
      </c>
      <c r="E55" s="56">
        <v>1</v>
      </c>
      <c r="F55" s="56">
        <v>0</v>
      </c>
      <c r="G55" s="56">
        <v>1</v>
      </c>
      <c r="H55" s="56">
        <v>0</v>
      </c>
      <c r="I55" s="56">
        <v>0</v>
      </c>
      <c r="J55" s="56">
        <v>1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4</v>
      </c>
      <c r="Q55" s="56">
        <v>0</v>
      </c>
      <c r="R55" s="56">
        <v>0</v>
      </c>
      <c r="S55" s="56">
        <v>1</v>
      </c>
      <c r="T55" s="56">
        <v>0</v>
      </c>
      <c r="U55" s="69">
        <v>0</v>
      </c>
      <c r="V55" s="19"/>
      <c r="W55" s="81">
        <v>0</v>
      </c>
      <c r="X55" s="56">
        <v>1</v>
      </c>
      <c r="Y55" s="56">
        <v>0</v>
      </c>
      <c r="Z55" s="56">
        <v>0</v>
      </c>
      <c r="AA55" s="56">
        <v>1</v>
      </c>
      <c r="AB55" s="56">
        <v>1</v>
      </c>
      <c r="AC55" s="56">
        <v>1</v>
      </c>
      <c r="AD55" s="18">
        <v>1</v>
      </c>
      <c r="AE55" s="19"/>
      <c r="AF55" s="19">
        <v>0</v>
      </c>
      <c r="AG55" s="19"/>
      <c r="AH55" s="19"/>
    </row>
    <row r="56" spans="1:34" ht="19.5" thickBot="1">
      <c r="A56" s="1" t="s">
        <v>1</v>
      </c>
      <c r="B56" s="11" t="s">
        <v>107</v>
      </c>
      <c r="C56" s="57" t="s">
        <v>108</v>
      </c>
      <c r="D56" s="58" t="s">
        <v>108</v>
      </c>
      <c r="E56" s="58" t="s">
        <v>108</v>
      </c>
      <c r="F56" s="58" t="s">
        <v>108</v>
      </c>
      <c r="G56" s="58" t="s">
        <v>108</v>
      </c>
      <c r="H56" s="58" t="s">
        <v>108</v>
      </c>
      <c r="I56" s="58" t="s">
        <v>108</v>
      </c>
      <c r="J56" s="58" t="s">
        <v>108</v>
      </c>
      <c r="K56" s="58" t="s">
        <v>108</v>
      </c>
      <c r="L56" s="58" t="s">
        <v>108</v>
      </c>
      <c r="M56" s="58" t="s">
        <v>108</v>
      </c>
      <c r="N56" s="58" t="s">
        <v>108</v>
      </c>
      <c r="O56" s="58" t="s">
        <v>108</v>
      </c>
      <c r="P56" s="58" t="s">
        <v>108</v>
      </c>
      <c r="Q56" s="58" t="s">
        <v>108</v>
      </c>
      <c r="R56" s="58" t="s">
        <v>108</v>
      </c>
      <c r="S56" s="58" t="s">
        <v>108</v>
      </c>
      <c r="T56" s="58" t="s">
        <v>108</v>
      </c>
      <c r="U56" s="70" t="s">
        <v>108</v>
      </c>
      <c r="V56" s="13"/>
      <c r="W56" s="82" t="s">
        <v>108</v>
      </c>
      <c r="X56" s="58" t="s">
        <v>108</v>
      </c>
      <c r="Y56" s="58" t="s">
        <v>108</v>
      </c>
      <c r="Z56" s="58" t="s">
        <v>108</v>
      </c>
      <c r="AA56" s="58" t="s">
        <v>108</v>
      </c>
      <c r="AB56" s="58" t="s">
        <v>108</v>
      </c>
      <c r="AC56" s="58" t="s">
        <v>108</v>
      </c>
      <c r="AD56" s="12" t="s">
        <v>108</v>
      </c>
      <c r="AE56" s="13"/>
      <c r="AF56" s="13" t="s">
        <v>108</v>
      </c>
      <c r="AG56" s="13"/>
      <c r="AH56" s="13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6173-1747-4F41-9F2F-02204AB2AFBC}">
  <sheetPr>
    <pageSetUpPr fitToPage="1"/>
  </sheetPr>
  <dimension ref="A1:N56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1.625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109</v>
      </c>
    </row>
    <row r="3" spans="1:14">
      <c r="B3" s="14"/>
      <c r="C3" s="71" t="s">
        <v>17</v>
      </c>
      <c r="D3" s="35" t="s">
        <v>4</v>
      </c>
      <c r="E3" s="35" t="s">
        <v>26</v>
      </c>
      <c r="F3" s="35" t="s">
        <v>27</v>
      </c>
      <c r="G3" s="35" t="s">
        <v>24</v>
      </c>
      <c r="H3" s="35" t="s">
        <v>25</v>
      </c>
      <c r="I3" s="35" t="s">
        <v>28</v>
      </c>
      <c r="J3" s="4" t="s">
        <v>29</v>
      </c>
      <c r="K3" s="83" t="s">
        <v>111</v>
      </c>
      <c r="L3" s="85" t="s">
        <v>5</v>
      </c>
      <c r="M3" s="83" t="s">
        <v>111</v>
      </c>
      <c r="N3" s="86" t="s">
        <v>58</v>
      </c>
    </row>
    <row r="4" spans="1:14" ht="19.5" thickBot="1">
      <c r="B4" s="5" t="s">
        <v>30</v>
      </c>
      <c r="C4" s="72" t="s">
        <v>45</v>
      </c>
      <c r="D4" s="37" t="s">
        <v>110</v>
      </c>
      <c r="E4" s="37" t="s">
        <v>54</v>
      </c>
      <c r="F4" s="37" t="s">
        <v>55</v>
      </c>
      <c r="G4" s="37" t="s">
        <v>52</v>
      </c>
      <c r="H4" s="37" t="s">
        <v>53</v>
      </c>
      <c r="I4" s="37" t="s">
        <v>56</v>
      </c>
      <c r="J4" s="3" t="s">
        <v>57</v>
      </c>
      <c r="K4" s="84" t="s">
        <v>113</v>
      </c>
      <c r="L4" s="84" t="s">
        <v>33</v>
      </c>
      <c r="M4" s="84" t="s">
        <v>114</v>
      </c>
      <c r="N4" s="5" t="s">
        <v>115</v>
      </c>
    </row>
    <row r="5" spans="1:14">
      <c r="A5" s="1" t="s">
        <v>1</v>
      </c>
      <c r="B5" s="27" t="s">
        <v>59</v>
      </c>
      <c r="C5" s="73">
        <v>18</v>
      </c>
      <c r="D5" s="39">
        <v>12</v>
      </c>
      <c r="E5" s="39">
        <v>12</v>
      </c>
      <c r="F5" s="39">
        <v>16</v>
      </c>
      <c r="G5" s="39">
        <v>10</v>
      </c>
      <c r="H5" s="39">
        <v>10</v>
      </c>
      <c r="I5" s="39">
        <v>6</v>
      </c>
      <c r="J5" s="28">
        <v>18</v>
      </c>
      <c r="K5" s="29">
        <f>SUM(C5:J5)</f>
        <v>102</v>
      </c>
      <c r="L5" s="29">
        <v>19</v>
      </c>
      <c r="M5" s="29">
        <f>SUM(L5)</f>
        <v>19</v>
      </c>
      <c r="N5" s="29">
        <v>455</v>
      </c>
    </row>
    <row r="6" spans="1:14">
      <c r="A6" s="1" t="s">
        <v>1</v>
      </c>
      <c r="B6" s="23" t="s">
        <v>60</v>
      </c>
      <c r="C6" s="74">
        <v>0</v>
      </c>
      <c r="D6" s="41">
        <v>3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30">
        <v>0</v>
      </c>
      <c r="K6" s="31">
        <f t="shared" ref="K6:K54" si="0">SUM(C6:J6)</f>
        <v>3</v>
      </c>
      <c r="L6" s="31">
        <v>0</v>
      </c>
      <c r="M6" s="31">
        <f t="shared" ref="M6:M54" si="1">SUM(L6)</f>
        <v>0</v>
      </c>
      <c r="N6" s="31">
        <v>49</v>
      </c>
    </row>
    <row r="7" spans="1:14">
      <c r="A7" s="1" t="s">
        <v>1</v>
      </c>
      <c r="B7" s="23" t="s">
        <v>61</v>
      </c>
      <c r="C7" s="74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30">
        <v>0</v>
      </c>
      <c r="K7" s="31">
        <f t="shared" si="0"/>
        <v>0</v>
      </c>
      <c r="L7" s="31">
        <v>0</v>
      </c>
      <c r="M7" s="31">
        <f t="shared" si="1"/>
        <v>0</v>
      </c>
      <c r="N7" s="31">
        <v>55</v>
      </c>
    </row>
    <row r="8" spans="1:14">
      <c r="A8" s="1" t="s">
        <v>1</v>
      </c>
      <c r="B8" s="23" t="s">
        <v>62</v>
      </c>
      <c r="C8" s="74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30">
        <v>0</v>
      </c>
      <c r="K8" s="31">
        <f t="shared" si="0"/>
        <v>0</v>
      </c>
      <c r="L8" s="31">
        <v>0</v>
      </c>
      <c r="M8" s="31">
        <f t="shared" si="1"/>
        <v>0</v>
      </c>
      <c r="N8" s="31">
        <v>5</v>
      </c>
    </row>
    <row r="9" spans="1:14">
      <c r="A9" s="1" t="s">
        <v>1</v>
      </c>
      <c r="B9" s="23" t="s">
        <v>63</v>
      </c>
      <c r="C9" s="74">
        <v>1</v>
      </c>
      <c r="D9" s="41">
        <v>2</v>
      </c>
      <c r="E9" s="41">
        <v>2</v>
      </c>
      <c r="F9" s="41">
        <v>1</v>
      </c>
      <c r="G9" s="41">
        <v>0</v>
      </c>
      <c r="H9" s="41">
        <v>0</v>
      </c>
      <c r="I9" s="41">
        <v>0</v>
      </c>
      <c r="J9" s="30">
        <v>0</v>
      </c>
      <c r="K9" s="31">
        <f t="shared" si="0"/>
        <v>6</v>
      </c>
      <c r="L9" s="31">
        <v>0</v>
      </c>
      <c r="M9" s="31">
        <f t="shared" si="1"/>
        <v>0</v>
      </c>
      <c r="N9" s="31">
        <v>22.5</v>
      </c>
    </row>
    <row r="10" spans="1:14">
      <c r="A10" s="1" t="s">
        <v>1</v>
      </c>
      <c r="B10" s="23" t="s">
        <v>64</v>
      </c>
      <c r="C10" s="74">
        <v>0</v>
      </c>
      <c r="D10" s="41">
        <v>5</v>
      </c>
      <c r="E10" s="41">
        <v>0</v>
      </c>
      <c r="F10" s="41">
        <v>0</v>
      </c>
      <c r="G10" s="41">
        <v>0</v>
      </c>
      <c r="H10" s="41">
        <v>0</v>
      </c>
      <c r="I10" s="41">
        <v>1</v>
      </c>
      <c r="J10" s="30">
        <v>0</v>
      </c>
      <c r="K10" s="31">
        <f t="shared" si="0"/>
        <v>6</v>
      </c>
      <c r="L10" s="31">
        <v>0</v>
      </c>
      <c r="M10" s="31">
        <f t="shared" si="1"/>
        <v>0</v>
      </c>
      <c r="N10" s="31">
        <v>8</v>
      </c>
    </row>
    <row r="11" spans="1:14">
      <c r="A11" s="1" t="s">
        <v>1</v>
      </c>
      <c r="B11" s="23" t="s">
        <v>65</v>
      </c>
      <c r="C11" s="74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30">
        <v>0</v>
      </c>
      <c r="K11" s="31">
        <f t="shared" si="0"/>
        <v>0</v>
      </c>
      <c r="L11" s="31">
        <v>0</v>
      </c>
      <c r="M11" s="31">
        <f t="shared" si="1"/>
        <v>0</v>
      </c>
      <c r="N11" s="31">
        <v>4</v>
      </c>
    </row>
    <row r="12" spans="1:14">
      <c r="A12" s="1" t="s">
        <v>1</v>
      </c>
      <c r="B12" s="23" t="s">
        <v>66</v>
      </c>
      <c r="C12" s="75">
        <v>0</v>
      </c>
      <c r="D12" s="43">
        <v>0</v>
      </c>
      <c r="E12" s="43">
        <v>3.0416666666666665</v>
      </c>
      <c r="F12" s="43">
        <v>4.375</v>
      </c>
      <c r="G12" s="43">
        <v>2.9583333333333335</v>
      </c>
      <c r="H12" s="43">
        <v>2.9583333333333335</v>
      </c>
      <c r="I12" s="43">
        <v>1.9166666666666665</v>
      </c>
      <c r="J12" s="32">
        <v>3.875</v>
      </c>
      <c r="K12" s="33">
        <f t="shared" si="0"/>
        <v>19.125</v>
      </c>
      <c r="L12" s="33">
        <v>0</v>
      </c>
      <c r="M12" s="33">
        <f t="shared" si="1"/>
        <v>0</v>
      </c>
      <c r="N12" s="33">
        <v>19.125</v>
      </c>
    </row>
    <row r="13" spans="1:14">
      <c r="A13" s="1" t="s">
        <v>1</v>
      </c>
      <c r="B13" s="23" t="s">
        <v>67</v>
      </c>
      <c r="C13" s="75">
        <v>0</v>
      </c>
      <c r="D13" s="43">
        <v>0.66666666666666663</v>
      </c>
      <c r="E13" s="43">
        <v>0</v>
      </c>
      <c r="F13" s="43">
        <v>0</v>
      </c>
      <c r="G13" s="43">
        <v>0</v>
      </c>
      <c r="H13" s="43">
        <v>0</v>
      </c>
      <c r="I13" s="43">
        <v>8.3333333333333329E-2</v>
      </c>
      <c r="J13" s="32">
        <v>0</v>
      </c>
      <c r="K13" s="33">
        <f t="shared" si="0"/>
        <v>0.75</v>
      </c>
      <c r="L13" s="33">
        <v>0</v>
      </c>
      <c r="M13" s="33">
        <f t="shared" si="1"/>
        <v>0</v>
      </c>
      <c r="N13" s="33">
        <v>34.208333333333336</v>
      </c>
    </row>
    <row r="14" spans="1:14">
      <c r="A14" s="1" t="s">
        <v>1</v>
      </c>
      <c r="B14" s="23" t="s">
        <v>68</v>
      </c>
      <c r="C14" s="75">
        <v>0</v>
      </c>
      <c r="D14" s="43">
        <v>0.91666666666666663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32">
        <v>0</v>
      </c>
      <c r="K14" s="33">
        <f t="shared" si="0"/>
        <v>0.91666666666666663</v>
      </c>
      <c r="L14" s="33">
        <v>0</v>
      </c>
      <c r="M14" s="33">
        <f t="shared" si="1"/>
        <v>0</v>
      </c>
      <c r="N14" s="33">
        <v>16.791666666666664</v>
      </c>
    </row>
    <row r="15" spans="1:14">
      <c r="A15" s="1" t="s">
        <v>1</v>
      </c>
      <c r="B15" s="23" t="s">
        <v>69</v>
      </c>
      <c r="C15" s="75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32">
        <v>0</v>
      </c>
      <c r="K15" s="33">
        <f t="shared" si="0"/>
        <v>0</v>
      </c>
      <c r="L15" s="33">
        <v>0</v>
      </c>
      <c r="M15" s="33">
        <f t="shared" si="1"/>
        <v>0</v>
      </c>
      <c r="N15" s="33">
        <v>18.041666666666668</v>
      </c>
    </row>
    <row r="16" spans="1:14">
      <c r="A16" s="1" t="s">
        <v>1</v>
      </c>
      <c r="B16" s="23" t="s">
        <v>70</v>
      </c>
      <c r="C16" s="75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32">
        <v>0</v>
      </c>
      <c r="K16" s="33">
        <f t="shared" si="0"/>
        <v>0</v>
      </c>
      <c r="L16" s="33">
        <v>0</v>
      </c>
      <c r="M16" s="33">
        <f t="shared" si="1"/>
        <v>0</v>
      </c>
      <c r="N16" s="33">
        <v>0.66666666666666674</v>
      </c>
    </row>
    <row r="17" spans="1:14">
      <c r="A17" s="1" t="s">
        <v>1</v>
      </c>
      <c r="B17" s="23" t="s">
        <v>71</v>
      </c>
      <c r="C17" s="75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32">
        <v>0</v>
      </c>
      <c r="K17" s="33">
        <f t="shared" si="0"/>
        <v>0</v>
      </c>
      <c r="L17" s="33">
        <v>0</v>
      </c>
      <c r="M17" s="33">
        <f t="shared" si="1"/>
        <v>0</v>
      </c>
      <c r="N17" s="33">
        <v>1</v>
      </c>
    </row>
    <row r="18" spans="1:14">
      <c r="A18" s="1" t="s">
        <v>1</v>
      </c>
      <c r="B18" s="23" t="s">
        <v>72</v>
      </c>
      <c r="C18" s="75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32">
        <v>0</v>
      </c>
      <c r="K18" s="33">
        <f t="shared" si="0"/>
        <v>0</v>
      </c>
      <c r="L18" s="33">
        <v>0</v>
      </c>
      <c r="M18" s="33">
        <f t="shared" si="1"/>
        <v>0</v>
      </c>
      <c r="N18" s="33">
        <v>0.5</v>
      </c>
    </row>
    <row r="19" spans="1:14">
      <c r="A19" s="1" t="s">
        <v>1</v>
      </c>
      <c r="B19" s="23" t="s">
        <v>73</v>
      </c>
      <c r="C19" s="75">
        <v>0</v>
      </c>
      <c r="D19" s="43">
        <v>0</v>
      </c>
      <c r="E19" s="43">
        <v>0.5</v>
      </c>
      <c r="F19" s="43">
        <v>0.29166666666666669</v>
      </c>
      <c r="G19" s="43">
        <v>0</v>
      </c>
      <c r="H19" s="43">
        <v>0</v>
      </c>
      <c r="I19" s="43">
        <v>0</v>
      </c>
      <c r="J19" s="32">
        <v>0</v>
      </c>
      <c r="K19" s="33">
        <f t="shared" si="0"/>
        <v>0.79166666666666674</v>
      </c>
      <c r="L19" s="33">
        <v>0</v>
      </c>
      <c r="M19" s="33">
        <f t="shared" si="1"/>
        <v>0</v>
      </c>
      <c r="N19" s="33">
        <v>0.79166666666666674</v>
      </c>
    </row>
    <row r="20" spans="1:14">
      <c r="A20" s="1" t="s">
        <v>1</v>
      </c>
      <c r="B20" s="6" t="s">
        <v>74</v>
      </c>
      <c r="C20" s="76">
        <v>0.33333333333333331</v>
      </c>
      <c r="D20" s="45">
        <v>0</v>
      </c>
      <c r="E20" s="45">
        <v>0</v>
      </c>
      <c r="F20" s="45">
        <v>0</v>
      </c>
      <c r="G20" s="45">
        <v>2.0833333333333335</v>
      </c>
      <c r="H20" s="45">
        <v>2.0833333333333335</v>
      </c>
      <c r="I20" s="45">
        <v>0.41666666666666669</v>
      </c>
      <c r="J20" s="7">
        <v>1.25</v>
      </c>
      <c r="K20" s="8">
        <f t="shared" si="0"/>
        <v>6.166666666666667</v>
      </c>
      <c r="L20" s="8">
        <v>4.1666666666666664E-2</v>
      </c>
      <c r="M20" s="8">
        <f t="shared" si="1"/>
        <v>4.1666666666666664E-2</v>
      </c>
      <c r="N20" s="8">
        <v>20.166666666666668</v>
      </c>
    </row>
    <row r="21" spans="1:14">
      <c r="A21" s="1" t="s">
        <v>1</v>
      </c>
      <c r="B21" s="15" t="s">
        <v>75</v>
      </c>
      <c r="C21" s="77">
        <v>10</v>
      </c>
      <c r="D21" s="47">
        <v>31</v>
      </c>
      <c r="E21" s="47">
        <v>13</v>
      </c>
      <c r="F21" s="47">
        <v>16</v>
      </c>
      <c r="G21" s="47">
        <v>0</v>
      </c>
      <c r="H21" s="47">
        <v>0</v>
      </c>
      <c r="I21" s="47">
        <v>2</v>
      </c>
      <c r="J21" s="16">
        <v>17</v>
      </c>
      <c r="K21" s="17">
        <f t="shared" si="0"/>
        <v>89</v>
      </c>
      <c r="L21" s="17">
        <v>27</v>
      </c>
      <c r="M21" s="17">
        <f t="shared" si="1"/>
        <v>27</v>
      </c>
      <c r="N21" s="17"/>
    </row>
    <row r="22" spans="1:14">
      <c r="A22" s="1" t="s">
        <v>1</v>
      </c>
      <c r="B22" s="20" t="s">
        <v>76</v>
      </c>
      <c r="C22" s="78">
        <v>365000</v>
      </c>
      <c r="D22" s="49">
        <v>270000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21">
        <v>0</v>
      </c>
      <c r="K22" s="22">
        <f t="shared" si="0"/>
        <v>635000</v>
      </c>
      <c r="L22" s="22">
        <v>385000</v>
      </c>
      <c r="M22" s="22">
        <f t="shared" si="1"/>
        <v>385000</v>
      </c>
      <c r="N22" s="22">
        <v>4443000</v>
      </c>
    </row>
    <row r="23" spans="1:14">
      <c r="A23" s="1" t="s">
        <v>1</v>
      </c>
      <c r="B23" s="23" t="s">
        <v>77</v>
      </c>
      <c r="C23" s="79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24">
        <v>0</v>
      </c>
      <c r="K23" s="25">
        <f t="shared" si="0"/>
        <v>0</v>
      </c>
      <c r="L23" s="25">
        <v>0</v>
      </c>
      <c r="M23" s="25">
        <f t="shared" si="1"/>
        <v>0</v>
      </c>
      <c r="N23" s="25">
        <v>60000</v>
      </c>
    </row>
    <row r="24" spans="1:14">
      <c r="A24" s="1" t="s">
        <v>1</v>
      </c>
      <c r="B24" s="23" t="s">
        <v>78</v>
      </c>
      <c r="C24" s="79">
        <v>0</v>
      </c>
      <c r="D24" s="51">
        <v>3000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24">
        <v>0</v>
      </c>
      <c r="K24" s="25">
        <f t="shared" si="0"/>
        <v>3000</v>
      </c>
      <c r="L24" s="25">
        <v>0</v>
      </c>
      <c r="M24" s="25">
        <f t="shared" si="1"/>
        <v>0</v>
      </c>
      <c r="N24" s="25">
        <v>3000</v>
      </c>
    </row>
    <row r="25" spans="1:14">
      <c r="A25" s="1" t="s">
        <v>1</v>
      </c>
      <c r="B25" s="23" t="s">
        <v>79</v>
      </c>
      <c r="C25" s="79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24">
        <v>0</v>
      </c>
      <c r="K25" s="25">
        <f t="shared" si="0"/>
        <v>0</v>
      </c>
      <c r="L25" s="25">
        <v>0</v>
      </c>
      <c r="M25" s="25">
        <f t="shared" si="1"/>
        <v>0</v>
      </c>
      <c r="N25" s="25">
        <v>324252</v>
      </c>
    </row>
    <row r="26" spans="1:14">
      <c r="A26" s="1" t="s">
        <v>1</v>
      </c>
      <c r="B26" s="23" t="s">
        <v>80</v>
      </c>
      <c r="C26" s="79">
        <v>0</v>
      </c>
      <c r="D26" s="51">
        <v>0</v>
      </c>
      <c r="E26" s="51">
        <v>71540</v>
      </c>
      <c r="F26" s="51">
        <v>105000</v>
      </c>
      <c r="G26" s="51">
        <v>65320</v>
      </c>
      <c r="H26" s="51">
        <v>65320</v>
      </c>
      <c r="I26" s="51">
        <v>42320</v>
      </c>
      <c r="J26" s="24">
        <v>85560</v>
      </c>
      <c r="K26" s="25">
        <f t="shared" si="0"/>
        <v>435060</v>
      </c>
      <c r="L26" s="25">
        <v>0</v>
      </c>
      <c r="M26" s="25">
        <f t="shared" si="1"/>
        <v>0</v>
      </c>
      <c r="N26" s="25">
        <v>435060</v>
      </c>
    </row>
    <row r="27" spans="1:14">
      <c r="A27" s="1" t="s">
        <v>1</v>
      </c>
      <c r="B27" s="23" t="s">
        <v>81</v>
      </c>
      <c r="C27" s="79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24">
        <v>0</v>
      </c>
      <c r="K27" s="25">
        <f t="shared" si="0"/>
        <v>0</v>
      </c>
      <c r="L27" s="25">
        <v>0</v>
      </c>
      <c r="M27" s="25">
        <f t="shared" si="1"/>
        <v>0</v>
      </c>
      <c r="N27" s="25">
        <v>52000</v>
      </c>
    </row>
    <row r="28" spans="1:14">
      <c r="A28" s="1" t="s">
        <v>1</v>
      </c>
      <c r="B28" s="23" t="s">
        <v>82</v>
      </c>
      <c r="C28" s="79">
        <v>0</v>
      </c>
      <c r="D28" s="51">
        <v>0</v>
      </c>
      <c r="E28" s="51">
        <v>11760</v>
      </c>
      <c r="F28" s="51">
        <v>7000</v>
      </c>
      <c r="G28" s="51">
        <v>0</v>
      </c>
      <c r="H28" s="51">
        <v>0</v>
      </c>
      <c r="I28" s="51">
        <v>0</v>
      </c>
      <c r="J28" s="24">
        <v>0</v>
      </c>
      <c r="K28" s="25">
        <f t="shared" si="0"/>
        <v>18760</v>
      </c>
      <c r="L28" s="25">
        <v>0</v>
      </c>
      <c r="M28" s="25">
        <f t="shared" si="1"/>
        <v>0</v>
      </c>
      <c r="N28" s="25">
        <v>18760</v>
      </c>
    </row>
    <row r="29" spans="1:14">
      <c r="A29" s="1" t="s">
        <v>1</v>
      </c>
      <c r="B29" s="23" t="s">
        <v>83</v>
      </c>
      <c r="C29" s="79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6440</v>
      </c>
      <c r="J29" s="24">
        <v>0</v>
      </c>
      <c r="K29" s="25">
        <f t="shared" si="0"/>
        <v>6440</v>
      </c>
      <c r="L29" s="25">
        <v>0</v>
      </c>
      <c r="M29" s="25">
        <f t="shared" si="1"/>
        <v>0</v>
      </c>
      <c r="N29" s="25">
        <v>6440</v>
      </c>
    </row>
    <row r="30" spans="1:14">
      <c r="A30" s="1" t="s">
        <v>1</v>
      </c>
      <c r="B30" s="23" t="s">
        <v>84</v>
      </c>
      <c r="C30" s="79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24">
        <v>0</v>
      </c>
      <c r="K30" s="25">
        <f t="shared" si="0"/>
        <v>0</v>
      </c>
      <c r="L30" s="25">
        <v>0</v>
      </c>
      <c r="M30" s="25">
        <f t="shared" si="1"/>
        <v>0</v>
      </c>
      <c r="N30" s="26">
        <v>-12760</v>
      </c>
    </row>
    <row r="31" spans="1:14">
      <c r="A31" s="1" t="s">
        <v>1</v>
      </c>
      <c r="B31" s="23" t="s">
        <v>85</v>
      </c>
      <c r="C31" s="79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24">
        <v>0</v>
      </c>
      <c r="K31" s="25">
        <f t="shared" si="0"/>
        <v>0</v>
      </c>
      <c r="L31" s="25">
        <v>0</v>
      </c>
      <c r="M31" s="25">
        <f t="shared" si="1"/>
        <v>0</v>
      </c>
      <c r="N31" s="26">
        <v>-35500</v>
      </c>
    </row>
    <row r="32" spans="1:14">
      <c r="A32" s="1" t="s">
        <v>1</v>
      </c>
      <c r="B32" s="23" t="s">
        <v>67</v>
      </c>
      <c r="C32" s="79">
        <v>0</v>
      </c>
      <c r="D32" s="51">
        <v>32704</v>
      </c>
      <c r="E32" s="51">
        <v>0</v>
      </c>
      <c r="F32" s="51">
        <v>0</v>
      </c>
      <c r="G32" s="51">
        <v>0</v>
      </c>
      <c r="H32" s="51">
        <v>0</v>
      </c>
      <c r="I32" s="51">
        <v>2300</v>
      </c>
      <c r="J32" s="24">
        <v>0</v>
      </c>
      <c r="K32" s="25">
        <f t="shared" si="0"/>
        <v>35004</v>
      </c>
      <c r="L32" s="25">
        <v>0</v>
      </c>
      <c r="M32" s="25">
        <f t="shared" si="1"/>
        <v>0</v>
      </c>
      <c r="N32" s="25">
        <v>1153887</v>
      </c>
    </row>
    <row r="33" spans="1:14">
      <c r="A33" s="1" t="s">
        <v>1</v>
      </c>
      <c r="B33" s="23" t="s">
        <v>86</v>
      </c>
      <c r="C33" s="79">
        <v>0</v>
      </c>
      <c r="D33" s="51">
        <v>48554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24">
        <v>0</v>
      </c>
      <c r="K33" s="25">
        <f t="shared" si="0"/>
        <v>48554</v>
      </c>
      <c r="L33" s="25">
        <v>0</v>
      </c>
      <c r="M33" s="25">
        <f t="shared" si="1"/>
        <v>0</v>
      </c>
      <c r="N33" s="25">
        <v>611877</v>
      </c>
    </row>
    <row r="34" spans="1:14">
      <c r="A34" s="1" t="s">
        <v>1</v>
      </c>
      <c r="B34" s="23" t="s">
        <v>87</v>
      </c>
      <c r="C34" s="79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24">
        <v>0</v>
      </c>
      <c r="K34" s="25">
        <f t="shared" si="0"/>
        <v>0</v>
      </c>
      <c r="L34" s="25">
        <v>0</v>
      </c>
      <c r="M34" s="25">
        <f t="shared" si="1"/>
        <v>0</v>
      </c>
      <c r="N34" s="25">
        <v>644071</v>
      </c>
    </row>
    <row r="35" spans="1:14">
      <c r="A35" s="1" t="s">
        <v>1</v>
      </c>
      <c r="B35" s="23" t="s">
        <v>88</v>
      </c>
      <c r="C35" s="79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24">
        <v>0</v>
      </c>
      <c r="K35" s="25">
        <f t="shared" si="0"/>
        <v>0</v>
      </c>
      <c r="L35" s="25">
        <v>0</v>
      </c>
      <c r="M35" s="25">
        <f t="shared" si="1"/>
        <v>0</v>
      </c>
      <c r="N35" s="25">
        <v>5788</v>
      </c>
    </row>
    <row r="36" spans="1:14">
      <c r="A36" s="1" t="s">
        <v>1</v>
      </c>
      <c r="B36" s="23" t="s">
        <v>89</v>
      </c>
      <c r="C36" s="79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24">
        <v>0</v>
      </c>
      <c r="K36" s="25">
        <f t="shared" si="0"/>
        <v>0</v>
      </c>
      <c r="L36" s="25">
        <v>0</v>
      </c>
      <c r="M36" s="25">
        <f t="shared" si="1"/>
        <v>0</v>
      </c>
      <c r="N36" s="25">
        <v>8797</v>
      </c>
    </row>
    <row r="37" spans="1:14">
      <c r="A37" s="1" t="s">
        <v>1</v>
      </c>
      <c r="B37" s="23" t="s">
        <v>72</v>
      </c>
      <c r="C37" s="79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24">
        <v>0</v>
      </c>
      <c r="K37" s="25">
        <f t="shared" si="0"/>
        <v>0</v>
      </c>
      <c r="L37" s="25">
        <v>0</v>
      </c>
      <c r="M37" s="25">
        <f t="shared" si="1"/>
        <v>0</v>
      </c>
      <c r="N37" s="25">
        <v>3609</v>
      </c>
    </row>
    <row r="38" spans="1:14">
      <c r="A38" s="1" t="s">
        <v>1</v>
      </c>
      <c r="B38" s="6" t="s">
        <v>74</v>
      </c>
      <c r="C38" s="80">
        <v>4376</v>
      </c>
      <c r="D38" s="54">
        <v>0</v>
      </c>
      <c r="E38" s="54">
        <v>0</v>
      </c>
      <c r="F38" s="54">
        <v>0</v>
      </c>
      <c r="G38" s="54">
        <v>11500</v>
      </c>
      <c r="H38" s="54">
        <v>11500</v>
      </c>
      <c r="I38" s="54">
        <v>2300</v>
      </c>
      <c r="J38" s="9">
        <v>6900</v>
      </c>
      <c r="K38" s="10">
        <f t="shared" si="0"/>
        <v>36576</v>
      </c>
      <c r="L38" s="10">
        <v>576</v>
      </c>
      <c r="M38" s="10">
        <f t="shared" si="1"/>
        <v>576</v>
      </c>
      <c r="N38" s="10">
        <v>130097</v>
      </c>
    </row>
    <row r="39" spans="1:14">
      <c r="A39" s="1" t="s">
        <v>1</v>
      </c>
      <c r="B39" s="15" t="s">
        <v>90</v>
      </c>
      <c r="C39" s="81">
        <v>369376</v>
      </c>
      <c r="D39" s="56">
        <v>354258</v>
      </c>
      <c r="E39" s="56">
        <v>83300</v>
      </c>
      <c r="F39" s="56">
        <v>112000</v>
      </c>
      <c r="G39" s="56">
        <v>76820</v>
      </c>
      <c r="H39" s="56">
        <v>76820</v>
      </c>
      <c r="I39" s="56">
        <v>53360</v>
      </c>
      <c r="J39" s="18">
        <v>92460</v>
      </c>
      <c r="K39" s="19">
        <f t="shared" si="0"/>
        <v>1218394</v>
      </c>
      <c r="L39" s="19">
        <v>385576</v>
      </c>
      <c r="M39" s="19">
        <f t="shared" si="1"/>
        <v>385576</v>
      </c>
      <c r="N39" s="19">
        <v>7852378</v>
      </c>
    </row>
    <row r="40" spans="1:14">
      <c r="A40" s="1" t="s">
        <v>1</v>
      </c>
      <c r="B40" s="20" t="s">
        <v>91</v>
      </c>
      <c r="C40" s="78">
        <v>3501</v>
      </c>
      <c r="D40" s="49">
        <v>3751</v>
      </c>
      <c r="E40" s="49">
        <v>2668</v>
      </c>
      <c r="F40" s="49">
        <v>2223</v>
      </c>
      <c r="G40" s="49">
        <v>3335</v>
      </c>
      <c r="H40" s="49">
        <v>4446</v>
      </c>
      <c r="I40" s="49">
        <v>2168</v>
      </c>
      <c r="J40" s="21">
        <v>7002</v>
      </c>
      <c r="K40" s="22">
        <f t="shared" si="0"/>
        <v>29094</v>
      </c>
      <c r="L40" s="22">
        <v>0</v>
      </c>
      <c r="M40" s="22">
        <f t="shared" si="1"/>
        <v>0</v>
      </c>
      <c r="N40" s="22">
        <v>142694</v>
      </c>
    </row>
    <row r="41" spans="1:14">
      <c r="A41" s="1" t="s">
        <v>1</v>
      </c>
      <c r="B41" s="6" t="s">
        <v>92</v>
      </c>
      <c r="C41" s="80">
        <v>3501</v>
      </c>
      <c r="D41" s="54">
        <v>3751</v>
      </c>
      <c r="E41" s="54">
        <v>2668</v>
      </c>
      <c r="F41" s="54">
        <v>2223</v>
      </c>
      <c r="G41" s="54">
        <v>3335</v>
      </c>
      <c r="H41" s="54">
        <v>4446</v>
      </c>
      <c r="I41" s="54">
        <v>2168</v>
      </c>
      <c r="J41" s="9">
        <v>7002</v>
      </c>
      <c r="K41" s="10">
        <f t="shared" si="0"/>
        <v>29094</v>
      </c>
      <c r="L41" s="10">
        <v>0</v>
      </c>
      <c r="M41" s="10">
        <f t="shared" si="1"/>
        <v>0</v>
      </c>
      <c r="N41" s="10">
        <v>142694</v>
      </c>
    </row>
    <row r="42" spans="1:14">
      <c r="A42" s="1" t="s">
        <v>1</v>
      </c>
      <c r="B42" s="15" t="s">
        <v>93</v>
      </c>
      <c r="C42" s="81">
        <v>372877</v>
      </c>
      <c r="D42" s="56">
        <v>358009</v>
      </c>
      <c r="E42" s="56">
        <v>85968</v>
      </c>
      <c r="F42" s="56">
        <v>114223</v>
      </c>
      <c r="G42" s="56">
        <v>80155</v>
      </c>
      <c r="H42" s="56">
        <v>81266</v>
      </c>
      <c r="I42" s="56">
        <v>55528</v>
      </c>
      <c r="J42" s="18">
        <v>99462</v>
      </c>
      <c r="K42" s="19">
        <f t="shared" si="0"/>
        <v>1247488</v>
      </c>
      <c r="L42" s="19">
        <v>385576</v>
      </c>
      <c r="M42" s="19">
        <f t="shared" si="1"/>
        <v>385576</v>
      </c>
      <c r="N42" s="19">
        <v>7995072</v>
      </c>
    </row>
    <row r="43" spans="1:14">
      <c r="A43" s="1" t="s">
        <v>1</v>
      </c>
      <c r="B43" s="20" t="s">
        <v>94</v>
      </c>
      <c r="C43" s="78">
        <v>18360</v>
      </c>
      <c r="D43" s="49">
        <v>19380</v>
      </c>
      <c r="E43" s="49">
        <v>0</v>
      </c>
      <c r="F43" s="49">
        <v>0</v>
      </c>
      <c r="G43" s="49">
        <v>0</v>
      </c>
      <c r="H43" s="49">
        <v>0</v>
      </c>
      <c r="I43" s="49">
        <v>0</v>
      </c>
      <c r="J43" s="21">
        <v>0</v>
      </c>
      <c r="K43" s="22">
        <f t="shared" si="0"/>
        <v>37740</v>
      </c>
      <c r="L43" s="22">
        <v>19380</v>
      </c>
      <c r="M43" s="22">
        <f t="shared" si="1"/>
        <v>19380</v>
      </c>
      <c r="N43" s="22">
        <v>372810</v>
      </c>
    </row>
    <row r="44" spans="1:14">
      <c r="A44" s="1" t="s">
        <v>1</v>
      </c>
      <c r="B44" s="23" t="s">
        <v>95</v>
      </c>
      <c r="C44" s="79">
        <v>3240</v>
      </c>
      <c r="D44" s="51">
        <v>3420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24">
        <v>0</v>
      </c>
      <c r="K44" s="25">
        <f t="shared" si="0"/>
        <v>6660</v>
      </c>
      <c r="L44" s="25">
        <v>3420</v>
      </c>
      <c r="M44" s="25">
        <f t="shared" si="1"/>
        <v>3420</v>
      </c>
      <c r="N44" s="25">
        <v>65790</v>
      </c>
    </row>
    <row r="45" spans="1:14">
      <c r="A45" s="1" t="s">
        <v>1</v>
      </c>
      <c r="B45" s="23" t="s">
        <v>96</v>
      </c>
      <c r="C45" s="79">
        <v>32940</v>
      </c>
      <c r="D45" s="51">
        <v>34770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24">
        <v>0</v>
      </c>
      <c r="K45" s="25">
        <f t="shared" si="0"/>
        <v>67710</v>
      </c>
      <c r="L45" s="25">
        <v>34770</v>
      </c>
      <c r="M45" s="25">
        <f t="shared" si="1"/>
        <v>34770</v>
      </c>
      <c r="N45" s="25">
        <v>668865</v>
      </c>
    </row>
    <row r="46" spans="1:14">
      <c r="A46" s="1" t="s">
        <v>1</v>
      </c>
      <c r="B46" s="6" t="s">
        <v>97</v>
      </c>
      <c r="C46" s="80">
        <v>2237</v>
      </c>
      <c r="D46" s="54">
        <v>2148</v>
      </c>
      <c r="E46" s="54">
        <v>516</v>
      </c>
      <c r="F46" s="54">
        <v>685</v>
      </c>
      <c r="G46" s="54">
        <v>0</v>
      </c>
      <c r="H46" s="54">
        <v>0</v>
      </c>
      <c r="I46" s="54">
        <v>0</v>
      </c>
      <c r="J46" s="9">
        <v>597</v>
      </c>
      <c r="K46" s="10">
        <f t="shared" si="0"/>
        <v>6183</v>
      </c>
      <c r="L46" s="10">
        <v>2313</v>
      </c>
      <c r="M46" s="10">
        <f t="shared" si="1"/>
        <v>2313</v>
      </c>
      <c r="N46" s="10">
        <v>46668</v>
      </c>
    </row>
    <row r="47" spans="1:14">
      <c r="A47" s="1" t="s">
        <v>1</v>
      </c>
      <c r="B47" s="15" t="s">
        <v>98</v>
      </c>
      <c r="C47" s="81">
        <v>56777</v>
      </c>
      <c r="D47" s="56">
        <v>59718</v>
      </c>
      <c r="E47" s="56">
        <v>516</v>
      </c>
      <c r="F47" s="56">
        <v>685</v>
      </c>
      <c r="G47" s="56">
        <v>0</v>
      </c>
      <c r="H47" s="56">
        <v>0</v>
      </c>
      <c r="I47" s="56">
        <v>0</v>
      </c>
      <c r="J47" s="18">
        <v>597</v>
      </c>
      <c r="K47" s="19">
        <f t="shared" si="0"/>
        <v>118293</v>
      </c>
      <c r="L47" s="19">
        <v>59883</v>
      </c>
      <c r="M47" s="19">
        <f t="shared" si="1"/>
        <v>59883</v>
      </c>
      <c r="N47" s="19">
        <v>1154133</v>
      </c>
    </row>
    <row r="48" spans="1:14">
      <c r="A48" s="1" t="s">
        <v>1</v>
      </c>
      <c r="B48" s="20" t="s">
        <v>99</v>
      </c>
      <c r="C48" s="78">
        <v>9410</v>
      </c>
      <c r="D48" s="49">
        <v>6530</v>
      </c>
      <c r="E48" s="49">
        <v>0</v>
      </c>
      <c r="F48" s="49">
        <v>1300</v>
      </c>
      <c r="G48" s="49">
        <v>0</v>
      </c>
      <c r="H48" s="49">
        <v>0</v>
      </c>
      <c r="I48" s="49">
        <v>0</v>
      </c>
      <c r="J48" s="21">
        <v>0</v>
      </c>
      <c r="K48" s="22">
        <f t="shared" si="0"/>
        <v>17240</v>
      </c>
      <c r="L48" s="22">
        <v>10480</v>
      </c>
      <c r="M48" s="22">
        <f t="shared" si="1"/>
        <v>10480</v>
      </c>
      <c r="N48" s="22">
        <v>158560</v>
      </c>
    </row>
    <row r="49" spans="1:14">
      <c r="A49" s="1" t="s">
        <v>1</v>
      </c>
      <c r="B49" s="23" t="s">
        <v>100</v>
      </c>
      <c r="C49" s="79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24">
        <v>0</v>
      </c>
      <c r="K49" s="25">
        <f t="shared" si="0"/>
        <v>0</v>
      </c>
      <c r="L49" s="25">
        <v>0</v>
      </c>
      <c r="M49" s="25">
        <f t="shared" si="1"/>
        <v>0</v>
      </c>
      <c r="N49" s="25">
        <v>19500</v>
      </c>
    </row>
    <row r="50" spans="1:14">
      <c r="A50" s="1" t="s">
        <v>1</v>
      </c>
      <c r="B50" s="6" t="s">
        <v>101</v>
      </c>
      <c r="C50" s="80">
        <v>16800</v>
      </c>
      <c r="D50" s="54">
        <v>16400</v>
      </c>
      <c r="E50" s="54">
        <v>600</v>
      </c>
      <c r="F50" s="54">
        <v>500</v>
      </c>
      <c r="G50" s="54">
        <v>0</v>
      </c>
      <c r="H50" s="54">
        <v>0</v>
      </c>
      <c r="I50" s="54">
        <v>0</v>
      </c>
      <c r="J50" s="9">
        <v>2300</v>
      </c>
      <c r="K50" s="10">
        <f t="shared" si="0"/>
        <v>36600</v>
      </c>
      <c r="L50" s="10">
        <v>17300</v>
      </c>
      <c r="M50" s="10">
        <f t="shared" si="1"/>
        <v>17300</v>
      </c>
      <c r="N50" s="10">
        <v>244700</v>
      </c>
    </row>
    <row r="51" spans="1:14">
      <c r="A51" s="1" t="s">
        <v>1</v>
      </c>
      <c r="B51" s="15" t="s">
        <v>102</v>
      </c>
      <c r="C51" s="81">
        <v>82987</v>
      </c>
      <c r="D51" s="56">
        <v>82648</v>
      </c>
      <c r="E51" s="56">
        <v>1116</v>
      </c>
      <c r="F51" s="56">
        <v>2485</v>
      </c>
      <c r="G51" s="56">
        <v>0</v>
      </c>
      <c r="H51" s="56">
        <v>0</v>
      </c>
      <c r="I51" s="56">
        <v>0</v>
      </c>
      <c r="J51" s="18">
        <v>2897</v>
      </c>
      <c r="K51" s="19">
        <f t="shared" si="0"/>
        <v>172133</v>
      </c>
      <c r="L51" s="19">
        <v>87663</v>
      </c>
      <c r="M51" s="19">
        <f t="shared" si="1"/>
        <v>87663</v>
      </c>
      <c r="N51" s="19">
        <v>1576893</v>
      </c>
    </row>
    <row r="52" spans="1:14">
      <c r="A52" s="1" t="s">
        <v>1</v>
      </c>
      <c r="B52" s="15" t="s">
        <v>103</v>
      </c>
      <c r="C52" s="81">
        <v>312599</v>
      </c>
      <c r="D52" s="56">
        <v>294540</v>
      </c>
      <c r="E52" s="56">
        <v>82784</v>
      </c>
      <c r="F52" s="56">
        <v>111315</v>
      </c>
      <c r="G52" s="56">
        <v>76820</v>
      </c>
      <c r="H52" s="56">
        <v>76820</v>
      </c>
      <c r="I52" s="56">
        <v>53360</v>
      </c>
      <c r="J52" s="18">
        <v>91863</v>
      </c>
      <c r="K52" s="19">
        <f t="shared" si="0"/>
        <v>1100101</v>
      </c>
      <c r="L52" s="19">
        <v>325693</v>
      </c>
      <c r="M52" s="19">
        <f t="shared" si="1"/>
        <v>325693</v>
      </c>
      <c r="N52" s="19">
        <v>6698245</v>
      </c>
    </row>
    <row r="53" spans="1:14">
      <c r="A53" s="1" t="s">
        <v>1</v>
      </c>
      <c r="B53" s="15" t="s">
        <v>104</v>
      </c>
      <c r="C53" s="81">
        <v>289890</v>
      </c>
      <c r="D53" s="56">
        <v>275361</v>
      </c>
      <c r="E53" s="56">
        <v>84852</v>
      </c>
      <c r="F53" s="56">
        <v>111738</v>
      </c>
      <c r="G53" s="56">
        <v>80155</v>
      </c>
      <c r="H53" s="56">
        <v>81266</v>
      </c>
      <c r="I53" s="56">
        <v>55528</v>
      </c>
      <c r="J53" s="18">
        <v>96565</v>
      </c>
      <c r="K53" s="19">
        <f t="shared" si="0"/>
        <v>1075355</v>
      </c>
      <c r="L53" s="19">
        <v>297913</v>
      </c>
      <c r="M53" s="19">
        <f t="shared" si="1"/>
        <v>297913</v>
      </c>
      <c r="N53" s="19">
        <v>6418179</v>
      </c>
    </row>
    <row r="54" spans="1:14">
      <c r="A54" s="1" t="s">
        <v>1</v>
      </c>
      <c r="B54" s="15" t="s">
        <v>105</v>
      </c>
      <c r="C54" s="81">
        <v>289890</v>
      </c>
      <c r="D54" s="56">
        <v>275361</v>
      </c>
      <c r="E54" s="56">
        <v>84852</v>
      </c>
      <c r="F54" s="56">
        <v>111738</v>
      </c>
      <c r="G54" s="56">
        <v>80155</v>
      </c>
      <c r="H54" s="56">
        <v>81266</v>
      </c>
      <c r="I54" s="56">
        <v>55528</v>
      </c>
      <c r="J54" s="18">
        <v>96565</v>
      </c>
      <c r="K54" s="19">
        <f t="shared" si="0"/>
        <v>1075355</v>
      </c>
      <c r="L54" s="19">
        <v>297913</v>
      </c>
      <c r="M54" s="19">
        <f t="shared" si="1"/>
        <v>297913</v>
      </c>
      <c r="N54" s="19">
        <v>6418179</v>
      </c>
    </row>
    <row r="55" spans="1:14">
      <c r="A55" s="1" t="s">
        <v>1</v>
      </c>
      <c r="B55" s="15" t="s">
        <v>106</v>
      </c>
      <c r="C55" s="81">
        <v>0</v>
      </c>
      <c r="D55" s="56">
        <v>1</v>
      </c>
      <c r="E55" s="56">
        <v>0</v>
      </c>
      <c r="F55" s="56">
        <v>0</v>
      </c>
      <c r="G55" s="56">
        <v>1</v>
      </c>
      <c r="H55" s="56">
        <v>1</v>
      </c>
      <c r="I55" s="56">
        <v>1</v>
      </c>
      <c r="J55" s="18">
        <v>1</v>
      </c>
      <c r="K55" s="19"/>
      <c r="L55" s="19">
        <v>0</v>
      </c>
      <c r="M55" s="19"/>
      <c r="N55" s="19"/>
    </row>
    <row r="56" spans="1:14" ht="19.5" thickBot="1">
      <c r="A56" s="1" t="s">
        <v>1</v>
      </c>
      <c r="B56" s="11" t="s">
        <v>107</v>
      </c>
      <c r="C56" s="82" t="s">
        <v>108</v>
      </c>
      <c r="D56" s="58" t="s">
        <v>108</v>
      </c>
      <c r="E56" s="58" t="s">
        <v>108</v>
      </c>
      <c r="F56" s="58" t="s">
        <v>108</v>
      </c>
      <c r="G56" s="58" t="s">
        <v>108</v>
      </c>
      <c r="H56" s="58" t="s">
        <v>108</v>
      </c>
      <c r="I56" s="58" t="s">
        <v>108</v>
      </c>
      <c r="J56" s="12" t="s">
        <v>108</v>
      </c>
      <c r="K56" s="13"/>
      <c r="L56" s="13" t="s">
        <v>108</v>
      </c>
      <c r="M56" s="13"/>
      <c r="N56" s="13"/>
    </row>
  </sheetData>
  <phoneticPr fontId="3"/>
  <pageMargins left="0.31496062992125984" right="0.31496062992125984" top="0.35433070866141736" bottom="0.35433070866141736" header="0.11811023622047245" footer="0.51181102362204722"/>
  <pageSetup paperSize="12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D259-16A6-46B4-A426-DC8C57C6315C}">
  <sheetPr>
    <pageSetUpPr fitToPage="1"/>
  </sheetPr>
  <dimension ref="A1:V56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2" width="11.625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109</v>
      </c>
    </row>
    <row r="3" spans="1:22">
      <c r="B3" s="14"/>
      <c r="C3" s="34" t="s">
        <v>2</v>
      </c>
      <c r="D3" s="35" t="s">
        <v>3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5" t="s">
        <v>13</v>
      </c>
      <c r="M3" s="35" t="s">
        <v>14</v>
      </c>
      <c r="N3" s="35" t="s">
        <v>15</v>
      </c>
      <c r="O3" s="35" t="s">
        <v>16</v>
      </c>
      <c r="P3" s="35" t="s">
        <v>18</v>
      </c>
      <c r="Q3" s="35" t="s">
        <v>19</v>
      </c>
      <c r="R3" s="35" t="s">
        <v>20</v>
      </c>
      <c r="S3" s="35" t="s">
        <v>21</v>
      </c>
      <c r="T3" s="35" t="s">
        <v>22</v>
      </c>
      <c r="U3" s="59" t="s">
        <v>23</v>
      </c>
      <c r="V3" s="83" t="s">
        <v>111</v>
      </c>
    </row>
    <row r="4" spans="1:22" ht="19.5" thickBot="1">
      <c r="B4" s="5" t="s">
        <v>30</v>
      </c>
      <c r="C4" s="36" t="s">
        <v>31</v>
      </c>
      <c r="D4" s="37" t="s">
        <v>32</v>
      </c>
      <c r="E4" s="37" t="s">
        <v>34</v>
      </c>
      <c r="F4" s="37" t="s">
        <v>35</v>
      </c>
      <c r="G4" s="37" t="s">
        <v>36</v>
      </c>
      <c r="H4" s="37" t="s">
        <v>37</v>
      </c>
      <c r="I4" s="37" t="s">
        <v>38</v>
      </c>
      <c r="J4" s="37" t="s">
        <v>39</v>
      </c>
      <c r="K4" s="37" t="s">
        <v>40</v>
      </c>
      <c r="L4" s="37" t="s">
        <v>41</v>
      </c>
      <c r="M4" s="37" t="s">
        <v>42</v>
      </c>
      <c r="N4" s="37" t="s">
        <v>43</v>
      </c>
      <c r="O4" s="37" t="s">
        <v>44</v>
      </c>
      <c r="P4" s="37" t="s">
        <v>46</v>
      </c>
      <c r="Q4" s="37" t="s">
        <v>47</v>
      </c>
      <c r="R4" s="37" t="s">
        <v>48</v>
      </c>
      <c r="S4" s="37" t="s">
        <v>49</v>
      </c>
      <c r="T4" s="37" t="s">
        <v>50</v>
      </c>
      <c r="U4" s="60" t="s">
        <v>51</v>
      </c>
      <c r="V4" s="84" t="s">
        <v>112</v>
      </c>
    </row>
    <row r="5" spans="1:22">
      <c r="A5" s="1" t="s">
        <v>1</v>
      </c>
      <c r="B5" s="27" t="s">
        <v>59</v>
      </c>
      <c r="C5" s="38">
        <v>18</v>
      </c>
      <c r="D5" s="39">
        <v>19</v>
      </c>
      <c r="E5" s="39">
        <v>16</v>
      </c>
      <c r="F5" s="39">
        <v>17</v>
      </c>
      <c r="G5" s="39">
        <v>16</v>
      </c>
      <c r="H5" s="39">
        <v>17</v>
      </c>
      <c r="I5" s="39">
        <v>18</v>
      </c>
      <c r="J5" s="39">
        <v>18</v>
      </c>
      <c r="K5" s="39">
        <v>18</v>
      </c>
      <c r="L5" s="39">
        <v>17</v>
      </c>
      <c r="M5" s="39">
        <v>19</v>
      </c>
      <c r="N5" s="39">
        <v>18</v>
      </c>
      <c r="O5" s="39">
        <v>19</v>
      </c>
      <c r="P5" s="39">
        <v>14</v>
      </c>
      <c r="Q5" s="39">
        <v>18</v>
      </c>
      <c r="R5" s="39">
        <v>17</v>
      </c>
      <c r="S5" s="39">
        <v>17</v>
      </c>
      <c r="T5" s="39">
        <v>19</v>
      </c>
      <c r="U5" s="61">
        <v>19</v>
      </c>
      <c r="V5" s="29">
        <f>SUM(C5:U5)</f>
        <v>334</v>
      </c>
    </row>
    <row r="6" spans="1:22">
      <c r="A6" s="1" t="s">
        <v>1</v>
      </c>
      <c r="B6" s="23" t="s">
        <v>60</v>
      </c>
      <c r="C6" s="40">
        <v>2</v>
      </c>
      <c r="D6" s="41">
        <v>1</v>
      </c>
      <c r="E6" s="41">
        <v>0</v>
      </c>
      <c r="F6" s="41">
        <v>3</v>
      </c>
      <c r="G6" s="41">
        <v>2</v>
      </c>
      <c r="H6" s="41">
        <v>2</v>
      </c>
      <c r="I6" s="41">
        <v>3</v>
      </c>
      <c r="J6" s="41">
        <v>4</v>
      </c>
      <c r="K6" s="41">
        <v>2</v>
      </c>
      <c r="L6" s="41">
        <v>3</v>
      </c>
      <c r="M6" s="41">
        <v>3</v>
      </c>
      <c r="N6" s="41">
        <v>1</v>
      </c>
      <c r="O6" s="41">
        <v>3</v>
      </c>
      <c r="P6" s="41">
        <v>3</v>
      </c>
      <c r="Q6" s="41">
        <v>3</v>
      </c>
      <c r="R6" s="41">
        <v>4</v>
      </c>
      <c r="S6" s="41">
        <v>2</v>
      </c>
      <c r="T6" s="41">
        <v>2</v>
      </c>
      <c r="U6" s="62">
        <v>3</v>
      </c>
      <c r="V6" s="31">
        <f t="shared" ref="V6:V54" si="0">SUM(C6:U6)</f>
        <v>46</v>
      </c>
    </row>
    <row r="7" spans="1:22">
      <c r="A7" s="1" t="s">
        <v>1</v>
      </c>
      <c r="B7" s="23" t="s">
        <v>61</v>
      </c>
      <c r="C7" s="40">
        <v>4</v>
      </c>
      <c r="D7" s="41">
        <v>6</v>
      </c>
      <c r="E7" s="41">
        <v>2</v>
      </c>
      <c r="F7" s="41">
        <v>1</v>
      </c>
      <c r="G7" s="41">
        <v>3</v>
      </c>
      <c r="H7" s="41">
        <v>2</v>
      </c>
      <c r="I7" s="41">
        <v>2</v>
      </c>
      <c r="J7" s="41">
        <v>2</v>
      </c>
      <c r="K7" s="41">
        <v>4</v>
      </c>
      <c r="L7" s="41">
        <v>2</v>
      </c>
      <c r="M7" s="41">
        <v>1</v>
      </c>
      <c r="N7" s="41">
        <v>4</v>
      </c>
      <c r="O7" s="41">
        <v>3</v>
      </c>
      <c r="P7" s="41">
        <v>4</v>
      </c>
      <c r="Q7" s="41">
        <v>1</v>
      </c>
      <c r="R7" s="41">
        <v>3</v>
      </c>
      <c r="S7" s="41">
        <v>4</v>
      </c>
      <c r="T7" s="41">
        <v>4</v>
      </c>
      <c r="U7" s="62">
        <v>3</v>
      </c>
      <c r="V7" s="31">
        <f t="shared" si="0"/>
        <v>55</v>
      </c>
    </row>
    <row r="8" spans="1:22">
      <c r="A8" s="1" t="s">
        <v>1</v>
      </c>
      <c r="B8" s="23" t="s">
        <v>62</v>
      </c>
      <c r="C8" s="40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1</v>
      </c>
      <c r="O8" s="41">
        <v>0</v>
      </c>
      <c r="P8" s="41">
        <v>0</v>
      </c>
      <c r="Q8" s="41">
        <v>1</v>
      </c>
      <c r="R8" s="41">
        <v>2</v>
      </c>
      <c r="S8" s="41">
        <v>1</v>
      </c>
      <c r="T8" s="41">
        <v>0</v>
      </c>
      <c r="U8" s="62">
        <v>0</v>
      </c>
      <c r="V8" s="31">
        <f t="shared" si="0"/>
        <v>5</v>
      </c>
    </row>
    <row r="9" spans="1:22">
      <c r="A9" s="1" t="s">
        <v>1</v>
      </c>
      <c r="B9" s="23" t="s">
        <v>63</v>
      </c>
      <c r="C9" s="40">
        <v>1</v>
      </c>
      <c r="D9" s="41">
        <v>0</v>
      </c>
      <c r="E9" s="41">
        <v>3</v>
      </c>
      <c r="F9" s="41">
        <v>2</v>
      </c>
      <c r="G9" s="41">
        <v>3</v>
      </c>
      <c r="H9" s="41">
        <v>2</v>
      </c>
      <c r="I9" s="41">
        <v>1</v>
      </c>
      <c r="J9" s="41">
        <v>1</v>
      </c>
      <c r="K9" s="41">
        <v>1.5</v>
      </c>
      <c r="L9" s="41">
        <v>0</v>
      </c>
      <c r="M9" s="41">
        <v>0</v>
      </c>
      <c r="N9" s="41">
        <v>0</v>
      </c>
      <c r="O9" s="41">
        <v>0</v>
      </c>
      <c r="P9" s="41">
        <v>1</v>
      </c>
      <c r="Q9" s="41">
        <v>0</v>
      </c>
      <c r="R9" s="41">
        <v>0</v>
      </c>
      <c r="S9" s="41">
        <v>1</v>
      </c>
      <c r="T9" s="41">
        <v>0</v>
      </c>
      <c r="U9" s="62">
        <v>0</v>
      </c>
      <c r="V9" s="31">
        <f t="shared" si="0"/>
        <v>16.5</v>
      </c>
    </row>
    <row r="10" spans="1:22">
      <c r="A10" s="1" t="s">
        <v>1</v>
      </c>
      <c r="B10" s="23" t="s">
        <v>64</v>
      </c>
      <c r="C10" s="40">
        <v>0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2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62">
        <v>0</v>
      </c>
      <c r="V10" s="31">
        <f t="shared" si="0"/>
        <v>2</v>
      </c>
    </row>
    <row r="11" spans="1:22">
      <c r="A11" s="1" t="s">
        <v>1</v>
      </c>
      <c r="B11" s="23" t="s">
        <v>65</v>
      </c>
      <c r="C11" s="40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4</v>
      </c>
      <c r="Q11" s="41">
        <v>0</v>
      </c>
      <c r="R11" s="41">
        <v>0</v>
      </c>
      <c r="S11" s="41">
        <v>0</v>
      </c>
      <c r="T11" s="41">
        <v>0</v>
      </c>
      <c r="U11" s="62">
        <v>0</v>
      </c>
      <c r="V11" s="31">
        <f t="shared" si="0"/>
        <v>4</v>
      </c>
    </row>
    <row r="12" spans="1:22">
      <c r="A12" s="1" t="s">
        <v>1</v>
      </c>
      <c r="B12" s="23" t="s">
        <v>66</v>
      </c>
      <c r="C12" s="42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63">
        <v>0</v>
      </c>
      <c r="V12" s="33">
        <f t="shared" si="0"/>
        <v>0</v>
      </c>
    </row>
    <row r="13" spans="1:22">
      <c r="A13" s="1" t="s">
        <v>1</v>
      </c>
      <c r="B13" s="23" t="s">
        <v>67</v>
      </c>
      <c r="C13" s="42">
        <v>0.91666666666666663</v>
      </c>
      <c r="D13" s="43">
        <v>1.5</v>
      </c>
      <c r="E13" s="43">
        <v>0.95833333333333337</v>
      </c>
      <c r="F13" s="43">
        <v>2.625</v>
      </c>
      <c r="G13" s="43">
        <v>2.4166666666666665</v>
      </c>
      <c r="H13" s="43">
        <v>2.5833333333333335</v>
      </c>
      <c r="I13" s="43">
        <v>1.7916666666666665</v>
      </c>
      <c r="J13" s="43">
        <v>2.2083333333333335</v>
      </c>
      <c r="K13" s="43">
        <v>1.625</v>
      </c>
      <c r="L13" s="43">
        <v>1.5</v>
      </c>
      <c r="M13" s="43">
        <v>1.625</v>
      </c>
      <c r="N13" s="43">
        <v>0.5</v>
      </c>
      <c r="O13" s="43">
        <v>1.2083333333333333</v>
      </c>
      <c r="P13" s="43">
        <v>2.0416666666666665</v>
      </c>
      <c r="Q13" s="43">
        <v>1.2916666666666667</v>
      </c>
      <c r="R13" s="43">
        <v>2.0833333333333335</v>
      </c>
      <c r="S13" s="43">
        <v>2.5416666666666665</v>
      </c>
      <c r="T13" s="43">
        <v>2.1666666666666665</v>
      </c>
      <c r="U13" s="63">
        <v>1.875</v>
      </c>
      <c r="V13" s="33">
        <f t="shared" si="0"/>
        <v>33.458333333333336</v>
      </c>
    </row>
    <row r="14" spans="1:22">
      <c r="A14" s="1" t="s">
        <v>1</v>
      </c>
      <c r="B14" s="23" t="s">
        <v>68</v>
      </c>
      <c r="C14" s="42">
        <v>0.875</v>
      </c>
      <c r="D14" s="43">
        <v>8.3333333333333329E-2</v>
      </c>
      <c r="E14" s="43">
        <v>0</v>
      </c>
      <c r="F14" s="43">
        <v>0.70833333333333337</v>
      </c>
      <c r="G14" s="43">
        <v>0.66666666666666663</v>
      </c>
      <c r="H14" s="43">
        <v>0.54166666666666663</v>
      </c>
      <c r="I14" s="43">
        <v>1.125</v>
      </c>
      <c r="J14" s="43">
        <v>1.5</v>
      </c>
      <c r="K14" s="43">
        <v>0.83333333333333337</v>
      </c>
      <c r="L14" s="43">
        <v>0.875</v>
      </c>
      <c r="M14" s="43">
        <v>1.2083333333333333</v>
      </c>
      <c r="N14" s="43">
        <v>0.29166666666666669</v>
      </c>
      <c r="O14" s="43">
        <v>0.875</v>
      </c>
      <c r="P14" s="43">
        <v>1.2916666666666667</v>
      </c>
      <c r="Q14" s="43">
        <v>0.875</v>
      </c>
      <c r="R14" s="43">
        <v>1.4583333333333333</v>
      </c>
      <c r="S14" s="43">
        <v>0.91666666666666663</v>
      </c>
      <c r="T14" s="43">
        <v>0.875</v>
      </c>
      <c r="U14" s="63">
        <v>0.875</v>
      </c>
      <c r="V14" s="33">
        <f t="shared" si="0"/>
        <v>15.874999999999998</v>
      </c>
    </row>
    <row r="15" spans="1:22">
      <c r="A15" s="1" t="s">
        <v>1</v>
      </c>
      <c r="B15" s="23" t="s">
        <v>69</v>
      </c>
      <c r="C15" s="42">
        <v>1.375</v>
      </c>
      <c r="D15" s="43">
        <v>2</v>
      </c>
      <c r="E15" s="43">
        <v>0.5</v>
      </c>
      <c r="F15" s="43">
        <v>0.33333333333333331</v>
      </c>
      <c r="G15" s="43">
        <v>0.91666666666666663</v>
      </c>
      <c r="H15" s="43">
        <v>0.70833333333333337</v>
      </c>
      <c r="I15" s="43">
        <v>0.95833333333333337</v>
      </c>
      <c r="J15" s="43">
        <v>1</v>
      </c>
      <c r="K15" s="43">
        <v>1.3333333333333333</v>
      </c>
      <c r="L15" s="43">
        <v>0.5</v>
      </c>
      <c r="M15" s="43">
        <v>0.45833333333333331</v>
      </c>
      <c r="N15" s="43">
        <v>0.95833333333333337</v>
      </c>
      <c r="O15" s="43">
        <v>0.875</v>
      </c>
      <c r="P15" s="43">
        <v>1.2916666666666667</v>
      </c>
      <c r="Q15" s="43">
        <v>0.45833333333333331</v>
      </c>
      <c r="R15" s="43">
        <v>0.95833333333333337</v>
      </c>
      <c r="S15" s="43">
        <v>0.75</v>
      </c>
      <c r="T15" s="43">
        <v>1.5833333333333335</v>
      </c>
      <c r="U15" s="63">
        <v>1.0833333333333333</v>
      </c>
      <c r="V15" s="33">
        <f t="shared" si="0"/>
        <v>18.041666666666668</v>
      </c>
    </row>
    <row r="16" spans="1:22">
      <c r="A16" s="1" t="s">
        <v>1</v>
      </c>
      <c r="B16" s="23" t="s">
        <v>70</v>
      </c>
      <c r="C16" s="42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0.41666666666666669</v>
      </c>
      <c r="R16" s="43">
        <v>0.25</v>
      </c>
      <c r="S16" s="43">
        <v>0</v>
      </c>
      <c r="T16" s="43">
        <v>0</v>
      </c>
      <c r="U16" s="63">
        <v>0</v>
      </c>
      <c r="V16" s="33">
        <f t="shared" si="0"/>
        <v>0.66666666666666674</v>
      </c>
    </row>
    <row r="17" spans="1:22">
      <c r="A17" s="1" t="s">
        <v>1</v>
      </c>
      <c r="B17" s="23" t="s">
        <v>71</v>
      </c>
      <c r="C17" s="42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0.29166666666666669</v>
      </c>
      <c r="O17" s="43">
        <v>0</v>
      </c>
      <c r="P17" s="43">
        <v>0</v>
      </c>
      <c r="Q17" s="43">
        <v>0</v>
      </c>
      <c r="R17" s="43">
        <v>0.45833333333333331</v>
      </c>
      <c r="S17" s="43">
        <v>0.25</v>
      </c>
      <c r="T17" s="43">
        <v>0</v>
      </c>
      <c r="U17" s="63">
        <v>0</v>
      </c>
      <c r="V17" s="33">
        <f t="shared" si="0"/>
        <v>1</v>
      </c>
    </row>
    <row r="18" spans="1:22">
      <c r="A18" s="1" t="s">
        <v>1</v>
      </c>
      <c r="B18" s="23" t="s">
        <v>72</v>
      </c>
      <c r="C18" s="42">
        <v>0</v>
      </c>
      <c r="D18" s="43">
        <v>0</v>
      </c>
      <c r="E18" s="43">
        <v>0</v>
      </c>
      <c r="F18" s="43">
        <v>0.125</v>
      </c>
      <c r="G18" s="43">
        <v>0</v>
      </c>
      <c r="H18" s="43">
        <v>0.29166666666666669</v>
      </c>
      <c r="I18" s="43">
        <v>0</v>
      </c>
      <c r="J18" s="43">
        <v>4.1666666666666664E-2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4.1666666666666664E-2</v>
      </c>
      <c r="T18" s="43">
        <v>0</v>
      </c>
      <c r="U18" s="63">
        <v>0</v>
      </c>
      <c r="V18" s="33">
        <f t="shared" si="0"/>
        <v>0.5</v>
      </c>
    </row>
    <row r="19" spans="1:22">
      <c r="A19" s="1" t="s">
        <v>1</v>
      </c>
      <c r="B19" s="23" t="s">
        <v>73</v>
      </c>
      <c r="C19" s="42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63">
        <v>0</v>
      </c>
      <c r="V19" s="33">
        <f t="shared" si="0"/>
        <v>0</v>
      </c>
    </row>
    <row r="20" spans="1:22">
      <c r="A20" s="1" t="s">
        <v>1</v>
      </c>
      <c r="B20" s="6" t="s">
        <v>74</v>
      </c>
      <c r="C20" s="44">
        <v>0.375</v>
      </c>
      <c r="D20" s="45">
        <v>0.29166666666666669</v>
      </c>
      <c r="E20" s="45">
        <v>0.45833333333333331</v>
      </c>
      <c r="F20" s="45">
        <v>1.0833333333333333</v>
      </c>
      <c r="G20" s="45">
        <v>1.375</v>
      </c>
      <c r="H20" s="45">
        <v>1.1666666666666667</v>
      </c>
      <c r="I20" s="45">
        <v>8.3333333333333329E-2</v>
      </c>
      <c r="J20" s="45">
        <v>0.20833333333333334</v>
      </c>
      <c r="K20" s="45">
        <v>0.16666666666666666</v>
      </c>
      <c r="L20" s="45">
        <v>0.625</v>
      </c>
      <c r="M20" s="45">
        <v>0.41666666666666669</v>
      </c>
      <c r="N20" s="45">
        <v>0.58333333333333337</v>
      </c>
      <c r="O20" s="45">
        <v>0.41666666666666669</v>
      </c>
      <c r="P20" s="45">
        <v>0.95833333333333337</v>
      </c>
      <c r="Q20" s="45">
        <v>2.0833333333333335</v>
      </c>
      <c r="R20" s="45">
        <v>0.91666666666666663</v>
      </c>
      <c r="S20" s="45">
        <v>1.75</v>
      </c>
      <c r="T20" s="45">
        <v>0.58333333333333337</v>
      </c>
      <c r="U20" s="64">
        <v>0.41666666666666669</v>
      </c>
      <c r="V20" s="8">
        <f t="shared" si="0"/>
        <v>13.958333333333334</v>
      </c>
    </row>
    <row r="21" spans="1:22">
      <c r="A21" s="1" t="s">
        <v>1</v>
      </c>
      <c r="B21" s="15" t="s">
        <v>75</v>
      </c>
      <c r="C21" s="46">
        <v>3</v>
      </c>
      <c r="D21" s="47">
        <v>0</v>
      </c>
      <c r="E21" s="47">
        <v>22</v>
      </c>
      <c r="F21" s="47">
        <v>21</v>
      </c>
      <c r="G21" s="47">
        <v>15</v>
      </c>
      <c r="H21" s="47">
        <v>14</v>
      </c>
      <c r="I21" s="47">
        <v>4</v>
      </c>
      <c r="J21" s="47">
        <v>17</v>
      </c>
      <c r="K21" s="47">
        <v>16.5</v>
      </c>
      <c r="L21" s="47">
        <v>28</v>
      </c>
      <c r="M21" s="47">
        <v>2</v>
      </c>
      <c r="N21" s="47">
        <v>4</v>
      </c>
      <c r="O21" s="47">
        <v>23</v>
      </c>
      <c r="P21" s="47">
        <v>4</v>
      </c>
      <c r="Q21" s="47">
        <v>21</v>
      </c>
      <c r="R21" s="47">
        <v>3</v>
      </c>
      <c r="S21" s="47">
        <v>3</v>
      </c>
      <c r="T21" s="47">
        <v>5</v>
      </c>
      <c r="U21" s="65">
        <v>10</v>
      </c>
      <c r="V21" s="17">
        <f t="shared" si="0"/>
        <v>215.5</v>
      </c>
    </row>
    <row r="22" spans="1:22">
      <c r="A22" s="1" t="s">
        <v>1</v>
      </c>
      <c r="B22" s="20" t="s">
        <v>76</v>
      </c>
      <c r="C22" s="48">
        <v>177000</v>
      </c>
      <c r="D22" s="49">
        <v>187000</v>
      </c>
      <c r="E22" s="49">
        <v>192000</v>
      </c>
      <c r="F22" s="49">
        <v>192000</v>
      </c>
      <c r="G22" s="49">
        <v>187000</v>
      </c>
      <c r="H22" s="49">
        <v>192000</v>
      </c>
      <c r="I22" s="49">
        <v>177000</v>
      </c>
      <c r="J22" s="49">
        <v>182000</v>
      </c>
      <c r="K22" s="49">
        <v>177000</v>
      </c>
      <c r="L22" s="49">
        <v>187000</v>
      </c>
      <c r="M22" s="49">
        <v>177000</v>
      </c>
      <c r="N22" s="49">
        <v>182000</v>
      </c>
      <c r="O22" s="49">
        <v>187000</v>
      </c>
      <c r="P22" s="49">
        <v>177000</v>
      </c>
      <c r="Q22" s="49">
        <v>170000</v>
      </c>
      <c r="R22" s="49">
        <v>170000</v>
      </c>
      <c r="S22" s="49">
        <v>170000</v>
      </c>
      <c r="T22" s="49">
        <v>170000</v>
      </c>
      <c r="U22" s="66">
        <v>170000</v>
      </c>
      <c r="V22" s="22">
        <f t="shared" si="0"/>
        <v>3423000</v>
      </c>
    </row>
    <row r="23" spans="1:22">
      <c r="A23" s="1" t="s">
        <v>1</v>
      </c>
      <c r="B23" s="23" t="s">
        <v>77</v>
      </c>
      <c r="C23" s="50">
        <v>0</v>
      </c>
      <c r="D23" s="51">
        <v>0</v>
      </c>
      <c r="E23" s="51">
        <v>20000</v>
      </c>
      <c r="F23" s="51">
        <v>20000</v>
      </c>
      <c r="G23" s="51">
        <v>5000</v>
      </c>
      <c r="H23" s="51">
        <v>5000</v>
      </c>
      <c r="I23" s="51">
        <v>0</v>
      </c>
      <c r="J23" s="51">
        <v>5000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5000</v>
      </c>
      <c r="Q23" s="51">
        <v>0</v>
      </c>
      <c r="R23" s="51">
        <v>0</v>
      </c>
      <c r="S23" s="51">
        <v>0</v>
      </c>
      <c r="T23" s="51">
        <v>0</v>
      </c>
      <c r="U23" s="67">
        <v>0</v>
      </c>
      <c r="V23" s="25">
        <f t="shared" si="0"/>
        <v>60000</v>
      </c>
    </row>
    <row r="24" spans="1:22">
      <c r="A24" s="1" t="s">
        <v>1</v>
      </c>
      <c r="B24" s="23" t="s">
        <v>78</v>
      </c>
      <c r="C24" s="50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67">
        <v>0</v>
      </c>
      <c r="V24" s="25">
        <f t="shared" si="0"/>
        <v>0</v>
      </c>
    </row>
    <row r="25" spans="1:22">
      <c r="A25" s="1" t="s">
        <v>1</v>
      </c>
      <c r="B25" s="23" t="s">
        <v>79</v>
      </c>
      <c r="C25" s="50">
        <v>0</v>
      </c>
      <c r="D25" s="51">
        <v>7640</v>
      </c>
      <c r="E25" s="51">
        <v>90004</v>
      </c>
      <c r="F25" s="51">
        <v>24135</v>
      </c>
      <c r="G25" s="51">
        <v>0</v>
      </c>
      <c r="H25" s="51">
        <v>22526</v>
      </c>
      <c r="I25" s="51">
        <v>5788</v>
      </c>
      <c r="J25" s="51">
        <v>0</v>
      </c>
      <c r="K25" s="51">
        <v>7235</v>
      </c>
      <c r="L25" s="51">
        <v>46658</v>
      </c>
      <c r="M25" s="51">
        <v>0</v>
      </c>
      <c r="N25" s="51">
        <v>83173</v>
      </c>
      <c r="O25" s="51">
        <v>26010</v>
      </c>
      <c r="P25" s="51">
        <v>11083</v>
      </c>
      <c r="Q25" s="51">
        <v>0</v>
      </c>
      <c r="R25" s="51">
        <v>0</v>
      </c>
      <c r="S25" s="51">
        <v>0</v>
      </c>
      <c r="T25" s="51">
        <v>0</v>
      </c>
      <c r="U25" s="67">
        <v>0</v>
      </c>
      <c r="V25" s="25">
        <f t="shared" si="0"/>
        <v>324252</v>
      </c>
    </row>
    <row r="26" spans="1:22">
      <c r="A26" s="1" t="s">
        <v>1</v>
      </c>
      <c r="B26" s="23" t="s">
        <v>80</v>
      </c>
      <c r="C26" s="50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67">
        <v>0</v>
      </c>
      <c r="V26" s="25">
        <f t="shared" si="0"/>
        <v>0</v>
      </c>
    </row>
    <row r="27" spans="1:22">
      <c r="A27" s="1" t="s">
        <v>1</v>
      </c>
      <c r="B27" s="23" t="s">
        <v>81</v>
      </c>
      <c r="C27" s="50">
        <v>3500</v>
      </c>
      <c r="D27" s="51">
        <v>3500</v>
      </c>
      <c r="E27" s="51">
        <v>3500</v>
      </c>
      <c r="F27" s="51">
        <v>3500</v>
      </c>
      <c r="G27" s="51">
        <v>1000</v>
      </c>
      <c r="H27" s="51">
        <v>3500</v>
      </c>
      <c r="I27" s="51">
        <v>3500</v>
      </c>
      <c r="J27" s="51">
        <v>3500</v>
      </c>
      <c r="K27" s="51">
        <v>3500</v>
      </c>
      <c r="L27" s="51">
        <v>3500</v>
      </c>
      <c r="M27" s="51">
        <v>3500</v>
      </c>
      <c r="N27" s="51">
        <v>3500</v>
      </c>
      <c r="O27" s="51">
        <v>3500</v>
      </c>
      <c r="P27" s="51">
        <v>3500</v>
      </c>
      <c r="Q27" s="51">
        <v>3500</v>
      </c>
      <c r="R27" s="51">
        <v>1000</v>
      </c>
      <c r="S27" s="51">
        <v>0</v>
      </c>
      <c r="T27" s="51">
        <v>1000</v>
      </c>
      <c r="U27" s="67">
        <v>0</v>
      </c>
      <c r="V27" s="25">
        <f t="shared" si="0"/>
        <v>52000</v>
      </c>
    </row>
    <row r="28" spans="1:22">
      <c r="A28" s="1" t="s">
        <v>1</v>
      </c>
      <c r="B28" s="23" t="s">
        <v>82</v>
      </c>
      <c r="C28" s="50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67">
        <v>0</v>
      </c>
      <c r="V28" s="25">
        <f t="shared" si="0"/>
        <v>0</v>
      </c>
    </row>
    <row r="29" spans="1:22">
      <c r="A29" s="1" t="s">
        <v>1</v>
      </c>
      <c r="B29" s="23" t="s">
        <v>83</v>
      </c>
      <c r="C29" s="50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67">
        <v>0</v>
      </c>
      <c r="V29" s="25">
        <f t="shared" si="0"/>
        <v>0</v>
      </c>
    </row>
    <row r="30" spans="1:22">
      <c r="A30" s="1" t="s">
        <v>1</v>
      </c>
      <c r="B30" s="23" t="s">
        <v>84</v>
      </c>
      <c r="C30" s="50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2">
        <v>-12760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67">
        <v>0</v>
      </c>
      <c r="V30" s="26">
        <f t="shared" si="0"/>
        <v>-12760</v>
      </c>
    </row>
    <row r="31" spans="1:22">
      <c r="A31" s="1" t="s">
        <v>1</v>
      </c>
      <c r="B31" s="23" t="s">
        <v>85</v>
      </c>
      <c r="C31" s="50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2">
        <v>-35500</v>
      </c>
      <c r="Q31" s="51">
        <v>0</v>
      </c>
      <c r="R31" s="51">
        <v>0</v>
      </c>
      <c r="S31" s="51">
        <v>0</v>
      </c>
      <c r="T31" s="51">
        <v>0</v>
      </c>
      <c r="U31" s="67">
        <v>0</v>
      </c>
      <c r="V31" s="26">
        <f t="shared" si="0"/>
        <v>-35500</v>
      </c>
    </row>
    <row r="32" spans="1:22">
      <c r="A32" s="1" t="s">
        <v>1</v>
      </c>
      <c r="B32" s="23" t="s">
        <v>67</v>
      </c>
      <c r="C32" s="50">
        <v>29722</v>
      </c>
      <c r="D32" s="51">
        <v>51336</v>
      </c>
      <c r="E32" s="51">
        <v>37099</v>
      </c>
      <c r="F32" s="51">
        <v>101619</v>
      </c>
      <c r="G32" s="51">
        <v>83810</v>
      </c>
      <c r="H32" s="51">
        <v>93062</v>
      </c>
      <c r="I32" s="51">
        <v>58093</v>
      </c>
      <c r="J32" s="51">
        <v>75578</v>
      </c>
      <c r="K32" s="51">
        <v>52689</v>
      </c>
      <c r="L32" s="51">
        <v>51336</v>
      </c>
      <c r="M32" s="51">
        <v>52689</v>
      </c>
      <c r="N32" s="51">
        <v>16668</v>
      </c>
      <c r="O32" s="51">
        <v>41354</v>
      </c>
      <c r="P32" s="51">
        <v>68061</v>
      </c>
      <c r="Q32" s="51">
        <v>40269</v>
      </c>
      <c r="R32" s="51">
        <v>64000</v>
      </c>
      <c r="S32" s="51">
        <v>77653</v>
      </c>
      <c r="T32" s="51">
        <v>66560</v>
      </c>
      <c r="U32" s="67">
        <v>57285</v>
      </c>
      <c r="V32" s="25">
        <f t="shared" si="0"/>
        <v>1118883</v>
      </c>
    </row>
    <row r="33" spans="1:22">
      <c r="A33" s="1" t="s">
        <v>1</v>
      </c>
      <c r="B33" s="23" t="s">
        <v>86</v>
      </c>
      <c r="C33" s="50">
        <v>30639</v>
      </c>
      <c r="D33" s="51">
        <v>3080</v>
      </c>
      <c r="E33" s="51">
        <v>0</v>
      </c>
      <c r="F33" s="51">
        <v>29614</v>
      </c>
      <c r="G33" s="51">
        <v>24976</v>
      </c>
      <c r="H33" s="51">
        <v>21073</v>
      </c>
      <c r="I33" s="51">
        <v>39393</v>
      </c>
      <c r="J33" s="51">
        <v>55440</v>
      </c>
      <c r="K33" s="51">
        <v>29180</v>
      </c>
      <c r="L33" s="51">
        <v>32340</v>
      </c>
      <c r="M33" s="51">
        <v>42311</v>
      </c>
      <c r="N33" s="51">
        <v>10500</v>
      </c>
      <c r="O33" s="51">
        <v>32340</v>
      </c>
      <c r="P33" s="51">
        <v>46500</v>
      </c>
      <c r="Q33" s="51">
        <v>29463</v>
      </c>
      <c r="R33" s="51">
        <v>48370</v>
      </c>
      <c r="S33" s="51">
        <v>30228</v>
      </c>
      <c r="T33" s="51">
        <v>29022</v>
      </c>
      <c r="U33" s="67">
        <v>28854</v>
      </c>
      <c r="V33" s="25">
        <f t="shared" si="0"/>
        <v>563323</v>
      </c>
    </row>
    <row r="34" spans="1:22">
      <c r="A34" s="1" t="s">
        <v>1</v>
      </c>
      <c r="B34" s="23" t="s">
        <v>87</v>
      </c>
      <c r="C34" s="50">
        <v>48147</v>
      </c>
      <c r="D34" s="51">
        <v>73920</v>
      </c>
      <c r="E34" s="51">
        <v>20904</v>
      </c>
      <c r="F34" s="51">
        <v>13936</v>
      </c>
      <c r="G34" s="51">
        <v>34342</v>
      </c>
      <c r="H34" s="51">
        <v>27557</v>
      </c>
      <c r="I34" s="51">
        <v>33557</v>
      </c>
      <c r="J34" s="51">
        <v>36960</v>
      </c>
      <c r="K34" s="51">
        <v>46688</v>
      </c>
      <c r="L34" s="51">
        <v>18480</v>
      </c>
      <c r="M34" s="51">
        <v>16049</v>
      </c>
      <c r="N34" s="51">
        <v>34500</v>
      </c>
      <c r="O34" s="51">
        <v>32340</v>
      </c>
      <c r="P34" s="51">
        <v>46500</v>
      </c>
      <c r="Q34" s="51">
        <v>15433</v>
      </c>
      <c r="R34" s="51">
        <v>31786</v>
      </c>
      <c r="S34" s="51">
        <v>24732</v>
      </c>
      <c r="T34" s="51">
        <v>52516</v>
      </c>
      <c r="U34" s="67">
        <v>35724</v>
      </c>
      <c r="V34" s="25">
        <f t="shared" si="0"/>
        <v>644071</v>
      </c>
    </row>
    <row r="35" spans="1:22">
      <c r="A35" s="1" t="s">
        <v>1</v>
      </c>
      <c r="B35" s="23" t="s">
        <v>88</v>
      </c>
      <c r="C35" s="50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3640</v>
      </c>
      <c r="R35" s="51">
        <v>2148</v>
      </c>
      <c r="S35" s="51">
        <v>0</v>
      </c>
      <c r="T35" s="51">
        <v>0</v>
      </c>
      <c r="U35" s="67">
        <v>0</v>
      </c>
      <c r="V35" s="25">
        <f t="shared" si="0"/>
        <v>5788</v>
      </c>
    </row>
    <row r="36" spans="1:22">
      <c r="A36" s="1" t="s">
        <v>1</v>
      </c>
      <c r="B36" s="23" t="s">
        <v>89</v>
      </c>
      <c r="C36" s="50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2723</v>
      </c>
      <c r="O36" s="51">
        <v>0</v>
      </c>
      <c r="P36" s="51">
        <v>0</v>
      </c>
      <c r="Q36" s="51">
        <v>0</v>
      </c>
      <c r="R36" s="51">
        <v>3938</v>
      </c>
      <c r="S36" s="51">
        <v>2136</v>
      </c>
      <c r="T36" s="51">
        <v>0</v>
      </c>
      <c r="U36" s="67">
        <v>0</v>
      </c>
      <c r="V36" s="25">
        <f t="shared" si="0"/>
        <v>8797</v>
      </c>
    </row>
    <row r="37" spans="1:22">
      <c r="A37" s="1" t="s">
        <v>1</v>
      </c>
      <c r="B37" s="23" t="s">
        <v>72</v>
      </c>
      <c r="C37" s="50">
        <v>0</v>
      </c>
      <c r="D37" s="51">
        <v>0</v>
      </c>
      <c r="E37" s="51">
        <v>0</v>
      </c>
      <c r="F37" s="51">
        <v>969</v>
      </c>
      <c r="G37" s="51">
        <v>0</v>
      </c>
      <c r="H37" s="51">
        <v>2100</v>
      </c>
      <c r="I37" s="51">
        <v>0</v>
      </c>
      <c r="J37" s="51">
        <v>285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255</v>
      </c>
      <c r="T37" s="51">
        <v>0</v>
      </c>
      <c r="U37" s="67">
        <v>0</v>
      </c>
      <c r="V37" s="25">
        <f t="shared" si="0"/>
        <v>3609</v>
      </c>
    </row>
    <row r="38" spans="1:22">
      <c r="A38" s="1" t="s">
        <v>1</v>
      </c>
      <c r="B38" s="6" t="s">
        <v>74</v>
      </c>
      <c r="C38" s="53">
        <v>2430</v>
      </c>
      <c r="D38" s="54">
        <v>1995</v>
      </c>
      <c r="E38" s="54">
        <v>3553</v>
      </c>
      <c r="F38" s="54">
        <v>8398</v>
      </c>
      <c r="G38" s="54">
        <v>9537</v>
      </c>
      <c r="H38" s="54">
        <v>8400</v>
      </c>
      <c r="I38" s="54">
        <v>540</v>
      </c>
      <c r="J38" s="54">
        <v>1425</v>
      </c>
      <c r="K38" s="54">
        <v>1080</v>
      </c>
      <c r="L38" s="54">
        <v>4275</v>
      </c>
      <c r="M38" s="54">
        <v>2700</v>
      </c>
      <c r="N38" s="54">
        <v>3892</v>
      </c>
      <c r="O38" s="54">
        <v>2850</v>
      </c>
      <c r="P38" s="54">
        <v>6394</v>
      </c>
      <c r="Q38" s="54">
        <v>13000</v>
      </c>
      <c r="R38" s="54">
        <v>5632</v>
      </c>
      <c r="S38" s="54">
        <v>10710</v>
      </c>
      <c r="T38" s="54">
        <v>3584</v>
      </c>
      <c r="U38" s="68">
        <v>2550</v>
      </c>
      <c r="V38" s="10">
        <f t="shared" si="0"/>
        <v>92945</v>
      </c>
    </row>
    <row r="39" spans="1:22">
      <c r="A39" s="1" t="s">
        <v>1</v>
      </c>
      <c r="B39" s="15" t="s">
        <v>90</v>
      </c>
      <c r="C39" s="55">
        <v>291438</v>
      </c>
      <c r="D39" s="56">
        <v>328471</v>
      </c>
      <c r="E39" s="56">
        <v>367060</v>
      </c>
      <c r="F39" s="56">
        <v>394171</v>
      </c>
      <c r="G39" s="56">
        <v>345665</v>
      </c>
      <c r="H39" s="56">
        <v>375218</v>
      </c>
      <c r="I39" s="56">
        <v>317871</v>
      </c>
      <c r="J39" s="56">
        <v>360188</v>
      </c>
      <c r="K39" s="56">
        <v>317372</v>
      </c>
      <c r="L39" s="56">
        <v>343589</v>
      </c>
      <c r="M39" s="56">
        <v>294249</v>
      </c>
      <c r="N39" s="56">
        <v>324196</v>
      </c>
      <c r="O39" s="56">
        <v>325394</v>
      </c>
      <c r="P39" s="56">
        <v>328538</v>
      </c>
      <c r="Q39" s="56">
        <v>275305</v>
      </c>
      <c r="R39" s="56">
        <v>326874</v>
      </c>
      <c r="S39" s="56">
        <v>315714</v>
      </c>
      <c r="T39" s="56">
        <v>322682</v>
      </c>
      <c r="U39" s="69">
        <v>294413</v>
      </c>
      <c r="V39" s="19">
        <f t="shared" si="0"/>
        <v>6248408</v>
      </c>
    </row>
    <row r="40" spans="1:22">
      <c r="A40" s="1" t="s">
        <v>1</v>
      </c>
      <c r="B40" s="20" t="s">
        <v>91</v>
      </c>
      <c r="C40" s="48">
        <v>13337</v>
      </c>
      <c r="D40" s="49">
        <v>3474</v>
      </c>
      <c r="E40" s="49">
        <v>4502</v>
      </c>
      <c r="F40" s="49">
        <v>2918</v>
      </c>
      <c r="G40" s="49">
        <v>13420</v>
      </c>
      <c r="H40" s="49">
        <v>2334</v>
      </c>
      <c r="I40" s="49">
        <v>2557</v>
      </c>
      <c r="J40" s="49">
        <v>1334</v>
      </c>
      <c r="K40" s="49">
        <v>3335</v>
      </c>
      <c r="L40" s="49">
        <v>4891</v>
      </c>
      <c r="M40" s="49">
        <v>6391</v>
      </c>
      <c r="N40" s="49">
        <v>1258</v>
      </c>
      <c r="O40" s="49">
        <v>8336</v>
      </c>
      <c r="P40" s="49">
        <v>5835</v>
      </c>
      <c r="Q40" s="49">
        <v>10392</v>
      </c>
      <c r="R40" s="49">
        <v>8002</v>
      </c>
      <c r="S40" s="49">
        <v>9586</v>
      </c>
      <c r="T40" s="49">
        <v>9030</v>
      </c>
      <c r="U40" s="66">
        <v>2668</v>
      </c>
      <c r="V40" s="22">
        <f t="shared" si="0"/>
        <v>113600</v>
      </c>
    </row>
    <row r="41" spans="1:22">
      <c r="A41" s="1" t="s">
        <v>1</v>
      </c>
      <c r="B41" s="6" t="s">
        <v>92</v>
      </c>
      <c r="C41" s="53">
        <v>13337</v>
      </c>
      <c r="D41" s="54">
        <v>3474</v>
      </c>
      <c r="E41" s="54">
        <v>4502</v>
      </c>
      <c r="F41" s="54">
        <v>2918</v>
      </c>
      <c r="G41" s="54">
        <v>13420</v>
      </c>
      <c r="H41" s="54">
        <v>2334</v>
      </c>
      <c r="I41" s="54">
        <v>2557</v>
      </c>
      <c r="J41" s="54">
        <v>1334</v>
      </c>
      <c r="K41" s="54">
        <v>3335</v>
      </c>
      <c r="L41" s="54">
        <v>4891</v>
      </c>
      <c r="M41" s="54">
        <v>6391</v>
      </c>
      <c r="N41" s="54">
        <v>1258</v>
      </c>
      <c r="O41" s="54">
        <v>8336</v>
      </c>
      <c r="P41" s="54">
        <v>5835</v>
      </c>
      <c r="Q41" s="54">
        <v>10392</v>
      </c>
      <c r="R41" s="54">
        <v>8002</v>
      </c>
      <c r="S41" s="54">
        <v>9586</v>
      </c>
      <c r="T41" s="54">
        <v>9030</v>
      </c>
      <c r="U41" s="68">
        <v>2668</v>
      </c>
      <c r="V41" s="10">
        <f t="shared" si="0"/>
        <v>113600</v>
      </c>
    </row>
    <row r="42" spans="1:22">
      <c r="A42" s="1" t="s">
        <v>1</v>
      </c>
      <c r="B42" s="15" t="s">
        <v>93</v>
      </c>
      <c r="C42" s="55">
        <v>304775</v>
      </c>
      <c r="D42" s="56">
        <v>331945</v>
      </c>
      <c r="E42" s="56">
        <v>371562</v>
      </c>
      <c r="F42" s="56">
        <v>397089</v>
      </c>
      <c r="G42" s="56">
        <v>359085</v>
      </c>
      <c r="H42" s="56">
        <v>377552</v>
      </c>
      <c r="I42" s="56">
        <v>320428</v>
      </c>
      <c r="J42" s="56">
        <v>361522</v>
      </c>
      <c r="K42" s="56">
        <v>320707</v>
      </c>
      <c r="L42" s="56">
        <v>348480</v>
      </c>
      <c r="M42" s="56">
        <v>300640</v>
      </c>
      <c r="N42" s="56">
        <v>325454</v>
      </c>
      <c r="O42" s="56">
        <v>333730</v>
      </c>
      <c r="P42" s="56">
        <v>334373</v>
      </c>
      <c r="Q42" s="56">
        <v>285697</v>
      </c>
      <c r="R42" s="56">
        <v>334876</v>
      </c>
      <c r="S42" s="56">
        <v>325300</v>
      </c>
      <c r="T42" s="56">
        <v>331712</v>
      </c>
      <c r="U42" s="69">
        <v>297081</v>
      </c>
      <c r="V42" s="19">
        <f t="shared" si="0"/>
        <v>6362008</v>
      </c>
    </row>
    <row r="43" spans="1:22">
      <c r="A43" s="1" t="s">
        <v>1</v>
      </c>
      <c r="B43" s="20" t="s">
        <v>94</v>
      </c>
      <c r="C43" s="48">
        <v>15300</v>
      </c>
      <c r="D43" s="49">
        <v>16320</v>
      </c>
      <c r="E43" s="49">
        <v>19380</v>
      </c>
      <c r="F43" s="49">
        <v>20910</v>
      </c>
      <c r="G43" s="49">
        <v>17340</v>
      </c>
      <c r="H43" s="49">
        <v>19380</v>
      </c>
      <c r="I43" s="49">
        <v>16320</v>
      </c>
      <c r="J43" s="49">
        <v>16320</v>
      </c>
      <c r="K43" s="49">
        <v>16320</v>
      </c>
      <c r="L43" s="49">
        <v>18360</v>
      </c>
      <c r="M43" s="49">
        <v>15300</v>
      </c>
      <c r="N43" s="49">
        <v>16320</v>
      </c>
      <c r="O43" s="49">
        <v>16320</v>
      </c>
      <c r="P43" s="49">
        <v>17340</v>
      </c>
      <c r="Q43" s="49">
        <v>14280</v>
      </c>
      <c r="R43" s="49">
        <v>14280</v>
      </c>
      <c r="S43" s="49">
        <v>16320</v>
      </c>
      <c r="T43" s="49">
        <v>14280</v>
      </c>
      <c r="U43" s="66">
        <v>15300</v>
      </c>
      <c r="V43" s="22">
        <f t="shared" si="0"/>
        <v>315690</v>
      </c>
    </row>
    <row r="44" spans="1:22">
      <c r="A44" s="1" t="s">
        <v>1</v>
      </c>
      <c r="B44" s="23" t="s">
        <v>95</v>
      </c>
      <c r="C44" s="50">
        <v>2700</v>
      </c>
      <c r="D44" s="51">
        <v>2880</v>
      </c>
      <c r="E44" s="51">
        <v>3420</v>
      </c>
      <c r="F44" s="51">
        <v>3690</v>
      </c>
      <c r="G44" s="51">
        <v>3060</v>
      </c>
      <c r="H44" s="51">
        <v>3420</v>
      </c>
      <c r="I44" s="51">
        <v>2880</v>
      </c>
      <c r="J44" s="51">
        <v>2880</v>
      </c>
      <c r="K44" s="51">
        <v>2880</v>
      </c>
      <c r="L44" s="51">
        <v>3240</v>
      </c>
      <c r="M44" s="51">
        <v>2700</v>
      </c>
      <c r="N44" s="51">
        <v>2880</v>
      </c>
      <c r="O44" s="51">
        <v>2880</v>
      </c>
      <c r="P44" s="51">
        <v>3060</v>
      </c>
      <c r="Q44" s="51">
        <v>2520</v>
      </c>
      <c r="R44" s="51">
        <v>2520</v>
      </c>
      <c r="S44" s="51">
        <v>2880</v>
      </c>
      <c r="T44" s="51">
        <v>2520</v>
      </c>
      <c r="U44" s="67">
        <v>2700</v>
      </c>
      <c r="V44" s="25">
        <f t="shared" si="0"/>
        <v>55710</v>
      </c>
    </row>
    <row r="45" spans="1:22">
      <c r="A45" s="1" t="s">
        <v>1</v>
      </c>
      <c r="B45" s="23" t="s">
        <v>96</v>
      </c>
      <c r="C45" s="50">
        <v>27450</v>
      </c>
      <c r="D45" s="51">
        <v>29280</v>
      </c>
      <c r="E45" s="51">
        <v>34770</v>
      </c>
      <c r="F45" s="51">
        <v>37515</v>
      </c>
      <c r="G45" s="51">
        <v>31110</v>
      </c>
      <c r="H45" s="51">
        <v>34770</v>
      </c>
      <c r="I45" s="51">
        <v>29280</v>
      </c>
      <c r="J45" s="51">
        <v>29280</v>
      </c>
      <c r="K45" s="51">
        <v>29280</v>
      </c>
      <c r="L45" s="51">
        <v>32940</v>
      </c>
      <c r="M45" s="51">
        <v>27450</v>
      </c>
      <c r="N45" s="51">
        <v>29280</v>
      </c>
      <c r="O45" s="51">
        <v>29280</v>
      </c>
      <c r="P45" s="51">
        <v>31110</v>
      </c>
      <c r="Q45" s="51">
        <v>25620</v>
      </c>
      <c r="R45" s="51">
        <v>25620</v>
      </c>
      <c r="S45" s="51">
        <v>29280</v>
      </c>
      <c r="T45" s="51">
        <v>25620</v>
      </c>
      <c r="U45" s="67">
        <v>27450</v>
      </c>
      <c r="V45" s="25">
        <f t="shared" si="0"/>
        <v>566385</v>
      </c>
    </row>
    <row r="46" spans="1:22">
      <c r="A46" s="1" t="s">
        <v>1</v>
      </c>
      <c r="B46" s="6" t="s">
        <v>97</v>
      </c>
      <c r="C46" s="53">
        <v>1829</v>
      </c>
      <c r="D46" s="54">
        <v>1992</v>
      </c>
      <c r="E46" s="54">
        <v>2229</v>
      </c>
      <c r="F46" s="54">
        <v>2383</v>
      </c>
      <c r="G46" s="54">
        <v>2155</v>
      </c>
      <c r="H46" s="54">
        <v>2265</v>
      </c>
      <c r="I46" s="54">
        <v>1923</v>
      </c>
      <c r="J46" s="54">
        <v>2169</v>
      </c>
      <c r="K46" s="54">
        <v>1924</v>
      </c>
      <c r="L46" s="54">
        <v>2091</v>
      </c>
      <c r="M46" s="54">
        <v>1804</v>
      </c>
      <c r="N46" s="54">
        <v>1953</v>
      </c>
      <c r="O46" s="54">
        <v>2002</v>
      </c>
      <c r="P46" s="54">
        <v>2006</v>
      </c>
      <c r="Q46" s="54">
        <v>1714</v>
      </c>
      <c r="R46" s="54">
        <v>2009</v>
      </c>
      <c r="S46" s="54">
        <v>1952</v>
      </c>
      <c r="T46" s="54">
        <v>1990</v>
      </c>
      <c r="U46" s="68">
        <v>1782</v>
      </c>
      <c r="V46" s="10">
        <f t="shared" si="0"/>
        <v>38172</v>
      </c>
    </row>
    <row r="47" spans="1:22">
      <c r="A47" s="1" t="s">
        <v>1</v>
      </c>
      <c r="B47" s="15" t="s">
        <v>98</v>
      </c>
      <c r="C47" s="55">
        <v>47279</v>
      </c>
      <c r="D47" s="56">
        <v>50472</v>
      </c>
      <c r="E47" s="56">
        <v>59799</v>
      </c>
      <c r="F47" s="56">
        <v>64498</v>
      </c>
      <c r="G47" s="56">
        <v>53665</v>
      </c>
      <c r="H47" s="56">
        <v>59835</v>
      </c>
      <c r="I47" s="56">
        <v>50403</v>
      </c>
      <c r="J47" s="56">
        <v>50649</v>
      </c>
      <c r="K47" s="56">
        <v>50404</v>
      </c>
      <c r="L47" s="56">
        <v>56631</v>
      </c>
      <c r="M47" s="56">
        <v>47254</v>
      </c>
      <c r="N47" s="56">
        <v>50433</v>
      </c>
      <c r="O47" s="56">
        <v>50482</v>
      </c>
      <c r="P47" s="56">
        <v>53516</v>
      </c>
      <c r="Q47" s="56">
        <v>44134</v>
      </c>
      <c r="R47" s="56">
        <v>44429</v>
      </c>
      <c r="S47" s="56">
        <v>50432</v>
      </c>
      <c r="T47" s="56">
        <v>44410</v>
      </c>
      <c r="U47" s="69">
        <v>47232</v>
      </c>
      <c r="V47" s="19">
        <f t="shared" si="0"/>
        <v>975957</v>
      </c>
    </row>
    <row r="48" spans="1:22">
      <c r="A48" s="1" t="s">
        <v>1</v>
      </c>
      <c r="B48" s="20" t="s">
        <v>99</v>
      </c>
      <c r="C48" s="48">
        <v>4730</v>
      </c>
      <c r="D48" s="49">
        <v>7550</v>
      </c>
      <c r="E48" s="49">
        <v>7020</v>
      </c>
      <c r="F48" s="49">
        <v>10800</v>
      </c>
      <c r="G48" s="49">
        <v>6440</v>
      </c>
      <c r="H48" s="49">
        <v>9640</v>
      </c>
      <c r="I48" s="49">
        <v>7180</v>
      </c>
      <c r="J48" s="49">
        <v>7110</v>
      </c>
      <c r="K48" s="49">
        <v>7160</v>
      </c>
      <c r="L48" s="49">
        <v>7870</v>
      </c>
      <c r="M48" s="49">
        <v>6440</v>
      </c>
      <c r="N48" s="49">
        <v>7400</v>
      </c>
      <c r="O48" s="49">
        <v>7440</v>
      </c>
      <c r="P48" s="49">
        <v>980</v>
      </c>
      <c r="Q48" s="49">
        <v>5880</v>
      </c>
      <c r="R48" s="49">
        <v>7710</v>
      </c>
      <c r="S48" s="49">
        <v>5480</v>
      </c>
      <c r="T48" s="49">
        <v>7560</v>
      </c>
      <c r="U48" s="66">
        <v>6450</v>
      </c>
      <c r="V48" s="22">
        <f t="shared" si="0"/>
        <v>130840</v>
      </c>
    </row>
    <row r="49" spans="1:22">
      <c r="A49" s="1" t="s">
        <v>1</v>
      </c>
      <c r="B49" s="23" t="s">
        <v>100</v>
      </c>
      <c r="C49" s="50">
        <v>1300</v>
      </c>
      <c r="D49" s="51">
        <v>1300</v>
      </c>
      <c r="E49" s="51">
        <v>1300</v>
      </c>
      <c r="F49" s="51">
        <v>0</v>
      </c>
      <c r="G49" s="51">
        <v>1300</v>
      </c>
      <c r="H49" s="51">
        <v>1300</v>
      </c>
      <c r="I49" s="51">
        <v>1300</v>
      </c>
      <c r="J49" s="51">
        <v>1300</v>
      </c>
      <c r="K49" s="51">
        <v>1300</v>
      </c>
      <c r="L49" s="51">
        <v>1300</v>
      </c>
      <c r="M49" s="51">
        <v>0</v>
      </c>
      <c r="N49" s="51">
        <v>0</v>
      </c>
      <c r="O49" s="51">
        <v>1300</v>
      </c>
      <c r="P49" s="51">
        <v>1300</v>
      </c>
      <c r="Q49" s="51">
        <v>1300</v>
      </c>
      <c r="R49" s="51">
        <v>1300</v>
      </c>
      <c r="S49" s="51">
        <v>1300</v>
      </c>
      <c r="T49" s="51">
        <v>1300</v>
      </c>
      <c r="U49" s="67">
        <v>0</v>
      </c>
      <c r="V49" s="25">
        <f t="shared" si="0"/>
        <v>19500</v>
      </c>
    </row>
    <row r="50" spans="1:22">
      <c r="A50" s="1" t="s">
        <v>1</v>
      </c>
      <c r="B50" s="6" t="s">
        <v>101</v>
      </c>
      <c r="C50" s="53">
        <v>8800</v>
      </c>
      <c r="D50" s="54">
        <v>1500</v>
      </c>
      <c r="E50" s="54">
        <v>14600</v>
      </c>
      <c r="F50" s="54">
        <v>17100</v>
      </c>
      <c r="G50" s="54">
        <v>9500</v>
      </c>
      <c r="H50" s="54">
        <v>13100</v>
      </c>
      <c r="I50" s="54">
        <v>15100</v>
      </c>
      <c r="J50" s="54">
        <v>10100</v>
      </c>
      <c r="K50" s="54">
        <v>13400</v>
      </c>
      <c r="L50" s="54">
        <v>16100</v>
      </c>
      <c r="M50" s="54">
        <v>10500</v>
      </c>
      <c r="N50" s="54">
        <v>11300</v>
      </c>
      <c r="O50" s="54">
        <v>13200</v>
      </c>
      <c r="P50" s="54">
        <v>5600</v>
      </c>
      <c r="Q50" s="54">
        <v>0</v>
      </c>
      <c r="R50" s="54">
        <v>8500</v>
      </c>
      <c r="S50" s="54">
        <v>3100</v>
      </c>
      <c r="T50" s="54">
        <v>2000</v>
      </c>
      <c r="U50" s="68">
        <v>17300</v>
      </c>
      <c r="V50" s="10">
        <f t="shared" si="0"/>
        <v>190800</v>
      </c>
    </row>
    <row r="51" spans="1:22">
      <c r="A51" s="1" t="s">
        <v>1</v>
      </c>
      <c r="B51" s="15" t="s">
        <v>102</v>
      </c>
      <c r="C51" s="55">
        <v>62109</v>
      </c>
      <c r="D51" s="56">
        <v>60822</v>
      </c>
      <c r="E51" s="56">
        <v>82719</v>
      </c>
      <c r="F51" s="56">
        <v>92398</v>
      </c>
      <c r="G51" s="56">
        <v>70905</v>
      </c>
      <c r="H51" s="56">
        <v>83875</v>
      </c>
      <c r="I51" s="56">
        <v>73983</v>
      </c>
      <c r="J51" s="56">
        <v>69159</v>
      </c>
      <c r="K51" s="56">
        <v>72264</v>
      </c>
      <c r="L51" s="56">
        <v>81901</v>
      </c>
      <c r="M51" s="56">
        <v>64194</v>
      </c>
      <c r="N51" s="56">
        <v>69133</v>
      </c>
      <c r="O51" s="56">
        <v>72422</v>
      </c>
      <c r="P51" s="56">
        <v>61396</v>
      </c>
      <c r="Q51" s="56">
        <v>51314</v>
      </c>
      <c r="R51" s="56">
        <v>61939</v>
      </c>
      <c r="S51" s="56">
        <v>60312</v>
      </c>
      <c r="T51" s="56">
        <v>55270</v>
      </c>
      <c r="U51" s="69">
        <v>70982</v>
      </c>
      <c r="V51" s="19">
        <f t="shared" si="0"/>
        <v>1317097</v>
      </c>
    </row>
    <row r="52" spans="1:22">
      <c r="A52" s="1" t="s">
        <v>1</v>
      </c>
      <c r="B52" s="15" t="s">
        <v>103</v>
      </c>
      <c r="C52" s="55">
        <v>244159</v>
      </c>
      <c r="D52" s="56">
        <v>277999</v>
      </c>
      <c r="E52" s="56">
        <v>307261</v>
      </c>
      <c r="F52" s="56">
        <v>329673</v>
      </c>
      <c r="G52" s="56">
        <v>292000</v>
      </c>
      <c r="H52" s="56">
        <v>315383</v>
      </c>
      <c r="I52" s="56">
        <v>267468</v>
      </c>
      <c r="J52" s="56">
        <v>309539</v>
      </c>
      <c r="K52" s="56">
        <v>266968</v>
      </c>
      <c r="L52" s="56">
        <v>286958</v>
      </c>
      <c r="M52" s="56">
        <v>246995</v>
      </c>
      <c r="N52" s="56">
        <v>273763</v>
      </c>
      <c r="O52" s="56">
        <v>274912</v>
      </c>
      <c r="P52" s="56">
        <v>275022</v>
      </c>
      <c r="Q52" s="56">
        <v>231171</v>
      </c>
      <c r="R52" s="56">
        <v>282445</v>
      </c>
      <c r="S52" s="56">
        <v>265282</v>
      </c>
      <c r="T52" s="56">
        <v>278272</v>
      </c>
      <c r="U52" s="69">
        <v>247181</v>
      </c>
      <c r="V52" s="19">
        <f t="shared" si="0"/>
        <v>5272451</v>
      </c>
    </row>
    <row r="53" spans="1:22">
      <c r="A53" s="1" t="s">
        <v>1</v>
      </c>
      <c r="B53" s="15" t="s">
        <v>104</v>
      </c>
      <c r="C53" s="55">
        <v>242666</v>
      </c>
      <c r="D53" s="56">
        <v>271123</v>
      </c>
      <c r="E53" s="56">
        <v>288843</v>
      </c>
      <c r="F53" s="56">
        <v>304691</v>
      </c>
      <c r="G53" s="56">
        <v>288180</v>
      </c>
      <c r="H53" s="56">
        <v>293677</v>
      </c>
      <c r="I53" s="56">
        <v>246445</v>
      </c>
      <c r="J53" s="56">
        <v>292363</v>
      </c>
      <c r="K53" s="56">
        <v>248443</v>
      </c>
      <c r="L53" s="56">
        <v>266579</v>
      </c>
      <c r="M53" s="56">
        <v>236446</v>
      </c>
      <c r="N53" s="56">
        <v>256321</v>
      </c>
      <c r="O53" s="56">
        <v>261308</v>
      </c>
      <c r="P53" s="56">
        <v>272977</v>
      </c>
      <c r="Q53" s="56">
        <v>234383</v>
      </c>
      <c r="R53" s="56">
        <v>272937</v>
      </c>
      <c r="S53" s="56">
        <v>264988</v>
      </c>
      <c r="T53" s="56">
        <v>276442</v>
      </c>
      <c r="U53" s="69">
        <v>226099</v>
      </c>
      <c r="V53" s="19">
        <f t="shared" si="0"/>
        <v>5044911</v>
      </c>
    </row>
    <row r="54" spans="1:22">
      <c r="A54" s="1" t="s">
        <v>1</v>
      </c>
      <c r="B54" s="15" t="s">
        <v>105</v>
      </c>
      <c r="C54" s="55">
        <v>242666</v>
      </c>
      <c r="D54" s="56">
        <v>271123</v>
      </c>
      <c r="E54" s="56">
        <v>288843</v>
      </c>
      <c r="F54" s="56">
        <v>304691</v>
      </c>
      <c r="G54" s="56">
        <v>288180</v>
      </c>
      <c r="H54" s="56">
        <v>293677</v>
      </c>
      <c r="I54" s="56">
        <v>246445</v>
      </c>
      <c r="J54" s="56">
        <v>292363</v>
      </c>
      <c r="K54" s="56">
        <v>248443</v>
      </c>
      <c r="L54" s="56">
        <v>266579</v>
      </c>
      <c r="M54" s="56">
        <v>236446</v>
      </c>
      <c r="N54" s="56">
        <v>256321</v>
      </c>
      <c r="O54" s="56">
        <v>261308</v>
      </c>
      <c r="P54" s="56">
        <v>272977</v>
      </c>
      <c r="Q54" s="56">
        <v>234383</v>
      </c>
      <c r="R54" s="56">
        <v>272937</v>
      </c>
      <c r="S54" s="56">
        <v>264988</v>
      </c>
      <c r="T54" s="56">
        <v>276442</v>
      </c>
      <c r="U54" s="69">
        <v>226099</v>
      </c>
      <c r="V54" s="19">
        <f t="shared" si="0"/>
        <v>5044911</v>
      </c>
    </row>
    <row r="55" spans="1:22">
      <c r="A55" s="1" t="s">
        <v>1</v>
      </c>
      <c r="B55" s="15" t="s">
        <v>106</v>
      </c>
      <c r="C55" s="55">
        <v>1</v>
      </c>
      <c r="D55" s="56">
        <v>0</v>
      </c>
      <c r="E55" s="56">
        <v>1</v>
      </c>
      <c r="F55" s="56">
        <v>0</v>
      </c>
      <c r="G55" s="56">
        <v>1</v>
      </c>
      <c r="H55" s="56">
        <v>0</v>
      </c>
      <c r="I55" s="56">
        <v>0</v>
      </c>
      <c r="J55" s="56">
        <v>1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4</v>
      </c>
      <c r="Q55" s="56">
        <v>0</v>
      </c>
      <c r="R55" s="56">
        <v>0</v>
      </c>
      <c r="S55" s="56">
        <v>1</v>
      </c>
      <c r="T55" s="56">
        <v>0</v>
      </c>
      <c r="U55" s="69">
        <v>0</v>
      </c>
      <c r="V55" s="19"/>
    </row>
    <row r="56" spans="1:22" ht="19.5" thickBot="1">
      <c r="A56" s="1" t="s">
        <v>1</v>
      </c>
      <c r="B56" s="11" t="s">
        <v>107</v>
      </c>
      <c r="C56" s="57" t="s">
        <v>108</v>
      </c>
      <c r="D56" s="58" t="s">
        <v>108</v>
      </c>
      <c r="E56" s="58" t="s">
        <v>108</v>
      </c>
      <c r="F56" s="58" t="s">
        <v>108</v>
      </c>
      <c r="G56" s="58" t="s">
        <v>108</v>
      </c>
      <c r="H56" s="58" t="s">
        <v>108</v>
      </c>
      <c r="I56" s="58" t="s">
        <v>108</v>
      </c>
      <c r="J56" s="58" t="s">
        <v>108</v>
      </c>
      <c r="K56" s="58" t="s">
        <v>108</v>
      </c>
      <c r="L56" s="58" t="s">
        <v>108</v>
      </c>
      <c r="M56" s="58" t="s">
        <v>108</v>
      </c>
      <c r="N56" s="58" t="s">
        <v>108</v>
      </c>
      <c r="O56" s="58" t="s">
        <v>108</v>
      </c>
      <c r="P56" s="58" t="s">
        <v>108</v>
      </c>
      <c r="Q56" s="58" t="s">
        <v>108</v>
      </c>
      <c r="R56" s="58" t="s">
        <v>108</v>
      </c>
      <c r="S56" s="58" t="s">
        <v>108</v>
      </c>
      <c r="T56" s="58" t="s">
        <v>108</v>
      </c>
      <c r="U56" s="70" t="s">
        <v>108</v>
      </c>
      <c r="V56" s="13"/>
    </row>
  </sheetData>
  <phoneticPr fontId="3"/>
  <pageMargins left="0.31496062992125984" right="0.31496062992125984" top="0.35433070866141736" bottom="0.35433070866141736" header="0.11811023622047245" footer="0.11811023622047245"/>
  <pageSetup paperSize="12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2024年 2月度給与 (2)</vt:lpstr>
      <vt:lpstr>2024年 2月度給与 (4)</vt:lpstr>
      <vt:lpstr>2024年 2月度給与 (3)</vt:lpstr>
      <vt:lpstr>'2024年 2月度給与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2024-03-07T06:58:17Z</cp:lastPrinted>
  <dcterms:created xsi:type="dcterms:W3CDTF">2024-03-07T04:48:21Z</dcterms:created>
  <dcterms:modified xsi:type="dcterms:W3CDTF">2024-03-11T00:36:27Z</dcterms:modified>
</cp:coreProperties>
</file>