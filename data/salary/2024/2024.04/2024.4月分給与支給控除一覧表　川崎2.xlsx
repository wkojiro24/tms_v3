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04\"/>
    </mc:Choice>
  </mc:AlternateContent>
  <xr:revisionPtr revIDLastSave="0" documentId="13_ncr:1_{81F3A92C-6F52-4391-9B21-F7B3ED734FFE}" xr6:coauthVersionLast="47" xr6:coauthVersionMax="47" xr10:uidLastSave="{00000000-0000-0000-0000-000000000000}"/>
  <bookViews>
    <workbookView xWindow="-120" yWindow="-120" windowWidth="20730" windowHeight="11040" xr2:uid="{D8951628-5869-4E5F-8353-44C482C6E24B}"/>
  </bookViews>
  <sheets>
    <sheet name="2024年4月度給与 (2)" sheetId="3" r:id="rId1"/>
  </sheets>
  <definedNames>
    <definedName name="_xlnm.Print_Area" localSheetId="0">'2024年4月度給与 (2)'!$A$1:$K$40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3" l="1"/>
  <c r="K19" i="3"/>
  <c r="K27" i="3"/>
  <c r="K31" i="3"/>
  <c r="K35" i="3"/>
  <c r="K5" i="3"/>
  <c r="J6" i="3"/>
  <c r="J7" i="3"/>
  <c r="K7" i="3" s="1"/>
  <c r="J8" i="3"/>
  <c r="K8" i="3" s="1"/>
  <c r="J9" i="3"/>
  <c r="K9" i="3" s="1"/>
  <c r="J10" i="3"/>
  <c r="K10" i="3" s="1"/>
  <c r="J12" i="3"/>
  <c r="J13" i="3"/>
  <c r="J14" i="3"/>
  <c r="J15" i="3"/>
  <c r="J16" i="3"/>
  <c r="J17" i="3"/>
  <c r="K17" i="3" s="1"/>
  <c r="J18" i="3"/>
  <c r="K18" i="3" s="1"/>
  <c r="J19" i="3"/>
  <c r="J20" i="3"/>
  <c r="J21" i="3"/>
  <c r="J22" i="3"/>
  <c r="K22" i="3" s="1"/>
  <c r="J23" i="3"/>
  <c r="K23" i="3" s="1"/>
  <c r="J24" i="3"/>
  <c r="J25" i="3"/>
  <c r="K25" i="3" s="1"/>
  <c r="J26" i="3"/>
  <c r="J27" i="3"/>
  <c r="J28" i="3"/>
  <c r="J29" i="3"/>
  <c r="K29" i="3" s="1"/>
  <c r="J30" i="3"/>
  <c r="K30" i="3" s="1"/>
  <c r="J31" i="3"/>
  <c r="J32" i="3"/>
  <c r="J33" i="3"/>
  <c r="J34" i="3"/>
  <c r="K34" i="3" s="1"/>
  <c r="J35" i="3"/>
  <c r="J36" i="3"/>
  <c r="J37" i="3"/>
  <c r="K37" i="3" s="1"/>
  <c r="J38" i="3"/>
  <c r="K38" i="3" s="1"/>
  <c r="J5" i="3"/>
  <c r="D6" i="3"/>
  <c r="D7" i="3"/>
  <c r="D8" i="3"/>
  <c r="D9" i="3"/>
  <c r="D10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5" i="3"/>
  <c r="K33" i="3" l="1"/>
  <c r="K21" i="3"/>
  <c r="K32" i="3"/>
  <c r="K20" i="3"/>
  <c r="K6" i="3"/>
  <c r="K28" i="3"/>
  <c r="K16" i="3"/>
  <c r="K26" i="3"/>
  <c r="K14" i="3"/>
  <c r="K13" i="3"/>
  <c r="K36" i="3"/>
  <c r="K24" i="3"/>
  <c r="K12" i="3"/>
</calcChain>
</file>

<file path=xl/sharedStrings.xml><?xml version="1.0" encoding="utf-8"?>
<sst xmlns="http://schemas.openxmlformats.org/spreadsheetml/2006/main" count="99" uniqueCount="56">
  <si>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</si>
  <si>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</si>
  <si>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</si>
  <si>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</si>
  <si>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</si>
  <si>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1090</t>
    <phoneticPr fontId="4"/>
  </si>
  <si>
    <t>1113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</si>
  <si>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</si>
  <si>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</si>
  <si>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</si>
  <si>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</si>
  <si>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</si>
  <si>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橋本　淳志</t>
    <phoneticPr fontId="4"/>
  </si>
  <si>
    <t>伊藤憲男</t>
    <phoneticPr fontId="4"/>
  </si>
  <si>
    <t>吉田亨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</si>
  <si>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</si>
  <si>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</si>
  <si>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</si>
  <si>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</si>
  <si>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</si>
  <si>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</si>
  <si>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</si>
  <si>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</si>
  <si>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</si>
  <si>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</si>
  <si>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</si>
  <si>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</si>
  <si>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</si>
  <si>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</si>
  <si>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</si>
  <si>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</si>
  <si>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</si>
  <si>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</si>
  <si>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</si>
  <si>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</si>
  <si>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</si>
  <si>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</si>
  <si>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</si>
  <si>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</si>
  <si>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</si>
  <si>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</si>
  <si>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</si>
  <si>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</si>
  <si>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</si>
  <si>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</si>
  <si>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</si>
  <si>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</si>
  <si>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</si>
  <si>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</si>
  <si>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</si>
  <si>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</si>
  <si>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2024年 4月度給与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</si>
  <si>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</si>
  <si>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</si>
  <si>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5名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</si>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</sst>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</cellXfs>
  <cellStyles count="2">
    <cellStyle name="標準" xfId="0" builtinId="0"/>
    <cellStyle name="標準 2" xfId="1" xr:uid="{AE3A2AC7-F074-4DB4-BAEA-8BA04AB31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2DBF-0BB9-40AC-A98F-E81AF6113415}">
  <sheetPr>
    <pageSetUpPr fitToPage="1"/>
  </sheetPr>
  <dimension ref="A1:K40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1" width="12.625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2" width="9" style="2"/>
    <col min="263" max="263" width="11.125" style="2" bestFit="1" customWidth="1"/>
    <col min="264" max="264" width="9" style="2"/>
    <col min="265" max="265" width="8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8" width="9" style="2"/>
    <col min="519" max="519" width="11.125" style="2" bestFit="1" customWidth="1"/>
    <col min="520" max="520" width="9" style="2"/>
    <col min="521" max="521" width="8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4" width="9" style="2"/>
    <col min="775" max="775" width="11.125" style="2" bestFit="1" customWidth="1"/>
    <col min="776" max="776" width="9" style="2"/>
    <col min="777" max="777" width="8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0" width="9" style="2"/>
    <col min="1031" max="1031" width="11.125" style="2" bestFit="1" customWidth="1"/>
    <col min="1032" max="1032" width="9" style="2"/>
    <col min="1033" max="1033" width="8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6" width="9" style="2"/>
    <col min="1287" max="1287" width="11.125" style="2" bestFit="1" customWidth="1"/>
    <col min="1288" max="1288" width="9" style="2"/>
    <col min="1289" max="1289" width="8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2" width="9" style="2"/>
    <col min="1543" max="1543" width="11.125" style="2" bestFit="1" customWidth="1"/>
    <col min="1544" max="1544" width="9" style="2"/>
    <col min="1545" max="1545" width="8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8" width="9" style="2"/>
    <col min="1799" max="1799" width="11.125" style="2" bestFit="1" customWidth="1"/>
    <col min="1800" max="1800" width="9" style="2"/>
    <col min="1801" max="1801" width="8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4" width="9" style="2"/>
    <col min="2055" max="2055" width="11.125" style="2" bestFit="1" customWidth="1"/>
    <col min="2056" max="2056" width="9" style="2"/>
    <col min="2057" max="2057" width="8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0" width="9" style="2"/>
    <col min="2311" max="2311" width="11.125" style="2" bestFit="1" customWidth="1"/>
    <col min="2312" max="2312" width="9" style="2"/>
    <col min="2313" max="2313" width="8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6" width="9" style="2"/>
    <col min="2567" max="2567" width="11.125" style="2" bestFit="1" customWidth="1"/>
    <col min="2568" max="2568" width="9" style="2"/>
    <col min="2569" max="2569" width="8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2" width="9" style="2"/>
    <col min="2823" max="2823" width="11.125" style="2" bestFit="1" customWidth="1"/>
    <col min="2824" max="2824" width="9" style="2"/>
    <col min="2825" max="2825" width="8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8" width="9" style="2"/>
    <col min="3079" max="3079" width="11.125" style="2" bestFit="1" customWidth="1"/>
    <col min="3080" max="3080" width="9" style="2"/>
    <col min="3081" max="3081" width="8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4" width="9" style="2"/>
    <col min="3335" max="3335" width="11.125" style="2" bestFit="1" customWidth="1"/>
    <col min="3336" max="3336" width="9" style="2"/>
    <col min="3337" max="3337" width="8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0" width="9" style="2"/>
    <col min="3591" max="3591" width="11.125" style="2" bestFit="1" customWidth="1"/>
    <col min="3592" max="3592" width="9" style="2"/>
    <col min="3593" max="3593" width="8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6" width="9" style="2"/>
    <col min="3847" max="3847" width="11.125" style="2" bestFit="1" customWidth="1"/>
    <col min="3848" max="3848" width="9" style="2"/>
    <col min="3849" max="3849" width="8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2" width="9" style="2"/>
    <col min="4103" max="4103" width="11.125" style="2" bestFit="1" customWidth="1"/>
    <col min="4104" max="4104" width="9" style="2"/>
    <col min="4105" max="4105" width="8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8" width="9" style="2"/>
    <col min="4359" max="4359" width="11.125" style="2" bestFit="1" customWidth="1"/>
    <col min="4360" max="4360" width="9" style="2"/>
    <col min="4361" max="4361" width="8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4" width="9" style="2"/>
    <col min="4615" max="4615" width="11.125" style="2" bestFit="1" customWidth="1"/>
    <col min="4616" max="4616" width="9" style="2"/>
    <col min="4617" max="4617" width="8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0" width="9" style="2"/>
    <col min="4871" max="4871" width="11.125" style="2" bestFit="1" customWidth="1"/>
    <col min="4872" max="4872" width="9" style="2"/>
    <col min="4873" max="4873" width="8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6" width="9" style="2"/>
    <col min="5127" max="5127" width="11.125" style="2" bestFit="1" customWidth="1"/>
    <col min="5128" max="5128" width="9" style="2"/>
    <col min="5129" max="5129" width="8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2" width="9" style="2"/>
    <col min="5383" max="5383" width="11.125" style="2" bestFit="1" customWidth="1"/>
    <col min="5384" max="5384" width="9" style="2"/>
    <col min="5385" max="5385" width="8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8" width="9" style="2"/>
    <col min="5639" max="5639" width="11.125" style="2" bestFit="1" customWidth="1"/>
    <col min="5640" max="5640" width="9" style="2"/>
    <col min="5641" max="5641" width="8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4" width="9" style="2"/>
    <col min="5895" max="5895" width="11.125" style="2" bestFit="1" customWidth="1"/>
    <col min="5896" max="5896" width="9" style="2"/>
    <col min="5897" max="5897" width="8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0" width="9" style="2"/>
    <col min="6151" max="6151" width="11.125" style="2" bestFit="1" customWidth="1"/>
    <col min="6152" max="6152" width="9" style="2"/>
    <col min="6153" max="6153" width="8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6" width="9" style="2"/>
    <col min="6407" max="6407" width="11.125" style="2" bestFit="1" customWidth="1"/>
    <col min="6408" max="6408" width="9" style="2"/>
    <col min="6409" max="6409" width="8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2" width="9" style="2"/>
    <col min="6663" max="6663" width="11.125" style="2" bestFit="1" customWidth="1"/>
    <col min="6664" max="6664" width="9" style="2"/>
    <col min="6665" max="6665" width="8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8" width="9" style="2"/>
    <col min="6919" max="6919" width="11.125" style="2" bestFit="1" customWidth="1"/>
    <col min="6920" max="6920" width="9" style="2"/>
    <col min="6921" max="6921" width="8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4" width="9" style="2"/>
    <col min="7175" max="7175" width="11.125" style="2" bestFit="1" customWidth="1"/>
    <col min="7176" max="7176" width="9" style="2"/>
    <col min="7177" max="7177" width="8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0" width="9" style="2"/>
    <col min="7431" max="7431" width="11.125" style="2" bestFit="1" customWidth="1"/>
    <col min="7432" max="7432" width="9" style="2"/>
    <col min="7433" max="7433" width="8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6" width="9" style="2"/>
    <col min="7687" max="7687" width="11.125" style="2" bestFit="1" customWidth="1"/>
    <col min="7688" max="7688" width="9" style="2"/>
    <col min="7689" max="7689" width="8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2" width="9" style="2"/>
    <col min="7943" max="7943" width="11.125" style="2" bestFit="1" customWidth="1"/>
    <col min="7944" max="7944" width="9" style="2"/>
    <col min="7945" max="7945" width="8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8" width="9" style="2"/>
    <col min="8199" max="8199" width="11.125" style="2" bestFit="1" customWidth="1"/>
    <col min="8200" max="8200" width="9" style="2"/>
    <col min="8201" max="8201" width="8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4" width="9" style="2"/>
    <col min="8455" max="8455" width="11.125" style="2" bestFit="1" customWidth="1"/>
    <col min="8456" max="8456" width="9" style="2"/>
    <col min="8457" max="8457" width="8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0" width="9" style="2"/>
    <col min="8711" max="8711" width="11.125" style="2" bestFit="1" customWidth="1"/>
    <col min="8712" max="8712" width="9" style="2"/>
    <col min="8713" max="8713" width="8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6" width="9" style="2"/>
    <col min="8967" max="8967" width="11.125" style="2" bestFit="1" customWidth="1"/>
    <col min="8968" max="8968" width="9" style="2"/>
    <col min="8969" max="8969" width="8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2" width="9" style="2"/>
    <col min="9223" max="9223" width="11.125" style="2" bestFit="1" customWidth="1"/>
    <col min="9224" max="9224" width="9" style="2"/>
    <col min="9225" max="9225" width="8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8" width="9" style="2"/>
    <col min="9479" max="9479" width="11.125" style="2" bestFit="1" customWidth="1"/>
    <col min="9480" max="9480" width="9" style="2"/>
    <col min="9481" max="9481" width="8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4" width="9" style="2"/>
    <col min="9735" max="9735" width="11.125" style="2" bestFit="1" customWidth="1"/>
    <col min="9736" max="9736" width="9" style="2"/>
    <col min="9737" max="9737" width="8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0" width="9" style="2"/>
    <col min="9991" max="9991" width="11.125" style="2" bestFit="1" customWidth="1"/>
    <col min="9992" max="9992" width="9" style="2"/>
    <col min="9993" max="9993" width="8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6" width="9" style="2"/>
    <col min="10247" max="10247" width="11.125" style="2" bestFit="1" customWidth="1"/>
    <col min="10248" max="10248" width="9" style="2"/>
    <col min="10249" max="10249" width="8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2" width="9" style="2"/>
    <col min="10503" max="10503" width="11.125" style="2" bestFit="1" customWidth="1"/>
    <col min="10504" max="10504" width="9" style="2"/>
    <col min="10505" max="10505" width="8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8" width="9" style="2"/>
    <col min="10759" max="10759" width="11.125" style="2" bestFit="1" customWidth="1"/>
    <col min="10760" max="10760" width="9" style="2"/>
    <col min="10761" max="10761" width="8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4" width="9" style="2"/>
    <col min="11015" max="11015" width="11.125" style="2" bestFit="1" customWidth="1"/>
    <col min="11016" max="11016" width="9" style="2"/>
    <col min="11017" max="11017" width="8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0" width="9" style="2"/>
    <col min="11271" max="11271" width="11.125" style="2" bestFit="1" customWidth="1"/>
    <col min="11272" max="11272" width="9" style="2"/>
    <col min="11273" max="11273" width="8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6" width="9" style="2"/>
    <col min="11527" max="11527" width="11.125" style="2" bestFit="1" customWidth="1"/>
    <col min="11528" max="11528" width="9" style="2"/>
    <col min="11529" max="11529" width="8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2" width="9" style="2"/>
    <col min="11783" max="11783" width="11.125" style="2" bestFit="1" customWidth="1"/>
    <col min="11784" max="11784" width="9" style="2"/>
    <col min="11785" max="11785" width="8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8" width="9" style="2"/>
    <col min="12039" max="12039" width="11.125" style="2" bestFit="1" customWidth="1"/>
    <col min="12040" max="12040" width="9" style="2"/>
    <col min="12041" max="12041" width="8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4" width="9" style="2"/>
    <col min="12295" max="12295" width="11.125" style="2" bestFit="1" customWidth="1"/>
    <col min="12296" max="12296" width="9" style="2"/>
    <col min="12297" max="12297" width="8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0" width="9" style="2"/>
    <col min="12551" max="12551" width="11.125" style="2" bestFit="1" customWidth="1"/>
    <col min="12552" max="12552" width="9" style="2"/>
    <col min="12553" max="12553" width="8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6" width="9" style="2"/>
    <col min="12807" max="12807" width="11.125" style="2" bestFit="1" customWidth="1"/>
    <col min="12808" max="12808" width="9" style="2"/>
    <col min="12809" max="12809" width="8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2" width="9" style="2"/>
    <col min="13063" max="13063" width="11.125" style="2" bestFit="1" customWidth="1"/>
    <col min="13064" max="13064" width="9" style="2"/>
    <col min="13065" max="13065" width="8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8" width="9" style="2"/>
    <col min="13319" max="13319" width="11.125" style="2" bestFit="1" customWidth="1"/>
    <col min="13320" max="13320" width="9" style="2"/>
    <col min="13321" max="13321" width="8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4" width="9" style="2"/>
    <col min="13575" max="13575" width="11.125" style="2" bestFit="1" customWidth="1"/>
    <col min="13576" max="13576" width="9" style="2"/>
    <col min="13577" max="13577" width="8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0" width="9" style="2"/>
    <col min="13831" max="13831" width="11.125" style="2" bestFit="1" customWidth="1"/>
    <col min="13832" max="13832" width="9" style="2"/>
    <col min="13833" max="13833" width="8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6" width="9" style="2"/>
    <col min="14087" max="14087" width="11.125" style="2" bestFit="1" customWidth="1"/>
    <col min="14088" max="14088" width="9" style="2"/>
    <col min="14089" max="14089" width="8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2" width="9" style="2"/>
    <col min="14343" max="14343" width="11.125" style="2" bestFit="1" customWidth="1"/>
    <col min="14344" max="14344" width="9" style="2"/>
    <col min="14345" max="14345" width="8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8" width="9" style="2"/>
    <col min="14599" max="14599" width="11.125" style="2" bestFit="1" customWidth="1"/>
    <col min="14600" max="14600" width="9" style="2"/>
    <col min="14601" max="14601" width="8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4" width="9" style="2"/>
    <col min="14855" max="14855" width="11.125" style="2" bestFit="1" customWidth="1"/>
    <col min="14856" max="14856" width="9" style="2"/>
    <col min="14857" max="14857" width="8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0" width="9" style="2"/>
    <col min="15111" max="15111" width="11.125" style="2" bestFit="1" customWidth="1"/>
    <col min="15112" max="15112" width="9" style="2"/>
    <col min="15113" max="15113" width="8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6" width="9" style="2"/>
    <col min="15367" max="15367" width="11.125" style="2" bestFit="1" customWidth="1"/>
    <col min="15368" max="15368" width="9" style="2"/>
    <col min="15369" max="15369" width="8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2" width="9" style="2"/>
    <col min="15623" max="15623" width="11.125" style="2" bestFit="1" customWidth="1"/>
    <col min="15624" max="15624" width="9" style="2"/>
    <col min="15625" max="15625" width="8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8" width="9" style="2"/>
    <col min="15879" max="15879" width="11.125" style="2" bestFit="1" customWidth="1"/>
    <col min="15880" max="15880" width="9" style="2"/>
    <col min="15881" max="15881" width="8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4" width="9" style="2"/>
    <col min="16135" max="16135" width="11.125" style="2" bestFit="1" customWidth="1"/>
    <col min="16136" max="16136" width="9" style="2"/>
    <col min="16137" max="16137" width="8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51</v>
      </c>
    </row>
    <row r="3" spans="1:11">
      <c r="B3" s="14"/>
      <c r="C3" s="4" t="s">
        <v>4</v>
      </c>
      <c r="D3" s="33" t="s">
        <v>52</v>
      </c>
      <c r="E3" s="36" t="s">
        <v>2</v>
      </c>
      <c r="F3" s="37" t="s">
        <v>3</v>
      </c>
      <c r="G3" s="37" t="s">
        <v>5</v>
      </c>
      <c r="H3" s="37" t="s">
        <v>6</v>
      </c>
      <c r="I3" s="4" t="s">
        <v>7</v>
      </c>
      <c r="J3" s="33" t="s">
        <v>52</v>
      </c>
      <c r="K3" s="34" t="s">
        <v>15</v>
      </c>
    </row>
    <row r="4" spans="1:11" ht="19.5" thickBot="1">
      <c r="B4" s="5" t="s">
        <v>8</v>
      </c>
      <c r="C4" s="3" t="s">
        <v>11</v>
      </c>
      <c r="D4" s="35" t="s">
        <v>53</v>
      </c>
      <c r="E4" s="38" t="s">
        <v>9</v>
      </c>
      <c r="F4" s="39" t="s">
        <v>10</v>
      </c>
      <c r="G4" s="39" t="s">
        <v>12</v>
      </c>
      <c r="H4" s="39" t="s">
        <v>13</v>
      </c>
      <c r="I4" s="3" t="s">
        <v>14</v>
      </c>
      <c r="J4" s="35" t="s">
        <v>54</v>
      </c>
      <c r="K4" s="5" t="s">
        <v>55</v>
      </c>
    </row>
    <row r="5" spans="1:11">
      <c r="A5" s="1" t="s">
        <v>1</v>
      </c>
      <c r="B5" s="20" t="s">
        <v>16</v>
      </c>
      <c r="C5" s="21">
        <v>22</v>
      </c>
      <c r="D5" s="22">
        <f>SUM(C5)</f>
        <v>22</v>
      </c>
      <c r="E5" s="40">
        <v>19</v>
      </c>
      <c r="F5" s="41">
        <v>20</v>
      </c>
      <c r="G5" s="41">
        <v>21</v>
      </c>
      <c r="H5" s="41">
        <v>21</v>
      </c>
      <c r="I5" s="21">
        <v>22</v>
      </c>
      <c r="J5" s="22">
        <f>SUM(E5:I5)</f>
        <v>103</v>
      </c>
      <c r="K5" s="22">
        <f>SUM(J5,D5)</f>
        <v>125</v>
      </c>
    </row>
    <row r="6" spans="1:11">
      <c r="A6" s="1" t="s">
        <v>1</v>
      </c>
      <c r="B6" s="23" t="s">
        <v>17</v>
      </c>
      <c r="C6" s="24">
        <v>0</v>
      </c>
      <c r="D6" s="25">
        <f t="shared" ref="D6:D38" si="0">SUM(C6)</f>
        <v>0</v>
      </c>
      <c r="E6" s="42">
        <v>0</v>
      </c>
      <c r="F6" s="43">
        <v>1</v>
      </c>
      <c r="G6" s="43">
        <v>0</v>
      </c>
      <c r="H6" s="43">
        <v>1</v>
      </c>
      <c r="I6" s="24">
        <v>0</v>
      </c>
      <c r="J6" s="25">
        <f t="shared" ref="J6:J38" si="1">SUM(E6:I6)</f>
        <v>2</v>
      </c>
      <c r="K6" s="25">
        <f t="shared" ref="K6:K38" si="2">SUM(J6,D6)</f>
        <v>2</v>
      </c>
    </row>
    <row r="7" spans="1:11">
      <c r="A7" s="1" t="s">
        <v>1</v>
      </c>
      <c r="B7" s="23" t="s">
        <v>18</v>
      </c>
      <c r="C7" s="24">
        <v>0</v>
      </c>
      <c r="D7" s="25">
        <f t="shared" si="0"/>
        <v>0</v>
      </c>
      <c r="E7" s="42">
        <v>3</v>
      </c>
      <c r="F7" s="43">
        <v>2</v>
      </c>
      <c r="G7" s="43">
        <v>1</v>
      </c>
      <c r="H7" s="43">
        <v>1</v>
      </c>
      <c r="I7" s="24">
        <v>0</v>
      </c>
      <c r="J7" s="25">
        <f t="shared" si="1"/>
        <v>7</v>
      </c>
      <c r="K7" s="25">
        <f t="shared" si="2"/>
        <v>7</v>
      </c>
    </row>
    <row r="8" spans="1:11">
      <c r="A8" s="1" t="s">
        <v>1</v>
      </c>
      <c r="B8" s="23" t="s">
        <v>19</v>
      </c>
      <c r="C8" s="26">
        <v>0</v>
      </c>
      <c r="D8" s="27">
        <f t="shared" si="0"/>
        <v>0</v>
      </c>
      <c r="E8" s="44">
        <v>1.5416666666666665</v>
      </c>
      <c r="F8" s="45">
        <v>1.625</v>
      </c>
      <c r="G8" s="45">
        <v>0.29166666666666669</v>
      </c>
      <c r="H8" s="45">
        <v>1.7916666666666665</v>
      </c>
      <c r="I8" s="26">
        <v>1.5833333333333335</v>
      </c>
      <c r="J8" s="27">
        <f t="shared" si="1"/>
        <v>6.8333333333333339</v>
      </c>
      <c r="K8" s="27">
        <f t="shared" si="2"/>
        <v>6.8333333333333339</v>
      </c>
    </row>
    <row r="9" spans="1:11">
      <c r="A9" s="1" t="s">
        <v>1</v>
      </c>
      <c r="B9" s="23" t="s">
        <v>20</v>
      </c>
      <c r="C9" s="26">
        <v>0</v>
      </c>
      <c r="D9" s="27">
        <f t="shared" si="0"/>
        <v>0</v>
      </c>
      <c r="E9" s="44">
        <v>0</v>
      </c>
      <c r="F9" s="45">
        <v>0.45833333333333331</v>
      </c>
      <c r="G9" s="45">
        <v>0</v>
      </c>
      <c r="H9" s="45">
        <v>0.25</v>
      </c>
      <c r="I9" s="26">
        <v>0</v>
      </c>
      <c r="J9" s="27">
        <f t="shared" si="1"/>
        <v>0.70833333333333326</v>
      </c>
      <c r="K9" s="27">
        <f t="shared" si="2"/>
        <v>0.70833333333333326</v>
      </c>
    </row>
    <row r="10" spans="1:11">
      <c r="A10" s="1" t="s">
        <v>1</v>
      </c>
      <c r="B10" s="6" t="s">
        <v>21</v>
      </c>
      <c r="C10" s="7">
        <v>0.16666666666666666</v>
      </c>
      <c r="D10" s="8">
        <f t="shared" si="0"/>
        <v>0.16666666666666666</v>
      </c>
      <c r="E10" s="46">
        <v>0.29166666666666669</v>
      </c>
      <c r="F10" s="47">
        <v>0.25</v>
      </c>
      <c r="G10" s="47">
        <v>0</v>
      </c>
      <c r="H10" s="47">
        <v>0.375</v>
      </c>
      <c r="I10" s="7">
        <v>0.25</v>
      </c>
      <c r="J10" s="8">
        <f t="shared" si="1"/>
        <v>1.1666666666666667</v>
      </c>
      <c r="K10" s="8">
        <f t="shared" si="2"/>
        <v>1.3333333333333335</v>
      </c>
    </row>
    <row r="11" spans="1:11">
      <c r="A11" s="1" t="s">
        <v>1</v>
      </c>
      <c r="B11" s="15" t="s">
        <v>22</v>
      </c>
      <c r="C11" s="16">
        <v>38</v>
      </c>
      <c r="D11" s="17"/>
      <c r="E11" s="48">
        <v>33</v>
      </c>
      <c r="F11" s="49">
        <v>38</v>
      </c>
      <c r="G11" s="49">
        <v>16</v>
      </c>
      <c r="H11" s="49">
        <v>13</v>
      </c>
      <c r="I11" s="16">
        <v>0</v>
      </c>
      <c r="J11" s="17"/>
      <c r="K11" s="17"/>
    </row>
    <row r="12" spans="1:11">
      <c r="A12" s="1" t="s">
        <v>1</v>
      </c>
      <c r="B12" s="28" t="s">
        <v>23</v>
      </c>
      <c r="C12" s="29">
        <v>365000</v>
      </c>
      <c r="D12" s="30">
        <f t="shared" si="0"/>
        <v>365000</v>
      </c>
      <c r="E12" s="50">
        <v>182000</v>
      </c>
      <c r="F12" s="51">
        <v>187000</v>
      </c>
      <c r="G12" s="51">
        <v>182000</v>
      </c>
      <c r="H12" s="51">
        <v>170000</v>
      </c>
      <c r="I12" s="29">
        <v>187000</v>
      </c>
      <c r="J12" s="30">
        <f t="shared" si="1"/>
        <v>908000</v>
      </c>
      <c r="K12" s="30">
        <f t="shared" si="2"/>
        <v>1273000</v>
      </c>
    </row>
    <row r="13" spans="1:11">
      <c r="A13" s="1" t="s">
        <v>1</v>
      </c>
      <c r="B13" s="23" t="s">
        <v>24</v>
      </c>
      <c r="C13" s="31">
        <v>0</v>
      </c>
      <c r="D13" s="32">
        <f t="shared" si="0"/>
        <v>0</v>
      </c>
      <c r="E13" s="52">
        <v>5000</v>
      </c>
      <c r="F13" s="53">
        <v>0</v>
      </c>
      <c r="G13" s="53">
        <v>0</v>
      </c>
      <c r="H13" s="53">
        <v>0</v>
      </c>
      <c r="I13" s="31">
        <v>0</v>
      </c>
      <c r="J13" s="32">
        <f t="shared" si="1"/>
        <v>5000</v>
      </c>
      <c r="K13" s="32">
        <f t="shared" si="2"/>
        <v>5000</v>
      </c>
    </row>
    <row r="14" spans="1:11">
      <c r="A14" s="1" t="s">
        <v>1</v>
      </c>
      <c r="B14" s="23" t="s">
        <v>25</v>
      </c>
      <c r="C14" s="31">
        <v>0</v>
      </c>
      <c r="D14" s="32">
        <f t="shared" si="0"/>
        <v>0</v>
      </c>
      <c r="E14" s="52">
        <v>3000</v>
      </c>
      <c r="F14" s="53">
        <v>3000</v>
      </c>
      <c r="G14" s="53">
        <v>0</v>
      </c>
      <c r="H14" s="53">
        <v>0</v>
      </c>
      <c r="I14" s="31">
        <v>15000</v>
      </c>
      <c r="J14" s="32">
        <f t="shared" si="1"/>
        <v>21000</v>
      </c>
      <c r="K14" s="32">
        <f t="shared" si="2"/>
        <v>21000</v>
      </c>
    </row>
    <row r="15" spans="1:11">
      <c r="A15" s="1" t="s">
        <v>1</v>
      </c>
      <c r="B15" s="23" t="s">
        <v>26</v>
      </c>
      <c r="C15" s="31">
        <v>50000</v>
      </c>
      <c r="D15" s="32">
        <f t="shared" si="0"/>
        <v>50000</v>
      </c>
      <c r="E15" s="52">
        <v>50000</v>
      </c>
      <c r="F15" s="53">
        <v>50000</v>
      </c>
      <c r="G15" s="53">
        <v>50000</v>
      </c>
      <c r="H15" s="53">
        <v>50000</v>
      </c>
      <c r="I15" s="31">
        <v>50000</v>
      </c>
      <c r="J15" s="32">
        <f t="shared" si="1"/>
        <v>250000</v>
      </c>
      <c r="K15" s="32">
        <f t="shared" si="2"/>
        <v>300000</v>
      </c>
    </row>
    <row r="16" spans="1:11">
      <c r="A16" s="1" t="s">
        <v>1</v>
      </c>
      <c r="B16" s="23" t="s">
        <v>27</v>
      </c>
      <c r="C16" s="31">
        <v>0</v>
      </c>
      <c r="D16" s="32">
        <f t="shared" si="0"/>
        <v>0</v>
      </c>
      <c r="E16" s="52">
        <v>0</v>
      </c>
      <c r="F16" s="53">
        <v>0</v>
      </c>
      <c r="G16" s="53">
        <v>0</v>
      </c>
      <c r="H16" s="53">
        <v>0</v>
      </c>
      <c r="I16" s="31">
        <v>67458</v>
      </c>
      <c r="J16" s="32">
        <f t="shared" si="1"/>
        <v>67458</v>
      </c>
      <c r="K16" s="32">
        <f t="shared" si="2"/>
        <v>67458</v>
      </c>
    </row>
    <row r="17" spans="1:11">
      <c r="A17" s="1" t="s">
        <v>1</v>
      </c>
      <c r="B17" s="23" t="s">
        <v>28</v>
      </c>
      <c r="C17" s="31">
        <v>0</v>
      </c>
      <c r="D17" s="32">
        <f t="shared" si="0"/>
        <v>0</v>
      </c>
      <c r="E17" s="52">
        <v>21600</v>
      </c>
      <c r="F17" s="53">
        <v>24000</v>
      </c>
      <c r="G17" s="53">
        <v>24200</v>
      </c>
      <c r="H17" s="53">
        <v>0</v>
      </c>
      <c r="I17" s="31">
        <v>0</v>
      </c>
      <c r="J17" s="32">
        <f t="shared" si="1"/>
        <v>69800</v>
      </c>
      <c r="K17" s="32">
        <f t="shared" si="2"/>
        <v>69800</v>
      </c>
    </row>
    <row r="18" spans="1:11">
      <c r="A18" s="1" t="s">
        <v>1</v>
      </c>
      <c r="B18" s="23" t="s">
        <v>29</v>
      </c>
      <c r="C18" s="31">
        <v>0</v>
      </c>
      <c r="D18" s="32">
        <f t="shared" si="0"/>
        <v>0</v>
      </c>
      <c r="E18" s="52">
        <v>3500</v>
      </c>
      <c r="F18" s="53">
        <v>3500</v>
      </c>
      <c r="G18" s="53">
        <v>3500</v>
      </c>
      <c r="H18" s="53">
        <v>0</v>
      </c>
      <c r="I18" s="31">
        <v>0</v>
      </c>
      <c r="J18" s="32">
        <f t="shared" si="1"/>
        <v>10500</v>
      </c>
      <c r="K18" s="32">
        <f t="shared" si="2"/>
        <v>10500</v>
      </c>
    </row>
    <row r="19" spans="1:11">
      <c r="A19" s="1" t="s">
        <v>1</v>
      </c>
      <c r="B19" s="23" t="s">
        <v>30</v>
      </c>
      <c r="C19" s="31">
        <v>0</v>
      </c>
      <c r="D19" s="32">
        <f t="shared" si="0"/>
        <v>0</v>
      </c>
      <c r="E19" s="52">
        <v>0</v>
      </c>
      <c r="F19" s="53">
        <v>13000</v>
      </c>
      <c r="G19" s="53">
        <v>13000</v>
      </c>
      <c r="H19" s="53">
        <v>0</v>
      </c>
      <c r="I19" s="31">
        <v>13000</v>
      </c>
      <c r="J19" s="32">
        <f t="shared" si="1"/>
        <v>39000</v>
      </c>
      <c r="K19" s="32">
        <f t="shared" si="2"/>
        <v>39000</v>
      </c>
    </row>
    <row r="20" spans="1:11">
      <c r="A20" s="1" t="s">
        <v>1</v>
      </c>
      <c r="B20" s="23" t="s">
        <v>19</v>
      </c>
      <c r="C20" s="31">
        <v>0</v>
      </c>
      <c r="D20" s="32">
        <f t="shared" si="0"/>
        <v>0</v>
      </c>
      <c r="E20" s="52">
        <v>67451</v>
      </c>
      <c r="F20" s="53">
        <v>74880</v>
      </c>
      <c r="G20" s="53">
        <v>13020</v>
      </c>
      <c r="H20" s="53">
        <v>70778</v>
      </c>
      <c r="I20" s="31">
        <v>75392</v>
      </c>
      <c r="J20" s="32">
        <f t="shared" si="1"/>
        <v>301521</v>
      </c>
      <c r="K20" s="32">
        <f t="shared" si="2"/>
        <v>301521</v>
      </c>
    </row>
    <row r="21" spans="1:11">
      <c r="A21" s="1" t="s">
        <v>1</v>
      </c>
      <c r="B21" s="23" t="s">
        <v>31</v>
      </c>
      <c r="C21" s="31">
        <v>0</v>
      </c>
      <c r="D21" s="32">
        <f t="shared" si="0"/>
        <v>0</v>
      </c>
      <c r="E21" s="52">
        <v>0</v>
      </c>
      <c r="F21" s="53">
        <v>22814</v>
      </c>
      <c r="G21" s="53">
        <v>0</v>
      </c>
      <c r="H21" s="53">
        <v>10668</v>
      </c>
      <c r="I21" s="31">
        <v>0</v>
      </c>
      <c r="J21" s="32">
        <f t="shared" si="1"/>
        <v>33482</v>
      </c>
      <c r="K21" s="32">
        <f t="shared" si="2"/>
        <v>33482</v>
      </c>
    </row>
    <row r="22" spans="1:11">
      <c r="A22" s="1" t="s">
        <v>1</v>
      </c>
      <c r="B22" s="6" t="s">
        <v>21</v>
      </c>
      <c r="C22" s="9">
        <v>2484</v>
      </c>
      <c r="D22" s="10">
        <f t="shared" si="0"/>
        <v>2484</v>
      </c>
      <c r="E22" s="54">
        <v>2555</v>
      </c>
      <c r="F22" s="55">
        <v>2304</v>
      </c>
      <c r="G22" s="55">
        <v>0</v>
      </c>
      <c r="H22" s="55">
        <v>2961</v>
      </c>
      <c r="I22" s="9">
        <v>2382</v>
      </c>
      <c r="J22" s="10">
        <f t="shared" si="1"/>
        <v>10202</v>
      </c>
      <c r="K22" s="10">
        <f t="shared" si="2"/>
        <v>12686</v>
      </c>
    </row>
    <row r="23" spans="1:11">
      <c r="A23" s="1" t="s">
        <v>1</v>
      </c>
      <c r="B23" s="15" t="s">
        <v>32</v>
      </c>
      <c r="C23" s="18">
        <v>417484</v>
      </c>
      <c r="D23" s="19">
        <f t="shared" si="0"/>
        <v>417484</v>
      </c>
      <c r="E23" s="56">
        <v>335106</v>
      </c>
      <c r="F23" s="57">
        <v>380498</v>
      </c>
      <c r="G23" s="57">
        <v>285720</v>
      </c>
      <c r="H23" s="57">
        <v>304407</v>
      </c>
      <c r="I23" s="18">
        <v>410232</v>
      </c>
      <c r="J23" s="19">
        <f t="shared" si="1"/>
        <v>1715963</v>
      </c>
      <c r="K23" s="19">
        <f t="shared" si="2"/>
        <v>2133447</v>
      </c>
    </row>
    <row r="24" spans="1:11">
      <c r="A24" s="1" t="s">
        <v>1</v>
      </c>
      <c r="B24" s="28" t="s">
        <v>33</v>
      </c>
      <c r="C24" s="29">
        <v>11248</v>
      </c>
      <c r="D24" s="30">
        <f t="shared" si="0"/>
        <v>11248</v>
      </c>
      <c r="E24" s="50">
        <v>5869</v>
      </c>
      <c r="F24" s="51">
        <v>1622</v>
      </c>
      <c r="G24" s="51">
        <v>0</v>
      </c>
      <c r="H24" s="51">
        <v>10270</v>
      </c>
      <c r="I24" s="29">
        <v>8649</v>
      </c>
      <c r="J24" s="30">
        <f t="shared" si="1"/>
        <v>26410</v>
      </c>
      <c r="K24" s="30">
        <f t="shared" si="2"/>
        <v>37658</v>
      </c>
    </row>
    <row r="25" spans="1:11">
      <c r="A25" s="1" t="s">
        <v>1</v>
      </c>
      <c r="B25" s="6" t="s">
        <v>34</v>
      </c>
      <c r="C25" s="9">
        <v>11248</v>
      </c>
      <c r="D25" s="10">
        <f t="shared" si="0"/>
        <v>11248</v>
      </c>
      <c r="E25" s="54">
        <v>5869</v>
      </c>
      <c r="F25" s="55">
        <v>1622</v>
      </c>
      <c r="G25" s="55">
        <v>0</v>
      </c>
      <c r="H25" s="55">
        <v>10270</v>
      </c>
      <c r="I25" s="9">
        <v>8649</v>
      </c>
      <c r="J25" s="10">
        <f t="shared" si="1"/>
        <v>26410</v>
      </c>
      <c r="K25" s="10">
        <f t="shared" si="2"/>
        <v>37658</v>
      </c>
    </row>
    <row r="26" spans="1:11">
      <c r="A26" s="1" t="s">
        <v>1</v>
      </c>
      <c r="B26" s="15" t="s">
        <v>35</v>
      </c>
      <c r="C26" s="18">
        <v>428732</v>
      </c>
      <c r="D26" s="19">
        <f t="shared" si="0"/>
        <v>428732</v>
      </c>
      <c r="E26" s="56">
        <v>340975</v>
      </c>
      <c r="F26" s="57">
        <v>382120</v>
      </c>
      <c r="G26" s="57">
        <v>285720</v>
      </c>
      <c r="H26" s="57">
        <v>314677</v>
      </c>
      <c r="I26" s="18">
        <v>418881</v>
      </c>
      <c r="J26" s="19">
        <f t="shared" si="1"/>
        <v>1742373</v>
      </c>
      <c r="K26" s="19">
        <f t="shared" si="2"/>
        <v>2171105</v>
      </c>
    </row>
    <row r="27" spans="1:11">
      <c r="A27" s="1" t="s">
        <v>1</v>
      </c>
      <c r="B27" s="28" t="s">
        <v>36</v>
      </c>
      <c r="C27" s="29">
        <v>20910</v>
      </c>
      <c r="D27" s="30">
        <f t="shared" si="0"/>
        <v>20910</v>
      </c>
      <c r="E27" s="50">
        <v>18360</v>
      </c>
      <c r="F27" s="51">
        <v>20910</v>
      </c>
      <c r="G27" s="51">
        <v>17340</v>
      </c>
      <c r="H27" s="51">
        <v>15300</v>
      </c>
      <c r="I27" s="29">
        <v>19380</v>
      </c>
      <c r="J27" s="30">
        <f t="shared" si="1"/>
        <v>91290</v>
      </c>
      <c r="K27" s="30">
        <f t="shared" si="2"/>
        <v>112200</v>
      </c>
    </row>
    <row r="28" spans="1:11">
      <c r="A28" s="1" t="s">
        <v>1</v>
      </c>
      <c r="B28" s="23" t="s">
        <v>37</v>
      </c>
      <c r="C28" s="31">
        <v>3690</v>
      </c>
      <c r="D28" s="32">
        <f t="shared" si="0"/>
        <v>3690</v>
      </c>
      <c r="E28" s="52">
        <v>0</v>
      </c>
      <c r="F28" s="53">
        <v>3690</v>
      </c>
      <c r="G28" s="53">
        <v>3060</v>
      </c>
      <c r="H28" s="53">
        <v>2700</v>
      </c>
      <c r="I28" s="31">
        <v>3420</v>
      </c>
      <c r="J28" s="32">
        <f t="shared" si="1"/>
        <v>12870</v>
      </c>
      <c r="K28" s="32">
        <f t="shared" si="2"/>
        <v>16560</v>
      </c>
    </row>
    <row r="29" spans="1:11">
      <c r="A29" s="1" t="s">
        <v>1</v>
      </c>
      <c r="B29" s="23" t="s">
        <v>38</v>
      </c>
      <c r="C29" s="31">
        <v>37515</v>
      </c>
      <c r="D29" s="32">
        <f t="shared" si="0"/>
        <v>37515</v>
      </c>
      <c r="E29" s="52">
        <v>32940</v>
      </c>
      <c r="F29" s="53">
        <v>37515</v>
      </c>
      <c r="G29" s="53">
        <v>31110</v>
      </c>
      <c r="H29" s="53">
        <v>27450</v>
      </c>
      <c r="I29" s="31">
        <v>34770</v>
      </c>
      <c r="J29" s="32">
        <f t="shared" si="1"/>
        <v>163785</v>
      </c>
      <c r="K29" s="32">
        <f t="shared" si="2"/>
        <v>201300</v>
      </c>
    </row>
    <row r="30" spans="1:11">
      <c r="A30" s="1" t="s">
        <v>1</v>
      </c>
      <c r="B30" s="6" t="s">
        <v>39</v>
      </c>
      <c r="C30" s="9">
        <v>2572</v>
      </c>
      <c r="D30" s="10">
        <f t="shared" si="0"/>
        <v>2572</v>
      </c>
      <c r="E30" s="54">
        <v>2046</v>
      </c>
      <c r="F30" s="55">
        <v>2293</v>
      </c>
      <c r="G30" s="55">
        <v>1714</v>
      </c>
      <c r="H30" s="55">
        <v>1888</v>
      </c>
      <c r="I30" s="9">
        <v>2513</v>
      </c>
      <c r="J30" s="10">
        <f t="shared" si="1"/>
        <v>10454</v>
      </c>
      <c r="K30" s="10">
        <f t="shared" si="2"/>
        <v>13026</v>
      </c>
    </row>
    <row r="31" spans="1:11">
      <c r="A31" s="1" t="s">
        <v>1</v>
      </c>
      <c r="B31" s="15" t="s">
        <v>40</v>
      </c>
      <c r="C31" s="18">
        <v>64687</v>
      </c>
      <c r="D31" s="19">
        <f t="shared" si="0"/>
        <v>64687</v>
      </c>
      <c r="E31" s="56">
        <v>53346</v>
      </c>
      <c r="F31" s="57">
        <v>64408</v>
      </c>
      <c r="G31" s="57">
        <v>53224</v>
      </c>
      <c r="H31" s="57">
        <v>47338</v>
      </c>
      <c r="I31" s="18">
        <v>60083</v>
      </c>
      <c r="J31" s="19">
        <f t="shared" si="1"/>
        <v>278399</v>
      </c>
      <c r="K31" s="19">
        <f t="shared" si="2"/>
        <v>343086</v>
      </c>
    </row>
    <row r="32" spans="1:11">
      <c r="A32" s="1" t="s">
        <v>1</v>
      </c>
      <c r="B32" s="28" t="s">
        <v>41</v>
      </c>
      <c r="C32" s="29">
        <v>9460</v>
      </c>
      <c r="D32" s="30">
        <f t="shared" si="0"/>
        <v>9460</v>
      </c>
      <c r="E32" s="50">
        <v>6070</v>
      </c>
      <c r="F32" s="51">
        <v>9690</v>
      </c>
      <c r="G32" s="51">
        <v>4310</v>
      </c>
      <c r="H32" s="51">
        <v>5190</v>
      </c>
      <c r="I32" s="29">
        <v>12480</v>
      </c>
      <c r="J32" s="30">
        <f t="shared" si="1"/>
        <v>37740</v>
      </c>
      <c r="K32" s="30">
        <f t="shared" si="2"/>
        <v>47200</v>
      </c>
    </row>
    <row r="33" spans="1:11">
      <c r="A33" s="1" t="s">
        <v>1</v>
      </c>
      <c r="B33" s="23" t="s">
        <v>42</v>
      </c>
      <c r="C33" s="31">
        <v>19700</v>
      </c>
      <c r="D33" s="32">
        <f t="shared" si="0"/>
        <v>19700</v>
      </c>
      <c r="E33" s="52">
        <v>12600</v>
      </c>
      <c r="F33" s="53">
        <v>19400</v>
      </c>
      <c r="G33" s="53">
        <v>8800</v>
      </c>
      <c r="H33" s="53">
        <v>0</v>
      </c>
      <c r="I33" s="31">
        <v>7400</v>
      </c>
      <c r="J33" s="32">
        <f t="shared" si="1"/>
        <v>48200</v>
      </c>
      <c r="K33" s="32">
        <f t="shared" si="2"/>
        <v>67900</v>
      </c>
    </row>
    <row r="34" spans="1:11">
      <c r="A34" s="1" t="s">
        <v>1</v>
      </c>
      <c r="B34" s="6" t="s">
        <v>43</v>
      </c>
      <c r="C34" s="9">
        <v>0</v>
      </c>
      <c r="D34" s="10">
        <f t="shared" si="0"/>
        <v>0</v>
      </c>
      <c r="E34" s="54">
        <v>21600</v>
      </c>
      <c r="F34" s="55">
        <v>24000</v>
      </c>
      <c r="G34" s="55">
        <v>24200</v>
      </c>
      <c r="H34" s="55">
        <v>0</v>
      </c>
      <c r="I34" s="9">
        <v>0</v>
      </c>
      <c r="J34" s="10">
        <f t="shared" si="1"/>
        <v>69800</v>
      </c>
      <c r="K34" s="10">
        <f t="shared" si="2"/>
        <v>69800</v>
      </c>
    </row>
    <row r="35" spans="1:11">
      <c r="A35" s="1" t="s">
        <v>1</v>
      </c>
      <c r="B35" s="15" t="s">
        <v>44</v>
      </c>
      <c r="C35" s="18">
        <v>93847</v>
      </c>
      <c r="D35" s="19">
        <f t="shared" si="0"/>
        <v>93847</v>
      </c>
      <c r="E35" s="56">
        <v>93616</v>
      </c>
      <c r="F35" s="57">
        <v>117498</v>
      </c>
      <c r="G35" s="57">
        <v>90534</v>
      </c>
      <c r="H35" s="57">
        <v>52528</v>
      </c>
      <c r="I35" s="18">
        <v>79963</v>
      </c>
      <c r="J35" s="19">
        <f t="shared" si="1"/>
        <v>434139</v>
      </c>
      <c r="K35" s="19">
        <f t="shared" si="2"/>
        <v>527986</v>
      </c>
    </row>
    <row r="36" spans="1:11">
      <c r="A36" s="1" t="s">
        <v>1</v>
      </c>
      <c r="B36" s="15" t="s">
        <v>45</v>
      </c>
      <c r="C36" s="18">
        <v>352797</v>
      </c>
      <c r="D36" s="19">
        <f t="shared" si="0"/>
        <v>352797</v>
      </c>
      <c r="E36" s="56">
        <v>281760</v>
      </c>
      <c r="F36" s="57">
        <v>316090</v>
      </c>
      <c r="G36" s="57">
        <v>232496</v>
      </c>
      <c r="H36" s="57">
        <v>257069</v>
      </c>
      <c r="I36" s="18">
        <v>350149</v>
      </c>
      <c r="J36" s="19">
        <f t="shared" si="1"/>
        <v>1437564</v>
      </c>
      <c r="K36" s="19">
        <f t="shared" si="2"/>
        <v>1790361</v>
      </c>
    </row>
    <row r="37" spans="1:11">
      <c r="A37" s="1" t="s">
        <v>1</v>
      </c>
      <c r="B37" s="15" t="s">
        <v>46</v>
      </c>
      <c r="C37" s="18">
        <v>334885</v>
      </c>
      <c r="D37" s="19">
        <f t="shared" si="0"/>
        <v>334885</v>
      </c>
      <c r="E37" s="56">
        <v>247359</v>
      </c>
      <c r="F37" s="57">
        <v>264622</v>
      </c>
      <c r="G37" s="57">
        <v>195186</v>
      </c>
      <c r="H37" s="57">
        <v>262149</v>
      </c>
      <c r="I37" s="18">
        <v>338918</v>
      </c>
      <c r="J37" s="19">
        <f t="shared" si="1"/>
        <v>1308234</v>
      </c>
      <c r="K37" s="19">
        <f t="shared" si="2"/>
        <v>1643119</v>
      </c>
    </row>
    <row r="38" spans="1:11">
      <c r="A38" s="1" t="s">
        <v>1</v>
      </c>
      <c r="B38" s="15" t="s">
        <v>47</v>
      </c>
      <c r="C38" s="18">
        <v>334885</v>
      </c>
      <c r="D38" s="19">
        <f t="shared" si="0"/>
        <v>334885</v>
      </c>
      <c r="E38" s="56">
        <v>247359</v>
      </c>
      <c r="F38" s="57">
        <v>264622</v>
      </c>
      <c r="G38" s="57">
        <v>195186</v>
      </c>
      <c r="H38" s="57">
        <v>262149</v>
      </c>
      <c r="I38" s="18">
        <v>338918</v>
      </c>
      <c r="J38" s="19">
        <f t="shared" si="1"/>
        <v>1308234</v>
      </c>
      <c r="K38" s="19">
        <f t="shared" si="2"/>
        <v>1643119</v>
      </c>
    </row>
    <row r="39" spans="1:11">
      <c r="A39" s="1" t="s">
        <v>1</v>
      </c>
      <c r="B39" s="15" t="s">
        <v>48</v>
      </c>
      <c r="C39" s="18">
        <v>1</v>
      </c>
      <c r="D39" s="19"/>
      <c r="E39" s="56">
        <v>1</v>
      </c>
      <c r="F39" s="57">
        <v>0</v>
      </c>
      <c r="G39" s="57">
        <v>1</v>
      </c>
      <c r="H39" s="57">
        <v>1</v>
      </c>
      <c r="I39" s="18">
        <v>0</v>
      </c>
      <c r="J39" s="19"/>
      <c r="K39" s="19"/>
    </row>
    <row r="40" spans="1:11" ht="19.5" thickBot="1">
      <c r="A40" s="1" t="s">
        <v>1</v>
      </c>
      <c r="B40" s="11" t="s">
        <v>49</v>
      </c>
      <c r="C40" s="12" t="s">
        <v>50</v>
      </c>
      <c r="D40" s="13"/>
      <c r="E40" s="58" t="s">
        <v>50</v>
      </c>
      <c r="F40" s="59" t="s">
        <v>50</v>
      </c>
      <c r="G40" s="59" t="s">
        <v>50</v>
      </c>
      <c r="H40" s="59" t="s">
        <v>50</v>
      </c>
      <c r="I40" s="12" t="s">
        <v>50</v>
      </c>
      <c r="J40" s="13"/>
      <c r="K40" s="13"/>
    </row>
  </sheetData>
  <phoneticPr fontId="4"/>
  <pageMargins left="0.31496062992125984" right="0.31496062992125984" top="0.35433070866141736" bottom="0.35433070866141736" header="0.31496062992125984" footer="0.31496062992125984"/>
  <pageSetup paperSize="12" scale="9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2024年4月度給与 (2)</vt:lpstr>
      <vt:lpstr>'2024年4月度給与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道夫 深沢</cp:lastModifiedBy>
  <cp:lastPrinted>2024-05-09T01:59:26Z</cp:lastPrinted>
  <dcterms:created xsi:type="dcterms:W3CDTF">2024-05-09T01:45:48Z</dcterms:created>
  <dcterms:modified xsi:type="dcterms:W3CDTF">2024-11-01T00:07:03Z</dcterms:modified>
</cp:coreProperties>
</file>