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4\"/>
    </mc:Choice>
  </mc:AlternateContent>
  <xr:revisionPtr revIDLastSave="0" documentId="13_ncr:1_{279B725E-3CFF-4C6F-A88E-7D9AF3F0DD1B}" xr6:coauthVersionLast="47" xr6:coauthVersionMax="47" xr10:uidLastSave="{00000000-0000-0000-0000-000000000000}"/>
  <bookViews>
    <workbookView xWindow="-120" yWindow="-120" windowWidth="20730" windowHeight="11160" xr2:uid="{D7E6EC70-F96A-4A70-9C47-827B0BB4ABEB}"/>
  </bookViews>
  <sheets>
    <sheet name="2024年 4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3" l="1"/>
  <c r="L14" i="3" s="1"/>
  <c r="K15" i="3"/>
  <c r="L15" i="3" s="1"/>
  <c r="K16" i="3"/>
  <c r="L16" i="3" s="1"/>
  <c r="K17" i="3"/>
  <c r="K18" i="3"/>
  <c r="L18" i="3" s="1"/>
  <c r="K19" i="3"/>
  <c r="L19" i="3" s="1"/>
  <c r="K20" i="3"/>
  <c r="L20" i="3" s="1"/>
  <c r="K21" i="3"/>
  <c r="K22" i="3"/>
  <c r="L22" i="3" s="1"/>
  <c r="K23" i="3"/>
  <c r="L23" i="3" s="1"/>
  <c r="K24" i="3"/>
  <c r="L24" i="3" s="1"/>
  <c r="K25" i="3"/>
  <c r="K26" i="3"/>
  <c r="L26" i="3" s="1"/>
  <c r="K27" i="3"/>
  <c r="L27" i="3" s="1"/>
  <c r="K28" i="3"/>
  <c r="L28" i="3" s="1"/>
  <c r="K29" i="3"/>
  <c r="K30" i="3"/>
  <c r="L30" i="3" s="1"/>
  <c r="K31" i="3"/>
  <c r="L31" i="3" s="1"/>
  <c r="K32" i="3"/>
  <c r="L32" i="3" s="1"/>
  <c r="K33" i="3"/>
  <c r="K34" i="3"/>
  <c r="L34" i="3" s="1"/>
  <c r="K35" i="3"/>
  <c r="L35" i="3" s="1"/>
  <c r="K36" i="3"/>
  <c r="L36" i="3" s="1"/>
  <c r="K37" i="3"/>
  <c r="K13" i="3"/>
  <c r="L13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5" i="3"/>
  <c r="L5" i="3" s="1"/>
  <c r="E14" i="3"/>
  <c r="E15" i="3"/>
  <c r="E16" i="3"/>
  <c r="E17" i="3"/>
  <c r="L17" i="3" s="1"/>
  <c r="E18" i="3"/>
  <c r="E19" i="3"/>
  <c r="E20" i="3"/>
  <c r="E21" i="3"/>
  <c r="L21" i="3" s="1"/>
  <c r="E22" i="3"/>
  <c r="E23" i="3"/>
  <c r="E24" i="3"/>
  <c r="E25" i="3"/>
  <c r="L25" i="3" s="1"/>
  <c r="E26" i="3"/>
  <c r="E27" i="3"/>
  <c r="E28" i="3"/>
  <c r="E29" i="3"/>
  <c r="L29" i="3" s="1"/>
  <c r="E30" i="3"/>
  <c r="E31" i="3"/>
  <c r="E32" i="3"/>
  <c r="E33" i="3"/>
  <c r="L33" i="3" s="1"/>
  <c r="E34" i="3"/>
  <c r="E35" i="3"/>
  <c r="E36" i="3"/>
  <c r="E37" i="3"/>
  <c r="L37" i="3" s="1"/>
  <c r="E13" i="3"/>
  <c r="E7" i="3"/>
  <c r="E8" i="3"/>
  <c r="E9" i="3"/>
  <c r="E10" i="3"/>
  <c r="E11" i="3"/>
  <c r="E6" i="3"/>
  <c r="E5" i="3"/>
</calcChain>
</file>

<file path=xl/sharedStrings.xml><?xml version="1.0" encoding="utf-8"?>
<sst xmlns="http://schemas.openxmlformats.org/spreadsheetml/2006/main" count="100" uniqueCount="57">
  <si>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</si>
  <si>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</si>
  <si>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</si>
  <si>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</si>
  <si>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</si>
  <si>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</si>
  <si>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</si>
  <si>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</si>
  <si>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</si>
  <si>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</si>
  <si>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</si>
  <si>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</si>
  <si>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</si>
  <si>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</si>
  <si>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</si>
  <si>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</si>
  <si>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</si>
  <si>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</si>
  <si>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</si>
  <si>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</si>
  <si>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</si>
  <si>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</si>
  <si>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</si>
  <si>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</si>
  <si>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</si>
  <si>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</si>
  <si>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</si>
  <si>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</si>
  <si>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</si>
  <si>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</si>
  <si>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</si>
  <si>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</si>
  <si>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</si>
  <si>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</si>
  <si>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</si>
  <si>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</si>
  <si>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</si>
  <si>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</si>
  <si>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</si>
  <si>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</si>
  <si>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</si>
  <si>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</si>
  <si>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</si>
  <si>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</si>
  <si>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</si>
  <si>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</si>
  <si>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</si>
  <si>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</si>
  <si>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</si>
  <si>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</si>
  <si>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</si>
  <si>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</si>
  <si>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4月度給与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</si>
  <si>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</si>
  <si>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</si>
  <si>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５名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</si>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</sst>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2" fontId="2" fillId="0" borderId="8" xfId="1" applyNumberFormat="1" applyFont="1" applyBorder="1"/>
    <xf numFmtId="2" fontId="2" fillId="0" borderId="7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3" fontId="2" fillId="0" borderId="32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3" xfId="1" applyNumberFormat="1" applyFont="1" applyBorder="1"/>
    <xf numFmtId="49" fontId="2" fillId="0" borderId="34" xfId="1" applyNumberFormat="1" applyFont="1" applyBorder="1"/>
    <xf numFmtId="0" fontId="2" fillId="0" borderId="4" xfId="1" applyFont="1" applyBorder="1"/>
    <xf numFmtId="49" fontId="2" fillId="0" borderId="28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3" xfId="1" applyNumberFormat="1" applyFont="1" applyBorder="1"/>
  </cellXfs>
  <cellStyles count="2">
    <cellStyle name="標準" xfId="0" builtinId="0"/>
    <cellStyle name="標準 2" xfId="1" xr:uid="{67EF6E8E-0FB2-46D2-8641-399BAF659E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04FC-B8CE-4830-A9AD-576866767D6E}">
  <sheetPr>
    <pageSetUpPr fitToPage="1"/>
  </sheetPr>
  <dimension ref="A1:L3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52</v>
      </c>
    </row>
    <row r="3" spans="1:12">
      <c r="B3" s="13"/>
      <c r="C3" s="32" t="s">
        <v>3</v>
      </c>
      <c r="D3" s="55" t="s">
        <v>8</v>
      </c>
      <c r="E3" s="56" t="s">
        <v>53</v>
      </c>
      <c r="F3" s="31" t="s">
        <v>2</v>
      </c>
      <c r="G3" s="32" t="s">
        <v>4</v>
      </c>
      <c r="H3" s="32" t="s">
        <v>5</v>
      </c>
      <c r="I3" s="32" t="s">
        <v>6</v>
      </c>
      <c r="J3" s="68" t="s">
        <v>7</v>
      </c>
      <c r="K3" s="56" t="s">
        <v>53</v>
      </c>
      <c r="L3" s="67" t="s">
        <v>17</v>
      </c>
    </row>
    <row r="4" spans="1:12" ht="19.5" thickBot="1">
      <c r="B4" s="4" t="s">
        <v>9</v>
      </c>
      <c r="C4" s="34" t="s">
        <v>11</v>
      </c>
      <c r="D4" s="3" t="s">
        <v>16</v>
      </c>
      <c r="E4" s="57" t="s">
        <v>54</v>
      </c>
      <c r="F4" s="33" t="s">
        <v>10</v>
      </c>
      <c r="G4" s="34" t="s">
        <v>12</v>
      </c>
      <c r="H4" s="34" t="s">
        <v>13</v>
      </c>
      <c r="I4" s="34" t="s">
        <v>14</v>
      </c>
      <c r="J4" s="69" t="s">
        <v>15</v>
      </c>
      <c r="K4" s="57" t="s">
        <v>55</v>
      </c>
      <c r="L4" s="4" t="s">
        <v>56</v>
      </c>
    </row>
    <row r="5" spans="1:12">
      <c r="A5" s="1" t="s">
        <v>1</v>
      </c>
      <c r="B5" s="5" t="s">
        <v>18</v>
      </c>
      <c r="C5" s="36">
        <v>22</v>
      </c>
      <c r="D5" s="17">
        <v>17</v>
      </c>
      <c r="E5" s="18">
        <f>SUM(C5:D5)</f>
        <v>39</v>
      </c>
      <c r="F5" s="35">
        <v>21</v>
      </c>
      <c r="G5" s="36">
        <v>21</v>
      </c>
      <c r="H5" s="36">
        <v>21</v>
      </c>
      <c r="I5" s="36">
        <v>22</v>
      </c>
      <c r="J5" s="58">
        <v>22</v>
      </c>
      <c r="K5" s="18">
        <f>SUM(F5:J5)</f>
        <v>107</v>
      </c>
      <c r="L5" s="18">
        <f>SUM(K5,E5)</f>
        <v>146</v>
      </c>
    </row>
    <row r="6" spans="1:12">
      <c r="A6" s="1" t="s">
        <v>1</v>
      </c>
      <c r="B6" s="5" t="s">
        <v>19</v>
      </c>
      <c r="C6" s="38">
        <v>0</v>
      </c>
      <c r="D6" s="19">
        <v>0</v>
      </c>
      <c r="E6" s="20">
        <f>SUM(C6:D6)</f>
        <v>0</v>
      </c>
      <c r="F6" s="37">
        <v>0</v>
      </c>
      <c r="G6" s="38">
        <v>1</v>
      </c>
      <c r="H6" s="38">
        <v>3</v>
      </c>
      <c r="I6" s="38">
        <v>0</v>
      </c>
      <c r="J6" s="59">
        <v>2</v>
      </c>
      <c r="K6" s="20">
        <f t="shared" ref="K6:K11" si="0">SUM(F6:J6)</f>
        <v>6</v>
      </c>
      <c r="L6" s="20">
        <f t="shared" ref="L6:L37" si="1">SUM(K6,E6)</f>
        <v>6</v>
      </c>
    </row>
    <row r="7" spans="1:12">
      <c r="A7" s="1" t="s">
        <v>1</v>
      </c>
      <c r="B7" s="5" t="s">
        <v>20</v>
      </c>
      <c r="C7" s="38">
        <v>0</v>
      </c>
      <c r="D7" s="19">
        <v>0</v>
      </c>
      <c r="E7" s="20">
        <f t="shared" ref="E7:E11" si="2">SUM(C7:D7)</f>
        <v>0</v>
      </c>
      <c r="F7" s="37">
        <v>1</v>
      </c>
      <c r="G7" s="38">
        <v>1</v>
      </c>
      <c r="H7" s="38">
        <v>1</v>
      </c>
      <c r="I7" s="38">
        <v>0</v>
      </c>
      <c r="J7" s="59">
        <v>0</v>
      </c>
      <c r="K7" s="20">
        <f t="shared" si="0"/>
        <v>3</v>
      </c>
      <c r="L7" s="20">
        <f t="shared" si="1"/>
        <v>3</v>
      </c>
    </row>
    <row r="8" spans="1:12">
      <c r="A8" s="1" t="s">
        <v>1</v>
      </c>
      <c r="B8" s="5" t="s">
        <v>21</v>
      </c>
      <c r="C8" s="40">
        <v>0</v>
      </c>
      <c r="D8" s="21">
        <v>3.5416666666666665</v>
      </c>
      <c r="E8" s="22">
        <f t="shared" si="2"/>
        <v>3.5416666666666665</v>
      </c>
      <c r="F8" s="39">
        <v>0</v>
      </c>
      <c r="G8" s="40">
        <v>0</v>
      </c>
      <c r="H8" s="40">
        <v>0</v>
      </c>
      <c r="I8" s="40">
        <v>0</v>
      </c>
      <c r="J8" s="60">
        <v>0</v>
      </c>
      <c r="K8" s="22">
        <f t="shared" si="0"/>
        <v>0</v>
      </c>
      <c r="L8" s="22">
        <f t="shared" si="1"/>
        <v>3.5416666666666665</v>
      </c>
    </row>
    <row r="9" spans="1:12">
      <c r="A9" s="1" t="s">
        <v>1</v>
      </c>
      <c r="B9" s="5" t="s">
        <v>22</v>
      </c>
      <c r="C9" s="40">
        <v>0</v>
      </c>
      <c r="D9" s="21">
        <v>0</v>
      </c>
      <c r="E9" s="22">
        <f t="shared" si="2"/>
        <v>0</v>
      </c>
      <c r="F9" s="39">
        <v>1.1666666666666667</v>
      </c>
      <c r="G9" s="40">
        <v>1.3333333333333333</v>
      </c>
      <c r="H9" s="40">
        <v>1</v>
      </c>
      <c r="I9" s="40">
        <v>0.79166666666666663</v>
      </c>
      <c r="J9" s="60">
        <v>1.0833333333333333</v>
      </c>
      <c r="K9" s="22">
        <f t="shared" si="0"/>
        <v>5.375</v>
      </c>
      <c r="L9" s="22">
        <f t="shared" si="1"/>
        <v>5.375</v>
      </c>
    </row>
    <row r="10" spans="1:12">
      <c r="A10" s="1" t="s">
        <v>1</v>
      </c>
      <c r="B10" s="5" t="s">
        <v>23</v>
      </c>
      <c r="C10" s="40">
        <v>0</v>
      </c>
      <c r="D10" s="21">
        <v>0</v>
      </c>
      <c r="E10" s="22">
        <f t="shared" si="2"/>
        <v>0</v>
      </c>
      <c r="F10" s="39">
        <v>0</v>
      </c>
      <c r="G10" s="40">
        <v>0.33333333333333331</v>
      </c>
      <c r="H10" s="40">
        <v>0.91666666666666663</v>
      </c>
      <c r="I10" s="40">
        <v>0</v>
      </c>
      <c r="J10" s="60">
        <v>0.58333333333333337</v>
      </c>
      <c r="K10" s="22">
        <f t="shared" si="0"/>
        <v>1.8333333333333335</v>
      </c>
      <c r="L10" s="22">
        <f t="shared" si="1"/>
        <v>1.8333333333333335</v>
      </c>
    </row>
    <row r="11" spans="1:12">
      <c r="A11" s="1" t="s">
        <v>1</v>
      </c>
      <c r="B11" s="5" t="s">
        <v>24</v>
      </c>
      <c r="C11" s="42">
        <v>0</v>
      </c>
      <c r="D11" s="6">
        <v>0</v>
      </c>
      <c r="E11" s="7">
        <f t="shared" si="2"/>
        <v>0</v>
      </c>
      <c r="F11" s="41">
        <v>0.5</v>
      </c>
      <c r="G11" s="42">
        <v>0.5</v>
      </c>
      <c r="H11" s="42">
        <v>0.125</v>
      </c>
      <c r="I11" s="42">
        <v>0.125</v>
      </c>
      <c r="J11" s="61">
        <v>0.125</v>
      </c>
      <c r="K11" s="7">
        <f t="shared" si="0"/>
        <v>1.375</v>
      </c>
      <c r="L11" s="7">
        <f t="shared" si="1"/>
        <v>1.375</v>
      </c>
    </row>
    <row r="12" spans="1:12">
      <c r="A12" s="1" t="s">
        <v>1</v>
      </c>
      <c r="B12" s="14" t="s">
        <v>25</v>
      </c>
      <c r="C12" s="44">
        <v>40</v>
      </c>
      <c r="D12" s="15">
        <v>38</v>
      </c>
      <c r="E12" s="16"/>
      <c r="F12" s="43">
        <v>19</v>
      </c>
      <c r="G12" s="44">
        <v>33</v>
      </c>
      <c r="H12" s="44">
        <v>37</v>
      </c>
      <c r="I12" s="44">
        <v>26</v>
      </c>
      <c r="J12" s="70">
        <v>0</v>
      </c>
      <c r="K12" s="16"/>
      <c r="L12" s="16"/>
    </row>
    <row r="13" spans="1:12">
      <c r="A13" s="1" t="s">
        <v>1</v>
      </c>
      <c r="B13" s="25" t="s">
        <v>26</v>
      </c>
      <c r="C13" s="46">
        <v>365000</v>
      </c>
      <c r="D13" s="26">
        <v>0</v>
      </c>
      <c r="E13" s="27">
        <f>SUM(C13:D13)</f>
        <v>365000</v>
      </c>
      <c r="F13" s="45">
        <v>187000</v>
      </c>
      <c r="G13" s="46">
        <v>187000</v>
      </c>
      <c r="H13" s="46">
        <v>182000</v>
      </c>
      <c r="I13" s="46">
        <v>170000</v>
      </c>
      <c r="J13" s="62">
        <v>187000</v>
      </c>
      <c r="K13" s="27">
        <f>SUM(F13:J13)</f>
        <v>913000</v>
      </c>
      <c r="L13" s="27">
        <f t="shared" si="1"/>
        <v>1278000</v>
      </c>
    </row>
    <row r="14" spans="1:12">
      <c r="A14" s="1" t="s">
        <v>1</v>
      </c>
      <c r="B14" s="28" t="s">
        <v>27</v>
      </c>
      <c r="C14" s="48">
        <v>0</v>
      </c>
      <c r="D14" s="29">
        <v>0</v>
      </c>
      <c r="E14" s="30">
        <f t="shared" ref="E14:E37" si="3">SUM(C14:D14)</f>
        <v>0</v>
      </c>
      <c r="F14" s="47">
        <v>6000</v>
      </c>
      <c r="G14" s="48">
        <v>0</v>
      </c>
      <c r="H14" s="48">
        <v>6000</v>
      </c>
      <c r="I14" s="48">
        <v>0</v>
      </c>
      <c r="J14" s="63">
        <v>0</v>
      </c>
      <c r="K14" s="30">
        <f t="shared" ref="K14:K37" si="4">SUM(F14:J14)</f>
        <v>12000</v>
      </c>
      <c r="L14" s="30">
        <f t="shared" si="1"/>
        <v>12000</v>
      </c>
    </row>
    <row r="15" spans="1:12">
      <c r="A15" s="1" t="s">
        <v>1</v>
      </c>
      <c r="B15" s="28" t="s">
        <v>28</v>
      </c>
      <c r="C15" s="48">
        <v>0</v>
      </c>
      <c r="D15" s="29">
        <v>0</v>
      </c>
      <c r="E15" s="30">
        <f t="shared" si="3"/>
        <v>0</v>
      </c>
      <c r="F15" s="47">
        <v>62957</v>
      </c>
      <c r="G15" s="48">
        <v>55327</v>
      </c>
      <c r="H15" s="48">
        <v>70555</v>
      </c>
      <c r="I15" s="48">
        <v>52480</v>
      </c>
      <c r="J15" s="63">
        <v>47600</v>
      </c>
      <c r="K15" s="30">
        <f t="shared" si="4"/>
        <v>288919</v>
      </c>
      <c r="L15" s="30">
        <f t="shared" si="1"/>
        <v>288919</v>
      </c>
    </row>
    <row r="16" spans="1:12">
      <c r="A16" s="1" t="s">
        <v>1</v>
      </c>
      <c r="B16" s="28" t="s">
        <v>29</v>
      </c>
      <c r="C16" s="48">
        <v>0</v>
      </c>
      <c r="D16" s="29">
        <v>86700</v>
      </c>
      <c r="E16" s="30">
        <f t="shared" si="3"/>
        <v>86700</v>
      </c>
      <c r="F16" s="47">
        <v>0</v>
      </c>
      <c r="G16" s="48">
        <v>0</v>
      </c>
      <c r="H16" s="48">
        <v>0</v>
      </c>
      <c r="I16" s="48">
        <v>0</v>
      </c>
      <c r="J16" s="63">
        <v>0</v>
      </c>
      <c r="K16" s="30">
        <f t="shared" si="4"/>
        <v>0</v>
      </c>
      <c r="L16" s="30">
        <f t="shared" si="1"/>
        <v>86700</v>
      </c>
    </row>
    <row r="17" spans="1:12">
      <c r="A17" s="1" t="s">
        <v>1</v>
      </c>
      <c r="B17" s="28" t="s">
        <v>30</v>
      </c>
      <c r="C17" s="48">
        <v>0</v>
      </c>
      <c r="D17" s="29">
        <v>0</v>
      </c>
      <c r="E17" s="30">
        <f t="shared" si="3"/>
        <v>0</v>
      </c>
      <c r="F17" s="47">
        <v>23400</v>
      </c>
      <c r="G17" s="48">
        <v>22200</v>
      </c>
      <c r="H17" s="48">
        <v>22000</v>
      </c>
      <c r="I17" s="48">
        <v>24800</v>
      </c>
      <c r="J17" s="63">
        <v>0</v>
      </c>
      <c r="K17" s="30">
        <f t="shared" si="4"/>
        <v>92400</v>
      </c>
      <c r="L17" s="30">
        <f t="shared" si="1"/>
        <v>92400</v>
      </c>
    </row>
    <row r="18" spans="1:12">
      <c r="A18" s="1" t="s">
        <v>1</v>
      </c>
      <c r="B18" s="28" t="s">
        <v>31</v>
      </c>
      <c r="C18" s="48">
        <v>0</v>
      </c>
      <c r="D18" s="29">
        <v>0</v>
      </c>
      <c r="E18" s="30">
        <f t="shared" si="3"/>
        <v>0</v>
      </c>
      <c r="F18" s="47">
        <v>3500</v>
      </c>
      <c r="G18" s="48">
        <v>3500</v>
      </c>
      <c r="H18" s="48">
        <v>3500</v>
      </c>
      <c r="I18" s="48">
        <v>1000</v>
      </c>
      <c r="J18" s="63">
        <v>0</v>
      </c>
      <c r="K18" s="30">
        <f t="shared" si="4"/>
        <v>11500</v>
      </c>
      <c r="L18" s="30">
        <f t="shared" si="1"/>
        <v>11500</v>
      </c>
    </row>
    <row r="19" spans="1:12">
      <c r="A19" s="1" t="s">
        <v>1</v>
      </c>
      <c r="B19" s="28" t="s">
        <v>22</v>
      </c>
      <c r="C19" s="48">
        <v>0</v>
      </c>
      <c r="D19" s="29">
        <v>0</v>
      </c>
      <c r="E19" s="30">
        <f t="shared" si="3"/>
        <v>0</v>
      </c>
      <c r="F19" s="47">
        <v>41188</v>
      </c>
      <c r="G19" s="48">
        <v>45632</v>
      </c>
      <c r="H19" s="48">
        <v>34416</v>
      </c>
      <c r="I19" s="48">
        <v>24320</v>
      </c>
      <c r="J19" s="63">
        <v>36400</v>
      </c>
      <c r="K19" s="30">
        <f t="shared" si="4"/>
        <v>181956</v>
      </c>
      <c r="L19" s="30">
        <f t="shared" si="1"/>
        <v>181956</v>
      </c>
    </row>
    <row r="20" spans="1:12">
      <c r="A20" s="1" t="s">
        <v>1</v>
      </c>
      <c r="B20" s="28" t="s">
        <v>32</v>
      </c>
      <c r="C20" s="48">
        <v>0</v>
      </c>
      <c r="D20" s="29">
        <v>0</v>
      </c>
      <c r="E20" s="30">
        <f t="shared" si="3"/>
        <v>0</v>
      </c>
      <c r="F20" s="47">
        <v>0</v>
      </c>
      <c r="G20" s="48">
        <v>12320</v>
      </c>
      <c r="H20" s="48">
        <v>34056</v>
      </c>
      <c r="I20" s="48">
        <v>0</v>
      </c>
      <c r="J20" s="63">
        <v>21168</v>
      </c>
      <c r="K20" s="30">
        <f t="shared" si="4"/>
        <v>67544</v>
      </c>
      <c r="L20" s="30">
        <f t="shared" si="1"/>
        <v>67544</v>
      </c>
    </row>
    <row r="21" spans="1:12">
      <c r="A21" s="1" t="s">
        <v>1</v>
      </c>
      <c r="B21" s="5" t="s">
        <v>24</v>
      </c>
      <c r="C21" s="50">
        <v>0</v>
      </c>
      <c r="D21" s="8">
        <v>0</v>
      </c>
      <c r="E21" s="9">
        <f t="shared" si="3"/>
        <v>0</v>
      </c>
      <c r="F21" s="49">
        <v>3528</v>
      </c>
      <c r="G21" s="50">
        <v>3420</v>
      </c>
      <c r="H21" s="50">
        <v>861</v>
      </c>
      <c r="I21" s="50">
        <v>768</v>
      </c>
      <c r="J21" s="64">
        <v>840</v>
      </c>
      <c r="K21" s="9">
        <f t="shared" si="4"/>
        <v>9417</v>
      </c>
      <c r="L21" s="9">
        <f t="shared" si="1"/>
        <v>9417</v>
      </c>
    </row>
    <row r="22" spans="1:12">
      <c r="A22" s="1" t="s">
        <v>1</v>
      </c>
      <c r="B22" s="14" t="s">
        <v>33</v>
      </c>
      <c r="C22" s="52">
        <v>365000</v>
      </c>
      <c r="D22" s="23">
        <v>86700</v>
      </c>
      <c r="E22" s="24">
        <f t="shared" si="3"/>
        <v>451700</v>
      </c>
      <c r="F22" s="51">
        <v>327573</v>
      </c>
      <c r="G22" s="52">
        <v>329399</v>
      </c>
      <c r="H22" s="52">
        <v>353388</v>
      </c>
      <c r="I22" s="52">
        <v>273368</v>
      </c>
      <c r="J22" s="65">
        <v>293008</v>
      </c>
      <c r="K22" s="24">
        <f t="shared" si="4"/>
        <v>1576736</v>
      </c>
      <c r="L22" s="24">
        <f t="shared" si="1"/>
        <v>2028436</v>
      </c>
    </row>
    <row r="23" spans="1:12">
      <c r="A23" s="1" t="s">
        <v>1</v>
      </c>
      <c r="B23" s="25" t="s">
        <v>34</v>
      </c>
      <c r="C23" s="46">
        <v>5004</v>
      </c>
      <c r="D23" s="26">
        <v>3102</v>
      </c>
      <c r="E23" s="27">
        <f t="shared" si="3"/>
        <v>8106</v>
      </c>
      <c r="F23" s="45">
        <v>1642</v>
      </c>
      <c r="G23" s="46">
        <v>5161</v>
      </c>
      <c r="H23" s="46">
        <v>10634</v>
      </c>
      <c r="I23" s="46">
        <v>6881</v>
      </c>
      <c r="J23" s="62">
        <v>10008</v>
      </c>
      <c r="K23" s="27">
        <f t="shared" si="4"/>
        <v>34326</v>
      </c>
      <c r="L23" s="27">
        <f t="shared" si="1"/>
        <v>42432</v>
      </c>
    </row>
    <row r="24" spans="1:12">
      <c r="A24" s="1" t="s">
        <v>1</v>
      </c>
      <c r="B24" s="5" t="s">
        <v>35</v>
      </c>
      <c r="C24" s="50">
        <v>5004</v>
      </c>
      <c r="D24" s="8">
        <v>3102</v>
      </c>
      <c r="E24" s="9">
        <f t="shared" si="3"/>
        <v>8106</v>
      </c>
      <c r="F24" s="49">
        <v>1642</v>
      </c>
      <c r="G24" s="50">
        <v>5161</v>
      </c>
      <c r="H24" s="50">
        <v>10634</v>
      </c>
      <c r="I24" s="50">
        <v>6881</v>
      </c>
      <c r="J24" s="64">
        <v>10008</v>
      </c>
      <c r="K24" s="9">
        <f t="shared" si="4"/>
        <v>34326</v>
      </c>
      <c r="L24" s="9">
        <f t="shared" si="1"/>
        <v>42432</v>
      </c>
    </row>
    <row r="25" spans="1:12">
      <c r="A25" s="1" t="s">
        <v>1</v>
      </c>
      <c r="B25" s="14" t="s">
        <v>36</v>
      </c>
      <c r="C25" s="52">
        <v>370004</v>
      </c>
      <c r="D25" s="23">
        <v>89802</v>
      </c>
      <c r="E25" s="24">
        <f t="shared" si="3"/>
        <v>459806</v>
      </c>
      <c r="F25" s="51">
        <v>329215</v>
      </c>
      <c r="G25" s="52">
        <v>334560</v>
      </c>
      <c r="H25" s="52">
        <v>364022</v>
      </c>
      <c r="I25" s="52">
        <v>280249</v>
      </c>
      <c r="J25" s="65">
        <v>303016</v>
      </c>
      <c r="K25" s="24">
        <f t="shared" si="4"/>
        <v>1611062</v>
      </c>
      <c r="L25" s="24">
        <f t="shared" si="1"/>
        <v>2070868</v>
      </c>
    </row>
    <row r="26" spans="1:12">
      <c r="A26" s="1" t="s">
        <v>1</v>
      </c>
      <c r="B26" s="25" t="s">
        <v>37</v>
      </c>
      <c r="C26" s="46">
        <v>19380</v>
      </c>
      <c r="D26" s="26">
        <v>0</v>
      </c>
      <c r="E26" s="27">
        <f t="shared" si="3"/>
        <v>19380</v>
      </c>
      <c r="F26" s="45">
        <v>17340</v>
      </c>
      <c r="G26" s="46">
        <v>17340</v>
      </c>
      <c r="H26" s="46">
        <v>17340</v>
      </c>
      <c r="I26" s="46">
        <v>14280</v>
      </c>
      <c r="J26" s="62">
        <v>14280</v>
      </c>
      <c r="K26" s="27">
        <f t="shared" si="4"/>
        <v>80580</v>
      </c>
      <c r="L26" s="27">
        <f t="shared" si="1"/>
        <v>99960</v>
      </c>
    </row>
    <row r="27" spans="1:12">
      <c r="A27" s="1" t="s">
        <v>1</v>
      </c>
      <c r="B27" s="28" t="s">
        <v>38</v>
      </c>
      <c r="C27" s="48">
        <v>3420</v>
      </c>
      <c r="D27" s="29">
        <v>0</v>
      </c>
      <c r="E27" s="30">
        <f t="shared" si="3"/>
        <v>3420</v>
      </c>
      <c r="F27" s="47">
        <v>0</v>
      </c>
      <c r="G27" s="48">
        <v>3060</v>
      </c>
      <c r="H27" s="48">
        <v>3060</v>
      </c>
      <c r="I27" s="48">
        <v>2520</v>
      </c>
      <c r="J27" s="63">
        <v>2520</v>
      </c>
      <c r="K27" s="30">
        <f t="shared" si="4"/>
        <v>11160</v>
      </c>
      <c r="L27" s="30">
        <f t="shared" si="1"/>
        <v>14580</v>
      </c>
    </row>
    <row r="28" spans="1:12">
      <c r="A28" s="1" t="s">
        <v>1</v>
      </c>
      <c r="B28" s="28" t="s">
        <v>39</v>
      </c>
      <c r="C28" s="48">
        <v>34770</v>
      </c>
      <c r="D28" s="29">
        <v>0</v>
      </c>
      <c r="E28" s="30">
        <f t="shared" si="3"/>
        <v>34770</v>
      </c>
      <c r="F28" s="47">
        <v>31110</v>
      </c>
      <c r="G28" s="48">
        <v>31110</v>
      </c>
      <c r="H28" s="48">
        <v>31110</v>
      </c>
      <c r="I28" s="48">
        <v>25620</v>
      </c>
      <c r="J28" s="63">
        <v>25620</v>
      </c>
      <c r="K28" s="30">
        <f t="shared" si="4"/>
        <v>144570</v>
      </c>
      <c r="L28" s="30">
        <f t="shared" si="1"/>
        <v>179340</v>
      </c>
    </row>
    <row r="29" spans="1:12">
      <c r="A29" s="1" t="s">
        <v>1</v>
      </c>
      <c r="B29" s="5" t="s">
        <v>40</v>
      </c>
      <c r="C29" s="50">
        <v>2220</v>
      </c>
      <c r="D29" s="8">
        <v>539</v>
      </c>
      <c r="E29" s="9">
        <f t="shared" si="3"/>
        <v>2759</v>
      </c>
      <c r="F29" s="49">
        <v>1975</v>
      </c>
      <c r="G29" s="50">
        <v>2007</v>
      </c>
      <c r="H29" s="50">
        <v>2184</v>
      </c>
      <c r="I29" s="50">
        <v>1681</v>
      </c>
      <c r="J29" s="64">
        <v>1818</v>
      </c>
      <c r="K29" s="9">
        <f t="shared" si="4"/>
        <v>9665</v>
      </c>
      <c r="L29" s="9">
        <f t="shared" si="1"/>
        <v>12424</v>
      </c>
    </row>
    <row r="30" spans="1:12">
      <c r="A30" s="1" t="s">
        <v>1</v>
      </c>
      <c r="B30" s="14" t="s">
        <v>41</v>
      </c>
      <c r="C30" s="52">
        <v>59790</v>
      </c>
      <c r="D30" s="23">
        <v>539</v>
      </c>
      <c r="E30" s="24">
        <f t="shared" si="3"/>
        <v>60329</v>
      </c>
      <c r="F30" s="51">
        <v>50425</v>
      </c>
      <c r="G30" s="52">
        <v>53517</v>
      </c>
      <c r="H30" s="52">
        <v>53694</v>
      </c>
      <c r="I30" s="52">
        <v>44101</v>
      </c>
      <c r="J30" s="65">
        <v>44238</v>
      </c>
      <c r="K30" s="24">
        <f t="shared" si="4"/>
        <v>245975</v>
      </c>
      <c r="L30" s="24">
        <f t="shared" si="1"/>
        <v>306304</v>
      </c>
    </row>
    <row r="31" spans="1:12">
      <c r="A31" s="1" t="s">
        <v>1</v>
      </c>
      <c r="B31" s="25" t="s">
        <v>42</v>
      </c>
      <c r="C31" s="46">
        <v>8810</v>
      </c>
      <c r="D31" s="26">
        <v>20</v>
      </c>
      <c r="E31" s="27">
        <f t="shared" si="3"/>
        <v>8830</v>
      </c>
      <c r="F31" s="45">
        <v>7520</v>
      </c>
      <c r="G31" s="46">
        <v>5860</v>
      </c>
      <c r="H31" s="46">
        <v>8360</v>
      </c>
      <c r="I31" s="46">
        <v>5810</v>
      </c>
      <c r="J31" s="62">
        <v>3270</v>
      </c>
      <c r="K31" s="27">
        <f t="shared" si="4"/>
        <v>30820</v>
      </c>
      <c r="L31" s="27">
        <f t="shared" si="1"/>
        <v>39650</v>
      </c>
    </row>
    <row r="32" spans="1:12">
      <c r="A32" s="1" t="s">
        <v>1</v>
      </c>
      <c r="B32" s="28" t="s">
        <v>43</v>
      </c>
      <c r="C32" s="48">
        <v>20000</v>
      </c>
      <c r="D32" s="29">
        <v>500</v>
      </c>
      <c r="E32" s="30">
        <f t="shared" si="3"/>
        <v>20500</v>
      </c>
      <c r="F32" s="47">
        <v>11800</v>
      </c>
      <c r="G32" s="48">
        <v>10200</v>
      </c>
      <c r="H32" s="48">
        <v>3500</v>
      </c>
      <c r="I32" s="48">
        <v>11900</v>
      </c>
      <c r="J32" s="63">
        <v>0</v>
      </c>
      <c r="K32" s="30">
        <f t="shared" si="4"/>
        <v>37400</v>
      </c>
      <c r="L32" s="30">
        <f t="shared" si="1"/>
        <v>57900</v>
      </c>
    </row>
    <row r="33" spans="1:12">
      <c r="A33" s="1" t="s">
        <v>1</v>
      </c>
      <c r="B33" s="5" t="s">
        <v>44</v>
      </c>
      <c r="C33" s="50">
        <v>0</v>
      </c>
      <c r="D33" s="8">
        <v>0</v>
      </c>
      <c r="E33" s="9">
        <f t="shared" si="3"/>
        <v>0</v>
      </c>
      <c r="F33" s="49">
        <v>23400</v>
      </c>
      <c r="G33" s="50">
        <v>22200</v>
      </c>
      <c r="H33" s="50">
        <v>22000</v>
      </c>
      <c r="I33" s="50">
        <v>24800</v>
      </c>
      <c r="J33" s="64">
        <v>0</v>
      </c>
      <c r="K33" s="9">
        <f t="shared" si="4"/>
        <v>92400</v>
      </c>
      <c r="L33" s="9">
        <f t="shared" si="1"/>
        <v>92400</v>
      </c>
    </row>
    <row r="34" spans="1:12">
      <c r="A34" s="1" t="s">
        <v>1</v>
      </c>
      <c r="B34" s="14" t="s">
        <v>45</v>
      </c>
      <c r="C34" s="52">
        <v>88600</v>
      </c>
      <c r="D34" s="23">
        <v>1059</v>
      </c>
      <c r="E34" s="24">
        <f t="shared" si="3"/>
        <v>89659</v>
      </c>
      <c r="F34" s="51">
        <v>93145</v>
      </c>
      <c r="G34" s="52">
        <v>91777</v>
      </c>
      <c r="H34" s="52">
        <v>87554</v>
      </c>
      <c r="I34" s="52">
        <v>86611</v>
      </c>
      <c r="J34" s="65">
        <v>47508</v>
      </c>
      <c r="K34" s="24">
        <f t="shared" si="4"/>
        <v>406595</v>
      </c>
      <c r="L34" s="24">
        <f t="shared" si="1"/>
        <v>496254</v>
      </c>
    </row>
    <row r="35" spans="1:12">
      <c r="A35" s="1" t="s">
        <v>1</v>
      </c>
      <c r="B35" s="14" t="s">
        <v>46</v>
      </c>
      <c r="C35" s="52">
        <v>305210</v>
      </c>
      <c r="D35" s="23">
        <v>86161</v>
      </c>
      <c r="E35" s="24">
        <f t="shared" si="3"/>
        <v>391371</v>
      </c>
      <c r="F35" s="51">
        <v>277148</v>
      </c>
      <c r="G35" s="52">
        <v>275882</v>
      </c>
      <c r="H35" s="52">
        <v>299694</v>
      </c>
      <c r="I35" s="52">
        <v>229267</v>
      </c>
      <c r="J35" s="65">
        <v>248770</v>
      </c>
      <c r="K35" s="24">
        <f t="shared" si="4"/>
        <v>1330761</v>
      </c>
      <c r="L35" s="24">
        <f t="shared" si="1"/>
        <v>1722132</v>
      </c>
    </row>
    <row r="36" spans="1:12">
      <c r="A36" s="1" t="s">
        <v>1</v>
      </c>
      <c r="B36" s="14" t="s">
        <v>47</v>
      </c>
      <c r="C36" s="52">
        <v>281404</v>
      </c>
      <c r="D36" s="23">
        <v>88743</v>
      </c>
      <c r="E36" s="24">
        <f t="shared" si="3"/>
        <v>370147</v>
      </c>
      <c r="F36" s="51">
        <v>236070</v>
      </c>
      <c r="G36" s="52">
        <v>242783</v>
      </c>
      <c r="H36" s="52">
        <v>276468</v>
      </c>
      <c r="I36" s="52">
        <v>193638</v>
      </c>
      <c r="J36" s="65">
        <v>255508</v>
      </c>
      <c r="K36" s="24">
        <f t="shared" si="4"/>
        <v>1204467</v>
      </c>
      <c r="L36" s="24">
        <f t="shared" si="1"/>
        <v>1574614</v>
      </c>
    </row>
    <row r="37" spans="1:12">
      <c r="A37" s="1" t="s">
        <v>1</v>
      </c>
      <c r="B37" s="14" t="s">
        <v>48</v>
      </c>
      <c r="C37" s="52">
        <v>281404</v>
      </c>
      <c r="D37" s="23">
        <v>88743</v>
      </c>
      <c r="E37" s="24">
        <f t="shared" si="3"/>
        <v>370147</v>
      </c>
      <c r="F37" s="51">
        <v>236070</v>
      </c>
      <c r="G37" s="52">
        <v>242783</v>
      </c>
      <c r="H37" s="52">
        <v>276468</v>
      </c>
      <c r="I37" s="52">
        <v>193638</v>
      </c>
      <c r="J37" s="65">
        <v>255508</v>
      </c>
      <c r="K37" s="24">
        <f t="shared" si="4"/>
        <v>1204467</v>
      </c>
      <c r="L37" s="24">
        <f t="shared" si="1"/>
        <v>1574614</v>
      </c>
    </row>
    <row r="38" spans="1:12">
      <c r="A38" s="1" t="s">
        <v>1</v>
      </c>
      <c r="B38" s="14" t="s">
        <v>49</v>
      </c>
      <c r="C38" s="52">
        <v>0</v>
      </c>
      <c r="D38" s="23">
        <v>0</v>
      </c>
      <c r="E38" s="24"/>
      <c r="F38" s="51">
        <v>0</v>
      </c>
      <c r="G38" s="52">
        <v>1</v>
      </c>
      <c r="H38" s="52">
        <v>0</v>
      </c>
      <c r="I38" s="52">
        <v>0</v>
      </c>
      <c r="J38" s="65">
        <v>2</v>
      </c>
      <c r="K38" s="24"/>
      <c r="L38" s="24"/>
    </row>
    <row r="39" spans="1:12" ht="19.5" thickBot="1">
      <c r="A39" s="1" t="s">
        <v>1</v>
      </c>
      <c r="B39" s="10" t="s">
        <v>50</v>
      </c>
      <c r="C39" s="54" t="s">
        <v>51</v>
      </c>
      <c r="D39" s="11" t="s">
        <v>51</v>
      </c>
      <c r="E39" s="12"/>
      <c r="F39" s="53" t="s">
        <v>51</v>
      </c>
      <c r="G39" s="54" t="s">
        <v>51</v>
      </c>
      <c r="H39" s="54" t="s">
        <v>51</v>
      </c>
      <c r="I39" s="54" t="s">
        <v>51</v>
      </c>
      <c r="J39" s="66" t="s">
        <v>51</v>
      </c>
      <c r="K39" s="12"/>
      <c r="L39" s="12"/>
    </row>
  </sheetData>
  <phoneticPr fontId="4"/>
  <pageMargins left="0.11811023622047245" right="0.11811023622047245" top="0.15748031496062992" bottom="0.15748031496062992" header="0.11811023622047245" footer="0.11811023622047245"/>
  <pageSetup paperSize="12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 4月度給与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2024-05-07T04:38:27Z</cp:lastPrinted>
  <dcterms:created xsi:type="dcterms:W3CDTF">2024-05-07T04:10:48Z</dcterms:created>
  <dcterms:modified xsi:type="dcterms:W3CDTF">2024-05-11T04:13:14Z</dcterms:modified>
</cp:coreProperties>
</file>