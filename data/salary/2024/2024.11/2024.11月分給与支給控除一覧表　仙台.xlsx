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A016E545-63A7-43C5-9FF5-AAAB7644301B}" xr6:coauthVersionLast="47" xr6:coauthVersionMax="47" xr10:uidLastSave="{00000000-0000-0000-0000-000000000000}"/>
  <bookViews>
    <workbookView xWindow="-120" yWindow="-120" windowWidth="20730" windowHeight="11040" xr2:uid="{1D77CF61-05E9-483A-9692-C25743C64D2C}"/>
  </bookViews>
  <sheets>
    <sheet name="2024年11月度給与 (2)" sheetId="3" r:id="rId1"/>
  </sheets>
  <definedNames>
    <definedName name="_xlnm.Print_Area" localSheetId="0">'2024年11月度給与 (2)'!$A$1:$N$49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18" i="3"/>
  <c r="N19" i="3"/>
  <c r="N20" i="3"/>
  <c r="N21" i="3"/>
  <c r="N22" i="3"/>
  <c r="N30" i="3"/>
  <c r="N31" i="3"/>
  <c r="N32" i="3"/>
  <c r="N33" i="3"/>
  <c r="N34" i="3"/>
  <c r="N42" i="3"/>
  <c r="N43" i="3"/>
  <c r="N44" i="3"/>
  <c r="N47" i="3"/>
  <c r="N48" i="3"/>
  <c r="M6" i="3"/>
  <c r="M7" i="3"/>
  <c r="M8" i="3"/>
  <c r="M9" i="3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8" i="3"/>
  <c r="M19" i="3"/>
  <c r="M20" i="3"/>
  <c r="M21" i="3"/>
  <c r="M22" i="3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M31" i="3"/>
  <c r="M32" i="3"/>
  <c r="M33" i="3"/>
  <c r="M34" i="3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M43" i="3"/>
  <c r="M44" i="3"/>
  <c r="M47" i="3"/>
  <c r="M48" i="3"/>
  <c r="M5" i="3"/>
  <c r="N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7" i="3"/>
  <c r="F48" i="3"/>
  <c r="F5" i="3"/>
</calcChain>
</file>

<file path=xl/sharedStrings.xml><?xml version="1.0" encoding="utf-8"?>
<sst xmlns="http://schemas.openxmlformats.org/spreadsheetml/2006/main" count="126" uniqueCount="70">
  <si>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</si>
  <si>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</si>
  <si>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</si>
  <si>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</si>
  <si>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</si>
  <si>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</si>
  <si>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</si>
  <si>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</si>
  <si>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</si>
  <si>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</si>
  <si>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</si>
  <si>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</si>
  <si>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</si>
  <si>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</si>
  <si>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</si>
  <si>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</si>
  <si>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禎尚</t>
    <phoneticPr fontId="4"/>
  </si>
  <si>
    <t>土谷　栄</t>
    <phoneticPr fontId="4"/>
  </si>
  <si>
    <t>白井　博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</si>
  <si>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</si>
  <si>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</si>
  <si>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</si>
  <si>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</si>
  <si>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</si>
  <si>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</si>
  <si>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</si>
  <si>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</si>
  <si>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</si>
  <si>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</si>
  <si>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</si>
  <si>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</si>
  <si>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</si>
  <si>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</si>
  <si>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</si>
  <si>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</si>
  <si>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</si>
  <si>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</si>
  <si>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</si>
  <si>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</si>
  <si>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</si>
  <si>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</si>
  <si>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</si>
  <si>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</si>
  <si>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</si>
  <si>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</si>
  <si>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</si>
  <si>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</si>
  <si>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</si>
  <si>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</si>
  <si>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</si>
  <si>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</si>
  <si>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</si>
  <si>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</si>
  <si>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</si>
  <si>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</si>
  <si>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</si>
  <si>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</si>
  <si>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</si>
  <si>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</si>
  <si>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</si>
  <si>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</si>
  <si>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</si>
  <si>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2024年11月度給与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</si>
  <si>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</si>
  <si>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</si>
  <si>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</si>
  <si>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</si>
  <si>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</si>
  <si>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合計</t>
    <phoneticPr fontId="3"/>
  </si>
  <si>
    <t>９名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</si>
</sst>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5" xfId="1" applyNumberFormat="1" applyFont="1" applyBorder="1"/>
    <xf numFmtId="49" fontId="2" fillId="0" borderId="4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2" fontId="2" fillId="0" borderId="8" xfId="1" applyNumberFormat="1" applyFont="1" applyBorder="1"/>
    <xf numFmtId="176" fontId="2" fillId="0" borderId="9" xfId="1" applyNumberFormat="1" applyFont="1" applyBorder="1"/>
    <xf numFmtId="176" fontId="2" fillId="0" borderId="8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2" xfId="1" applyNumberFormat="1" applyFont="1" applyBorder="1"/>
    <xf numFmtId="3" fontId="2" fillId="0" borderId="28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right"/>
    </xf>
    <xf numFmtId="49" fontId="2" fillId="0" borderId="34" xfId="1" applyNumberFormat="1" applyFont="1" applyBorder="1" applyAlignment="1">
      <alignment horizontal="center"/>
    </xf>
  </cellXfs>
  <cellStyles count="2">
    <cellStyle name="標準" xfId="0" builtinId="0"/>
    <cellStyle name="標準 2" xfId="1" xr:uid="{E3CF138C-2C1C-489B-B265-04AD4B131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1E5A-E447-4ED4-866D-5ED45CFB18EB}">
  <sheetPr>
    <pageSetUpPr fitToPage="1"/>
  </sheetPr>
  <dimension ref="A1:N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1.8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8" width="9" style="2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4" width="9" style="2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0" width="9" style="2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6" width="9" style="2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2" width="9" style="2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8" width="9" style="2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4" width="9" style="2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0" width="9" style="2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6" width="9" style="2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2" width="9" style="2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8" width="9" style="2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4" width="9" style="2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0" width="9" style="2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6" width="9" style="2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2" width="9" style="2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8" width="9" style="2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4" width="9" style="2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0" width="9" style="2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6" width="9" style="2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2" width="9" style="2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8" width="9" style="2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4" width="9" style="2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0" width="9" style="2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6" width="9" style="2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2" width="9" style="2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8" width="9" style="2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4" width="9" style="2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0" width="9" style="2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6" width="9" style="2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2" width="9" style="2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8" width="9" style="2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4" width="9" style="2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0" width="9" style="2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6" width="9" style="2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2" width="9" style="2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8" width="9" style="2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4" width="9" style="2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0" width="9" style="2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6" width="9" style="2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2" width="9" style="2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8" width="9" style="2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4" width="9" style="2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0" width="9" style="2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6" width="9" style="2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2" width="9" style="2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8" width="9" style="2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4" width="9" style="2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0" width="9" style="2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6" width="9" style="2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2" width="9" style="2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8" width="9" style="2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4" width="9" style="2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0" width="9" style="2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6" width="9" style="2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2" width="9" style="2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8" width="9" style="2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4" width="9" style="2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0" width="9" style="2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6" width="9" style="2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2" width="9" style="2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8" width="9" style="2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4" width="9" style="2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62</v>
      </c>
    </row>
    <row r="3" spans="1:14">
      <c r="B3" s="33"/>
      <c r="C3" s="35" t="s">
        <v>5</v>
      </c>
      <c r="D3" s="35" t="s">
        <v>7</v>
      </c>
      <c r="E3" s="60" t="s">
        <v>6</v>
      </c>
      <c r="F3" s="73" t="s">
        <v>65</v>
      </c>
      <c r="G3" s="34" t="s">
        <v>2</v>
      </c>
      <c r="H3" s="35" t="s">
        <v>3</v>
      </c>
      <c r="I3" s="35" t="s">
        <v>4</v>
      </c>
      <c r="J3" s="35" t="s">
        <v>8</v>
      </c>
      <c r="K3" s="35" t="s">
        <v>9</v>
      </c>
      <c r="L3" s="75" t="s">
        <v>10</v>
      </c>
      <c r="M3" s="73" t="s">
        <v>65</v>
      </c>
      <c r="N3" s="73" t="s">
        <v>68</v>
      </c>
    </row>
    <row r="4" spans="1:14" ht="19.5" thickBot="1">
      <c r="B4" s="4" t="s">
        <v>11</v>
      </c>
      <c r="C4" s="37" t="s">
        <v>15</v>
      </c>
      <c r="D4" s="37" t="s">
        <v>16</v>
      </c>
      <c r="E4" s="61" t="s">
        <v>63</v>
      </c>
      <c r="F4" s="74" t="s">
        <v>66</v>
      </c>
      <c r="G4" s="36" t="s">
        <v>12</v>
      </c>
      <c r="H4" s="37" t="s">
        <v>13</v>
      </c>
      <c r="I4" s="37" t="s">
        <v>14</v>
      </c>
      <c r="J4" s="37" t="s">
        <v>17</v>
      </c>
      <c r="K4" s="37" t="s">
        <v>64</v>
      </c>
      <c r="L4" s="3" t="s">
        <v>18</v>
      </c>
      <c r="M4" s="74" t="s">
        <v>67</v>
      </c>
      <c r="N4" s="74" t="s">
        <v>69</v>
      </c>
    </row>
    <row r="5" spans="1:14">
      <c r="A5" s="1" t="s">
        <v>1</v>
      </c>
      <c r="B5" s="26" t="s">
        <v>19</v>
      </c>
      <c r="C5" s="39">
        <v>19</v>
      </c>
      <c r="D5" s="39">
        <v>19</v>
      </c>
      <c r="E5" s="62">
        <v>19</v>
      </c>
      <c r="F5" s="28">
        <f>SUM(C5:E5)</f>
        <v>57</v>
      </c>
      <c r="G5" s="38">
        <v>17</v>
      </c>
      <c r="H5" s="39">
        <v>14</v>
      </c>
      <c r="I5" s="39">
        <v>15</v>
      </c>
      <c r="J5" s="39">
        <v>20</v>
      </c>
      <c r="K5" s="39">
        <v>19</v>
      </c>
      <c r="L5" s="27">
        <v>18</v>
      </c>
      <c r="M5" s="28">
        <f>SUM(G5:L5)</f>
        <v>103</v>
      </c>
      <c r="N5" s="28">
        <f>SUM(M5,F5)</f>
        <v>160</v>
      </c>
    </row>
    <row r="6" spans="1:14">
      <c r="A6" s="1" t="s">
        <v>1</v>
      </c>
      <c r="B6" s="23" t="s">
        <v>20</v>
      </c>
      <c r="C6" s="41">
        <v>0</v>
      </c>
      <c r="D6" s="41">
        <v>0</v>
      </c>
      <c r="E6" s="63">
        <v>4</v>
      </c>
      <c r="F6" s="30">
        <f t="shared" ref="F6:F48" si="0">SUM(C6:E6)</f>
        <v>4</v>
      </c>
      <c r="G6" s="40">
        <v>4</v>
      </c>
      <c r="H6" s="41">
        <v>4</v>
      </c>
      <c r="I6" s="41">
        <v>3</v>
      </c>
      <c r="J6" s="41">
        <v>2</v>
      </c>
      <c r="K6" s="41">
        <v>4</v>
      </c>
      <c r="L6" s="29">
        <v>1</v>
      </c>
      <c r="M6" s="30">
        <f t="shared" ref="M6:M48" si="1">SUM(G6:L6)</f>
        <v>18</v>
      </c>
      <c r="N6" s="30">
        <f t="shared" ref="N6:N48" si="2">SUM(M6,F6)</f>
        <v>22</v>
      </c>
    </row>
    <row r="7" spans="1:14">
      <c r="A7" s="1" t="s">
        <v>1</v>
      </c>
      <c r="B7" s="23" t="s">
        <v>21</v>
      </c>
      <c r="C7" s="41">
        <v>0</v>
      </c>
      <c r="D7" s="41">
        <v>0</v>
      </c>
      <c r="E7" s="63">
        <v>0</v>
      </c>
      <c r="F7" s="30">
        <f t="shared" si="0"/>
        <v>0</v>
      </c>
      <c r="G7" s="40">
        <v>2</v>
      </c>
      <c r="H7" s="41">
        <v>3</v>
      </c>
      <c r="I7" s="41">
        <v>5</v>
      </c>
      <c r="J7" s="41">
        <v>3</v>
      </c>
      <c r="K7" s="41">
        <v>1</v>
      </c>
      <c r="L7" s="29">
        <v>3</v>
      </c>
      <c r="M7" s="30">
        <f t="shared" si="1"/>
        <v>17</v>
      </c>
      <c r="N7" s="30">
        <f t="shared" si="2"/>
        <v>17</v>
      </c>
    </row>
    <row r="8" spans="1:14">
      <c r="A8" s="1" t="s">
        <v>1</v>
      </c>
      <c r="B8" s="23" t="s">
        <v>22</v>
      </c>
      <c r="C8" s="41">
        <v>0</v>
      </c>
      <c r="D8" s="41">
        <v>0</v>
      </c>
      <c r="E8" s="63">
        <v>0</v>
      </c>
      <c r="F8" s="30">
        <f t="shared" si="0"/>
        <v>0</v>
      </c>
      <c r="G8" s="40">
        <v>0</v>
      </c>
      <c r="H8" s="41">
        <v>4</v>
      </c>
      <c r="I8" s="41">
        <v>2</v>
      </c>
      <c r="J8" s="41">
        <v>0</v>
      </c>
      <c r="K8" s="41">
        <v>1</v>
      </c>
      <c r="L8" s="29">
        <v>2</v>
      </c>
      <c r="M8" s="30">
        <f t="shared" si="1"/>
        <v>9</v>
      </c>
      <c r="N8" s="30">
        <f t="shared" si="2"/>
        <v>9</v>
      </c>
    </row>
    <row r="9" spans="1:14">
      <c r="A9" s="1" t="s">
        <v>1</v>
      </c>
      <c r="B9" s="23" t="s">
        <v>23</v>
      </c>
      <c r="C9" s="41">
        <v>0</v>
      </c>
      <c r="D9" s="41">
        <v>0</v>
      </c>
      <c r="E9" s="63">
        <v>1.5</v>
      </c>
      <c r="F9" s="30">
        <f t="shared" si="0"/>
        <v>1.5</v>
      </c>
      <c r="G9" s="40">
        <v>3</v>
      </c>
      <c r="H9" s="41">
        <v>2</v>
      </c>
      <c r="I9" s="41">
        <v>3</v>
      </c>
      <c r="J9" s="41">
        <v>0</v>
      </c>
      <c r="K9" s="41">
        <v>0</v>
      </c>
      <c r="L9" s="29">
        <v>0</v>
      </c>
      <c r="M9" s="30">
        <f t="shared" si="1"/>
        <v>8</v>
      </c>
      <c r="N9" s="30">
        <f t="shared" si="2"/>
        <v>9.5</v>
      </c>
    </row>
    <row r="10" spans="1:14">
      <c r="A10" s="1" t="s">
        <v>1</v>
      </c>
      <c r="B10" s="23" t="s">
        <v>24</v>
      </c>
      <c r="C10" s="43">
        <v>0</v>
      </c>
      <c r="D10" s="43">
        <v>0</v>
      </c>
      <c r="E10" s="64">
        <v>8.3333333333333329E-2</v>
      </c>
      <c r="F10" s="32">
        <f t="shared" si="0"/>
        <v>8.3333333333333329E-2</v>
      </c>
      <c r="G10" s="42">
        <v>2.1666666666666665</v>
      </c>
      <c r="H10" s="43">
        <v>0.33333333333333331</v>
      </c>
      <c r="I10" s="43">
        <v>0.91666666666666663</v>
      </c>
      <c r="J10" s="43">
        <v>1.875</v>
      </c>
      <c r="K10" s="43">
        <v>2.4166666666666665</v>
      </c>
      <c r="L10" s="31">
        <v>1.0416666666666667</v>
      </c>
      <c r="M10" s="32">
        <f t="shared" si="1"/>
        <v>8.7499999999999982</v>
      </c>
      <c r="N10" s="32">
        <f t="shared" si="2"/>
        <v>8.8333333333333321</v>
      </c>
    </row>
    <row r="11" spans="1:14">
      <c r="A11" s="1" t="s">
        <v>1</v>
      </c>
      <c r="B11" s="23" t="s">
        <v>25</v>
      </c>
      <c r="C11" s="43">
        <v>0</v>
      </c>
      <c r="D11" s="43">
        <v>0</v>
      </c>
      <c r="E11" s="64">
        <v>1.0833333333333333</v>
      </c>
      <c r="F11" s="32">
        <f t="shared" si="0"/>
        <v>1.0833333333333333</v>
      </c>
      <c r="G11" s="42">
        <v>1.7083333333333335</v>
      </c>
      <c r="H11" s="43">
        <v>1.0416666666666667</v>
      </c>
      <c r="I11" s="43">
        <v>1.125</v>
      </c>
      <c r="J11" s="43">
        <v>0.75</v>
      </c>
      <c r="K11" s="43">
        <v>1.5833333333333335</v>
      </c>
      <c r="L11" s="31">
        <v>0.33333333333333331</v>
      </c>
      <c r="M11" s="32">
        <f t="shared" si="1"/>
        <v>6.541666666666667</v>
      </c>
      <c r="N11" s="32">
        <f t="shared" si="2"/>
        <v>7.625</v>
      </c>
    </row>
    <row r="12" spans="1:14">
      <c r="A12" s="1" t="s">
        <v>1</v>
      </c>
      <c r="B12" s="23" t="s">
        <v>26</v>
      </c>
      <c r="C12" s="43">
        <v>0</v>
      </c>
      <c r="D12" s="43">
        <v>0</v>
      </c>
      <c r="E12" s="64">
        <v>0</v>
      </c>
      <c r="F12" s="32">
        <f t="shared" si="0"/>
        <v>0</v>
      </c>
      <c r="G12" s="42">
        <v>0.79166666666666663</v>
      </c>
      <c r="H12" s="43">
        <v>0</v>
      </c>
      <c r="I12" s="43">
        <v>1.1666666666666667</v>
      </c>
      <c r="J12" s="43">
        <v>0.83333333333333337</v>
      </c>
      <c r="K12" s="43">
        <v>0</v>
      </c>
      <c r="L12" s="31">
        <v>0.29166666666666669</v>
      </c>
      <c r="M12" s="32">
        <f t="shared" si="1"/>
        <v>3.0833333333333335</v>
      </c>
      <c r="N12" s="32">
        <f t="shared" si="2"/>
        <v>3.0833333333333335</v>
      </c>
    </row>
    <row r="13" spans="1:14">
      <c r="A13" s="1" t="s">
        <v>1</v>
      </c>
      <c r="B13" s="23" t="s">
        <v>27</v>
      </c>
      <c r="C13" s="43">
        <v>0</v>
      </c>
      <c r="D13" s="43">
        <v>0</v>
      </c>
      <c r="E13" s="64">
        <v>0</v>
      </c>
      <c r="F13" s="32">
        <f t="shared" si="0"/>
        <v>0</v>
      </c>
      <c r="G13" s="42">
        <v>0</v>
      </c>
      <c r="H13" s="43">
        <v>0.33333333333333331</v>
      </c>
      <c r="I13" s="43">
        <v>0</v>
      </c>
      <c r="J13" s="43">
        <v>0</v>
      </c>
      <c r="K13" s="43">
        <v>0</v>
      </c>
      <c r="L13" s="31">
        <v>0</v>
      </c>
      <c r="M13" s="32">
        <f t="shared" si="1"/>
        <v>0.33333333333333331</v>
      </c>
      <c r="N13" s="32">
        <f t="shared" si="2"/>
        <v>0.33333333333333331</v>
      </c>
    </row>
    <row r="14" spans="1:14">
      <c r="A14" s="1" t="s">
        <v>1</v>
      </c>
      <c r="B14" s="23" t="s">
        <v>28</v>
      </c>
      <c r="C14" s="43">
        <v>0</v>
      </c>
      <c r="D14" s="43">
        <v>0</v>
      </c>
      <c r="E14" s="64">
        <v>0</v>
      </c>
      <c r="F14" s="32">
        <f t="shared" si="0"/>
        <v>0</v>
      </c>
      <c r="G14" s="42">
        <v>0</v>
      </c>
      <c r="H14" s="43">
        <v>1</v>
      </c>
      <c r="I14" s="43">
        <v>0.75</v>
      </c>
      <c r="J14" s="43">
        <v>0</v>
      </c>
      <c r="K14" s="43">
        <v>0.29166666666666669</v>
      </c>
      <c r="L14" s="31">
        <v>0.58333333333333337</v>
      </c>
      <c r="M14" s="32">
        <f t="shared" si="1"/>
        <v>2.625</v>
      </c>
      <c r="N14" s="32">
        <f t="shared" si="2"/>
        <v>2.625</v>
      </c>
    </row>
    <row r="15" spans="1:14">
      <c r="A15" s="1" t="s">
        <v>1</v>
      </c>
      <c r="B15" s="23" t="s">
        <v>29</v>
      </c>
      <c r="C15" s="43">
        <v>0</v>
      </c>
      <c r="D15" s="43">
        <v>0</v>
      </c>
      <c r="E15" s="64">
        <v>0.33333333333333331</v>
      </c>
      <c r="F15" s="32">
        <f t="shared" si="0"/>
        <v>0.33333333333333331</v>
      </c>
      <c r="G15" s="42">
        <v>0</v>
      </c>
      <c r="H15" s="43">
        <v>0</v>
      </c>
      <c r="I15" s="43">
        <v>0</v>
      </c>
      <c r="J15" s="43">
        <v>0</v>
      </c>
      <c r="K15" s="43">
        <v>0</v>
      </c>
      <c r="L15" s="31">
        <v>0</v>
      </c>
      <c r="M15" s="32">
        <f t="shared" si="1"/>
        <v>0</v>
      </c>
      <c r="N15" s="32">
        <f t="shared" si="2"/>
        <v>0.33333333333333331</v>
      </c>
    </row>
    <row r="16" spans="1:14">
      <c r="A16" s="1" t="s">
        <v>1</v>
      </c>
      <c r="B16" s="5" t="s">
        <v>30</v>
      </c>
      <c r="C16" s="45">
        <v>0.29166666666666669</v>
      </c>
      <c r="D16" s="45">
        <v>0</v>
      </c>
      <c r="E16" s="65">
        <v>0</v>
      </c>
      <c r="F16" s="7">
        <f t="shared" si="0"/>
        <v>0.29166666666666669</v>
      </c>
      <c r="G16" s="44">
        <v>1.4166666666666667</v>
      </c>
      <c r="H16" s="45">
        <v>2.8333333333333335</v>
      </c>
      <c r="I16" s="45">
        <v>2.9166666666666665</v>
      </c>
      <c r="J16" s="45">
        <v>0.75</v>
      </c>
      <c r="K16" s="45">
        <v>1.1666666666666667</v>
      </c>
      <c r="L16" s="6">
        <v>0.625</v>
      </c>
      <c r="M16" s="7">
        <f t="shared" si="1"/>
        <v>9.7083333333333321</v>
      </c>
      <c r="N16" s="7">
        <f t="shared" si="2"/>
        <v>9.9999999999999982</v>
      </c>
    </row>
    <row r="17" spans="1:14">
      <c r="A17" s="1" t="s">
        <v>1</v>
      </c>
      <c r="B17" s="13" t="s">
        <v>31</v>
      </c>
      <c r="C17" s="47">
        <v>36.5</v>
      </c>
      <c r="D17" s="47">
        <v>17.5</v>
      </c>
      <c r="E17" s="66">
        <v>22</v>
      </c>
      <c r="F17" s="15">
        <f t="shared" si="0"/>
        <v>76</v>
      </c>
      <c r="G17" s="46">
        <v>29</v>
      </c>
      <c r="H17" s="47">
        <v>23</v>
      </c>
      <c r="I17" s="47">
        <v>19</v>
      </c>
      <c r="J17" s="47">
        <v>12</v>
      </c>
      <c r="K17" s="47">
        <v>5</v>
      </c>
      <c r="L17" s="14">
        <v>7</v>
      </c>
      <c r="M17" s="15"/>
      <c r="N17" s="15"/>
    </row>
    <row r="18" spans="1:14">
      <c r="A18" s="1" t="s">
        <v>1</v>
      </c>
      <c r="B18" s="18" t="s">
        <v>32</v>
      </c>
      <c r="C18" s="49">
        <v>370000</v>
      </c>
      <c r="D18" s="49">
        <v>360000</v>
      </c>
      <c r="E18" s="67">
        <v>180000</v>
      </c>
      <c r="F18" s="20">
        <f t="shared" si="0"/>
        <v>910000</v>
      </c>
      <c r="G18" s="48">
        <v>187000</v>
      </c>
      <c r="H18" s="49">
        <v>187000</v>
      </c>
      <c r="I18" s="49">
        <v>182000</v>
      </c>
      <c r="J18" s="49">
        <v>182000</v>
      </c>
      <c r="K18" s="49">
        <v>182000</v>
      </c>
      <c r="L18" s="19">
        <v>175000</v>
      </c>
      <c r="M18" s="20">
        <f t="shared" si="1"/>
        <v>1095000</v>
      </c>
      <c r="N18" s="20">
        <f t="shared" si="2"/>
        <v>2005000</v>
      </c>
    </row>
    <row r="19" spans="1:14">
      <c r="A19" s="1" t="s">
        <v>1</v>
      </c>
      <c r="B19" s="23" t="s">
        <v>33</v>
      </c>
      <c r="C19" s="51">
        <v>0</v>
      </c>
      <c r="D19" s="51">
        <v>0</v>
      </c>
      <c r="E19" s="68">
        <v>0</v>
      </c>
      <c r="F19" s="25">
        <f t="shared" si="0"/>
        <v>0</v>
      </c>
      <c r="G19" s="50">
        <v>5000</v>
      </c>
      <c r="H19" s="51">
        <v>0</v>
      </c>
      <c r="I19" s="51">
        <v>0</v>
      </c>
      <c r="J19" s="51">
        <v>0</v>
      </c>
      <c r="K19" s="51">
        <v>0</v>
      </c>
      <c r="L19" s="24">
        <v>0</v>
      </c>
      <c r="M19" s="25">
        <f t="shared" si="1"/>
        <v>5000</v>
      </c>
      <c r="N19" s="25">
        <f t="shared" si="2"/>
        <v>5000</v>
      </c>
    </row>
    <row r="20" spans="1:14">
      <c r="A20" s="1" t="s">
        <v>1</v>
      </c>
      <c r="B20" s="23" t="s">
        <v>34</v>
      </c>
      <c r="C20" s="51">
        <v>0</v>
      </c>
      <c r="D20" s="51">
        <v>0</v>
      </c>
      <c r="E20" s="68">
        <v>6000</v>
      </c>
      <c r="F20" s="25">
        <f t="shared" si="0"/>
        <v>6000</v>
      </c>
      <c r="G20" s="50">
        <v>6000</v>
      </c>
      <c r="H20" s="51">
        <v>10000</v>
      </c>
      <c r="I20" s="51">
        <v>0</v>
      </c>
      <c r="J20" s="51">
        <v>0</v>
      </c>
      <c r="K20" s="51">
        <v>0</v>
      </c>
      <c r="L20" s="24">
        <v>0</v>
      </c>
      <c r="M20" s="25">
        <f t="shared" si="1"/>
        <v>16000</v>
      </c>
      <c r="N20" s="25">
        <f t="shared" si="2"/>
        <v>22000</v>
      </c>
    </row>
    <row r="21" spans="1:14">
      <c r="A21" s="1" t="s">
        <v>1</v>
      </c>
      <c r="B21" s="23" t="s">
        <v>35</v>
      </c>
      <c r="C21" s="51">
        <v>0</v>
      </c>
      <c r="D21" s="51">
        <v>0</v>
      </c>
      <c r="E21" s="68">
        <v>0</v>
      </c>
      <c r="F21" s="25">
        <f t="shared" si="0"/>
        <v>0</v>
      </c>
      <c r="G21" s="50">
        <v>3500</v>
      </c>
      <c r="H21" s="51">
        <v>3500</v>
      </c>
      <c r="I21" s="51">
        <v>3500</v>
      </c>
      <c r="J21" s="51">
        <v>3500</v>
      </c>
      <c r="K21" s="51">
        <v>3500</v>
      </c>
      <c r="L21" s="24">
        <v>0</v>
      </c>
      <c r="M21" s="25">
        <f t="shared" si="1"/>
        <v>17500</v>
      </c>
      <c r="N21" s="25">
        <f t="shared" si="2"/>
        <v>17500</v>
      </c>
    </row>
    <row r="22" spans="1:14">
      <c r="A22" s="1" t="s">
        <v>1</v>
      </c>
      <c r="B22" s="23" t="s">
        <v>36</v>
      </c>
      <c r="C22" s="51">
        <v>0</v>
      </c>
      <c r="D22" s="51">
        <v>0</v>
      </c>
      <c r="E22" s="68">
        <v>0</v>
      </c>
      <c r="F22" s="25">
        <f t="shared" si="0"/>
        <v>0</v>
      </c>
      <c r="G22" s="50">
        <v>0</v>
      </c>
      <c r="H22" s="51">
        <v>7600</v>
      </c>
      <c r="I22" s="51">
        <v>0</v>
      </c>
      <c r="J22" s="51">
        <v>0</v>
      </c>
      <c r="K22" s="51">
        <v>0</v>
      </c>
      <c r="L22" s="24">
        <v>0</v>
      </c>
      <c r="M22" s="25">
        <f t="shared" si="1"/>
        <v>7600</v>
      </c>
      <c r="N22" s="25">
        <f t="shared" si="2"/>
        <v>7600</v>
      </c>
    </row>
    <row r="23" spans="1:14">
      <c r="A23" s="1" t="s">
        <v>1</v>
      </c>
      <c r="B23" s="23" t="s">
        <v>24</v>
      </c>
      <c r="C23" s="51">
        <v>0</v>
      </c>
      <c r="D23" s="51">
        <v>0</v>
      </c>
      <c r="E23" s="68">
        <v>3186</v>
      </c>
      <c r="F23" s="25">
        <f t="shared" si="0"/>
        <v>3186</v>
      </c>
      <c r="G23" s="50">
        <v>78468</v>
      </c>
      <c r="H23" s="51">
        <v>12464</v>
      </c>
      <c r="I23" s="51">
        <v>30558</v>
      </c>
      <c r="J23" s="51">
        <v>62505</v>
      </c>
      <c r="K23" s="51">
        <v>80562</v>
      </c>
      <c r="L23" s="24">
        <v>32750</v>
      </c>
      <c r="M23" s="25">
        <f t="shared" si="1"/>
        <v>297307</v>
      </c>
      <c r="N23" s="25">
        <f t="shared" si="2"/>
        <v>300493</v>
      </c>
    </row>
    <row r="24" spans="1:14">
      <c r="A24" s="1" t="s">
        <v>1</v>
      </c>
      <c r="B24" s="23" t="s">
        <v>37</v>
      </c>
      <c r="C24" s="51">
        <v>0</v>
      </c>
      <c r="D24" s="51">
        <v>0</v>
      </c>
      <c r="E24" s="68">
        <v>44720</v>
      </c>
      <c r="F24" s="25">
        <f t="shared" si="0"/>
        <v>44720</v>
      </c>
      <c r="G24" s="50">
        <v>66789</v>
      </c>
      <c r="H24" s="51">
        <v>42050</v>
      </c>
      <c r="I24" s="51">
        <v>40500</v>
      </c>
      <c r="J24" s="51">
        <v>27000</v>
      </c>
      <c r="K24" s="51">
        <v>57000</v>
      </c>
      <c r="L24" s="24">
        <v>11320</v>
      </c>
      <c r="M24" s="25">
        <f t="shared" si="1"/>
        <v>244659</v>
      </c>
      <c r="N24" s="25">
        <f t="shared" si="2"/>
        <v>289379</v>
      </c>
    </row>
    <row r="25" spans="1:14">
      <c r="A25" s="1" t="s">
        <v>1</v>
      </c>
      <c r="B25" s="23" t="s">
        <v>38</v>
      </c>
      <c r="C25" s="51">
        <v>0</v>
      </c>
      <c r="D25" s="51">
        <v>0</v>
      </c>
      <c r="E25" s="68">
        <v>0</v>
      </c>
      <c r="F25" s="25">
        <f t="shared" si="0"/>
        <v>0</v>
      </c>
      <c r="G25" s="50">
        <v>30951</v>
      </c>
      <c r="H25" s="51">
        <v>0</v>
      </c>
      <c r="I25" s="51">
        <v>42000</v>
      </c>
      <c r="J25" s="51">
        <v>30000</v>
      </c>
      <c r="K25" s="51">
        <v>0</v>
      </c>
      <c r="L25" s="24">
        <v>9905</v>
      </c>
      <c r="M25" s="25">
        <f t="shared" si="1"/>
        <v>112856</v>
      </c>
      <c r="N25" s="25">
        <f t="shared" si="2"/>
        <v>112856</v>
      </c>
    </row>
    <row r="26" spans="1:14">
      <c r="A26" s="1" t="s">
        <v>1</v>
      </c>
      <c r="B26" s="23" t="s">
        <v>39</v>
      </c>
      <c r="C26" s="51">
        <v>0</v>
      </c>
      <c r="D26" s="51">
        <v>0</v>
      </c>
      <c r="E26" s="68">
        <v>0</v>
      </c>
      <c r="F26" s="25">
        <f t="shared" si="0"/>
        <v>0</v>
      </c>
      <c r="G26" s="50">
        <v>0</v>
      </c>
      <c r="H26" s="51">
        <v>3488</v>
      </c>
      <c r="I26" s="51">
        <v>0</v>
      </c>
      <c r="J26" s="51">
        <v>0</v>
      </c>
      <c r="K26" s="51">
        <v>0</v>
      </c>
      <c r="L26" s="24">
        <v>0</v>
      </c>
      <c r="M26" s="25">
        <f t="shared" si="1"/>
        <v>3488</v>
      </c>
      <c r="N26" s="25">
        <f t="shared" si="2"/>
        <v>3488</v>
      </c>
    </row>
    <row r="27" spans="1:14">
      <c r="A27" s="1" t="s">
        <v>1</v>
      </c>
      <c r="B27" s="23" t="s">
        <v>40</v>
      </c>
      <c r="C27" s="51">
        <v>0</v>
      </c>
      <c r="D27" s="51">
        <v>0</v>
      </c>
      <c r="E27" s="68">
        <v>0</v>
      </c>
      <c r="F27" s="25">
        <f t="shared" si="0"/>
        <v>0</v>
      </c>
      <c r="G27" s="50">
        <v>0</v>
      </c>
      <c r="H27" s="51">
        <v>10464</v>
      </c>
      <c r="I27" s="51">
        <v>7002</v>
      </c>
      <c r="J27" s="51">
        <v>0</v>
      </c>
      <c r="K27" s="51">
        <v>2723</v>
      </c>
      <c r="L27" s="24">
        <v>5138</v>
      </c>
      <c r="M27" s="25">
        <f t="shared" si="1"/>
        <v>25327</v>
      </c>
      <c r="N27" s="25">
        <f t="shared" si="2"/>
        <v>25327</v>
      </c>
    </row>
    <row r="28" spans="1:14">
      <c r="A28" s="1" t="s">
        <v>1</v>
      </c>
      <c r="B28" s="23" t="s">
        <v>29</v>
      </c>
      <c r="C28" s="51">
        <v>0</v>
      </c>
      <c r="D28" s="51">
        <v>0</v>
      </c>
      <c r="E28" s="68">
        <v>10192</v>
      </c>
      <c r="F28" s="25">
        <f t="shared" si="0"/>
        <v>10192</v>
      </c>
      <c r="G28" s="50">
        <v>0</v>
      </c>
      <c r="H28" s="51">
        <v>0</v>
      </c>
      <c r="I28" s="51">
        <v>0</v>
      </c>
      <c r="J28" s="51">
        <v>0</v>
      </c>
      <c r="K28" s="51">
        <v>0</v>
      </c>
      <c r="L28" s="24">
        <v>0</v>
      </c>
      <c r="M28" s="25">
        <f t="shared" si="1"/>
        <v>0</v>
      </c>
      <c r="N28" s="25">
        <f t="shared" si="2"/>
        <v>10192</v>
      </c>
    </row>
    <row r="29" spans="1:14">
      <c r="A29" s="1" t="s">
        <v>1</v>
      </c>
      <c r="B29" s="5" t="s">
        <v>30</v>
      </c>
      <c r="C29" s="53">
        <v>3878</v>
      </c>
      <c r="D29" s="53">
        <v>0</v>
      </c>
      <c r="E29" s="69">
        <v>0</v>
      </c>
      <c r="F29" s="9">
        <f t="shared" si="0"/>
        <v>3878</v>
      </c>
      <c r="G29" s="52">
        <v>10268</v>
      </c>
      <c r="H29" s="53">
        <v>21216</v>
      </c>
      <c r="I29" s="53">
        <v>19460</v>
      </c>
      <c r="J29" s="53">
        <v>5004</v>
      </c>
      <c r="K29" s="53">
        <v>7784</v>
      </c>
      <c r="L29" s="8">
        <v>3930</v>
      </c>
      <c r="M29" s="9">
        <f t="shared" si="1"/>
        <v>67662</v>
      </c>
      <c r="N29" s="9">
        <f t="shared" si="2"/>
        <v>71540</v>
      </c>
    </row>
    <row r="30" spans="1:14">
      <c r="A30" s="1" t="s">
        <v>1</v>
      </c>
      <c r="B30" s="13" t="s">
        <v>41</v>
      </c>
      <c r="C30" s="55">
        <v>373878</v>
      </c>
      <c r="D30" s="55">
        <v>360000</v>
      </c>
      <c r="E30" s="70">
        <v>244098</v>
      </c>
      <c r="F30" s="17">
        <f t="shared" si="0"/>
        <v>977976</v>
      </c>
      <c r="G30" s="54">
        <v>387976</v>
      </c>
      <c r="H30" s="55">
        <v>297782</v>
      </c>
      <c r="I30" s="55">
        <v>325020</v>
      </c>
      <c r="J30" s="55">
        <v>310009</v>
      </c>
      <c r="K30" s="55">
        <v>333569</v>
      </c>
      <c r="L30" s="16">
        <v>238043</v>
      </c>
      <c r="M30" s="17">
        <f t="shared" si="1"/>
        <v>1892399</v>
      </c>
      <c r="N30" s="17">
        <f t="shared" si="2"/>
        <v>2870375</v>
      </c>
    </row>
    <row r="31" spans="1:14">
      <c r="A31" s="1" t="s">
        <v>1</v>
      </c>
      <c r="B31" s="18" t="s">
        <v>42</v>
      </c>
      <c r="C31" s="49">
        <v>6668</v>
      </c>
      <c r="D31" s="49">
        <v>16414</v>
      </c>
      <c r="E31" s="67">
        <v>590</v>
      </c>
      <c r="F31" s="20">
        <f t="shared" si="0"/>
        <v>23672</v>
      </c>
      <c r="G31" s="48">
        <v>8848</v>
      </c>
      <c r="H31" s="49">
        <v>2155</v>
      </c>
      <c r="I31" s="49">
        <v>2360</v>
      </c>
      <c r="J31" s="49">
        <v>7694</v>
      </c>
      <c r="K31" s="49">
        <v>1232</v>
      </c>
      <c r="L31" s="19">
        <v>5643</v>
      </c>
      <c r="M31" s="20">
        <f t="shared" si="1"/>
        <v>27932</v>
      </c>
      <c r="N31" s="20">
        <f t="shared" si="2"/>
        <v>51604</v>
      </c>
    </row>
    <row r="32" spans="1:14">
      <c r="A32" s="1" t="s">
        <v>1</v>
      </c>
      <c r="B32" s="5" t="s">
        <v>43</v>
      </c>
      <c r="C32" s="53">
        <v>6668</v>
      </c>
      <c r="D32" s="53">
        <v>16414</v>
      </c>
      <c r="E32" s="69">
        <v>590</v>
      </c>
      <c r="F32" s="9">
        <f t="shared" si="0"/>
        <v>23672</v>
      </c>
      <c r="G32" s="52">
        <v>8848</v>
      </c>
      <c r="H32" s="53">
        <v>2155</v>
      </c>
      <c r="I32" s="53">
        <v>2360</v>
      </c>
      <c r="J32" s="53">
        <v>7694</v>
      </c>
      <c r="K32" s="53">
        <v>1232</v>
      </c>
      <c r="L32" s="8">
        <v>5643</v>
      </c>
      <c r="M32" s="9">
        <f t="shared" si="1"/>
        <v>27932</v>
      </c>
      <c r="N32" s="9">
        <f t="shared" si="2"/>
        <v>51604</v>
      </c>
    </row>
    <row r="33" spans="1:14">
      <c r="A33" s="1" t="s">
        <v>1</v>
      </c>
      <c r="B33" s="13" t="s">
        <v>44</v>
      </c>
      <c r="C33" s="55">
        <v>380546</v>
      </c>
      <c r="D33" s="55">
        <v>376414</v>
      </c>
      <c r="E33" s="70">
        <v>244688</v>
      </c>
      <c r="F33" s="17">
        <f t="shared" si="0"/>
        <v>1001648</v>
      </c>
      <c r="G33" s="54">
        <v>396824</v>
      </c>
      <c r="H33" s="55">
        <v>299937</v>
      </c>
      <c r="I33" s="55">
        <v>327380</v>
      </c>
      <c r="J33" s="55">
        <v>317703</v>
      </c>
      <c r="K33" s="55">
        <v>334801</v>
      </c>
      <c r="L33" s="16">
        <v>243686</v>
      </c>
      <c r="M33" s="17">
        <f t="shared" si="1"/>
        <v>1920331</v>
      </c>
      <c r="N33" s="17">
        <f t="shared" si="2"/>
        <v>2921979</v>
      </c>
    </row>
    <row r="34" spans="1:14">
      <c r="A34" s="1" t="s">
        <v>1</v>
      </c>
      <c r="B34" s="18" t="s">
        <v>45</v>
      </c>
      <c r="C34" s="49">
        <v>19380</v>
      </c>
      <c r="D34" s="49">
        <v>19380</v>
      </c>
      <c r="E34" s="67">
        <v>11220</v>
      </c>
      <c r="F34" s="20">
        <f t="shared" si="0"/>
        <v>49980</v>
      </c>
      <c r="G34" s="48">
        <v>18360</v>
      </c>
      <c r="H34" s="49">
        <v>15300</v>
      </c>
      <c r="I34" s="49">
        <v>16320</v>
      </c>
      <c r="J34" s="49">
        <v>15300</v>
      </c>
      <c r="K34" s="49">
        <v>15300</v>
      </c>
      <c r="L34" s="19">
        <v>13260</v>
      </c>
      <c r="M34" s="20">
        <f t="shared" si="1"/>
        <v>93840</v>
      </c>
      <c r="N34" s="20">
        <f t="shared" si="2"/>
        <v>143820</v>
      </c>
    </row>
    <row r="35" spans="1:14">
      <c r="A35" s="1" t="s">
        <v>1</v>
      </c>
      <c r="B35" s="23" t="s">
        <v>46</v>
      </c>
      <c r="C35" s="51">
        <v>3420</v>
      </c>
      <c r="D35" s="51">
        <v>3420</v>
      </c>
      <c r="E35" s="68">
        <v>0</v>
      </c>
      <c r="F35" s="25">
        <f t="shared" si="0"/>
        <v>6840</v>
      </c>
      <c r="G35" s="50">
        <v>3240</v>
      </c>
      <c r="H35" s="51">
        <v>2700</v>
      </c>
      <c r="I35" s="51">
        <v>2880</v>
      </c>
      <c r="J35" s="51">
        <v>2700</v>
      </c>
      <c r="K35" s="51">
        <v>2700</v>
      </c>
      <c r="L35" s="24">
        <v>2340</v>
      </c>
      <c r="M35" s="25">
        <f t="shared" si="1"/>
        <v>16560</v>
      </c>
      <c r="N35" s="25">
        <f t="shared" si="2"/>
        <v>23400</v>
      </c>
    </row>
    <row r="36" spans="1:14">
      <c r="A36" s="1" t="s">
        <v>1</v>
      </c>
      <c r="B36" s="23" t="s">
        <v>47</v>
      </c>
      <c r="C36" s="51">
        <v>34770</v>
      </c>
      <c r="D36" s="51">
        <v>34770</v>
      </c>
      <c r="E36" s="68">
        <v>20130</v>
      </c>
      <c r="F36" s="25">
        <f t="shared" si="0"/>
        <v>89670</v>
      </c>
      <c r="G36" s="50">
        <v>32940</v>
      </c>
      <c r="H36" s="51">
        <v>27450</v>
      </c>
      <c r="I36" s="51">
        <v>29280</v>
      </c>
      <c r="J36" s="51">
        <v>27450</v>
      </c>
      <c r="K36" s="51">
        <v>27450</v>
      </c>
      <c r="L36" s="24">
        <v>23790</v>
      </c>
      <c r="M36" s="25">
        <f t="shared" si="1"/>
        <v>168360</v>
      </c>
      <c r="N36" s="25">
        <f t="shared" si="2"/>
        <v>258030</v>
      </c>
    </row>
    <row r="37" spans="1:14">
      <c r="A37" s="1" t="s">
        <v>1</v>
      </c>
      <c r="B37" s="5" t="s">
        <v>48</v>
      </c>
      <c r="C37" s="53">
        <v>2283</v>
      </c>
      <c r="D37" s="53">
        <v>2258</v>
      </c>
      <c r="E37" s="69">
        <v>1468</v>
      </c>
      <c r="F37" s="9">
        <f t="shared" si="0"/>
        <v>6009</v>
      </c>
      <c r="G37" s="52">
        <v>2381</v>
      </c>
      <c r="H37" s="53">
        <v>1800</v>
      </c>
      <c r="I37" s="53">
        <v>1964</v>
      </c>
      <c r="J37" s="53">
        <v>1906</v>
      </c>
      <c r="K37" s="53">
        <v>2009</v>
      </c>
      <c r="L37" s="8">
        <v>1462</v>
      </c>
      <c r="M37" s="9">
        <f t="shared" si="1"/>
        <v>11522</v>
      </c>
      <c r="N37" s="9">
        <f t="shared" si="2"/>
        <v>17531</v>
      </c>
    </row>
    <row r="38" spans="1:14">
      <c r="A38" s="1" t="s">
        <v>1</v>
      </c>
      <c r="B38" s="13" t="s">
        <v>49</v>
      </c>
      <c r="C38" s="55">
        <v>59853</v>
      </c>
      <c r="D38" s="55">
        <v>59828</v>
      </c>
      <c r="E38" s="70">
        <v>32818</v>
      </c>
      <c r="F38" s="17">
        <f t="shared" si="0"/>
        <v>152499</v>
      </c>
      <c r="G38" s="54">
        <v>56921</v>
      </c>
      <c r="H38" s="55">
        <v>47250</v>
      </c>
      <c r="I38" s="55">
        <v>50444</v>
      </c>
      <c r="J38" s="55">
        <v>47356</v>
      </c>
      <c r="K38" s="55">
        <v>47459</v>
      </c>
      <c r="L38" s="16">
        <v>40852</v>
      </c>
      <c r="M38" s="17">
        <f t="shared" si="1"/>
        <v>290282</v>
      </c>
      <c r="N38" s="17">
        <f t="shared" si="2"/>
        <v>442781</v>
      </c>
    </row>
    <row r="39" spans="1:14">
      <c r="A39" s="1" t="s">
        <v>1</v>
      </c>
      <c r="B39" s="18" t="s">
        <v>50</v>
      </c>
      <c r="C39" s="49">
        <v>9530</v>
      </c>
      <c r="D39" s="49">
        <v>8390</v>
      </c>
      <c r="E39" s="67">
        <v>3742</v>
      </c>
      <c r="F39" s="20">
        <f t="shared" si="0"/>
        <v>21662</v>
      </c>
      <c r="G39" s="48">
        <v>0</v>
      </c>
      <c r="H39" s="49">
        <v>4950</v>
      </c>
      <c r="I39" s="49">
        <v>7430</v>
      </c>
      <c r="J39" s="49">
        <v>7000</v>
      </c>
      <c r="K39" s="49">
        <v>0</v>
      </c>
      <c r="L39" s="19">
        <v>3050</v>
      </c>
      <c r="M39" s="20">
        <f t="shared" si="1"/>
        <v>22430</v>
      </c>
      <c r="N39" s="20">
        <f t="shared" si="2"/>
        <v>44092</v>
      </c>
    </row>
    <row r="40" spans="1:14">
      <c r="A40" s="1" t="s">
        <v>1</v>
      </c>
      <c r="B40" s="5" t="s">
        <v>51</v>
      </c>
      <c r="C40" s="53">
        <v>19600</v>
      </c>
      <c r="D40" s="53">
        <v>20400</v>
      </c>
      <c r="E40" s="69">
        <v>8400</v>
      </c>
      <c r="F40" s="9">
        <f t="shared" si="0"/>
        <v>48400</v>
      </c>
      <c r="G40" s="52">
        <v>2900</v>
      </c>
      <c r="H40" s="53">
        <v>9400</v>
      </c>
      <c r="I40" s="53">
        <v>11000</v>
      </c>
      <c r="J40" s="53">
        <v>10500</v>
      </c>
      <c r="K40" s="53">
        <v>6800</v>
      </c>
      <c r="L40" s="8">
        <v>0</v>
      </c>
      <c r="M40" s="9">
        <f t="shared" si="1"/>
        <v>40600</v>
      </c>
      <c r="N40" s="9">
        <f t="shared" si="2"/>
        <v>89000</v>
      </c>
    </row>
    <row r="41" spans="1:14">
      <c r="A41" s="1" t="s">
        <v>1</v>
      </c>
      <c r="B41" s="13" t="s">
        <v>52</v>
      </c>
      <c r="C41" s="55">
        <v>88983</v>
      </c>
      <c r="D41" s="55">
        <v>88618</v>
      </c>
      <c r="E41" s="70">
        <v>44960</v>
      </c>
      <c r="F41" s="17">
        <f t="shared" si="0"/>
        <v>222561</v>
      </c>
      <c r="G41" s="54">
        <v>59821</v>
      </c>
      <c r="H41" s="55">
        <v>61600</v>
      </c>
      <c r="I41" s="55">
        <v>68874</v>
      </c>
      <c r="J41" s="55">
        <v>64856</v>
      </c>
      <c r="K41" s="55">
        <v>54259</v>
      </c>
      <c r="L41" s="16">
        <v>43902</v>
      </c>
      <c r="M41" s="17">
        <f t="shared" si="1"/>
        <v>353312</v>
      </c>
      <c r="N41" s="17">
        <f t="shared" si="2"/>
        <v>575873</v>
      </c>
    </row>
    <row r="42" spans="1:14">
      <c r="A42" s="1" t="s">
        <v>1</v>
      </c>
      <c r="B42" s="13" t="s">
        <v>53</v>
      </c>
      <c r="C42" s="55">
        <v>314025</v>
      </c>
      <c r="D42" s="55">
        <v>300172</v>
      </c>
      <c r="E42" s="70">
        <v>211280</v>
      </c>
      <c r="F42" s="17">
        <f t="shared" si="0"/>
        <v>825477</v>
      </c>
      <c r="G42" s="54">
        <v>331055</v>
      </c>
      <c r="H42" s="55">
        <v>250532</v>
      </c>
      <c r="I42" s="55">
        <v>274576</v>
      </c>
      <c r="J42" s="55">
        <v>262653</v>
      </c>
      <c r="K42" s="55">
        <v>286110</v>
      </c>
      <c r="L42" s="16">
        <v>197191</v>
      </c>
      <c r="M42" s="17">
        <f t="shared" si="1"/>
        <v>1602117</v>
      </c>
      <c r="N42" s="17">
        <f t="shared" si="2"/>
        <v>2427594</v>
      </c>
    </row>
    <row r="43" spans="1:14">
      <c r="A43" s="1" t="s">
        <v>1</v>
      </c>
      <c r="B43" s="13" t="s">
        <v>54</v>
      </c>
      <c r="C43" s="55">
        <v>291563</v>
      </c>
      <c r="D43" s="55">
        <v>287796</v>
      </c>
      <c r="E43" s="70">
        <v>199728</v>
      </c>
      <c r="F43" s="17">
        <f t="shared" si="0"/>
        <v>779087</v>
      </c>
      <c r="G43" s="54">
        <v>337003</v>
      </c>
      <c r="H43" s="55">
        <v>238337</v>
      </c>
      <c r="I43" s="55">
        <v>258506</v>
      </c>
      <c r="J43" s="55">
        <v>252847</v>
      </c>
      <c r="K43" s="55">
        <v>280542</v>
      </c>
      <c r="L43" s="16">
        <v>199784</v>
      </c>
      <c r="M43" s="17">
        <f t="shared" si="1"/>
        <v>1567019</v>
      </c>
      <c r="N43" s="17">
        <f t="shared" si="2"/>
        <v>2346106</v>
      </c>
    </row>
    <row r="44" spans="1:14">
      <c r="A44" s="1" t="s">
        <v>1</v>
      </c>
      <c r="B44" s="13" t="s">
        <v>55</v>
      </c>
      <c r="C44" s="55">
        <v>291563</v>
      </c>
      <c r="D44" s="55">
        <v>287796</v>
      </c>
      <c r="E44" s="70">
        <v>199728</v>
      </c>
      <c r="F44" s="17">
        <f t="shared" si="0"/>
        <v>779087</v>
      </c>
      <c r="G44" s="54">
        <v>337003</v>
      </c>
      <c r="H44" s="55">
        <v>238337</v>
      </c>
      <c r="I44" s="55">
        <v>258506</v>
      </c>
      <c r="J44" s="55">
        <v>252847</v>
      </c>
      <c r="K44" s="55">
        <v>280542</v>
      </c>
      <c r="L44" s="16">
        <v>199784</v>
      </c>
      <c r="M44" s="17">
        <f t="shared" si="1"/>
        <v>1567019</v>
      </c>
      <c r="N44" s="17">
        <f t="shared" si="2"/>
        <v>2346106</v>
      </c>
    </row>
    <row r="45" spans="1:14">
      <c r="A45" s="1" t="s">
        <v>1</v>
      </c>
      <c r="B45" s="13" t="s">
        <v>56</v>
      </c>
      <c r="C45" s="55">
        <v>0</v>
      </c>
      <c r="D45" s="55">
        <v>0</v>
      </c>
      <c r="E45" s="70">
        <v>0</v>
      </c>
      <c r="F45" s="17"/>
      <c r="G45" s="54">
        <v>2</v>
      </c>
      <c r="H45" s="55">
        <v>1</v>
      </c>
      <c r="I45" s="55">
        <v>0</v>
      </c>
      <c r="J45" s="55">
        <v>0</v>
      </c>
      <c r="K45" s="55">
        <v>1</v>
      </c>
      <c r="L45" s="16">
        <v>1</v>
      </c>
      <c r="M45" s="17"/>
      <c r="N45" s="17"/>
    </row>
    <row r="46" spans="1:14">
      <c r="A46" s="1" t="s">
        <v>1</v>
      </c>
      <c r="B46" s="13" t="s">
        <v>57</v>
      </c>
      <c r="C46" s="57" t="s">
        <v>58</v>
      </c>
      <c r="D46" s="57" t="s">
        <v>58</v>
      </c>
      <c r="E46" s="71" t="s">
        <v>58</v>
      </c>
      <c r="F46" s="22"/>
      <c r="G46" s="56" t="s">
        <v>58</v>
      </c>
      <c r="H46" s="57" t="s">
        <v>58</v>
      </c>
      <c r="I46" s="57" t="s">
        <v>58</v>
      </c>
      <c r="J46" s="57" t="s">
        <v>58</v>
      </c>
      <c r="K46" s="57" t="s">
        <v>58</v>
      </c>
      <c r="L46" s="21" t="s">
        <v>58</v>
      </c>
      <c r="M46" s="22"/>
      <c r="N46" s="22"/>
    </row>
    <row r="47" spans="1:14">
      <c r="A47" s="1" t="s">
        <v>1</v>
      </c>
      <c r="B47" s="13" t="s">
        <v>59</v>
      </c>
      <c r="C47" s="55">
        <v>9530</v>
      </c>
      <c r="D47" s="55">
        <v>8390</v>
      </c>
      <c r="E47" s="70">
        <v>5170</v>
      </c>
      <c r="F47" s="17">
        <f t="shared" si="0"/>
        <v>23090</v>
      </c>
      <c r="G47" s="54">
        <v>6370</v>
      </c>
      <c r="H47" s="55">
        <v>4950</v>
      </c>
      <c r="I47" s="55">
        <v>7430</v>
      </c>
      <c r="J47" s="55">
        <v>7000</v>
      </c>
      <c r="K47" s="55">
        <v>6230</v>
      </c>
      <c r="L47" s="16">
        <v>3050</v>
      </c>
      <c r="M47" s="17">
        <f t="shared" si="1"/>
        <v>35030</v>
      </c>
      <c r="N47" s="17">
        <f t="shared" si="2"/>
        <v>58120</v>
      </c>
    </row>
    <row r="48" spans="1:14">
      <c r="A48" s="1" t="s">
        <v>1</v>
      </c>
      <c r="B48" s="13" t="s">
        <v>60</v>
      </c>
      <c r="C48" s="55">
        <v>0</v>
      </c>
      <c r="D48" s="55">
        <v>0</v>
      </c>
      <c r="E48" s="70">
        <v>1428</v>
      </c>
      <c r="F48" s="17">
        <f t="shared" si="0"/>
        <v>1428</v>
      </c>
      <c r="G48" s="54">
        <v>6370</v>
      </c>
      <c r="H48" s="55">
        <v>0</v>
      </c>
      <c r="I48" s="55">
        <v>0</v>
      </c>
      <c r="J48" s="55">
        <v>0</v>
      </c>
      <c r="K48" s="55">
        <v>6230</v>
      </c>
      <c r="L48" s="16">
        <v>0</v>
      </c>
      <c r="M48" s="17">
        <f t="shared" si="1"/>
        <v>12600</v>
      </c>
      <c r="N48" s="17">
        <f t="shared" si="2"/>
        <v>14028</v>
      </c>
    </row>
    <row r="49" spans="1:14" ht="19.5" thickBot="1">
      <c r="A49" s="1" t="s">
        <v>1</v>
      </c>
      <c r="B49" s="10" t="s">
        <v>61</v>
      </c>
      <c r="C49" s="59">
        <v>60000</v>
      </c>
      <c r="D49" s="59">
        <v>30000</v>
      </c>
      <c r="E49" s="72">
        <v>30000</v>
      </c>
      <c r="F49" s="12"/>
      <c r="G49" s="58">
        <v>120000</v>
      </c>
      <c r="H49" s="59">
        <v>30000</v>
      </c>
      <c r="I49" s="59">
        <v>30000</v>
      </c>
      <c r="J49" s="59">
        <v>30000</v>
      </c>
      <c r="K49" s="59">
        <v>90000</v>
      </c>
      <c r="L49" s="11">
        <v>0</v>
      </c>
      <c r="M49" s="12"/>
      <c r="N49" s="12"/>
    </row>
  </sheetData>
  <phoneticPr fontId="3"/>
  <pageMargins left="0.11811023622047245" right="0.11811023622047245" top="0.15748031496062992" bottom="0.15748031496062992" header="0.11811023622047245" footer="0.11811023622047245"/>
  <pageSetup paperSize="12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2024年11月度給与 (2)</vt:lpstr>
      <vt:lpstr>'2024年11月度給与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2024-12-07T02:55:25Z</cp:lastPrinted>
  <dcterms:created xsi:type="dcterms:W3CDTF">2024-12-05T02:29:15Z</dcterms:created>
  <dcterms:modified xsi:type="dcterms:W3CDTF">2024-12-17T07:28:16Z</dcterms:modified>
</cp:coreProperties>
</file>