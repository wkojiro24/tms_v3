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9270F7FD-9E38-4CD9-8D6C-2553530CF6F5}" xr6:coauthVersionLast="47" xr6:coauthVersionMax="47" xr10:uidLastSave="{00000000-0000-0000-0000-000000000000}"/>
  <bookViews>
    <workbookView xWindow="-120" yWindow="-120" windowWidth="20730" windowHeight="11040" tabRatio="599" activeTab="1" xr2:uid="{03979FE9-CD71-4E36-8AE1-FAD4DA238282}"/>
  </bookViews>
  <sheets>
    <sheet name="2024年11月度給与 (2)" sheetId="3" r:id="rId1"/>
    <sheet name="2024年11月度給与 (3)" sheetId="4" r:id="rId2"/>
    <sheet name="2024年11月度給与 (4)" sheetId="5" r:id="rId3"/>
  </sheets>
  <definedNames>
    <definedName name="_xlnm.Print_Area" localSheetId="1">'2024年11月度給与 (3)'!$A$1:$N$56</definedName>
    <definedName name="_xlnm.Print_Area" localSheetId="2">'2024年11月度給与 (4)'!$A$1:$S$56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5" i="5" l="1"/>
  <c r="S54" i="5"/>
  <c r="S53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K55" i="4"/>
  <c r="M54" i="4"/>
  <c r="K54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D6" i="3"/>
  <c r="AE6" i="3" s="1"/>
  <c r="AD7" i="3"/>
  <c r="AE7" i="3" s="1"/>
  <c r="AD8" i="3"/>
  <c r="AE8" i="3" s="1"/>
  <c r="AD9" i="3"/>
  <c r="AE9" i="3" s="1"/>
  <c r="AD10" i="3"/>
  <c r="AE10" i="3" s="1"/>
  <c r="AD11" i="3"/>
  <c r="AE11" i="3" s="1"/>
  <c r="AD12" i="3"/>
  <c r="AE12" i="3" s="1"/>
  <c r="AD13" i="3"/>
  <c r="AE13" i="3" s="1"/>
  <c r="AD14" i="3"/>
  <c r="AE14" i="3" s="1"/>
  <c r="AD15" i="3"/>
  <c r="AE15" i="3" s="1"/>
  <c r="AD16" i="3"/>
  <c r="AE16" i="3" s="1"/>
  <c r="AD17" i="3"/>
  <c r="AE17" i="3" s="1"/>
  <c r="AD18" i="3"/>
  <c r="AE18" i="3" s="1"/>
  <c r="AD19" i="3"/>
  <c r="AE19" i="3" s="1"/>
  <c r="AD20" i="3"/>
  <c r="AE20" i="3" s="1"/>
  <c r="AD21" i="3"/>
  <c r="AE21" i="3" s="1"/>
  <c r="AD22" i="3"/>
  <c r="AE22" i="3" s="1"/>
  <c r="AD23" i="3"/>
  <c r="AE23" i="3" s="1"/>
  <c r="AD24" i="3"/>
  <c r="AE24" i="3" s="1"/>
  <c r="AD25" i="3"/>
  <c r="AE25" i="3" s="1"/>
  <c r="AD26" i="3"/>
  <c r="AE26" i="3" s="1"/>
  <c r="AD27" i="3"/>
  <c r="AE27" i="3" s="1"/>
  <c r="AD28" i="3"/>
  <c r="AE28" i="3" s="1"/>
  <c r="AD29" i="3"/>
  <c r="AE29" i="3" s="1"/>
  <c r="AD30" i="3"/>
  <c r="AE30" i="3" s="1"/>
  <c r="AD31" i="3"/>
  <c r="AE31" i="3" s="1"/>
  <c r="AD32" i="3"/>
  <c r="AE32" i="3" s="1"/>
  <c r="AD33" i="3"/>
  <c r="AE33" i="3" s="1"/>
  <c r="AD34" i="3"/>
  <c r="AE34" i="3" s="1"/>
  <c r="AD35" i="3"/>
  <c r="AE35" i="3" s="1"/>
  <c r="AD36" i="3"/>
  <c r="AE36" i="3" s="1"/>
  <c r="AD37" i="3"/>
  <c r="AE37" i="3" s="1"/>
  <c r="AD38" i="3"/>
  <c r="AE38" i="3" s="1"/>
  <c r="AD39" i="3"/>
  <c r="AE39" i="3" s="1"/>
  <c r="AD40" i="3"/>
  <c r="AE40" i="3" s="1"/>
  <c r="AD41" i="3"/>
  <c r="AE41" i="3" s="1"/>
  <c r="AD42" i="3"/>
  <c r="AE42" i="3" s="1"/>
  <c r="AD43" i="3"/>
  <c r="AE43" i="3" s="1"/>
  <c r="AD44" i="3"/>
  <c r="AE44" i="3" s="1"/>
  <c r="AD45" i="3"/>
  <c r="AE45" i="3" s="1"/>
  <c r="AD46" i="3"/>
  <c r="AE46" i="3" s="1"/>
  <c r="AD47" i="3"/>
  <c r="AE47" i="3" s="1"/>
  <c r="AD48" i="3"/>
  <c r="AE48" i="3" s="1"/>
  <c r="AD49" i="3"/>
  <c r="AE49" i="3" s="1"/>
  <c r="AD50" i="3"/>
  <c r="AE50" i="3" s="1"/>
  <c r="AD51" i="3"/>
  <c r="AE51" i="3" s="1"/>
  <c r="AD54" i="3"/>
  <c r="AE54" i="3" s="1"/>
  <c r="AD5" i="3"/>
  <c r="AE5" i="3" s="1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4" i="3"/>
  <c r="AB55" i="3"/>
  <c r="AE55" i="3" s="1"/>
  <c r="AB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3" i="3"/>
  <c r="S54" i="3"/>
  <c r="S55" i="3"/>
  <c r="S5" i="3"/>
</calcChain>
</file>

<file path=xl/sharedStrings.xml><?xml version="1.0" encoding="utf-8"?>
<sst xmlns="http://schemas.openxmlformats.org/spreadsheetml/2006/main" count="485" uniqueCount="109">
  <si>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</si>
  <si>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</si>
  <si>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</si>
  <si>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</si>
  <si>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</si>
  <si>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</si>
  <si>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</si>
  <si>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</si>
  <si>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</si>
  <si>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</si>
  <si>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</si>
  <si>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</si>
  <si>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</si>
  <si>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</si>
  <si>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</si>
  <si>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</si>
  <si>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</si>
  <si>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</si>
  <si>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</si>
  <si>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</si>
  <si>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</si>
  <si>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</si>
  <si>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</si>
  <si>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</si>
  <si>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</si>
  <si>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</si>
  <si>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</si>
  <si>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</si>
  <si>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</si>
  <si>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</si>
  <si>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</si>
  <si>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</si>
  <si>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</si>
  <si>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</si>
  <si>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</si>
  <si>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</si>
  <si>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</si>
  <si>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</si>
  <si>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</si>
  <si>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</si>
  <si>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</si>
  <si>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</si>
  <si>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</si>
  <si>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</si>
  <si>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</si>
  <si>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</si>
  <si>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</si>
  <si>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</si>
  <si>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</si>
  <si>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</si>
  <si>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</si>
  <si>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</si>
  <si>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</si>
  <si>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</si>
  <si>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</si>
  <si>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</si>
  <si>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</si>
  <si>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</si>
  <si>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</si>
  <si>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</si>
  <si>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</si>
  <si>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</si>
  <si>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</si>
  <si>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</si>
  <si>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</si>
  <si>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</si>
  <si>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</si>
  <si>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</si>
  <si>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</si>
  <si>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</si>
  <si>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</si>
  <si>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</si>
  <si>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</si>
  <si>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</si>
  <si>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</si>
  <si>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</si>
  <si>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</si>
  <si>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</si>
  <si>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</si>
  <si>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</si>
  <si>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</si>
  <si>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</si>
  <si>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</si>
  <si>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</si>
  <si>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</si>
  <si>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</si>
  <si>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</si>
  <si>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</si>
  <si>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</si>
  <si>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</si>
  <si>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</si>
  <si>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</si>
  <si>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</si>
  <si>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</si>
  <si>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</si>
  <si>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</si>
  <si>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</si>
  <si>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</si>
  <si>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</si>
  <si>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</si>
  <si>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</si>
  <si>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</si>
  <si>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</si>
  <si>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</si>
  <si>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2024年11月度給与</t>
    <phoneticPr fontId="4"/>
  </si>
  <si>
    <t>小計</t>
    <rPh sb="0" eb="2">
      <t>ショウケイ</t>
    </rPh>
    <phoneticPr fontId="3"/>
  </si>
  <si>
    <t>１６名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</si>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</sst>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indexed="64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3" fontId="2" fillId="0" borderId="0" xfId="1" applyNumberFormat="1" applyFont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6" xfId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176" fontId="2" fillId="0" borderId="14" xfId="1" applyNumberFormat="1" applyFont="1" applyBorder="1"/>
    <xf numFmtId="49" fontId="2" fillId="0" borderId="18" xfId="1" applyNumberFormat="1" applyFont="1" applyBorder="1" applyAlignment="1">
      <alignment horizontal="left"/>
    </xf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18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2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6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4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18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49" fontId="2" fillId="0" borderId="30" xfId="1" applyNumberFormat="1" applyFont="1" applyBorder="1" applyAlignment="1">
      <alignment horizontal="left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0" xfId="1" applyNumberFormat="1" applyFont="1" applyBorder="1"/>
    <xf numFmtId="177" fontId="2" fillId="0" borderId="32" xfId="1" applyNumberFormat="1" applyFont="1" applyBorder="1"/>
    <xf numFmtId="177" fontId="2" fillId="0" borderId="30" xfId="1" applyNumberFormat="1" applyFont="1" applyBorder="1"/>
    <xf numFmtId="177" fontId="2" fillId="0" borderId="2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49" fontId="2" fillId="0" borderId="22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" xfId="1" applyNumberFormat="1" applyFont="1" applyBorder="1"/>
    <xf numFmtId="3" fontId="2" fillId="0" borderId="7" xfId="1" applyNumberFormat="1" applyFont="1" applyBorder="1"/>
    <xf numFmtId="0" fontId="2" fillId="0" borderId="2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176" fontId="2" fillId="0" borderId="37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40" xfId="1" applyNumberFormat="1" applyFont="1" applyBorder="1"/>
    <xf numFmtId="49" fontId="2" fillId="0" borderId="38" xfId="1" applyNumberFormat="1" applyFont="1" applyBorder="1"/>
    <xf numFmtId="3" fontId="2" fillId="0" borderId="34" xfId="1" applyNumberFormat="1" applyFont="1" applyBorder="1"/>
    <xf numFmtId="49" fontId="2" fillId="0" borderId="41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  <xf numFmtId="176" fontId="2" fillId="0" borderId="45" xfId="1" applyNumberFormat="1" applyFont="1" applyBorder="1"/>
    <xf numFmtId="2" fontId="2" fillId="0" borderId="46" xfId="1" applyNumberFormat="1" applyFont="1" applyBorder="1"/>
    <xf numFmtId="3" fontId="2" fillId="0" borderId="47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8" xfId="1" applyNumberFormat="1" applyFont="1" applyBorder="1"/>
    <xf numFmtId="49" fontId="2" fillId="0" borderId="46" xfId="1" applyNumberFormat="1" applyFont="1" applyBorder="1"/>
    <xf numFmtId="3" fontId="2" fillId="0" borderId="42" xfId="1" applyNumberFormat="1" applyFont="1" applyBorder="1"/>
    <xf numFmtId="49" fontId="2" fillId="0" borderId="3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49" xfId="1" applyNumberFormat="1" applyFont="1" applyBorder="1" applyAlignment="1">
      <alignment horizontal="center"/>
    </xf>
    <xf numFmtId="2" fontId="2" fillId="0" borderId="50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176" fontId="2" fillId="0" borderId="52" xfId="1" applyNumberFormat="1" applyFont="1" applyBorder="1"/>
    <xf numFmtId="2" fontId="2" fillId="0" borderId="53" xfId="1" applyNumberFormat="1" applyFont="1" applyBorder="1"/>
    <xf numFmtId="3" fontId="2" fillId="0" borderId="54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2" xfId="1" applyNumberFormat="1" applyFont="1" applyBorder="1"/>
    <xf numFmtId="49" fontId="2" fillId="0" borderId="53" xfId="1" applyNumberFormat="1" applyFont="1" applyBorder="1"/>
    <xf numFmtId="3" fontId="2" fillId="0" borderId="55" xfId="1" applyNumberFormat="1" applyFont="1" applyBorder="1"/>
    <xf numFmtId="0" fontId="2" fillId="0" borderId="55" xfId="1" applyFont="1" applyBorder="1" applyAlignment="1">
      <alignment horizontal="center"/>
    </xf>
  </cellXfs>
  <cellStyles count="2">
    <cellStyle name="標準" xfId="0" builtinId="0"/>
    <cellStyle name="標準 2" xfId="1" xr:uid="{66D970B6-2ACA-411E-B132-282C3CA9B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D51D-7042-4392-A475-73D2751BE19E}">
  <dimension ref="A1:AE56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C2" sqref="AC2"/>
    </sheetView>
  </sheetViews>
  <sheetFormatPr defaultRowHeight="18.75"/>
  <cols>
    <col min="1" max="1" width="2.375" style="2" customWidth="1"/>
    <col min="2" max="2" width="13.25" style="2" bestFit="1" customWidth="1"/>
    <col min="3" max="31" width="11.25" style="2" customWidth="1"/>
    <col min="32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76" width="11.125" style="2" bestFit="1" customWidth="1"/>
    <col min="277" max="277" width="9" style="2"/>
    <col min="278" max="284" width="11.125" style="2" bestFit="1" customWidth="1"/>
    <col min="285" max="285" width="9" style="2"/>
    <col min="286" max="286" width="9.625" style="2" bestFit="1" customWidth="1"/>
    <col min="28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32" width="11.125" style="2" bestFit="1" customWidth="1"/>
    <col min="533" max="533" width="9" style="2"/>
    <col min="534" max="540" width="11.125" style="2" bestFit="1" customWidth="1"/>
    <col min="541" max="541" width="9" style="2"/>
    <col min="542" max="542" width="9.625" style="2" bestFit="1" customWidth="1"/>
    <col min="54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88" width="11.125" style="2" bestFit="1" customWidth="1"/>
    <col min="789" max="789" width="9" style="2"/>
    <col min="790" max="796" width="11.125" style="2" bestFit="1" customWidth="1"/>
    <col min="797" max="797" width="9" style="2"/>
    <col min="798" max="798" width="9.625" style="2" bestFit="1" customWidth="1"/>
    <col min="79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44" width="11.125" style="2" bestFit="1" customWidth="1"/>
    <col min="1045" max="1045" width="9" style="2"/>
    <col min="1046" max="1052" width="11.125" style="2" bestFit="1" customWidth="1"/>
    <col min="1053" max="1053" width="9" style="2"/>
    <col min="1054" max="1054" width="9.625" style="2" bestFit="1" customWidth="1"/>
    <col min="105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300" width="11.125" style="2" bestFit="1" customWidth="1"/>
    <col min="1301" max="1301" width="9" style="2"/>
    <col min="1302" max="1308" width="11.125" style="2" bestFit="1" customWidth="1"/>
    <col min="1309" max="1309" width="9" style="2"/>
    <col min="1310" max="1310" width="9.625" style="2" bestFit="1" customWidth="1"/>
    <col min="131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56" width="11.125" style="2" bestFit="1" customWidth="1"/>
    <col min="1557" max="1557" width="9" style="2"/>
    <col min="1558" max="1564" width="11.125" style="2" bestFit="1" customWidth="1"/>
    <col min="1565" max="1565" width="9" style="2"/>
    <col min="1566" max="1566" width="9.625" style="2" bestFit="1" customWidth="1"/>
    <col min="156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12" width="11.125" style="2" bestFit="1" customWidth="1"/>
    <col min="1813" max="1813" width="9" style="2"/>
    <col min="1814" max="1820" width="11.125" style="2" bestFit="1" customWidth="1"/>
    <col min="1821" max="1821" width="9" style="2"/>
    <col min="1822" max="1822" width="9.625" style="2" bestFit="1" customWidth="1"/>
    <col min="182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68" width="11.125" style="2" bestFit="1" customWidth="1"/>
    <col min="2069" max="2069" width="9" style="2"/>
    <col min="2070" max="2076" width="11.125" style="2" bestFit="1" customWidth="1"/>
    <col min="2077" max="2077" width="9" style="2"/>
    <col min="2078" max="2078" width="9.625" style="2" bestFit="1" customWidth="1"/>
    <col min="207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24" width="11.125" style="2" bestFit="1" customWidth="1"/>
    <col min="2325" max="2325" width="9" style="2"/>
    <col min="2326" max="2332" width="11.125" style="2" bestFit="1" customWidth="1"/>
    <col min="2333" max="2333" width="9" style="2"/>
    <col min="2334" max="2334" width="9.625" style="2" bestFit="1" customWidth="1"/>
    <col min="233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80" width="11.125" style="2" bestFit="1" customWidth="1"/>
    <col min="2581" max="2581" width="9" style="2"/>
    <col min="2582" max="2588" width="11.125" style="2" bestFit="1" customWidth="1"/>
    <col min="2589" max="2589" width="9" style="2"/>
    <col min="2590" max="2590" width="9.625" style="2" bestFit="1" customWidth="1"/>
    <col min="259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36" width="11.125" style="2" bestFit="1" customWidth="1"/>
    <col min="2837" max="2837" width="9" style="2"/>
    <col min="2838" max="2844" width="11.125" style="2" bestFit="1" customWidth="1"/>
    <col min="2845" max="2845" width="9" style="2"/>
    <col min="2846" max="2846" width="9.625" style="2" bestFit="1" customWidth="1"/>
    <col min="284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92" width="11.125" style="2" bestFit="1" customWidth="1"/>
    <col min="3093" max="3093" width="9" style="2"/>
    <col min="3094" max="3100" width="11.125" style="2" bestFit="1" customWidth="1"/>
    <col min="3101" max="3101" width="9" style="2"/>
    <col min="3102" max="3102" width="9.625" style="2" bestFit="1" customWidth="1"/>
    <col min="310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48" width="11.125" style="2" bestFit="1" customWidth="1"/>
    <col min="3349" max="3349" width="9" style="2"/>
    <col min="3350" max="3356" width="11.125" style="2" bestFit="1" customWidth="1"/>
    <col min="3357" max="3357" width="9" style="2"/>
    <col min="3358" max="3358" width="9.625" style="2" bestFit="1" customWidth="1"/>
    <col min="335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604" width="11.125" style="2" bestFit="1" customWidth="1"/>
    <col min="3605" max="3605" width="9" style="2"/>
    <col min="3606" max="3612" width="11.125" style="2" bestFit="1" customWidth="1"/>
    <col min="3613" max="3613" width="9" style="2"/>
    <col min="3614" max="3614" width="9.625" style="2" bestFit="1" customWidth="1"/>
    <col min="361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60" width="11.125" style="2" bestFit="1" customWidth="1"/>
    <col min="3861" max="3861" width="9" style="2"/>
    <col min="3862" max="3868" width="11.125" style="2" bestFit="1" customWidth="1"/>
    <col min="3869" max="3869" width="9" style="2"/>
    <col min="3870" max="3870" width="9.625" style="2" bestFit="1" customWidth="1"/>
    <col min="387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16" width="11.125" style="2" bestFit="1" customWidth="1"/>
    <col min="4117" max="4117" width="9" style="2"/>
    <col min="4118" max="4124" width="11.125" style="2" bestFit="1" customWidth="1"/>
    <col min="4125" max="4125" width="9" style="2"/>
    <col min="4126" max="4126" width="9.625" style="2" bestFit="1" customWidth="1"/>
    <col min="412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72" width="11.125" style="2" bestFit="1" customWidth="1"/>
    <col min="4373" max="4373" width="9" style="2"/>
    <col min="4374" max="4380" width="11.125" style="2" bestFit="1" customWidth="1"/>
    <col min="4381" max="4381" width="9" style="2"/>
    <col min="4382" max="4382" width="9.625" style="2" bestFit="1" customWidth="1"/>
    <col min="438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28" width="11.125" style="2" bestFit="1" customWidth="1"/>
    <col min="4629" max="4629" width="9" style="2"/>
    <col min="4630" max="4636" width="11.125" style="2" bestFit="1" customWidth="1"/>
    <col min="4637" max="4637" width="9" style="2"/>
    <col min="4638" max="4638" width="9.625" style="2" bestFit="1" customWidth="1"/>
    <col min="463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84" width="11.125" style="2" bestFit="1" customWidth="1"/>
    <col min="4885" max="4885" width="9" style="2"/>
    <col min="4886" max="4892" width="11.125" style="2" bestFit="1" customWidth="1"/>
    <col min="4893" max="4893" width="9" style="2"/>
    <col min="4894" max="4894" width="9.625" style="2" bestFit="1" customWidth="1"/>
    <col min="489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40" width="11.125" style="2" bestFit="1" customWidth="1"/>
    <col min="5141" max="5141" width="9" style="2"/>
    <col min="5142" max="5148" width="11.125" style="2" bestFit="1" customWidth="1"/>
    <col min="5149" max="5149" width="9" style="2"/>
    <col min="5150" max="5150" width="9.625" style="2" bestFit="1" customWidth="1"/>
    <col min="515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96" width="11.125" style="2" bestFit="1" customWidth="1"/>
    <col min="5397" max="5397" width="9" style="2"/>
    <col min="5398" max="5404" width="11.125" style="2" bestFit="1" customWidth="1"/>
    <col min="5405" max="5405" width="9" style="2"/>
    <col min="5406" max="5406" width="9.625" style="2" bestFit="1" customWidth="1"/>
    <col min="540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52" width="11.125" style="2" bestFit="1" customWidth="1"/>
    <col min="5653" max="5653" width="9" style="2"/>
    <col min="5654" max="5660" width="11.125" style="2" bestFit="1" customWidth="1"/>
    <col min="5661" max="5661" width="9" style="2"/>
    <col min="5662" max="5662" width="9.625" style="2" bestFit="1" customWidth="1"/>
    <col min="566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908" width="11.125" style="2" bestFit="1" customWidth="1"/>
    <col min="5909" max="5909" width="9" style="2"/>
    <col min="5910" max="5916" width="11.125" style="2" bestFit="1" customWidth="1"/>
    <col min="5917" max="5917" width="9" style="2"/>
    <col min="5918" max="5918" width="9.625" style="2" bestFit="1" customWidth="1"/>
    <col min="591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64" width="11.125" style="2" bestFit="1" customWidth="1"/>
    <col min="6165" max="6165" width="9" style="2"/>
    <col min="6166" max="6172" width="11.125" style="2" bestFit="1" customWidth="1"/>
    <col min="6173" max="6173" width="9" style="2"/>
    <col min="6174" max="6174" width="9.625" style="2" bestFit="1" customWidth="1"/>
    <col min="617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20" width="11.125" style="2" bestFit="1" customWidth="1"/>
    <col min="6421" max="6421" width="9" style="2"/>
    <col min="6422" max="6428" width="11.125" style="2" bestFit="1" customWidth="1"/>
    <col min="6429" max="6429" width="9" style="2"/>
    <col min="6430" max="6430" width="9.625" style="2" bestFit="1" customWidth="1"/>
    <col min="643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76" width="11.125" style="2" bestFit="1" customWidth="1"/>
    <col min="6677" max="6677" width="9" style="2"/>
    <col min="6678" max="6684" width="11.125" style="2" bestFit="1" customWidth="1"/>
    <col min="6685" max="6685" width="9" style="2"/>
    <col min="6686" max="6686" width="9.625" style="2" bestFit="1" customWidth="1"/>
    <col min="668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32" width="11.125" style="2" bestFit="1" customWidth="1"/>
    <col min="6933" max="6933" width="9" style="2"/>
    <col min="6934" max="6940" width="11.125" style="2" bestFit="1" customWidth="1"/>
    <col min="6941" max="6941" width="9" style="2"/>
    <col min="6942" max="6942" width="9.625" style="2" bestFit="1" customWidth="1"/>
    <col min="694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88" width="11.125" style="2" bestFit="1" customWidth="1"/>
    <col min="7189" max="7189" width="9" style="2"/>
    <col min="7190" max="7196" width="11.125" style="2" bestFit="1" customWidth="1"/>
    <col min="7197" max="7197" width="9" style="2"/>
    <col min="7198" max="7198" width="9.625" style="2" bestFit="1" customWidth="1"/>
    <col min="719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44" width="11.125" style="2" bestFit="1" customWidth="1"/>
    <col min="7445" max="7445" width="9" style="2"/>
    <col min="7446" max="7452" width="11.125" style="2" bestFit="1" customWidth="1"/>
    <col min="7453" max="7453" width="9" style="2"/>
    <col min="7454" max="7454" width="9.625" style="2" bestFit="1" customWidth="1"/>
    <col min="745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700" width="11.125" style="2" bestFit="1" customWidth="1"/>
    <col min="7701" max="7701" width="9" style="2"/>
    <col min="7702" max="7708" width="11.125" style="2" bestFit="1" customWidth="1"/>
    <col min="7709" max="7709" width="9" style="2"/>
    <col min="7710" max="7710" width="9.625" style="2" bestFit="1" customWidth="1"/>
    <col min="771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56" width="11.125" style="2" bestFit="1" customWidth="1"/>
    <col min="7957" max="7957" width="9" style="2"/>
    <col min="7958" max="7964" width="11.125" style="2" bestFit="1" customWidth="1"/>
    <col min="7965" max="7965" width="9" style="2"/>
    <col min="7966" max="7966" width="9.625" style="2" bestFit="1" customWidth="1"/>
    <col min="796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12" width="11.125" style="2" bestFit="1" customWidth="1"/>
    <col min="8213" max="8213" width="9" style="2"/>
    <col min="8214" max="8220" width="11.125" style="2" bestFit="1" customWidth="1"/>
    <col min="8221" max="8221" width="9" style="2"/>
    <col min="8222" max="8222" width="9.625" style="2" bestFit="1" customWidth="1"/>
    <col min="822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68" width="11.125" style="2" bestFit="1" customWidth="1"/>
    <col min="8469" max="8469" width="9" style="2"/>
    <col min="8470" max="8476" width="11.125" style="2" bestFit="1" customWidth="1"/>
    <col min="8477" max="8477" width="9" style="2"/>
    <col min="8478" max="8478" width="9.625" style="2" bestFit="1" customWidth="1"/>
    <col min="847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24" width="11.125" style="2" bestFit="1" customWidth="1"/>
    <col min="8725" max="8725" width="9" style="2"/>
    <col min="8726" max="8732" width="11.125" style="2" bestFit="1" customWidth="1"/>
    <col min="8733" max="8733" width="9" style="2"/>
    <col min="8734" max="8734" width="9.625" style="2" bestFit="1" customWidth="1"/>
    <col min="873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80" width="11.125" style="2" bestFit="1" customWidth="1"/>
    <col min="8981" max="8981" width="9" style="2"/>
    <col min="8982" max="8988" width="11.125" style="2" bestFit="1" customWidth="1"/>
    <col min="8989" max="8989" width="9" style="2"/>
    <col min="8990" max="8990" width="9.625" style="2" bestFit="1" customWidth="1"/>
    <col min="899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36" width="11.125" style="2" bestFit="1" customWidth="1"/>
    <col min="9237" max="9237" width="9" style="2"/>
    <col min="9238" max="9244" width="11.125" style="2" bestFit="1" customWidth="1"/>
    <col min="9245" max="9245" width="9" style="2"/>
    <col min="9246" max="9246" width="9.625" style="2" bestFit="1" customWidth="1"/>
    <col min="924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92" width="11.125" style="2" bestFit="1" customWidth="1"/>
    <col min="9493" max="9493" width="9" style="2"/>
    <col min="9494" max="9500" width="11.125" style="2" bestFit="1" customWidth="1"/>
    <col min="9501" max="9501" width="9" style="2"/>
    <col min="9502" max="9502" width="9.625" style="2" bestFit="1" customWidth="1"/>
    <col min="950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48" width="11.125" style="2" bestFit="1" customWidth="1"/>
    <col min="9749" max="9749" width="9" style="2"/>
    <col min="9750" max="9756" width="11.125" style="2" bestFit="1" customWidth="1"/>
    <col min="9757" max="9757" width="9" style="2"/>
    <col min="9758" max="9758" width="9.625" style="2" bestFit="1" customWidth="1"/>
    <col min="975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10004" width="11.125" style="2" bestFit="1" customWidth="1"/>
    <col min="10005" max="10005" width="9" style="2"/>
    <col min="10006" max="10012" width="11.125" style="2" bestFit="1" customWidth="1"/>
    <col min="10013" max="10013" width="9" style="2"/>
    <col min="10014" max="10014" width="9.625" style="2" bestFit="1" customWidth="1"/>
    <col min="1001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60" width="11.125" style="2" bestFit="1" customWidth="1"/>
    <col min="10261" max="10261" width="9" style="2"/>
    <col min="10262" max="10268" width="11.125" style="2" bestFit="1" customWidth="1"/>
    <col min="10269" max="10269" width="9" style="2"/>
    <col min="10270" max="10270" width="9.625" style="2" bestFit="1" customWidth="1"/>
    <col min="1027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16" width="11.125" style="2" bestFit="1" customWidth="1"/>
    <col min="10517" max="10517" width="9" style="2"/>
    <col min="10518" max="10524" width="11.125" style="2" bestFit="1" customWidth="1"/>
    <col min="10525" max="10525" width="9" style="2"/>
    <col min="10526" max="10526" width="9.625" style="2" bestFit="1" customWidth="1"/>
    <col min="1052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72" width="11.125" style="2" bestFit="1" customWidth="1"/>
    <col min="10773" max="10773" width="9" style="2"/>
    <col min="10774" max="10780" width="11.125" style="2" bestFit="1" customWidth="1"/>
    <col min="10781" max="10781" width="9" style="2"/>
    <col min="10782" max="10782" width="9.625" style="2" bestFit="1" customWidth="1"/>
    <col min="1078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28" width="11.125" style="2" bestFit="1" customWidth="1"/>
    <col min="11029" max="11029" width="9" style="2"/>
    <col min="11030" max="11036" width="11.125" style="2" bestFit="1" customWidth="1"/>
    <col min="11037" max="11037" width="9" style="2"/>
    <col min="11038" max="11038" width="9.625" style="2" bestFit="1" customWidth="1"/>
    <col min="1103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84" width="11.125" style="2" bestFit="1" customWidth="1"/>
    <col min="11285" max="11285" width="9" style="2"/>
    <col min="11286" max="11292" width="11.125" style="2" bestFit="1" customWidth="1"/>
    <col min="11293" max="11293" width="9" style="2"/>
    <col min="11294" max="11294" width="9.625" style="2" bestFit="1" customWidth="1"/>
    <col min="1129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40" width="11.125" style="2" bestFit="1" customWidth="1"/>
    <col min="11541" max="11541" width="9" style="2"/>
    <col min="11542" max="11548" width="11.125" style="2" bestFit="1" customWidth="1"/>
    <col min="11549" max="11549" width="9" style="2"/>
    <col min="11550" max="11550" width="9.625" style="2" bestFit="1" customWidth="1"/>
    <col min="1155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96" width="11.125" style="2" bestFit="1" customWidth="1"/>
    <col min="11797" max="11797" width="9" style="2"/>
    <col min="11798" max="11804" width="11.125" style="2" bestFit="1" customWidth="1"/>
    <col min="11805" max="11805" width="9" style="2"/>
    <col min="11806" max="11806" width="9.625" style="2" bestFit="1" customWidth="1"/>
    <col min="1180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52" width="11.125" style="2" bestFit="1" customWidth="1"/>
    <col min="12053" max="12053" width="9" style="2"/>
    <col min="12054" max="12060" width="11.125" style="2" bestFit="1" customWidth="1"/>
    <col min="12061" max="12061" width="9" style="2"/>
    <col min="12062" max="12062" width="9.625" style="2" bestFit="1" customWidth="1"/>
    <col min="1206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308" width="11.125" style="2" bestFit="1" customWidth="1"/>
    <col min="12309" max="12309" width="9" style="2"/>
    <col min="12310" max="12316" width="11.125" style="2" bestFit="1" customWidth="1"/>
    <col min="12317" max="12317" width="9" style="2"/>
    <col min="12318" max="12318" width="9.625" style="2" bestFit="1" customWidth="1"/>
    <col min="1231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64" width="11.125" style="2" bestFit="1" customWidth="1"/>
    <col min="12565" max="12565" width="9" style="2"/>
    <col min="12566" max="12572" width="11.125" style="2" bestFit="1" customWidth="1"/>
    <col min="12573" max="12573" width="9" style="2"/>
    <col min="12574" max="12574" width="9.625" style="2" bestFit="1" customWidth="1"/>
    <col min="1257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20" width="11.125" style="2" bestFit="1" customWidth="1"/>
    <col min="12821" max="12821" width="9" style="2"/>
    <col min="12822" max="12828" width="11.125" style="2" bestFit="1" customWidth="1"/>
    <col min="12829" max="12829" width="9" style="2"/>
    <col min="12830" max="12830" width="9.625" style="2" bestFit="1" customWidth="1"/>
    <col min="1283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76" width="11.125" style="2" bestFit="1" customWidth="1"/>
    <col min="13077" max="13077" width="9" style="2"/>
    <col min="13078" max="13084" width="11.125" style="2" bestFit="1" customWidth="1"/>
    <col min="13085" max="13085" width="9" style="2"/>
    <col min="13086" max="13086" width="9.625" style="2" bestFit="1" customWidth="1"/>
    <col min="1308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32" width="11.125" style="2" bestFit="1" customWidth="1"/>
    <col min="13333" max="13333" width="9" style="2"/>
    <col min="13334" max="13340" width="11.125" style="2" bestFit="1" customWidth="1"/>
    <col min="13341" max="13341" width="9" style="2"/>
    <col min="13342" max="13342" width="9.625" style="2" bestFit="1" customWidth="1"/>
    <col min="1334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88" width="11.125" style="2" bestFit="1" customWidth="1"/>
    <col min="13589" max="13589" width="9" style="2"/>
    <col min="13590" max="13596" width="11.125" style="2" bestFit="1" customWidth="1"/>
    <col min="13597" max="13597" width="9" style="2"/>
    <col min="13598" max="13598" width="9.625" style="2" bestFit="1" customWidth="1"/>
    <col min="1359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44" width="11.125" style="2" bestFit="1" customWidth="1"/>
    <col min="13845" max="13845" width="9" style="2"/>
    <col min="13846" max="13852" width="11.125" style="2" bestFit="1" customWidth="1"/>
    <col min="13853" max="13853" width="9" style="2"/>
    <col min="13854" max="13854" width="9.625" style="2" bestFit="1" customWidth="1"/>
    <col min="1385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100" width="11.125" style="2" bestFit="1" customWidth="1"/>
    <col min="14101" max="14101" width="9" style="2"/>
    <col min="14102" max="14108" width="11.125" style="2" bestFit="1" customWidth="1"/>
    <col min="14109" max="14109" width="9" style="2"/>
    <col min="14110" max="14110" width="9.625" style="2" bestFit="1" customWidth="1"/>
    <col min="1411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56" width="11.125" style="2" bestFit="1" customWidth="1"/>
    <col min="14357" max="14357" width="9" style="2"/>
    <col min="14358" max="14364" width="11.125" style="2" bestFit="1" customWidth="1"/>
    <col min="14365" max="14365" width="9" style="2"/>
    <col min="14366" max="14366" width="9.625" style="2" bestFit="1" customWidth="1"/>
    <col min="1436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12" width="11.125" style="2" bestFit="1" customWidth="1"/>
    <col min="14613" max="14613" width="9" style="2"/>
    <col min="14614" max="14620" width="11.125" style="2" bestFit="1" customWidth="1"/>
    <col min="14621" max="14621" width="9" style="2"/>
    <col min="14622" max="14622" width="9.625" style="2" bestFit="1" customWidth="1"/>
    <col min="1462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68" width="11.125" style="2" bestFit="1" customWidth="1"/>
    <col min="14869" max="14869" width="9" style="2"/>
    <col min="14870" max="14876" width="11.125" style="2" bestFit="1" customWidth="1"/>
    <col min="14877" max="14877" width="9" style="2"/>
    <col min="14878" max="14878" width="9.625" style="2" bestFit="1" customWidth="1"/>
    <col min="1487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24" width="11.125" style="2" bestFit="1" customWidth="1"/>
    <col min="15125" max="15125" width="9" style="2"/>
    <col min="15126" max="15132" width="11.125" style="2" bestFit="1" customWidth="1"/>
    <col min="15133" max="15133" width="9" style="2"/>
    <col min="15134" max="15134" width="9.625" style="2" bestFit="1" customWidth="1"/>
    <col min="1513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80" width="11.125" style="2" bestFit="1" customWidth="1"/>
    <col min="15381" max="15381" width="9" style="2"/>
    <col min="15382" max="15388" width="11.125" style="2" bestFit="1" customWidth="1"/>
    <col min="15389" max="15389" width="9" style="2"/>
    <col min="15390" max="15390" width="9.625" style="2" bestFit="1" customWidth="1"/>
    <col min="1539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36" width="11.125" style="2" bestFit="1" customWidth="1"/>
    <col min="15637" max="15637" width="9" style="2"/>
    <col min="15638" max="15644" width="11.125" style="2" bestFit="1" customWidth="1"/>
    <col min="15645" max="15645" width="9" style="2"/>
    <col min="15646" max="15646" width="9.625" style="2" bestFit="1" customWidth="1"/>
    <col min="1564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92" width="11.125" style="2" bestFit="1" customWidth="1"/>
    <col min="15893" max="15893" width="9" style="2"/>
    <col min="15894" max="15900" width="11.125" style="2" bestFit="1" customWidth="1"/>
    <col min="15901" max="15901" width="9" style="2"/>
    <col min="15902" max="15902" width="9.625" style="2" bestFit="1" customWidth="1"/>
    <col min="1590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48" width="11.125" style="2" bestFit="1" customWidth="1"/>
    <col min="16149" max="16149" width="9" style="2"/>
    <col min="16150" max="16156" width="11.125" style="2" bestFit="1" customWidth="1"/>
    <col min="16157" max="16157" width="9" style="2"/>
    <col min="16158" max="16158" width="9.625" style="2" bestFit="1" customWidth="1"/>
    <col min="16159" max="16384" width="9" style="2"/>
  </cols>
  <sheetData>
    <row r="1" spans="1:31">
      <c r="A1" s="1" t="s">
        <v>0</v>
      </c>
    </row>
    <row r="2" spans="1:31" ht="19.5" thickBot="1">
      <c r="A2" s="1" t="s">
        <v>104</v>
      </c>
    </row>
    <row r="3" spans="1:31">
      <c r="B3" s="5"/>
      <c r="C3" s="6" t="s">
        <v>2</v>
      </c>
      <c r="D3" s="7" t="s">
        <v>3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0" t="s">
        <v>20</v>
      </c>
      <c r="S3" s="98" t="s">
        <v>105</v>
      </c>
      <c r="T3" s="84" t="s">
        <v>14</v>
      </c>
      <c r="U3" s="7" t="s">
        <v>4</v>
      </c>
      <c r="V3" s="7" t="s">
        <v>22</v>
      </c>
      <c r="W3" s="7" t="s">
        <v>23</v>
      </c>
      <c r="X3" s="7" t="s">
        <v>21</v>
      </c>
      <c r="Y3" s="7" t="s">
        <v>24</v>
      </c>
      <c r="Z3" s="7" t="s">
        <v>25</v>
      </c>
      <c r="AA3" s="100" t="s">
        <v>26</v>
      </c>
      <c r="AB3" s="98" t="s">
        <v>105</v>
      </c>
      <c r="AC3" s="100" t="s">
        <v>5</v>
      </c>
      <c r="AD3" s="98" t="s">
        <v>105</v>
      </c>
      <c r="AE3" s="8"/>
    </row>
    <row r="4" spans="1:31" ht="19.5" thickBot="1">
      <c r="A4" s="69"/>
      <c r="B4" s="9" t="s">
        <v>27</v>
      </c>
      <c r="C4" s="10" t="s">
        <v>28</v>
      </c>
      <c r="D4" s="11" t="s">
        <v>29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41</v>
      </c>
      <c r="N4" s="11" t="s">
        <v>42</v>
      </c>
      <c r="O4" s="11" t="s">
        <v>43</v>
      </c>
      <c r="P4" s="11" t="s">
        <v>44</v>
      </c>
      <c r="Q4" s="11" t="s">
        <v>45</v>
      </c>
      <c r="R4" s="71" t="s">
        <v>46</v>
      </c>
      <c r="S4" s="99" t="s">
        <v>106</v>
      </c>
      <c r="T4" s="85" t="s">
        <v>40</v>
      </c>
      <c r="U4" s="11" t="s">
        <v>30</v>
      </c>
      <c r="V4" s="11" t="s">
        <v>48</v>
      </c>
      <c r="W4" s="11" t="s">
        <v>49</v>
      </c>
      <c r="X4" s="11" t="s">
        <v>47</v>
      </c>
      <c r="Y4" s="11" t="s">
        <v>50</v>
      </c>
      <c r="Z4" s="11" t="s">
        <v>51</v>
      </c>
      <c r="AA4" s="3" t="s">
        <v>52</v>
      </c>
      <c r="AB4" s="99" t="s">
        <v>107</v>
      </c>
      <c r="AC4" s="3" t="s">
        <v>31</v>
      </c>
      <c r="AD4" s="99" t="s">
        <v>108</v>
      </c>
      <c r="AE4" s="113" t="s">
        <v>53</v>
      </c>
    </row>
    <row r="5" spans="1:31">
      <c r="A5" s="1" t="s">
        <v>1</v>
      </c>
      <c r="B5" s="12" t="s">
        <v>54</v>
      </c>
      <c r="C5" s="13">
        <v>19</v>
      </c>
      <c r="D5" s="14">
        <v>20</v>
      </c>
      <c r="E5" s="14">
        <v>18</v>
      </c>
      <c r="F5" s="14">
        <v>20</v>
      </c>
      <c r="G5" s="14">
        <v>0</v>
      </c>
      <c r="H5" s="14">
        <v>20</v>
      </c>
      <c r="I5" s="14">
        <v>18</v>
      </c>
      <c r="J5" s="14">
        <v>20</v>
      </c>
      <c r="K5" s="14">
        <v>14</v>
      </c>
      <c r="L5" s="14">
        <v>16</v>
      </c>
      <c r="M5" s="14">
        <v>20</v>
      </c>
      <c r="N5" s="14">
        <v>19</v>
      </c>
      <c r="O5" s="14">
        <v>20</v>
      </c>
      <c r="P5" s="14">
        <v>20</v>
      </c>
      <c r="Q5" s="14">
        <v>20</v>
      </c>
      <c r="R5" s="72">
        <v>20</v>
      </c>
      <c r="S5" s="16">
        <f>SUM(C5:R5)</f>
        <v>284</v>
      </c>
      <c r="T5" s="86">
        <v>19</v>
      </c>
      <c r="U5" s="14">
        <v>20</v>
      </c>
      <c r="V5" s="14">
        <v>14</v>
      </c>
      <c r="W5" s="14">
        <v>15</v>
      </c>
      <c r="X5" s="14">
        <v>10</v>
      </c>
      <c r="Y5" s="14">
        <v>7</v>
      </c>
      <c r="Z5" s="14">
        <v>12</v>
      </c>
      <c r="AA5" s="15">
        <v>18</v>
      </c>
      <c r="AB5" s="16">
        <f>SUM(T5:AA5)</f>
        <v>115</v>
      </c>
      <c r="AC5" s="15">
        <v>19</v>
      </c>
      <c r="AD5" s="16">
        <f>SUM(AC5)</f>
        <v>19</v>
      </c>
      <c r="AE5" s="101">
        <f>SUM(AD5,AB5,S5)</f>
        <v>418</v>
      </c>
    </row>
    <row r="6" spans="1:31">
      <c r="A6" s="1" t="s">
        <v>1</v>
      </c>
      <c r="B6" s="17" t="s">
        <v>55</v>
      </c>
      <c r="C6" s="18">
        <v>5</v>
      </c>
      <c r="D6" s="19">
        <v>4</v>
      </c>
      <c r="E6" s="19">
        <v>1</v>
      </c>
      <c r="F6" s="19">
        <v>1</v>
      </c>
      <c r="G6" s="19">
        <v>0</v>
      </c>
      <c r="H6" s="19">
        <v>3</v>
      </c>
      <c r="I6" s="19">
        <v>4</v>
      </c>
      <c r="J6" s="19">
        <v>3</v>
      </c>
      <c r="K6" s="19">
        <v>4</v>
      </c>
      <c r="L6" s="19">
        <v>1</v>
      </c>
      <c r="M6" s="19">
        <v>0</v>
      </c>
      <c r="N6" s="19">
        <v>2</v>
      </c>
      <c r="O6" s="19">
        <v>4</v>
      </c>
      <c r="P6" s="19">
        <v>3</v>
      </c>
      <c r="Q6" s="19">
        <v>5</v>
      </c>
      <c r="R6" s="73">
        <v>3</v>
      </c>
      <c r="S6" s="21">
        <f t="shared" ref="S6:S55" si="0">SUM(C6:R6)</f>
        <v>43</v>
      </c>
      <c r="T6" s="87">
        <v>0</v>
      </c>
      <c r="U6" s="19">
        <v>4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20">
        <v>0</v>
      </c>
      <c r="AB6" s="21">
        <f t="shared" ref="AB6:AB55" si="1">SUM(T6:AA6)</f>
        <v>4</v>
      </c>
      <c r="AC6" s="20">
        <v>0</v>
      </c>
      <c r="AD6" s="21">
        <f t="shared" ref="AD6:AD54" si="2">SUM(AC6)</f>
        <v>0</v>
      </c>
      <c r="AE6" s="102">
        <f t="shared" ref="AE6:AE55" si="3">SUM(AD6,AB6,S6)</f>
        <v>47</v>
      </c>
    </row>
    <row r="7" spans="1:31">
      <c r="A7" s="1" t="s">
        <v>1</v>
      </c>
      <c r="B7" s="17" t="s">
        <v>56</v>
      </c>
      <c r="C7" s="18">
        <v>2</v>
      </c>
      <c r="D7" s="19">
        <v>3</v>
      </c>
      <c r="E7" s="19">
        <v>2</v>
      </c>
      <c r="F7" s="19">
        <v>2</v>
      </c>
      <c r="G7" s="19">
        <v>0</v>
      </c>
      <c r="H7" s="19">
        <v>2</v>
      </c>
      <c r="I7" s="19">
        <v>1</v>
      </c>
      <c r="J7" s="19">
        <v>2</v>
      </c>
      <c r="K7" s="19">
        <v>4</v>
      </c>
      <c r="L7" s="19">
        <v>4</v>
      </c>
      <c r="M7" s="19">
        <v>2</v>
      </c>
      <c r="N7" s="19">
        <v>2</v>
      </c>
      <c r="O7" s="19">
        <v>1</v>
      </c>
      <c r="P7" s="19">
        <v>2</v>
      </c>
      <c r="Q7" s="19">
        <v>1</v>
      </c>
      <c r="R7" s="73">
        <v>0</v>
      </c>
      <c r="S7" s="21">
        <f t="shared" si="0"/>
        <v>30</v>
      </c>
      <c r="T7" s="87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20">
        <v>0</v>
      </c>
      <c r="AB7" s="21">
        <f t="shared" si="1"/>
        <v>0</v>
      </c>
      <c r="AC7" s="20">
        <v>0</v>
      </c>
      <c r="AD7" s="21">
        <f t="shared" si="2"/>
        <v>0</v>
      </c>
      <c r="AE7" s="102">
        <f t="shared" si="3"/>
        <v>30</v>
      </c>
    </row>
    <row r="8" spans="1:31">
      <c r="A8" s="1" t="s">
        <v>1</v>
      </c>
      <c r="B8" s="17" t="s">
        <v>57</v>
      </c>
      <c r="C8" s="18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19">
        <v>0</v>
      </c>
      <c r="R8" s="73">
        <v>0</v>
      </c>
      <c r="S8" s="21">
        <f t="shared" si="0"/>
        <v>3</v>
      </c>
      <c r="T8" s="87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20">
        <v>0</v>
      </c>
      <c r="AB8" s="21">
        <f t="shared" si="1"/>
        <v>0</v>
      </c>
      <c r="AC8" s="20">
        <v>0</v>
      </c>
      <c r="AD8" s="21">
        <f t="shared" si="2"/>
        <v>0</v>
      </c>
      <c r="AE8" s="102">
        <f t="shared" si="3"/>
        <v>3</v>
      </c>
    </row>
    <row r="9" spans="1:31">
      <c r="A9" s="1" t="s">
        <v>1</v>
      </c>
      <c r="B9" s="17" t="s">
        <v>58</v>
      </c>
      <c r="C9" s="18">
        <v>1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2</v>
      </c>
      <c r="J9" s="19">
        <v>0</v>
      </c>
      <c r="K9" s="19">
        <v>5.5</v>
      </c>
      <c r="L9" s="19">
        <v>3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73">
        <v>0</v>
      </c>
      <c r="S9" s="21">
        <f t="shared" si="0"/>
        <v>13.5</v>
      </c>
      <c r="T9" s="87">
        <v>0.5</v>
      </c>
      <c r="U9" s="19">
        <v>0</v>
      </c>
      <c r="V9" s="19">
        <v>0</v>
      </c>
      <c r="W9" s="19">
        <v>1</v>
      </c>
      <c r="X9" s="19">
        <v>1</v>
      </c>
      <c r="Y9" s="19">
        <v>0</v>
      </c>
      <c r="Z9" s="19">
        <v>0</v>
      </c>
      <c r="AA9" s="20">
        <v>0</v>
      </c>
      <c r="AB9" s="21">
        <f t="shared" si="1"/>
        <v>2.5</v>
      </c>
      <c r="AC9" s="20">
        <v>1</v>
      </c>
      <c r="AD9" s="21">
        <f t="shared" si="2"/>
        <v>1</v>
      </c>
      <c r="AE9" s="102">
        <f t="shared" si="3"/>
        <v>17</v>
      </c>
    </row>
    <row r="10" spans="1:31">
      <c r="A10" s="1" t="s">
        <v>1</v>
      </c>
      <c r="B10" s="17" t="s">
        <v>59</v>
      </c>
      <c r="C10" s="18">
        <v>0</v>
      </c>
      <c r="D10" s="19">
        <v>0</v>
      </c>
      <c r="E10" s="19">
        <v>0</v>
      </c>
      <c r="F10" s="19">
        <v>0</v>
      </c>
      <c r="G10" s="19">
        <v>20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73">
        <v>0</v>
      </c>
      <c r="S10" s="21">
        <f t="shared" si="0"/>
        <v>20</v>
      </c>
      <c r="T10" s="87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0">
        <v>0</v>
      </c>
      <c r="AB10" s="21">
        <f t="shared" si="1"/>
        <v>0</v>
      </c>
      <c r="AC10" s="20">
        <v>0</v>
      </c>
      <c r="AD10" s="21">
        <f t="shared" si="2"/>
        <v>0</v>
      </c>
      <c r="AE10" s="102">
        <f t="shared" si="3"/>
        <v>20</v>
      </c>
    </row>
    <row r="11" spans="1:31">
      <c r="A11" s="1" t="s">
        <v>1</v>
      </c>
      <c r="B11" s="17" t="s">
        <v>60</v>
      </c>
      <c r="C11" s="22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74">
        <v>0</v>
      </c>
      <c r="S11" s="25">
        <f t="shared" si="0"/>
        <v>0</v>
      </c>
      <c r="T11" s="88">
        <v>0</v>
      </c>
      <c r="U11" s="23">
        <v>0</v>
      </c>
      <c r="V11" s="23">
        <v>3.5416666666666665</v>
      </c>
      <c r="W11" s="23">
        <v>3.5416666666666665</v>
      </c>
      <c r="X11" s="23">
        <v>2.9583333333333335</v>
      </c>
      <c r="Y11" s="23">
        <v>2.2083333333333335</v>
      </c>
      <c r="Z11" s="23">
        <v>3.25</v>
      </c>
      <c r="AA11" s="24">
        <v>4.541666666666667</v>
      </c>
      <c r="AB11" s="25">
        <f t="shared" si="1"/>
        <v>20.041666666666668</v>
      </c>
      <c r="AC11" s="24">
        <v>0</v>
      </c>
      <c r="AD11" s="25">
        <f t="shared" si="2"/>
        <v>0</v>
      </c>
      <c r="AE11" s="103">
        <f t="shared" si="3"/>
        <v>20.041666666666668</v>
      </c>
    </row>
    <row r="12" spans="1:31">
      <c r="A12" s="1" t="s">
        <v>1</v>
      </c>
      <c r="B12" s="17" t="s">
        <v>61</v>
      </c>
      <c r="C12" s="22">
        <v>1.0416666666666667</v>
      </c>
      <c r="D12" s="23">
        <v>1.2916666666666667</v>
      </c>
      <c r="E12" s="23">
        <v>1.2083333333333333</v>
      </c>
      <c r="F12" s="23">
        <v>2.5</v>
      </c>
      <c r="G12" s="23">
        <v>0</v>
      </c>
      <c r="H12" s="23">
        <v>2.0416666666666665</v>
      </c>
      <c r="I12" s="23">
        <v>1.5416666666666665</v>
      </c>
      <c r="J12" s="23">
        <v>1.5833333333333335</v>
      </c>
      <c r="K12" s="23">
        <v>0.83333333333333337</v>
      </c>
      <c r="L12" s="23">
        <v>1.125</v>
      </c>
      <c r="M12" s="23">
        <v>1.9166666666666665</v>
      </c>
      <c r="N12" s="23">
        <v>1.1666666666666667</v>
      </c>
      <c r="O12" s="23">
        <v>2.5</v>
      </c>
      <c r="P12" s="23">
        <v>1.7083333333333335</v>
      </c>
      <c r="Q12" s="23">
        <v>1.0416666666666667</v>
      </c>
      <c r="R12" s="74">
        <v>1.1666666666666667</v>
      </c>
      <c r="S12" s="25">
        <f t="shared" si="0"/>
        <v>22.666666666666668</v>
      </c>
      <c r="T12" s="88">
        <v>0</v>
      </c>
      <c r="U12" s="23">
        <v>1.625</v>
      </c>
      <c r="V12" s="23">
        <v>0</v>
      </c>
      <c r="W12" s="23">
        <v>0</v>
      </c>
      <c r="X12" s="23">
        <v>0</v>
      </c>
      <c r="Y12" s="23">
        <v>4.1666666666666664E-2</v>
      </c>
      <c r="Z12" s="23">
        <v>0</v>
      </c>
      <c r="AA12" s="24">
        <v>0.16666666666666666</v>
      </c>
      <c r="AB12" s="25">
        <f t="shared" si="1"/>
        <v>1.8333333333333335</v>
      </c>
      <c r="AC12" s="24">
        <v>0</v>
      </c>
      <c r="AD12" s="25">
        <f t="shared" si="2"/>
        <v>0</v>
      </c>
      <c r="AE12" s="103">
        <f t="shared" si="3"/>
        <v>24.5</v>
      </c>
    </row>
    <row r="13" spans="1:31">
      <c r="A13" s="1" t="s">
        <v>1</v>
      </c>
      <c r="B13" s="17" t="s">
        <v>62</v>
      </c>
      <c r="C13" s="22">
        <v>1.375</v>
      </c>
      <c r="D13" s="23">
        <v>1.1666666666666667</v>
      </c>
      <c r="E13" s="23">
        <v>0.20833333333333334</v>
      </c>
      <c r="F13" s="23">
        <v>0.33333333333333331</v>
      </c>
      <c r="G13" s="23">
        <v>0</v>
      </c>
      <c r="H13" s="23">
        <v>0.95833333333333337</v>
      </c>
      <c r="I13" s="23">
        <v>1.5416666666666665</v>
      </c>
      <c r="J13" s="23">
        <v>1.125</v>
      </c>
      <c r="K13" s="23">
        <v>1</v>
      </c>
      <c r="L13" s="23">
        <v>0.5</v>
      </c>
      <c r="M13" s="23">
        <v>0</v>
      </c>
      <c r="N13" s="23">
        <v>0.58333333333333337</v>
      </c>
      <c r="O13" s="23">
        <v>1.5</v>
      </c>
      <c r="P13" s="23">
        <v>0.91666666666666663</v>
      </c>
      <c r="Q13" s="23">
        <v>1.7083333333333335</v>
      </c>
      <c r="R13" s="74">
        <v>0.83333333333333337</v>
      </c>
      <c r="S13" s="25">
        <f t="shared" si="0"/>
        <v>13.750000000000002</v>
      </c>
      <c r="T13" s="88">
        <v>0</v>
      </c>
      <c r="U13" s="23">
        <v>1.4166666666666667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4">
        <v>0</v>
      </c>
      <c r="AB13" s="25">
        <f t="shared" si="1"/>
        <v>1.4166666666666667</v>
      </c>
      <c r="AC13" s="24">
        <v>0</v>
      </c>
      <c r="AD13" s="25">
        <f t="shared" si="2"/>
        <v>0</v>
      </c>
      <c r="AE13" s="103">
        <f t="shared" si="3"/>
        <v>15.166666666666668</v>
      </c>
    </row>
    <row r="14" spans="1:31">
      <c r="A14" s="1" t="s">
        <v>1</v>
      </c>
      <c r="B14" s="17" t="s">
        <v>63</v>
      </c>
      <c r="C14" s="22">
        <v>0.83333333333333337</v>
      </c>
      <c r="D14" s="23">
        <v>0.625</v>
      </c>
      <c r="E14" s="23">
        <v>0.91666666666666663</v>
      </c>
      <c r="F14" s="23">
        <v>0.70833333333333337</v>
      </c>
      <c r="G14" s="23">
        <v>0</v>
      </c>
      <c r="H14" s="23">
        <v>0.70833333333333337</v>
      </c>
      <c r="I14" s="23">
        <v>0.16666666666666666</v>
      </c>
      <c r="J14" s="23">
        <v>0.75</v>
      </c>
      <c r="K14" s="23">
        <v>1.5</v>
      </c>
      <c r="L14" s="23">
        <v>1.2916666666666667</v>
      </c>
      <c r="M14" s="23">
        <v>0.70833333333333337</v>
      </c>
      <c r="N14" s="23">
        <v>0.25</v>
      </c>
      <c r="O14" s="23">
        <v>0.58333333333333337</v>
      </c>
      <c r="P14" s="23">
        <v>0.75</v>
      </c>
      <c r="Q14" s="23">
        <v>0.25</v>
      </c>
      <c r="R14" s="74">
        <v>0</v>
      </c>
      <c r="S14" s="25">
        <f t="shared" si="0"/>
        <v>10.041666666666668</v>
      </c>
      <c r="T14" s="88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4">
        <v>0</v>
      </c>
      <c r="AB14" s="25">
        <f t="shared" si="1"/>
        <v>0</v>
      </c>
      <c r="AC14" s="24">
        <v>0</v>
      </c>
      <c r="AD14" s="25">
        <f t="shared" si="2"/>
        <v>0</v>
      </c>
      <c r="AE14" s="103">
        <f t="shared" si="3"/>
        <v>10.041666666666668</v>
      </c>
    </row>
    <row r="15" spans="1:31">
      <c r="A15" s="1" t="s">
        <v>1</v>
      </c>
      <c r="B15" s="17" t="s">
        <v>64</v>
      </c>
      <c r="C15" s="22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0.20833333333333334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74">
        <v>0</v>
      </c>
      <c r="S15" s="25">
        <f t="shared" si="0"/>
        <v>0.20833333333333334</v>
      </c>
      <c r="T15" s="88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4">
        <v>0</v>
      </c>
      <c r="AB15" s="25">
        <f t="shared" si="1"/>
        <v>0</v>
      </c>
      <c r="AC15" s="24">
        <v>0</v>
      </c>
      <c r="AD15" s="25">
        <f t="shared" si="2"/>
        <v>0</v>
      </c>
      <c r="AE15" s="103">
        <f t="shared" si="3"/>
        <v>0.20833333333333334</v>
      </c>
    </row>
    <row r="16" spans="1:31">
      <c r="A16" s="1" t="s">
        <v>1</v>
      </c>
      <c r="B16" s="17" t="s">
        <v>65</v>
      </c>
      <c r="C16" s="22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0.20833333333333334</v>
      </c>
      <c r="M16" s="23">
        <v>0</v>
      </c>
      <c r="N16" s="23">
        <v>0.375</v>
      </c>
      <c r="O16" s="23">
        <v>0</v>
      </c>
      <c r="P16" s="23">
        <v>0</v>
      </c>
      <c r="Q16" s="23">
        <v>0</v>
      </c>
      <c r="R16" s="74">
        <v>0</v>
      </c>
      <c r="S16" s="25">
        <f t="shared" si="0"/>
        <v>0.58333333333333337</v>
      </c>
      <c r="T16" s="88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4">
        <v>0</v>
      </c>
      <c r="AB16" s="25">
        <f t="shared" si="1"/>
        <v>0</v>
      </c>
      <c r="AC16" s="24">
        <v>0</v>
      </c>
      <c r="AD16" s="25">
        <f t="shared" si="2"/>
        <v>0</v>
      </c>
      <c r="AE16" s="103">
        <f t="shared" si="3"/>
        <v>0.58333333333333337</v>
      </c>
    </row>
    <row r="17" spans="1:31">
      <c r="A17" s="1" t="s">
        <v>1</v>
      </c>
      <c r="B17" s="17" t="s">
        <v>66</v>
      </c>
      <c r="C17" s="22">
        <v>0</v>
      </c>
      <c r="D17" s="23">
        <v>0</v>
      </c>
      <c r="E17" s="23">
        <v>0</v>
      </c>
      <c r="F17" s="23">
        <v>8.3333333333333329E-2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0.25</v>
      </c>
      <c r="P17" s="23">
        <v>0</v>
      </c>
      <c r="Q17" s="23">
        <v>0</v>
      </c>
      <c r="R17" s="74">
        <v>0</v>
      </c>
      <c r="S17" s="25">
        <f t="shared" si="0"/>
        <v>0.33333333333333331</v>
      </c>
      <c r="T17" s="88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4">
        <v>0</v>
      </c>
      <c r="AB17" s="25">
        <f t="shared" si="1"/>
        <v>0</v>
      </c>
      <c r="AC17" s="24">
        <v>0</v>
      </c>
      <c r="AD17" s="25">
        <f t="shared" si="2"/>
        <v>0</v>
      </c>
      <c r="AE17" s="103">
        <f t="shared" si="3"/>
        <v>0.33333333333333331</v>
      </c>
    </row>
    <row r="18" spans="1:31">
      <c r="A18" s="1" t="s">
        <v>1</v>
      </c>
      <c r="B18" s="17" t="s">
        <v>67</v>
      </c>
      <c r="C18" s="22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74">
        <v>0</v>
      </c>
      <c r="S18" s="25">
        <f t="shared" si="0"/>
        <v>0</v>
      </c>
      <c r="T18" s="88">
        <v>0</v>
      </c>
      <c r="U18" s="23">
        <v>0</v>
      </c>
      <c r="V18" s="23">
        <v>0</v>
      </c>
      <c r="W18" s="23">
        <v>0.29166666666666669</v>
      </c>
      <c r="X18" s="23">
        <v>0.29166666666666669</v>
      </c>
      <c r="Y18" s="23">
        <v>0</v>
      </c>
      <c r="Z18" s="23">
        <v>0</v>
      </c>
      <c r="AA18" s="24">
        <v>0</v>
      </c>
      <c r="AB18" s="25">
        <f t="shared" si="1"/>
        <v>0.58333333333333337</v>
      </c>
      <c r="AC18" s="24">
        <v>0</v>
      </c>
      <c r="AD18" s="25">
        <f t="shared" si="2"/>
        <v>0</v>
      </c>
      <c r="AE18" s="103">
        <f t="shared" si="3"/>
        <v>0.58333333333333337</v>
      </c>
    </row>
    <row r="19" spans="1:31">
      <c r="A19" s="1" t="s">
        <v>1</v>
      </c>
      <c r="B19" s="26" t="s">
        <v>68</v>
      </c>
      <c r="C19" s="27">
        <v>0.5</v>
      </c>
      <c r="D19" s="28">
        <v>0.125</v>
      </c>
      <c r="E19" s="28">
        <v>0.20833333333333334</v>
      </c>
      <c r="F19" s="28">
        <v>0.95833333333333337</v>
      </c>
      <c r="G19" s="28">
        <v>0</v>
      </c>
      <c r="H19" s="28">
        <v>0.25</v>
      </c>
      <c r="I19" s="28">
        <v>8.3333333333333329E-2</v>
      </c>
      <c r="J19" s="28">
        <v>0.29166666666666669</v>
      </c>
      <c r="K19" s="28">
        <v>0.875</v>
      </c>
      <c r="L19" s="28">
        <v>1.375</v>
      </c>
      <c r="M19" s="28">
        <v>1.1666666666666667</v>
      </c>
      <c r="N19" s="28">
        <v>0.16666666666666666</v>
      </c>
      <c r="O19" s="28">
        <v>0.95833333333333337</v>
      </c>
      <c r="P19" s="28">
        <v>0.16666666666666666</v>
      </c>
      <c r="Q19" s="28">
        <v>0.125</v>
      </c>
      <c r="R19" s="75">
        <v>0.16666666666666666</v>
      </c>
      <c r="S19" s="30">
        <f t="shared" si="0"/>
        <v>7.4166666666666679</v>
      </c>
      <c r="T19" s="89">
        <v>0</v>
      </c>
      <c r="U19" s="28">
        <v>0</v>
      </c>
      <c r="V19" s="28">
        <v>0</v>
      </c>
      <c r="W19" s="28">
        <v>0</v>
      </c>
      <c r="X19" s="28">
        <v>2.0833333333333335</v>
      </c>
      <c r="Y19" s="28">
        <v>0.625</v>
      </c>
      <c r="Z19" s="28">
        <v>2.0833333333333335</v>
      </c>
      <c r="AA19" s="29">
        <v>1.4583333333333333</v>
      </c>
      <c r="AB19" s="30">
        <f t="shared" si="1"/>
        <v>6.25</v>
      </c>
      <c r="AC19" s="29">
        <v>0</v>
      </c>
      <c r="AD19" s="30">
        <f t="shared" si="2"/>
        <v>0</v>
      </c>
      <c r="AE19" s="104">
        <f t="shared" si="3"/>
        <v>13.666666666666668</v>
      </c>
    </row>
    <row r="20" spans="1:31">
      <c r="A20" s="1" t="s">
        <v>1</v>
      </c>
      <c r="B20" s="31" t="s">
        <v>69</v>
      </c>
      <c r="C20" s="32">
        <v>6</v>
      </c>
      <c r="D20" s="33">
        <v>5</v>
      </c>
      <c r="E20" s="33">
        <v>19.5</v>
      </c>
      <c r="F20" s="33">
        <v>24</v>
      </c>
      <c r="G20" s="33">
        <v>19</v>
      </c>
      <c r="H20" s="33">
        <v>11</v>
      </c>
      <c r="I20" s="33">
        <v>21</v>
      </c>
      <c r="J20" s="33">
        <v>17.5</v>
      </c>
      <c r="K20" s="33">
        <v>20.5</v>
      </c>
      <c r="L20" s="33">
        <v>28</v>
      </c>
      <c r="M20" s="33">
        <v>14</v>
      </c>
      <c r="N20" s="33">
        <v>21.5</v>
      </c>
      <c r="O20" s="33">
        <v>3</v>
      </c>
      <c r="P20" s="33">
        <v>6</v>
      </c>
      <c r="Q20" s="33">
        <v>14</v>
      </c>
      <c r="R20" s="76">
        <v>0</v>
      </c>
      <c r="S20" s="35"/>
      <c r="T20" s="90">
        <v>14</v>
      </c>
      <c r="U20" s="33">
        <v>33.5</v>
      </c>
      <c r="V20" s="33">
        <v>12</v>
      </c>
      <c r="W20" s="33">
        <v>17</v>
      </c>
      <c r="X20" s="33">
        <v>0</v>
      </c>
      <c r="Y20" s="33">
        <v>4</v>
      </c>
      <c r="Z20" s="33">
        <v>26</v>
      </c>
      <c r="AA20" s="34">
        <v>5</v>
      </c>
      <c r="AB20" s="35"/>
      <c r="AC20" s="34">
        <v>32</v>
      </c>
      <c r="AD20" s="35">
        <f t="shared" si="2"/>
        <v>32</v>
      </c>
      <c r="AE20" s="105">
        <f t="shared" si="3"/>
        <v>32</v>
      </c>
    </row>
    <row r="21" spans="1:31">
      <c r="A21" s="1" t="s">
        <v>1</v>
      </c>
      <c r="B21" s="36" t="s">
        <v>70</v>
      </c>
      <c r="C21" s="37">
        <v>182000</v>
      </c>
      <c r="D21" s="38">
        <v>192000</v>
      </c>
      <c r="E21" s="38">
        <v>197000</v>
      </c>
      <c r="F21" s="38">
        <v>197000</v>
      </c>
      <c r="G21" s="38">
        <v>0</v>
      </c>
      <c r="H21" s="38">
        <v>182000</v>
      </c>
      <c r="I21" s="38">
        <v>187000</v>
      </c>
      <c r="J21" s="38">
        <v>182000</v>
      </c>
      <c r="K21" s="38">
        <v>197000</v>
      </c>
      <c r="L21" s="38">
        <v>192000</v>
      </c>
      <c r="M21" s="38">
        <v>192000</v>
      </c>
      <c r="N21" s="38">
        <v>182000</v>
      </c>
      <c r="O21" s="38">
        <v>175000</v>
      </c>
      <c r="P21" s="38">
        <v>175000</v>
      </c>
      <c r="Q21" s="38">
        <v>180000</v>
      </c>
      <c r="R21" s="77">
        <v>175000</v>
      </c>
      <c r="S21" s="40">
        <f t="shared" si="0"/>
        <v>2787000</v>
      </c>
      <c r="T21" s="91">
        <v>370000</v>
      </c>
      <c r="U21" s="38">
        <v>285000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9">
        <v>0</v>
      </c>
      <c r="AB21" s="40">
        <f t="shared" si="1"/>
        <v>655000</v>
      </c>
      <c r="AC21" s="39">
        <v>390000</v>
      </c>
      <c r="AD21" s="40">
        <f t="shared" si="2"/>
        <v>390000</v>
      </c>
      <c r="AE21" s="106">
        <f t="shared" si="3"/>
        <v>3832000</v>
      </c>
    </row>
    <row r="22" spans="1:31">
      <c r="A22" s="1" t="s">
        <v>1</v>
      </c>
      <c r="B22" s="17" t="s">
        <v>71</v>
      </c>
      <c r="C22" s="41">
        <v>0</v>
      </c>
      <c r="D22" s="42">
        <v>0</v>
      </c>
      <c r="E22" s="42">
        <v>20000</v>
      </c>
      <c r="F22" s="42">
        <v>20000</v>
      </c>
      <c r="G22" s="42">
        <v>0</v>
      </c>
      <c r="H22" s="42">
        <v>0</v>
      </c>
      <c r="I22" s="42">
        <v>5000</v>
      </c>
      <c r="J22" s="42">
        <v>0</v>
      </c>
      <c r="K22" s="42">
        <v>0</v>
      </c>
      <c r="L22" s="42">
        <v>0</v>
      </c>
      <c r="M22" s="42">
        <v>5000</v>
      </c>
      <c r="N22" s="42">
        <v>0</v>
      </c>
      <c r="O22" s="42">
        <v>0</v>
      </c>
      <c r="P22" s="42">
        <v>0</v>
      </c>
      <c r="Q22" s="42">
        <v>0</v>
      </c>
      <c r="R22" s="78">
        <v>0</v>
      </c>
      <c r="S22" s="44">
        <f t="shared" si="0"/>
        <v>50000</v>
      </c>
      <c r="T22" s="9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3">
        <v>0</v>
      </c>
      <c r="AB22" s="44">
        <f t="shared" si="1"/>
        <v>0</v>
      </c>
      <c r="AC22" s="43">
        <v>0</v>
      </c>
      <c r="AD22" s="44">
        <f t="shared" si="2"/>
        <v>0</v>
      </c>
      <c r="AE22" s="107">
        <f t="shared" si="3"/>
        <v>50000</v>
      </c>
    </row>
    <row r="23" spans="1:31">
      <c r="A23" s="1" t="s">
        <v>1</v>
      </c>
      <c r="B23" s="17" t="s">
        <v>72</v>
      </c>
      <c r="C23" s="41">
        <v>0</v>
      </c>
      <c r="D23" s="42">
        <v>0</v>
      </c>
      <c r="E23" s="42">
        <v>3000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78">
        <v>0</v>
      </c>
      <c r="S23" s="44">
        <f t="shared" si="0"/>
        <v>3000</v>
      </c>
      <c r="T23" s="92">
        <v>0</v>
      </c>
      <c r="U23" s="42">
        <v>3000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3">
        <v>0</v>
      </c>
      <c r="AB23" s="44">
        <f t="shared" si="1"/>
        <v>3000</v>
      </c>
      <c r="AC23" s="43">
        <v>0</v>
      </c>
      <c r="AD23" s="44">
        <f t="shared" si="2"/>
        <v>0</v>
      </c>
      <c r="AE23" s="107">
        <f t="shared" si="3"/>
        <v>6000</v>
      </c>
    </row>
    <row r="24" spans="1:31">
      <c r="A24" s="1" t="s">
        <v>1</v>
      </c>
      <c r="B24" s="17" t="s">
        <v>73</v>
      </c>
      <c r="C24" s="41">
        <v>0</v>
      </c>
      <c r="D24" s="42">
        <v>0</v>
      </c>
      <c r="E24" s="42">
        <v>0</v>
      </c>
      <c r="F24" s="42">
        <v>11091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64421</v>
      </c>
      <c r="N24" s="42">
        <v>11062</v>
      </c>
      <c r="O24" s="42">
        <v>0</v>
      </c>
      <c r="P24" s="42">
        <v>0</v>
      </c>
      <c r="Q24" s="42">
        <v>42036</v>
      </c>
      <c r="R24" s="78">
        <v>0</v>
      </c>
      <c r="S24" s="44">
        <f t="shared" si="0"/>
        <v>128610</v>
      </c>
      <c r="T24" s="9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3">
        <v>0</v>
      </c>
      <c r="AB24" s="44">
        <f t="shared" si="1"/>
        <v>0</v>
      </c>
      <c r="AC24" s="43">
        <v>0</v>
      </c>
      <c r="AD24" s="44">
        <f t="shared" si="2"/>
        <v>0</v>
      </c>
      <c r="AE24" s="107">
        <f t="shared" si="3"/>
        <v>128610</v>
      </c>
    </row>
    <row r="25" spans="1:31">
      <c r="A25" s="1" t="s">
        <v>1</v>
      </c>
      <c r="B25" s="17" t="s">
        <v>74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78">
        <v>0</v>
      </c>
      <c r="S25" s="44">
        <f t="shared" si="0"/>
        <v>0</v>
      </c>
      <c r="T25" s="92">
        <v>0</v>
      </c>
      <c r="U25" s="42">
        <v>0</v>
      </c>
      <c r="V25" s="42">
        <v>87975</v>
      </c>
      <c r="W25" s="42">
        <v>90950</v>
      </c>
      <c r="X25" s="42">
        <v>69225</v>
      </c>
      <c r="Y25" s="42">
        <v>51675</v>
      </c>
      <c r="Z25" s="42">
        <v>76050</v>
      </c>
      <c r="AA25" s="43">
        <v>106275</v>
      </c>
      <c r="AB25" s="44">
        <f t="shared" si="1"/>
        <v>482150</v>
      </c>
      <c r="AC25" s="43">
        <v>0</v>
      </c>
      <c r="AD25" s="44">
        <f t="shared" si="2"/>
        <v>0</v>
      </c>
      <c r="AE25" s="107">
        <f t="shared" si="3"/>
        <v>482150</v>
      </c>
    </row>
    <row r="26" spans="1:31">
      <c r="A26" s="1" t="s">
        <v>1</v>
      </c>
      <c r="B26" s="17" t="s">
        <v>75</v>
      </c>
      <c r="C26" s="41">
        <v>3500</v>
      </c>
      <c r="D26" s="42">
        <v>1000</v>
      </c>
      <c r="E26" s="42">
        <v>3500</v>
      </c>
      <c r="F26" s="42">
        <v>3500</v>
      </c>
      <c r="G26" s="42">
        <v>0</v>
      </c>
      <c r="H26" s="42">
        <v>3500</v>
      </c>
      <c r="I26" s="42">
        <v>3500</v>
      </c>
      <c r="J26" s="42">
        <v>3500</v>
      </c>
      <c r="K26" s="42">
        <v>3500</v>
      </c>
      <c r="L26" s="42">
        <v>3500</v>
      </c>
      <c r="M26" s="42">
        <v>3500</v>
      </c>
      <c r="N26" s="42">
        <v>3500</v>
      </c>
      <c r="O26" s="42">
        <v>0</v>
      </c>
      <c r="P26" s="42">
        <v>2000</v>
      </c>
      <c r="Q26" s="42">
        <v>2000</v>
      </c>
      <c r="R26" s="78">
        <v>0</v>
      </c>
      <c r="S26" s="44">
        <f t="shared" si="0"/>
        <v>40000</v>
      </c>
      <c r="T26" s="9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3">
        <v>0</v>
      </c>
      <c r="AB26" s="44">
        <f t="shared" si="1"/>
        <v>0</v>
      </c>
      <c r="AC26" s="43">
        <v>0</v>
      </c>
      <c r="AD26" s="44">
        <f t="shared" si="2"/>
        <v>0</v>
      </c>
      <c r="AE26" s="107">
        <f t="shared" si="3"/>
        <v>40000</v>
      </c>
    </row>
    <row r="27" spans="1:31">
      <c r="A27" s="1" t="s">
        <v>1</v>
      </c>
      <c r="B27" s="17" t="s">
        <v>76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78">
        <v>0</v>
      </c>
      <c r="S27" s="44">
        <f t="shared" si="0"/>
        <v>0</v>
      </c>
      <c r="T27" s="92">
        <v>0</v>
      </c>
      <c r="U27" s="42">
        <v>0</v>
      </c>
      <c r="V27" s="42">
        <v>0</v>
      </c>
      <c r="W27" s="42">
        <v>7490</v>
      </c>
      <c r="X27" s="42">
        <v>6825</v>
      </c>
      <c r="Y27" s="42">
        <v>0</v>
      </c>
      <c r="Z27" s="42">
        <v>0</v>
      </c>
      <c r="AA27" s="43">
        <v>0</v>
      </c>
      <c r="AB27" s="44">
        <f t="shared" si="1"/>
        <v>14315</v>
      </c>
      <c r="AC27" s="43">
        <v>0</v>
      </c>
      <c r="AD27" s="44">
        <f t="shared" si="2"/>
        <v>0</v>
      </c>
      <c r="AE27" s="107">
        <f t="shared" si="3"/>
        <v>14315</v>
      </c>
    </row>
    <row r="28" spans="1:31">
      <c r="A28" s="1" t="s">
        <v>1</v>
      </c>
      <c r="B28" s="17" t="s">
        <v>61</v>
      </c>
      <c r="C28" s="41">
        <v>34725</v>
      </c>
      <c r="D28" s="42">
        <v>44795</v>
      </c>
      <c r="E28" s="42">
        <v>48517</v>
      </c>
      <c r="F28" s="42">
        <v>99000</v>
      </c>
      <c r="G28" s="42">
        <v>0</v>
      </c>
      <c r="H28" s="42">
        <v>68061</v>
      </c>
      <c r="I28" s="42">
        <v>54168</v>
      </c>
      <c r="J28" s="42">
        <v>52782</v>
      </c>
      <c r="K28" s="42">
        <v>30020</v>
      </c>
      <c r="L28" s="42">
        <v>39528</v>
      </c>
      <c r="M28" s="42">
        <v>69046</v>
      </c>
      <c r="N28" s="42">
        <v>38892</v>
      </c>
      <c r="O28" s="42">
        <v>78600</v>
      </c>
      <c r="P28" s="42">
        <v>54325</v>
      </c>
      <c r="Q28" s="42">
        <v>34075</v>
      </c>
      <c r="R28" s="78">
        <v>36680</v>
      </c>
      <c r="S28" s="44">
        <f t="shared" si="0"/>
        <v>783214</v>
      </c>
      <c r="T28" s="92">
        <v>0</v>
      </c>
      <c r="U28" s="42">
        <v>84084</v>
      </c>
      <c r="V28" s="42">
        <v>0</v>
      </c>
      <c r="W28" s="42">
        <v>0</v>
      </c>
      <c r="X28" s="42">
        <v>0</v>
      </c>
      <c r="Y28" s="42">
        <v>1219</v>
      </c>
      <c r="Z28" s="42">
        <v>0</v>
      </c>
      <c r="AA28" s="43">
        <v>4876</v>
      </c>
      <c r="AB28" s="44">
        <f t="shared" si="1"/>
        <v>90179</v>
      </c>
      <c r="AC28" s="43">
        <v>0</v>
      </c>
      <c r="AD28" s="44">
        <f t="shared" si="2"/>
        <v>0</v>
      </c>
      <c r="AE28" s="107">
        <f t="shared" si="3"/>
        <v>873393</v>
      </c>
    </row>
    <row r="29" spans="1:31">
      <c r="A29" s="1" t="s">
        <v>1</v>
      </c>
      <c r="B29" s="17" t="s">
        <v>77</v>
      </c>
      <c r="C29" s="41">
        <v>49500</v>
      </c>
      <c r="D29" s="42">
        <v>43708</v>
      </c>
      <c r="E29" s="42">
        <v>9030</v>
      </c>
      <c r="F29" s="42">
        <v>14256</v>
      </c>
      <c r="G29" s="42">
        <v>0</v>
      </c>
      <c r="H29" s="42">
        <v>34500</v>
      </c>
      <c r="I29" s="42">
        <v>58497</v>
      </c>
      <c r="J29" s="42">
        <v>40500</v>
      </c>
      <c r="K29" s="42">
        <v>38904</v>
      </c>
      <c r="L29" s="42">
        <v>18972</v>
      </c>
      <c r="M29" s="42">
        <v>0</v>
      </c>
      <c r="N29" s="42">
        <v>21000</v>
      </c>
      <c r="O29" s="42">
        <v>50940</v>
      </c>
      <c r="P29" s="42">
        <v>31482</v>
      </c>
      <c r="Q29" s="42">
        <v>60352</v>
      </c>
      <c r="R29" s="78">
        <v>28300</v>
      </c>
      <c r="S29" s="44">
        <f t="shared" si="0"/>
        <v>499941</v>
      </c>
      <c r="T29" s="92">
        <v>0</v>
      </c>
      <c r="U29" s="42">
        <v>79186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3">
        <v>0</v>
      </c>
      <c r="AB29" s="44">
        <f t="shared" si="1"/>
        <v>79186</v>
      </c>
      <c r="AC29" s="43">
        <v>0</v>
      </c>
      <c r="AD29" s="44">
        <f t="shared" si="2"/>
        <v>0</v>
      </c>
      <c r="AE29" s="107">
        <f t="shared" si="3"/>
        <v>579127</v>
      </c>
    </row>
    <row r="30" spans="1:31">
      <c r="A30" s="1" t="s">
        <v>1</v>
      </c>
      <c r="B30" s="17" t="s">
        <v>78</v>
      </c>
      <c r="C30" s="41">
        <v>30000</v>
      </c>
      <c r="D30" s="42">
        <v>23415</v>
      </c>
      <c r="E30" s="42">
        <v>39732</v>
      </c>
      <c r="F30" s="42">
        <v>30294</v>
      </c>
      <c r="G30" s="42">
        <v>0</v>
      </c>
      <c r="H30" s="42">
        <v>25500</v>
      </c>
      <c r="I30" s="42">
        <v>6324</v>
      </c>
      <c r="J30" s="42">
        <v>27000</v>
      </c>
      <c r="K30" s="42">
        <v>58356</v>
      </c>
      <c r="L30" s="42">
        <v>49011</v>
      </c>
      <c r="M30" s="42">
        <v>27557</v>
      </c>
      <c r="N30" s="42">
        <v>9000</v>
      </c>
      <c r="O30" s="42">
        <v>19810</v>
      </c>
      <c r="P30" s="42">
        <v>25758</v>
      </c>
      <c r="Q30" s="42">
        <v>8832</v>
      </c>
      <c r="R30" s="78">
        <v>0</v>
      </c>
      <c r="S30" s="44">
        <f t="shared" si="0"/>
        <v>380589</v>
      </c>
      <c r="T30" s="9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3">
        <v>0</v>
      </c>
      <c r="AB30" s="44">
        <f t="shared" si="1"/>
        <v>0</v>
      </c>
      <c r="AC30" s="43">
        <v>0</v>
      </c>
      <c r="AD30" s="44">
        <f t="shared" si="2"/>
        <v>0</v>
      </c>
      <c r="AE30" s="107">
        <f t="shared" si="3"/>
        <v>380589</v>
      </c>
    </row>
    <row r="31" spans="1:31">
      <c r="A31" s="1" t="s">
        <v>1</v>
      </c>
      <c r="B31" s="17" t="s">
        <v>79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2100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78">
        <v>0</v>
      </c>
      <c r="S31" s="44">
        <f t="shared" si="0"/>
        <v>2100</v>
      </c>
      <c r="T31" s="9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3">
        <v>0</v>
      </c>
      <c r="AB31" s="44">
        <f t="shared" si="1"/>
        <v>0</v>
      </c>
      <c r="AC31" s="43">
        <v>0</v>
      </c>
      <c r="AD31" s="44">
        <f t="shared" si="2"/>
        <v>0</v>
      </c>
      <c r="AE31" s="107">
        <f t="shared" si="3"/>
        <v>2100</v>
      </c>
    </row>
    <row r="32" spans="1:31">
      <c r="A32" s="1" t="s">
        <v>1</v>
      </c>
      <c r="B32" s="17" t="s">
        <v>80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2050</v>
      </c>
      <c r="M32" s="42">
        <v>0</v>
      </c>
      <c r="N32" s="42">
        <v>3501</v>
      </c>
      <c r="O32" s="42">
        <v>0</v>
      </c>
      <c r="P32" s="42">
        <v>0</v>
      </c>
      <c r="Q32" s="42">
        <v>0</v>
      </c>
      <c r="R32" s="78">
        <v>0</v>
      </c>
      <c r="S32" s="44">
        <f t="shared" si="0"/>
        <v>5551</v>
      </c>
      <c r="T32" s="9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3">
        <v>0</v>
      </c>
      <c r="AB32" s="44">
        <f t="shared" si="1"/>
        <v>0</v>
      </c>
      <c r="AC32" s="43">
        <v>0</v>
      </c>
      <c r="AD32" s="44">
        <f t="shared" si="2"/>
        <v>0</v>
      </c>
      <c r="AE32" s="107">
        <f t="shared" si="3"/>
        <v>5551</v>
      </c>
    </row>
    <row r="33" spans="1:31">
      <c r="A33" s="1" t="s">
        <v>1</v>
      </c>
      <c r="B33" s="17" t="s">
        <v>66</v>
      </c>
      <c r="C33" s="41">
        <v>0</v>
      </c>
      <c r="D33" s="42">
        <v>0</v>
      </c>
      <c r="E33" s="42">
        <v>0</v>
      </c>
      <c r="F33" s="42">
        <v>660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1572</v>
      </c>
      <c r="P33" s="42">
        <v>0</v>
      </c>
      <c r="Q33" s="42">
        <v>0</v>
      </c>
      <c r="R33" s="78">
        <v>0</v>
      </c>
      <c r="S33" s="44">
        <f t="shared" si="0"/>
        <v>2232</v>
      </c>
      <c r="T33" s="9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3">
        <v>0</v>
      </c>
      <c r="AB33" s="44">
        <f t="shared" si="1"/>
        <v>0</v>
      </c>
      <c r="AC33" s="43">
        <v>0</v>
      </c>
      <c r="AD33" s="44">
        <f t="shared" si="2"/>
        <v>0</v>
      </c>
      <c r="AE33" s="107">
        <f t="shared" si="3"/>
        <v>2232</v>
      </c>
    </row>
    <row r="34" spans="1:31">
      <c r="A34" s="1" t="s">
        <v>1</v>
      </c>
      <c r="B34" s="26" t="s">
        <v>68</v>
      </c>
      <c r="C34" s="45">
        <v>3336</v>
      </c>
      <c r="D34" s="46">
        <v>867</v>
      </c>
      <c r="E34" s="46">
        <v>1675</v>
      </c>
      <c r="F34" s="46">
        <v>7590</v>
      </c>
      <c r="G34" s="46">
        <v>0</v>
      </c>
      <c r="H34" s="46">
        <v>1668</v>
      </c>
      <c r="I34" s="46">
        <v>586</v>
      </c>
      <c r="J34" s="46">
        <v>1946</v>
      </c>
      <c r="K34" s="46">
        <v>6300</v>
      </c>
      <c r="L34" s="46">
        <v>9669</v>
      </c>
      <c r="M34" s="46">
        <v>8400</v>
      </c>
      <c r="N34" s="46">
        <v>1112</v>
      </c>
      <c r="O34" s="46">
        <v>6026</v>
      </c>
      <c r="P34" s="46">
        <v>1060</v>
      </c>
      <c r="Q34" s="46">
        <v>819</v>
      </c>
      <c r="R34" s="79">
        <v>1048</v>
      </c>
      <c r="S34" s="48">
        <f t="shared" si="0"/>
        <v>52102</v>
      </c>
      <c r="T34" s="93">
        <v>0</v>
      </c>
      <c r="U34" s="46">
        <v>0</v>
      </c>
      <c r="V34" s="46">
        <v>0</v>
      </c>
      <c r="W34" s="46">
        <v>0</v>
      </c>
      <c r="X34" s="46">
        <v>12200</v>
      </c>
      <c r="Y34" s="46">
        <v>3660</v>
      </c>
      <c r="Z34" s="46">
        <v>12200</v>
      </c>
      <c r="AA34" s="47">
        <v>8540</v>
      </c>
      <c r="AB34" s="48">
        <f t="shared" si="1"/>
        <v>36600</v>
      </c>
      <c r="AC34" s="47">
        <v>0</v>
      </c>
      <c r="AD34" s="48">
        <f t="shared" si="2"/>
        <v>0</v>
      </c>
      <c r="AE34" s="108">
        <f t="shared" si="3"/>
        <v>88702</v>
      </c>
    </row>
    <row r="35" spans="1:31">
      <c r="A35" s="1" t="s">
        <v>1</v>
      </c>
      <c r="B35" s="31" t="s">
        <v>81</v>
      </c>
      <c r="C35" s="49">
        <v>303061</v>
      </c>
      <c r="D35" s="50">
        <v>305785</v>
      </c>
      <c r="E35" s="50">
        <v>322454</v>
      </c>
      <c r="F35" s="50">
        <v>383391</v>
      </c>
      <c r="G35" s="50">
        <v>0</v>
      </c>
      <c r="H35" s="50">
        <v>315229</v>
      </c>
      <c r="I35" s="50">
        <v>315075</v>
      </c>
      <c r="J35" s="50">
        <v>307728</v>
      </c>
      <c r="K35" s="50">
        <v>336180</v>
      </c>
      <c r="L35" s="50">
        <v>314730</v>
      </c>
      <c r="M35" s="50">
        <v>369924</v>
      </c>
      <c r="N35" s="50">
        <v>270067</v>
      </c>
      <c r="O35" s="50">
        <v>331948</v>
      </c>
      <c r="P35" s="50">
        <v>289625</v>
      </c>
      <c r="Q35" s="50">
        <v>328114</v>
      </c>
      <c r="R35" s="80">
        <v>241028</v>
      </c>
      <c r="S35" s="52">
        <f t="shared" si="0"/>
        <v>4734339</v>
      </c>
      <c r="T35" s="94">
        <v>370000</v>
      </c>
      <c r="U35" s="50">
        <v>451270</v>
      </c>
      <c r="V35" s="50">
        <v>87975</v>
      </c>
      <c r="W35" s="50">
        <v>98440</v>
      </c>
      <c r="X35" s="50">
        <v>88250</v>
      </c>
      <c r="Y35" s="50">
        <v>56554</v>
      </c>
      <c r="Z35" s="50">
        <v>88250</v>
      </c>
      <c r="AA35" s="51">
        <v>119691</v>
      </c>
      <c r="AB35" s="52">
        <f t="shared" si="1"/>
        <v>1360430</v>
      </c>
      <c r="AC35" s="51">
        <v>390000</v>
      </c>
      <c r="AD35" s="52">
        <f t="shared" si="2"/>
        <v>390000</v>
      </c>
      <c r="AE35" s="109">
        <f t="shared" si="3"/>
        <v>6484769</v>
      </c>
    </row>
    <row r="36" spans="1:31">
      <c r="A36" s="1" t="s">
        <v>1</v>
      </c>
      <c r="B36" s="36" t="s">
        <v>82</v>
      </c>
      <c r="C36" s="37">
        <v>14048</v>
      </c>
      <c r="D36" s="38">
        <v>3648</v>
      </c>
      <c r="E36" s="38">
        <v>5106</v>
      </c>
      <c r="F36" s="38">
        <v>3107</v>
      </c>
      <c r="G36" s="38">
        <v>0</v>
      </c>
      <c r="H36" s="38">
        <v>2702</v>
      </c>
      <c r="I36" s="38">
        <v>1243</v>
      </c>
      <c r="J36" s="38">
        <v>3377</v>
      </c>
      <c r="K36" s="38">
        <v>4755</v>
      </c>
      <c r="L36" s="38">
        <v>6808</v>
      </c>
      <c r="M36" s="38">
        <v>5944</v>
      </c>
      <c r="N36" s="38">
        <v>10564</v>
      </c>
      <c r="O36" s="38">
        <v>8780</v>
      </c>
      <c r="P36" s="38">
        <v>8780</v>
      </c>
      <c r="Q36" s="38">
        <v>2810</v>
      </c>
      <c r="R36" s="77">
        <v>7457</v>
      </c>
      <c r="S36" s="40">
        <f t="shared" si="0"/>
        <v>89129</v>
      </c>
      <c r="T36" s="91">
        <v>3242</v>
      </c>
      <c r="U36" s="38">
        <v>5593</v>
      </c>
      <c r="V36" s="38">
        <v>3026</v>
      </c>
      <c r="W36" s="38">
        <v>2027</v>
      </c>
      <c r="X36" s="38">
        <v>4323</v>
      </c>
      <c r="Y36" s="38">
        <v>2459</v>
      </c>
      <c r="Z36" s="38">
        <v>4539</v>
      </c>
      <c r="AA36" s="39">
        <v>11185</v>
      </c>
      <c r="AB36" s="40">
        <f t="shared" si="1"/>
        <v>36394</v>
      </c>
      <c r="AC36" s="39">
        <v>6673</v>
      </c>
      <c r="AD36" s="40">
        <f t="shared" si="2"/>
        <v>6673</v>
      </c>
      <c r="AE36" s="106">
        <f t="shared" si="3"/>
        <v>132196</v>
      </c>
    </row>
    <row r="37" spans="1:31">
      <c r="A37" s="1" t="s">
        <v>1</v>
      </c>
      <c r="B37" s="53" t="s">
        <v>83</v>
      </c>
      <c r="C37" s="54">
        <v>14048</v>
      </c>
      <c r="D37" s="55">
        <v>3648</v>
      </c>
      <c r="E37" s="55">
        <v>5106</v>
      </c>
      <c r="F37" s="55">
        <v>3107</v>
      </c>
      <c r="G37" s="55">
        <v>0</v>
      </c>
      <c r="H37" s="55">
        <v>2702</v>
      </c>
      <c r="I37" s="55">
        <v>1243</v>
      </c>
      <c r="J37" s="55">
        <v>3377</v>
      </c>
      <c r="K37" s="55">
        <v>4755</v>
      </c>
      <c r="L37" s="55">
        <v>6808</v>
      </c>
      <c r="M37" s="55">
        <v>5944</v>
      </c>
      <c r="N37" s="55">
        <v>10564</v>
      </c>
      <c r="O37" s="55">
        <v>8780</v>
      </c>
      <c r="P37" s="55">
        <v>8780</v>
      </c>
      <c r="Q37" s="55">
        <v>2810</v>
      </c>
      <c r="R37" s="81">
        <v>7457</v>
      </c>
      <c r="S37" s="56">
        <f t="shared" si="0"/>
        <v>89129</v>
      </c>
      <c r="T37" s="95">
        <v>3242</v>
      </c>
      <c r="U37" s="55">
        <v>5593</v>
      </c>
      <c r="V37" s="55">
        <v>3026</v>
      </c>
      <c r="W37" s="55">
        <v>2027</v>
      </c>
      <c r="X37" s="55">
        <v>4323</v>
      </c>
      <c r="Y37" s="55">
        <v>2459</v>
      </c>
      <c r="Z37" s="55">
        <v>4539</v>
      </c>
      <c r="AA37" s="4">
        <v>11185</v>
      </c>
      <c r="AB37" s="56">
        <f t="shared" si="1"/>
        <v>36394</v>
      </c>
      <c r="AC37" s="4">
        <v>6673</v>
      </c>
      <c r="AD37" s="56">
        <f t="shared" si="2"/>
        <v>6673</v>
      </c>
      <c r="AE37" s="110">
        <f t="shared" si="3"/>
        <v>132196</v>
      </c>
    </row>
    <row r="38" spans="1:31">
      <c r="A38" s="1" t="s">
        <v>1</v>
      </c>
      <c r="B38" s="31" t="s">
        <v>84</v>
      </c>
      <c r="C38" s="49">
        <v>317109</v>
      </c>
      <c r="D38" s="50">
        <v>309433</v>
      </c>
      <c r="E38" s="50">
        <v>327560</v>
      </c>
      <c r="F38" s="50">
        <v>386498</v>
      </c>
      <c r="G38" s="50">
        <v>0</v>
      </c>
      <c r="H38" s="50">
        <v>317931</v>
      </c>
      <c r="I38" s="50">
        <v>316318</v>
      </c>
      <c r="J38" s="50">
        <v>311105</v>
      </c>
      <c r="K38" s="50">
        <v>340935</v>
      </c>
      <c r="L38" s="50">
        <v>321538</v>
      </c>
      <c r="M38" s="50">
        <v>375868</v>
      </c>
      <c r="N38" s="50">
        <v>280631</v>
      </c>
      <c r="O38" s="50">
        <v>340728</v>
      </c>
      <c r="P38" s="50">
        <v>298405</v>
      </c>
      <c r="Q38" s="50">
        <v>330924</v>
      </c>
      <c r="R38" s="80">
        <v>248485</v>
      </c>
      <c r="S38" s="52">
        <f t="shared" si="0"/>
        <v>4823468</v>
      </c>
      <c r="T38" s="94">
        <v>373242</v>
      </c>
      <c r="U38" s="50">
        <v>456863</v>
      </c>
      <c r="V38" s="50">
        <v>91001</v>
      </c>
      <c r="W38" s="50">
        <v>100467</v>
      </c>
      <c r="X38" s="50">
        <v>92573</v>
      </c>
      <c r="Y38" s="50">
        <v>59013</v>
      </c>
      <c r="Z38" s="50">
        <v>92789</v>
      </c>
      <c r="AA38" s="51">
        <v>130876</v>
      </c>
      <c r="AB38" s="52">
        <f t="shared" si="1"/>
        <v>1396824</v>
      </c>
      <c r="AC38" s="51">
        <v>396673</v>
      </c>
      <c r="AD38" s="52">
        <f t="shared" si="2"/>
        <v>396673</v>
      </c>
      <c r="AE38" s="109">
        <f t="shared" si="3"/>
        <v>6616965</v>
      </c>
    </row>
    <row r="39" spans="1:31">
      <c r="A39" s="1" t="s">
        <v>1</v>
      </c>
      <c r="B39" s="36" t="s">
        <v>85</v>
      </c>
      <c r="C39" s="37">
        <v>15300</v>
      </c>
      <c r="D39" s="38">
        <v>16320</v>
      </c>
      <c r="E39" s="38">
        <v>19380</v>
      </c>
      <c r="F39" s="38">
        <v>19380</v>
      </c>
      <c r="G39" s="38">
        <v>19380</v>
      </c>
      <c r="H39" s="38">
        <v>16320</v>
      </c>
      <c r="I39" s="38">
        <v>15300</v>
      </c>
      <c r="J39" s="38">
        <v>15300</v>
      </c>
      <c r="K39" s="38">
        <v>19380</v>
      </c>
      <c r="L39" s="38">
        <v>18360</v>
      </c>
      <c r="M39" s="38">
        <v>17340</v>
      </c>
      <c r="N39" s="38">
        <v>15300</v>
      </c>
      <c r="O39" s="38">
        <v>16320</v>
      </c>
      <c r="P39" s="38">
        <v>14280</v>
      </c>
      <c r="Q39" s="38">
        <v>14280</v>
      </c>
      <c r="R39" s="77">
        <v>13260</v>
      </c>
      <c r="S39" s="40">
        <f t="shared" si="0"/>
        <v>265200</v>
      </c>
      <c r="T39" s="91">
        <v>18360</v>
      </c>
      <c r="U39" s="38">
        <v>18360</v>
      </c>
      <c r="V39" s="38">
        <v>0</v>
      </c>
      <c r="W39" s="38">
        <v>0</v>
      </c>
      <c r="X39" s="38">
        <v>0</v>
      </c>
      <c r="Y39" s="38">
        <v>0</v>
      </c>
      <c r="Z39" s="38">
        <v>0</v>
      </c>
      <c r="AA39" s="39">
        <v>6834</v>
      </c>
      <c r="AB39" s="40">
        <f t="shared" si="1"/>
        <v>43554</v>
      </c>
      <c r="AC39" s="39">
        <v>19380</v>
      </c>
      <c r="AD39" s="40">
        <f t="shared" si="2"/>
        <v>19380</v>
      </c>
      <c r="AE39" s="106">
        <f t="shared" si="3"/>
        <v>328134</v>
      </c>
    </row>
    <row r="40" spans="1:31">
      <c r="A40" s="1" t="s">
        <v>1</v>
      </c>
      <c r="B40" s="17" t="s">
        <v>86</v>
      </c>
      <c r="C40" s="41">
        <v>2700</v>
      </c>
      <c r="D40" s="42">
        <v>2880</v>
      </c>
      <c r="E40" s="42">
        <v>3420</v>
      </c>
      <c r="F40" s="42">
        <v>3420</v>
      </c>
      <c r="G40" s="42">
        <v>3420</v>
      </c>
      <c r="H40" s="42">
        <v>2880</v>
      </c>
      <c r="I40" s="42">
        <v>2700</v>
      </c>
      <c r="J40" s="42">
        <v>2700</v>
      </c>
      <c r="K40" s="42">
        <v>3420</v>
      </c>
      <c r="L40" s="42">
        <v>3240</v>
      </c>
      <c r="M40" s="42">
        <v>3060</v>
      </c>
      <c r="N40" s="42">
        <v>2700</v>
      </c>
      <c r="O40" s="42">
        <v>2880</v>
      </c>
      <c r="P40" s="42">
        <v>2520</v>
      </c>
      <c r="Q40" s="42">
        <v>2520</v>
      </c>
      <c r="R40" s="78">
        <v>0</v>
      </c>
      <c r="S40" s="44">
        <f t="shared" si="0"/>
        <v>44460</v>
      </c>
      <c r="T40" s="92">
        <v>3240</v>
      </c>
      <c r="U40" s="42">
        <v>3240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3">
        <v>0</v>
      </c>
      <c r="AB40" s="44">
        <f t="shared" si="1"/>
        <v>6480</v>
      </c>
      <c r="AC40" s="43">
        <v>3420</v>
      </c>
      <c r="AD40" s="44">
        <f t="shared" si="2"/>
        <v>3420</v>
      </c>
      <c r="AE40" s="107">
        <f t="shared" si="3"/>
        <v>54360</v>
      </c>
    </row>
    <row r="41" spans="1:31">
      <c r="A41" s="1" t="s">
        <v>1</v>
      </c>
      <c r="B41" s="17" t="s">
        <v>87</v>
      </c>
      <c r="C41" s="41">
        <v>27450</v>
      </c>
      <c r="D41" s="42">
        <v>29280</v>
      </c>
      <c r="E41" s="42">
        <v>34770</v>
      </c>
      <c r="F41" s="42">
        <v>34770</v>
      </c>
      <c r="G41" s="42">
        <v>34770</v>
      </c>
      <c r="H41" s="42">
        <v>29280</v>
      </c>
      <c r="I41" s="42">
        <v>27450</v>
      </c>
      <c r="J41" s="42">
        <v>27450</v>
      </c>
      <c r="K41" s="42">
        <v>34770</v>
      </c>
      <c r="L41" s="42">
        <v>32940</v>
      </c>
      <c r="M41" s="42">
        <v>31110</v>
      </c>
      <c r="N41" s="42">
        <v>27450</v>
      </c>
      <c r="O41" s="42">
        <v>29280</v>
      </c>
      <c r="P41" s="42">
        <v>25620</v>
      </c>
      <c r="Q41" s="42">
        <v>25620</v>
      </c>
      <c r="R41" s="78">
        <v>23790</v>
      </c>
      <c r="S41" s="44">
        <f t="shared" si="0"/>
        <v>475800</v>
      </c>
      <c r="T41" s="92">
        <v>32940</v>
      </c>
      <c r="U41" s="42">
        <v>32940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3">
        <v>12261</v>
      </c>
      <c r="AB41" s="44">
        <f t="shared" si="1"/>
        <v>78141</v>
      </c>
      <c r="AC41" s="43">
        <v>34770</v>
      </c>
      <c r="AD41" s="44">
        <f t="shared" si="2"/>
        <v>34770</v>
      </c>
      <c r="AE41" s="107">
        <f t="shared" si="3"/>
        <v>588711</v>
      </c>
    </row>
    <row r="42" spans="1:31">
      <c r="A42" s="1" t="s">
        <v>1</v>
      </c>
      <c r="B42" s="53" t="s">
        <v>88</v>
      </c>
      <c r="C42" s="54">
        <v>1903</v>
      </c>
      <c r="D42" s="55">
        <v>1857</v>
      </c>
      <c r="E42" s="55">
        <v>1965</v>
      </c>
      <c r="F42" s="55">
        <v>2319</v>
      </c>
      <c r="G42" s="55">
        <v>0</v>
      </c>
      <c r="H42" s="55">
        <v>1908</v>
      </c>
      <c r="I42" s="55">
        <v>1898</v>
      </c>
      <c r="J42" s="55">
        <v>1867</v>
      </c>
      <c r="K42" s="55">
        <v>2046</v>
      </c>
      <c r="L42" s="55">
        <v>1929</v>
      </c>
      <c r="M42" s="55">
        <v>2255</v>
      </c>
      <c r="N42" s="55">
        <v>1684</v>
      </c>
      <c r="O42" s="55">
        <v>2044</v>
      </c>
      <c r="P42" s="55">
        <v>1790</v>
      </c>
      <c r="Q42" s="55">
        <v>1986</v>
      </c>
      <c r="R42" s="81">
        <v>1491</v>
      </c>
      <c r="S42" s="56">
        <f t="shared" si="0"/>
        <v>28942</v>
      </c>
      <c r="T42" s="95">
        <v>2239</v>
      </c>
      <c r="U42" s="55">
        <v>2741</v>
      </c>
      <c r="V42" s="55">
        <v>546</v>
      </c>
      <c r="W42" s="55">
        <v>603</v>
      </c>
      <c r="X42" s="55">
        <v>0</v>
      </c>
      <c r="Y42" s="55">
        <v>0</v>
      </c>
      <c r="Z42" s="55">
        <v>557</v>
      </c>
      <c r="AA42" s="4">
        <v>785</v>
      </c>
      <c r="AB42" s="56">
        <f t="shared" si="1"/>
        <v>7471</v>
      </c>
      <c r="AC42" s="4">
        <v>2380</v>
      </c>
      <c r="AD42" s="56">
        <f t="shared" si="2"/>
        <v>2380</v>
      </c>
      <c r="AE42" s="110">
        <f t="shared" si="3"/>
        <v>38793</v>
      </c>
    </row>
    <row r="43" spans="1:31">
      <c r="A43" s="1" t="s">
        <v>1</v>
      </c>
      <c r="B43" s="31" t="s">
        <v>89</v>
      </c>
      <c r="C43" s="49">
        <v>47353</v>
      </c>
      <c r="D43" s="50">
        <v>50337</v>
      </c>
      <c r="E43" s="50">
        <v>59535</v>
      </c>
      <c r="F43" s="50">
        <v>59889</v>
      </c>
      <c r="G43" s="50">
        <v>57570</v>
      </c>
      <c r="H43" s="50">
        <v>50388</v>
      </c>
      <c r="I43" s="50">
        <v>47348</v>
      </c>
      <c r="J43" s="50">
        <v>47317</v>
      </c>
      <c r="K43" s="50">
        <v>59616</v>
      </c>
      <c r="L43" s="50">
        <v>56469</v>
      </c>
      <c r="M43" s="50">
        <v>53765</v>
      </c>
      <c r="N43" s="50">
        <v>47134</v>
      </c>
      <c r="O43" s="50">
        <v>50524</v>
      </c>
      <c r="P43" s="50">
        <v>44210</v>
      </c>
      <c r="Q43" s="50">
        <v>44406</v>
      </c>
      <c r="R43" s="80">
        <v>38541</v>
      </c>
      <c r="S43" s="52">
        <f t="shared" si="0"/>
        <v>814402</v>
      </c>
      <c r="T43" s="94">
        <v>56779</v>
      </c>
      <c r="U43" s="50">
        <v>57281</v>
      </c>
      <c r="V43" s="50">
        <v>546</v>
      </c>
      <c r="W43" s="50">
        <v>603</v>
      </c>
      <c r="X43" s="50">
        <v>0</v>
      </c>
      <c r="Y43" s="50">
        <v>0</v>
      </c>
      <c r="Z43" s="50">
        <v>557</v>
      </c>
      <c r="AA43" s="51">
        <v>19880</v>
      </c>
      <c r="AB43" s="52">
        <f t="shared" si="1"/>
        <v>135646</v>
      </c>
      <c r="AC43" s="51">
        <v>59950</v>
      </c>
      <c r="AD43" s="52">
        <f t="shared" si="2"/>
        <v>59950</v>
      </c>
      <c r="AE43" s="109">
        <f t="shared" si="3"/>
        <v>1009998</v>
      </c>
    </row>
    <row r="44" spans="1:31">
      <c r="A44" s="1" t="s">
        <v>1</v>
      </c>
      <c r="B44" s="36" t="s">
        <v>90</v>
      </c>
      <c r="C44" s="37">
        <v>0</v>
      </c>
      <c r="D44" s="38">
        <v>6750</v>
      </c>
      <c r="E44" s="38">
        <v>0</v>
      </c>
      <c r="F44" s="38">
        <v>10300</v>
      </c>
      <c r="G44" s="38">
        <v>0</v>
      </c>
      <c r="H44" s="38">
        <v>7080</v>
      </c>
      <c r="I44" s="38">
        <v>0</v>
      </c>
      <c r="J44" s="38">
        <v>6920</v>
      </c>
      <c r="K44" s="38">
        <v>7500</v>
      </c>
      <c r="L44" s="38">
        <v>6850</v>
      </c>
      <c r="M44" s="38">
        <v>0</v>
      </c>
      <c r="N44" s="38">
        <v>5580</v>
      </c>
      <c r="O44" s="38">
        <v>0</v>
      </c>
      <c r="P44" s="38">
        <v>6390</v>
      </c>
      <c r="Q44" s="38">
        <v>7760</v>
      </c>
      <c r="R44" s="77">
        <v>4850</v>
      </c>
      <c r="S44" s="40">
        <f t="shared" si="0"/>
        <v>69980</v>
      </c>
      <c r="T44" s="91">
        <v>1359</v>
      </c>
      <c r="U44" s="38">
        <v>1731</v>
      </c>
      <c r="V44" s="38">
        <v>80</v>
      </c>
      <c r="W44" s="38">
        <v>0</v>
      </c>
      <c r="X44" s="38">
        <v>0</v>
      </c>
      <c r="Y44" s="38">
        <v>0</v>
      </c>
      <c r="Z44" s="38">
        <v>0</v>
      </c>
      <c r="AA44" s="39">
        <v>710</v>
      </c>
      <c r="AB44" s="40">
        <f t="shared" si="1"/>
        <v>3880</v>
      </c>
      <c r="AC44" s="39">
        <v>10830</v>
      </c>
      <c r="AD44" s="40">
        <f t="shared" si="2"/>
        <v>10830</v>
      </c>
      <c r="AE44" s="106">
        <f t="shared" si="3"/>
        <v>84690</v>
      </c>
    </row>
    <row r="45" spans="1:31">
      <c r="A45" s="1" t="s">
        <v>1</v>
      </c>
      <c r="B45" s="17" t="s">
        <v>91</v>
      </c>
      <c r="C45" s="41">
        <v>1300</v>
      </c>
      <c r="D45" s="42">
        <v>1300</v>
      </c>
      <c r="E45" s="42">
        <v>1300</v>
      </c>
      <c r="F45" s="42">
        <v>0</v>
      </c>
      <c r="G45" s="42">
        <v>1300</v>
      </c>
      <c r="H45" s="42">
        <v>1300</v>
      </c>
      <c r="I45" s="42">
        <v>1300</v>
      </c>
      <c r="J45" s="42">
        <v>1300</v>
      </c>
      <c r="K45" s="42">
        <v>1300</v>
      </c>
      <c r="L45" s="42">
        <v>1300</v>
      </c>
      <c r="M45" s="42">
        <v>1300</v>
      </c>
      <c r="N45" s="42">
        <v>1300</v>
      </c>
      <c r="O45" s="42">
        <v>1300</v>
      </c>
      <c r="P45" s="42">
        <v>1300</v>
      </c>
      <c r="Q45" s="42">
        <v>0</v>
      </c>
      <c r="R45" s="78">
        <v>0</v>
      </c>
      <c r="S45" s="44">
        <f t="shared" si="0"/>
        <v>16900</v>
      </c>
      <c r="T45" s="92">
        <v>0</v>
      </c>
      <c r="U45" s="42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3">
        <v>0</v>
      </c>
      <c r="AB45" s="44">
        <f t="shared" si="1"/>
        <v>0</v>
      </c>
      <c r="AC45" s="43">
        <v>0</v>
      </c>
      <c r="AD45" s="44">
        <f t="shared" si="2"/>
        <v>0</v>
      </c>
      <c r="AE45" s="107">
        <f t="shared" si="3"/>
        <v>16900</v>
      </c>
    </row>
    <row r="46" spans="1:31">
      <c r="A46" s="1" t="s">
        <v>1</v>
      </c>
      <c r="B46" s="17" t="s">
        <v>92</v>
      </c>
      <c r="C46" s="41">
        <v>6700</v>
      </c>
      <c r="D46" s="42">
        <v>15100</v>
      </c>
      <c r="E46" s="42">
        <v>18200</v>
      </c>
      <c r="F46" s="42">
        <v>20200</v>
      </c>
      <c r="G46" s="42">
        <v>19000</v>
      </c>
      <c r="H46" s="42">
        <v>13900</v>
      </c>
      <c r="I46" s="42">
        <v>9200</v>
      </c>
      <c r="J46" s="42">
        <v>13900</v>
      </c>
      <c r="K46" s="42">
        <v>16500</v>
      </c>
      <c r="L46" s="42">
        <v>14300</v>
      </c>
      <c r="M46" s="42">
        <v>1900</v>
      </c>
      <c r="N46" s="42">
        <v>0</v>
      </c>
      <c r="O46" s="42">
        <v>12900</v>
      </c>
      <c r="P46" s="42">
        <v>10500</v>
      </c>
      <c r="Q46" s="42">
        <v>5300</v>
      </c>
      <c r="R46" s="78">
        <v>0</v>
      </c>
      <c r="S46" s="44">
        <f t="shared" si="0"/>
        <v>177600</v>
      </c>
      <c r="T46" s="92">
        <v>18600</v>
      </c>
      <c r="U46" s="42">
        <v>17000</v>
      </c>
      <c r="V46" s="42">
        <v>0</v>
      </c>
      <c r="W46" s="42">
        <v>0</v>
      </c>
      <c r="X46" s="42">
        <v>0</v>
      </c>
      <c r="Y46" s="42">
        <v>0</v>
      </c>
      <c r="Z46" s="42">
        <v>2700</v>
      </c>
      <c r="AA46" s="43">
        <v>10700</v>
      </c>
      <c r="AB46" s="44">
        <f t="shared" si="1"/>
        <v>49000</v>
      </c>
      <c r="AC46" s="43">
        <v>21700</v>
      </c>
      <c r="AD46" s="44">
        <f t="shared" si="2"/>
        <v>21700</v>
      </c>
      <c r="AE46" s="107">
        <f t="shared" si="3"/>
        <v>248300</v>
      </c>
    </row>
    <row r="47" spans="1:31">
      <c r="A47" s="1" t="s">
        <v>1</v>
      </c>
      <c r="B47" s="53" t="s">
        <v>93</v>
      </c>
      <c r="C47" s="54">
        <v>0</v>
      </c>
      <c r="D47" s="55">
        <v>0</v>
      </c>
      <c r="E47" s="55">
        <v>0</v>
      </c>
      <c r="F47" s="55">
        <v>0</v>
      </c>
      <c r="G47" s="57">
        <v>-77870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81">
        <v>0</v>
      </c>
      <c r="S47" s="58">
        <f t="shared" si="0"/>
        <v>-77870</v>
      </c>
      <c r="T47" s="95">
        <v>0</v>
      </c>
      <c r="U47" s="55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4">
        <v>0</v>
      </c>
      <c r="AB47" s="56">
        <f t="shared" si="1"/>
        <v>0</v>
      </c>
      <c r="AC47" s="4">
        <v>0</v>
      </c>
      <c r="AD47" s="56">
        <f t="shared" si="2"/>
        <v>0</v>
      </c>
      <c r="AE47" s="110">
        <f t="shared" si="3"/>
        <v>-77870</v>
      </c>
    </row>
    <row r="48" spans="1:31">
      <c r="A48" s="1" t="s">
        <v>1</v>
      </c>
      <c r="B48" s="31" t="s">
        <v>94</v>
      </c>
      <c r="C48" s="49">
        <v>55353</v>
      </c>
      <c r="D48" s="50">
        <v>73487</v>
      </c>
      <c r="E48" s="50">
        <v>79035</v>
      </c>
      <c r="F48" s="50">
        <v>90389</v>
      </c>
      <c r="G48" s="50">
        <v>0</v>
      </c>
      <c r="H48" s="50">
        <v>72668</v>
      </c>
      <c r="I48" s="50">
        <v>57848</v>
      </c>
      <c r="J48" s="50">
        <v>69437</v>
      </c>
      <c r="K48" s="50">
        <v>84916</v>
      </c>
      <c r="L48" s="50">
        <v>78919</v>
      </c>
      <c r="M48" s="50">
        <v>56965</v>
      </c>
      <c r="N48" s="50">
        <v>54014</v>
      </c>
      <c r="O48" s="50">
        <v>64724</v>
      </c>
      <c r="P48" s="50">
        <v>62400</v>
      </c>
      <c r="Q48" s="50">
        <v>57466</v>
      </c>
      <c r="R48" s="80">
        <v>43391</v>
      </c>
      <c r="S48" s="52">
        <f t="shared" si="0"/>
        <v>1001012</v>
      </c>
      <c r="T48" s="94">
        <v>76738</v>
      </c>
      <c r="U48" s="50">
        <v>76012</v>
      </c>
      <c r="V48" s="50">
        <v>626</v>
      </c>
      <c r="W48" s="50">
        <v>603</v>
      </c>
      <c r="X48" s="50">
        <v>0</v>
      </c>
      <c r="Y48" s="50">
        <v>0</v>
      </c>
      <c r="Z48" s="50">
        <v>3257</v>
      </c>
      <c r="AA48" s="51">
        <v>31290</v>
      </c>
      <c r="AB48" s="52">
        <f t="shared" si="1"/>
        <v>188526</v>
      </c>
      <c r="AC48" s="51">
        <v>92480</v>
      </c>
      <c r="AD48" s="52">
        <f t="shared" si="2"/>
        <v>92480</v>
      </c>
      <c r="AE48" s="109">
        <f t="shared" si="3"/>
        <v>1282018</v>
      </c>
    </row>
    <row r="49" spans="1:31">
      <c r="A49" s="1" t="s">
        <v>1</v>
      </c>
      <c r="B49" s="31" t="s">
        <v>95</v>
      </c>
      <c r="C49" s="49">
        <v>255708</v>
      </c>
      <c r="D49" s="50">
        <v>255448</v>
      </c>
      <c r="E49" s="50">
        <v>262919</v>
      </c>
      <c r="F49" s="50">
        <v>323502</v>
      </c>
      <c r="G49" s="59">
        <v>-57570</v>
      </c>
      <c r="H49" s="50">
        <v>264841</v>
      </c>
      <c r="I49" s="50">
        <v>267727</v>
      </c>
      <c r="J49" s="50">
        <v>260411</v>
      </c>
      <c r="K49" s="50">
        <v>276564</v>
      </c>
      <c r="L49" s="50">
        <v>258261</v>
      </c>
      <c r="M49" s="50">
        <v>316159</v>
      </c>
      <c r="N49" s="50">
        <v>222933</v>
      </c>
      <c r="O49" s="50">
        <v>281424</v>
      </c>
      <c r="P49" s="50">
        <v>245415</v>
      </c>
      <c r="Q49" s="50">
        <v>283708</v>
      </c>
      <c r="R49" s="80">
        <v>202487</v>
      </c>
      <c r="S49" s="52">
        <f t="shared" si="0"/>
        <v>3919937</v>
      </c>
      <c r="T49" s="94">
        <v>313221</v>
      </c>
      <c r="U49" s="50">
        <v>393989</v>
      </c>
      <c r="V49" s="50">
        <v>87429</v>
      </c>
      <c r="W49" s="50">
        <v>97837</v>
      </c>
      <c r="X49" s="50">
        <v>88250</v>
      </c>
      <c r="Y49" s="50">
        <v>56554</v>
      </c>
      <c r="Z49" s="50">
        <v>87693</v>
      </c>
      <c r="AA49" s="51">
        <v>99811</v>
      </c>
      <c r="AB49" s="52">
        <f t="shared" si="1"/>
        <v>1224784</v>
      </c>
      <c r="AC49" s="51">
        <v>330050</v>
      </c>
      <c r="AD49" s="52">
        <f t="shared" si="2"/>
        <v>330050</v>
      </c>
      <c r="AE49" s="109">
        <f t="shared" si="3"/>
        <v>5474771</v>
      </c>
    </row>
    <row r="50" spans="1:31">
      <c r="A50" s="1" t="s">
        <v>1</v>
      </c>
      <c r="B50" s="31" t="s">
        <v>96</v>
      </c>
      <c r="C50" s="49">
        <v>261756</v>
      </c>
      <c r="D50" s="50">
        <v>235946</v>
      </c>
      <c r="E50" s="50">
        <v>248525</v>
      </c>
      <c r="F50" s="50">
        <v>296109</v>
      </c>
      <c r="G50" s="50">
        <v>0</v>
      </c>
      <c r="H50" s="50">
        <v>245263</v>
      </c>
      <c r="I50" s="50">
        <v>258470</v>
      </c>
      <c r="J50" s="50">
        <v>241668</v>
      </c>
      <c r="K50" s="50">
        <v>256019</v>
      </c>
      <c r="L50" s="50">
        <v>242619</v>
      </c>
      <c r="M50" s="50">
        <v>318903</v>
      </c>
      <c r="N50" s="50">
        <v>226617</v>
      </c>
      <c r="O50" s="50">
        <v>276004</v>
      </c>
      <c r="P50" s="50">
        <v>236005</v>
      </c>
      <c r="Q50" s="50">
        <v>273458</v>
      </c>
      <c r="R50" s="80">
        <v>205094</v>
      </c>
      <c r="S50" s="52">
        <f t="shared" si="0"/>
        <v>3822456</v>
      </c>
      <c r="T50" s="94">
        <v>296504</v>
      </c>
      <c r="U50" s="50">
        <v>380851</v>
      </c>
      <c r="V50" s="50">
        <v>90375</v>
      </c>
      <c r="W50" s="50">
        <v>99864</v>
      </c>
      <c r="X50" s="50">
        <v>92573</v>
      </c>
      <c r="Y50" s="50">
        <v>59013</v>
      </c>
      <c r="Z50" s="50">
        <v>89532</v>
      </c>
      <c r="AA50" s="51">
        <v>99586</v>
      </c>
      <c r="AB50" s="52">
        <f t="shared" si="1"/>
        <v>1208298</v>
      </c>
      <c r="AC50" s="51">
        <v>304193</v>
      </c>
      <c r="AD50" s="52">
        <f t="shared" si="2"/>
        <v>304193</v>
      </c>
      <c r="AE50" s="109">
        <f t="shared" si="3"/>
        <v>5334947</v>
      </c>
    </row>
    <row r="51" spans="1:31">
      <c r="A51" s="1" t="s">
        <v>1</v>
      </c>
      <c r="B51" s="31" t="s">
        <v>97</v>
      </c>
      <c r="C51" s="49">
        <v>261756</v>
      </c>
      <c r="D51" s="50">
        <v>235946</v>
      </c>
      <c r="E51" s="50">
        <v>248525</v>
      </c>
      <c r="F51" s="50">
        <v>296109</v>
      </c>
      <c r="G51" s="50">
        <v>0</v>
      </c>
      <c r="H51" s="50">
        <v>245263</v>
      </c>
      <c r="I51" s="50">
        <v>258470</v>
      </c>
      <c r="J51" s="50">
        <v>241668</v>
      </c>
      <c r="K51" s="50">
        <v>256019</v>
      </c>
      <c r="L51" s="50">
        <v>242619</v>
      </c>
      <c r="M51" s="50">
        <v>318903</v>
      </c>
      <c r="N51" s="50">
        <v>226617</v>
      </c>
      <c r="O51" s="50">
        <v>276004</v>
      </c>
      <c r="P51" s="50">
        <v>236005</v>
      </c>
      <c r="Q51" s="50">
        <v>273458</v>
      </c>
      <c r="R51" s="80">
        <v>205094</v>
      </c>
      <c r="S51" s="52">
        <f t="shared" si="0"/>
        <v>3822456</v>
      </c>
      <c r="T51" s="94">
        <v>296504</v>
      </c>
      <c r="U51" s="50">
        <v>380851</v>
      </c>
      <c r="V51" s="50">
        <v>90375</v>
      </c>
      <c r="W51" s="50">
        <v>99864</v>
      </c>
      <c r="X51" s="50">
        <v>92573</v>
      </c>
      <c r="Y51" s="50">
        <v>59013</v>
      </c>
      <c r="Z51" s="50">
        <v>89532</v>
      </c>
      <c r="AA51" s="51">
        <v>99586</v>
      </c>
      <c r="AB51" s="52">
        <f t="shared" si="1"/>
        <v>1208298</v>
      </c>
      <c r="AC51" s="51">
        <v>304193</v>
      </c>
      <c r="AD51" s="52">
        <f t="shared" si="2"/>
        <v>304193</v>
      </c>
      <c r="AE51" s="109">
        <f t="shared" si="3"/>
        <v>5334947</v>
      </c>
    </row>
    <row r="52" spans="1:31">
      <c r="A52" s="1" t="s">
        <v>1</v>
      </c>
      <c r="B52" s="31" t="s">
        <v>98</v>
      </c>
      <c r="C52" s="49">
        <v>1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50">
        <v>1</v>
      </c>
      <c r="P52" s="50">
        <v>0</v>
      </c>
      <c r="Q52" s="50">
        <v>0</v>
      </c>
      <c r="R52" s="80">
        <v>0</v>
      </c>
      <c r="S52" s="52"/>
      <c r="T52" s="94">
        <v>0</v>
      </c>
      <c r="U52" s="50">
        <v>1</v>
      </c>
      <c r="V52" s="50">
        <v>0</v>
      </c>
      <c r="W52" s="50">
        <v>0</v>
      </c>
      <c r="X52" s="50">
        <v>1</v>
      </c>
      <c r="Y52" s="50">
        <v>1</v>
      </c>
      <c r="Z52" s="50">
        <v>1</v>
      </c>
      <c r="AA52" s="51">
        <v>0</v>
      </c>
      <c r="AB52" s="52"/>
      <c r="AC52" s="51">
        <v>0</v>
      </c>
      <c r="AD52" s="52"/>
      <c r="AE52" s="109"/>
    </row>
    <row r="53" spans="1:31">
      <c r="A53" s="1" t="s">
        <v>1</v>
      </c>
      <c r="B53" s="31" t="s">
        <v>99</v>
      </c>
      <c r="C53" s="60" t="s">
        <v>100</v>
      </c>
      <c r="D53" s="61" t="s">
        <v>100</v>
      </c>
      <c r="E53" s="61" t="s">
        <v>100</v>
      </c>
      <c r="F53" s="61" t="s">
        <v>100</v>
      </c>
      <c r="G53" s="61" t="s">
        <v>100</v>
      </c>
      <c r="H53" s="61" t="s">
        <v>100</v>
      </c>
      <c r="I53" s="61" t="s">
        <v>100</v>
      </c>
      <c r="J53" s="61" t="s">
        <v>100</v>
      </c>
      <c r="K53" s="61" t="s">
        <v>100</v>
      </c>
      <c r="L53" s="61" t="s">
        <v>100</v>
      </c>
      <c r="M53" s="61" t="s">
        <v>100</v>
      </c>
      <c r="N53" s="61" t="s">
        <v>100</v>
      </c>
      <c r="O53" s="61" t="s">
        <v>100</v>
      </c>
      <c r="P53" s="61" t="s">
        <v>100</v>
      </c>
      <c r="Q53" s="61" t="s">
        <v>100</v>
      </c>
      <c r="R53" s="82" t="s">
        <v>100</v>
      </c>
      <c r="S53" s="63">
        <f t="shared" si="0"/>
        <v>0</v>
      </c>
      <c r="T53" s="96" t="s">
        <v>100</v>
      </c>
      <c r="U53" s="61" t="s">
        <v>100</v>
      </c>
      <c r="V53" s="61" t="s">
        <v>100</v>
      </c>
      <c r="W53" s="61" t="s">
        <v>100</v>
      </c>
      <c r="X53" s="61" t="s">
        <v>100</v>
      </c>
      <c r="Y53" s="61" t="s">
        <v>100</v>
      </c>
      <c r="Z53" s="61" t="s">
        <v>100</v>
      </c>
      <c r="AA53" s="62" t="s">
        <v>100</v>
      </c>
      <c r="AB53" s="63"/>
      <c r="AC53" s="62" t="s">
        <v>100</v>
      </c>
      <c r="AD53" s="63"/>
      <c r="AE53" s="111"/>
    </row>
    <row r="54" spans="1:31">
      <c r="A54" s="1" t="s">
        <v>1</v>
      </c>
      <c r="B54" s="31" t="s">
        <v>101</v>
      </c>
      <c r="C54" s="49">
        <v>5140</v>
      </c>
      <c r="D54" s="50">
        <v>6750</v>
      </c>
      <c r="E54" s="50">
        <v>5400</v>
      </c>
      <c r="F54" s="50">
        <v>10300</v>
      </c>
      <c r="G54" s="50">
        <v>0</v>
      </c>
      <c r="H54" s="50">
        <v>7080</v>
      </c>
      <c r="I54" s="50">
        <v>5570</v>
      </c>
      <c r="J54" s="50">
        <v>6920</v>
      </c>
      <c r="K54" s="50">
        <v>7500</v>
      </c>
      <c r="L54" s="50">
        <v>6850</v>
      </c>
      <c r="M54" s="50">
        <v>2530</v>
      </c>
      <c r="N54" s="50">
        <v>5580</v>
      </c>
      <c r="O54" s="50">
        <v>6060</v>
      </c>
      <c r="P54" s="50">
        <v>6390</v>
      </c>
      <c r="Q54" s="50">
        <v>7760</v>
      </c>
      <c r="R54" s="80">
        <v>4850</v>
      </c>
      <c r="S54" s="52">
        <f t="shared" si="0"/>
        <v>94680</v>
      </c>
      <c r="T54" s="94">
        <v>9460</v>
      </c>
      <c r="U54" s="50">
        <v>12820</v>
      </c>
      <c r="V54" s="50">
        <v>80</v>
      </c>
      <c r="W54" s="50">
        <v>610</v>
      </c>
      <c r="X54" s="50">
        <v>0</v>
      </c>
      <c r="Y54" s="50">
        <v>0</v>
      </c>
      <c r="Z54" s="50">
        <v>0</v>
      </c>
      <c r="AA54" s="51">
        <v>710</v>
      </c>
      <c r="AB54" s="52">
        <f t="shared" si="1"/>
        <v>23680</v>
      </c>
      <c r="AC54" s="51">
        <v>10830</v>
      </c>
      <c r="AD54" s="52">
        <f t="shared" si="2"/>
        <v>10830</v>
      </c>
      <c r="AE54" s="109">
        <f t="shared" si="3"/>
        <v>129190</v>
      </c>
    </row>
    <row r="55" spans="1:31">
      <c r="A55" s="1" t="s">
        <v>1</v>
      </c>
      <c r="B55" s="31" t="s">
        <v>102</v>
      </c>
      <c r="C55" s="49">
        <v>5140</v>
      </c>
      <c r="D55" s="50">
        <v>0</v>
      </c>
      <c r="E55" s="50">
        <v>5400</v>
      </c>
      <c r="F55" s="50">
        <v>0</v>
      </c>
      <c r="G55" s="50">
        <v>0</v>
      </c>
      <c r="H55" s="50">
        <v>0</v>
      </c>
      <c r="I55" s="50">
        <v>5570</v>
      </c>
      <c r="J55" s="50">
        <v>0</v>
      </c>
      <c r="K55" s="50">
        <v>0</v>
      </c>
      <c r="L55" s="50">
        <v>0</v>
      </c>
      <c r="M55" s="50">
        <v>2530</v>
      </c>
      <c r="N55" s="50">
        <v>0</v>
      </c>
      <c r="O55" s="50">
        <v>6060</v>
      </c>
      <c r="P55" s="50">
        <v>0</v>
      </c>
      <c r="Q55" s="50">
        <v>0</v>
      </c>
      <c r="R55" s="80">
        <v>0</v>
      </c>
      <c r="S55" s="52">
        <f t="shared" si="0"/>
        <v>24700</v>
      </c>
      <c r="T55" s="94">
        <v>8101</v>
      </c>
      <c r="U55" s="50">
        <v>11089</v>
      </c>
      <c r="V55" s="50">
        <v>0</v>
      </c>
      <c r="W55" s="50">
        <v>610</v>
      </c>
      <c r="X55" s="50">
        <v>0</v>
      </c>
      <c r="Y55" s="50">
        <v>0</v>
      </c>
      <c r="Z55" s="50">
        <v>0</v>
      </c>
      <c r="AA55" s="51">
        <v>0</v>
      </c>
      <c r="AB55" s="52">
        <f t="shared" si="1"/>
        <v>19800</v>
      </c>
      <c r="AC55" s="51">
        <v>0</v>
      </c>
      <c r="AD55" s="52"/>
      <c r="AE55" s="109">
        <f t="shared" si="3"/>
        <v>44500</v>
      </c>
    </row>
    <row r="56" spans="1:31" ht="19.5" thickBot="1">
      <c r="A56" s="1" t="s">
        <v>1</v>
      </c>
      <c r="B56" s="64" t="s">
        <v>103</v>
      </c>
      <c r="C56" s="65">
        <v>60000</v>
      </c>
      <c r="D56" s="66">
        <v>30000</v>
      </c>
      <c r="E56" s="66">
        <v>60000</v>
      </c>
      <c r="F56" s="66">
        <v>30000</v>
      </c>
      <c r="G56" s="66">
        <v>30000</v>
      </c>
      <c r="H56" s="66">
        <v>30000</v>
      </c>
      <c r="I56" s="66">
        <v>60000</v>
      </c>
      <c r="J56" s="66">
        <v>30000</v>
      </c>
      <c r="K56" s="66">
        <v>30000</v>
      </c>
      <c r="L56" s="66">
        <v>30000</v>
      </c>
      <c r="M56" s="66">
        <v>150000</v>
      </c>
      <c r="N56" s="66">
        <v>30000</v>
      </c>
      <c r="O56" s="66">
        <v>60000</v>
      </c>
      <c r="P56" s="66">
        <v>30000</v>
      </c>
      <c r="Q56" s="66">
        <v>30000</v>
      </c>
      <c r="R56" s="83">
        <v>0</v>
      </c>
      <c r="S56" s="68"/>
      <c r="T56" s="97">
        <v>90000</v>
      </c>
      <c r="U56" s="66">
        <v>60000</v>
      </c>
      <c r="V56" s="66">
        <v>0</v>
      </c>
      <c r="W56" s="66">
        <v>30000</v>
      </c>
      <c r="X56" s="66">
        <v>60000</v>
      </c>
      <c r="Y56" s="66">
        <v>60000</v>
      </c>
      <c r="Z56" s="66">
        <v>60000</v>
      </c>
      <c r="AA56" s="67">
        <v>0</v>
      </c>
      <c r="AB56" s="68"/>
      <c r="AC56" s="67">
        <v>30000</v>
      </c>
      <c r="AD56" s="68"/>
      <c r="AE56" s="112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FF4A-0CD2-4845-88C5-4C816650A68F}">
  <sheetPr>
    <pageSetUpPr fitToPage="1"/>
  </sheetPr>
  <dimension ref="A1:N5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25" style="2" customWidth="1"/>
    <col min="15" max="241" width="9" style="2"/>
    <col min="242" max="242" width="2.375" style="2" customWidth="1"/>
    <col min="243" max="243" width="13.25" style="2" bestFit="1" customWidth="1"/>
    <col min="244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59" width="11.125" style="2" bestFit="1" customWidth="1"/>
    <col min="260" max="260" width="9" style="2"/>
    <col min="261" max="267" width="11.125" style="2" bestFit="1" customWidth="1"/>
    <col min="268" max="268" width="9" style="2"/>
    <col min="269" max="269" width="9.625" style="2" bestFit="1" customWidth="1"/>
    <col min="270" max="497" width="9" style="2"/>
    <col min="498" max="498" width="2.375" style="2" customWidth="1"/>
    <col min="499" max="499" width="13.25" style="2" bestFit="1" customWidth="1"/>
    <col min="500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15" width="11.125" style="2" bestFit="1" customWidth="1"/>
    <col min="516" max="516" width="9" style="2"/>
    <col min="517" max="523" width="11.125" style="2" bestFit="1" customWidth="1"/>
    <col min="524" max="524" width="9" style="2"/>
    <col min="525" max="525" width="9.625" style="2" bestFit="1" customWidth="1"/>
    <col min="526" max="753" width="9" style="2"/>
    <col min="754" max="754" width="2.375" style="2" customWidth="1"/>
    <col min="755" max="755" width="13.25" style="2" bestFit="1" customWidth="1"/>
    <col min="756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71" width="11.125" style="2" bestFit="1" customWidth="1"/>
    <col min="772" max="772" width="9" style="2"/>
    <col min="773" max="779" width="11.125" style="2" bestFit="1" customWidth="1"/>
    <col min="780" max="780" width="9" style="2"/>
    <col min="781" max="781" width="9.625" style="2" bestFit="1" customWidth="1"/>
    <col min="782" max="1009" width="9" style="2"/>
    <col min="1010" max="1010" width="2.375" style="2" customWidth="1"/>
    <col min="1011" max="1011" width="13.25" style="2" bestFit="1" customWidth="1"/>
    <col min="1012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27" width="11.125" style="2" bestFit="1" customWidth="1"/>
    <col min="1028" max="1028" width="9" style="2"/>
    <col min="1029" max="1035" width="11.125" style="2" bestFit="1" customWidth="1"/>
    <col min="1036" max="1036" width="9" style="2"/>
    <col min="1037" max="1037" width="9.625" style="2" bestFit="1" customWidth="1"/>
    <col min="1038" max="1265" width="9" style="2"/>
    <col min="1266" max="1266" width="2.375" style="2" customWidth="1"/>
    <col min="1267" max="1267" width="13.25" style="2" bestFit="1" customWidth="1"/>
    <col min="1268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83" width="11.125" style="2" bestFit="1" customWidth="1"/>
    <col min="1284" max="1284" width="9" style="2"/>
    <col min="1285" max="1291" width="11.125" style="2" bestFit="1" customWidth="1"/>
    <col min="1292" max="1292" width="9" style="2"/>
    <col min="1293" max="1293" width="9.625" style="2" bestFit="1" customWidth="1"/>
    <col min="1294" max="1521" width="9" style="2"/>
    <col min="1522" max="1522" width="2.375" style="2" customWidth="1"/>
    <col min="1523" max="1523" width="13.25" style="2" bestFit="1" customWidth="1"/>
    <col min="1524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39" width="11.125" style="2" bestFit="1" customWidth="1"/>
    <col min="1540" max="1540" width="9" style="2"/>
    <col min="1541" max="1547" width="11.125" style="2" bestFit="1" customWidth="1"/>
    <col min="1548" max="1548" width="9" style="2"/>
    <col min="1549" max="1549" width="9.625" style="2" bestFit="1" customWidth="1"/>
    <col min="1550" max="1777" width="9" style="2"/>
    <col min="1778" max="1778" width="2.375" style="2" customWidth="1"/>
    <col min="1779" max="1779" width="13.25" style="2" bestFit="1" customWidth="1"/>
    <col min="1780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95" width="11.125" style="2" bestFit="1" customWidth="1"/>
    <col min="1796" max="1796" width="9" style="2"/>
    <col min="1797" max="1803" width="11.125" style="2" bestFit="1" customWidth="1"/>
    <col min="1804" max="1804" width="9" style="2"/>
    <col min="1805" max="1805" width="9.625" style="2" bestFit="1" customWidth="1"/>
    <col min="1806" max="2033" width="9" style="2"/>
    <col min="2034" max="2034" width="2.375" style="2" customWidth="1"/>
    <col min="2035" max="2035" width="13.25" style="2" bestFit="1" customWidth="1"/>
    <col min="2036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51" width="11.125" style="2" bestFit="1" customWidth="1"/>
    <col min="2052" max="2052" width="9" style="2"/>
    <col min="2053" max="2059" width="11.125" style="2" bestFit="1" customWidth="1"/>
    <col min="2060" max="2060" width="9" style="2"/>
    <col min="2061" max="2061" width="9.625" style="2" bestFit="1" customWidth="1"/>
    <col min="2062" max="2289" width="9" style="2"/>
    <col min="2290" max="2290" width="2.375" style="2" customWidth="1"/>
    <col min="2291" max="2291" width="13.25" style="2" bestFit="1" customWidth="1"/>
    <col min="2292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307" width="11.125" style="2" bestFit="1" customWidth="1"/>
    <col min="2308" max="2308" width="9" style="2"/>
    <col min="2309" max="2315" width="11.125" style="2" bestFit="1" customWidth="1"/>
    <col min="2316" max="2316" width="9" style="2"/>
    <col min="2317" max="2317" width="9.625" style="2" bestFit="1" customWidth="1"/>
    <col min="2318" max="2545" width="9" style="2"/>
    <col min="2546" max="2546" width="2.375" style="2" customWidth="1"/>
    <col min="2547" max="2547" width="13.25" style="2" bestFit="1" customWidth="1"/>
    <col min="2548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63" width="11.125" style="2" bestFit="1" customWidth="1"/>
    <col min="2564" max="2564" width="9" style="2"/>
    <col min="2565" max="2571" width="11.125" style="2" bestFit="1" customWidth="1"/>
    <col min="2572" max="2572" width="9" style="2"/>
    <col min="2573" max="2573" width="9.625" style="2" bestFit="1" customWidth="1"/>
    <col min="2574" max="2801" width="9" style="2"/>
    <col min="2802" max="2802" width="2.375" style="2" customWidth="1"/>
    <col min="2803" max="2803" width="13.25" style="2" bestFit="1" customWidth="1"/>
    <col min="2804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19" width="11.125" style="2" bestFit="1" customWidth="1"/>
    <col min="2820" max="2820" width="9" style="2"/>
    <col min="2821" max="2827" width="11.125" style="2" bestFit="1" customWidth="1"/>
    <col min="2828" max="2828" width="9" style="2"/>
    <col min="2829" max="2829" width="9.625" style="2" bestFit="1" customWidth="1"/>
    <col min="2830" max="3057" width="9" style="2"/>
    <col min="3058" max="3058" width="2.375" style="2" customWidth="1"/>
    <col min="3059" max="3059" width="13.25" style="2" bestFit="1" customWidth="1"/>
    <col min="3060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75" width="11.125" style="2" bestFit="1" customWidth="1"/>
    <col min="3076" max="3076" width="9" style="2"/>
    <col min="3077" max="3083" width="11.125" style="2" bestFit="1" customWidth="1"/>
    <col min="3084" max="3084" width="9" style="2"/>
    <col min="3085" max="3085" width="9.625" style="2" bestFit="1" customWidth="1"/>
    <col min="3086" max="3313" width="9" style="2"/>
    <col min="3314" max="3314" width="2.375" style="2" customWidth="1"/>
    <col min="3315" max="3315" width="13.25" style="2" bestFit="1" customWidth="1"/>
    <col min="3316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31" width="11.125" style="2" bestFit="1" customWidth="1"/>
    <col min="3332" max="3332" width="9" style="2"/>
    <col min="3333" max="3339" width="11.125" style="2" bestFit="1" customWidth="1"/>
    <col min="3340" max="3340" width="9" style="2"/>
    <col min="3341" max="3341" width="9.625" style="2" bestFit="1" customWidth="1"/>
    <col min="3342" max="3569" width="9" style="2"/>
    <col min="3570" max="3570" width="2.375" style="2" customWidth="1"/>
    <col min="3571" max="3571" width="13.25" style="2" bestFit="1" customWidth="1"/>
    <col min="3572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87" width="11.125" style="2" bestFit="1" customWidth="1"/>
    <col min="3588" max="3588" width="9" style="2"/>
    <col min="3589" max="3595" width="11.125" style="2" bestFit="1" customWidth="1"/>
    <col min="3596" max="3596" width="9" style="2"/>
    <col min="3597" max="3597" width="9.625" style="2" bestFit="1" customWidth="1"/>
    <col min="3598" max="3825" width="9" style="2"/>
    <col min="3826" max="3826" width="2.375" style="2" customWidth="1"/>
    <col min="3827" max="3827" width="13.25" style="2" bestFit="1" customWidth="1"/>
    <col min="3828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43" width="11.125" style="2" bestFit="1" customWidth="1"/>
    <col min="3844" max="3844" width="9" style="2"/>
    <col min="3845" max="3851" width="11.125" style="2" bestFit="1" customWidth="1"/>
    <col min="3852" max="3852" width="9" style="2"/>
    <col min="3853" max="3853" width="9.625" style="2" bestFit="1" customWidth="1"/>
    <col min="3854" max="4081" width="9" style="2"/>
    <col min="4082" max="4082" width="2.375" style="2" customWidth="1"/>
    <col min="4083" max="4083" width="13.25" style="2" bestFit="1" customWidth="1"/>
    <col min="4084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99" width="11.125" style="2" bestFit="1" customWidth="1"/>
    <col min="4100" max="4100" width="9" style="2"/>
    <col min="4101" max="4107" width="11.125" style="2" bestFit="1" customWidth="1"/>
    <col min="4108" max="4108" width="9" style="2"/>
    <col min="4109" max="4109" width="9.625" style="2" bestFit="1" customWidth="1"/>
    <col min="4110" max="4337" width="9" style="2"/>
    <col min="4338" max="4338" width="2.375" style="2" customWidth="1"/>
    <col min="4339" max="4339" width="13.25" style="2" bestFit="1" customWidth="1"/>
    <col min="4340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55" width="11.125" style="2" bestFit="1" customWidth="1"/>
    <col min="4356" max="4356" width="9" style="2"/>
    <col min="4357" max="4363" width="11.125" style="2" bestFit="1" customWidth="1"/>
    <col min="4364" max="4364" width="9" style="2"/>
    <col min="4365" max="4365" width="9.625" style="2" bestFit="1" customWidth="1"/>
    <col min="4366" max="4593" width="9" style="2"/>
    <col min="4594" max="4594" width="2.375" style="2" customWidth="1"/>
    <col min="4595" max="4595" width="13.25" style="2" bestFit="1" customWidth="1"/>
    <col min="4596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11" width="11.125" style="2" bestFit="1" customWidth="1"/>
    <col min="4612" max="4612" width="9" style="2"/>
    <col min="4613" max="4619" width="11.125" style="2" bestFit="1" customWidth="1"/>
    <col min="4620" max="4620" width="9" style="2"/>
    <col min="4621" max="4621" width="9.625" style="2" bestFit="1" customWidth="1"/>
    <col min="4622" max="4849" width="9" style="2"/>
    <col min="4850" max="4850" width="2.375" style="2" customWidth="1"/>
    <col min="4851" max="4851" width="13.25" style="2" bestFit="1" customWidth="1"/>
    <col min="4852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67" width="11.125" style="2" bestFit="1" customWidth="1"/>
    <col min="4868" max="4868" width="9" style="2"/>
    <col min="4869" max="4875" width="11.125" style="2" bestFit="1" customWidth="1"/>
    <col min="4876" max="4876" width="9" style="2"/>
    <col min="4877" max="4877" width="9.625" style="2" bestFit="1" customWidth="1"/>
    <col min="4878" max="5105" width="9" style="2"/>
    <col min="5106" max="5106" width="2.375" style="2" customWidth="1"/>
    <col min="5107" max="5107" width="13.25" style="2" bestFit="1" customWidth="1"/>
    <col min="5108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23" width="11.125" style="2" bestFit="1" customWidth="1"/>
    <col min="5124" max="5124" width="9" style="2"/>
    <col min="5125" max="5131" width="11.125" style="2" bestFit="1" customWidth="1"/>
    <col min="5132" max="5132" width="9" style="2"/>
    <col min="5133" max="5133" width="9.625" style="2" bestFit="1" customWidth="1"/>
    <col min="5134" max="5361" width="9" style="2"/>
    <col min="5362" max="5362" width="2.375" style="2" customWidth="1"/>
    <col min="5363" max="5363" width="13.25" style="2" bestFit="1" customWidth="1"/>
    <col min="5364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79" width="11.125" style="2" bestFit="1" customWidth="1"/>
    <col min="5380" max="5380" width="9" style="2"/>
    <col min="5381" max="5387" width="11.125" style="2" bestFit="1" customWidth="1"/>
    <col min="5388" max="5388" width="9" style="2"/>
    <col min="5389" max="5389" width="9.625" style="2" bestFit="1" customWidth="1"/>
    <col min="5390" max="5617" width="9" style="2"/>
    <col min="5618" max="5618" width="2.375" style="2" customWidth="1"/>
    <col min="5619" max="5619" width="13.25" style="2" bestFit="1" customWidth="1"/>
    <col min="5620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35" width="11.125" style="2" bestFit="1" customWidth="1"/>
    <col min="5636" max="5636" width="9" style="2"/>
    <col min="5637" max="5643" width="11.125" style="2" bestFit="1" customWidth="1"/>
    <col min="5644" max="5644" width="9" style="2"/>
    <col min="5645" max="5645" width="9.625" style="2" bestFit="1" customWidth="1"/>
    <col min="5646" max="5873" width="9" style="2"/>
    <col min="5874" max="5874" width="2.375" style="2" customWidth="1"/>
    <col min="5875" max="5875" width="13.25" style="2" bestFit="1" customWidth="1"/>
    <col min="5876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91" width="11.125" style="2" bestFit="1" customWidth="1"/>
    <col min="5892" max="5892" width="9" style="2"/>
    <col min="5893" max="5899" width="11.125" style="2" bestFit="1" customWidth="1"/>
    <col min="5900" max="5900" width="9" style="2"/>
    <col min="5901" max="5901" width="9.625" style="2" bestFit="1" customWidth="1"/>
    <col min="5902" max="6129" width="9" style="2"/>
    <col min="6130" max="6130" width="2.375" style="2" customWidth="1"/>
    <col min="6131" max="6131" width="13.25" style="2" bestFit="1" customWidth="1"/>
    <col min="6132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47" width="11.125" style="2" bestFit="1" customWidth="1"/>
    <col min="6148" max="6148" width="9" style="2"/>
    <col min="6149" max="6155" width="11.125" style="2" bestFit="1" customWidth="1"/>
    <col min="6156" max="6156" width="9" style="2"/>
    <col min="6157" max="6157" width="9.625" style="2" bestFit="1" customWidth="1"/>
    <col min="6158" max="6385" width="9" style="2"/>
    <col min="6386" max="6386" width="2.375" style="2" customWidth="1"/>
    <col min="6387" max="6387" width="13.25" style="2" bestFit="1" customWidth="1"/>
    <col min="6388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403" width="11.125" style="2" bestFit="1" customWidth="1"/>
    <col min="6404" max="6404" width="9" style="2"/>
    <col min="6405" max="6411" width="11.125" style="2" bestFit="1" customWidth="1"/>
    <col min="6412" max="6412" width="9" style="2"/>
    <col min="6413" max="6413" width="9.625" style="2" bestFit="1" customWidth="1"/>
    <col min="6414" max="6641" width="9" style="2"/>
    <col min="6642" max="6642" width="2.375" style="2" customWidth="1"/>
    <col min="6643" max="6643" width="13.25" style="2" bestFit="1" customWidth="1"/>
    <col min="6644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59" width="11.125" style="2" bestFit="1" customWidth="1"/>
    <col min="6660" max="6660" width="9" style="2"/>
    <col min="6661" max="6667" width="11.125" style="2" bestFit="1" customWidth="1"/>
    <col min="6668" max="6668" width="9" style="2"/>
    <col min="6669" max="6669" width="9.625" style="2" bestFit="1" customWidth="1"/>
    <col min="6670" max="6897" width="9" style="2"/>
    <col min="6898" max="6898" width="2.375" style="2" customWidth="1"/>
    <col min="6899" max="6899" width="13.25" style="2" bestFit="1" customWidth="1"/>
    <col min="6900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15" width="11.125" style="2" bestFit="1" customWidth="1"/>
    <col min="6916" max="6916" width="9" style="2"/>
    <col min="6917" max="6923" width="11.125" style="2" bestFit="1" customWidth="1"/>
    <col min="6924" max="6924" width="9" style="2"/>
    <col min="6925" max="6925" width="9.625" style="2" bestFit="1" customWidth="1"/>
    <col min="6926" max="7153" width="9" style="2"/>
    <col min="7154" max="7154" width="2.375" style="2" customWidth="1"/>
    <col min="7155" max="7155" width="13.25" style="2" bestFit="1" customWidth="1"/>
    <col min="7156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71" width="11.125" style="2" bestFit="1" customWidth="1"/>
    <col min="7172" max="7172" width="9" style="2"/>
    <col min="7173" max="7179" width="11.125" style="2" bestFit="1" customWidth="1"/>
    <col min="7180" max="7180" width="9" style="2"/>
    <col min="7181" max="7181" width="9.625" style="2" bestFit="1" customWidth="1"/>
    <col min="7182" max="7409" width="9" style="2"/>
    <col min="7410" max="7410" width="2.375" style="2" customWidth="1"/>
    <col min="7411" max="7411" width="13.25" style="2" bestFit="1" customWidth="1"/>
    <col min="7412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27" width="11.125" style="2" bestFit="1" customWidth="1"/>
    <col min="7428" max="7428" width="9" style="2"/>
    <col min="7429" max="7435" width="11.125" style="2" bestFit="1" customWidth="1"/>
    <col min="7436" max="7436" width="9" style="2"/>
    <col min="7437" max="7437" width="9.625" style="2" bestFit="1" customWidth="1"/>
    <col min="7438" max="7665" width="9" style="2"/>
    <col min="7666" max="7666" width="2.375" style="2" customWidth="1"/>
    <col min="7667" max="7667" width="13.25" style="2" bestFit="1" customWidth="1"/>
    <col min="7668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83" width="11.125" style="2" bestFit="1" customWidth="1"/>
    <col min="7684" max="7684" width="9" style="2"/>
    <col min="7685" max="7691" width="11.125" style="2" bestFit="1" customWidth="1"/>
    <col min="7692" max="7692" width="9" style="2"/>
    <col min="7693" max="7693" width="9.625" style="2" bestFit="1" customWidth="1"/>
    <col min="7694" max="7921" width="9" style="2"/>
    <col min="7922" max="7922" width="2.375" style="2" customWidth="1"/>
    <col min="7923" max="7923" width="13.25" style="2" bestFit="1" customWidth="1"/>
    <col min="7924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39" width="11.125" style="2" bestFit="1" customWidth="1"/>
    <col min="7940" max="7940" width="9" style="2"/>
    <col min="7941" max="7947" width="11.125" style="2" bestFit="1" customWidth="1"/>
    <col min="7948" max="7948" width="9" style="2"/>
    <col min="7949" max="7949" width="9.625" style="2" bestFit="1" customWidth="1"/>
    <col min="7950" max="8177" width="9" style="2"/>
    <col min="8178" max="8178" width="2.375" style="2" customWidth="1"/>
    <col min="8179" max="8179" width="13.25" style="2" bestFit="1" customWidth="1"/>
    <col min="8180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95" width="11.125" style="2" bestFit="1" customWidth="1"/>
    <col min="8196" max="8196" width="9" style="2"/>
    <col min="8197" max="8203" width="11.125" style="2" bestFit="1" customWidth="1"/>
    <col min="8204" max="8204" width="9" style="2"/>
    <col min="8205" max="8205" width="9.625" style="2" bestFit="1" customWidth="1"/>
    <col min="8206" max="8433" width="9" style="2"/>
    <col min="8434" max="8434" width="2.375" style="2" customWidth="1"/>
    <col min="8435" max="8435" width="13.25" style="2" bestFit="1" customWidth="1"/>
    <col min="8436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51" width="11.125" style="2" bestFit="1" customWidth="1"/>
    <col min="8452" max="8452" width="9" style="2"/>
    <col min="8453" max="8459" width="11.125" style="2" bestFit="1" customWidth="1"/>
    <col min="8460" max="8460" width="9" style="2"/>
    <col min="8461" max="8461" width="9.625" style="2" bestFit="1" customWidth="1"/>
    <col min="8462" max="8689" width="9" style="2"/>
    <col min="8690" max="8690" width="2.375" style="2" customWidth="1"/>
    <col min="8691" max="8691" width="13.25" style="2" bestFit="1" customWidth="1"/>
    <col min="8692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707" width="11.125" style="2" bestFit="1" customWidth="1"/>
    <col min="8708" max="8708" width="9" style="2"/>
    <col min="8709" max="8715" width="11.125" style="2" bestFit="1" customWidth="1"/>
    <col min="8716" max="8716" width="9" style="2"/>
    <col min="8717" max="8717" width="9.625" style="2" bestFit="1" customWidth="1"/>
    <col min="8718" max="8945" width="9" style="2"/>
    <col min="8946" max="8946" width="2.375" style="2" customWidth="1"/>
    <col min="8947" max="8947" width="13.25" style="2" bestFit="1" customWidth="1"/>
    <col min="8948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63" width="11.125" style="2" bestFit="1" customWidth="1"/>
    <col min="8964" max="8964" width="9" style="2"/>
    <col min="8965" max="8971" width="11.125" style="2" bestFit="1" customWidth="1"/>
    <col min="8972" max="8972" width="9" style="2"/>
    <col min="8973" max="8973" width="9.625" style="2" bestFit="1" customWidth="1"/>
    <col min="8974" max="9201" width="9" style="2"/>
    <col min="9202" max="9202" width="2.375" style="2" customWidth="1"/>
    <col min="9203" max="9203" width="13.25" style="2" bestFit="1" customWidth="1"/>
    <col min="9204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19" width="11.125" style="2" bestFit="1" customWidth="1"/>
    <col min="9220" max="9220" width="9" style="2"/>
    <col min="9221" max="9227" width="11.125" style="2" bestFit="1" customWidth="1"/>
    <col min="9228" max="9228" width="9" style="2"/>
    <col min="9229" max="9229" width="9.625" style="2" bestFit="1" customWidth="1"/>
    <col min="9230" max="9457" width="9" style="2"/>
    <col min="9458" max="9458" width="2.375" style="2" customWidth="1"/>
    <col min="9459" max="9459" width="13.25" style="2" bestFit="1" customWidth="1"/>
    <col min="9460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75" width="11.125" style="2" bestFit="1" customWidth="1"/>
    <col min="9476" max="9476" width="9" style="2"/>
    <col min="9477" max="9483" width="11.125" style="2" bestFit="1" customWidth="1"/>
    <col min="9484" max="9484" width="9" style="2"/>
    <col min="9485" max="9485" width="9.625" style="2" bestFit="1" customWidth="1"/>
    <col min="9486" max="9713" width="9" style="2"/>
    <col min="9714" max="9714" width="2.375" style="2" customWidth="1"/>
    <col min="9715" max="9715" width="13.25" style="2" bestFit="1" customWidth="1"/>
    <col min="9716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31" width="11.125" style="2" bestFit="1" customWidth="1"/>
    <col min="9732" max="9732" width="9" style="2"/>
    <col min="9733" max="9739" width="11.125" style="2" bestFit="1" customWidth="1"/>
    <col min="9740" max="9740" width="9" style="2"/>
    <col min="9741" max="9741" width="9.625" style="2" bestFit="1" customWidth="1"/>
    <col min="9742" max="9969" width="9" style="2"/>
    <col min="9970" max="9970" width="2.375" style="2" customWidth="1"/>
    <col min="9971" max="9971" width="13.25" style="2" bestFit="1" customWidth="1"/>
    <col min="9972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87" width="11.125" style="2" bestFit="1" customWidth="1"/>
    <col min="9988" max="9988" width="9" style="2"/>
    <col min="9989" max="9995" width="11.125" style="2" bestFit="1" customWidth="1"/>
    <col min="9996" max="9996" width="9" style="2"/>
    <col min="9997" max="9997" width="9.625" style="2" bestFit="1" customWidth="1"/>
    <col min="9998" max="10225" width="9" style="2"/>
    <col min="10226" max="10226" width="2.375" style="2" customWidth="1"/>
    <col min="10227" max="10227" width="13.25" style="2" bestFit="1" customWidth="1"/>
    <col min="10228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43" width="11.125" style="2" bestFit="1" customWidth="1"/>
    <col min="10244" max="10244" width="9" style="2"/>
    <col min="10245" max="10251" width="11.125" style="2" bestFit="1" customWidth="1"/>
    <col min="10252" max="10252" width="9" style="2"/>
    <col min="10253" max="10253" width="9.625" style="2" bestFit="1" customWidth="1"/>
    <col min="10254" max="10481" width="9" style="2"/>
    <col min="10482" max="10482" width="2.375" style="2" customWidth="1"/>
    <col min="10483" max="10483" width="13.25" style="2" bestFit="1" customWidth="1"/>
    <col min="10484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99" width="11.125" style="2" bestFit="1" customWidth="1"/>
    <col min="10500" max="10500" width="9" style="2"/>
    <col min="10501" max="10507" width="11.125" style="2" bestFit="1" customWidth="1"/>
    <col min="10508" max="10508" width="9" style="2"/>
    <col min="10509" max="10509" width="9.625" style="2" bestFit="1" customWidth="1"/>
    <col min="10510" max="10737" width="9" style="2"/>
    <col min="10738" max="10738" width="2.375" style="2" customWidth="1"/>
    <col min="10739" max="10739" width="13.25" style="2" bestFit="1" customWidth="1"/>
    <col min="10740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55" width="11.125" style="2" bestFit="1" customWidth="1"/>
    <col min="10756" max="10756" width="9" style="2"/>
    <col min="10757" max="10763" width="11.125" style="2" bestFit="1" customWidth="1"/>
    <col min="10764" max="10764" width="9" style="2"/>
    <col min="10765" max="10765" width="9.625" style="2" bestFit="1" customWidth="1"/>
    <col min="10766" max="10993" width="9" style="2"/>
    <col min="10994" max="10994" width="2.375" style="2" customWidth="1"/>
    <col min="10995" max="10995" width="13.25" style="2" bestFit="1" customWidth="1"/>
    <col min="10996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11" width="11.125" style="2" bestFit="1" customWidth="1"/>
    <col min="11012" max="11012" width="9" style="2"/>
    <col min="11013" max="11019" width="11.125" style="2" bestFit="1" customWidth="1"/>
    <col min="11020" max="11020" width="9" style="2"/>
    <col min="11021" max="11021" width="9.625" style="2" bestFit="1" customWidth="1"/>
    <col min="11022" max="11249" width="9" style="2"/>
    <col min="11250" max="11250" width="2.375" style="2" customWidth="1"/>
    <col min="11251" max="11251" width="13.25" style="2" bestFit="1" customWidth="1"/>
    <col min="11252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67" width="11.125" style="2" bestFit="1" customWidth="1"/>
    <col min="11268" max="11268" width="9" style="2"/>
    <col min="11269" max="11275" width="11.125" style="2" bestFit="1" customWidth="1"/>
    <col min="11276" max="11276" width="9" style="2"/>
    <col min="11277" max="11277" width="9.625" style="2" bestFit="1" customWidth="1"/>
    <col min="11278" max="11505" width="9" style="2"/>
    <col min="11506" max="11506" width="2.375" style="2" customWidth="1"/>
    <col min="11507" max="11507" width="13.25" style="2" bestFit="1" customWidth="1"/>
    <col min="11508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23" width="11.125" style="2" bestFit="1" customWidth="1"/>
    <col min="11524" max="11524" width="9" style="2"/>
    <col min="11525" max="11531" width="11.125" style="2" bestFit="1" customWidth="1"/>
    <col min="11532" max="11532" width="9" style="2"/>
    <col min="11533" max="11533" width="9.625" style="2" bestFit="1" customWidth="1"/>
    <col min="11534" max="11761" width="9" style="2"/>
    <col min="11762" max="11762" width="2.375" style="2" customWidth="1"/>
    <col min="11763" max="11763" width="13.25" style="2" bestFit="1" customWidth="1"/>
    <col min="11764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79" width="11.125" style="2" bestFit="1" customWidth="1"/>
    <col min="11780" max="11780" width="9" style="2"/>
    <col min="11781" max="11787" width="11.125" style="2" bestFit="1" customWidth="1"/>
    <col min="11788" max="11788" width="9" style="2"/>
    <col min="11789" max="11789" width="9.625" style="2" bestFit="1" customWidth="1"/>
    <col min="11790" max="12017" width="9" style="2"/>
    <col min="12018" max="12018" width="2.375" style="2" customWidth="1"/>
    <col min="12019" max="12019" width="13.25" style="2" bestFit="1" customWidth="1"/>
    <col min="12020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35" width="11.125" style="2" bestFit="1" customWidth="1"/>
    <col min="12036" max="12036" width="9" style="2"/>
    <col min="12037" max="12043" width="11.125" style="2" bestFit="1" customWidth="1"/>
    <col min="12044" max="12044" width="9" style="2"/>
    <col min="12045" max="12045" width="9.625" style="2" bestFit="1" customWidth="1"/>
    <col min="12046" max="12273" width="9" style="2"/>
    <col min="12274" max="12274" width="2.375" style="2" customWidth="1"/>
    <col min="12275" max="12275" width="13.25" style="2" bestFit="1" customWidth="1"/>
    <col min="12276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91" width="11.125" style="2" bestFit="1" customWidth="1"/>
    <col min="12292" max="12292" width="9" style="2"/>
    <col min="12293" max="12299" width="11.125" style="2" bestFit="1" customWidth="1"/>
    <col min="12300" max="12300" width="9" style="2"/>
    <col min="12301" max="12301" width="9.625" style="2" bestFit="1" customWidth="1"/>
    <col min="12302" max="12529" width="9" style="2"/>
    <col min="12530" max="12530" width="2.375" style="2" customWidth="1"/>
    <col min="12531" max="12531" width="13.25" style="2" bestFit="1" customWidth="1"/>
    <col min="12532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47" width="11.125" style="2" bestFit="1" customWidth="1"/>
    <col min="12548" max="12548" width="9" style="2"/>
    <col min="12549" max="12555" width="11.125" style="2" bestFit="1" customWidth="1"/>
    <col min="12556" max="12556" width="9" style="2"/>
    <col min="12557" max="12557" width="9.625" style="2" bestFit="1" customWidth="1"/>
    <col min="12558" max="12785" width="9" style="2"/>
    <col min="12786" max="12786" width="2.375" style="2" customWidth="1"/>
    <col min="12787" max="12787" width="13.25" style="2" bestFit="1" customWidth="1"/>
    <col min="12788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803" width="11.125" style="2" bestFit="1" customWidth="1"/>
    <col min="12804" max="12804" width="9" style="2"/>
    <col min="12805" max="12811" width="11.125" style="2" bestFit="1" customWidth="1"/>
    <col min="12812" max="12812" width="9" style="2"/>
    <col min="12813" max="12813" width="9.625" style="2" bestFit="1" customWidth="1"/>
    <col min="12814" max="13041" width="9" style="2"/>
    <col min="13042" max="13042" width="2.375" style="2" customWidth="1"/>
    <col min="13043" max="13043" width="13.25" style="2" bestFit="1" customWidth="1"/>
    <col min="13044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59" width="11.125" style="2" bestFit="1" customWidth="1"/>
    <col min="13060" max="13060" width="9" style="2"/>
    <col min="13061" max="13067" width="11.125" style="2" bestFit="1" customWidth="1"/>
    <col min="13068" max="13068" width="9" style="2"/>
    <col min="13069" max="13069" width="9.625" style="2" bestFit="1" customWidth="1"/>
    <col min="13070" max="13297" width="9" style="2"/>
    <col min="13298" max="13298" width="2.375" style="2" customWidth="1"/>
    <col min="13299" max="13299" width="13.25" style="2" bestFit="1" customWidth="1"/>
    <col min="13300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15" width="11.125" style="2" bestFit="1" customWidth="1"/>
    <col min="13316" max="13316" width="9" style="2"/>
    <col min="13317" max="13323" width="11.125" style="2" bestFit="1" customWidth="1"/>
    <col min="13324" max="13324" width="9" style="2"/>
    <col min="13325" max="13325" width="9.625" style="2" bestFit="1" customWidth="1"/>
    <col min="13326" max="13553" width="9" style="2"/>
    <col min="13554" max="13554" width="2.375" style="2" customWidth="1"/>
    <col min="13555" max="13555" width="13.25" style="2" bestFit="1" customWidth="1"/>
    <col min="13556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71" width="11.125" style="2" bestFit="1" customWidth="1"/>
    <col min="13572" max="13572" width="9" style="2"/>
    <col min="13573" max="13579" width="11.125" style="2" bestFit="1" customWidth="1"/>
    <col min="13580" max="13580" width="9" style="2"/>
    <col min="13581" max="13581" width="9.625" style="2" bestFit="1" customWidth="1"/>
    <col min="13582" max="13809" width="9" style="2"/>
    <col min="13810" max="13810" width="2.375" style="2" customWidth="1"/>
    <col min="13811" max="13811" width="13.25" style="2" bestFit="1" customWidth="1"/>
    <col min="13812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27" width="11.125" style="2" bestFit="1" customWidth="1"/>
    <col min="13828" max="13828" width="9" style="2"/>
    <col min="13829" max="13835" width="11.125" style="2" bestFit="1" customWidth="1"/>
    <col min="13836" max="13836" width="9" style="2"/>
    <col min="13837" max="13837" width="9.625" style="2" bestFit="1" customWidth="1"/>
    <col min="13838" max="14065" width="9" style="2"/>
    <col min="14066" max="14066" width="2.375" style="2" customWidth="1"/>
    <col min="14067" max="14067" width="13.25" style="2" bestFit="1" customWidth="1"/>
    <col min="14068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83" width="11.125" style="2" bestFit="1" customWidth="1"/>
    <col min="14084" max="14084" width="9" style="2"/>
    <col min="14085" max="14091" width="11.125" style="2" bestFit="1" customWidth="1"/>
    <col min="14092" max="14092" width="9" style="2"/>
    <col min="14093" max="14093" width="9.625" style="2" bestFit="1" customWidth="1"/>
    <col min="14094" max="14321" width="9" style="2"/>
    <col min="14322" max="14322" width="2.375" style="2" customWidth="1"/>
    <col min="14323" max="14323" width="13.25" style="2" bestFit="1" customWidth="1"/>
    <col min="14324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39" width="11.125" style="2" bestFit="1" customWidth="1"/>
    <col min="14340" max="14340" width="9" style="2"/>
    <col min="14341" max="14347" width="11.125" style="2" bestFit="1" customWidth="1"/>
    <col min="14348" max="14348" width="9" style="2"/>
    <col min="14349" max="14349" width="9.625" style="2" bestFit="1" customWidth="1"/>
    <col min="14350" max="14577" width="9" style="2"/>
    <col min="14578" max="14578" width="2.375" style="2" customWidth="1"/>
    <col min="14579" max="14579" width="13.25" style="2" bestFit="1" customWidth="1"/>
    <col min="14580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95" width="11.125" style="2" bestFit="1" customWidth="1"/>
    <col min="14596" max="14596" width="9" style="2"/>
    <col min="14597" max="14603" width="11.125" style="2" bestFit="1" customWidth="1"/>
    <col min="14604" max="14604" width="9" style="2"/>
    <col min="14605" max="14605" width="9.625" style="2" bestFit="1" customWidth="1"/>
    <col min="14606" max="14833" width="9" style="2"/>
    <col min="14834" max="14834" width="2.375" style="2" customWidth="1"/>
    <col min="14835" max="14835" width="13.25" style="2" bestFit="1" customWidth="1"/>
    <col min="14836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51" width="11.125" style="2" bestFit="1" customWidth="1"/>
    <col min="14852" max="14852" width="9" style="2"/>
    <col min="14853" max="14859" width="11.125" style="2" bestFit="1" customWidth="1"/>
    <col min="14860" max="14860" width="9" style="2"/>
    <col min="14861" max="14861" width="9.625" style="2" bestFit="1" customWidth="1"/>
    <col min="14862" max="15089" width="9" style="2"/>
    <col min="15090" max="15090" width="2.375" style="2" customWidth="1"/>
    <col min="15091" max="15091" width="13.25" style="2" bestFit="1" customWidth="1"/>
    <col min="15092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107" width="11.125" style="2" bestFit="1" customWidth="1"/>
    <col min="15108" max="15108" width="9" style="2"/>
    <col min="15109" max="15115" width="11.125" style="2" bestFit="1" customWidth="1"/>
    <col min="15116" max="15116" width="9" style="2"/>
    <col min="15117" max="15117" width="9.625" style="2" bestFit="1" customWidth="1"/>
    <col min="15118" max="15345" width="9" style="2"/>
    <col min="15346" max="15346" width="2.375" style="2" customWidth="1"/>
    <col min="15347" max="15347" width="13.25" style="2" bestFit="1" customWidth="1"/>
    <col min="15348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63" width="11.125" style="2" bestFit="1" customWidth="1"/>
    <col min="15364" max="15364" width="9" style="2"/>
    <col min="15365" max="15371" width="11.125" style="2" bestFit="1" customWidth="1"/>
    <col min="15372" max="15372" width="9" style="2"/>
    <col min="15373" max="15373" width="9.625" style="2" bestFit="1" customWidth="1"/>
    <col min="15374" max="15601" width="9" style="2"/>
    <col min="15602" max="15602" width="2.375" style="2" customWidth="1"/>
    <col min="15603" max="15603" width="13.25" style="2" bestFit="1" customWidth="1"/>
    <col min="15604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19" width="11.125" style="2" bestFit="1" customWidth="1"/>
    <col min="15620" max="15620" width="9" style="2"/>
    <col min="15621" max="15627" width="11.125" style="2" bestFit="1" customWidth="1"/>
    <col min="15628" max="15628" width="9" style="2"/>
    <col min="15629" max="15629" width="9.625" style="2" bestFit="1" customWidth="1"/>
    <col min="15630" max="15857" width="9" style="2"/>
    <col min="15858" max="15858" width="2.375" style="2" customWidth="1"/>
    <col min="15859" max="15859" width="13.25" style="2" bestFit="1" customWidth="1"/>
    <col min="15860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75" width="11.125" style="2" bestFit="1" customWidth="1"/>
    <col min="15876" max="15876" width="9" style="2"/>
    <col min="15877" max="15883" width="11.125" style="2" bestFit="1" customWidth="1"/>
    <col min="15884" max="15884" width="9" style="2"/>
    <col min="15885" max="15885" width="9.625" style="2" bestFit="1" customWidth="1"/>
    <col min="15886" max="16113" width="9" style="2"/>
    <col min="16114" max="16114" width="2.375" style="2" customWidth="1"/>
    <col min="16115" max="16115" width="13.25" style="2" bestFit="1" customWidth="1"/>
    <col min="16116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31" width="11.125" style="2" bestFit="1" customWidth="1"/>
    <col min="16132" max="16132" width="9" style="2"/>
    <col min="16133" max="16139" width="11.1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104</v>
      </c>
    </row>
    <row r="3" spans="1:14">
      <c r="B3" s="5"/>
      <c r="C3" s="84" t="s">
        <v>14</v>
      </c>
      <c r="D3" s="7" t="s">
        <v>4</v>
      </c>
      <c r="E3" s="7" t="s">
        <v>22</v>
      </c>
      <c r="F3" s="7" t="s">
        <v>23</v>
      </c>
      <c r="G3" s="7" t="s">
        <v>21</v>
      </c>
      <c r="H3" s="7" t="s">
        <v>24</v>
      </c>
      <c r="I3" s="7" t="s">
        <v>25</v>
      </c>
      <c r="J3" s="100" t="s">
        <v>26</v>
      </c>
      <c r="K3" s="98" t="s">
        <v>105</v>
      </c>
      <c r="L3" s="100" t="s">
        <v>5</v>
      </c>
      <c r="M3" s="98" t="s">
        <v>105</v>
      </c>
      <c r="N3" s="8"/>
    </row>
    <row r="4" spans="1:14" ht="19.5" thickBot="1">
      <c r="A4" s="69"/>
      <c r="B4" s="9" t="s">
        <v>27</v>
      </c>
      <c r="C4" s="85" t="s">
        <v>40</v>
      </c>
      <c r="D4" s="11" t="s">
        <v>30</v>
      </c>
      <c r="E4" s="11" t="s">
        <v>48</v>
      </c>
      <c r="F4" s="11" t="s">
        <v>49</v>
      </c>
      <c r="G4" s="11" t="s">
        <v>47</v>
      </c>
      <c r="H4" s="11" t="s">
        <v>50</v>
      </c>
      <c r="I4" s="11" t="s">
        <v>51</v>
      </c>
      <c r="J4" s="3" t="s">
        <v>52</v>
      </c>
      <c r="K4" s="99" t="s">
        <v>107</v>
      </c>
      <c r="L4" s="3" t="s">
        <v>31</v>
      </c>
      <c r="M4" s="99" t="s">
        <v>108</v>
      </c>
      <c r="N4" s="113" t="s">
        <v>53</v>
      </c>
    </row>
    <row r="5" spans="1:14">
      <c r="A5" s="1" t="s">
        <v>1</v>
      </c>
      <c r="B5" s="12" t="s">
        <v>54</v>
      </c>
      <c r="C5" s="86">
        <v>19</v>
      </c>
      <c r="D5" s="14">
        <v>20</v>
      </c>
      <c r="E5" s="14">
        <v>14</v>
      </c>
      <c r="F5" s="14">
        <v>15</v>
      </c>
      <c r="G5" s="14">
        <v>10</v>
      </c>
      <c r="H5" s="14">
        <v>7</v>
      </c>
      <c r="I5" s="14">
        <v>12</v>
      </c>
      <c r="J5" s="15">
        <v>18</v>
      </c>
      <c r="K5" s="16">
        <f>SUM(C5:J5)</f>
        <v>115</v>
      </c>
      <c r="L5" s="15">
        <v>19</v>
      </c>
      <c r="M5" s="16">
        <f>SUM(L5)</f>
        <v>19</v>
      </c>
      <c r="N5" s="16">
        <v>418</v>
      </c>
    </row>
    <row r="6" spans="1:14">
      <c r="A6" s="1" t="s">
        <v>1</v>
      </c>
      <c r="B6" s="17" t="s">
        <v>55</v>
      </c>
      <c r="C6" s="87">
        <v>0</v>
      </c>
      <c r="D6" s="19">
        <v>4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  <c r="K6" s="21">
        <f t="shared" ref="K6:K55" si="0">SUM(C6:J6)</f>
        <v>4</v>
      </c>
      <c r="L6" s="20">
        <v>0</v>
      </c>
      <c r="M6" s="21">
        <f t="shared" ref="M6:M54" si="1">SUM(L6)</f>
        <v>0</v>
      </c>
      <c r="N6" s="21">
        <v>47</v>
      </c>
    </row>
    <row r="7" spans="1:14">
      <c r="A7" s="1" t="s">
        <v>1</v>
      </c>
      <c r="B7" s="17" t="s">
        <v>56</v>
      </c>
      <c r="C7" s="87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21">
        <f t="shared" si="0"/>
        <v>0</v>
      </c>
      <c r="L7" s="20">
        <v>0</v>
      </c>
      <c r="M7" s="21">
        <f t="shared" si="1"/>
        <v>0</v>
      </c>
      <c r="N7" s="21">
        <v>30</v>
      </c>
    </row>
    <row r="8" spans="1:14">
      <c r="A8" s="1" t="s">
        <v>1</v>
      </c>
      <c r="B8" s="17" t="s">
        <v>57</v>
      </c>
      <c r="C8" s="87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  <c r="K8" s="21">
        <f t="shared" si="0"/>
        <v>0</v>
      </c>
      <c r="L8" s="20">
        <v>0</v>
      </c>
      <c r="M8" s="21">
        <f t="shared" si="1"/>
        <v>0</v>
      </c>
      <c r="N8" s="21">
        <v>3</v>
      </c>
    </row>
    <row r="9" spans="1:14">
      <c r="A9" s="1" t="s">
        <v>1</v>
      </c>
      <c r="B9" s="17" t="s">
        <v>58</v>
      </c>
      <c r="C9" s="87">
        <v>0.5</v>
      </c>
      <c r="D9" s="19">
        <v>0</v>
      </c>
      <c r="E9" s="19">
        <v>0</v>
      </c>
      <c r="F9" s="19">
        <v>1</v>
      </c>
      <c r="G9" s="19">
        <v>1</v>
      </c>
      <c r="H9" s="19">
        <v>0</v>
      </c>
      <c r="I9" s="19">
        <v>0</v>
      </c>
      <c r="J9" s="20">
        <v>0</v>
      </c>
      <c r="K9" s="21">
        <f t="shared" si="0"/>
        <v>2.5</v>
      </c>
      <c r="L9" s="20">
        <v>1</v>
      </c>
      <c r="M9" s="21">
        <f t="shared" si="1"/>
        <v>1</v>
      </c>
      <c r="N9" s="21">
        <v>17</v>
      </c>
    </row>
    <row r="10" spans="1:14">
      <c r="A10" s="1" t="s">
        <v>1</v>
      </c>
      <c r="B10" s="17" t="s">
        <v>59</v>
      </c>
      <c r="C10" s="87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  <c r="K10" s="21">
        <f t="shared" si="0"/>
        <v>0</v>
      </c>
      <c r="L10" s="20">
        <v>0</v>
      </c>
      <c r="M10" s="21">
        <f t="shared" si="1"/>
        <v>0</v>
      </c>
      <c r="N10" s="21">
        <v>20</v>
      </c>
    </row>
    <row r="11" spans="1:14">
      <c r="A11" s="1" t="s">
        <v>1</v>
      </c>
      <c r="B11" s="17" t="s">
        <v>60</v>
      </c>
      <c r="C11" s="88">
        <v>0</v>
      </c>
      <c r="D11" s="23">
        <v>0</v>
      </c>
      <c r="E11" s="23">
        <v>3.5416666666666665</v>
      </c>
      <c r="F11" s="23">
        <v>3.5416666666666665</v>
      </c>
      <c r="G11" s="23">
        <v>2.9583333333333335</v>
      </c>
      <c r="H11" s="23">
        <v>2.2083333333333335</v>
      </c>
      <c r="I11" s="23">
        <v>3.25</v>
      </c>
      <c r="J11" s="24">
        <v>4.541666666666667</v>
      </c>
      <c r="K11" s="25">
        <f t="shared" si="0"/>
        <v>20.041666666666668</v>
      </c>
      <c r="L11" s="24">
        <v>0</v>
      </c>
      <c r="M11" s="25">
        <f t="shared" si="1"/>
        <v>0</v>
      </c>
      <c r="N11" s="25">
        <v>20.041666666666668</v>
      </c>
    </row>
    <row r="12" spans="1:14">
      <c r="A12" s="1" t="s">
        <v>1</v>
      </c>
      <c r="B12" s="17" t="s">
        <v>61</v>
      </c>
      <c r="C12" s="88">
        <v>0</v>
      </c>
      <c r="D12" s="23">
        <v>1.625</v>
      </c>
      <c r="E12" s="23">
        <v>0</v>
      </c>
      <c r="F12" s="23">
        <v>0</v>
      </c>
      <c r="G12" s="23">
        <v>0</v>
      </c>
      <c r="H12" s="23">
        <v>4.1666666666666664E-2</v>
      </c>
      <c r="I12" s="23">
        <v>0</v>
      </c>
      <c r="J12" s="24">
        <v>0.16666666666666666</v>
      </c>
      <c r="K12" s="25">
        <f t="shared" si="0"/>
        <v>1.8333333333333335</v>
      </c>
      <c r="L12" s="24">
        <v>0</v>
      </c>
      <c r="M12" s="25">
        <f t="shared" si="1"/>
        <v>0</v>
      </c>
      <c r="N12" s="25">
        <v>24.5</v>
      </c>
    </row>
    <row r="13" spans="1:14">
      <c r="A13" s="1" t="s">
        <v>1</v>
      </c>
      <c r="B13" s="17" t="s">
        <v>62</v>
      </c>
      <c r="C13" s="88">
        <v>0</v>
      </c>
      <c r="D13" s="23">
        <v>1.4166666666666667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4">
        <v>0</v>
      </c>
      <c r="K13" s="25">
        <f t="shared" si="0"/>
        <v>1.4166666666666667</v>
      </c>
      <c r="L13" s="24">
        <v>0</v>
      </c>
      <c r="M13" s="25">
        <f t="shared" si="1"/>
        <v>0</v>
      </c>
      <c r="N13" s="25">
        <v>15.166666666666666</v>
      </c>
    </row>
    <row r="14" spans="1:14">
      <c r="A14" s="1" t="s">
        <v>1</v>
      </c>
      <c r="B14" s="17" t="s">
        <v>63</v>
      </c>
      <c r="C14" s="88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4">
        <v>0</v>
      </c>
      <c r="K14" s="25">
        <f t="shared" si="0"/>
        <v>0</v>
      </c>
      <c r="L14" s="24">
        <v>0</v>
      </c>
      <c r="M14" s="25">
        <f t="shared" si="1"/>
        <v>0</v>
      </c>
      <c r="N14" s="25">
        <v>10.041666666666666</v>
      </c>
    </row>
    <row r="15" spans="1:14">
      <c r="A15" s="1" t="s">
        <v>1</v>
      </c>
      <c r="B15" s="17" t="s">
        <v>64</v>
      </c>
      <c r="C15" s="88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4">
        <v>0</v>
      </c>
      <c r="K15" s="25">
        <f t="shared" si="0"/>
        <v>0</v>
      </c>
      <c r="L15" s="24">
        <v>0</v>
      </c>
      <c r="M15" s="25">
        <f t="shared" si="1"/>
        <v>0</v>
      </c>
      <c r="N15" s="25">
        <v>0.20833333333333334</v>
      </c>
    </row>
    <row r="16" spans="1:14">
      <c r="A16" s="1" t="s">
        <v>1</v>
      </c>
      <c r="B16" s="17" t="s">
        <v>65</v>
      </c>
      <c r="C16" s="88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4">
        <v>0</v>
      </c>
      <c r="K16" s="25">
        <f t="shared" si="0"/>
        <v>0</v>
      </c>
      <c r="L16" s="24">
        <v>0</v>
      </c>
      <c r="M16" s="25">
        <f t="shared" si="1"/>
        <v>0</v>
      </c>
      <c r="N16" s="25">
        <v>0.58333333333333337</v>
      </c>
    </row>
    <row r="17" spans="1:14">
      <c r="A17" s="1" t="s">
        <v>1</v>
      </c>
      <c r="B17" s="17" t="s">
        <v>66</v>
      </c>
      <c r="C17" s="88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4">
        <v>0</v>
      </c>
      <c r="K17" s="25">
        <f t="shared" si="0"/>
        <v>0</v>
      </c>
      <c r="L17" s="24">
        <v>0</v>
      </c>
      <c r="M17" s="25">
        <f t="shared" si="1"/>
        <v>0</v>
      </c>
      <c r="N17" s="25">
        <v>0.33333333333333331</v>
      </c>
    </row>
    <row r="18" spans="1:14">
      <c r="A18" s="1" t="s">
        <v>1</v>
      </c>
      <c r="B18" s="17" t="s">
        <v>67</v>
      </c>
      <c r="C18" s="88">
        <v>0</v>
      </c>
      <c r="D18" s="23">
        <v>0</v>
      </c>
      <c r="E18" s="23">
        <v>0</v>
      </c>
      <c r="F18" s="23">
        <v>0.29166666666666669</v>
      </c>
      <c r="G18" s="23">
        <v>0.29166666666666669</v>
      </c>
      <c r="H18" s="23">
        <v>0</v>
      </c>
      <c r="I18" s="23">
        <v>0</v>
      </c>
      <c r="J18" s="24">
        <v>0</v>
      </c>
      <c r="K18" s="25">
        <f t="shared" si="0"/>
        <v>0.58333333333333337</v>
      </c>
      <c r="L18" s="24">
        <v>0</v>
      </c>
      <c r="M18" s="25">
        <f t="shared" si="1"/>
        <v>0</v>
      </c>
      <c r="N18" s="25">
        <v>0.58333333333333337</v>
      </c>
    </row>
    <row r="19" spans="1:14">
      <c r="A19" s="1" t="s">
        <v>1</v>
      </c>
      <c r="B19" s="26" t="s">
        <v>68</v>
      </c>
      <c r="C19" s="89">
        <v>0</v>
      </c>
      <c r="D19" s="28">
        <v>0</v>
      </c>
      <c r="E19" s="28">
        <v>0</v>
      </c>
      <c r="F19" s="28">
        <v>0</v>
      </c>
      <c r="G19" s="28">
        <v>2.0833333333333335</v>
      </c>
      <c r="H19" s="28">
        <v>0.625</v>
      </c>
      <c r="I19" s="28">
        <v>2.0833333333333335</v>
      </c>
      <c r="J19" s="29">
        <v>1.4583333333333333</v>
      </c>
      <c r="K19" s="30">
        <f t="shared" si="0"/>
        <v>6.25</v>
      </c>
      <c r="L19" s="29">
        <v>0</v>
      </c>
      <c r="M19" s="30">
        <f t="shared" si="1"/>
        <v>0</v>
      </c>
      <c r="N19" s="30">
        <v>13.666666666666666</v>
      </c>
    </row>
    <row r="20" spans="1:14">
      <c r="A20" s="1" t="s">
        <v>1</v>
      </c>
      <c r="B20" s="31" t="s">
        <v>69</v>
      </c>
      <c r="C20" s="90">
        <v>14</v>
      </c>
      <c r="D20" s="33">
        <v>33.5</v>
      </c>
      <c r="E20" s="33">
        <v>12</v>
      </c>
      <c r="F20" s="33">
        <v>17</v>
      </c>
      <c r="G20" s="33">
        <v>0</v>
      </c>
      <c r="H20" s="33">
        <v>4</v>
      </c>
      <c r="I20" s="33">
        <v>26</v>
      </c>
      <c r="J20" s="34">
        <v>5</v>
      </c>
      <c r="K20" s="35"/>
      <c r="L20" s="34">
        <v>32</v>
      </c>
      <c r="M20" s="35">
        <f t="shared" si="1"/>
        <v>32</v>
      </c>
      <c r="N20" s="35"/>
    </row>
    <row r="21" spans="1:14">
      <c r="A21" s="1" t="s">
        <v>1</v>
      </c>
      <c r="B21" s="36" t="s">
        <v>70</v>
      </c>
      <c r="C21" s="91">
        <v>370000</v>
      </c>
      <c r="D21" s="38">
        <v>285000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9">
        <v>0</v>
      </c>
      <c r="K21" s="40">
        <f t="shared" si="0"/>
        <v>655000</v>
      </c>
      <c r="L21" s="39">
        <v>390000</v>
      </c>
      <c r="M21" s="40">
        <f t="shared" si="1"/>
        <v>390000</v>
      </c>
      <c r="N21" s="40">
        <v>3832000</v>
      </c>
    </row>
    <row r="22" spans="1:14">
      <c r="A22" s="1" t="s">
        <v>1</v>
      </c>
      <c r="B22" s="17" t="s">
        <v>71</v>
      </c>
      <c r="C22" s="9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3">
        <v>0</v>
      </c>
      <c r="K22" s="44">
        <f t="shared" si="0"/>
        <v>0</v>
      </c>
      <c r="L22" s="43">
        <v>0</v>
      </c>
      <c r="M22" s="44">
        <f t="shared" si="1"/>
        <v>0</v>
      </c>
      <c r="N22" s="44">
        <v>50000</v>
      </c>
    </row>
    <row r="23" spans="1:14">
      <c r="A23" s="1" t="s">
        <v>1</v>
      </c>
      <c r="B23" s="17" t="s">
        <v>72</v>
      </c>
      <c r="C23" s="92">
        <v>0</v>
      </c>
      <c r="D23" s="42">
        <v>3000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3">
        <v>0</v>
      </c>
      <c r="K23" s="44">
        <f t="shared" si="0"/>
        <v>3000</v>
      </c>
      <c r="L23" s="43">
        <v>0</v>
      </c>
      <c r="M23" s="44">
        <f t="shared" si="1"/>
        <v>0</v>
      </c>
      <c r="N23" s="44">
        <v>6000</v>
      </c>
    </row>
    <row r="24" spans="1:14">
      <c r="A24" s="1" t="s">
        <v>1</v>
      </c>
      <c r="B24" s="17" t="s">
        <v>73</v>
      </c>
      <c r="C24" s="9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3">
        <v>0</v>
      </c>
      <c r="K24" s="44">
        <f t="shared" si="0"/>
        <v>0</v>
      </c>
      <c r="L24" s="43">
        <v>0</v>
      </c>
      <c r="M24" s="44">
        <f t="shared" si="1"/>
        <v>0</v>
      </c>
      <c r="N24" s="44">
        <v>128610</v>
      </c>
    </row>
    <row r="25" spans="1:14">
      <c r="A25" s="1" t="s">
        <v>1</v>
      </c>
      <c r="B25" s="17" t="s">
        <v>74</v>
      </c>
      <c r="C25" s="92">
        <v>0</v>
      </c>
      <c r="D25" s="42">
        <v>0</v>
      </c>
      <c r="E25" s="42">
        <v>87975</v>
      </c>
      <c r="F25" s="42">
        <v>90950</v>
      </c>
      <c r="G25" s="42">
        <v>69225</v>
      </c>
      <c r="H25" s="42">
        <v>51675</v>
      </c>
      <c r="I25" s="42">
        <v>76050</v>
      </c>
      <c r="J25" s="43">
        <v>106275</v>
      </c>
      <c r="K25" s="44">
        <f t="shared" si="0"/>
        <v>482150</v>
      </c>
      <c r="L25" s="43">
        <v>0</v>
      </c>
      <c r="M25" s="44">
        <f t="shared" si="1"/>
        <v>0</v>
      </c>
      <c r="N25" s="44">
        <v>482150</v>
      </c>
    </row>
    <row r="26" spans="1:14">
      <c r="A26" s="1" t="s">
        <v>1</v>
      </c>
      <c r="B26" s="17" t="s">
        <v>75</v>
      </c>
      <c r="C26" s="9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3">
        <v>0</v>
      </c>
      <c r="K26" s="44">
        <f t="shared" si="0"/>
        <v>0</v>
      </c>
      <c r="L26" s="43">
        <v>0</v>
      </c>
      <c r="M26" s="44">
        <f t="shared" si="1"/>
        <v>0</v>
      </c>
      <c r="N26" s="44">
        <v>40000</v>
      </c>
    </row>
    <row r="27" spans="1:14">
      <c r="A27" s="1" t="s">
        <v>1</v>
      </c>
      <c r="B27" s="17" t="s">
        <v>76</v>
      </c>
      <c r="C27" s="92">
        <v>0</v>
      </c>
      <c r="D27" s="42">
        <v>0</v>
      </c>
      <c r="E27" s="42">
        <v>0</v>
      </c>
      <c r="F27" s="42">
        <v>7490</v>
      </c>
      <c r="G27" s="42">
        <v>6825</v>
      </c>
      <c r="H27" s="42">
        <v>0</v>
      </c>
      <c r="I27" s="42">
        <v>0</v>
      </c>
      <c r="J27" s="43">
        <v>0</v>
      </c>
      <c r="K27" s="44">
        <f t="shared" si="0"/>
        <v>14315</v>
      </c>
      <c r="L27" s="43">
        <v>0</v>
      </c>
      <c r="M27" s="44">
        <f t="shared" si="1"/>
        <v>0</v>
      </c>
      <c r="N27" s="44">
        <v>14315</v>
      </c>
    </row>
    <row r="28" spans="1:14">
      <c r="A28" s="1" t="s">
        <v>1</v>
      </c>
      <c r="B28" s="17" t="s">
        <v>61</v>
      </c>
      <c r="C28" s="92">
        <v>0</v>
      </c>
      <c r="D28" s="42">
        <v>84084</v>
      </c>
      <c r="E28" s="42">
        <v>0</v>
      </c>
      <c r="F28" s="42">
        <v>0</v>
      </c>
      <c r="G28" s="42">
        <v>0</v>
      </c>
      <c r="H28" s="42">
        <v>1219</v>
      </c>
      <c r="I28" s="42">
        <v>0</v>
      </c>
      <c r="J28" s="43">
        <v>4876</v>
      </c>
      <c r="K28" s="44">
        <f t="shared" si="0"/>
        <v>90179</v>
      </c>
      <c r="L28" s="43">
        <v>0</v>
      </c>
      <c r="M28" s="44">
        <f t="shared" si="1"/>
        <v>0</v>
      </c>
      <c r="N28" s="44">
        <v>873393</v>
      </c>
    </row>
    <row r="29" spans="1:14">
      <c r="A29" s="1" t="s">
        <v>1</v>
      </c>
      <c r="B29" s="17" t="s">
        <v>77</v>
      </c>
      <c r="C29" s="92">
        <v>0</v>
      </c>
      <c r="D29" s="42">
        <v>79186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3">
        <v>0</v>
      </c>
      <c r="K29" s="44">
        <f t="shared" si="0"/>
        <v>79186</v>
      </c>
      <c r="L29" s="43">
        <v>0</v>
      </c>
      <c r="M29" s="44">
        <f t="shared" si="1"/>
        <v>0</v>
      </c>
      <c r="N29" s="44">
        <v>579127</v>
      </c>
    </row>
    <row r="30" spans="1:14">
      <c r="A30" s="1" t="s">
        <v>1</v>
      </c>
      <c r="B30" s="17" t="s">
        <v>78</v>
      </c>
      <c r="C30" s="9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3">
        <v>0</v>
      </c>
      <c r="K30" s="44">
        <f t="shared" si="0"/>
        <v>0</v>
      </c>
      <c r="L30" s="43">
        <v>0</v>
      </c>
      <c r="M30" s="44">
        <f t="shared" si="1"/>
        <v>0</v>
      </c>
      <c r="N30" s="44">
        <v>380589</v>
      </c>
    </row>
    <row r="31" spans="1:14">
      <c r="A31" s="1" t="s">
        <v>1</v>
      </c>
      <c r="B31" s="17" t="s">
        <v>79</v>
      </c>
      <c r="C31" s="9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3">
        <v>0</v>
      </c>
      <c r="K31" s="44">
        <f t="shared" si="0"/>
        <v>0</v>
      </c>
      <c r="L31" s="43">
        <v>0</v>
      </c>
      <c r="M31" s="44">
        <f t="shared" si="1"/>
        <v>0</v>
      </c>
      <c r="N31" s="44">
        <v>2100</v>
      </c>
    </row>
    <row r="32" spans="1:14">
      <c r="A32" s="1" t="s">
        <v>1</v>
      </c>
      <c r="B32" s="17" t="s">
        <v>80</v>
      </c>
      <c r="C32" s="9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3">
        <v>0</v>
      </c>
      <c r="K32" s="44">
        <f t="shared" si="0"/>
        <v>0</v>
      </c>
      <c r="L32" s="43">
        <v>0</v>
      </c>
      <c r="M32" s="44">
        <f t="shared" si="1"/>
        <v>0</v>
      </c>
      <c r="N32" s="44">
        <v>5551</v>
      </c>
    </row>
    <row r="33" spans="1:14">
      <c r="A33" s="1" t="s">
        <v>1</v>
      </c>
      <c r="B33" s="17" t="s">
        <v>66</v>
      </c>
      <c r="C33" s="9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3">
        <v>0</v>
      </c>
      <c r="K33" s="44">
        <f t="shared" si="0"/>
        <v>0</v>
      </c>
      <c r="L33" s="43">
        <v>0</v>
      </c>
      <c r="M33" s="44">
        <f t="shared" si="1"/>
        <v>0</v>
      </c>
      <c r="N33" s="44">
        <v>2232</v>
      </c>
    </row>
    <row r="34" spans="1:14">
      <c r="A34" s="1" t="s">
        <v>1</v>
      </c>
      <c r="B34" s="26" t="s">
        <v>68</v>
      </c>
      <c r="C34" s="93">
        <v>0</v>
      </c>
      <c r="D34" s="46">
        <v>0</v>
      </c>
      <c r="E34" s="46">
        <v>0</v>
      </c>
      <c r="F34" s="46">
        <v>0</v>
      </c>
      <c r="G34" s="46">
        <v>12200</v>
      </c>
      <c r="H34" s="46">
        <v>3660</v>
      </c>
      <c r="I34" s="46">
        <v>12200</v>
      </c>
      <c r="J34" s="47">
        <v>8540</v>
      </c>
      <c r="K34" s="48">
        <f t="shared" si="0"/>
        <v>36600</v>
      </c>
      <c r="L34" s="47">
        <v>0</v>
      </c>
      <c r="M34" s="48">
        <f t="shared" si="1"/>
        <v>0</v>
      </c>
      <c r="N34" s="48">
        <v>88702</v>
      </c>
    </row>
    <row r="35" spans="1:14">
      <c r="A35" s="1" t="s">
        <v>1</v>
      </c>
      <c r="B35" s="31" t="s">
        <v>81</v>
      </c>
      <c r="C35" s="94">
        <v>370000</v>
      </c>
      <c r="D35" s="50">
        <v>451270</v>
      </c>
      <c r="E35" s="50">
        <v>87975</v>
      </c>
      <c r="F35" s="50">
        <v>98440</v>
      </c>
      <c r="G35" s="50">
        <v>88250</v>
      </c>
      <c r="H35" s="50">
        <v>56554</v>
      </c>
      <c r="I35" s="50">
        <v>88250</v>
      </c>
      <c r="J35" s="51">
        <v>119691</v>
      </c>
      <c r="K35" s="52">
        <f t="shared" si="0"/>
        <v>1360430</v>
      </c>
      <c r="L35" s="51">
        <v>390000</v>
      </c>
      <c r="M35" s="52">
        <f t="shared" si="1"/>
        <v>390000</v>
      </c>
      <c r="N35" s="52">
        <v>6484769</v>
      </c>
    </row>
    <row r="36" spans="1:14">
      <c r="A36" s="1" t="s">
        <v>1</v>
      </c>
      <c r="B36" s="36" t="s">
        <v>82</v>
      </c>
      <c r="C36" s="91">
        <v>3242</v>
      </c>
      <c r="D36" s="38">
        <v>5593</v>
      </c>
      <c r="E36" s="38">
        <v>3026</v>
      </c>
      <c r="F36" s="38">
        <v>2027</v>
      </c>
      <c r="G36" s="38">
        <v>4323</v>
      </c>
      <c r="H36" s="38">
        <v>2459</v>
      </c>
      <c r="I36" s="38">
        <v>4539</v>
      </c>
      <c r="J36" s="39">
        <v>11185</v>
      </c>
      <c r="K36" s="40">
        <f t="shared" si="0"/>
        <v>36394</v>
      </c>
      <c r="L36" s="39">
        <v>6673</v>
      </c>
      <c r="M36" s="40">
        <f t="shared" si="1"/>
        <v>6673</v>
      </c>
      <c r="N36" s="40">
        <v>132196</v>
      </c>
    </row>
    <row r="37" spans="1:14">
      <c r="A37" s="1" t="s">
        <v>1</v>
      </c>
      <c r="B37" s="53" t="s">
        <v>83</v>
      </c>
      <c r="C37" s="95">
        <v>3242</v>
      </c>
      <c r="D37" s="55">
        <v>5593</v>
      </c>
      <c r="E37" s="55">
        <v>3026</v>
      </c>
      <c r="F37" s="55">
        <v>2027</v>
      </c>
      <c r="G37" s="55">
        <v>4323</v>
      </c>
      <c r="H37" s="55">
        <v>2459</v>
      </c>
      <c r="I37" s="55">
        <v>4539</v>
      </c>
      <c r="J37" s="4">
        <v>11185</v>
      </c>
      <c r="K37" s="56">
        <f t="shared" si="0"/>
        <v>36394</v>
      </c>
      <c r="L37" s="4">
        <v>6673</v>
      </c>
      <c r="M37" s="56">
        <f t="shared" si="1"/>
        <v>6673</v>
      </c>
      <c r="N37" s="56">
        <v>132196</v>
      </c>
    </row>
    <row r="38" spans="1:14">
      <c r="A38" s="1" t="s">
        <v>1</v>
      </c>
      <c r="B38" s="31" t="s">
        <v>84</v>
      </c>
      <c r="C38" s="94">
        <v>373242</v>
      </c>
      <c r="D38" s="50">
        <v>456863</v>
      </c>
      <c r="E38" s="50">
        <v>91001</v>
      </c>
      <c r="F38" s="50">
        <v>100467</v>
      </c>
      <c r="G38" s="50">
        <v>92573</v>
      </c>
      <c r="H38" s="50">
        <v>59013</v>
      </c>
      <c r="I38" s="50">
        <v>92789</v>
      </c>
      <c r="J38" s="51">
        <v>130876</v>
      </c>
      <c r="K38" s="52">
        <f t="shared" si="0"/>
        <v>1396824</v>
      </c>
      <c r="L38" s="51">
        <v>396673</v>
      </c>
      <c r="M38" s="52">
        <f t="shared" si="1"/>
        <v>396673</v>
      </c>
      <c r="N38" s="52">
        <v>6616965</v>
      </c>
    </row>
    <row r="39" spans="1:14">
      <c r="A39" s="1" t="s">
        <v>1</v>
      </c>
      <c r="B39" s="36" t="s">
        <v>85</v>
      </c>
      <c r="C39" s="91">
        <v>18360</v>
      </c>
      <c r="D39" s="38">
        <v>18360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9">
        <v>6834</v>
      </c>
      <c r="K39" s="40">
        <f t="shared" si="0"/>
        <v>43554</v>
      </c>
      <c r="L39" s="39">
        <v>19380</v>
      </c>
      <c r="M39" s="40">
        <f t="shared" si="1"/>
        <v>19380</v>
      </c>
      <c r="N39" s="40">
        <v>328134</v>
      </c>
    </row>
    <row r="40" spans="1:14">
      <c r="A40" s="1" t="s">
        <v>1</v>
      </c>
      <c r="B40" s="17" t="s">
        <v>86</v>
      </c>
      <c r="C40" s="92">
        <v>3240</v>
      </c>
      <c r="D40" s="42">
        <v>3240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3">
        <v>0</v>
      </c>
      <c r="K40" s="44">
        <f t="shared" si="0"/>
        <v>6480</v>
      </c>
      <c r="L40" s="43">
        <v>3420</v>
      </c>
      <c r="M40" s="44">
        <f t="shared" si="1"/>
        <v>3420</v>
      </c>
      <c r="N40" s="44">
        <v>54360</v>
      </c>
    </row>
    <row r="41" spans="1:14">
      <c r="A41" s="1" t="s">
        <v>1</v>
      </c>
      <c r="B41" s="17" t="s">
        <v>87</v>
      </c>
      <c r="C41" s="92">
        <v>32940</v>
      </c>
      <c r="D41" s="42">
        <v>32940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3">
        <v>12261</v>
      </c>
      <c r="K41" s="44">
        <f t="shared" si="0"/>
        <v>78141</v>
      </c>
      <c r="L41" s="43">
        <v>34770</v>
      </c>
      <c r="M41" s="44">
        <f t="shared" si="1"/>
        <v>34770</v>
      </c>
      <c r="N41" s="44">
        <v>588711</v>
      </c>
    </row>
    <row r="42" spans="1:14">
      <c r="A42" s="1" t="s">
        <v>1</v>
      </c>
      <c r="B42" s="53" t="s">
        <v>88</v>
      </c>
      <c r="C42" s="95">
        <v>2239</v>
      </c>
      <c r="D42" s="55">
        <v>2741</v>
      </c>
      <c r="E42" s="55">
        <v>546</v>
      </c>
      <c r="F42" s="55">
        <v>603</v>
      </c>
      <c r="G42" s="55">
        <v>0</v>
      </c>
      <c r="H42" s="55">
        <v>0</v>
      </c>
      <c r="I42" s="55">
        <v>557</v>
      </c>
      <c r="J42" s="4">
        <v>785</v>
      </c>
      <c r="K42" s="56">
        <f t="shared" si="0"/>
        <v>7471</v>
      </c>
      <c r="L42" s="4">
        <v>2380</v>
      </c>
      <c r="M42" s="56">
        <f t="shared" si="1"/>
        <v>2380</v>
      </c>
      <c r="N42" s="56">
        <v>38793</v>
      </c>
    </row>
    <row r="43" spans="1:14">
      <c r="A43" s="1" t="s">
        <v>1</v>
      </c>
      <c r="B43" s="31" t="s">
        <v>89</v>
      </c>
      <c r="C43" s="94">
        <v>56779</v>
      </c>
      <c r="D43" s="50">
        <v>57281</v>
      </c>
      <c r="E43" s="50">
        <v>546</v>
      </c>
      <c r="F43" s="50">
        <v>603</v>
      </c>
      <c r="G43" s="50">
        <v>0</v>
      </c>
      <c r="H43" s="50">
        <v>0</v>
      </c>
      <c r="I43" s="50">
        <v>557</v>
      </c>
      <c r="J43" s="51">
        <v>19880</v>
      </c>
      <c r="K43" s="52">
        <f t="shared" si="0"/>
        <v>135646</v>
      </c>
      <c r="L43" s="51">
        <v>59950</v>
      </c>
      <c r="M43" s="52">
        <f t="shared" si="1"/>
        <v>59950</v>
      </c>
      <c r="N43" s="52">
        <v>1009998</v>
      </c>
    </row>
    <row r="44" spans="1:14">
      <c r="A44" s="1" t="s">
        <v>1</v>
      </c>
      <c r="B44" s="36" t="s">
        <v>90</v>
      </c>
      <c r="C44" s="91">
        <v>1359</v>
      </c>
      <c r="D44" s="38">
        <v>1731</v>
      </c>
      <c r="E44" s="38">
        <v>80</v>
      </c>
      <c r="F44" s="38">
        <v>0</v>
      </c>
      <c r="G44" s="38">
        <v>0</v>
      </c>
      <c r="H44" s="38">
        <v>0</v>
      </c>
      <c r="I44" s="38">
        <v>0</v>
      </c>
      <c r="J44" s="39">
        <v>710</v>
      </c>
      <c r="K44" s="40">
        <f t="shared" si="0"/>
        <v>3880</v>
      </c>
      <c r="L44" s="39">
        <v>10830</v>
      </c>
      <c r="M44" s="40">
        <f t="shared" si="1"/>
        <v>10830</v>
      </c>
      <c r="N44" s="40">
        <v>84690</v>
      </c>
    </row>
    <row r="45" spans="1:14">
      <c r="A45" s="1" t="s">
        <v>1</v>
      </c>
      <c r="B45" s="17" t="s">
        <v>91</v>
      </c>
      <c r="C45" s="9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3">
        <v>0</v>
      </c>
      <c r="K45" s="44">
        <f t="shared" si="0"/>
        <v>0</v>
      </c>
      <c r="L45" s="43">
        <v>0</v>
      </c>
      <c r="M45" s="44">
        <f t="shared" si="1"/>
        <v>0</v>
      </c>
      <c r="N45" s="44">
        <v>16900</v>
      </c>
    </row>
    <row r="46" spans="1:14">
      <c r="A46" s="1" t="s">
        <v>1</v>
      </c>
      <c r="B46" s="17" t="s">
        <v>92</v>
      </c>
      <c r="C46" s="92">
        <v>18600</v>
      </c>
      <c r="D46" s="42">
        <v>17000</v>
      </c>
      <c r="E46" s="42">
        <v>0</v>
      </c>
      <c r="F46" s="42">
        <v>0</v>
      </c>
      <c r="G46" s="42">
        <v>0</v>
      </c>
      <c r="H46" s="42">
        <v>0</v>
      </c>
      <c r="I46" s="42">
        <v>2700</v>
      </c>
      <c r="J46" s="43">
        <v>10700</v>
      </c>
      <c r="K46" s="44">
        <f t="shared" si="0"/>
        <v>49000</v>
      </c>
      <c r="L46" s="43">
        <v>21700</v>
      </c>
      <c r="M46" s="44">
        <f t="shared" si="1"/>
        <v>21700</v>
      </c>
      <c r="N46" s="44">
        <v>248300</v>
      </c>
    </row>
    <row r="47" spans="1:14">
      <c r="A47" s="1" t="s">
        <v>1</v>
      </c>
      <c r="B47" s="53" t="s">
        <v>93</v>
      </c>
      <c r="C47" s="9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4">
        <v>0</v>
      </c>
      <c r="K47" s="56">
        <f t="shared" si="0"/>
        <v>0</v>
      </c>
      <c r="L47" s="4">
        <v>0</v>
      </c>
      <c r="M47" s="56">
        <f t="shared" si="1"/>
        <v>0</v>
      </c>
      <c r="N47" s="58">
        <v>-77870</v>
      </c>
    </row>
    <row r="48" spans="1:14">
      <c r="A48" s="1" t="s">
        <v>1</v>
      </c>
      <c r="B48" s="31" t="s">
        <v>94</v>
      </c>
      <c r="C48" s="94">
        <v>76738</v>
      </c>
      <c r="D48" s="50">
        <v>76012</v>
      </c>
      <c r="E48" s="50">
        <v>626</v>
      </c>
      <c r="F48" s="50">
        <v>603</v>
      </c>
      <c r="G48" s="50">
        <v>0</v>
      </c>
      <c r="H48" s="50">
        <v>0</v>
      </c>
      <c r="I48" s="50">
        <v>3257</v>
      </c>
      <c r="J48" s="51">
        <v>31290</v>
      </c>
      <c r="K48" s="52">
        <f t="shared" si="0"/>
        <v>188526</v>
      </c>
      <c r="L48" s="51">
        <v>92480</v>
      </c>
      <c r="M48" s="52">
        <f t="shared" si="1"/>
        <v>92480</v>
      </c>
      <c r="N48" s="52">
        <v>1282018</v>
      </c>
    </row>
    <row r="49" spans="1:14">
      <c r="A49" s="1" t="s">
        <v>1</v>
      </c>
      <c r="B49" s="31" t="s">
        <v>95</v>
      </c>
      <c r="C49" s="94">
        <v>313221</v>
      </c>
      <c r="D49" s="50">
        <v>393989</v>
      </c>
      <c r="E49" s="50">
        <v>87429</v>
      </c>
      <c r="F49" s="50">
        <v>97837</v>
      </c>
      <c r="G49" s="50">
        <v>88250</v>
      </c>
      <c r="H49" s="50">
        <v>56554</v>
      </c>
      <c r="I49" s="50">
        <v>87693</v>
      </c>
      <c r="J49" s="51">
        <v>99811</v>
      </c>
      <c r="K49" s="52">
        <f t="shared" si="0"/>
        <v>1224784</v>
      </c>
      <c r="L49" s="51">
        <v>330050</v>
      </c>
      <c r="M49" s="52">
        <f t="shared" si="1"/>
        <v>330050</v>
      </c>
      <c r="N49" s="52">
        <v>5474771</v>
      </c>
    </row>
    <row r="50" spans="1:14">
      <c r="A50" s="1" t="s">
        <v>1</v>
      </c>
      <c r="B50" s="31" t="s">
        <v>96</v>
      </c>
      <c r="C50" s="94">
        <v>296504</v>
      </c>
      <c r="D50" s="50">
        <v>380851</v>
      </c>
      <c r="E50" s="50">
        <v>90375</v>
      </c>
      <c r="F50" s="50">
        <v>99864</v>
      </c>
      <c r="G50" s="50">
        <v>92573</v>
      </c>
      <c r="H50" s="50">
        <v>59013</v>
      </c>
      <c r="I50" s="50">
        <v>89532</v>
      </c>
      <c r="J50" s="51">
        <v>99586</v>
      </c>
      <c r="K50" s="52">
        <f t="shared" si="0"/>
        <v>1208298</v>
      </c>
      <c r="L50" s="51">
        <v>304193</v>
      </c>
      <c r="M50" s="52">
        <f t="shared" si="1"/>
        <v>304193</v>
      </c>
      <c r="N50" s="52">
        <v>5334947</v>
      </c>
    </row>
    <row r="51" spans="1:14">
      <c r="A51" s="1" t="s">
        <v>1</v>
      </c>
      <c r="B51" s="31" t="s">
        <v>97</v>
      </c>
      <c r="C51" s="94">
        <v>296504</v>
      </c>
      <c r="D51" s="50">
        <v>380851</v>
      </c>
      <c r="E51" s="50">
        <v>90375</v>
      </c>
      <c r="F51" s="50">
        <v>99864</v>
      </c>
      <c r="G51" s="50">
        <v>92573</v>
      </c>
      <c r="H51" s="50">
        <v>59013</v>
      </c>
      <c r="I51" s="50">
        <v>89532</v>
      </c>
      <c r="J51" s="51">
        <v>99586</v>
      </c>
      <c r="K51" s="52">
        <f t="shared" si="0"/>
        <v>1208298</v>
      </c>
      <c r="L51" s="51">
        <v>304193</v>
      </c>
      <c r="M51" s="52">
        <f t="shared" si="1"/>
        <v>304193</v>
      </c>
      <c r="N51" s="52">
        <v>5334947</v>
      </c>
    </row>
    <row r="52" spans="1:14">
      <c r="A52" s="1" t="s">
        <v>1</v>
      </c>
      <c r="B52" s="31" t="s">
        <v>98</v>
      </c>
      <c r="C52" s="94">
        <v>0</v>
      </c>
      <c r="D52" s="50">
        <v>1</v>
      </c>
      <c r="E52" s="50">
        <v>0</v>
      </c>
      <c r="F52" s="50">
        <v>0</v>
      </c>
      <c r="G52" s="50">
        <v>1</v>
      </c>
      <c r="H52" s="50">
        <v>1</v>
      </c>
      <c r="I52" s="50">
        <v>1</v>
      </c>
      <c r="J52" s="51">
        <v>0</v>
      </c>
      <c r="K52" s="52"/>
      <c r="L52" s="51">
        <v>0</v>
      </c>
      <c r="M52" s="52"/>
      <c r="N52" s="52"/>
    </row>
    <row r="53" spans="1:14">
      <c r="A53" s="1" t="s">
        <v>1</v>
      </c>
      <c r="B53" s="31" t="s">
        <v>99</v>
      </c>
      <c r="C53" s="96" t="s">
        <v>100</v>
      </c>
      <c r="D53" s="61" t="s">
        <v>100</v>
      </c>
      <c r="E53" s="61" t="s">
        <v>100</v>
      </c>
      <c r="F53" s="61" t="s">
        <v>100</v>
      </c>
      <c r="G53" s="61" t="s">
        <v>100</v>
      </c>
      <c r="H53" s="61" t="s">
        <v>100</v>
      </c>
      <c r="I53" s="61" t="s">
        <v>100</v>
      </c>
      <c r="J53" s="62" t="s">
        <v>100</v>
      </c>
      <c r="K53" s="63"/>
      <c r="L53" s="62" t="s">
        <v>100</v>
      </c>
      <c r="M53" s="63"/>
      <c r="N53" s="63"/>
    </row>
    <row r="54" spans="1:14">
      <c r="A54" s="1" t="s">
        <v>1</v>
      </c>
      <c r="B54" s="31" t="s">
        <v>101</v>
      </c>
      <c r="C54" s="94">
        <v>9460</v>
      </c>
      <c r="D54" s="50">
        <v>12820</v>
      </c>
      <c r="E54" s="50">
        <v>80</v>
      </c>
      <c r="F54" s="50">
        <v>610</v>
      </c>
      <c r="G54" s="50">
        <v>0</v>
      </c>
      <c r="H54" s="50">
        <v>0</v>
      </c>
      <c r="I54" s="50">
        <v>0</v>
      </c>
      <c r="J54" s="51">
        <v>710</v>
      </c>
      <c r="K54" s="52">
        <f t="shared" si="0"/>
        <v>23680</v>
      </c>
      <c r="L54" s="51">
        <v>10830</v>
      </c>
      <c r="M54" s="52">
        <f t="shared" si="1"/>
        <v>10830</v>
      </c>
      <c r="N54" s="52">
        <v>129190</v>
      </c>
    </row>
    <row r="55" spans="1:14">
      <c r="A55" s="1" t="s">
        <v>1</v>
      </c>
      <c r="B55" s="31" t="s">
        <v>102</v>
      </c>
      <c r="C55" s="94">
        <v>8101</v>
      </c>
      <c r="D55" s="50">
        <v>11089</v>
      </c>
      <c r="E55" s="50">
        <v>0</v>
      </c>
      <c r="F55" s="50">
        <v>610</v>
      </c>
      <c r="G55" s="50">
        <v>0</v>
      </c>
      <c r="H55" s="50">
        <v>0</v>
      </c>
      <c r="I55" s="50">
        <v>0</v>
      </c>
      <c r="J55" s="51">
        <v>0</v>
      </c>
      <c r="K55" s="52">
        <f t="shared" si="0"/>
        <v>19800</v>
      </c>
      <c r="L55" s="51">
        <v>0</v>
      </c>
      <c r="M55" s="52"/>
      <c r="N55" s="52">
        <v>44500</v>
      </c>
    </row>
    <row r="56" spans="1:14" ht="19.5" thickBot="1">
      <c r="A56" s="1" t="s">
        <v>1</v>
      </c>
      <c r="B56" s="64" t="s">
        <v>103</v>
      </c>
      <c r="C56" s="97">
        <v>90000</v>
      </c>
      <c r="D56" s="66">
        <v>60000</v>
      </c>
      <c r="E56" s="66">
        <v>0</v>
      </c>
      <c r="F56" s="66">
        <v>30000</v>
      </c>
      <c r="G56" s="66">
        <v>60000</v>
      </c>
      <c r="H56" s="66">
        <v>60000</v>
      </c>
      <c r="I56" s="66">
        <v>60000</v>
      </c>
      <c r="J56" s="67">
        <v>0</v>
      </c>
      <c r="K56" s="68"/>
      <c r="L56" s="67">
        <v>30000</v>
      </c>
      <c r="M56" s="68"/>
      <c r="N56" s="68"/>
    </row>
  </sheetData>
  <phoneticPr fontId="3"/>
  <pageMargins left="0.11811023622047245" right="0.11811023622047245" top="0.15748031496062992" bottom="0.15748031496062992" header="0.11811023622047245" footer="0.11811023622047245"/>
  <pageSetup paperSize="12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4629-7320-4D66-9AF7-43E07102D2DE}">
  <sheetPr>
    <pageSetUpPr fitToPage="1"/>
  </sheetPr>
  <dimension ref="A1:S56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9" width="11.25" style="2" customWidth="1"/>
    <col min="20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71" width="11.125" style="2" bestFit="1" customWidth="1"/>
    <col min="272" max="272" width="9" style="2"/>
    <col min="273" max="273" width="9.625" style="2" bestFit="1" customWidth="1"/>
    <col min="274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7" width="11.125" style="2" bestFit="1" customWidth="1"/>
    <col min="528" max="528" width="9" style="2"/>
    <col min="529" max="529" width="9.625" style="2" bestFit="1" customWidth="1"/>
    <col min="530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83" width="11.125" style="2" bestFit="1" customWidth="1"/>
    <col min="784" max="784" width="9" style="2"/>
    <col min="785" max="785" width="9.625" style="2" bestFit="1" customWidth="1"/>
    <col min="786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9" width="11.125" style="2" bestFit="1" customWidth="1"/>
    <col min="1040" max="1040" width="9" style="2"/>
    <col min="1041" max="1041" width="9.625" style="2" bestFit="1" customWidth="1"/>
    <col min="1042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5" width="11.125" style="2" bestFit="1" customWidth="1"/>
    <col min="1296" max="1296" width="9" style="2"/>
    <col min="1297" max="1297" width="9.625" style="2" bestFit="1" customWidth="1"/>
    <col min="1298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51" width="11.125" style="2" bestFit="1" customWidth="1"/>
    <col min="1552" max="1552" width="9" style="2"/>
    <col min="1553" max="1553" width="9.625" style="2" bestFit="1" customWidth="1"/>
    <col min="1554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7" width="11.125" style="2" bestFit="1" customWidth="1"/>
    <col min="1808" max="1808" width="9" style="2"/>
    <col min="1809" max="1809" width="9.625" style="2" bestFit="1" customWidth="1"/>
    <col min="1810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63" width="11.125" style="2" bestFit="1" customWidth="1"/>
    <col min="2064" max="2064" width="9" style="2"/>
    <col min="2065" max="2065" width="9.625" style="2" bestFit="1" customWidth="1"/>
    <col min="2066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9" width="11.125" style="2" bestFit="1" customWidth="1"/>
    <col min="2320" max="2320" width="9" style="2"/>
    <col min="2321" max="2321" width="9.625" style="2" bestFit="1" customWidth="1"/>
    <col min="2322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5" width="11.125" style="2" bestFit="1" customWidth="1"/>
    <col min="2576" max="2576" width="9" style="2"/>
    <col min="2577" max="2577" width="9.625" style="2" bestFit="1" customWidth="1"/>
    <col min="2578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31" width="11.125" style="2" bestFit="1" customWidth="1"/>
    <col min="2832" max="2832" width="9" style="2"/>
    <col min="2833" max="2833" width="9.625" style="2" bestFit="1" customWidth="1"/>
    <col min="2834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7" width="11.125" style="2" bestFit="1" customWidth="1"/>
    <col min="3088" max="3088" width="9" style="2"/>
    <col min="3089" max="3089" width="9.625" style="2" bestFit="1" customWidth="1"/>
    <col min="3090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43" width="11.125" style="2" bestFit="1" customWidth="1"/>
    <col min="3344" max="3344" width="9" style="2"/>
    <col min="3345" max="3345" width="9.625" style="2" bestFit="1" customWidth="1"/>
    <col min="3346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9" width="11.125" style="2" bestFit="1" customWidth="1"/>
    <col min="3600" max="3600" width="9" style="2"/>
    <col min="3601" max="3601" width="9.625" style="2" bestFit="1" customWidth="1"/>
    <col min="3602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5" width="11.125" style="2" bestFit="1" customWidth="1"/>
    <col min="3856" max="3856" width="9" style="2"/>
    <col min="3857" max="3857" width="9.625" style="2" bestFit="1" customWidth="1"/>
    <col min="3858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11" width="11.125" style="2" bestFit="1" customWidth="1"/>
    <col min="4112" max="4112" width="9" style="2"/>
    <col min="4113" max="4113" width="9.625" style="2" bestFit="1" customWidth="1"/>
    <col min="4114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7" width="11.125" style="2" bestFit="1" customWidth="1"/>
    <col min="4368" max="4368" width="9" style="2"/>
    <col min="4369" max="4369" width="9.625" style="2" bestFit="1" customWidth="1"/>
    <col min="4370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23" width="11.125" style="2" bestFit="1" customWidth="1"/>
    <col min="4624" max="4624" width="9" style="2"/>
    <col min="4625" max="4625" width="9.625" style="2" bestFit="1" customWidth="1"/>
    <col min="4626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9" width="11.125" style="2" bestFit="1" customWidth="1"/>
    <col min="4880" max="4880" width="9" style="2"/>
    <col min="4881" max="4881" width="9.625" style="2" bestFit="1" customWidth="1"/>
    <col min="4882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5" width="11.125" style="2" bestFit="1" customWidth="1"/>
    <col min="5136" max="5136" width="9" style="2"/>
    <col min="5137" max="5137" width="9.625" style="2" bestFit="1" customWidth="1"/>
    <col min="5138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91" width="11.125" style="2" bestFit="1" customWidth="1"/>
    <col min="5392" max="5392" width="9" style="2"/>
    <col min="5393" max="5393" width="9.625" style="2" bestFit="1" customWidth="1"/>
    <col min="5394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7" width="11.125" style="2" bestFit="1" customWidth="1"/>
    <col min="5648" max="5648" width="9" style="2"/>
    <col min="5649" max="5649" width="9.625" style="2" bestFit="1" customWidth="1"/>
    <col min="5650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903" width="11.125" style="2" bestFit="1" customWidth="1"/>
    <col min="5904" max="5904" width="9" style="2"/>
    <col min="5905" max="5905" width="9.625" style="2" bestFit="1" customWidth="1"/>
    <col min="5906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9" width="11.125" style="2" bestFit="1" customWidth="1"/>
    <col min="6160" max="6160" width="9" style="2"/>
    <col min="6161" max="6161" width="9.625" style="2" bestFit="1" customWidth="1"/>
    <col min="6162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5" width="11.125" style="2" bestFit="1" customWidth="1"/>
    <col min="6416" max="6416" width="9" style="2"/>
    <col min="6417" max="6417" width="9.625" style="2" bestFit="1" customWidth="1"/>
    <col min="6418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71" width="11.125" style="2" bestFit="1" customWidth="1"/>
    <col min="6672" max="6672" width="9" style="2"/>
    <col min="6673" max="6673" width="9.625" style="2" bestFit="1" customWidth="1"/>
    <col min="6674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7" width="11.125" style="2" bestFit="1" customWidth="1"/>
    <col min="6928" max="6928" width="9" style="2"/>
    <col min="6929" max="6929" width="9.625" style="2" bestFit="1" customWidth="1"/>
    <col min="6930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83" width="11.125" style="2" bestFit="1" customWidth="1"/>
    <col min="7184" max="7184" width="9" style="2"/>
    <col min="7185" max="7185" width="9.625" style="2" bestFit="1" customWidth="1"/>
    <col min="7186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9" width="11.125" style="2" bestFit="1" customWidth="1"/>
    <col min="7440" max="7440" width="9" style="2"/>
    <col min="7441" max="7441" width="9.625" style="2" bestFit="1" customWidth="1"/>
    <col min="7442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5" width="11.125" style="2" bestFit="1" customWidth="1"/>
    <col min="7696" max="7696" width="9" style="2"/>
    <col min="7697" max="7697" width="9.625" style="2" bestFit="1" customWidth="1"/>
    <col min="7698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51" width="11.125" style="2" bestFit="1" customWidth="1"/>
    <col min="7952" max="7952" width="9" style="2"/>
    <col min="7953" max="7953" width="9.625" style="2" bestFit="1" customWidth="1"/>
    <col min="7954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7" width="11.125" style="2" bestFit="1" customWidth="1"/>
    <col min="8208" max="8208" width="9" style="2"/>
    <col min="8209" max="8209" width="9.625" style="2" bestFit="1" customWidth="1"/>
    <col min="8210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63" width="11.125" style="2" bestFit="1" customWidth="1"/>
    <col min="8464" max="8464" width="9" style="2"/>
    <col min="8465" max="8465" width="9.625" style="2" bestFit="1" customWidth="1"/>
    <col min="8466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9" width="11.125" style="2" bestFit="1" customWidth="1"/>
    <col min="8720" max="8720" width="9" style="2"/>
    <col min="8721" max="8721" width="9.625" style="2" bestFit="1" customWidth="1"/>
    <col min="8722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5" width="11.125" style="2" bestFit="1" customWidth="1"/>
    <col min="8976" max="8976" width="9" style="2"/>
    <col min="8977" max="8977" width="9.625" style="2" bestFit="1" customWidth="1"/>
    <col min="8978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31" width="11.125" style="2" bestFit="1" customWidth="1"/>
    <col min="9232" max="9232" width="9" style="2"/>
    <col min="9233" max="9233" width="9.625" style="2" bestFit="1" customWidth="1"/>
    <col min="9234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7" width="11.125" style="2" bestFit="1" customWidth="1"/>
    <col min="9488" max="9488" width="9" style="2"/>
    <col min="9489" max="9489" width="9.625" style="2" bestFit="1" customWidth="1"/>
    <col min="9490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43" width="11.125" style="2" bestFit="1" customWidth="1"/>
    <col min="9744" max="9744" width="9" style="2"/>
    <col min="9745" max="9745" width="9.625" style="2" bestFit="1" customWidth="1"/>
    <col min="9746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9" width="11.125" style="2" bestFit="1" customWidth="1"/>
    <col min="10000" max="10000" width="9" style="2"/>
    <col min="10001" max="10001" width="9.625" style="2" bestFit="1" customWidth="1"/>
    <col min="10002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5" width="11.125" style="2" bestFit="1" customWidth="1"/>
    <col min="10256" max="10256" width="9" style="2"/>
    <col min="10257" max="10257" width="9.625" style="2" bestFit="1" customWidth="1"/>
    <col min="10258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11" width="11.125" style="2" bestFit="1" customWidth="1"/>
    <col min="10512" max="10512" width="9" style="2"/>
    <col min="10513" max="10513" width="9.625" style="2" bestFit="1" customWidth="1"/>
    <col min="10514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7" width="11.125" style="2" bestFit="1" customWidth="1"/>
    <col min="10768" max="10768" width="9" style="2"/>
    <col min="10769" max="10769" width="9.625" style="2" bestFit="1" customWidth="1"/>
    <col min="10770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23" width="11.125" style="2" bestFit="1" customWidth="1"/>
    <col min="11024" max="11024" width="9" style="2"/>
    <col min="11025" max="11025" width="9.625" style="2" bestFit="1" customWidth="1"/>
    <col min="11026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9" width="11.125" style="2" bestFit="1" customWidth="1"/>
    <col min="11280" max="11280" width="9" style="2"/>
    <col min="11281" max="11281" width="9.625" style="2" bestFit="1" customWidth="1"/>
    <col min="11282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5" width="11.125" style="2" bestFit="1" customWidth="1"/>
    <col min="11536" max="11536" width="9" style="2"/>
    <col min="11537" max="11537" width="9.625" style="2" bestFit="1" customWidth="1"/>
    <col min="11538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91" width="11.125" style="2" bestFit="1" customWidth="1"/>
    <col min="11792" max="11792" width="9" style="2"/>
    <col min="11793" max="11793" width="9.625" style="2" bestFit="1" customWidth="1"/>
    <col min="11794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7" width="11.125" style="2" bestFit="1" customWidth="1"/>
    <col min="12048" max="12048" width="9" style="2"/>
    <col min="12049" max="12049" width="9.625" style="2" bestFit="1" customWidth="1"/>
    <col min="12050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303" width="11.125" style="2" bestFit="1" customWidth="1"/>
    <col min="12304" max="12304" width="9" style="2"/>
    <col min="12305" max="12305" width="9.625" style="2" bestFit="1" customWidth="1"/>
    <col min="12306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9" width="11.125" style="2" bestFit="1" customWidth="1"/>
    <col min="12560" max="12560" width="9" style="2"/>
    <col min="12561" max="12561" width="9.625" style="2" bestFit="1" customWidth="1"/>
    <col min="12562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5" width="11.125" style="2" bestFit="1" customWidth="1"/>
    <col min="12816" max="12816" width="9" style="2"/>
    <col min="12817" max="12817" width="9.625" style="2" bestFit="1" customWidth="1"/>
    <col min="12818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71" width="11.125" style="2" bestFit="1" customWidth="1"/>
    <col min="13072" max="13072" width="9" style="2"/>
    <col min="13073" max="13073" width="9.625" style="2" bestFit="1" customWidth="1"/>
    <col min="13074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7" width="11.125" style="2" bestFit="1" customWidth="1"/>
    <col min="13328" max="13328" width="9" style="2"/>
    <col min="13329" max="13329" width="9.625" style="2" bestFit="1" customWidth="1"/>
    <col min="13330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83" width="11.125" style="2" bestFit="1" customWidth="1"/>
    <col min="13584" max="13584" width="9" style="2"/>
    <col min="13585" max="13585" width="9.625" style="2" bestFit="1" customWidth="1"/>
    <col min="13586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9" width="11.125" style="2" bestFit="1" customWidth="1"/>
    <col min="13840" max="13840" width="9" style="2"/>
    <col min="13841" max="13841" width="9.625" style="2" bestFit="1" customWidth="1"/>
    <col min="13842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5" width="11.125" style="2" bestFit="1" customWidth="1"/>
    <col min="14096" max="14096" width="9" style="2"/>
    <col min="14097" max="14097" width="9.625" style="2" bestFit="1" customWidth="1"/>
    <col min="14098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51" width="11.125" style="2" bestFit="1" customWidth="1"/>
    <col min="14352" max="14352" width="9" style="2"/>
    <col min="14353" max="14353" width="9.625" style="2" bestFit="1" customWidth="1"/>
    <col min="14354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7" width="11.125" style="2" bestFit="1" customWidth="1"/>
    <col min="14608" max="14608" width="9" style="2"/>
    <col min="14609" max="14609" width="9.625" style="2" bestFit="1" customWidth="1"/>
    <col min="14610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63" width="11.125" style="2" bestFit="1" customWidth="1"/>
    <col min="14864" max="14864" width="9" style="2"/>
    <col min="14865" max="14865" width="9.625" style="2" bestFit="1" customWidth="1"/>
    <col min="14866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9" width="11.125" style="2" bestFit="1" customWidth="1"/>
    <col min="15120" max="15120" width="9" style="2"/>
    <col min="15121" max="15121" width="9.625" style="2" bestFit="1" customWidth="1"/>
    <col min="15122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5" width="11.125" style="2" bestFit="1" customWidth="1"/>
    <col min="15376" max="15376" width="9" style="2"/>
    <col min="15377" max="15377" width="9.625" style="2" bestFit="1" customWidth="1"/>
    <col min="15378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31" width="11.125" style="2" bestFit="1" customWidth="1"/>
    <col min="15632" max="15632" width="9" style="2"/>
    <col min="15633" max="15633" width="9.625" style="2" bestFit="1" customWidth="1"/>
    <col min="15634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7" width="11.125" style="2" bestFit="1" customWidth="1"/>
    <col min="15888" max="15888" width="9" style="2"/>
    <col min="15889" max="15889" width="9.625" style="2" bestFit="1" customWidth="1"/>
    <col min="15890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43" width="11.125" style="2" bestFit="1" customWidth="1"/>
    <col min="16144" max="16144" width="9" style="2"/>
    <col min="16145" max="16145" width="9.625" style="2" bestFit="1" customWidth="1"/>
    <col min="16146" max="16384" width="9" style="2"/>
  </cols>
  <sheetData>
    <row r="1" spans="1:19">
      <c r="A1" s="1" t="s">
        <v>0</v>
      </c>
    </row>
    <row r="2" spans="1:19" ht="19.5" thickBot="1">
      <c r="A2" s="1" t="s">
        <v>104</v>
      </c>
    </row>
    <row r="3" spans="1:19">
      <c r="B3" s="5"/>
      <c r="C3" s="6" t="s">
        <v>2</v>
      </c>
      <c r="D3" s="7" t="s">
        <v>3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0" t="s">
        <v>20</v>
      </c>
      <c r="S3" s="98" t="s">
        <v>105</v>
      </c>
    </row>
    <row r="4" spans="1:19" ht="19.5" thickBot="1">
      <c r="A4" s="69"/>
      <c r="B4" s="9" t="s">
        <v>27</v>
      </c>
      <c r="C4" s="10" t="s">
        <v>28</v>
      </c>
      <c r="D4" s="11" t="s">
        <v>29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41</v>
      </c>
      <c r="N4" s="11" t="s">
        <v>42</v>
      </c>
      <c r="O4" s="11" t="s">
        <v>43</v>
      </c>
      <c r="P4" s="11" t="s">
        <v>44</v>
      </c>
      <c r="Q4" s="11" t="s">
        <v>45</v>
      </c>
      <c r="R4" s="71" t="s">
        <v>46</v>
      </c>
      <c r="S4" s="99" t="s">
        <v>106</v>
      </c>
    </row>
    <row r="5" spans="1:19">
      <c r="A5" s="1" t="s">
        <v>1</v>
      </c>
      <c r="B5" s="12" t="s">
        <v>54</v>
      </c>
      <c r="C5" s="13">
        <v>19</v>
      </c>
      <c r="D5" s="14">
        <v>20</v>
      </c>
      <c r="E5" s="14">
        <v>18</v>
      </c>
      <c r="F5" s="14">
        <v>20</v>
      </c>
      <c r="G5" s="14">
        <v>0</v>
      </c>
      <c r="H5" s="14">
        <v>20</v>
      </c>
      <c r="I5" s="14">
        <v>18</v>
      </c>
      <c r="J5" s="14">
        <v>20</v>
      </c>
      <c r="K5" s="14">
        <v>14</v>
      </c>
      <c r="L5" s="14">
        <v>16</v>
      </c>
      <c r="M5" s="14">
        <v>20</v>
      </c>
      <c r="N5" s="14">
        <v>19</v>
      </c>
      <c r="O5" s="14">
        <v>20</v>
      </c>
      <c r="P5" s="14">
        <v>20</v>
      </c>
      <c r="Q5" s="14">
        <v>20</v>
      </c>
      <c r="R5" s="72">
        <v>20</v>
      </c>
      <c r="S5" s="16">
        <f>SUM(C5:R5)</f>
        <v>284</v>
      </c>
    </row>
    <row r="6" spans="1:19">
      <c r="A6" s="1" t="s">
        <v>1</v>
      </c>
      <c r="B6" s="17" t="s">
        <v>55</v>
      </c>
      <c r="C6" s="18">
        <v>5</v>
      </c>
      <c r="D6" s="19">
        <v>4</v>
      </c>
      <c r="E6" s="19">
        <v>1</v>
      </c>
      <c r="F6" s="19">
        <v>1</v>
      </c>
      <c r="G6" s="19">
        <v>0</v>
      </c>
      <c r="H6" s="19">
        <v>3</v>
      </c>
      <c r="I6" s="19">
        <v>4</v>
      </c>
      <c r="J6" s="19">
        <v>3</v>
      </c>
      <c r="K6" s="19">
        <v>4</v>
      </c>
      <c r="L6" s="19">
        <v>1</v>
      </c>
      <c r="M6" s="19">
        <v>0</v>
      </c>
      <c r="N6" s="19">
        <v>2</v>
      </c>
      <c r="O6" s="19">
        <v>4</v>
      </c>
      <c r="P6" s="19">
        <v>3</v>
      </c>
      <c r="Q6" s="19">
        <v>5</v>
      </c>
      <c r="R6" s="73">
        <v>3</v>
      </c>
      <c r="S6" s="21">
        <f t="shared" ref="S6:S55" si="0">SUM(C6:R6)</f>
        <v>43</v>
      </c>
    </row>
    <row r="7" spans="1:19">
      <c r="A7" s="1" t="s">
        <v>1</v>
      </c>
      <c r="B7" s="17" t="s">
        <v>56</v>
      </c>
      <c r="C7" s="18">
        <v>2</v>
      </c>
      <c r="D7" s="19">
        <v>3</v>
      </c>
      <c r="E7" s="19">
        <v>2</v>
      </c>
      <c r="F7" s="19">
        <v>2</v>
      </c>
      <c r="G7" s="19">
        <v>0</v>
      </c>
      <c r="H7" s="19">
        <v>2</v>
      </c>
      <c r="I7" s="19">
        <v>1</v>
      </c>
      <c r="J7" s="19">
        <v>2</v>
      </c>
      <c r="K7" s="19">
        <v>4</v>
      </c>
      <c r="L7" s="19">
        <v>4</v>
      </c>
      <c r="M7" s="19">
        <v>2</v>
      </c>
      <c r="N7" s="19">
        <v>2</v>
      </c>
      <c r="O7" s="19">
        <v>1</v>
      </c>
      <c r="P7" s="19">
        <v>2</v>
      </c>
      <c r="Q7" s="19">
        <v>1</v>
      </c>
      <c r="R7" s="73">
        <v>0</v>
      </c>
      <c r="S7" s="21">
        <f t="shared" si="0"/>
        <v>30</v>
      </c>
    </row>
    <row r="8" spans="1:19">
      <c r="A8" s="1" t="s">
        <v>1</v>
      </c>
      <c r="B8" s="17" t="s">
        <v>57</v>
      </c>
      <c r="C8" s="18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19">
        <v>0</v>
      </c>
      <c r="R8" s="73">
        <v>0</v>
      </c>
      <c r="S8" s="21">
        <f t="shared" si="0"/>
        <v>3</v>
      </c>
    </row>
    <row r="9" spans="1:19">
      <c r="A9" s="1" t="s">
        <v>1</v>
      </c>
      <c r="B9" s="17" t="s">
        <v>58</v>
      </c>
      <c r="C9" s="18">
        <v>1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2</v>
      </c>
      <c r="J9" s="19">
        <v>0</v>
      </c>
      <c r="K9" s="19">
        <v>5.5</v>
      </c>
      <c r="L9" s="19">
        <v>3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73">
        <v>0</v>
      </c>
      <c r="S9" s="21">
        <f t="shared" si="0"/>
        <v>13.5</v>
      </c>
    </row>
    <row r="10" spans="1:19">
      <c r="A10" s="1" t="s">
        <v>1</v>
      </c>
      <c r="B10" s="17" t="s">
        <v>59</v>
      </c>
      <c r="C10" s="18">
        <v>0</v>
      </c>
      <c r="D10" s="19">
        <v>0</v>
      </c>
      <c r="E10" s="19">
        <v>0</v>
      </c>
      <c r="F10" s="19">
        <v>0</v>
      </c>
      <c r="G10" s="19">
        <v>20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73">
        <v>0</v>
      </c>
      <c r="S10" s="21">
        <f t="shared" si="0"/>
        <v>20</v>
      </c>
    </row>
    <row r="11" spans="1:19">
      <c r="A11" s="1" t="s">
        <v>1</v>
      </c>
      <c r="B11" s="17" t="s">
        <v>60</v>
      </c>
      <c r="C11" s="22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74">
        <v>0</v>
      </c>
      <c r="S11" s="25">
        <f t="shared" si="0"/>
        <v>0</v>
      </c>
    </row>
    <row r="12" spans="1:19">
      <c r="A12" s="1" t="s">
        <v>1</v>
      </c>
      <c r="B12" s="17" t="s">
        <v>61</v>
      </c>
      <c r="C12" s="22">
        <v>1.0416666666666667</v>
      </c>
      <c r="D12" s="23">
        <v>1.2916666666666667</v>
      </c>
      <c r="E12" s="23">
        <v>1.2083333333333333</v>
      </c>
      <c r="F12" s="23">
        <v>2.5</v>
      </c>
      <c r="G12" s="23">
        <v>0</v>
      </c>
      <c r="H12" s="23">
        <v>2.0416666666666665</v>
      </c>
      <c r="I12" s="23">
        <v>1.5416666666666665</v>
      </c>
      <c r="J12" s="23">
        <v>1.5833333333333335</v>
      </c>
      <c r="K12" s="23">
        <v>0.83333333333333337</v>
      </c>
      <c r="L12" s="23">
        <v>1.125</v>
      </c>
      <c r="M12" s="23">
        <v>1.9166666666666665</v>
      </c>
      <c r="N12" s="23">
        <v>1.1666666666666667</v>
      </c>
      <c r="O12" s="23">
        <v>2.5</v>
      </c>
      <c r="P12" s="23">
        <v>1.7083333333333335</v>
      </c>
      <c r="Q12" s="23">
        <v>1.0416666666666667</v>
      </c>
      <c r="R12" s="74">
        <v>1.1666666666666667</v>
      </c>
      <c r="S12" s="25">
        <f t="shared" si="0"/>
        <v>22.666666666666668</v>
      </c>
    </row>
    <row r="13" spans="1:19">
      <c r="A13" s="1" t="s">
        <v>1</v>
      </c>
      <c r="B13" s="17" t="s">
        <v>62</v>
      </c>
      <c r="C13" s="22">
        <v>1.375</v>
      </c>
      <c r="D13" s="23">
        <v>1.1666666666666667</v>
      </c>
      <c r="E13" s="23">
        <v>0.20833333333333334</v>
      </c>
      <c r="F13" s="23">
        <v>0.33333333333333331</v>
      </c>
      <c r="G13" s="23">
        <v>0</v>
      </c>
      <c r="H13" s="23">
        <v>0.95833333333333337</v>
      </c>
      <c r="I13" s="23">
        <v>1.5416666666666665</v>
      </c>
      <c r="J13" s="23">
        <v>1.125</v>
      </c>
      <c r="K13" s="23">
        <v>1</v>
      </c>
      <c r="L13" s="23">
        <v>0.5</v>
      </c>
      <c r="M13" s="23">
        <v>0</v>
      </c>
      <c r="N13" s="23">
        <v>0.58333333333333337</v>
      </c>
      <c r="O13" s="23">
        <v>1.5</v>
      </c>
      <c r="P13" s="23">
        <v>0.91666666666666663</v>
      </c>
      <c r="Q13" s="23">
        <v>1.7083333333333335</v>
      </c>
      <c r="R13" s="74">
        <v>0.83333333333333337</v>
      </c>
      <c r="S13" s="25">
        <f t="shared" si="0"/>
        <v>13.750000000000002</v>
      </c>
    </row>
    <row r="14" spans="1:19">
      <c r="A14" s="1" t="s">
        <v>1</v>
      </c>
      <c r="B14" s="17" t="s">
        <v>63</v>
      </c>
      <c r="C14" s="22">
        <v>0.83333333333333337</v>
      </c>
      <c r="D14" s="23">
        <v>0.625</v>
      </c>
      <c r="E14" s="23">
        <v>0.91666666666666663</v>
      </c>
      <c r="F14" s="23">
        <v>0.70833333333333337</v>
      </c>
      <c r="G14" s="23">
        <v>0</v>
      </c>
      <c r="H14" s="23">
        <v>0.70833333333333337</v>
      </c>
      <c r="I14" s="23">
        <v>0.16666666666666666</v>
      </c>
      <c r="J14" s="23">
        <v>0.75</v>
      </c>
      <c r="K14" s="23">
        <v>1.5</v>
      </c>
      <c r="L14" s="23">
        <v>1.2916666666666667</v>
      </c>
      <c r="M14" s="23">
        <v>0.70833333333333337</v>
      </c>
      <c r="N14" s="23">
        <v>0.25</v>
      </c>
      <c r="O14" s="23">
        <v>0.58333333333333337</v>
      </c>
      <c r="P14" s="23">
        <v>0.75</v>
      </c>
      <c r="Q14" s="23">
        <v>0.25</v>
      </c>
      <c r="R14" s="74">
        <v>0</v>
      </c>
      <c r="S14" s="25">
        <f t="shared" si="0"/>
        <v>10.041666666666668</v>
      </c>
    </row>
    <row r="15" spans="1:19">
      <c r="A15" s="1" t="s">
        <v>1</v>
      </c>
      <c r="B15" s="17" t="s">
        <v>64</v>
      </c>
      <c r="C15" s="22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0.20833333333333334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74">
        <v>0</v>
      </c>
      <c r="S15" s="25">
        <f t="shared" si="0"/>
        <v>0.20833333333333334</v>
      </c>
    </row>
    <row r="16" spans="1:19">
      <c r="A16" s="1" t="s">
        <v>1</v>
      </c>
      <c r="B16" s="17" t="s">
        <v>65</v>
      </c>
      <c r="C16" s="22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0.20833333333333334</v>
      </c>
      <c r="M16" s="23">
        <v>0</v>
      </c>
      <c r="N16" s="23">
        <v>0.375</v>
      </c>
      <c r="O16" s="23">
        <v>0</v>
      </c>
      <c r="P16" s="23">
        <v>0</v>
      </c>
      <c r="Q16" s="23">
        <v>0</v>
      </c>
      <c r="R16" s="74">
        <v>0</v>
      </c>
      <c r="S16" s="25">
        <f t="shared" si="0"/>
        <v>0.58333333333333337</v>
      </c>
    </row>
    <row r="17" spans="1:19">
      <c r="A17" s="1" t="s">
        <v>1</v>
      </c>
      <c r="B17" s="17" t="s">
        <v>66</v>
      </c>
      <c r="C17" s="22">
        <v>0</v>
      </c>
      <c r="D17" s="23">
        <v>0</v>
      </c>
      <c r="E17" s="23">
        <v>0</v>
      </c>
      <c r="F17" s="23">
        <v>8.3333333333333329E-2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0.25</v>
      </c>
      <c r="P17" s="23">
        <v>0</v>
      </c>
      <c r="Q17" s="23">
        <v>0</v>
      </c>
      <c r="R17" s="74">
        <v>0</v>
      </c>
      <c r="S17" s="25">
        <f t="shared" si="0"/>
        <v>0.33333333333333331</v>
      </c>
    </row>
    <row r="18" spans="1:19">
      <c r="A18" s="1" t="s">
        <v>1</v>
      </c>
      <c r="B18" s="17" t="s">
        <v>67</v>
      </c>
      <c r="C18" s="22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74">
        <v>0</v>
      </c>
      <c r="S18" s="25">
        <f t="shared" si="0"/>
        <v>0</v>
      </c>
    </row>
    <row r="19" spans="1:19">
      <c r="A19" s="1" t="s">
        <v>1</v>
      </c>
      <c r="B19" s="26" t="s">
        <v>68</v>
      </c>
      <c r="C19" s="27">
        <v>0.5</v>
      </c>
      <c r="D19" s="28">
        <v>0.125</v>
      </c>
      <c r="E19" s="28">
        <v>0.20833333333333334</v>
      </c>
      <c r="F19" s="28">
        <v>0.95833333333333337</v>
      </c>
      <c r="G19" s="28">
        <v>0</v>
      </c>
      <c r="H19" s="28">
        <v>0.25</v>
      </c>
      <c r="I19" s="28">
        <v>8.3333333333333329E-2</v>
      </c>
      <c r="J19" s="28">
        <v>0.29166666666666669</v>
      </c>
      <c r="K19" s="28">
        <v>0.875</v>
      </c>
      <c r="L19" s="28">
        <v>1.375</v>
      </c>
      <c r="M19" s="28">
        <v>1.1666666666666667</v>
      </c>
      <c r="N19" s="28">
        <v>0.16666666666666666</v>
      </c>
      <c r="O19" s="28">
        <v>0.95833333333333337</v>
      </c>
      <c r="P19" s="28">
        <v>0.16666666666666666</v>
      </c>
      <c r="Q19" s="28">
        <v>0.125</v>
      </c>
      <c r="R19" s="75">
        <v>0.16666666666666666</v>
      </c>
      <c r="S19" s="30">
        <f t="shared" si="0"/>
        <v>7.4166666666666679</v>
      </c>
    </row>
    <row r="20" spans="1:19">
      <c r="A20" s="1" t="s">
        <v>1</v>
      </c>
      <c r="B20" s="31" t="s">
        <v>69</v>
      </c>
      <c r="C20" s="32">
        <v>6</v>
      </c>
      <c r="D20" s="33">
        <v>5</v>
      </c>
      <c r="E20" s="33">
        <v>19.5</v>
      </c>
      <c r="F20" s="33">
        <v>24</v>
      </c>
      <c r="G20" s="33">
        <v>19</v>
      </c>
      <c r="H20" s="33">
        <v>11</v>
      </c>
      <c r="I20" s="33">
        <v>21</v>
      </c>
      <c r="J20" s="33">
        <v>17.5</v>
      </c>
      <c r="K20" s="33">
        <v>20.5</v>
      </c>
      <c r="L20" s="33">
        <v>28</v>
      </c>
      <c r="M20" s="33">
        <v>14</v>
      </c>
      <c r="N20" s="33">
        <v>21.5</v>
      </c>
      <c r="O20" s="33">
        <v>3</v>
      </c>
      <c r="P20" s="33">
        <v>6</v>
      </c>
      <c r="Q20" s="33">
        <v>14</v>
      </c>
      <c r="R20" s="76">
        <v>0</v>
      </c>
      <c r="S20" s="35"/>
    </row>
    <row r="21" spans="1:19">
      <c r="A21" s="1" t="s">
        <v>1</v>
      </c>
      <c r="B21" s="36" t="s">
        <v>70</v>
      </c>
      <c r="C21" s="37">
        <v>182000</v>
      </c>
      <c r="D21" s="38">
        <v>192000</v>
      </c>
      <c r="E21" s="38">
        <v>197000</v>
      </c>
      <c r="F21" s="38">
        <v>197000</v>
      </c>
      <c r="G21" s="38">
        <v>0</v>
      </c>
      <c r="H21" s="38">
        <v>182000</v>
      </c>
      <c r="I21" s="38">
        <v>187000</v>
      </c>
      <c r="J21" s="38">
        <v>182000</v>
      </c>
      <c r="K21" s="38">
        <v>197000</v>
      </c>
      <c r="L21" s="38">
        <v>192000</v>
      </c>
      <c r="M21" s="38">
        <v>192000</v>
      </c>
      <c r="N21" s="38">
        <v>182000</v>
      </c>
      <c r="O21" s="38">
        <v>175000</v>
      </c>
      <c r="P21" s="38">
        <v>175000</v>
      </c>
      <c r="Q21" s="38">
        <v>180000</v>
      </c>
      <c r="R21" s="77">
        <v>175000</v>
      </c>
      <c r="S21" s="40">
        <f t="shared" si="0"/>
        <v>2787000</v>
      </c>
    </row>
    <row r="22" spans="1:19">
      <c r="A22" s="1" t="s">
        <v>1</v>
      </c>
      <c r="B22" s="17" t="s">
        <v>71</v>
      </c>
      <c r="C22" s="41">
        <v>0</v>
      </c>
      <c r="D22" s="42">
        <v>0</v>
      </c>
      <c r="E22" s="42">
        <v>20000</v>
      </c>
      <c r="F22" s="42">
        <v>20000</v>
      </c>
      <c r="G22" s="42">
        <v>0</v>
      </c>
      <c r="H22" s="42">
        <v>0</v>
      </c>
      <c r="I22" s="42">
        <v>5000</v>
      </c>
      <c r="J22" s="42">
        <v>0</v>
      </c>
      <c r="K22" s="42">
        <v>0</v>
      </c>
      <c r="L22" s="42">
        <v>0</v>
      </c>
      <c r="M22" s="42">
        <v>5000</v>
      </c>
      <c r="N22" s="42">
        <v>0</v>
      </c>
      <c r="O22" s="42">
        <v>0</v>
      </c>
      <c r="P22" s="42">
        <v>0</v>
      </c>
      <c r="Q22" s="42">
        <v>0</v>
      </c>
      <c r="R22" s="78">
        <v>0</v>
      </c>
      <c r="S22" s="44">
        <f t="shared" si="0"/>
        <v>50000</v>
      </c>
    </row>
    <row r="23" spans="1:19">
      <c r="A23" s="1" t="s">
        <v>1</v>
      </c>
      <c r="B23" s="17" t="s">
        <v>72</v>
      </c>
      <c r="C23" s="41">
        <v>0</v>
      </c>
      <c r="D23" s="42">
        <v>0</v>
      </c>
      <c r="E23" s="42">
        <v>3000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78">
        <v>0</v>
      </c>
      <c r="S23" s="44">
        <f t="shared" si="0"/>
        <v>3000</v>
      </c>
    </row>
    <row r="24" spans="1:19">
      <c r="A24" s="1" t="s">
        <v>1</v>
      </c>
      <c r="B24" s="17" t="s">
        <v>73</v>
      </c>
      <c r="C24" s="41">
        <v>0</v>
      </c>
      <c r="D24" s="42">
        <v>0</v>
      </c>
      <c r="E24" s="42">
        <v>0</v>
      </c>
      <c r="F24" s="42">
        <v>11091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64421</v>
      </c>
      <c r="N24" s="42">
        <v>11062</v>
      </c>
      <c r="O24" s="42">
        <v>0</v>
      </c>
      <c r="P24" s="42">
        <v>0</v>
      </c>
      <c r="Q24" s="42">
        <v>42036</v>
      </c>
      <c r="R24" s="78">
        <v>0</v>
      </c>
      <c r="S24" s="44">
        <f t="shared" si="0"/>
        <v>128610</v>
      </c>
    </row>
    <row r="25" spans="1:19">
      <c r="A25" s="1" t="s">
        <v>1</v>
      </c>
      <c r="B25" s="17" t="s">
        <v>74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78">
        <v>0</v>
      </c>
      <c r="S25" s="44">
        <f t="shared" si="0"/>
        <v>0</v>
      </c>
    </row>
    <row r="26" spans="1:19">
      <c r="A26" s="1" t="s">
        <v>1</v>
      </c>
      <c r="B26" s="17" t="s">
        <v>75</v>
      </c>
      <c r="C26" s="41">
        <v>3500</v>
      </c>
      <c r="D26" s="42">
        <v>1000</v>
      </c>
      <c r="E26" s="42">
        <v>3500</v>
      </c>
      <c r="F26" s="42">
        <v>3500</v>
      </c>
      <c r="G26" s="42">
        <v>0</v>
      </c>
      <c r="H26" s="42">
        <v>3500</v>
      </c>
      <c r="I26" s="42">
        <v>3500</v>
      </c>
      <c r="J26" s="42">
        <v>3500</v>
      </c>
      <c r="K26" s="42">
        <v>3500</v>
      </c>
      <c r="L26" s="42">
        <v>3500</v>
      </c>
      <c r="M26" s="42">
        <v>3500</v>
      </c>
      <c r="N26" s="42">
        <v>3500</v>
      </c>
      <c r="O26" s="42">
        <v>0</v>
      </c>
      <c r="P26" s="42">
        <v>2000</v>
      </c>
      <c r="Q26" s="42">
        <v>2000</v>
      </c>
      <c r="R26" s="78">
        <v>0</v>
      </c>
      <c r="S26" s="44">
        <f t="shared" si="0"/>
        <v>40000</v>
      </c>
    </row>
    <row r="27" spans="1:19">
      <c r="A27" s="1" t="s">
        <v>1</v>
      </c>
      <c r="B27" s="17" t="s">
        <v>76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78">
        <v>0</v>
      </c>
      <c r="S27" s="44">
        <f t="shared" si="0"/>
        <v>0</v>
      </c>
    </row>
    <row r="28" spans="1:19">
      <c r="A28" s="1" t="s">
        <v>1</v>
      </c>
      <c r="B28" s="17" t="s">
        <v>61</v>
      </c>
      <c r="C28" s="41">
        <v>34725</v>
      </c>
      <c r="D28" s="42">
        <v>44795</v>
      </c>
      <c r="E28" s="42">
        <v>48517</v>
      </c>
      <c r="F28" s="42">
        <v>99000</v>
      </c>
      <c r="G28" s="42">
        <v>0</v>
      </c>
      <c r="H28" s="42">
        <v>68061</v>
      </c>
      <c r="I28" s="42">
        <v>54168</v>
      </c>
      <c r="J28" s="42">
        <v>52782</v>
      </c>
      <c r="K28" s="42">
        <v>30020</v>
      </c>
      <c r="L28" s="42">
        <v>39528</v>
      </c>
      <c r="M28" s="42">
        <v>69046</v>
      </c>
      <c r="N28" s="42">
        <v>38892</v>
      </c>
      <c r="O28" s="42">
        <v>78600</v>
      </c>
      <c r="P28" s="42">
        <v>54325</v>
      </c>
      <c r="Q28" s="42">
        <v>34075</v>
      </c>
      <c r="R28" s="78">
        <v>36680</v>
      </c>
      <c r="S28" s="44">
        <f t="shared" si="0"/>
        <v>783214</v>
      </c>
    </row>
    <row r="29" spans="1:19">
      <c r="A29" s="1" t="s">
        <v>1</v>
      </c>
      <c r="B29" s="17" t="s">
        <v>77</v>
      </c>
      <c r="C29" s="41">
        <v>49500</v>
      </c>
      <c r="D29" s="42">
        <v>43708</v>
      </c>
      <c r="E29" s="42">
        <v>9030</v>
      </c>
      <c r="F29" s="42">
        <v>14256</v>
      </c>
      <c r="G29" s="42">
        <v>0</v>
      </c>
      <c r="H29" s="42">
        <v>34500</v>
      </c>
      <c r="I29" s="42">
        <v>58497</v>
      </c>
      <c r="J29" s="42">
        <v>40500</v>
      </c>
      <c r="K29" s="42">
        <v>38904</v>
      </c>
      <c r="L29" s="42">
        <v>18972</v>
      </c>
      <c r="M29" s="42">
        <v>0</v>
      </c>
      <c r="N29" s="42">
        <v>21000</v>
      </c>
      <c r="O29" s="42">
        <v>50940</v>
      </c>
      <c r="P29" s="42">
        <v>31482</v>
      </c>
      <c r="Q29" s="42">
        <v>60352</v>
      </c>
      <c r="R29" s="78">
        <v>28300</v>
      </c>
      <c r="S29" s="44">
        <f t="shared" si="0"/>
        <v>499941</v>
      </c>
    </row>
    <row r="30" spans="1:19">
      <c r="A30" s="1" t="s">
        <v>1</v>
      </c>
      <c r="B30" s="17" t="s">
        <v>78</v>
      </c>
      <c r="C30" s="41">
        <v>30000</v>
      </c>
      <c r="D30" s="42">
        <v>23415</v>
      </c>
      <c r="E30" s="42">
        <v>39732</v>
      </c>
      <c r="F30" s="42">
        <v>30294</v>
      </c>
      <c r="G30" s="42">
        <v>0</v>
      </c>
      <c r="H30" s="42">
        <v>25500</v>
      </c>
      <c r="I30" s="42">
        <v>6324</v>
      </c>
      <c r="J30" s="42">
        <v>27000</v>
      </c>
      <c r="K30" s="42">
        <v>58356</v>
      </c>
      <c r="L30" s="42">
        <v>49011</v>
      </c>
      <c r="M30" s="42">
        <v>27557</v>
      </c>
      <c r="N30" s="42">
        <v>9000</v>
      </c>
      <c r="O30" s="42">
        <v>19810</v>
      </c>
      <c r="P30" s="42">
        <v>25758</v>
      </c>
      <c r="Q30" s="42">
        <v>8832</v>
      </c>
      <c r="R30" s="78">
        <v>0</v>
      </c>
      <c r="S30" s="44">
        <f t="shared" si="0"/>
        <v>380589</v>
      </c>
    </row>
    <row r="31" spans="1:19">
      <c r="A31" s="1" t="s">
        <v>1</v>
      </c>
      <c r="B31" s="17" t="s">
        <v>79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2100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78">
        <v>0</v>
      </c>
      <c r="S31" s="44">
        <f t="shared" si="0"/>
        <v>2100</v>
      </c>
    </row>
    <row r="32" spans="1:19">
      <c r="A32" s="1" t="s">
        <v>1</v>
      </c>
      <c r="B32" s="17" t="s">
        <v>80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2050</v>
      </c>
      <c r="M32" s="42">
        <v>0</v>
      </c>
      <c r="N32" s="42">
        <v>3501</v>
      </c>
      <c r="O32" s="42">
        <v>0</v>
      </c>
      <c r="P32" s="42">
        <v>0</v>
      </c>
      <c r="Q32" s="42">
        <v>0</v>
      </c>
      <c r="R32" s="78">
        <v>0</v>
      </c>
      <c r="S32" s="44">
        <f t="shared" si="0"/>
        <v>5551</v>
      </c>
    </row>
    <row r="33" spans="1:19">
      <c r="A33" s="1" t="s">
        <v>1</v>
      </c>
      <c r="B33" s="17" t="s">
        <v>66</v>
      </c>
      <c r="C33" s="41">
        <v>0</v>
      </c>
      <c r="D33" s="42">
        <v>0</v>
      </c>
      <c r="E33" s="42">
        <v>0</v>
      </c>
      <c r="F33" s="42">
        <v>660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1572</v>
      </c>
      <c r="P33" s="42">
        <v>0</v>
      </c>
      <c r="Q33" s="42">
        <v>0</v>
      </c>
      <c r="R33" s="78">
        <v>0</v>
      </c>
      <c r="S33" s="44">
        <f t="shared" si="0"/>
        <v>2232</v>
      </c>
    </row>
    <row r="34" spans="1:19">
      <c r="A34" s="1" t="s">
        <v>1</v>
      </c>
      <c r="B34" s="26" t="s">
        <v>68</v>
      </c>
      <c r="C34" s="45">
        <v>3336</v>
      </c>
      <c r="D34" s="46">
        <v>867</v>
      </c>
      <c r="E34" s="46">
        <v>1675</v>
      </c>
      <c r="F34" s="46">
        <v>7590</v>
      </c>
      <c r="G34" s="46">
        <v>0</v>
      </c>
      <c r="H34" s="46">
        <v>1668</v>
      </c>
      <c r="I34" s="46">
        <v>586</v>
      </c>
      <c r="J34" s="46">
        <v>1946</v>
      </c>
      <c r="K34" s="46">
        <v>6300</v>
      </c>
      <c r="L34" s="46">
        <v>9669</v>
      </c>
      <c r="M34" s="46">
        <v>8400</v>
      </c>
      <c r="N34" s="46">
        <v>1112</v>
      </c>
      <c r="O34" s="46">
        <v>6026</v>
      </c>
      <c r="P34" s="46">
        <v>1060</v>
      </c>
      <c r="Q34" s="46">
        <v>819</v>
      </c>
      <c r="R34" s="79">
        <v>1048</v>
      </c>
      <c r="S34" s="48">
        <f t="shared" si="0"/>
        <v>52102</v>
      </c>
    </row>
    <row r="35" spans="1:19">
      <c r="A35" s="1" t="s">
        <v>1</v>
      </c>
      <c r="B35" s="31" t="s">
        <v>81</v>
      </c>
      <c r="C35" s="49">
        <v>303061</v>
      </c>
      <c r="D35" s="50">
        <v>305785</v>
      </c>
      <c r="E35" s="50">
        <v>322454</v>
      </c>
      <c r="F35" s="50">
        <v>383391</v>
      </c>
      <c r="G35" s="50">
        <v>0</v>
      </c>
      <c r="H35" s="50">
        <v>315229</v>
      </c>
      <c r="I35" s="50">
        <v>315075</v>
      </c>
      <c r="J35" s="50">
        <v>307728</v>
      </c>
      <c r="K35" s="50">
        <v>336180</v>
      </c>
      <c r="L35" s="50">
        <v>314730</v>
      </c>
      <c r="M35" s="50">
        <v>369924</v>
      </c>
      <c r="N35" s="50">
        <v>270067</v>
      </c>
      <c r="O35" s="50">
        <v>331948</v>
      </c>
      <c r="P35" s="50">
        <v>289625</v>
      </c>
      <c r="Q35" s="50">
        <v>328114</v>
      </c>
      <c r="R35" s="80">
        <v>241028</v>
      </c>
      <c r="S35" s="52">
        <f t="shared" si="0"/>
        <v>4734339</v>
      </c>
    </row>
    <row r="36" spans="1:19">
      <c r="A36" s="1" t="s">
        <v>1</v>
      </c>
      <c r="B36" s="36" t="s">
        <v>82</v>
      </c>
      <c r="C36" s="37">
        <v>14048</v>
      </c>
      <c r="D36" s="38">
        <v>3648</v>
      </c>
      <c r="E36" s="38">
        <v>5106</v>
      </c>
      <c r="F36" s="38">
        <v>3107</v>
      </c>
      <c r="G36" s="38">
        <v>0</v>
      </c>
      <c r="H36" s="38">
        <v>2702</v>
      </c>
      <c r="I36" s="38">
        <v>1243</v>
      </c>
      <c r="J36" s="38">
        <v>3377</v>
      </c>
      <c r="K36" s="38">
        <v>4755</v>
      </c>
      <c r="L36" s="38">
        <v>6808</v>
      </c>
      <c r="M36" s="38">
        <v>5944</v>
      </c>
      <c r="N36" s="38">
        <v>10564</v>
      </c>
      <c r="O36" s="38">
        <v>8780</v>
      </c>
      <c r="P36" s="38">
        <v>8780</v>
      </c>
      <c r="Q36" s="38">
        <v>2810</v>
      </c>
      <c r="R36" s="77">
        <v>7457</v>
      </c>
      <c r="S36" s="40">
        <f t="shared" si="0"/>
        <v>89129</v>
      </c>
    </row>
    <row r="37" spans="1:19">
      <c r="A37" s="1" t="s">
        <v>1</v>
      </c>
      <c r="B37" s="53" t="s">
        <v>83</v>
      </c>
      <c r="C37" s="54">
        <v>14048</v>
      </c>
      <c r="D37" s="55">
        <v>3648</v>
      </c>
      <c r="E37" s="55">
        <v>5106</v>
      </c>
      <c r="F37" s="55">
        <v>3107</v>
      </c>
      <c r="G37" s="55">
        <v>0</v>
      </c>
      <c r="H37" s="55">
        <v>2702</v>
      </c>
      <c r="I37" s="55">
        <v>1243</v>
      </c>
      <c r="J37" s="55">
        <v>3377</v>
      </c>
      <c r="K37" s="55">
        <v>4755</v>
      </c>
      <c r="L37" s="55">
        <v>6808</v>
      </c>
      <c r="M37" s="55">
        <v>5944</v>
      </c>
      <c r="N37" s="55">
        <v>10564</v>
      </c>
      <c r="O37" s="55">
        <v>8780</v>
      </c>
      <c r="P37" s="55">
        <v>8780</v>
      </c>
      <c r="Q37" s="55">
        <v>2810</v>
      </c>
      <c r="R37" s="81">
        <v>7457</v>
      </c>
      <c r="S37" s="56">
        <f t="shared" si="0"/>
        <v>89129</v>
      </c>
    </row>
    <row r="38" spans="1:19">
      <c r="A38" s="1" t="s">
        <v>1</v>
      </c>
      <c r="B38" s="31" t="s">
        <v>84</v>
      </c>
      <c r="C38" s="49">
        <v>317109</v>
      </c>
      <c r="D38" s="50">
        <v>309433</v>
      </c>
      <c r="E38" s="50">
        <v>327560</v>
      </c>
      <c r="F38" s="50">
        <v>386498</v>
      </c>
      <c r="G38" s="50">
        <v>0</v>
      </c>
      <c r="H38" s="50">
        <v>317931</v>
      </c>
      <c r="I38" s="50">
        <v>316318</v>
      </c>
      <c r="J38" s="50">
        <v>311105</v>
      </c>
      <c r="K38" s="50">
        <v>340935</v>
      </c>
      <c r="L38" s="50">
        <v>321538</v>
      </c>
      <c r="M38" s="50">
        <v>375868</v>
      </c>
      <c r="N38" s="50">
        <v>280631</v>
      </c>
      <c r="O38" s="50">
        <v>340728</v>
      </c>
      <c r="P38" s="50">
        <v>298405</v>
      </c>
      <c r="Q38" s="50">
        <v>330924</v>
      </c>
      <c r="R38" s="80">
        <v>248485</v>
      </c>
      <c r="S38" s="52">
        <f t="shared" si="0"/>
        <v>4823468</v>
      </c>
    </row>
    <row r="39" spans="1:19">
      <c r="A39" s="1" t="s">
        <v>1</v>
      </c>
      <c r="B39" s="36" t="s">
        <v>85</v>
      </c>
      <c r="C39" s="37">
        <v>15300</v>
      </c>
      <c r="D39" s="38">
        <v>16320</v>
      </c>
      <c r="E39" s="38">
        <v>19380</v>
      </c>
      <c r="F39" s="38">
        <v>19380</v>
      </c>
      <c r="G39" s="38">
        <v>19380</v>
      </c>
      <c r="H39" s="38">
        <v>16320</v>
      </c>
      <c r="I39" s="38">
        <v>15300</v>
      </c>
      <c r="J39" s="38">
        <v>15300</v>
      </c>
      <c r="K39" s="38">
        <v>19380</v>
      </c>
      <c r="L39" s="38">
        <v>18360</v>
      </c>
      <c r="M39" s="38">
        <v>17340</v>
      </c>
      <c r="N39" s="38">
        <v>15300</v>
      </c>
      <c r="O39" s="38">
        <v>16320</v>
      </c>
      <c r="P39" s="38">
        <v>14280</v>
      </c>
      <c r="Q39" s="38">
        <v>14280</v>
      </c>
      <c r="R39" s="77">
        <v>13260</v>
      </c>
      <c r="S39" s="40">
        <f t="shared" si="0"/>
        <v>265200</v>
      </c>
    </row>
    <row r="40" spans="1:19">
      <c r="A40" s="1" t="s">
        <v>1</v>
      </c>
      <c r="B40" s="17" t="s">
        <v>86</v>
      </c>
      <c r="C40" s="41">
        <v>2700</v>
      </c>
      <c r="D40" s="42">
        <v>2880</v>
      </c>
      <c r="E40" s="42">
        <v>3420</v>
      </c>
      <c r="F40" s="42">
        <v>3420</v>
      </c>
      <c r="G40" s="42">
        <v>3420</v>
      </c>
      <c r="H40" s="42">
        <v>2880</v>
      </c>
      <c r="I40" s="42">
        <v>2700</v>
      </c>
      <c r="J40" s="42">
        <v>2700</v>
      </c>
      <c r="K40" s="42">
        <v>3420</v>
      </c>
      <c r="L40" s="42">
        <v>3240</v>
      </c>
      <c r="M40" s="42">
        <v>3060</v>
      </c>
      <c r="N40" s="42">
        <v>2700</v>
      </c>
      <c r="O40" s="42">
        <v>2880</v>
      </c>
      <c r="P40" s="42">
        <v>2520</v>
      </c>
      <c r="Q40" s="42">
        <v>2520</v>
      </c>
      <c r="R40" s="78">
        <v>0</v>
      </c>
      <c r="S40" s="44">
        <f t="shared" si="0"/>
        <v>44460</v>
      </c>
    </row>
    <row r="41" spans="1:19">
      <c r="A41" s="1" t="s">
        <v>1</v>
      </c>
      <c r="B41" s="17" t="s">
        <v>87</v>
      </c>
      <c r="C41" s="41">
        <v>27450</v>
      </c>
      <c r="D41" s="42">
        <v>29280</v>
      </c>
      <c r="E41" s="42">
        <v>34770</v>
      </c>
      <c r="F41" s="42">
        <v>34770</v>
      </c>
      <c r="G41" s="42">
        <v>34770</v>
      </c>
      <c r="H41" s="42">
        <v>29280</v>
      </c>
      <c r="I41" s="42">
        <v>27450</v>
      </c>
      <c r="J41" s="42">
        <v>27450</v>
      </c>
      <c r="K41" s="42">
        <v>34770</v>
      </c>
      <c r="L41" s="42">
        <v>32940</v>
      </c>
      <c r="M41" s="42">
        <v>31110</v>
      </c>
      <c r="N41" s="42">
        <v>27450</v>
      </c>
      <c r="O41" s="42">
        <v>29280</v>
      </c>
      <c r="P41" s="42">
        <v>25620</v>
      </c>
      <c r="Q41" s="42">
        <v>25620</v>
      </c>
      <c r="R41" s="78">
        <v>23790</v>
      </c>
      <c r="S41" s="44">
        <f t="shared" si="0"/>
        <v>475800</v>
      </c>
    </row>
    <row r="42" spans="1:19">
      <c r="A42" s="1" t="s">
        <v>1</v>
      </c>
      <c r="B42" s="53" t="s">
        <v>88</v>
      </c>
      <c r="C42" s="54">
        <v>1903</v>
      </c>
      <c r="D42" s="55">
        <v>1857</v>
      </c>
      <c r="E42" s="55">
        <v>1965</v>
      </c>
      <c r="F42" s="55">
        <v>2319</v>
      </c>
      <c r="G42" s="55">
        <v>0</v>
      </c>
      <c r="H42" s="55">
        <v>1908</v>
      </c>
      <c r="I42" s="55">
        <v>1898</v>
      </c>
      <c r="J42" s="55">
        <v>1867</v>
      </c>
      <c r="K42" s="55">
        <v>2046</v>
      </c>
      <c r="L42" s="55">
        <v>1929</v>
      </c>
      <c r="M42" s="55">
        <v>2255</v>
      </c>
      <c r="N42" s="55">
        <v>1684</v>
      </c>
      <c r="O42" s="55">
        <v>2044</v>
      </c>
      <c r="P42" s="55">
        <v>1790</v>
      </c>
      <c r="Q42" s="55">
        <v>1986</v>
      </c>
      <c r="R42" s="81">
        <v>1491</v>
      </c>
      <c r="S42" s="56">
        <f t="shared" si="0"/>
        <v>28942</v>
      </c>
    </row>
    <row r="43" spans="1:19">
      <c r="A43" s="1" t="s">
        <v>1</v>
      </c>
      <c r="B43" s="31" t="s">
        <v>89</v>
      </c>
      <c r="C43" s="49">
        <v>47353</v>
      </c>
      <c r="D43" s="50">
        <v>50337</v>
      </c>
      <c r="E43" s="50">
        <v>59535</v>
      </c>
      <c r="F43" s="50">
        <v>59889</v>
      </c>
      <c r="G43" s="50">
        <v>57570</v>
      </c>
      <c r="H43" s="50">
        <v>50388</v>
      </c>
      <c r="I43" s="50">
        <v>47348</v>
      </c>
      <c r="J43" s="50">
        <v>47317</v>
      </c>
      <c r="K43" s="50">
        <v>59616</v>
      </c>
      <c r="L43" s="50">
        <v>56469</v>
      </c>
      <c r="M43" s="50">
        <v>53765</v>
      </c>
      <c r="N43" s="50">
        <v>47134</v>
      </c>
      <c r="O43" s="50">
        <v>50524</v>
      </c>
      <c r="P43" s="50">
        <v>44210</v>
      </c>
      <c r="Q43" s="50">
        <v>44406</v>
      </c>
      <c r="R43" s="80">
        <v>38541</v>
      </c>
      <c r="S43" s="52">
        <f t="shared" si="0"/>
        <v>814402</v>
      </c>
    </row>
    <row r="44" spans="1:19">
      <c r="A44" s="1" t="s">
        <v>1</v>
      </c>
      <c r="B44" s="36" t="s">
        <v>90</v>
      </c>
      <c r="C44" s="37">
        <v>0</v>
      </c>
      <c r="D44" s="38">
        <v>6750</v>
      </c>
      <c r="E44" s="38">
        <v>0</v>
      </c>
      <c r="F44" s="38">
        <v>10300</v>
      </c>
      <c r="G44" s="38">
        <v>0</v>
      </c>
      <c r="H44" s="38">
        <v>7080</v>
      </c>
      <c r="I44" s="38">
        <v>0</v>
      </c>
      <c r="J44" s="38">
        <v>6920</v>
      </c>
      <c r="K44" s="38">
        <v>7500</v>
      </c>
      <c r="L44" s="38">
        <v>6850</v>
      </c>
      <c r="M44" s="38">
        <v>0</v>
      </c>
      <c r="N44" s="38">
        <v>5580</v>
      </c>
      <c r="O44" s="38">
        <v>0</v>
      </c>
      <c r="P44" s="38">
        <v>6390</v>
      </c>
      <c r="Q44" s="38">
        <v>7760</v>
      </c>
      <c r="R44" s="77">
        <v>4850</v>
      </c>
      <c r="S44" s="40">
        <f t="shared" si="0"/>
        <v>69980</v>
      </c>
    </row>
    <row r="45" spans="1:19">
      <c r="A45" s="1" t="s">
        <v>1</v>
      </c>
      <c r="B45" s="17" t="s">
        <v>91</v>
      </c>
      <c r="C45" s="41">
        <v>1300</v>
      </c>
      <c r="D45" s="42">
        <v>1300</v>
      </c>
      <c r="E45" s="42">
        <v>1300</v>
      </c>
      <c r="F45" s="42">
        <v>0</v>
      </c>
      <c r="G45" s="42">
        <v>1300</v>
      </c>
      <c r="H45" s="42">
        <v>1300</v>
      </c>
      <c r="I45" s="42">
        <v>1300</v>
      </c>
      <c r="J45" s="42">
        <v>1300</v>
      </c>
      <c r="K45" s="42">
        <v>1300</v>
      </c>
      <c r="L45" s="42">
        <v>1300</v>
      </c>
      <c r="M45" s="42">
        <v>1300</v>
      </c>
      <c r="N45" s="42">
        <v>1300</v>
      </c>
      <c r="O45" s="42">
        <v>1300</v>
      </c>
      <c r="P45" s="42">
        <v>1300</v>
      </c>
      <c r="Q45" s="42">
        <v>0</v>
      </c>
      <c r="R45" s="78">
        <v>0</v>
      </c>
      <c r="S45" s="44">
        <f t="shared" si="0"/>
        <v>16900</v>
      </c>
    </row>
    <row r="46" spans="1:19">
      <c r="A46" s="1" t="s">
        <v>1</v>
      </c>
      <c r="B46" s="17" t="s">
        <v>92</v>
      </c>
      <c r="C46" s="41">
        <v>6700</v>
      </c>
      <c r="D46" s="42">
        <v>15100</v>
      </c>
      <c r="E46" s="42">
        <v>18200</v>
      </c>
      <c r="F46" s="42">
        <v>20200</v>
      </c>
      <c r="G46" s="42">
        <v>19000</v>
      </c>
      <c r="H46" s="42">
        <v>13900</v>
      </c>
      <c r="I46" s="42">
        <v>9200</v>
      </c>
      <c r="J46" s="42">
        <v>13900</v>
      </c>
      <c r="K46" s="42">
        <v>16500</v>
      </c>
      <c r="L46" s="42">
        <v>14300</v>
      </c>
      <c r="M46" s="42">
        <v>1900</v>
      </c>
      <c r="N46" s="42">
        <v>0</v>
      </c>
      <c r="O46" s="42">
        <v>12900</v>
      </c>
      <c r="P46" s="42">
        <v>10500</v>
      </c>
      <c r="Q46" s="42">
        <v>5300</v>
      </c>
      <c r="R46" s="78">
        <v>0</v>
      </c>
      <c r="S46" s="44">
        <f t="shared" si="0"/>
        <v>177600</v>
      </c>
    </row>
    <row r="47" spans="1:19">
      <c r="A47" s="1" t="s">
        <v>1</v>
      </c>
      <c r="B47" s="53" t="s">
        <v>93</v>
      </c>
      <c r="C47" s="54">
        <v>0</v>
      </c>
      <c r="D47" s="55">
        <v>0</v>
      </c>
      <c r="E47" s="55">
        <v>0</v>
      </c>
      <c r="F47" s="55">
        <v>0</v>
      </c>
      <c r="G47" s="57">
        <v>-77870</v>
      </c>
      <c r="H47" s="55">
        <v>0</v>
      </c>
      <c r="I47" s="55">
        <v>0</v>
      </c>
      <c r="J47" s="55">
        <v>0</v>
      </c>
      <c r="K47" s="55">
        <v>0</v>
      </c>
      <c r="L47" s="55">
        <v>0</v>
      </c>
      <c r="M47" s="55">
        <v>0</v>
      </c>
      <c r="N47" s="55">
        <v>0</v>
      </c>
      <c r="O47" s="55">
        <v>0</v>
      </c>
      <c r="P47" s="55">
        <v>0</v>
      </c>
      <c r="Q47" s="55">
        <v>0</v>
      </c>
      <c r="R47" s="81">
        <v>0</v>
      </c>
      <c r="S47" s="58">
        <f t="shared" si="0"/>
        <v>-77870</v>
      </c>
    </row>
    <row r="48" spans="1:19">
      <c r="A48" s="1" t="s">
        <v>1</v>
      </c>
      <c r="B48" s="31" t="s">
        <v>94</v>
      </c>
      <c r="C48" s="49">
        <v>55353</v>
      </c>
      <c r="D48" s="50">
        <v>73487</v>
      </c>
      <c r="E48" s="50">
        <v>79035</v>
      </c>
      <c r="F48" s="50">
        <v>90389</v>
      </c>
      <c r="G48" s="50">
        <v>0</v>
      </c>
      <c r="H48" s="50">
        <v>72668</v>
      </c>
      <c r="I48" s="50">
        <v>57848</v>
      </c>
      <c r="J48" s="50">
        <v>69437</v>
      </c>
      <c r="K48" s="50">
        <v>84916</v>
      </c>
      <c r="L48" s="50">
        <v>78919</v>
      </c>
      <c r="M48" s="50">
        <v>56965</v>
      </c>
      <c r="N48" s="50">
        <v>54014</v>
      </c>
      <c r="O48" s="50">
        <v>64724</v>
      </c>
      <c r="P48" s="50">
        <v>62400</v>
      </c>
      <c r="Q48" s="50">
        <v>57466</v>
      </c>
      <c r="R48" s="80">
        <v>43391</v>
      </c>
      <c r="S48" s="52">
        <f t="shared" si="0"/>
        <v>1001012</v>
      </c>
    </row>
    <row r="49" spans="1:19">
      <c r="A49" s="1" t="s">
        <v>1</v>
      </c>
      <c r="B49" s="31" t="s">
        <v>95</v>
      </c>
      <c r="C49" s="49">
        <v>255708</v>
      </c>
      <c r="D49" s="50">
        <v>255448</v>
      </c>
      <c r="E49" s="50">
        <v>262919</v>
      </c>
      <c r="F49" s="50">
        <v>323502</v>
      </c>
      <c r="G49" s="59">
        <v>-57570</v>
      </c>
      <c r="H49" s="50">
        <v>264841</v>
      </c>
      <c r="I49" s="50">
        <v>267727</v>
      </c>
      <c r="J49" s="50">
        <v>260411</v>
      </c>
      <c r="K49" s="50">
        <v>276564</v>
      </c>
      <c r="L49" s="50">
        <v>258261</v>
      </c>
      <c r="M49" s="50">
        <v>316159</v>
      </c>
      <c r="N49" s="50">
        <v>222933</v>
      </c>
      <c r="O49" s="50">
        <v>281424</v>
      </c>
      <c r="P49" s="50">
        <v>245415</v>
      </c>
      <c r="Q49" s="50">
        <v>283708</v>
      </c>
      <c r="R49" s="80">
        <v>202487</v>
      </c>
      <c r="S49" s="52">
        <f t="shared" si="0"/>
        <v>3919937</v>
      </c>
    </row>
    <row r="50" spans="1:19">
      <c r="A50" s="1" t="s">
        <v>1</v>
      </c>
      <c r="B50" s="31" t="s">
        <v>96</v>
      </c>
      <c r="C50" s="49">
        <v>261756</v>
      </c>
      <c r="D50" s="50">
        <v>235946</v>
      </c>
      <c r="E50" s="50">
        <v>248525</v>
      </c>
      <c r="F50" s="50">
        <v>296109</v>
      </c>
      <c r="G50" s="50">
        <v>0</v>
      </c>
      <c r="H50" s="50">
        <v>245263</v>
      </c>
      <c r="I50" s="50">
        <v>258470</v>
      </c>
      <c r="J50" s="50">
        <v>241668</v>
      </c>
      <c r="K50" s="50">
        <v>256019</v>
      </c>
      <c r="L50" s="50">
        <v>242619</v>
      </c>
      <c r="M50" s="50">
        <v>318903</v>
      </c>
      <c r="N50" s="50">
        <v>226617</v>
      </c>
      <c r="O50" s="50">
        <v>276004</v>
      </c>
      <c r="P50" s="50">
        <v>236005</v>
      </c>
      <c r="Q50" s="50">
        <v>273458</v>
      </c>
      <c r="R50" s="80">
        <v>205094</v>
      </c>
      <c r="S50" s="52">
        <f t="shared" si="0"/>
        <v>3822456</v>
      </c>
    </row>
    <row r="51" spans="1:19">
      <c r="A51" s="1" t="s">
        <v>1</v>
      </c>
      <c r="B51" s="31" t="s">
        <v>97</v>
      </c>
      <c r="C51" s="49">
        <v>261756</v>
      </c>
      <c r="D51" s="50">
        <v>235946</v>
      </c>
      <c r="E51" s="50">
        <v>248525</v>
      </c>
      <c r="F51" s="50">
        <v>296109</v>
      </c>
      <c r="G51" s="50">
        <v>0</v>
      </c>
      <c r="H51" s="50">
        <v>245263</v>
      </c>
      <c r="I51" s="50">
        <v>258470</v>
      </c>
      <c r="J51" s="50">
        <v>241668</v>
      </c>
      <c r="K51" s="50">
        <v>256019</v>
      </c>
      <c r="L51" s="50">
        <v>242619</v>
      </c>
      <c r="M51" s="50">
        <v>318903</v>
      </c>
      <c r="N51" s="50">
        <v>226617</v>
      </c>
      <c r="O51" s="50">
        <v>276004</v>
      </c>
      <c r="P51" s="50">
        <v>236005</v>
      </c>
      <c r="Q51" s="50">
        <v>273458</v>
      </c>
      <c r="R51" s="80">
        <v>205094</v>
      </c>
      <c r="S51" s="52">
        <f t="shared" si="0"/>
        <v>3822456</v>
      </c>
    </row>
    <row r="52" spans="1:19">
      <c r="A52" s="1" t="s">
        <v>1</v>
      </c>
      <c r="B52" s="31" t="s">
        <v>98</v>
      </c>
      <c r="C52" s="49">
        <v>1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50">
        <v>1</v>
      </c>
      <c r="P52" s="50">
        <v>0</v>
      </c>
      <c r="Q52" s="50">
        <v>0</v>
      </c>
      <c r="R52" s="80">
        <v>0</v>
      </c>
      <c r="S52" s="52"/>
    </row>
    <row r="53" spans="1:19">
      <c r="A53" s="1" t="s">
        <v>1</v>
      </c>
      <c r="B53" s="31" t="s">
        <v>99</v>
      </c>
      <c r="C53" s="60" t="s">
        <v>100</v>
      </c>
      <c r="D53" s="61" t="s">
        <v>100</v>
      </c>
      <c r="E53" s="61" t="s">
        <v>100</v>
      </c>
      <c r="F53" s="61" t="s">
        <v>100</v>
      </c>
      <c r="G53" s="61" t="s">
        <v>100</v>
      </c>
      <c r="H53" s="61" t="s">
        <v>100</v>
      </c>
      <c r="I53" s="61" t="s">
        <v>100</v>
      </c>
      <c r="J53" s="61" t="s">
        <v>100</v>
      </c>
      <c r="K53" s="61" t="s">
        <v>100</v>
      </c>
      <c r="L53" s="61" t="s">
        <v>100</v>
      </c>
      <c r="M53" s="61" t="s">
        <v>100</v>
      </c>
      <c r="N53" s="61" t="s">
        <v>100</v>
      </c>
      <c r="O53" s="61" t="s">
        <v>100</v>
      </c>
      <c r="P53" s="61" t="s">
        <v>100</v>
      </c>
      <c r="Q53" s="61" t="s">
        <v>100</v>
      </c>
      <c r="R53" s="82" t="s">
        <v>100</v>
      </c>
      <c r="S53" s="63">
        <f t="shared" si="0"/>
        <v>0</v>
      </c>
    </row>
    <row r="54" spans="1:19">
      <c r="A54" s="1" t="s">
        <v>1</v>
      </c>
      <c r="B54" s="31" t="s">
        <v>101</v>
      </c>
      <c r="C54" s="49">
        <v>5140</v>
      </c>
      <c r="D54" s="50">
        <v>6750</v>
      </c>
      <c r="E54" s="50">
        <v>5400</v>
      </c>
      <c r="F54" s="50">
        <v>10300</v>
      </c>
      <c r="G54" s="50">
        <v>0</v>
      </c>
      <c r="H54" s="50">
        <v>7080</v>
      </c>
      <c r="I54" s="50">
        <v>5570</v>
      </c>
      <c r="J54" s="50">
        <v>6920</v>
      </c>
      <c r="K54" s="50">
        <v>7500</v>
      </c>
      <c r="L54" s="50">
        <v>6850</v>
      </c>
      <c r="M54" s="50">
        <v>2530</v>
      </c>
      <c r="N54" s="50">
        <v>5580</v>
      </c>
      <c r="O54" s="50">
        <v>6060</v>
      </c>
      <c r="P54" s="50">
        <v>6390</v>
      </c>
      <c r="Q54" s="50">
        <v>7760</v>
      </c>
      <c r="R54" s="80">
        <v>4850</v>
      </c>
      <c r="S54" s="52">
        <f t="shared" si="0"/>
        <v>94680</v>
      </c>
    </row>
    <row r="55" spans="1:19">
      <c r="A55" s="1" t="s">
        <v>1</v>
      </c>
      <c r="B55" s="31" t="s">
        <v>102</v>
      </c>
      <c r="C55" s="49">
        <v>5140</v>
      </c>
      <c r="D55" s="50">
        <v>0</v>
      </c>
      <c r="E55" s="50">
        <v>5400</v>
      </c>
      <c r="F55" s="50">
        <v>0</v>
      </c>
      <c r="G55" s="50">
        <v>0</v>
      </c>
      <c r="H55" s="50">
        <v>0</v>
      </c>
      <c r="I55" s="50">
        <v>5570</v>
      </c>
      <c r="J55" s="50">
        <v>0</v>
      </c>
      <c r="K55" s="50">
        <v>0</v>
      </c>
      <c r="L55" s="50">
        <v>0</v>
      </c>
      <c r="M55" s="50">
        <v>2530</v>
      </c>
      <c r="N55" s="50">
        <v>0</v>
      </c>
      <c r="O55" s="50">
        <v>6060</v>
      </c>
      <c r="P55" s="50">
        <v>0</v>
      </c>
      <c r="Q55" s="50">
        <v>0</v>
      </c>
      <c r="R55" s="80">
        <v>0</v>
      </c>
      <c r="S55" s="52">
        <f t="shared" si="0"/>
        <v>24700</v>
      </c>
    </row>
    <row r="56" spans="1:19" ht="19.5" thickBot="1">
      <c r="A56" s="1" t="s">
        <v>1</v>
      </c>
      <c r="B56" s="64" t="s">
        <v>103</v>
      </c>
      <c r="C56" s="65">
        <v>60000</v>
      </c>
      <c r="D56" s="66">
        <v>30000</v>
      </c>
      <c r="E56" s="66">
        <v>60000</v>
      </c>
      <c r="F56" s="66">
        <v>30000</v>
      </c>
      <c r="G56" s="66">
        <v>30000</v>
      </c>
      <c r="H56" s="66">
        <v>30000</v>
      </c>
      <c r="I56" s="66">
        <v>60000</v>
      </c>
      <c r="J56" s="66">
        <v>30000</v>
      </c>
      <c r="K56" s="66">
        <v>30000</v>
      </c>
      <c r="L56" s="66">
        <v>30000</v>
      </c>
      <c r="M56" s="66">
        <v>150000</v>
      </c>
      <c r="N56" s="66">
        <v>30000</v>
      </c>
      <c r="O56" s="66">
        <v>60000</v>
      </c>
      <c r="P56" s="66">
        <v>30000</v>
      </c>
      <c r="Q56" s="66">
        <v>30000</v>
      </c>
      <c r="R56" s="83">
        <v>0</v>
      </c>
      <c r="S56" s="68"/>
    </row>
  </sheetData>
  <phoneticPr fontId="3"/>
  <pageMargins left="0.11811023622047245" right="0.11811023622047245" top="0.15748031496062992" bottom="0.15748031496062992" header="0.11811023622047245" footer="0.11811023622047245"/>
  <pageSetup paperSize="12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2024年11月度給与 (2)</vt:lpstr>
      <vt:lpstr>2024年11月度給与 (3)</vt:lpstr>
      <vt:lpstr>2024年11月度給与 (4)</vt:lpstr>
      <vt:lpstr>'2024年11月度給与 (3)'!Print_Area</vt:lpstr>
      <vt:lpstr>'2024年11月度給与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2024-12-07T02:58:22Z</cp:lastPrinted>
  <dcterms:created xsi:type="dcterms:W3CDTF">2024-12-03T08:05:29Z</dcterms:created>
  <dcterms:modified xsi:type="dcterms:W3CDTF">2024-12-07T02:58:52Z</dcterms:modified>
</cp:coreProperties>
</file>