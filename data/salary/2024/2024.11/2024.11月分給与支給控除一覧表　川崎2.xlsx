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D241A84C-3559-4C3F-BAC6-CF5E96E634B2}" xr6:coauthVersionLast="47" xr6:coauthVersionMax="47" xr10:uidLastSave="{00000000-0000-0000-0000-000000000000}"/>
  <bookViews>
    <workbookView xWindow="-120" yWindow="-120" windowWidth="20730" windowHeight="11040" xr2:uid="{F90E45DE-5741-4102-854C-D2B6C9F3B21B}"/>
  </bookViews>
  <sheets>
    <sheet name="2024年11月度給与 (2)" sheetId="3" r:id="rId1"/>
  </sheets>
  <definedNames>
    <definedName name="_xlnm.Print_Area" localSheetId="0">'2024年11月度給与 (2)'!$A$1:$I$41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I6" i="3" s="1"/>
  <c r="H7" i="3"/>
  <c r="I7" i="3" s="1"/>
  <c r="H8" i="3"/>
  <c r="I8" i="3" s="1"/>
  <c r="H9" i="3"/>
  <c r="I9" i="3" s="1"/>
  <c r="H10" i="3"/>
  <c r="I10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40" i="3"/>
  <c r="I40" i="3" s="1"/>
  <c r="H5" i="3"/>
  <c r="I5" i="3" s="1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40" i="3"/>
  <c r="D5" i="3"/>
</calcChain>
</file>

<file path=xl/sharedStrings.xml><?xml version="1.0" encoding="utf-8"?>
<sst xmlns="http://schemas.openxmlformats.org/spreadsheetml/2006/main" count="95" uniqueCount="53">
  <si>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</si>
  <si>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</si>
  <si>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</si>
  <si>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</si>
  <si>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</si>
  <si>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</si>
  <si>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</si>
  <si>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</si>
  <si>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</si>
  <si>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</si>
  <si>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</si>
  <si>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</si>
  <si>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</si>
  <si>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</si>
  <si>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</si>
  <si>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</si>
  <si>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</si>
  <si>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</si>
  <si>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</si>
  <si>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</si>
  <si>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</si>
  <si>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</si>
  <si>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</si>
  <si>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</si>
  <si>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</si>
  <si>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</si>
  <si>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</si>
  <si>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</si>
  <si>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</si>
  <si>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</si>
  <si>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</si>
  <si>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</si>
  <si>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</si>
  <si>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</si>
  <si>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</si>
  <si>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</si>
  <si>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</si>
  <si>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</si>
  <si>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</si>
  <si>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</si>
  <si>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</si>
  <si>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</si>
  <si>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</si>
  <si>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</si>
  <si>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</si>
  <si>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</si>
  <si>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</si>
  <si>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(減税設定額)</t>
    <phoneticPr fontId="4"/>
  </si>
  <si>
    <t>小計</t>
    <rPh sb="0" eb="2">
      <t>ショウケイ</t>
    </rPh>
    <phoneticPr fontId="3"/>
  </si>
  <si>
    <t>1名</t>
    <rPh sb="1" eb="2">
      <t>メイ</t>
    </rPh>
    <phoneticPr fontId="3"/>
  </si>
  <si>
    <t>３名</t>
    <rPh sb="1" eb="2">
      <t>メイ</t>
    </rPh>
    <phoneticPr fontId="3"/>
  </si>
  <si>
    <t>４名</t>
    <rPh sb="1" eb="2">
      <t>メイ</t>
    </rPh>
    <phoneticPr fontId="4"/>
  </si>
  <si>
    <t>2024年11月度給与</t>
    <rPh sb="7" eb="8">
      <t>ツキ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</si>
</sst>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2" fontId="2" fillId="0" borderId="8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49" fontId="2" fillId="0" borderId="8" xfId="1" applyNumberFormat="1" applyFont="1" applyBorder="1"/>
    <xf numFmtId="49" fontId="2" fillId="0" borderId="15" xfId="1" applyNumberFormat="1" applyFont="1" applyBorder="1" applyAlignment="1">
      <alignment horizontal="left"/>
    </xf>
    <xf numFmtId="176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176" fontId="2" fillId="0" borderId="29" xfId="1" applyNumberFormat="1" applyFont="1" applyBorder="1"/>
    <xf numFmtId="2" fontId="2" fillId="0" borderId="19" xfId="1" applyNumberFormat="1" applyFont="1" applyBorder="1"/>
    <xf numFmtId="2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19" xfId="1" applyNumberFormat="1" applyFont="1" applyBorder="1"/>
    <xf numFmtId="3" fontId="2" fillId="0" borderId="30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19" xfId="1" applyNumberFormat="1" applyFont="1" applyBorder="1"/>
    <xf numFmtId="49" fontId="2" fillId="0" borderId="30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40" xfId="1" applyNumberFormat="1" applyFont="1" applyBorder="1" applyAlignment="1">
      <alignment horizontal="center"/>
    </xf>
    <xf numFmtId="0" fontId="2" fillId="0" borderId="40" xfId="1" applyFont="1" applyBorder="1" applyAlignment="1">
      <alignment horizontal="center"/>
    </xf>
    <xf numFmtId="49" fontId="2" fillId="0" borderId="41" xfId="1" applyNumberFormat="1" applyFont="1" applyBorder="1" applyAlignment="1">
      <alignment horizontal="right"/>
    </xf>
    <xf numFmtId="0" fontId="2" fillId="0" borderId="41" xfId="1" applyFont="1" applyBorder="1" applyAlignment="1">
      <alignment horizontal="right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176" fontId="2" fillId="0" borderId="44" xfId="1" applyNumberFormat="1" applyFont="1" applyBorder="1"/>
    <xf numFmtId="2" fontId="2" fillId="0" borderId="39" xfId="1" applyNumberFormat="1" applyFont="1" applyBorder="1"/>
    <xf numFmtId="3" fontId="2" fillId="0" borderId="45" xfId="1" applyNumberFormat="1" applyFont="1" applyBorder="1"/>
    <xf numFmtId="3" fontId="2" fillId="0" borderId="43" xfId="1" applyNumberFormat="1" applyFont="1" applyBorder="1"/>
    <xf numFmtId="3" fontId="2" fillId="0" borderId="46" xfId="1" applyNumberFormat="1" applyFont="1" applyBorder="1"/>
    <xf numFmtId="3" fontId="2" fillId="0" borderId="39" xfId="1" applyNumberFormat="1" applyFont="1" applyBorder="1"/>
    <xf numFmtId="3" fontId="2" fillId="0" borderId="47" xfId="1" applyNumberFormat="1" applyFont="1" applyBorder="1"/>
    <xf numFmtId="49" fontId="2" fillId="0" borderId="39" xfId="1" applyNumberFormat="1" applyFont="1" applyBorder="1"/>
    <xf numFmtId="3" fontId="2" fillId="0" borderId="48" xfId="1" applyNumberFormat="1" applyFont="1" applyBorder="1"/>
    <xf numFmtId="49" fontId="2" fillId="0" borderId="49" xfId="1" applyNumberFormat="1" applyFont="1" applyBorder="1" applyAlignment="1">
      <alignment horizontal="center"/>
    </xf>
    <xf numFmtId="2" fontId="2" fillId="0" borderId="50" xfId="1" applyNumberFormat="1" applyFont="1" applyBorder="1"/>
    <xf numFmtId="2" fontId="2" fillId="0" borderId="51" xfId="1" applyNumberFormat="1" applyFont="1" applyBorder="1"/>
    <xf numFmtId="176" fontId="2" fillId="0" borderId="51" xfId="1" applyNumberFormat="1" applyFont="1" applyBorder="1"/>
    <xf numFmtId="176" fontId="2" fillId="0" borderId="52" xfId="1" applyNumberFormat="1" applyFont="1" applyBorder="1"/>
    <xf numFmtId="2" fontId="2" fillId="0" borderId="53" xfId="1" applyNumberFormat="1" applyFont="1" applyBorder="1"/>
    <xf numFmtId="3" fontId="2" fillId="0" borderId="54" xfId="1" applyNumberFormat="1" applyFont="1" applyBorder="1"/>
    <xf numFmtId="3" fontId="2" fillId="0" borderId="51" xfId="1" applyNumberFormat="1" applyFont="1" applyBorder="1"/>
    <xf numFmtId="3" fontId="2" fillId="0" borderId="55" xfId="1" applyNumberFormat="1" applyFont="1" applyBorder="1"/>
    <xf numFmtId="3" fontId="2" fillId="0" borderId="53" xfId="1" applyNumberFormat="1" applyFont="1" applyBorder="1"/>
    <xf numFmtId="3" fontId="2" fillId="0" borderId="56" xfId="1" applyNumberFormat="1" applyFont="1" applyBorder="1"/>
    <xf numFmtId="49" fontId="2" fillId="0" borderId="53" xfId="1" applyNumberFormat="1" applyFont="1" applyBorder="1"/>
    <xf numFmtId="3" fontId="2" fillId="0" borderId="57" xfId="1" applyNumberFormat="1" applyFont="1" applyBorder="1"/>
    <xf numFmtId="0" fontId="2" fillId="0" borderId="58" xfId="1" applyFont="1" applyBorder="1" applyAlignment="1">
      <alignment horizontal="center"/>
    </xf>
  </cellXfs>
  <cellStyles count="2">
    <cellStyle name="標準" xfId="0" builtinId="0"/>
    <cellStyle name="標準 2" xfId="1" xr:uid="{073DF7A7-8C93-4386-B721-1DD75B7936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C763-8E0E-4110-9071-237F701F465D}">
  <sheetPr>
    <pageSetUpPr fitToPage="1"/>
  </sheetPr>
  <dimension ref="A1:I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A3" sqref="A3"/>
    </sheetView>
  </sheetViews>
  <sheetFormatPr defaultRowHeight="18.75"/>
  <cols>
    <col min="1" max="1" width="2.375" style="2" customWidth="1"/>
    <col min="2" max="2" width="13.25" style="2" bestFit="1" customWidth="1"/>
    <col min="3" max="9" width="11.875" style="2" customWidth="1"/>
    <col min="10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/>
    <col min="263" max="263" width="9.625" style="2" bestFit="1" customWidth="1"/>
    <col min="264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/>
    <col min="519" max="519" width="9.625" style="2" bestFit="1" customWidth="1"/>
    <col min="520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/>
    <col min="775" max="775" width="9.625" style="2" bestFit="1" customWidth="1"/>
    <col min="776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/>
    <col min="1031" max="1031" width="9.625" style="2" bestFit="1" customWidth="1"/>
    <col min="1032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/>
    <col min="1287" max="1287" width="9.625" style="2" bestFit="1" customWidth="1"/>
    <col min="1288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/>
    <col min="1543" max="1543" width="9.625" style="2" bestFit="1" customWidth="1"/>
    <col min="1544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/>
    <col min="1799" max="1799" width="9.625" style="2" bestFit="1" customWidth="1"/>
    <col min="1800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/>
    <col min="2055" max="2055" width="9.625" style="2" bestFit="1" customWidth="1"/>
    <col min="2056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/>
    <col min="2311" max="2311" width="9.625" style="2" bestFit="1" customWidth="1"/>
    <col min="2312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/>
    <col min="2567" max="2567" width="9.625" style="2" bestFit="1" customWidth="1"/>
    <col min="2568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/>
    <col min="2823" max="2823" width="9.625" style="2" bestFit="1" customWidth="1"/>
    <col min="2824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/>
    <col min="3079" max="3079" width="9.625" style="2" bestFit="1" customWidth="1"/>
    <col min="3080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/>
    <col min="3335" max="3335" width="9.625" style="2" bestFit="1" customWidth="1"/>
    <col min="3336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/>
    <col min="3591" max="3591" width="9.625" style="2" bestFit="1" customWidth="1"/>
    <col min="3592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/>
    <col min="3847" max="3847" width="9.625" style="2" bestFit="1" customWidth="1"/>
    <col min="3848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/>
    <col min="4103" max="4103" width="9.625" style="2" bestFit="1" customWidth="1"/>
    <col min="4104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/>
    <col min="4359" max="4359" width="9.625" style="2" bestFit="1" customWidth="1"/>
    <col min="4360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/>
    <col min="4615" max="4615" width="9.625" style="2" bestFit="1" customWidth="1"/>
    <col min="4616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/>
    <col min="4871" max="4871" width="9.625" style="2" bestFit="1" customWidth="1"/>
    <col min="4872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/>
    <col min="5127" max="5127" width="9.625" style="2" bestFit="1" customWidth="1"/>
    <col min="5128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/>
    <col min="5383" max="5383" width="9.625" style="2" bestFit="1" customWidth="1"/>
    <col min="5384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/>
    <col min="5639" max="5639" width="9.625" style="2" bestFit="1" customWidth="1"/>
    <col min="5640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/>
    <col min="5895" max="5895" width="9.625" style="2" bestFit="1" customWidth="1"/>
    <col min="5896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/>
    <col min="6151" max="6151" width="9.625" style="2" bestFit="1" customWidth="1"/>
    <col min="6152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/>
    <col min="6407" max="6407" width="9.625" style="2" bestFit="1" customWidth="1"/>
    <col min="6408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/>
    <col min="6663" max="6663" width="9.625" style="2" bestFit="1" customWidth="1"/>
    <col min="6664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/>
    <col min="6919" max="6919" width="9.625" style="2" bestFit="1" customWidth="1"/>
    <col min="6920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/>
    <col min="7175" max="7175" width="9.625" style="2" bestFit="1" customWidth="1"/>
    <col min="7176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/>
    <col min="7431" max="7431" width="9.625" style="2" bestFit="1" customWidth="1"/>
    <col min="7432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/>
    <col min="7687" max="7687" width="9.625" style="2" bestFit="1" customWidth="1"/>
    <col min="7688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/>
    <col min="7943" max="7943" width="9.625" style="2" bestFit="1" customWidth="1"/>
    <col min="7944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/>
    <col min="8199" max="8199" width="9.625" style="2" bestFit="1" customWidth="1"/>
    <col min="8200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/>
    <col min="8455" max="8455" width="9.625" style="2" bestFit="1" customWidth="1"/>
    <col min="8456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/>
    <col min="8711" max="8711" width="9.625" style="2" bestFit="1" customWidth="1"/>
    <col min="8712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/>
    <col min="8967" max="8967" width="9.625" style="2" bestFit="1" customWidth="1"/>
    <col min="8968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/>
    <col min="9223" max="9223" width="9.625" style="2" bestFit="1" customWidth="1"/>
    <col min="9224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/>
    <col min="9479" max="9479" width="9.625" style="2" bestFit="1" customWidth="1"/>
    <col min="9480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/>
    <col min="9735" max="9735" width="9.625" style="2" bestFit="1" customWidth="1"/>
    <col min="9736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/>
    <col min="9991" max="9991" width="9.625" style="2" bestFit="1" customWidth="1"/>
    <col min="9992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/>
    <col min="10247" max="10247" width="9.625" style="2" bestFit="1" customWidth="1"/>
    <col min="10248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/>
    <col min="10503" max="10503" width="9.625" style="2" bestFit="1" customWidth="1"/>
    <col min="10504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/>
    <col min="10759" max="10759" width="9.625" style="2" bestFit="1" customWidth="1"/>
    <col min="10760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/>
    <col min="11015" max="11015" width="9.625" style="2" bestFit="1" customWidth="1"/>
    <col min="11016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/>
    <col min="11271" max="11271" width="9.625" style="2" bestFit="1" customWidth="1"/>
    <col min="11272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/>
    <col min="11527" max="11527" width="9.625" style="2" bestFit="1" customWidth="1"/>
    <col min="11528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/>
    <col min="11783" max="11783" width="9.625" style="2" bestFit="1" customWidth="1"/>
    <col min="11784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/>
    <col min="12039" max="12039" width="9.625" style="2" bestFit="1" customWidth="1"/>
    <col min="12040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/>
    <col min="12295" max="12295" width="9.625" style="2" bestFit="1" customWidth="1"/>
    <col min="12296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/>
    <col min="12551" max="12551" width="9.625" style="2" bestFit="1" customWidth="1"/>
    <col min="12552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/>
    <col min="12807" max="12807" width="9.625" style="2" bestFit="1" customWidth="1"/>
    <col min="12808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/>
    <col min="13063" max="13063" width="9.625" style="2" bestFit="1" customWidth="1"/>
    <col min="13064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/>
    <col min="13319" max="13319" width="9.625" style="2" bestFit="1" customWidth="1"/>
    <col min="13320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/>
    <col min="13575" max="13575" width="9.625" style="2" bestFit="1" customWidth="1"/>
    <col min="13576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/>
    <col min="13831" max="13831" width="9.625" style="2" bestFit="1" customWidth="1"/>
    <col min="13832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/>
    <col min="14087" max="14087" width="9.625" style="2" bestFit="1" customWidth="1"/>
    <col min="14088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/>
    <col min="14343" max="14343" width="9.625" style="2" bestFit="1" customWidth="1"/>
    <col min="14344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/>
    <col min="14599" max="14599" width="9.625" style="2" bestFit="1" customWidth="1"/>
    <col min="14600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/>
    <col min="14855" max="14855" width="9.625" style="2" bestFit="1" customWidth="1"/>
    <col min="14856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/>
    <col min="15111" max="15111" width="9.625" style="2" bestFit="1" customWidth="1"/>
    <col min="15112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/>
    <col min="15367" max="15367" width="9.625" style="2" bestFit="1" customWidth="1"/>
    <col min="15368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/>
    <col min="15623" max="15623" width="9.625" style="2" bestFit="1" customWidth="1"/>
    <col min="15624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/>
    <col min="15879" max="15879" width="9.625" style="2" bestFit="1" customWidth="1"/>
    <col min="15880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/>
    <col min="16135" max="16135" width="9.625" style="2" bestFit="1" customWidth="1"/>
    <col min="16136" max="16384" width="9" style="2"/>
  </cols>
  <sheetData>
    <row r="1" spans="1:9">
      <c r="A1" s="1" t="s">
        <v>0</v>
      </c>
    </row>
    <row r="2" spans="1:9">
      <c r="A2" s="1" t="s">
        <v>52</v>
      </c>
    </row>
    <row r="3" spans="1:9">
      <c r="B3" s="83"/>
      <c r="C3" s="4" t="s">
        <v>4</v>
      </c>
      <c r="D3" s="54" t="s">
        <v>48</v>
      </c>
      <c r="E3" s="26" t="s">
        <v>2</v>
      </c>
      <c r="F3" s="27" t="s">
        <v>3</v>
      </c>
      <c r="G3" s="4" t="s">
        <v>5</v>
      </c>
      <c r="H3" s="54" t="s">
        <v>48</v>
      </c>
      <c r="I3" s="55" t="s">
        <v>11</v>
      </c>
    </row>
    <row r="4" spans="1:9" ht="19.5" thickBot="1">
      <c r="B4" s="5" t="s">
        <v>6</v>
      </c>
      <c r="C4" s="70" t="s">
        <v>9</v>
      </c>
      <c r="D4" s="56" t="s">
        <v>49</v>
      </c>
      <c r="E4" s="28" t="s">
        <v>7</v>
      </c>
      <c r="F4" s="29" t="s">
        <v>8</v>
      </c>
      <c r="G4" s="3" t="s">
        <v>10</v>
      </c>
      <c r="H4" s="56" t="s">
        <v>50</v>
      </c>
      <c r="I4" s="57" t="s">
        <v>51</v>
      </c>
    </row>
    <row r="5" spans="1:9">
      <c r="A5" s="1" t="s">
        <v>1</v>
      </c>
      <c r="B5" s="13" t="s">
        <v>12</v>
      </c>
      <c r="C5" s="71">
        <v>20</v>
      </c>
      <c r="D5" s="58">
        <f>SUM(C5)</f>
        <v>20</v>
      </c>
      <c r="E5" s="30">
        <v>20</v>
      </c>
      <c r="F5" s="31">
        <v>20</v>
      </c>
      <c r="G5" s="14">
        <v>18</v>
      </c>
      <c r="H5" s="58">
        <f>SUM(E5:G5)</f>
        <v>58</v>
      </c>
      <c r="I5" s="58">
        <f>SUM(H5,D5)</f>
        <v>78</v>
      </c>
    </row>
    <row r="6" spans="1:9">
      <c r="A6" s="1" t="s">
        <v>1</v>
      </c>
      <c r="B6" s="15" t="s">
        <v>13</v>
      </c>
      <c r="C6" s="72">
        <v>0</v>
      </c>
      <c r="D6" s="59">
        <f t="shared" ref="D6:D40" si="0">SUM(C6)</f>
        <v>0</v>
      </c>
      <c r="E6" s="32">
        <v>1</v>
      </c>
      <c r="F6" s="33">
        <v>1</v>
      </c>
      <c r="G6" s="16">
        <v>0</v>
      </c>
      <c r="H6" s="59">
        <f t="shared" ref="H6:H40" si="1">SUM(E6:G6)</f>
        <v>2</v>
      </c>
      <c r="I6" s="59">
        <f t="shared" ref="I6:I40" si="2">SUM(H6,D6)</f>
        <v>2</v>
      </c>
    </row>
    <row r="7" spans="1:9">
      <c r="A7" s="1" t="s">
        <v>1</v>
      </c>
      <c r="B7" s="15" t="s">
        <v>14</v>
      </c>
      <c r="C7" s="72">
        <v>0</v>
      </c>
      <c r="D7" s="59">
        <f t="shared" si="0"/>
        <v>0</v>
      </c>
      <c r="E7" s="32">
        <v>0</v>
      </c>
      <c r="F7" s="33">
        <v>0</v>
      </c>
      <c r="G7" s="16">
        <v>2</v>
      </c>
      <c r="H7" s="59">
        <f t="shared" si="1"/>
        <v>2</v>
      </c>
      <c r="I7" s="59">
        <f t="shared" si="2"/>
        <v>2</v>
      </c>
    </row>
    <row r="8" spans="1:9">
      <c r="A8" s="1" t="s">
        <v>1</v>
      </c>
      <c r="B8" s="15" t="s">
        <v>15</v>
      </c>
      <c r="C8" s="73">
        <v>0</v>
      </c>
      <c r="D8" s="60">
        <f t="shared" si="0"/>
        <v>0</v>
      </c>
      <c r="E8" s="34">
        <v>1.875</v>
      </c>
      <c r="F8" s="35">
        <v>2.2916666666666665</v>
      </c>
      <c r="G8" s="17">
        <v>1.625</v>
      </c>
      <c r="H8" s="60">
        <f t="shared" si="1"/>
        <v>5.7916666666666661</v>
      </c>
      <c r="I8" s="60">
        <f t="shared" si="2"/>
        <v>5.7916666666666661</v>
      </c>
    </row>
    <row r="9" spans="1:9">
      <c r="A9" s="1" t="s">
        <v>1</v>
      </c>
      <c r="B9" s="15" t="s">
        <v>16</v>
      </c>
      <c r="C9" s="73">
        <v>0</v>
      </c>
      <c r="D9" s="60">
        <f t="shared" si="0"/>
        <v>0</v>
      </c>
      <c r="E9" s="34">
        <v>0.20833333333333334</v>
      </c>
      <c r="F9" s="35">
        <v>0.25</v>
      </c>
      <c r="G9" s="17">
        <v>0</v>
      </c>
      <c r="H9" s="60">
        <f t="shared" si="1"/>
        <v>0.45833333333333337</v>
      </c>
      <c r="I9" s="60">
        <f t="shared" si="2"/>
        <v>0.45833333333333337</v>
      </c>
    </row>
    <row r="10" spans="1:9">
      <c r="A10" s="1" t="s">
        <v>1</v>
      </c>
      <c r="B10" s="22" t="s">
        <v>17</v>
      </c>
      <c r="C10" s="74">
        <v>0.25</v>
      </c>
      <c r="D10" s="61">
        <f t="shared" si="0"/>
        <v>0.25</v>
      </c>
      <c r="E10" s="36">
        <v>0.29166666666666669</v>
      </c>
      <c r="F10" s="37">
        <v>0.25</v>
      </c>
      <c r="G10" s="23">
        <v>0.16666666666666666</v>
      </c>
      <c r="H10" s="61">
        <f t="shared" si="1"/>
        <v>0.70833333333333337</v>
      </c>
      <c r="I10" s="61">
        <f t="shared" si="2"/>
        <v>0.95833333333333337</v>
      </c>
    </row>
    <row r="11" spans="1:9">
      <c r="A11" s="1" t="s">
        <v>1</v>
      </c>
      <c r="B11" s="10" t="s">
        <v>18</v>
      </c>
      <c r="C11" s="75">
        <v>29.5</v>
      </c>
      <c r="D11" s="62"/>
      <c r="E11" s="38">
        <v>22</v>
      </c>
      <c r="F11" s="39">
        <v>30</v>
      </c>
      <c r="G11" s="12">
        <v>2</v>
      </c>
      <c r="H11" s="62"/>
      <c r="I11" s="62"/>
    </row>
    <row r="12" spans="1:9">
      <c r="A12" s="1" t="s">
        <v>1</v>
      </c>
      <c r="B12" s="24" t="s">
        <v>19</v>
      </c>
      <c r="C12" s="76">
        <v>370000</v>
      </c>
      <c r="D12" s="63">
        <f t="shared" si="0"/>
        <v>370000</v>
      </c>
      <c r="E12" s="40">
        <v>187000</v>
      </c>
      <c r="F12" s="41">
        <v>192000</v>
      </c>
      <c r="G12" s="25">
        <v>192000</v>
      </c>
      <c r="H12" s="63">
        <f t="shared" si="1"/>
        <v>571000</v>
      </c>
      <c r="I12" s="63">
        <f t="shared" si="2"/>
        <v>941000</v>
      </c>
    </row>
    <row r="13" spans="1:9">
      <c r="A13" s="1" t="s">
        <v>1</v>
      </c>
      <c r="B13" s="15" t="s">
        <v>20</v>
      </c>
      <c r="C13" s="77">
        <v>0</v>
      </c>
      <c r="D13" s="64">
        <f t="shared" si="0"/>
        <v>0</v>
      </c>
      <c r="E13" s="42">
        <v>5000</v>
      </c>
      <c r="F13" s="43">
        <v>0</v>
      </c>
      <c r="G13" s="18">
        <v>0</v>
      </c>
      <c r="H13" s="64">
        <f t="shared" si="1"/>
        <v>5000</v>
      </c>
      <c r="I13" s="64">
        <f t="shared" si="2"/>
        <v>5000</v>
      </c>
    </row>
    <row r="14" spans="1:9">
      <c r="A14" s="1" t="s">
        <v>1</v>
      </c>
      <c r="B14" s="15" t="s">
        <v>21</v>
      </c>
      <c r="C14" s="77">
        <v>0</v>
      </c>
      <c r="D14" s="64">
        <f t="shared" si="0"/>
        <v>0</v>
      </c>
      <c r="E14" s="42">
        <v>3000</v>
      </c>
      <c r="F14" s="43">
        <v>3000</v>
      </c>
      <c r="G14" s="18">
        <v>15000</v>
      </c>
      <c r="H14" s="64">
        <f t="shared" si="1"/>
        <v>21000</v>
      </c>
      <c r="I14" s="64">
        <f t="shared" si="2"/>
        <v>21000</v>
      </c>
    </row>
    <row r="15" spans="1:9">
      <c r="A15" s="1" t="s">
        <v>1</v>
      </c>
      <c r="B15" s="15" t="s">
        <v>22</v>
      </c>
      <c r="C15" s="77">
        <v>50000</v>
      </c>
      <c r="D15" s="64">
        <f t="shared" si="0"/>
        <v>50000</v>
      </c>
      <c r="E15" s="42">
        <v>50000</v>
      </c>
      <c r="F15" s="43">
        <v>50000</v>
      </c>
      <c r="G15" s="18">
        <v>50000</v>
      </c>
      <c r="H15" s="64">
        <f t="shared" si="1"/>
        <v>150000</v>
      </c>
      <c r="I15" s="64">
        <f t="shared" si="2"/>
        <v>200000</v>
      </c>
    </row>
    <row r="16" spans="1:9">
      <c r="A16" s="1" t="s">
        <v>1</v>
      </c>
      <c r="B16" s="15" t="s">
        <v>23</v>
      </c>
      <c r="C16" s="77">
        <v>0</v>
      </c>
      <c r="D16" s="64">
        <f t="shared" si="0"/>
        <v>0</v>
      </c>
      <c r="E16" s="42">
        <v>0</v>
      </c>
      <c r="F16" s="43">
        <v>0</v>
      </c>
      <c r="G16" s="18">
        <v>61849</v>
      </c>
      <c r="H16" s="64">
        <f t="shared" si="1"/>
        <v>61849</v>
      </c>
      <c r="I16" s="64">
        <f t="shared" si="2"/>
        <v>61849</v>
      </c>
    </row>
    <row r="17" spans="1:9">
      <c r="A17" s="1" t="s">
        <v>1</v>
      </c>
      <c r="B17" s="15" t="s">
        <v>24</v>
      </c>
      <c r="C17" s="77">
        <v>0</v>
      </c>
      <c r="D17" s="64">
        <f t="shared" si="0"/>
        <v>0</v>
      </c>
      <c r="E17" s="42">
        <v>3500</v>
      </c>
      <c r="F17" s="43">
        <v>3500</v>
      </c>
      <c r="G17" s="18">
        <v>0</v>
      </c>
      <c r="H17" s="64">
        <f t="shared" si="1"/>
        <v>7000</v>
      </c>
      <c r="I17" s="64">
        <f t="shared" si="2"/>
        <v>7000</v>
      </c>
    </row>
    <row r="18" spans="1:9">
      <c r="A18" s="1" t="s">
        <v>1</v>
      </c>
      <c r="B18" s="15" t="s">
        <v>25</v>
      </c>
      <c r="C18" s="77">
        <v>0</v>
      </c>
      <c r="D18" s="64">
        <f t="shared" si="0"/>
        <v>0</v>
      </c>
      <c r="E18" s="42">
        <v>0</v>
      </c>
      <c r="F18" s="43">
        <v>13000</v>
      </c>
      <c r="G18" s="18">
        <v>13000</v>
      </c>
      <c r="H18" s="64">
        <f t="shared" si="1"/>
        <v>26000</v>
      </c>
      <c r="I18" s="64">
        <f t="shared" si="2"/>
        <v>26000</v>
      </c>
    </row>
    <row r="19" spans="1:9">
      <c r="A19" s="1" t="s">
        <v>1</v>
      </c>
      <c r="B19" s="15" t="s">
        <v>15</v>
      </c>
      <c r="C19" s="77">
        <v>0</v>
      </c>
      <c r="D19" s="64">
        <f t="shared" si="0"/>
        <v>0</v>
      </c>
      <c r="E19" s="42">
        <v>83700</v>
      </c>
      <c r="F19" s="43">
        <v>107690</v>
      </c>
      <c r="G19" s="18">
        <v>78819</v>
      </c>
      <c r="H19" s="64">
        <f t="shared" si="1"/>
        <v>270209</v>
      </c>
      <c r="I19" s="64">
        <f t="shared" si="2"/>
        <v>270209</v>
      </c>
    </row>
    <row r="20" spans="1:9">
      <c r="A20" s="1" t="s">
        <v>1</v>
      </c>
      <c r="B20" s="15" t="s">
        <v>26</v>
      </c>
      <c r="C20" s="77">
        <v>0</v>
      </c>
      <c r="D20" s="64">
        <f t="shared" si="0"/>
        <v>0</v>
      </c>
      <c r="E20" s="42">
        <v>10045</v>
      </c>
      <c r="F20" s="43">
        <v>12684</v>
      </c>
      <c r="G20" s="18">
        <v>0</v>
      </c>
      <c r="H20" s="64">
        <f t="shared" si="1"/>
        <v>22729</v>
      </c>
      <c r="I20" s="64">
        <f t="shared" si="2"/>
        <v>22729</v>
      </c>
    </row>
    <row r="21" spans="1:9">
      <c r="A21" s="1" t="s">
        <v>1</v>
      </c>
      <c r="B21" s="6" t="s">
        <v>17</v>
      </c>
      <c r="C21" s="78">
        <v>3774</v>
      </c>
      <c r="D21" s="65">
        <f t="shared" si="0"/>
        <v>3774</v>
      </c>
      <c r="E21" s="44">
        <v>2604</v>
      </c>
      <c r="F21" s="45">
        <v>2352</v>
      </c>
      <c r="G21" s="7">
        <v>1616</v>
      </c>
      <c r="H21" s="65">
        <f t="shared" si="1"/>
        <v>6572</v>
      </c>
      <c r="I21" s="65">
        <f t="shared" si="2"/>
        <v>10346</v>
      </c>
    </row>
    <row r="22" spans="1:9">
      <c r="A22" s="1" t="s">
        <v>1</v>
      </c>
      <c r="B22" s="10" t="s">
        <v>27</v>
      </c>
      <c r="C22" s="79">
        <v>423774</v>
      </c>
      <c r="D22" s="66">
        <f t="shared" si="0"/>
        <v>423774</v>
      </c>
      <c r="E22" s="46">
        <v>344849</v>
      </c>
      <c r="F22" s="47">
        <v>384226</v>
      </c>
      <c r="G22" s="11">
        <v>412284</v>
      </c>
      <c r="H22" s="66">
        <f t="shared" si="1"/>
        <v>1141359</v>
      </c>
      <c r="I22" s="66">
        <f t="shared" si="2"/>
        <v>1565133</v>
      </c>
    </row>
    <row r="23" spans="1:9">
      <c r="A23" s="1" t="s">
        <v>1</v>
      </c>
      <c r="B23" s="19" t="s">
        <v>28</v>
      </c>
      <c r="C23" s="80">
        <v>9904</v>
      </c>
      <c r="D23" s="67">
        <f t="shared" si="0"/>
        <v>9904</v>
      </c>
      <c r="E23" s="48">
        <v>0</v>
      </c>
      <c r="F23" s="49">
        <v>1564</v>
      </c>
      <c r="G23" s="20">
        <v>7506</v>
      </c>
      <c r="H23" s="67">
        <f t="shared" si="1"/>
        <v>9070</v>
      </c>
      <c r="I23" s="67">
        <f t="shared" si="2"/>
        <v>18974</v>
      </c>
    </row>
    <row r="24" spans="1:9">
      <c r="A24" s="1" t="s">
        <v>1</v>
      </c>
      <c r="B24" s="6" t="s">
        <v>29</v>
      </c>
      <c r="C24" s="78">
        <v>9904</v>
      </c>
      <c r="D24" s="65">
        <f t="shared" si="0"/>
        <v>9904</v>
      </c>
      <c r="E24" s="44">
        <v>0</v>
      </c>
      <c r="F24" s="45">
        <v>1564</v>
      </c>
      <c r="G24" s="7">
        <v>7506</v>
      </c>
      <c r="H24" s="65">
        <f t="shared" si="1"/>
        <v>9070</v>
      </c>
      <c r="I24" s="65">
        <f t="shared" si="2"/>
        <v>18974</v>
      </c>
    </row>
    <row r="25" spans="1:9">
      <c r="A25" s="1" t="s">
        <v>1</v>
      </c>
      <c r="B25" s="10" t="s">
        <v>30</v>
      </c>
      <c r="C25" s="79">
        <v>433678</v>
      </c>
      <c r="D25" s="66">
        <f t="shared" si="0"/>
        <v>433678</v>
      </c>
      <c r="E25" s="46">
        <v>344849</v>
      </c>
      <c r="F25" s="47">
        <v>385790</v>
      </c>
      <c r="G25" s="11">
        <v>419790</v>
      </c>
      <c r="H25" s="66">
        <f t="shared" si="1"/>
        <v>1150429</v>
      </c>
      <c r="I25" s="66">
        <f t="shared" si="2"/>
        <v>1584107</v>
      </c>
    </row>
    <row r="26" spans="1:9">
      <c r="A26" s="1" t="s">
        <v>1</v>
      </c>
      <c r="B26" s="19" t="s">
        <v>31</v>
      </c>
      <c r="C26" s="80">
        <v>22440</v>
      </c>
      <c r="D26" s="67">
        <f t="shared" si="0"/>
        <v>22440</v>
      </c>
      <c r="E26" s="48">
        <v>16320</v>
      </c>
      <c r="F26" s="49">
        <v>18360</v>
      </c>
      <c r="G26" s="20">
        <v>20910</v>
      </c>
      <c r="H26" s="67">
        <f t="shared" si="1"/>
        <v>55590</v>
      </c>
      <c r="I26" s="67">
        <f t="shared" si="2"/>
        <v>78030</v>
      </c>
    </row>
    <row r="27" spans="1:9">
      <c r="A27" s="1" t="s">
        <v>1</v>
      </c>
      <c r="B27" s="15" t="s">
        <v>32</v>
      </c>
      <c r="C27" s="77">
        <v>3960</v>
      </c>
      <c r="D27" s="64">
        <f t="shared" si="0"/>
        <v>3960</v>
      </c>
      <c r="E27" s="42">
        <v>0</v>
      </c>
      <c r="F27" s="43">
        <v>3240</v>
      </c>
      <c r="G27" s="18">
        <v>3690</v>
      </c>
      <c r="H27" s="64">
        <f t="shared" si="1"/>
        <v>6930</v>
      </c>
      <c r="I27" s="64">
        <f t="shared" si="2"/>
        <v>10890</v>
      </c>
    </row>
    <row r="28" spans="1:9">
      <c r="A28" s="1" t="s">
        <v>1</v>
      </c>
      <c r="B28" s="15" t="s">
        <v>33</v>
      </c>
      <c r="C28" s="77">
        <v>40260</v>
      </c>
      <c r="D28" s="64">
        <f t="shared" si="0"/>
        <v>40260</v>
      </c>
      <c r="E28" s="42">
        <v>29280</v>
      </c>
      <c r="F28" s="43">
        <v>32940</v>
      </c>
      <c r="G28" s="18">
        <v>37515</v>
      </c>
      <c r="H28" s="64">
        <f t="shared" si="1"/>
        <v>99735</v>
      </c>
      <c r="I28" s="64">
        <f t="shared" si="2"/>
        <v>139995</v>
      </c>
    </row>
    <row r="29" spans="1:9">
      <c r="A29" s="1" t="s">
        <v>1</v>
      </c>
      <c r="B29" s="6" t="s">
        <v>34</v>
      </c>
      <c r="C29" s="78">
        <v>2602</v>
      </c>
      <c r="D29" s="65">
        <f t="shared" si="0"/>
        <v>2602</v>
      </c>
      <c r="E29" s="44">
        <v>2069</v>
      </c>
      <c r="F29" s="45">
        <v>2315</v>
      </c>
      <c r="G29" s="7">
        <v>2519</v>
      </c>
      <c r="H29" s="65">
        <f t="shared" si="1"/>
        <v>6903</v>
      </c>
      <c r="I29" s="65">
        <f t="shared" si="2"/>
        <v>9505</v>
      </c>
    </row>
    <row r="30" spans="1:9">
      <c r="A30" s="1" t="s">
        <v>1</v>
      </c>
      <c r="B30" s="10" t="s">
        <v>35</v>
      </c>
      <c r="C30" s="79">
        <v>69262</v>
      </c>
      <c r="D30" s="66">
        <f t="shared" si="0"/>
        <v>69262</v>
      </c>
      <c r="E30" s="46">
        <v>47669</v>
      </c>
      <c r="F30" s="47">
        <v>56855</v>
      </c>
      <c r="G30" s="11">
        <v>64634</v>
      </c>
      <c r="H30" s="66">
        <f t="shared" si="1"/>
        <v>169158</v>
      </c>
      <c r="I30" s="66">
        <f t="shared" si="2"/>
        <v>238420</v>
      </c>
    </row>
    <row r="31" spans="1:9">
      <c r="A31" s="1" t="s">
        <v>1</v>
      </c>
      <c r="B31" s="19" t="s">
        <v>36</v>
      </c>
      <c r="C31" s="80">
        <v>9600</v>
      </c>
      <c r="D31" s="67">
        <f t="shared" si="0"/>
        <v>9600</v>
      </c>
      <c r="E31" s="48">
        <v>6620</v>
      </c>
      <c r="F31" s="49">
        <v>10620</v>
      </c>
      <c r="G31" s="20">
        <v>12270</v>
      </c>
      <c r="H31" s="67">
        <f t="shared" si="1"/>
        <v>29510</v>
      </c>
      <c r="I31" s="67">
        <f t="shared" si="2"/>
        <v>39110</v>
      </c>
    </row>
    <row r="32" spans="1:9">
      <c r="A32" s="1" t="s">
        <v>1</v>
      </c>
      <c r="B32" s="15" t="s">
        <v>37</v>
      </c>
      <c r="C32" s="77">
        <v>20300</v>
      </c>
      <c r="D32" s="64">
        <f t="shared" si="0"/>
        <v>20300</v>
      </c>
      <c r="E32" s="42">
        <v>15900</v>
      </c>
      <c r="F32" s="43">
        <v>20500</v>
      </c>
      <c r="G32" s="18">
        <v>16600</v>
      </c>
      <c r="H32" s="64">
        <f t="shared" si="1"/>
        <v>53000</v>
      </c>
      <c r="I32" s="64">
        <f t="shared" si="2"/>
        <v>73300</v>
      </c>
    </row>
    <row r="33" spans="1:9">
      <c r="A33" s="1" t="s">
        <v>1</v>
      </c>
      <c r="B33" s="6" t="s">
        <v>38</v>
      </c>
      <c r="C33" s="78">
        <v>0</v>
      </c>
      <c r="D33" s="65">
        <f t="shared" si="0"/>
        <v>0</v>
      </c>
      <c r="E33" s="44">
        <v>0</v>
      </c>
      <c r="F33" s="45">
        <v>0</v>
      </c>
      <c r="G33" s="7">
        <v>300</v>
      </c>
      <c r="H33" s="65">
        <f t="shared" si="1"/>
        <v>300</v>
      </c>
      <c r="I33" s="65">
        <f t="shared" si="2"/>
        <v>300</v>
      </c>
    </row>
    <row r="34" spans="1:9">
      <c r="A34" s="1" t="s">
        <v>1</v>
      </c>
      <c r="B34" s="10" t="s">
        <v>39</v>
      </c>
      <c r="C34" s="79">
        <v>99162</v>
      </c>
      <c r="D34" s="66">
        <f t="shared" si="0"/>
        <v>99162</v>
      </c>
      <c r="E34" s="46">
        <v>70189</v>
      </c>
      <c r="F34" s="47">
        <v>87975</v>
      </c>
      <c r="G34" s="11">
        <v>93804</v>
      </c>
      <c r="H34" s="66">
        <f t="shared" si="1"/>
        <v>251968</v>
      </c>
      <c r="I34" s="66">
        <f t="shared" si="2"/>
        <v>351130</v>
      </c>
    </row>
    <row r="35" spans="1:9">
      <c r="A35" s="1" t="s">
        <v>1</v>
      </c>
      <c r="B35" s="10" t="s">
        <v>40</v>
      </c>
      <c r="C35" s="79">
        <v>354512</v>
      </c>
      <c r="D35" s="66">
        <f t="shared" si="0"/>
        <v>354512</v>
      </c>
      <c r="E35" s="46">
        <v>297180</v>
      </c>
      <c r="F35" s="47">
        <v>327371</v>
      </c>
      <c r="G35" s="11">
        <v>347650</v>
      </c>
      <c r="H35" s="66">
        <f t="shared" si="1"/>
        <v>972201</v>
      </c>
      <c r="I35" s="66">
        <f t="shared" si="2"/>
        <v>1326713</v>
      </c>
    </row>
    <row r="36" spans="1:9">
      <c r="A36" s="1" t="s">
        <v>1</v>
      </c>
      <c r="B36" s="10" t="s">
        <v>41</v>
      </c>
      <c r="C36" s="79">
        <v>334516</v>
      </c>
      <c r="D36" s="66">
        <f t="shared" si="0"/>
        <v>334516</v>
      </c>
      <c r="E36" s="46">
        <v>274660</v>
      </c>
      <c r="F36" s="47">
        <v>297815</v>
      </c>
      <c r="G36" s="11">
        <v>325986</v>
      </c>
      <c r="H36" s="66">
        <f t="shared" si="1"/>
        <v>898461</v>
      </c>
      <c r="I36" s="66">
        <f t="shared" si="2"/>
        <v>1232977</v>
      </c>
    </row>
    <row r="37" spans="1:9">
      <c r="A37" s="1" t="s">
        <v>1</v>
      </c>
      <c r="B37" s="10" t="s">
        <v>42</v>
      </c>
      <c r="C37" s="79">
        <v>334516</v>
      </c>
      <c r="D37" s="66">
        <f t="shared" si="0"/>
        <v>334516</v>
      </c>
      <c r="E37" s="46">
        <v>274660</v>
      </c>
      <c r="F37" s="47">
        <v>297815</v>
      </c>
      <c r="G37" s="11">
        <v>325986</v>
      </c>
      <c r="H37" s="66">
        <f t="shared" si="1"/>
        <v>898461</v>
      </c>
      <c r="I37" s="66">
        <f t="shared" si="2"/>
        <v>1232977</v>
      </c>
    </row>
    <row r="38" spans="1:9">
      <c r="A38" s="1" t="s">
        <v>1</v>
      </c>
      <c r="B38" s="10" t="s">
        <v>43</v>
      </c>
      <c r="C38" s="79">
        <v>1</v>
      </c>
      <c r="D38" s="66"/>
      <c r="E38" s="46">
        <v>1</v>
      </c>
      <c r="F38" s="47">
        <v>0</v>
      </c>
      <c r="G38" s="11">
        <v>0</v>
      </c>
      <c r="H38" s="66"/>
      <c r="I38" s="66"/>
    </row>
    <row r="39" spans="1:9">
      <c r="A39" s="1" t="s">
        <v>1</v>
      </c>
      <c r="B39" s="10" t="s">
        <v>44</v>
      </c>
      <c r="C39" s="81" t="s">
        <v>45</v>
      </c>
      <c r="D39" s="68"/>
      <c r="E39" s="50" t="s">
        <v>45</v>
      </c>
      <c r="F39" s="51" t="s">
        <v>45</v>
      </c>
      <c r="G39" s="21" t="s">
        <v>45</v>
      </c>
      <c r="H39" s="68"/>
      <c r="I39" s="68"/>
    </row>
    <row r="40" spans="1:9">
      <c r="A40" s="1" t="s">
        <v>1</v>
      </c>
      <c r="B40" s="10" t="s">
        <v>46</v>
      </c>
      <c r="C40" s="79">
        <v>9600</v>
      </c>
      <c r="D40" s="66">
        <f t="shared" si="0"/>
        <v>9600</v>
      </c>
      <c r="E40" s="46">
        <v>6620</v>
      </c>
      <c r="F40" s="47">
        <v>10620</v>
      </c>
      <c r="G40" s="11">
        <v>12270</v>
      </c>
      <c r="H40" s="66">
        <f t="shared" si="1"/>
        <v>29510</v>
      </c>
      <c r="I40" s="66">
        <f t="shared" si="2"/>
        <v>39110</v>
      </c>
    </row>
    <row r="41" spans="1:9">
      <c r="A41" s="1" t="s">
        <v>1</v>
      </c>
      <c r="B41" s="8" t="s">
        <v>47</v>
      </c>
      <c r="C41" s="82">
        <v>60000</v>
      </c>
      <c r="D41" s="69"/>
      <c r="E41" s="52">
        <v>30000</v>
      </c>
      <c r="F41" s="53">
        <v>30000</v>
      </c>
      <c r="G41" s="9">
        <v>30000</v>
      </c>
      <c r="H41" s="69"/>
      <c r="I41" s="69"/>
    </row>
  </sheetData>
  <phoneticPr fontId="4"/>
  <pageMargins left="0.11811023622047245" right="0.11811023622047245" top="0.15748031496062992" bottom="0.15748031496062992" header="0.11811023622047245" footer="0.11811023622047245"/>
  <pageSetup paperSize="12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2024年11月度給与 (2)</vt:lpstr>
      <vt:lpstr>'2024年11月度給与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2024-12-07T02:56:53Z</cp:lastPrinted>
  <dcterms:created xsi:type="dcterms:W3CDTF">2024-12-05T07:18:36Z</dcterms:created>
  <dcterms:modified xsi:type="dcterms:W3CDTF">2024-12-07T02:57:10Z</dcterms:modified>
</cp:coreProperties>
</file>