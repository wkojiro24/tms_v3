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1\"/>
    </mc:Choice>
  </mc:AlternateContent>
  <xr:revisionPtr revIDLastSave="0" documentId="13_ncr:1_{BB8EB008-BA35-4772-8066-A3DED4CDD068}" xr6:coauthVersionLast="47" xr6:coauthVersionMax="47" xr10:uidLastSave="{00000000-0000-0000-0000-000000000000}"/>
  <bookViews>
    <workbookView xWindow="-120" yWindow="-120" windowWidth="20730" windowHeight="11040" xr2:uid="{E57883D3-E42A-4A15-AE35-E3F470E474B6}"/>
  </bookViews>
  <sheets>
    <sheet name="2024年11月度給与 (2)" sheetId="3" r:id="rId1"/>
  </sheets>
  <definedNames>
    <definedName name="_xlnm.Print_Area" localSheetId="0">'2024年11月度給与 (2)'!$B$1:$M$38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3" l="1"/>
  <c r="M25" i="3"/>
  <c r="M26" i="3"/>
  <c r="M27" i="3"/>
  <c r="M28" i="3"/>
  <c r="M35" i="3"/>
  <c r="M5" i="3"/>
  <c r="L6" i="3"/>
  <c r="M6" i="3" s="1"/>
  <c r="L7" i="3"/>
  <c r="M7" i="3" s="1"/>
  <c r="L8" i="3"/>
  <c r="M8" i="3" s="1"/>
  <c r="L9" i="3"/>
  <c r="M9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L22" i="3"/>
  <c r="M22" i="3" s="1"/>
  <c r="L23" i="3"/>
  <c r="L24" i="3"/>
  <c r="L25" i="3"/>
  <c r="L26" i="3"/>
  <c r="L27" i="3"/>
  <c r="L28" i="3"/>
  <c r="L29" i="3"/>
  <c r="M29" i="3" s="1"/>
  <c r="L30" i="3"/>
  <c r="M30" i="3" s="1"/>
  <c r="L31" i="3"/>
  <c r="M31" i="3" s="1"/>
  <c r="L32" i="3"/>
  <c r="M32" i="3" s="1"/>
  <c r="L33" i="3"/>
  <c r="L34" i="3"/>
  <c r="L35" i="3"/>
  <c r="L36" i="3"/>
  <c r="L37" i="3"/>
  <c r="L5" i="3"/>
  <c r="H6" i="3"/>
  <c r="H7" i="3"/>
  <c r="H8" i="3"/>
  <c r="H9" i="3"/>
  <c r="H11" i="3"/>
  <c r="H12" i="3"/>
  <c r="H13" i="3"/>
  <c r="H14" i="3"/>
  <c r="H15" i="3"/>
  <c r="H16" i="3"/>
  <c r="H17" i="3"/>
  <c r="H18" i="3"/>
  <c r="H19" i="3"/>
  <c r="H20" i="3"/>
  <c r="H21" i="3"/>
  <c r="M21" i="3" s="1"/>
  <c r="H22" i="3"/>
  <c r="H23" i="3"/>
  <c r="M23" i="3" s="1"/>
  <c r="H24" i="3"/>
  <c r="M24" i="3" s="1"/>
  <c r="H25" i="3"/>
  <c r="H26" i="3"/>
  <c r="H27" i="3"/>
  <c r="H28" i="3"/>
  <c r="H29" i="3"/>
  <c r="H30" i="3"/>
  <c r="H31" i="3"/>
  <c r="H32" i="3"/>
  <c r="H33" i="3"/>
  <c r="M33" i="3" s="1"/>
  <c r="H34" i="3"/>
  <c r="M34" i="3" s="1"/>
  <c r="H36" i="3"/>
  <c r="M36" i="3" s="1"/>
  <c r="H37" i="3"/>
  <c r="M37" i="3" s="1"/>
  <c r="H5" i="3"/>
</calcChain>
</file>

<file path=xl/sharedStrings.xml><?xml version="1.0" encoding="utf-8"?>
<sst xmlns="http://schemas.openxmlformats.org/spreadsheetml/2006/main" count="101" uniqueCount="60">
  <si>
    <t>支給控除一覧表</t>
    <phoneticPr fontId="4"/>
  </si>
  <si>
    <t>2024年11月度給与</t>
    <phoneticPr fontId="4"/>
  </si>
  <si>
    <t>1010</t>
    <phoneticPr fontId="4"/>
  </si>
  <si>
    <t>1019</t>
    <phoneticPr fontId="4"/>
  </si>
  <si>
    <t>1024</t>
    <phoneticPr fontId="4"/>
  </si>
  <si>
    <t>1111</t>
    <phoneticPr fontId="4"/>
  </si>
  <si>
    <t>1200</t>
    <phoneticPr fontId="4"/>
  </si>
  <si>
    <t>小計</t>
    <rPh sb="0" eb="2">
      <t>ショウケイ</t>
    </rPh>
    <phoneticPr fontId="3"/>
  </si>
  <si>
    <t>1020</t>
    <phoneticPr fontId="4"/>
  </si>
  <si>
    <t>1041</t>
    <phoneticPr fontId="4"/>
  </si>
  <si>
    <t>1036</t>
    <phoneticPr fontId="4"/>
  </si>
  <si>
    <t>合計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</si>
  <si>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</si>
  <si>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</si>
  <si>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</si>
  <si>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</si>
  <si>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</si>
  <si>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若林作太郎</t>
    <phoneticPr fontId="4"/>
  </si>
  <si>
    <t>5名</t>
    <rPh sb="1" eb="2">
      <t>メイ</t>
    </rPh>
    <phoneticPr fontId="3"/>
  </si>
  <si>
    <t>深沢　道夫</t>
    <phoneticPr fontId="4"/>
  </si>
  <si>
    <t>浅田　恵美子</t>
    <phoneticPr fontId="4"/>
  </si>
  <si>
    <t>渋谷　晶子</t>
    <phoneticPr fontId="4"/>
  </si>
  <si>
    <t>3名</t>
    <rPh sb="1" eb="2">
      <t>メイ</t>
    </rPh>
    <phoneticPr fontId="3"/>
  </si>
  <si>
    <t>8名</t>
    <rPh sb="1" eb="2">
      <t>メイ</t>
    </rPh>
    <phoneticPr fontId="4"/>
  </si>
  <si>
    <t/>
  </si>
  <si>
    <t>平日出勤日数</t>
    <phoneticPr fontId="4"/>
  </si>
  <si>
    <t>有休日数</t>
    <phoneticPr fontId="4"/>
  </si>
  <si>
    <t>就労時間</t>
    <phoneticPr fontId="4"/>
  </si>
  <si>
    <t>所定内残業</t>
    <phoneticPr fontId="4"/>
  </si>
  <si>
    <t>有給休暇時間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</si>
  <si>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</si>
  <si>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</si>
  <si>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</si>
  <si>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</si>
  <si>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</si>
  <si>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</si>
  <si>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</si>
  <si>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</si>
  <si>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</si>
  <si>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</si>
  <si>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</si>
  <si>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</si>
  <si>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</si>
  <si>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</si>
  <si>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</si>
  <si>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</si>
  <si>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</si>
  <si>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</si>
  <si>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</si>
  <si>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</si>
  <si>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</si>
  <si>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</si>
  <si>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</si>
  <si>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</si>
  <si>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</si>
  <si>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甲欄</t>
    <phoneticPr fontId="4"/>
  </si>
  <si>
    <t>乙欄</t>
    <phoneticPr fontId="4"/>
  </si>
  <si>
    <t>(減税前税額)</t>
    <phoneticPr fontId="4"/>
  </si>
  <si>
    <t>(定額減税額)</t>
    <phoneticPr fontId="4"/>
  </si>
  <si>
    <t>(減税設定額)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</si>
</sst>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4" xfId="1" applyNumberFormat="1" applyFont="1" applyBorder="1"/>
    <xf numFmtId="49" fontId="2" fillId="0" borderId="2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40" xfId="1" applyNumberFormat="1" applyFont="1" applyBorder="1"/>
    <xf numFmtId="3" fontId="2" fillId="0" borderId="36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0" fontId="2" fillId="0" borderId="5" xfId="1" applyFont="1" applyBorder="1" applyAlignment="1">
      <alignment horizontal="center" vertical="center"/>
    </xf>
  </cellXfs>
  <cellStyles count="2">
    <cellStyle name="標準" xfId="0" builtinId="0"/>
    <cellStyle name="標準 2" xfId="1" xr:uid="{0C21C0BA-0BB2-40B0-A786-43B5C29E08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4B28-9AC7-4474-94FA-77CF7F077CF4}">
  <sheetPr>
    <pageSetUpPr fitToPage="1"/>
  </sheetPr>
  <dimension ref="A1:M38"/>
  <sheetViews>
    <sheetView tabSelected="1" workbookViewId="0">
      <pane xSplit="2" ySplit="4" topLeftCell="C5" activePane="bottomRight" state="frozen"/>
      <selection pane="bottomRight" activeCell="B3" sqref="B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3" width="12.125" style="2" customWidth="1"/>
    <col min="14" max="257" width="9" style="2"/>
    <col min="258" max="258" width="2.375" style="2" customWidth="1"/>
    <col min="259" max="261" width="13.25" style="2" bestFit="1" customWidth="1"/>
    <col min="262" max="265" width="11.125" style="2" bestFit="1" customWidth="1"/>
    <col min="266" max="266" width="13.25" style="2" bestFit="1" customWidth="1"/>
    <col min="267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7" width="13.25" style="2" bestFit="1" customWidth="1"/>
    <col min="518" max="521" width="11.125" style="2" bestFit="1" customWidth="1"/>
    <col min="522" max="522" width="13.25" style="2" bestFit="1" customWidth="1"/>
    <col min="523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3" width="13.25" style="2" bestFit="1" customWidth="1"/>
    <col min="774" max="777" width="11.125" style="2" bestFit="1" customWidth="1"/>
    <col min="778" max="778" width="13.25" style="2" bestFit="1" customWidth="1"/>
    <col min="779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9" width="13.25" style="2" bestFit="1" customWidth="1"/>
    <col min="1030" max="1033" width="11.125" style="2" bestFit="1" customWidth="1"/>
    <col min="1034" max="1034" width="13.25" style="2" bestFit="1" customWidth="1"/>
    <col min="1035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5" width="13.25" style="2" bestFit="1" customWidth="1"/>
    <col min="1286" max="1289" width="11.125" style="2" bestFit="1" customWidth="1"/>
    <col min="1290" max="1290" width="13.25" style="2" bestFit="1" customWidth="1"/>
    <col min="1291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41" width="13.25" style="2" bestFit="1" customWidth="1"/>
    <col min="1542" max="1545" width="11.125" style="2" bestFit="1" customWidth="1"/>
    <col min="1546" max="1546" width="13.25" style="2" bestFit="1" customWidth="1"/>
    <col min="1547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7" width="13.25" style="2" bestFit="1" customWidth="1"/>
    <col min="1798" max="1801" width="11.125" style="2" bestFit="1" customWidth="1"/>
    <col min="1802" max="1802" width="13.25" style="2" bestFit="1" customWidth="1"/>
    <col min="1803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3" width="13.25" style="2" bestFit="1" customWidth="1"/>
    <col min="2054" max="2057" width="11.125" style="2" bestFit="1" customWidth="1"/>
    <col min="2058" max="2058" width="13.25" style="2" bestFit="1" customWidth="1"/>
    <col min="2059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9" width="13.25" style="2" bestFit="1" customWidth="1"/>
    <col min="2310" max="2313" width="11.125" style="2" bestFit="1" customWidth="1"/>
    <col min="2314" max="2314" width="13.25" style="2" bestFit="1" customWidth="1"/>
    <col min="2315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5" width="13.25" style="2" bestFit="1" customWidth="1"/>
    <col min="2566" max="2569" width="11.125" style="2" bestFit="1" customWidth="1"/>
    <col min="2570" max="2570" width="13.25" style="2" bestFit="1" customWidth="1"/>
    <col min="2571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21" width="13.25" style="2" bestFit="1" customWidth="1"/>
    <col min="2822" max="2825" width="11.125" style="2" bestFit="1" customWidth="1"/>
    <col min="2826" max="2826" width="13.25" style="2" bestFit="1" customWidth="1"/>
    <col min="2827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7" width="13.25" style="2" bestFit="1" customWidth="1"/>
    <col min="3078" max="3081" width="11.125" style="2" bestFit="1" customWidth="1"/>
    <col min="3082" max="3082" width="13.25" style="2" bestFit="1" customWidth="1"/>
    <col min="3083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3" width="13.25" style="2" bestFit="1" customWidth="1"/>
    <col min="3334" max="3337" width="11.125" style="2" bestFit="1" customWidth="1"/>
    <col min="3338" max="3338" width="13.25" style="2" bestFit="1" customWidth="1"/>
    <col min="3339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9" width="13.25" style="2" bestFit="1" customWidth="1"/>
    <col min="3590" max="3593" width="11.125" style="2" bestFit="1" customWidth="1"/>
    <col min="3594" max="3594" width="13.25" style="2" bestFit="1" customWidth="1"/>
    <col min="3595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5" width="13.25" style="2" bestFit="1" customWidth="1"/>
    <col min="3846" max="3849" width="11.125" style="2" bestFit="1" customWidth="1"/>
    <col min="3850" max="3850" width="13.25" style="2" bestFit="1" customWidth="1"/>
    <col min="3851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101" width="13.25" style="2" bestFit="1" customWidth="1"/>
    <col min="4102" max="4105" width="11.125" style="2" bestFit="1" customWidth="1"/>
    <col min="4106" max="4106" width="13.25" style="2" bestFit="1" customWidth="1"/>
    <col min="4107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7" width="13.25" style="2" bestFit="1" customWidth="1"/>
    <col min="4358" max="4361" width="11.125" style="2" bestFit="1" customWidth="1"/>
    <col min="4362" max="4362" width="13.25" style="2" bestFit="1" customWidth="1"/>
    <col min="4363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3" width="13.25" style="2" bestFit="1" customWidth="1"/>
    <col min="4614" max="4617" width="11.125" style="2" bestFit="1" customWidth="1"/>
    <col min="4618" max="4618" width="13.25" style="2" bestFit="1" customWidth="1"/>
    <col min="4619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9" width="13.25" style="2" bestFit="1" customWidth="1"/>
    <col min="4870" max="4873" width="11.125" style="2" bestFit="1" customWidth="1"/>
    <col min="4874" max="4874" width="13.25" style="2" bestFit="1" customWidth="1"/>
    <col min="4875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5" width="13.25" style="2" bestFit="1" customWidth="1"/>
    <col min="5126" max="5129" width="11.125" style="2" bestFit="1" customWidth="1"/>
    <col min="5130" max="5130" width="13.25" style="2" bestFit="1" customWidth="1"/>
    <col min="5131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81" width="13.25" style="2" bestFit="1" customWidth="1"/>
    <col min="5382" max="5385" width="11.125" style="2" bestFit="1" customWidth="1"/>
    <col min="5386" max="5386" width="13.25" style="2" bestFit="1" customWidth="1"/>
    <col min="5387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7" width="13.25" style="2" bestFit="1" customWidth="1"/>
    <col min="5638" max="5641" width="11.125" style="2" bestFit="1" customWidth="1"/>
    <col min="5642" max="5642" width="13.25" style="2" bestFit="1" customWidth="1"/>
    <col min="5643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3" width="13.25" style="2" bestFit="1" customWidth="1"/>
    <col min="5894" max="5897" width="11.125" style="2" bestFit="1" customWidth="1"/>
    <col min="5898" max="5898" width="13.25" style="2" bestFit="1" customWidth="1"/>
    <col min="5899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9" width="13.25" style="2" bestFit="1" customWidth="1"/>
    <col min="6150" max="6153" width="11.125" style="2" bestFit="1" customWidth="1"/>
    <col min="6154" max="6154" width="13.25" style="2" bestFit="1" customWidth="1"/>
    <col min="6155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5" width="13.25" style="2" bestFit="1" customWidth="1"/>
    <col min="6406" max="6409" width="11.125" style="2" bestFit="1" customWidth="1"/>
    <col min="6410" max="6410" width="13.25" style="2" bestFit="1" customWidth="1"/>
    <col min="6411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61" width="13.25" style="2" bestFit="1" customWidth="1"/>
    <col min="6662" max="6665" width="11.125" style="2" bestFit="1" customWidth="1"/>
    <col min="6666" max="6666" width="13.25" style="2" bestFit="1" customWidth="1"/>
    <col min="6667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7" width="13.25" style="2" bestFit="1" customWidth="1"/>
    <col min="6918" max="6921" width="11.125" style="2" bestFit="1" customWidth="1"/>
    <col min="6922" max="6922" width="13.25" style="2" bestFit="1" customWidth="1"/>
    <col min="6923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3" width="13.25" style="2" bestFit="1" customWidth="1"/>
    <col min="7174" max="7177" width="11.125" style="2" bestFit="1" customWidth="1"/>
    <col min="7178" max="7178" width="13.25" style="2" bestFit="1" customWidth="1"/>
    <col min="7179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9" width="13.25" style="2" bestFit="1" customWidth="1"/>
    <col min="7430" max="7433" width="11.125" style="2" bestFit="1" customWidth="1"/>
    <col min="7434" max="7434" width="13.25" style="2" bestFit="1" customWidth="1"/>
    <col min="7435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5" width="13.25" style="2" bestFit="1" customWidth="1"/>
    <col min="7686" max="7689" width="11.125" style="2" bestFit="1" customWidth="1"/>
    <col min="7690" max="7690" width="13.25" style="2" bestFit="1" customWidth="1"/>
    <col min="7691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41" width="13.25" style="2" bestFit="1" customWidth="1"/>
    <col min="7942" max="7945" width="11.125" style="2" bestFit="1" customWidth="1"/>
    <col min="7946" max="7946" width="13.25" style="2" bestFit="1" customWidth="1"/>
    <col min="7947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7" width="13.25" style="2" bestFit="1" customWidth="1"/>
    <col min="8198" max="8201" width="11.125" style="2" bestFit="1" customWidth="1"/>
    <col min="8202" max="8202" width="13.25" style="2" bestFit="1" customWidth="1"/>
    <col min="8203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3" width="13.25" style="2" bestFit="1" customWidth="1"/>
    <col min="8454" max="8457" width="11.125" style="2" bestFit="1" customWidth="1"/>
    <col min="8458" max="8458" width="13.25" style="2" bestFit="1" customWidth="1"/>
    <col min="8459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9" width="13.25" style="2" bestFit="1" customWidth="1"/>
    <col min="8710" max="8713" width="11.125" style="2" bestFit="1" customWidth="1"/>
    <col min="8714" max="8714" width="13.25" style="2" bestFit="1" customWidth="1"/>
    <col min="8715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5" width="13.25" style="2" bestFit="1" customWidth="1"/>
    <col min="8966" max="8969" width="11.125" style="2" bestFit="1" customWidth="1"/>
    <col min="8970" max="8970" width="13.25" style="2" bestFit="1" customWidth="1"/>
    <col min="8971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21" width="13.25" style="2" bestFit="1" customWidth="1"/>
    <col min="9222" max="9225" width="11.125" style="2" bestFit="1" customWidth="1"/>
    <col min="9226" max="9226" width="13.25" style="2" bestFit="1" customWidth="1"/>
    <col min="9227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7" width="13.25" style="2" bestFit="1" customWidth="1"/>
    <col min="9478" max="9481" width="11.125" style="2" bestFit="1" customWidth="1"/>
    <col min="9482" max="9482" width="13.25" style="2" bestFit="1" customWidth="1"/>
    <col min="9483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3" width="13.25" style="2" bestFit="1" customWidth="1"/>
    <col min="9734" max="9737" width="11.125" style="2" bestFit="1" customWidth="1"/>
    <col min="9738" max="9738" width="13.25" style="2" bestFit="1" customWidth="1"/>
    <col min="9739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9" width="13.25" style="2" bestFit="1" customWidth="1"/>
    <col min="9990" max="9993" width="11.125" style="2" bestFit="1" customWidth="1"/>
    <col min="9994" max="9994" width="13.25" style="2" bestFit="1" customWidth="1"/>
    <col min="9995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5" width="13.25" style="2" bestFit="1" customWidth="1"/>
    <col min="10246" max="10249" width="11.125" style="2" bestFit="1" customWidth="1"/>
    <col min="10250" max="10250" width="13.25" style="2" bestFit="1" customWidth="1"/>
    <col min="10251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501" width="13.25" style="2" bestFit="1" customWidth="1"/>
    <col min="10502" max="10505" width="11.125" style="2" bestFit="1" customWidth="1"/>
    <col min="10506" max="10506" width="13.25" style="2" bestFit="1" customWidth="1"/>
    <col min="10507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7" width="13.25" style="2" bestFit="1" customWidth="1"/>
    <col min="10758" max="10761" width="11.125" style="2" bestFit="1" customWidth="1"/>
    <col min="10762" max="10762" width="13.25" style="2" bestFit="1" customWidth="1"/>
    <col min="10763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3" width="13.25" style="2" bestFit="1" customWidth="1"/>
    <col min="11014" max="11017" width="11.125" style="2" bestFit="1" customWidth="1"/>
    <col min="11018" max="11018" width="13.25" style="2" bestFit="1" customWidth="1"/>
    <col min="11019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9" width="13.25" style="2" bestFit="1" customWidth="1"/>
    <col min="11270" max="11273" width="11.125" style="2" bestFit="1" customWidth="1"/>
    <col min="11274" max="11274" width="13.25" style="2" bestFit="1" customWidth="1"/>
    <col min="11275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5" width="13.25" style="2" bestFit="1" customWidth="1"/>
    <col min="11526" max="11529" width="11.125" style="2" bestFit="1" customWidth="1"/>
    <col min="11530" max="11530" width="13.25" style="2" bestFit="1" customWidth="1"/>
    <col min="11531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81" width="13.25" style="2" bestFit="1" customWidth="1"/>
    <col min="11782" max="11785" width="11.125" style="2" bestFit="1" customWidth="1"/>
    <col min="11786" max="11786" width="13.25" style="2" bestFit="1" customWidth="1"/>
    <col min="11787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7" width="13.25" style="2" bestFit="1" customWidth="1"/>
    <col min="12038" max="12041" width="11.125" style="2" bestFit="1" customWidth="1"/>
    <col min="12042" max="12042" width="13.25" style="2" bestFit="1" customWidth="1"/>
    <col min="12043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3" width="13.25" style="2" bestFit="1" customWidth="1"/>
    <col min="12294" max="12297" width="11.125" style="2" bestFit="1" customWidth="1"/>
    <col min="12298" max="12298" width="13.25" style="2" bestFit="1" customWidth="1"/>
    <col min="12299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9" width="13.25" style="2" bestFit="1" customWidth="1"/>
    <col min="12550" max="12553" width="11.125" style="2" bestFit="1" customWidth="1"/>
    <col min="12554" max="12554" width="13.25" style="2" bestFit="1" customWidth="1"/>
    <col min="12555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5" width="13.25" style="2" bestFit="1" customWidth="1"/>
    <col min="12806" max="12809" width="11.125" style="2" bestFit="1" customWidth="1"/>
    <col min="12810" max="12810" width="13.25" style="2" bestFit="1" customWidth="1"/>
    <col min="12811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61" width="13.25" style="2" bestFit="1" customWidth="1"/>
    <col min="13062" max="13065" width="11.125" style="2" bestFit="1" customWidth="1"/>
    <col min="13066" max="13066" width="13.25" style="2" bestFit="1" customWidth="1"/>
    <col min="13067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7" width="13.25" style="2" bestFit="1" customWidth="1"/>
    <col min="13318" max="13321" width="11.125" style="2" bestFit="1" customWidth="1"/>
    <col min="13322" max="13322" width="13.25" style="2" bestFit="1" customWidth="1"/>
    <col min="13323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3" width="13.25" style="2" bestFit="1" customWidth="1"/>
    <col min="13574" max="13577" width="11.125" style="2" bestFit="1" customWidth="1"/>
    <col min="13578" max="13578" width="13.25" style="2" bestFit="1" customWidth="1"/>
    <col min="13579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9" width="13.25" style="2" bestFit="1" customWidth="1"/>
    <col min="13830" max="13833" width="11.125" style="2" bestFit="1" customWidth="1"/>
    <col min="13834" max="13834" width="13.25" style="2" bestFit="1" customWidth="1"/>
    <col min="13835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5" width="13.25" style="2" bestFit="1" customWidth="1"/>
    <col min="14086" max="14089" width="11.125" style="2" bestFit="1" customWidth="1"/>
    <col min="14090" max="14090" width="13.25" style="2" bestFit="1" customWidth="1"/>
    <col min="14091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41" width="13.25" style="2" bestFit="1" customWidth="1"/>
    <col min="14342" max="14345" width="11.125" style="2" bestFit="1" customWidth="1"/>
    <col min="14346" max="14346" width="13.25" style="2" bestFit="1" customWidth="1"/>
    <col min="14347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7" width="13.25" style="2" bestFit="1" customWidth="1"/>
    <col min="14598" max="14601" width="11.125" style="2" bestFit="1" customWidth="1"/>
    <col min="14602" max="14602" width="13.25" style="2" bestFit="1" customWidth="1"/>
    <col min="14603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3" width="13.25" style="2" bestFit="1" customWidth="1"/>
    <col min="14854" max="14857" width="11.125" style="2" bestFit="1" customWidth="1"/>
    <col min="14858" max="14858" width="13.25" style="2" bestFit="1" customWidth="1"/>
    <col min="14859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9" width="13.25" style="2" bestFit="1" customWidth="1"/>
    <col min="15110" max="15113" width="11.125" style="2" bestFit="1" customWidth="1"/>
    <col min="15114" max="15114" width="13.25" style="2" bestFit="1" customWidth="1"/>
    <col min="15115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5" width="13.25" style="2" bestFit="1" customWidth="1"/>
    <col min="15366" max="15369" width="11.125" style="2" bestFit="1" customWidth="1"/>
    <col min="15370" max="15370" width="13.25" style="2" bestFit="1" customWidth="1"/>
    <col min="15371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21" width="13.25" style="2" bestFit="1" customWidth="1"/>
    <col min="15622" max="15625" width="11.125" style="2" bestFit="1" customWidth="1"/>
    <col min="15626" max="15626" width="13.25" style="2" bestFit="1" customWidth="1"/>
    <col min="15627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7" width="13.25" style="2" bestFit="1" customWidth="1"/>
    <col min="15878" max="15881" width="11.125" style="2" bestFit="1" customWidth="1"/>
    <col min="15882" max="15882" width="13.25" style="2" bestFit="1" customWidth="1"/>
    <col min="15883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3" width="13.25" style="2" bestFit="1" customWidth="1"/>
    <col min="16134" max="16137" width="11.125" style="2" bestFit="1" customWidth="1"/>
    <col min="16138" max="16138" width="13.25" style="2" bestFit="1" customWidth="1"/>
    <col min="16139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1</v>
      </c>
    </row>
    <row r="3" spans="1:13">
      <c r="B3" s="14"/>
      <c r="C3" s="35" t="s">
        <v>2</v>
      </c>
      <c r="D3" s="36" t="s">
        <v>3</v>
      </c>
      <c r="E3" s="36" t="s">
        <v>4</v>
      </c>
      <c r="F3" s="36" t="s">
        <v>5</v>
      </c>
      <c r="G3" s="61" t="s">
        <v>6</v>
      </c>
      <c r="H3" s="87" t="s">
        <v>7</v>
      </c>
      <c r="I3" s="74" t="s">
        <v>8</v>
      </c>
      <c r="J3" s="36" t="s">
        <v>9</v>
      </c>
      <c r="K3" s="4" t="s">
        <v>10</v>
      </c>
      <c r="L3" s="87" t="s">
        <v>7</v>
      </c>
      <c r="M3" s="90" t="s">
        <v>11</v>
      </c>
    </row>
    <row r="4" spans="1:13" ht="19.5" thickBot="1">
      <c r="B4" s="5" t="s">
        <v>12</v>
      </c>
      <c r="C4" s="37" t="s">
        <v>13</v>
      </c>
      <c r="D4" s="38" t="s">
        <v>14</v>
      </c>
      <c r="E4" s="38" t="s">
        <v>15</v>
      </c>
      <c r="F4" s="38" t="s">
        <v>16</v>
      </c>
      <c r="G4" s="62" t="s">
        <v>17</v>
      </c>
      <c r="H4" s="88" t="s">
        <v>18</v>
      </c>
      <c r="I4" s="75" t="s">
        <v>19</v>
      </c>
      <c r="J4" s="38" t="s">
        <v>20</v>
      </c>
      <c r="K4" s="3" t="s">
        <v>21</v>
      </c>
      <c r="L4" s="88" t="s">
        <v>22</v>
      </c>
      <c r="M4" s="89" t="s">
        <v>23</v>
      </c>
    </row>
    <row r="5" spans="1:13">
      <c r="A5" s="1" t="s">
        <v>24</v>
      </c>
      <c r="B5" s="28" t="s">
        <v>25</v>
      </c>
      <c r="C5" s="39">
        <v>0</v>
      </c>
      <c r="D5" s="40">
        <v>0</v>
      </c>
      <c r="E5" s="40">
        <v>0</v>
      </c>
      <c r="F5" s="40">
        <v>0</v>
      </c>
      <c r="G5" s="63">
        <v>0</v>
      </c>
      <c r="H5" s="30">
        <f>SUM(C5:G5)</f>
        <v>0</v>
      </c>
      <c r="I5" s="76">
        <v>19</v>
      </c>
      <c r="J5" s="40">
        <v>19</v>
      </c>
      <c r="K5" s="29">
        <v>15</v>
      </c>
      <c r="L5" s="30">
        <f>SUM(I5:K5)</f>
        <v>53</v>
      </c>
      <c r="M5" s="30">
        <f>SUM(L5,H5)</f>
        <v>53</v>
      </c>
    </row>
    <row r="6" spans="1:13">
      <c r="A6" s="1" t="s">
        <v>24</v>
      </c>
      <c r="B6" s="25" t="s">
        <v>26</v>
      </c>
      <c r="C6" s="41">
        <v>0</v>
      </c>
      <c r="D6" s="42">
        <v>0</v>
      </c>
      <c r="E6" s="42">
        <v>0</v>
      </c>
      <c r="F6" s="42">
        <v>0</v>
      </c>
      <c r="G6" s="64">
        <v>0</v>
      </c>
      <c r="H6" s="32">
        <f t="shared" ref="H6:H37" si="0">SUM(C6:G6)</f>
        <v>0</v>
      </c>
      <c r="I6" s="77">
        <v>1</v>
      </c>
      <c r="J6" s="42">
        <v>1</v>
      </c>
      <c r="K6" s="31">
        <v>2</v>
      </c>
      <c r="L6" s="32">
        <f t="shared" ref="L6:L37" si="1">SUM(I6:K6)</f>
        <v>4</v>
      </c>
      <c r="M6" s="32">
        <f t="shared" ref="M6:M37" si="2">SUM(L6,H6)</f>
        <v>4</v>
      </c>
    </row>
    <row r="7" spans="1:13">
      <c r="A7" s="1" t="s">
        <v>24</v>
      </c>
      <c r="B7" s="25" t="s">
        <v>27</v>
      </c>
      <c r="C7" s="43">
        <v>0</v>
      </c>
      <c r="D7" s="44">
        <v>0</v>
      </c>
      <c r="E7" s="44">
        <v>0</v>
      </c>
      <c r="F7" s="44">
        <v>0</v>
      </c>
      <c r="G7" s="65">
        <v>0</v>
      </c>
      <c r="H7" s="34">
        <f t="shared" si="0"/>
        <v>0</v>
      </c>
      <c r="I7" s="78">
        <v>0</v>
      </c>
      <c r="J7" s="44">
        <v>0</v>
      </c>
      <c r="K7" s="33">
        <v>3.1666666666666665</v>
      </c>
      <c r="L7" s="34">
        <f t="shared" si="1"/>
        <v>3.1666666666666665</v>
      </c>
      <c r="M7" s="34">
        <f t="shared" si="2"/>
        <v>3.1666666666666665</v>
      </c>
    </row>
    <row r="8" spans="1:13">
      <c r="A8" s="1" t="s">
        <v>24</v>
      </c>
      <c r="B8" s="25" t="s">
        <v>28</v>
      </c>
      <c r="C8" s="43">
        <v>0</v>
      </c>
      <c r="D8" s="44">
        <v>0</v>
      </c>
      <c r="E8" s="44">
        <v>0</v>
      </c>
      <c r="F8" s="44">
        <v>0</v>
      </c>
      <c r="G8" s="65">
        <v>0</v>
      </c>
      <c r="H8" s="34">
        <f t="shared" si="0"/>
        <v>0</v>
      </c>
      <c r="I8" s="78">
        <v>0.25</v>
      </c>
      <c r="J8" s="44">
        <v>0</v>
      </c>
      <c r="K8" s="33">
        <v>0</v>
      </c>
      <c r="L8" s="34">
        <f t="shared" si="1"/>
        <v>0.25</v>
      </c>
      <c r="M8" s="34">
        <f t="shared" si="2"/>
        <v>0.25</v>
      </c>
    </row>
    <row r="9" spans="1:13">
      <c r="A9" s="1" t="s">
        <v>24</v>
      </c>
      <c r="B9" s="6" t="s">
        <v>29</v>
      </c>
      <c r="C9" s="45">
        <v>0</v>
      </c>
      <c r="D9" s="46">
        <v>0</v>
      </c>
      <c r="E9" s="46">
        <v>0</v>
      </c>
      <c r="F9" s="46">
        <v>0</v>
      </c>
      <c r="G9" s="66">
        <v>0</v>
      </c>
      <c r="H9" s="8">
        <f t="shared" si="0"/>
        <v>0</v>
      </c>
      <c r="I9" s="79">
        <v>0</v>
      </c>
      <c r="J9" s="46">
        <v>0</v>
      </c>
      <c r="K9" s="7">
        <v>0.41666666666666669</v>
      </c>
      <c r="L9" s="8">
        <f t="shared" si="1"/>
        <v>0.41666666666666669</v>
      </c>
      <c r="M9" s="8">
        <f t="shared" si="2"/>
        <v>0.41666666666666669</v>
      </c>
    </row>
    <row r="10" spans="1:13">
      <c r="A10" s="1" t="s">
        <v>24</v>
      </c>
      <c r="B10" s="15" t="s">
        <v>30</v>
      </c>
      <c r="C10" s="47">
        <v>0</v>
      </c>
      <c r="D10" s="48">
        <v>0</v>
      </c>
      <c r="E10" s="48">
        <v>0</v>
      </c>
      <c r="F10" s="48">
        <v>0</v>
      </c>
      <c r="G10" s="67">
        <v>0</v>
      </c>
      <c r="H10" s="17"/>
      <c r="I10" s="80">
        <v>25</v>
      </c>
      <c r="J10" s="48">
        <v>34</v>
      </c>
      <c r="K10" s="16">
        <v>31</v>
      </c>
      <c r="L10" s="17"/>
      <c r="M10" s="17">
        <f t="shared" si="2"/>
        <v>0</v>
      </c>
    </row>
    <row r="11" spans="1:13">
      <c r="A11" s="1" t="s">
        <v>24</v>
      </c>
      <c r="B11" s="22" t="s">
        <v>31</v>
      </c>
      <c r="C11" s="49">
        <v>0</v>
      </c>
      <c r="D11" s="50">
        <v>0</v>
      </c>
      <c r="E11" s="50">
        <v>0</v>
      </c>
      <c r="F11" s="50">
        <v>0</v>
      </c>
      <c r="G11" s="68">
        <v>0</v>
      </c>
      <c r="H11" s="24">
        <f t="shared" si="0"/>
        <v>0</v>
      </c>
      <c r="I11" s="81">
        <v>305000</v>
      </c>
      <c r="J11" s="50">
        <v>390000</v>
      </c>
      <c r="K11" s="23">
        <v>0</v>
      </c>
      <c r="L11" s="24">
        <f t="shared" si="1"/>
        <v>695000</v>
      </c>
      <c r="M11" s="24">
        <f t="shared" si="2"/>
        <v>695000</v>
      </c>
    </row>
    <row r="12" spans="1:13">
      <c r="A12" s="1" t="s">
        <v>24</v>
      </c>
      <c r="B12" s="25" t="s">
        <v>32</v>
      </c>
      <c r="C12" s="51">
        <v>0</v>
      </c>
      <c r="D12" s="52">
        <v>0</v>
      </c>
      <c r="E12" s="52">
        <v>0</v>
      </c>
      <c r="F12" s="52">
        <v>0</v>
      </c>
      <c r="G12" s="69">
        <v>0</v>
      </c>
      <c r="H12" s="27">
        <f t="shared" si="0"/>
        <v>0</v>
      </c>
      <c r="I12" s="82">
        <v>3000</v>
      </c>
      <c r="J12" s="52">
        <v>0</v>
      </c>
      <c r="K12" s="26">
        <v>0</v>
      </c>
      <c r="L12" s="27">
        <f t="shared" si="1"/>
        <v>3000</v>
      </c>
      <c r="M12" s="27">
        <f t="shared" si="2"/>
        <v>3000</v>
      </c>
    </row>
    <row r="13" spans="1:13">
      <c r="A13" s="1" t="s">
        <v>24</v>
      </c>
      <c r="B13" s="25" t="s">
        <v>33</v>
      </c>
      <c r="C13" s="51">
        <v>0</v>
      </c>
      <c r="D13" s="52">
        <v>0</v>
      </c>
      <c r="E13" s="52">
        <v>0</v>
      </c>
      <c r="F13" s="52">
        <v>0</v>
      </c>
      <c r="G13" s="69">
        <v>0</v>
      </c>
      <c r="H13" s="27">
        <f t="shared" si="0"/>
        <v>0</v>
      </c>
      <c r="I13" s="82">
        <v>50000</v>
      </c>
      <c r="J13" s="52">
        <v>50000</v>
      </c>
      <c r="K13" s="26">
        <v>0</v>
      </c>
      <c r="L13" s="27">
        <f t="shared" si="1"/>
        <v>100000</v>
      </c>
      <c r="M13" s="27">
        <f t="shared" si="2"/>
        <v>100000</v>
      </c>
    </row>
    <row r="14" spans="1:13">
      <c r="A14" s="1" t="s">
        <v>24</v>
      </c>
      <c r="B14" s="25" t="s">
        <v>34</v>
      </c>
      <c r="C14" s="51">
        <v>0</v>
      </c>
      <c r="D14" s="52">
        <v>0</v>
      </c>
      <c r="E14" s="52">
        <v>0</v>
      </c>
      <c r="F14" s="52">
        <v>0</v>
      </c>
      <c r="G14" s="69">
        <v>0</v>
      </c>
      <c r="H14" s="27">
        <f t="shared" si="0"/>
        <v>0</v>
      </c>
      <c r="I14" s="82">
        <v>0</v>
      </c>
      <c r="J14" s="52">
        <v>0</v>
      </c>
      <c r="K14" s="26">
        <v>97660</v>
      </c>
      <c r="L14" s="27">
        <f t="shared" si="1"/>
        <v>97660</v>
      </c>
      <c r="M14" s="27">
        <f t="shared" si="2"/>
        <v>97660</v>
      </c>
    </row>
    <row r="15" spans="1:13">
      <c r="A15" s="1" t="s">
        <v>24</v>
      </c>
      <c r="B15" s="25" t="s">
        <v>35</v>
      </c>
      <c r="C15" s="51">
        <v>1190000</v>
      </c>
      <c r="D15" s="52">
        <v>1000000</v>
      </c>
      <c r="E15" s="52">
        <v>200000</v>
      </c>
      <c r="F15" s="52">
        <v>300000</v>
      </c>
      <c r="G15" s="69">
        <v>100000</v>
      </c>
      <c r="H15" s="27">
        <f t="shared" si="0"/>
        <v>2790000</v>
      </c>
      <c r="I15" s="82">
        <v>0</v>
      </c>
      <c r="J15" s="52">
        <v>0</v>
      </c>
      <c r="K15" s="26">
        <v>0</v>
      </c>
      <c r="L15" s="27">
        <f t="shared" si="1"/>
        <v>0</v>
      </c>
      <c r="M15" s="27">
        <f t="shared" si="2"/>
        <v>2790000</v>
      </c>
    </row>
    <row r="16" spans="1:13">
      <c r="A16" s="1" t="s">
        <v>24</v>
      </c>
      <c r="B16" s="25" t="s">
        <v>36</v>
      </c>
      <c r="C16" s="51">
        <v>0</v>
      </c>
      <c r="D16" s="52">
        <v>0</v>
      </c>
      <c r="E16" s="52">
        <v>0</v>
      </c>
      <c r="F16" s="52">
        <v>0</v>
      </c>
      <c r="G16" s="69">
        <v>0</v>
      </c>
      <c r="H16" s="27">
        <f t="shared" si="0"/>
        <v>0</v>
      </c>
      <c r="I16" s="82">
        <v>0</v>
      </c>
      <c r="J16" s="52">
        <v>0</v>
      </c>
      <c r="K16" s="26">
        <v>12850</v>
      </c>
      <c r="L16" s="27">
        <f t="shared" si="1"/>
        <v>12850</v>
      </c>
      <c r="M16" s="27">
        <f t="shared" si="2"/>
        <v>12850</v>
      </c>
    </row>
    <row r="17" spans="1:13">
      <c r="A17" s="1" t="s">
        <v>24</v>
      </c>
      <c r="B17" s="6" t="s">
        <v>28</v>
      </c>
      <c r="C17" s="53">
        <v>0</v>
      </c>
      <c r="D17" s="54">
        <v>0</v>
      </c>
      <c r="E17" s="54">
        <v>0</v>
      </c>
      <c r="F17" s="54">
        <v>0</v>
      </c>
      <c r="G17" s="70">
        <v>0</v>
      </c>
      <c r="H17" s="10">
        <f t="shared" si="0"/>
        <v>0</v>
      </c>
      <c r="I17" s="83">
        <v>15126</v>
      </c>
      <c r="J17" s="54">
        <v>0</v>
      </c>
      <c r="K17" s="9">
        <v>0</v>
      </c>
      <c r="L17" s="10">
        <f t="shared" si="1"/>
        <v>15126</v>
      </c>
      <c r="M17" s="10">
        <f t="shared" si="2"/>
        <v>15126</v>
      </c>
    </row>
    <row r="18" spans="1:13">
      <c r="A18" s="1" t="s">
        <v>24</v>
      </c>
      <c r="B18" s="15" t="s">
        <v>37</v>
      </c>
      <c r="C18" s="55">
        <v>1190000</v>
      </c>
      <c r="D18" s="56">
        <v>1000000</v>
      </c>
      <c r="E18" s="56">
        <v>200000</v>
      </c>
      <c r="F18" s="56">
        <v>300000</v>
      </c>
      <c r="G18" s="71">
        <v>100000</v>
      </c>
      <c r="H18" s="19">
        <f t="shared" si="0"/>
        <v>2790000</v>
      </c>
      <c r="I18" s="84">
        <v>373126</v>
      </c>
      <c r="J18" s="56">
        <v>440000</v>
      </c>
      <c r="K18" s="18">
        <v>110510</v>
      </c>
      <c r="L18" s="19">
        <f t="shared" si="1"/>
        <v>923636</v>
      </c>
      <c r="M18" s="19">
        <f t="shared" si="2"/>
        <v>3713636</v>
      </c>
    </row>
    <row r="19" spans="1:13">
      <c r="A19" s="1" t="s">
        <v>24</v>
      </c>
      <c r="B19" s="22" t="s">
        <v>38</v>
      </c>
      <c r="C19" s="49">
        <v>0</v>
      </c>
      <c r="D19" s="50">
        <v>0</v>
      </c>
      <c r="E19" s="50">
        <v>0</v>
      </c>
      <c r="F19" s="50">
        <v>0</v>
      </c>
      <c r="G19" s="68">
        <v>0</v>
      </c>
      <c r="H19" s="24">
        <f t="shared" si="0"/>
        <v>0</v>
      </c>
      <c r="I19" s="81">
        <v>1430</v>
      </c>
      <c r="J19" s="50">
        <v>10560</v>
      </c>
      <c r="K19" s="23">
        <v>0</v>
      </c>
      <c r="L19" s="24">
        <f t="shared" si="1"/>
        <v>11990</v>
      </c>
      <c r="M19" s="24">
        <f t="shared" si="2"/>
        <v>11990</v>
      </c>
    </row>
    <row r="20" spans="1:13">
      <c r="A20" s="1" t="s">
        <v>24</v>
      </c>
      <c r="B20" s="6" t="s">
        <v>39</v>
      </c>
      <c r="C20" s="53">
        <v>0</v>
      </c>
      <c r="D20" s="54">
        <v>0</v>
      </c>
      <c r="E20" s="54">
        <v>0</v>
      </c>
      <c r="F20" s="54">
        <v>0</v>
      </c>
      <c r="G20" s="70">
        <v>0</v>
      </c>
      <c r="H20" s="10">
        <f t="shared" si="0"/>
        <v>0</v>
      </c>
      <c r="I20" s="83">
        <v>1430</v>
      </c>
      <c r="J20" s="54">
        <v>10560</v>
      </c>
      <c r="K20" s="9">
        <v>0</v>
      </c>
      <c r="L20" s="10">
        <f t="shared" si="1"/>
        <v>11990</v>
      </c>
      <c r="M20" s="10">
        <f t="shared" si="2"/>
        <v>11990</v>
      </c>
    </row>
    <row r="21" spans="1:13">
      <c r="A21" s="1" t="s">
        <v>24</v>
      </c>
      <c r="B21" s="15" t="s">
        <v>40</v>
      </c>
      <c r="C21" s="55">
        <v>1190000</v>
      </c>
      <c r="D21" s="56">
        <v>1000000</v>
      </c>
      <c r="E21" s="56">
        <v>200000</v>
      </c>
      <c r="F21" s="56">
        <v>300000</v>
      </c>
      <c r="G21" s="71">
        <v>100000</v>
      </c>
      <c r="H21" s="19">
        <f t="shared" si="0"/>
        <v>2790000</v>
      </c>
      <c r="I21" s="84">
        <v>374556</v>
      </c>
      <c r="J21" s="56">
        <v>450560</v>
      </c>
      <c r="K21" s="18">
        <v>110510</v>
      </c>
      <c r="L21" s="19">
        <f t="shared" si="1"/>
        <v>935626</v>
      </c>
      <c r="M21" s="19">
        <f t="shared" si="2"/>
        <v>3725626</v>
      </c>
    </row>
    <row r="22" spans="1:13">
      <c r="A22" s="1" t="s">
        <v>24</v>
      </c>
      <c r="B22" s="22" t="s">
        <v>41</v>
      </c>
      <c r="C22" s="49">
        <v>0</v>
      </c>
      <c r="D22" s="50">
        <v>0</v>
      </c>
      <c r="E22" s="50">
        <v>0</v>
      </c>
      <c r="F22" s="50">
        <v>0</v>
      </c>
      <c r="G22" s="68">
        <v>0</v>
      </c>
      <c r="H22" s="24">
        <f t="shared" si="0"/>
        <v>0</v>
      </c>
      <c r="I22" s="81">
        <v>20910</v>
      </c>
      <c r="J22" s="50">
        <v>22440</v>
      </c>
      <c r="K22" s="23">
        <v>0</v>
      </c>
      <c r="L22" s="24">
        <f t="shared" si="1"/>
        <v>43350</v>
      </c>
      <c r="M22" s="24">
        <f t="shared" si="2"/>
        <v>43350</v>
      </c>
    </row>
    <row r="23" spans="1:13">
      <c r="A23" s="1" t="s">
        <v>24</v>
      </c>
      <c r="B23" s="25" t="s">
        <v>42</v>
      </c>
      <c r="C23" s="51">
        <v>0</v>
      </c>
      <c r="D23" s="52">
        <v>0</v>
      </c>
      <c r="E23" s="52">
        <v>0</v>
      </c>
      <c r="F23" s="52">
        <v>0</v>
      </c>
      <c r="G23" s="69">
        <v>0</v>
      </c>
      <c r="H23" s="27">
        <f t="shared" si="0"/>
        <v>0</v>
      </c>
      <c r="I23" s="82">
        <v>3690</v>
      </c>
      <c r="J23" s="52">
        <v>3960</v>
      </c>
      <c r="K23" s="26">
        <v>0</v>
      </c>
      <c r="L23" s="27">
        <f t="shared" si="1"/>
        <v>7650</v>
      </c>
      <c r="M23" s="27">
        <f t="shared" si="2"/>
        <v>7650</v>
      </c>
    </row>
    <row r="24" spans="1:13">
      <c r="A24" s="1" t="s">
        <v>24</v>
      </c>
      <c r="B24" s="25" t="s">
        <v>43</v>
      </c>
      <c r="C24" s="51">
        <v>0</v>
      </c>
      <c r="D24" s="52">
        <v>0</v>
      </c>
      <c r="E24" s="52">
        <v>0</v>
      </c>
      <c r="F24" s="52">
        <v>0</v>
      </c>
      <c r="G24" s="69">
        <v>0</v>
      </c>
      <c r="H24" s="27">
        <f t="shared" si="0"/>
        <v>0</v>
      </c>
      <c r="I24" s="82">
        <v>37515</v>
      </c>
      <c r="J24" s="52">
        <v>40260</v>
      </c>
      <c r="K24" s="26">
        <v>0</v>
      </c>
      <c r="L24" s="27">
        <f t="shared" si="1"/>
        <v>77775</v>
      </c>
      <c r="M24" s="27">
        <f t="shared" si="2"/>
        <v>77775</v>
      </c>
    </row>
    <row r="25" spans="1:13">
      <c r="A25" s="1" t="s">
        <v>24</v>
      </c>
      <c r="B25" s="6" t="s">
        <v>44</v>
      </c>
      <c r="C25" s="53">
        <v>0</v>
      </c>
      <c r="D25" s="54">
        <v>0</v>
      </c>
      <c r="E25" s="54">
        <v>0</v>
      </c>
      <c r="F25" s="54">
        <v>0</v>
      </c>
      <c r="G25" s="70">
        <v>0</v>
      </c>
      <c r="H25" s="10">
        <f t="shared" si="0"/>
        <v>0</v>
      </c>
      <c r="I25" s="83">
        <v>2247</v>
      </c>
      <c r="J25" s="54">
        <v>2703</v>
      </c>
      <c r="K25" s="9">
        <v>663</v>
      </c>
      <c r="L25" s="10">
        <f t="shared" si="1"/>
        <v>5613</v>
      </c>
      <c r="M25" s="10">
        <f t="shared" si="2"/>
        <v>5613</v>
      </c>
    </row>
    <row r="26" spans="1:13">
      <c r="A26" s="1" t="s">
        <v>24</v>
      </c>
      <c r="B26" s="15" t="s">
        <v>45</v>
      </c>
      <c r="C26" s="55">
        <v>0</v>
      </c>
      <c r="D26" s="56">
        <v>0</v>
      </c>
      <c r="E26" s="56">
        <v>0</v>
      </c>
      <c r="F26" s="56">
        <v>0</v>
      </c>
      <c r="G26" s="71">
        <v>0</v>
      </c>
      <c r="H26" s="19">
        <f t="shared" si="0"/>
        <v>0</v>
      </c>
      <c r="I26" s="84">
        <v>64362</v>
      </c>
      <c r="J26" s="56">
        <v>69363</v>
      </c>
      <c r="K26" s="18">
        <v>663</v>
      </c>
      <c r="L26" s="19">
        <f t="shared" si="1"/>
        <v>134388</v>
      </c>
      <c r="M26" s="19">
        <f t="shared" si="2"/>
        <v>134388</v>
      </c>
    </row>
    <row r="27" spans="1:13">
      <c r="A27" s="1" t="s">
        <v>24</v>
      </c>
      <c r="B27" s="22" t="s">
        <v>46</v>
      </c>
      <c r="C27" s="49">
        <v>202030</v>
      </c>
      <c r="D27" s="50">
        <v>365984</v>
      </c>
      <c r="E27" s="50">
        <v>0</v>
      </c>
      <c r="F27" s="50">
        <v>53700</v>
      </c>
      <c r="G27" s="68">
        <v>3600</v>
      </c>
      <c r="H27" s="24">
        <f t="shared" si="0"/>
        <v>625314</v>
      </c>
      <c r="I27" s="81">
        <v>9100</v>
      </c>
      <c r="J27" s="50">
        <v>14150</v>
      </c>
      <c r="K27" s="23">
        <v>0</v>
      </c>
      <c r="L27" s="24">
        <f t="shared" si="1"/>
        <v>23250</v>
      </c>
      <c r="M27" s="24">
        <f t="shared" si="2"/>
        <v>648564</v>
      </c>
    </row>
    <row r="28" spans="1:13">
      <c r="A28" s="1" t="s">
        <v>24</v>
      </c>
      <c r="B28" s="25" t="s">
        <v>47</v>
      </c>
      <c r="C28" s="51">
        <v>63600</v>
      </c>
      <c r="D28" s="52">
        <v>0</v>
      </c>
      <c r="E28" s="52">
        <v>0</v>
      </c>
      <c r="F28" s="52">
        <v>0</v>
      </c>
      <c r="G28" s="69">
        <v>0</v>
      </c>
      <c r="H28" s="27">
        <f t="shared" si="0"/>
        <v>63600</v>
      </c>
      <c r="I28" s="82">
        <v>24200</v>
      </c>
      <c r="J28" s="52">
        <v>18800</v>
      </c>
      <c r="K28" s="26">
        <v>1600</v>
      </c>
      <c r="L28" s="27">
        <f t="shared" si="1"/>
        <v>44600</v>
      </c>
      <c r="M28" s="27">
        <f t="shared" si="2"/>
        <v>108200</v>
      </c>
    </row>
    <row r="29" spans="1:13">
      <c r="A29" s="1" t="s">
        <v>24</v>
      </c>
      <c r="B29" s="6" t="s">
        <v>48</v>
      </c>
      <c r="C29" s="53">
        <v>1140</v>
      </c>
      <c r="D29" s="54">
        <v>0</v>
      </c>
      <c r="E29" s="54">
        <v>0</v>
      </c>
      <c r="F29" s="54">
        <v>0</v>
      </c>
      <c r="G29" s="70">
        <v>0</v>
      </c>
      <c r="H29" s="10">
        <f t="shared" si="0"/>
        <v>1140</v>
      </c>
      <c r="I29" s="83">
        <v>0</v>
      </c>
      <c r="J29" s="54">
        <v>0</v>
      </c>
      <c r="K29" s="9">
        <v>0</v>
      </c>
      <c r="L29" s="10">
        <f t="shared" si="1"/>
        <v>0</v>
      </c>
      <c r="M29" s="10">
        <f t="shared" si="2"/>
        <v>1140</v>
      </c>
    </row>
    <row r="30" spans="1:13">
      <c r="A30" s="1" t="s">
        <v>24</v>
      </c>
      <c r="B30" s="15" t="s">
        <v>49</v>
      </c>
      <c r="C30" s="55">
        <v>266770</v>
      </c>
      <c r="D30" s="56">
        <v>365984</v>
      </c>
      <c r="E30" s="56">
        <v>0</v>
      </c>
      <c r="F30" s="56">
        <v>53700</v>
      </c>
      <c r="G30" s="71">
        <v>3600</v>
      </c>
      <c r="H30" s="19">
        <f t="shared" si="0"/>
        <v>690054</v>
      </c>
      <c r="I30" s="84">
        <v>97662</v>
      </c>
      <c r="J30" s="56">
        <v>102313</v>
      </c>
      <c r="K30" s="18">
        <v>2263</v>
      </c>
      <c r="L30" s="19">
        <f t="shared" si="1"/>
        <v>202238</v>
      </c>
      <c r="M30" s="19">
        <f t="shared" si="2"/>
        <v>892292</v>
      </c>
    </row>
    <row r="31" spans="1:13">
      <c r="A31" s="1" t="s">
        <v>24</v>
      </c>
      <c r="B31" s="15" t="s">
        <v>50</v>
      </c>
      <c r="C31" s="55">
        <v>1190000</v>
      </c>
      <c r="D31" s="56">
        <v>1000000</v>
      </c>
      <c r="E31" s="56">
        <v>200000</v>
      </c>
      <c r="F31" s="56">
        <v>300000</v>
      </c>
      <c r="G31" s="71">
        <v>100000</v>
      </c>
      <c r="H31" s="19">
        <f t="shared" si="0"/>
        <v>2790000</v>
      </c>
      <c r="I31" s="84">
        <v>308764</v>
      </c>
      <c r="J31" s="56">
        <v>370637</v>
      </c>
      <c r="K31" s="18">
        <v>109847</v>
      </c>
      <c r="L31" s="19">
        <f t="shared" si="1"/>
        <v>789248</v>
      </c>
      <c r="M31" s="19">
        <f t="shared" si="2"/>
        <v>3579248</v>
      </c>
    </row>
    <row r="32" spans="1:13">
      <c r="A32" s="1" t="s">
        <v>24</v>
      </c>
      <c r="B32" s="15" t="s">
        <v>51</v>
      </c>
      <c r="C32" s="55">
        <v>923230</v>
      </c>
      <c r="D32" s="56">
        <v>634016</v>
      </c>
      <c r="E32" s="56">
        <v>200000</v>
      </c>
      <c r="F32" s="56">
        <v>246300</v>
      </c>
      <c r="G32" s="71">
        <v>96400</v>
      </c>
      <c r="H32" s="19">
        <f t="shared" si="0"/>
        <v>2099946</v>
      </c>
      <c r="I32" s="84">
        <v>276894</v>
      </c>
      <c r="J32" s="56">
        <v>348247</v>
      </c>
      <c r="K32" s="18">
        <v>108247</v>
      </c>
      <c r="L32" s="19">
        <f t="shared" si="1"/>
        <v>733388</v>
      </c>
      <c r="M32" s="19">
        <f t="shared" si="2"/>
        <v>2833334</v>
      </c>
    </row>
    <row r="33" spans="1:13">
      <c r="A33" s="1" t="s">
        <v>24</v>
      </c>
      <c r="B33" s="15" t="s">
        <v>52</v>
      </c>
      <c r="C33" s="55">
        <v>0</v>
      </c>
      <c r="D33" s="56">
        <v>0</v>
      </c>
      <c r="E33" s="56">
        <v>200000</v>
      </c>
      <c r="F33" s="56">
        <v>0</v>
      </c>
      <c r="G33" s="71">
        <v>0</v>
      </c>
      <c r="H33" s="19">
        <f t="shared" si="0"/>
        <v>200000</v>
      </c>
      <c r="I33" s="84">
        <v>0</v>
      </c>
      <c r="J33" s="56">
        <v>0</v>
      </c>
      <c r="K33" s="18">
        <v>0</v>
      </c>
      <c r="L33" s="19">
        <f t="shared" si="1"/>
        <v>0</v>
      </c>
      <c r="M33" s="19">
        <f t="shared" si="2"/>
        <v>200000</v>
      </c>
    </row>
    <row r="34" spans="1:13">
      <c r="A34" s="1" t="s">
        <v>24</v>
      </c>
      <c r="B34" s="15" t="s">
        <v>53</v>
      </c>
      <c r="C34" s="55">
        <v>923230</v>
      </c>
      <c r="D34" s="56">
        <v>634016</v>
      </c>
      <c r="E34" s="56">
        <v>0</v>
      </c>
      <c r="F34" s="56">
        <v>246300</v>
      </c>
      <c r="G34" s="71">
        <v>96400</v>
      </c>
      <c r="H34" s="19">
        <f t="shared" si="0"/>
        <v>1899946</v>
      </c>
      <c r="I34" s="84">
        <v>276894</v>
      </c>
      <c r="J34" s="56">
        <v>348247</v>
      </c>
      <c r="K34" s="18">
        <v>108247</v>
      </c>
      <c r="L34" s="19">
        <f t="shared" si="1"/>
        <v>733388</v>
      </c>
      <c r="M34" s="19">
        <f t="shared" si="2"/>
        <v>2633334</v>
      </c>
    </row>
    <row r="35" spans="1:13">
      <c r="A35" s="1" t="s">
        <v>24</v>
      </c>
      <c r="B35" s="15" t="s">
        <v>54</v>
      </c>
      <c r="C35" s="57" t="s">
        <v>55</v>
      </c>
      <c r="D35" s="58" t="s">
        <v>56</v>
      </c>
      <c r="E35" s="58" t="s">
        <v>55</v>
      </c>
      <c r="F35" s="58" t="s">
        <v>56</v>
      </c>
      <c r="G35" s="72" t="s">
        <v>56</v>
      </c>
      <c r="H35" s="21"/>
      <c r="I35" s="85" t="s">
        <v>55</v>
      </c>
      <c r="J35" s="58" t="s">
        <v>55</v>
      </c>
      <c r="K35" s="20" t="s">
        <v>55</v>
      </c>
      <c r="L35" s="21">
        <f t="shared" si="1"/>
        <v>0</v>
      </c>
      <c r="M35" s="21">
        <f t="shared" si="2"/>
        <v>0</v>
      </c>
    </row>
    <row r="36" spans="1:13">
      <c r="A36" s="1" t="s">
        <v>24</v>
      </c>
      <c r="B36" s="15" t="s">
        <v>57</v>
      </c>
      <c r="C36" s="55">
        <v>202030</v>
      </c>
      <c r="D36" s="56">
        <v>365984</v>
      </c>
      <c r="E36" s="56">
        <v>4760</v>
      </c>
      <c r="F36" s="56">
        <v>53700</v>
      </c>
      <c r="G36" s="71">
        <v>3600</v>
      </c>
      <c r="H36" s="19">
        <f t="shared" si="0"/>
        <v>630074</v>
      </c>
      <c r="I36" s="84">
        <v>9100</v>
      </c>
      <c r="J36" s="56">
        <v>14150</v>
      </c>
      <c r="K36" s="18">
        <v>1230</v>
      </c>
      <c r="L36" s="19">
        <f t="shared" si="1"/>
        <v>24480</v>
      </c>
      <c r="M36" s="19">
        <f t="shared" si="2"/>
        <v>654554</v>
      </c>
    </row>
    <row r="37" spans="1:13">
      <c r="A37" s="1" t="s">
        <v>24</v>
      </c>
      <c r="B37" s="15" t="s">
        <v>58</v>
      </c>
      <c r="C37" s="55">
        <v>0</v>
      </c>
      <c r="D37" s="56">
        <v>0</v>
      </c>
      <c r="E37" s="56">
        <v>4760</v>
      </c>
      <c r="F37" s="56">
        <v>0</v>
      </c>
      <c r="G37" s="71">
        <v>0</v>
      </c>
      <c r="H37" s="19">
        <f t="shared" si="0"/>
        <v>4760</v>
      </c>
      <c r="I37" s="84">
        <v>0</v>
      </c>
      <c r="J37" s="56">
        <v>0</v>
      </c>
      <c r="K37" s="18">
        <v>1230</v>
      </c>
      <c r="L37" s="19">
        <f t="shared" si="1"/>
        <v>1230</v>
      </c>
      <c r="M37" s="19">
        <f t="shared" si="2"/>
        <v>5990</v>
      </c>
    </row>
    <row r="38" spans="1:13" ht="19.5" thickBot="1">
      <c r="A38" s="1" t="s">
        <v>24</v>
      </c>
      <c r="B38" s="11" t="s">
        <v>59</v>
      </c>
      <c r="C38" s="59">
        <v>30000</v>
      </c>
      <c r="D38" s="60">
        <v>0</v>
      </c>
      <c r="E38" s="60">
        <v>30000</v>
      </c>
      <c r="F38" s="60">
        <v>0</v>
      </c>
      <c r="G38" s="73">
        <v>0</v>
      </c>
      <c r="H38" s="13"/>
      <c r="I38" s="86">
        <v>30000</v>
      </c>
      <c r="J38" s="60">
        <v>30000</v>
      </c>
      <c r="K38" s="12">
        <v>30000</v>
      </c>
      <c r="L38" s="13"/>
      <c r="M38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2024-12-03T05:11:45Z</dcterms:created>
  <dcterms:modified xsi:type="dcterms:W3CDTF">2025-09-28T01:58:32Z</dcterms:modified>
  <cp:category/>
  <cp:contentStatus/>
</cp:coreProperties>
</file>