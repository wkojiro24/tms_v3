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1\"/>
    </mc:Choice>
  </mc:AlternateContent>
  <xr:revisionPtr revIDLastSave="0" documentId="13_ncr:1_{BB8A808A-55F6-4990-AF13-6B64C8EACA40}" xr6:coauthVersionLast="47" xr6:coauthVersionMax="47" xr10:uidLastSave="{00000000-0000-0000-0000-000000000000}"/>
  <bookViews>
    <workbookView xWindow="-120" yWindow="-120" windowWidth="20730" windowHeight="11040" xr2:uid="{07CB032A-C52D-49C5-BDC6-698693DA890C}"/>
  </bookViews>
  <sheets>
    <sheet name="2024年11月度給与 (2)" sheetId="3" r:id="rId1"/>
  </sheets>
  <definedNames>
    <definedName name="_xlnm.Print_Area" localSheetId="0">'2024年11月度給与 (2)'!$A$1:$L$47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20" i="3"/>
  <c r="L21" i="3"/>
  <c r="L22" i="3"/>
  <c r="L32" i="3"/>
  <c r="L33" i="3"/>
  <c r="L34" i="3"/>
  <c r="L46" i="3"/>
  <c r="L5" i="3"/>
  <c r="K6" i="3"/>
  <c r="L6" i="3" s="1"/>
  <c r="K7" i="3"/>
  <c r="K8" i="3"/>
  <c r="K9" i="3"/>
  <c r="K10" i="3"/>
  <c r="L10" i="3" s="1"/>
  <c r="K11" i="3"/>
  <c r="L11" i="3" s="1"/>
  <c r="K12" i="3"/>
  <c r="L12" i="3" s="1"/>
  <c r="K13" i="3"/>
  <c r="L13" i="3" s="1"/>
  <c r="K14" i="3"/>
  <c r="L14" i="3" s="1"/>
  <c r="K16" i="3"/>
  <c r="L16" i="3" s="1"/>
  <c r="K17" i="3"/>
  <c r="L17" i="3" s="1"/>
  <c r="K18" i="3"/>
  <c r="L18" i="3" s="1"/>
  <c r="K19" i="3"/>
  <c r="L19" i="3" s="1"/>
  <c r="K20" i="3"/>
  <c r="K21" i="3"/>
  <c r="K22" i="3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K33" i="3"/>
  <c r="K34" i="3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5" i="3"/>
  <c r="L45" i="3" s="1"/>
  <c r="K46" i="3"/>
  <c r="K5" i="3"/>
  <c r="E6" i="3"/>
  <c r="E7" i="3"/>
  <c r="E8" i="3"/>
  <c r="E9" i="3"/>
  <c r="E10" i="3"/>
  <c r="E11" i="3"/>
  <c r="E12" i="3"/>
  <c r="E13" i="3"/>
  <c r="E14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5" i="3"/>
  <c r="E46" i="3"/>
  <c r="E5" i="3"/>
</calcChain>
</file>

<file path=xl/sharedStrings.xml><?xml version="1.0" encoding="utf-8"?>
<sst xmlns="http://schemas.openxmlformats.org/spreadsheetml/2006/main" count="116" uniqueCount="65">
  <si>
    <t>支給控除一覧表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</si>
  <si>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</si>
  <si>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</si>
  <si>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</si>
  <si>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</si>
  <si>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</si>
  <si>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</si>
  <si>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</si>
  <si>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</si>
  <si>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</si>
  <si>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</si>
  <si>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</si>
  <si>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</si>
  <si>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</si>
  <si>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</si>
  <si>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</si>
  <si>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</si>
  <si>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</si>
  <si>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</si>
  <si>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</si>
  <si>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</si>
  <si>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</si>
  <si>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</si>
  <si>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</si>
  <si>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</si>
  <si>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</si>
  <si>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</si>
  <si>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</si>
  <si>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</si>
  <si>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</si>
  <si>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</si>
  <si>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</si>
  <si>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</si>
  <si>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</si>
  <si>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</si>
  <si>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</si>
  <si>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</si>
  <si>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</si>
  <si>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</si>
  <si>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</si>
  <si>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</si>
  <si>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</si>
  <si>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</si>
  <si>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</si>
  <si>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</si>
  <si>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</si>
  <si>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</si>
  <si>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</si>
  <si>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</si>
  <si>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</si>
  <si>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</si>
  <si>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</si>
  <si>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</si>
  <si>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</si>
  <si>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</si>
  <si>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</si>
  <si>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</si>
  <si>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</si>
  <si>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</si>
  <si>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</si>
  <si>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2024年11月度給与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</si>
  <si>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</si>
  <si>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</si>
  <si>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5名</t>
    <rPh sb="1" eb="2">
      <t>メイ</t>
    </rPh>
    <phoneticPr fontId="3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</si>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</sst>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49" fontId="2" fillId="0" borderId="8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8" xfId="1" applyNumberFormat="1" applyFont="1" applyBorder="1"/>
    <xf numFmtId="3" fontId="2" fillId="0" borderId="0" xfId="1" applyNumberFormat="1" applyFont="1"/>
    <xf numFmtId="3" fontId="2" fillId="0" borderId="8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9" xfId="1" applyNumberFormat="1" applyFont="1" applyBorder="1"/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176" fontId="2" fillId="0" borderId="17" xfId="1" applyNumberFormat="1" applyFont="1" applyBorder="1"/>
    <xf numFmtId="176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3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176" fontId="2" fillId="0" borderId="23" xfId="1" applyNumberFormat="1" applyFont="1" applyBorder="1"/>
    <xf numFmtId="0" fontId="2" fillId="0" borderId="6" xfId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6" xfId="1" applyNumberFormat="1" applyFont="1" applyBorder="1"/>
    <xf numFmtId="3" fontId="2" fillId="0" borderId="32" xfId="1" applyNumberFormat="1" applyFont="1" applyBorder="1"/>
    <xf numFmtId="0" fontId="2" fillId="0" borderId="2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3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9" xfId="1" applyNumberFormat="1" applyFont="1" applyBorder="1"/>
    <xf numFmtId="3" fontId="2" fillId="0" borderId="3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2" xfId="1" applyNumberFormat="1" applyFont="1" applyBorder="1"/>
  </cellXfs>
  <cellStyles count="2">
    <cellStyle name="標準" xfId="0" builtinId="0"/>
    <cellStyle name="標準 2" xfId="1" xr:uid="{DD6EBF9F-2273-426B-A9B2-72D1F7CB8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4EB9-60D1-45F0-B7B6-B9BEE5D19125}">
  <sheetPr>
    <pageSetUpPr fitToPage="1"/>
  </sheetPr>
  <dimension ref="A1:L4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2" width="12.625" style="2" customWidth="1"/>
    <col min="13" max="257" width="9" style="2"/>
    <col min="258" max="258" width="2.375" style="2" customWidth="1"/>
    <col min="259" max="259" width="13.25" style="2" bestFit="1" customWidth="1"/>
    <col min="260" max="260" width="11.125" style="2" bestFit="1" customWidth="1"/>
    <col min="261" max="262" width="9" style="2"/>
    <col min="263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6" width="11.125" style="2" bestFit="1" customWidth="1"/>
    <col min="517" max="518" width="9" style="2"/>
    <col min="519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2" width="11.125" style="2" bestFit="1" customWidth="1"/>
    <col min="773" max="774" width="9" style="2"/>
    <col min="775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28" width="11.125" style="2" bestFit="1" customWidth="1"/>
    <col min="1029" max="1030" width="9" style="2"/>
    <col min="1031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4" width="11.125" style="2" bestFit="1" customWidth="1"/>
    <col min="1285" max="1286" width="9" style="2"/>
    <col min="1287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0" width="11.125" style="2" bestFit="1" customWidth="1"/>
    <col min="1541" max="1542" width="9" style="2"/>
    <col min="1543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6" width="11.125" style="2" bestFit="1" customWidth="1"/>
    <col min="1797" max="1798" width="9" style="2"/>
    <col min="1799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2" width="11.125" style="2" bestFit="1" customWidth="1"/>
    <col min="2053" max="2054" width="9" style="2"/>
    <col min="2055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08" width="11.125" style="2" bestFit="1" customWidth="1"/>
    <col min="2309" max="2310" width="9" style="2"/>
    <col min="2311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4" width="11.125" style="2" bestFit="1" customWidth="1"/>
    <col min="2565" max="2566" width="9" style="2"/>
    <col min="2567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0" width="11.125" style="2" bestFit="1" customWidth="1"/>
    <col min="2821" max="2822" width="9" style="2"/>
    <col min="2823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6" width="11.125" style="2" bestFit="1" customWidth="1"/>
    <col min="3077" max="3078" width="9" style="2"/>
    <col min="3079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2" width="11.125" style="2" bestFit="1" customWidth="1"/>
    <col min="3333" max="3334" width="9" style="2"/>
    <col min="3335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88" width="11.125" style="2" bestFit="1" customWidth="1"/>
    <col min="3589" max="3590" width="9" style="2"/>
    <col min="3591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4" width="11.125" style="2" bestFit="1" customWidth="1"/>
    <col min="3845" max="3846" width="9" style="2"/>
    <col min="3847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0" width="11.125" style="2" bestFit="1" customWidth="1"/>
    <col min="4101" max="4102" width="9" style="2"/>
    <col min="4103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6" width="11.125" style="2" bestFit="1" customWidth="1"/>
    <col min="4357" max="4358" width="9" style="2"/>
    <col min="4359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2" width="11.125" style="2" bestFit="1" customWidth="1"/>
    <col min="4613" max="4614" width="9" style="2"/>
    <col min="4615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68" width="11.125" style="2" bestFit="1" customWidth="1"/>
    <col min="4869" max="4870" width="9" style="2"/>
    <col min="4871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4" width="11.125" style="2" bestFit="1" customWidth="1"/>
    <col min="5125" max="5126" width="9" style="2"/>
    <col min="5127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0" width="11.125" style="2" bestFit="1" customWidth="1"/>
    <col min="5381" max="5382" width="9" style="2"/>
    <col min="5383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6" width="11.125" style="2" bestFit="1" customWidth="1"/>
    <col min="5637" max="5638" width="9" style="2"/>
    <col min="5639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2" width="11.125" style="2" bestFit="1" customWidth="1"/>
    <col min="5893" max="5894" width="9" style="2"/>
    <col min="5895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48" width="11.125" style="2" bestFit="1" customWidth="1"/>
    <col min="6149" max="6150" width="9" style="2"/>
    <col min="6151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4" width="11.125" style="2" bestFit="1" customWidth="1"/>
    <col min="6405" max="6406" width="9" style="2"/>
    <col min="6407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0" width="11.125" style="2" bestFit="1" customWidth="1"/>
    <col min="6661" max="6662" width="9" style="2"/>
    <col min="6663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6" width="11.125" style="2" bestFit="1" customWidth="1"/>
    <col min="6917" max="6918" width="9" style="2"/>
    <col min="6919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2" width="11.125" style="2" bestFit="1" customWidth="1"/>
    <col min="7173" max="7174" width="9" style="2"/>
    <col min="7175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28" width="11.125" style="2" bestFit="1" customWidth="1"/>
    <col min="7429" max="7430" width="9" style="2"/>
    <col min="7431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4" width="11.125" style="2" bestFit="1" customWidth="1"/>
    <col min="7685" max="7686" width="9" style="2"/>
    <col min="7687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0" width="11.125" style="2" bestFit="1" customWidth="1"/>
    <col min="7941" max="7942" width="9" style="2"/>
    <col min="7943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6" width="11.125" style="2" bestFit="1" customWidth="1"/>
    <col min="8197" max="8198" width="9" style="2"/>
    <col min="8199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2" width="11.125" style="2" bestFit="1" customWidth="1"/>
    <col min="8453" max="8454" width="9" style="2"/>
    <col min="8455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08" width="11.125" style="2" bestFit="1" customWidth="1"/>
    <col min="8709" max="8710" width="9" style="2"/>
    <col min="8711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4" width="11.125" style="2" bestFit="1" customWidth="1"/>
    <col min="8965" max="8966" width="9" style="2"/>
    <col min="8967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0" width="11.125" style="2" bestFit="1" customWidth="1"/>
    <col min="9221" max="9222" width="9" style="2"/>
    <col min="9223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6" width="11.125" style="2" bestFit="1" customWidth="1"/>
    <col min="9477" max="9478" width="9" style="2"/>
    <col min="9479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2" width="11.125" style="2" bestFit="1" customWidth="1"/>
    <col min="9733" max="9734" width="9" style="2"/>
    <col min="9735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88" width="11.125" style="2" bestFit="1" customWidth="1"/>
    <col min="9989" max="9990" width="9" style="2"/>
    <col min="9991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4" width="11.125" style="2" bestFit="1" customWidth="1"/>
    <col min="10245" max="10246" width="9" style="2"/>
    <col min="10247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0" width="11.125" style="2" bestFit="1" customWidth="1"/>
    <col min="10501" max="10502" width="9" style="2"/>
    <col min="10503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6" width="11.125" style="2" bestFit="1" customWidth="1"/>
    <col min="10757" max="10758" width="9" style="2"/>
    <col min="10759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2" width="11.125" style="2" bestFit="1" customWidth="1"/>
    <col min="11013" max="11014" width="9" style="2"/>
    <col min="11015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68" width="11.125" style="2" bestFit="1" customWidth="1"/>
    <col min="11269" max="11270" width="9" style="2"/>
    <col min="11271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4" width="11.125" style="2" bestFit="1" customWidth="1"/>
    <col min="11525" max="11526" width="9" style="2"/>
    <col min="11527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0" width="11.125" style="2" bestFit="1" customWidth="1"/>
    <col min="11781" max="11782" width="9" style="2"/>
    <col min="11783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6" width="11.125" style="2" bestFit="1" customWidth="1"/>
    <col min="12037" max="12038" width="9" style="2"/>
    <col min="12039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2" width="11.125" style="2" bestFit="1" customWidth="1"/>
    <col min="12293" max="12294" width="9" style="2"/>
    <col min="12295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48" width="11.125" style="2" bestFit="1" customWidth="1"/>
    <col min="12549" max="12550" width="9" style="2"/>
    <col min="12551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4" width="11.125" style="2" bestFit="1" customWidth="1"/>
    <col min="12805" max="12806" width="9" style="2"/>
    <col min="12807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0" width="11.125" style="2" bestFit="1" customWidth="1"/>
    <col min="13061" max="13062" width="9" style="2"/>
    <col min="13063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6" width="11.125" style="2" bestFit="1" customWidth="1"/>
    <col min="13317" max="13318" width="9" style="2"/>
    <col min="13319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2" width="11.125" style="2" bestFit="1" customWidth="1"/>
    <col min="13573" max="13574" width="9" style="2"/>
    <col min="13575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28" width="11.125" style="2" bestFit="1" customWidth="1"/>
    <col min="13829" max="13830" width="9" style="2"/>
    <col min="13831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4" width="11.125" style="2" bestFit="1" customWidth="1"/>
    <col min="14085" max="14086" width="9" style="2"/>
    <col min="14087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0" width="11.125" style="2" bestFit="1" customWidth="1"/>
    <col min="14341" max="14342" width="9" style="2"/>
    <col min="14343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6" width="11.125" style="2" bestFit="1" customWidth="1"/>
    <col min="14597" max="14598" width="9" style="2"/>
    <col min="14599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2" width="11.125" style="2" bestFit="1" customWidth="1"/>
    <col min="14853" max="14854" width="9" style="2"/>
    <col min="14855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08" width="11.125" style="2" bestFit="1" customWidth="1"/>
    <col min="15109" max="15110" width="9" style="2"/>
    <col min="15111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4" width="11.125" style="2" bestFit="1" customWidth="1"/>
    <col min="15365" max="15366" width="9" style="2"/>
    <col min="15367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0" width="11.125" style="2" bestFit="1" customWidth="1"/>
    <col min="15621" max="15622" width="9" style="2"/>
    <col min="15623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6" width="11.125" style="2" bestFit="1" customWidth="1"/>
    <col min="15877" max="15878" width="9" style="2"/>
    <col min="15879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2" width="11.125" style="2" bestFit="1" customWidth="1"/>
    <col min="16133" max="16134" width="9" style="2"/>
    <col min="16135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60</v>
      </c>
    </row>
    <row r="3" spans="1:12">
      <c r="B3" s="4"/>
      <c r="C3" s="26" t="s">
        <v>3</v>
      </c>
      <c r="D3" s="5" t="s">
        <v>8</v>
      </c>
      <c r="E3" s="62" t="s">
        <v>61</v>
      </c>
      <c r="F3" s="25" t="s">
        <v>2</v>
      </c>
      <c r="G3" s="26" t="s">
        <v>4</v>
      </c>
      <c r="H3" s="26" t="s">
        <v>5</v>
      </c>
      <c r="I3" s="26" t="s">
        <v>6</v>
      </c>
      <c r="J3" s="64" t="s">
        <v>7</v>
      </c>
      <c r="K3" s="62" t="s">
        <v>61</v>
      </c>
      <c r="L3" s="61" t="s">
        <v>17</v>
      </c>
    </row>
    <row r="4" spans="1:12" ht="19.5" thickBot="1">
      <c r="B4" s="6" t="s">
        <v>9</v>
      </c>
      <c r="C4" s="28" t="s">
        <v>11</v>
      </c>
      <c r="D4" s="3" t="s">
        <v>16</v>
      </c>
      <c r="E4" s="63" t="s">
        <v>62</v>
      </c>
      <c r="F4" s="27" t="s">
        <v>10</v>
      </c>
      <c r="G4" s="28" t="s">
        <v>12</v>
      </c>
      <c r="H4" s="28" t="s">
        <v>13</v>
      </c>
      <c r="I4" s="28" t="s">
        <v>14</v>
      </c>
      <c r="J4" s="65" t="s">
        <v>15</v>
      </c>
      <c r="K4" s="63" t="s">
        <v>63</v>
      </c>
      <c r="L4" s="77" t="s">
        <v>64</v>
      </c>
    </row>
    <row r="5" spans="1:12">
      <c r="A5" s="1" t="s">
        <v>1</v>
      </c>
      <c r="B5" s="48" t="s">
        <v>18</v>
      </c>
      <c r="C5" s="50">
        <v>20</v>
      </c>
      <c r="D5" s="51">
        <v>11</v>
      </c>
      <c r="E5" s="52">
        <f t="shared" ref="E5:E14" si="0">SUM(C5:D5)</f>
        <v>31</v>
      </c>
      <c r="F5" s="49">
        <v>20</v>
      </c>
      <c r="G5" s="50">
        <v>20</v>
      </c>
      <c r="H5" s="50">
        <v>20</v>
      </c>
      <c r="I5" s="50">
        <v>17</v>
      </c>
      <c r="J5" s="66">
        <v>17</v>
      </c>
      <c r="K5" s="52">
        <f>SUM(F5:J5)</f>
        <v>94</v>
      </c>
      <c r="L5" s="78">
        <f>SUM(K5,E5)</f>
        <v>125</v>
      </c>
    </row>
    <row r="6" spans="1:12">
      <c r="A6" s="1" t="s">
        <v>1</v>
      </c>
      <c r="B6" s="43" t="s">
        <v>19</v>
      </c>
      <c r="C6" s="54">
        <v>0</v>
      </c>
      <c r="D6" s="55">
        <v>0</v>
      </c>
      <c r="E6" s="56">
        <f t="shared" si="0"/>
        <v>0</v>
      </c>
      <c r="F6" s="53">
        <v>3</v>
      </c>
      <c r="G6" s="54">
        <v>3</v>
      </c>
      <c r="H6" s="54">
        <v>1</v>
      </c>
      <c r="I6" s="54">
        <v>3</v>
      </c>
      <c r="J6" s="67">
        <v>4</v>
      </c>
      <c r="K6" s="56">
        <f t="shared" ref="K6:K46" si="1">SUM(F6:J6)</f>
        <v>14</v>
      </c>
      <c r="L6" s="79">
        <f t="shared" ref="L6:L46" si="2">SUM(K6,E6)</f>
        <v>14</v>
      </c>
    </row>
    <row r="7" spans="1:12">
      <c r="A7" s="1" t="s">
        <v>1</v>
      </c>
      <c r="B7" s="43" t="s">
        <v>20</v>
      </c>
      <c r="C7" s="54">
        <v>0</v>
      </c>
      <c r="D7" s="55">
        <v>0</v>
      </c>
      <c r="E7" s="56">
        <f t="shared" si="0"/>
        <v>0</v>
      </c>
      <c r="F7" s="53">
        <v>0</v>
      </c>
      <c r="G7" s="54">
        <v>1</v>
      </c>
      <c r="H7" s="54">
        <v>0</v>
      </c>
      <c r="I7" s="54">
        <v>1</v>
      </c>
      <c r="J7" s="67">
        <v>2</v>
      </c>
      <c r="K7" s="56">
        <f t="shared" si="1"/>
        <v>4</v>
      </c>
      <c r="L7" s="79">
        <f t="shared" si="2"/>
        <v>4</v>
      </c>
    </row>
    <row r="8" spans="1:12">
      <c r="A8" s="1" t="s">
        <v>1</v>
      </c>
      <c r="B8" s="43" t="s">
        <v>21</v>
      </c>
      <c r="C8" s="54">
        <v>0.5</v>
      </c>
      <c r="D8" s="55">
        <v>1</v>
      </c>
      <c r="E8" s="56">
        <f t="shared" si="0"/>
        <v>1.5</v>
      </c>
      <c r="F8" s="53">
        <v>0</v>
      </c>
      <c r="G8" s="54">
        <v>0</v>
      </c>
      <c r="H8" s="54">
        <v>0</v>
      </c>
      <c r="I8" s="54">
        <v>3</v>
      </c>
      <c r="J8" s="67">
        <v>3</v>
      </c>
      <c r="K8" s="56">
        <f t="shared" si="1"/>
        <v>6</v>
      </c>
      <c r="L8" s="79">
        <f t="shared" si="2"/>
        <v>7.5</v>
      </c>
    </row>
    <row r="9" spans="1:12">
      <c r="A9" s="1" t="s">
        <v>1</v>
      </c>
      <c r="B9" s="43" t="s">
        <v>22</v>
      </c>
      <c r="C9" s="58">
        <v>0</v>
      </c>
      <c r="D9" s="59">
        <v>2.9166666666666665</v>
      </c>
      <c r="E9" s="60">
        <f t="shared" si="0"/>
        <v>2.9166666666666665</v>
      </c>
      <c r="F9" s="57">
        <v>0</v>
      </c>
      <c r="G9" s="58">
        <v>0</v>
      </c>
      <c r="H9" s="58">
        <v>0</v>
      </c>
      <c r="I9" s="58">
        <v>0</v>
      </c>
      <c r="J9" s="68">
        <v>0</v>
      </c>
      <c r="K9" s="60">
        <f t="shared" si="1"/>
        <v>0</v>
      </c>
      <c r="L9" s="80">
        <f t="shared" si="2"/>
        <v>2.9166666666666665</v>
      </c>
    </row>
    <row r="10" spans="1:12">
      <c r="A10" s="1" t="s">
        <v>1</v>
      </c>
      <c r="B10" s="43" t="s">
        <v>23</v>
      </c>
      <c r="C10" s="58">
        <v>0</v>
      </c>
      <c r="D10" s="59">
        <v>0</v>
      </c>
      <c r="E10" s="60">
        <f t="shared" si="0"/>
        <v>0</v>
      </c>
      <c r="F10" s="57">
        <v>1.8333333333333335</v>
      </c>
      <c r="G10" s="58">
        <v>1.7083333333333335</v>
      </c>
      <c r="H10" s="58">
        <v>2.375</v>
      </c>
      <c r="I10" s="58">
        <v>1.875</v>
      </c>
      <c r="J10" s="68">
        <v>1.875</v>
      </c>
      <c r="K10" s="60">
        <f t="shared" si="1"/>
        <v>9.6666666666666679</v>
      </c>
      <c r="L10" s="80">
        <f t="shared" si="2"/>
        <v>9.6666666666666679</v>
      </c>
    </row>
    <row r="11" spans="1:12">
      <c r="A11" s="1" t="s">
        <v>1</v>
      </c>
      <c r="B11" s="43" t="s">
        <v>24</v>
      </c>
      <c r="C11" s="58">
        <v>0</v>
      </c>
      <c r="D11" s="59">
        <v>0</v>
      </c>
      <c r="E11" s="60">
        <f t="shared" si="0"/>
        <v>0</v>
      </c>
      <c r="F11" s="57">
        <v>1.0416666666666667</v>
      </c>
      <c r="G11" s="58">
        <v>1.1666666666666667</v>
      </c>
      <c r="H11" s="58">
        <v>0.33333333333333331</v>
      </c>
      <c r="I11" s="58">
        <v>1.25</v>
      </c>
      <c r="J11" s="68">
        <v>1.3333333333333333</v>
      </c>
      <c r="K11" s="60">
        <f t="shared" si="1"/>
        <v>5.125</v>
      </c>
      <c r="L11" s="80">
        <f t="shared" si="2"/>
        <v>5.125</v>
      </c>
    </row>
    <row r="12" spans="1:12">
      <c r="A12" s="1" t="s">
        <v>1</v>
      </c>
      <c r="B12" s="43" t="s">
        <v>25</v>
      </c>
      <c r="C12" s="58">
        <v>0</v>
      </c>
      <c r="D12" s="59">
        <v>0</v>
      </c>
      <c r="E12" s="60">
        <f t="shared" si="0"/>
        <v>0</v>
      </c>
      <c r="F12" s="57">
        <v>0</v>
      </c>
      <c r="G12" s="58">
        <v>0.33333333333333331</v>
      </c>
      <c r="H12" s="58">
        <v>0</v>
      </c>
      <c r="I12" s="58">
        <v>0.375</v>
      </c>
      <c r="J12" s="68">
        <v>0.54166666666666663</v>
      </c>
      <c r="K12" s="60">
        <f t="shared" si="1"/>
        <v>1.25</v>
      </c>
      <c r="L12" s="80">
        <f t="shared" si="2"/>
        <v>1.25</v>
      </c>
    </row>
    <row r="13" spans="1:12">
      <c r="A13" s="1" t="s">
        <v>1</v>
      </c>
      <c r="B13" s="43" t="s">
        <v>26</v>
      </c>
      <c r="C13" s="58">
        <v>0</v>
      </c>
      <c r="D13" s="59">
        <v>0.29166666666666669</v>
      </c>
      <c r="E13" s="60">
        <f t="shared" si="0"/>
        <v>0.29166666666666669</v>
      </c>
      <c r="F13" s="57">
        <v>0</v>
      </c>
      <c r="G13" s="58">
        <v>0</v>
      </c>
      <c r="H13" s="58">
        <v>0</v>
      </c>
      <c r="I13" s="58">
        <v>0</v>
      </c>
      <c r="J13" s="68">
        <v>0</v>
      </c>
      <c r="K13" s="60">
        <f t="shared" si="1"/>
        <v>0</v>
      </c>
      <c r="L13" s="80">
        <f t="shared" si="2"/>
        <v>0.29166666666666669</v>
      </c>
    </row>
    <row r="14" spans="1:12">
      <c r="A14" s="1" t="s">
        <v>1</v>
      </c>
      <c r="B14" s="7" t="s">
        <v>27</v>
      </c>
      <c r="C14" s="30">
        <v>0.125</v>
      </c>
      <c r="D14" s="8">
        <v>0</v>
      </c>
      <c r="E14" s="9">
        <f t="shared" si="0"/>
        <v>0.125</v>
      </c>
      <c r="F14" s="29">
        <v>0.58333333333333337</v>
      </c>
      <c r="G14" s="30">
        <v>0.29166666666666669</v>
      </c>
      <c r="H14" s="30">
        <v>0.5</v>
      </c>
      <c r="I14" s="30">
        <v>0.29166666666666669</v>
      </c>
      <c r="J14" s="69">
        <v>0.41666666666666669</v>
      </c>
      <c r="K14" s="9">
        <f t="shared" si="1"/>
        <v>2.0833333333333335</v>
      </c>
      <c r="L14" s="81">
        <f t="shared" si="2"/>
        <v>2.2083333333333335</v>
      </c>
    </row>
    <row r="15" spans="1:12">
      <c r="A15" s="1" t="s">
        <v>1</v>
      </c>
      <c r="B15" s="15" t="s">
        <v>28</v>
      </c>
      <c r="C15" s="32">
        <v>33.5</v>
      </c>
      <c r="D15" s="16">
        <v>4</v>
      </c>
      <c r="E15" s="17"/>
      <c r="F15" s="31">
        <v>15</v>
      </c>
      <c r="G15" s="32">
        <v>25</v>
      </c>
      <c r="H15" s="32">
        <v>10</v>
      </c>
      <c r="I15" s="32">
        <v>26</v>
      </c>
      <c r="J15" s="70">
        <v>29</v>
      </c>
      <c r="K15" s="17"/>
      <c r="L15" s="82"/>
    </row>
    <row r="16" spans="1:12">
      <c r="A16" s="1" t="s">
        <v>1</v>
      </c>
      <c r="B16" s="22" t="s">
        <v>29</v>
      </c>
      <c r="C16" s="38">
        <v>370000</v>
      </c>
      <c r="D16" s="23">
        <v>0</v>
      </c>
      <c r="E16" s="24">
        <f t="shared" ref="E16:E42" si="3">SUM(C16:D16)</f>
        <v>370000</v>
      </c>
      <c r="F16" s="37">
        <v>197000</v>
      </c>
      <c r="G16" s="38">
        <v>182000</v>
      </c>
      <c r="H16" s="38">
        <v>182000</v>
      </c>
      <c r="I16" s="38">
        <v>182000</v>
      </c>
      <c r="J16" s="71">
        <v>182000</v>
      </c>
      <c r="K16" s="24">
        <f t="shared" si="1"/>
        <v>925000</v>
      </c>
      <c r="L16" s="83">
        <f t="shared" si="2"/>
        <v>1295000</v>
      </c>
    </row>
    <row r="17" spans="1:12">
      <c r="A17" s="1" t="s">
        <v>1</v>
      </c>
      <c r="B17" s="43" t="s">
        <v>30</v>
      </c>
      <c r="C17" s="45">
        <v>0</v>
      </c>
      <c r="D17" s="46">
        <v>0</v>
      </c>
      <c r="E17" s="47">
        <f t="shared" si="3"/>
        <v>0</v>
      </c>
      <c r="F17" s="44">
        <v>5000</v>
      </c>
      <c r="G17" s="45">
        <v>0</v>
      </c>
      <c r="H17" s="45">
        <v>0</v>
      </c>
      <c r="I17" s="45">
        <v>0</v>
      </c>
      <c r="J17" s="72">
        <v>0</v>
      </c>
      <c r="K17" s="47">
        <f t="shared" si="1"/>
        <v>5000</v>
      </c>
      <c r="L17" s="84">
        <f t="shared" si="2"/>
        <v>5000</v>
      </c>
    </row>
    <row r="18" spans="1:12">
      <c r="A18" s="1" t="s">
        <v>1</v>
      </c>
      <c r="B18" s="43" t="s">
        <v>31</v>
      </c>
      <c r="C18" s="45">
        <v>0</v>
      </c>
      <c r="D18" s="46">
        <v>0</v>
      </c>
      <c r="E18" s="47">
        <f t="shared" si="3"/>
        <v>0</v>
      </c>
      <c r="F18" s="44">
        <v>0</v>
      </c>
      <c r="G18" s="45">
        <v>15000</v>
      </c>
      <c r="H18" s="45">
        <v>0</v>
      </c>
      <c r="I18" s="45">
        <v>0</v>
      </c>
      <c r="J18" s="72">
        <v>0</v>
      </c>
      <c r="K18" s="47">
        <f t="shared" si="1"/>
        <v>15000</v>
      </c>
      <c r="L18" s="84">
        <f t="shared" si="2"/>
        <v>15000</v>
      </c>
    </row>
    <row r="19" spans="1:12">
      <c r="A19" s="1" t="s">
        <v>1</v>
      </c>
      <c r="B19" s="43" t="s">
        <v>32</v>
      </c>
      <c r="C19" s="45">
        <v>50000</v>
      </c>
      <c r="D19" s="46">
        <v>0</v>
      </c>
      <c r="E19" s="47">
        <f t="shared" si="3"/>
        <v>50000</v>
      </c>
      <c r="F19" s="44">
        <v>50000</v>
      </c>
      <c r="G19" s="45">
        <v>50000</v>
      </c>
      <c r="H19" s="45">
        <v>50000</v>
      </c>
      <c r="I19" s="45">
        <v>50000</v>
      </c>
      <c r="J19" s="72">
        <v>50000</v>
      </c>
      <c r="K19" s="47">
        <f t="shared" si="1"/>
        <v>250000</v>
      </c>
      <c r="L19" s="84">
        <f t="shared" si="2"/>
        <v>300000</v>
      </c>
    </row>
    <row r="20" spans="1:12">
      <c r="A20" s="1" t="s">
        <v>1</v>
      </c>
      <c r="B20" s="43" t="s">
        <v>33</v>
      </c>
      <c r="C20" s="45">
        <v>0</v>
      </c>
      <c r="D20" s="46">
        <v>87150</v>
      </c>
      <c r="E20" s="47">
        <f t="shared" si="3"/>
        <v>87150</v>
      </c>
      <c r="F20" s="44">
        <v>0</v>
      </c>
      <c r="G20" s="45">
        <v>0</v>
      </c>
      <c r="H20" s="45">
        <v>0</v>
      </c>
      <c r="I20" s="45">
        <v>0</v>
      </c>
      <c r="J20" s="72">
        <v>0</v>
      </c>
      <c r="K20" s="47">
        <f t="shared" si="1"/>
        <v>0</v>
      </c>
      <c r="L20" s="84">
        <f t="shared" si="2"/>
        <v>87150</v>
      </c>
    </row>
    <row r="21" spans="1:12">
      <c r="A21" s="1" t="s">
        <v>1</v>
      </c>
      <c r="B21" s="43" t="s">
        <v>34</v>
      </c>
      <c r="C21" s="45">
        <v>0</v>
      </c>
      <c r="D21" s="46">
        <v>0</v>
      </c>
      <c r="E21" s="47">
        <f t="shared" si="3"/>
        <v>0</v>
      </c>
      <c r="F21" s="44">
        <v>3500</v>
      </c>
      <c r="G21" s="45">
        <v>2000</v>
      </c>
      <c r="H21" s="45">
        <v>3500</v>
      </c>
      <c r="I21" s="45">
        <v>3500</v>
      </c>
      <c r="J21" s="72">
        <v>3500</v>
      </c>
      <c r="K21" s="47">
        <f t="shared" si="1"/>
        <v>16000</v>
      </c>
      <c r="L21" s="84">
        <f t="shared" si="2"/>
        <v>16000</v>
      </c>
    </row>
    <row r="22" spans="1:12">
      <c r="A22" s="1" t="s">
        <v>1</v>
      </c>
      <c r="B22" s="43" t="s">
        <v>35</v>
      </c>
      <c r="C22" s="45">
        <v>0</v>
      </c>
      <c r="D22" s="46">
        <v>8715</v>
      </c>
      <c r="E22" s="47">
        <f t="shared" si="3"/>
        <v>8715</v>
      </c>
      <c r="F22" s="44">
        <v>0</v>
      </c>
      <c r="G22" s="45">
        <v>0</v>
      </c>
      <c r="H22" s="45">
        <v>0</v>
      </c>
      <c r="I22" s="45">
        <v>0</v>
      </c>
      <c r="J22" s="72">
        <v>0</v>
      </c>
      <c r="K22" s="47">
        <f t="shared" si="1"/>
        <v>0</v>
      </c>
      <c r="L22" s="84">
        <f t="shared" si="2"/>
        <v>8715</v>
      </c>
    </row>
    <row r="23" spans="1:12">
      <c r="A23" s="1" t="s">
        <v>1</v>
      </c>
      <c r="B23" s="43" t="s">
        <v>36</v>
      </c>
      <c r="C23" s="45">
        <v>0</v>
      </c>
      <c r="D23" s="46">
        <v>0</v>
      </c>
      <c r="E23" s="47">
        <f t="shared" si="3"/>
        <v>0</v>
      </c>
      <c r="F23" s="44">
        <v>10500</v>
      </c>
      <c r="G23" s="45">
        <v>13500</v>
      </c>
      <c r="H23" s="45">
        <v>13000</v>
      </c>
      <c r="I23" s="45">
        <v>13000</v>
      </c>
      <c r="J23" s="72">
        <v>13000</v>
      </c>
      <c r="K23" s="47">
        <f t="shared" si="1"/>
        <v>63000</v>
      </c>
      <c r="L23" s="84">
        <f t="shared" si="2"/>
        <v>63000</v>
      </c>
    </row>
    <row r="24" spans="1:12">
      <c r="A24" s="1" t="s">
        <v>1</v>
      </c>
      <c r="B24" s="43" t="s">
        <v>23</v>
      </c>
      <c r="C24" s="45">
        <v>0</v>
      </c>
      <c r="D24" s="46">
        <v>0</v>
      </c>
      <c r="E24" s="47">
        <f t="shared" si="3"/>
        <v>0</v>
      </c>
      <c r="F24" s="44">
        <v>87604</v>
      </c>
      <c r="G24" s="45">
        <v>80565</v>
      </c>
      <c r="H24" s="45">
        <v>106020</v>
      </c>
      <c r="I24" s="45">
        <v>83700</v>
      </c>
      <c r="J24" s="72">
        <v>83700</v>
      </c>
      <c r="K24" s="47">
        <f t="shared" si="1"/>
        <v>441589</v>
      </c>
      <c r="L24" s="84">
        <f t="shared" si="2"/>
        <v>441589</v>
      </c>
    </row>
    <row r="25" spans="1:12">
      <c r="A25" s="1" t="s">
        <v>1</v>
      </c>
      <c r="B25" s="43" t="s">
        <v>37</v>
      </c>
      <c r="C25" s="45">
        <v>0</v>
      </c>
      <c r="D25" s="46">
        <v>0</v>
      </c>
      <c r="E25" s="47">
        <f t="shared" si="3"/>
        <v>0</v>
      </c>
      <c r="F25" s="44">
        <v>53775</v>
      </c>
      <c r="G25" s="45">
        <v>59416</v>
      </c>
      <c r="H25" s="45">
        <v>16072</v>
      </c>
      <c r="I25" s="45">
        <v>60270</v>
      </c>
      <c r="J25" s="72">
        <v>64288</v>
      </c>
      <c r="K25" s="47">
        <f t="shared" si="1"/>
        <v>253821</v>
      </c>
      <c r="L25" s="84">
        <f t="shared" si="2"/>
        <v>253821</v>
      </c>
    </row>
    <row r="26" spans="1:12">
      <c r="A26" s="1" t="s">
        <v>1</v>
      </c>
      <c r="B26" s="43" t="s">
        <v>38</v>
      </c>
      <c r="C26" s="45">
        <v>0</v>
      </c>
      <c r="D26" s="46">
        <v>0</v>
      </c>
      <c r="E26" s="47">
        <f t="shared" si="3"/>
        <v>0</v>
      </c>
      <c r="F26" s="44">
        <v>0</v>
      </c>
      <c r="G26" s="45">
        <v>16976</v>
      </c>
      <c r="H26" s="45">
        <v>0</v>
      </c>
      <c r="I26" s="45">
        <v>18081</v>
      </c>
      <c r="J26" s="72">
        <v>26117</v>
      </c>
      <c r="K26" s="47">
        <f t="shared" si="1"/>
        <v>61174</v>
      </c>
      <c r="L26" s="84">
        <f t="shared" si="2"/>
        <v>61174</v>
      </c>
    </row>
    <row r="27" spans="1:12">
      <c r="A27" s="1" t="s">
        <v>1</v>
      </c>
      <c r="B27" s="7" t="s">
        <v>27</v>
      </c>
      <c r="C27" s="34">
        <v>1887</v>
      </c>
      <c r="D27" s="10">
        <v>0</v>
      </c>
      <c r="E27" s="11">
        <f t="shared" si="3"/>
        <v>1887</v>
      </c>
      <c r="F27" s="33">
        <v>5572</v>
      </c>
      <c r="G27" s="34">
        <v>2751</v>
      </c>
      <c r="H27" s="34">
        <v>4464</v>
      </c>
      <c r="I27" s="34">
        <v>2604</v>
      </c>
      <c r="J27" s="73">
        <v>3720</v>
      </c>
      <c r="K27" s="11">
        <f t="shared" si="1"/>
        <v>19111</v>
      </c>
      <c r="L27" s="85">
        <f t="shared" si="2"/>
        <v>20998</v>
      </c>
    </row>
    <row r="28" spans="1:12">
      <c r="A28" s="1" t="s">
        <v>1</v>
      </c>
      <c r="B28" s="15" t="s">
        <v>39</v>
      </c>
      <c r="C28" s="36">
        <v>421887</v>
      </c>
      <c r="D28" s="18">
        <v>95865</v>
      </c>
      <c r="E28" s="19">
        <f t="shared" si="3"/>
        <v>517752</v>
      </c>
      <c r="F28" s="35">
        <v>412951</v>
      </c>
      <c r="G28" s="36">
        <v>422208</v>
      </c>
      <c r="H28" s="36">
        <v>375056</v>
      </c>
      <c r="I28" s="36">
        <v>413155</v>
      </c>
      <c r="J28" s="74">
        <v>426325</v>
      </c>
      <c r="K28" s="19">
        <f t="shared" si="1"/>
        <v>2049695</v>
      </c>
      <c r="L28" s="86">
        <f t="shared" si="2"/>
        <v>2567447</v>
      </c>
    </row>
    <row r="29" spans="1:12">
      <c r="A29" s="1" t="s">
        <v>1</v>
      </c>
      <c r="B29" s="22" t="s">
        <v>40</v>
      </c>
      <c r="C29" s="38">
        <v>12942</v>
      </c>
      <c r="D29" s="23">
        <v>3960</v>
      </c>
      <c r="E29" s="24">
        <f t="shared" si="3"/>
        <v>16902</v>
      </c>
      <c r="F29" s="37">
        <v>5906</v>
      </c>
      <c r="G29" s="38">
        <v>9978</v>
      </c>
      <c r="H29" s="38">
        <v>4912</v>
      </c>
      <c r="I29" s="38">
        <v>3775</v>
      </c>
      <c r="J29" s="71">
        <v>5906</v>
      </c>
      <c r="K29" s="24">
        <f t="shared" si="1"/>
        <v>30477</v>
      </c>
      <c r="L29" s="83">
        <f t="shared" si="2"/>
        <v>47379</v>
      </c>
    </row>
    <row r="30" spans="1:12">
      <c r="A30" s="1" t="s">
        <v>1</v>
      </c>
      <c r="B30" s="7" t="s">
        <v>41</v>
      </c>
      <c r="C30" s="34">
        <v>12942</v>
      </c>
      <c r="D30" s="10">
        <v>3960</v>
      </c>
      <c r="E30" s="11">
        <f t="shared" si="3"/>
        <v>16902</v>
      </c>
      <c r="F30" s="33">
        <v>5906</v>
      </c>
      <c r="G30" s="34">
        <v>9978</v>
      </c>
      <c r="H30" s="34">
        <v>4912</v>
      </c>
      <c r="I30" s="34">
        <v>3775</v>
      </c>
      <c r="J30" s="73">
        <v>5906</v>
      </c>
      <c r="K30" s="11">
        <f t="shared" si="1"/>
        <v>30477</v>
      </c>
      <c r="L30" s="85">
        <f t="shared" si="2"/>
        <v>47379</v>
      </c>
    </row>
    <row r="31" spans="1:12">
      <c r="A31" s="1" t="s">
        <v>1</v>
      </c>
      <c r="B31" s="15" t="s">
        <v>42</v>
      </c>
      <c r="C31" s="36">
        <v>434829</v>
      </c>
      <c r="D31" s="18">
        <v>99825</v>
      </c>
      <c r="E31" s="19">
        <f t="shared" si="3"/>
        <v>534654</v>
      </c>
      <c r="F31" s="35">
        <v>418857</v>
      </c>
      <c r="G31" s="36">
        <v>432186</v>
      </c>
      <c r="H31" s="36">
        <v>379968</v>
      </c>
      <c r="I31" s="36">
        <v>416930</v>
      </c>
      <c r="J31" s="74">
        <v>432231</v>
      </c>
      <c r="K31" s="19">
        <f t="shared" si="1"/>
        <v>2080172</v>
      </c>
      <c r="L31" s="86">
        <f t="shared" si="2"/>
        <v>2614826</v>
      </c>
    </row>
    <row r="32" spans="1:12">
      <c r="A32" s="1" t="s">
        <v>1</v>
      </c>
      <c r="B32" s="22" t="s">
        <v>43</v>
      </c>
      <c r="C32" s="38">
        <v>20910</v>
      </c>
      <c r="D32" s="23">
        <v>0</v>
      </c>
      <c r="E32" s="24">
        <f t="shared" si="3"/>
        <v>20910</v>
      </c>
      <c r="F32" s="37">
        <v>18360</v>
      </c>
      <c r="G32" s="38">
        <v>19380</v>
      </c>
      <c r="H32" s="38">
        <v>17340</v>
      </c>
      <c r="I32" s="38">
        <v>19380</v>
      </c>
      <c r="J32" s="71">
        <v>19380</v>
      </c>
      <c r="K32" s="24">
        <f t="shared" si="1"/>
        <v>93840</v>
      </c>
      <c r="L32" s="83">
        <f t="shared" si="2"/>
        <v>114750</v>
      </c>
    </row>
    <row r="33" spans="1:12">
      <c r="A33" s="1" t="s">
        <v>1</v>
      </c>
      <c r="B33" s="43" t="s">
        <v>44</v>
      </c>
      <c r="C33" s="45">
        <v>3690</v>
      </c>
      <c r="D33" s="46">
        <v>0</v>
      </c>
      <c r="E33" s="47">
        <f t="shared" si="3"/>
        <v>3690</v>
      </c>
      <c r="F33" s="44">
        <v>3240</v>
      </c>
      <c r="G33" s="45">
        <v>3420</v>
      </c>
      <c r="H33" s="45">
        <v>3060</v>
      </c>
      <c r="I33" s="45">
        <v>3420</v>
      </c>
      <c r="J33" s="72">
        <v>3420</v>
      </c>
      <c r="K33" s="47">
        <f t="shared" si="1"/>
        <v>16560</v>
      </c>
      <c r="L33" s="84">
        <f t="shared" si="2"/>
        <v>20250</v>
      </c>
    </row>
    <row r="34" spans="1:12">
      <c r="A34" s="1" t="s">
        <v>1</v>
      </c>
      <c r="B34" s="43" t="s">
        <v>45</v>
      </c>
      <c r="C34" s="45">
        <v>37515</v>
      </c>
      <c r="D34" s="46">
        <v>0</v>
      </c>
      <c r="E34" s="47">
        <f t="shared" si="3"/>
        <v>37515</v>
      </c>
      <c r="F34" s="44">
        <v>32940</v>
      </c>
      <c r="G34" s="45">
        <v>34770</v>
      </c>
      <c r="H34" s="45">
        <v>31110</v>
      </c>
      <c r="I34" s="45">
        <v>34770</v>
      </c>
      <c r="J34" s="72">
        <v>34770</v>
      </c>
      <c r="K34" s="47">
        <f t="shared" si="1"/>
        <v>168360</v>
      </c>
      <c r="L34" s="84">
        <f t="shared" si="2"/>
        <v>205875</v>
      </c>
    </row>
    <row r="35" spans="1:12">
      <c r="A35" s="1" t="s">
        <v>1</v>
      </c>
      <c r="B35" s="7" t="s">
        <v>46</v>
      </c>
      <c r="C35" s="34">
        <v>2609</v>
      </c>
      <c r="D35" s="10">
        <v>599</v>
      </c>
      <c r="E35" s="11">
        <f t="shared" si="3"/>
        <v>3208</v>
      </c>
      <c r="F35" s="33">
        <v>2513</v>
      </c>
      <c r="G35" s="34">
        <v>2593</v>
      </c>
      <c r="H35" s="34">
        <v>2280</v>
      </c>
      <c r="I35" s="34">
        <v>2502</v>
      </c>
      <c r="J35" s="73">
        <v>2593</v>
      </c>
      <c r="K35" s="11">
        <f t="shared" si="1"/>
        <v>12481</v>
      </c>
      <c r="L35" s="85">
        <f t="shared" si="2"/>
        <v>15689</v>
      </c>
    </row>
    <row r="36" spans="1:12">
      <c r="A36" s="1" t="s">
        <v>1</v>
      </c>
      <c r="B36" s="15" t="s">
        <v>47</v>
      </c>
      <c r="C36" s="36">
        <v>64724</v>
      </c>
      <c r="D36" s="18">
        <v>599</v>
      </c>
      <c r="E36" s="19">
        <f t="shared" si="3"/>
        <v>65323</v>
      </c>
      <c r="F36" s="35">
        <v>57053</v>
      </c>
      <c r="G36" s="36">
        <v>60163</v>
      </c>
      <c r="H36" s="36">
        <v>53790</v>
      </c>
      <c r="I36" s="36">
        <v>60072</v>
      </c>
      <c r="J36" s="74">
        <v>60163</v>
      </c>
      <c r="K36" s="19">
        <f t="shared" si="1"/>
        <v>291241</v>
      </c>
      <c r="L36" s="86">
        <f t="shared" si="2"/>
        <v>356564</v>
      </c>
    </row>
    <row r="37" spans="1:12">
      <c r="A37" s="1" t="s">
        <v>1</v>
      </c>
      <c r="B37" s="22" t="s">
        <v>48</v>
      </c>
      <c r="C37" s="38">
        <v>0</v>
      </c>
      <c r="D37" s="23">
        <v>0</v>
      </c>
      <c r="E37" s="24">
        <f t="shared" si="3"/>
        <v>0</v>
      </c>
      <c r="F37" s="37">
        <v>12950</v>
      </c>
      <c r="G37" s="38">
        <v>35</v>
      </c>
      <c r="H37" s="38">
        <v>0</v>
      </c>
      <c r="I37" s="38">
        <v>12720</v>
      </c>
      <c r="J37" s="71">
        <v>0</v>
      </c>
      <c r="K37" s="24">
        <f t="shared" si="1"/>
        <v>25705</v>
      </c>
      <c r="L37" s="83">
        <f t="shared" si="2"/>
        <v>25705</v>
      </c>
    </row>
    <row r="38" spans="1:12">
      <c r="A38" s="1" t="s">
        <v>1</v>
      </c>
      <c r="B38" s="7" t="s">
        <v>49</v>
      </c>
      <c r="C38" s="34">
        <v>23700</v>
      </c>
      <c r="D38" s="10">
        <v>0</v>
      </c>
      <c r="E38" s="11">
        <f t="shared" si="3"/>
        <v>23700</v>
      </c>
      <c r="F38" s="33">
        <v>18300</v>
      </c>
      <c r="G38" s="34">
        <v>12900</v>
      </c>
      <c r="H38" s="34">
        <v>6500</v>
      </c>
      <c r="I38" s="34">
        <v>16400</v>
      </c>
      <c r="J38" s="73">
        <v>2700</v>
      </c>
      <c r="K38" s="11">
        <f t="shared" si="1"/>
        <v>56800</v>
      </c>
      <c r="L38" s="85">
        <f t="shared" si="2"/>
        <v>80500</v>
      </c>
    </row>
    <row r="39" spans="1:12">
      <c r="A39" s="1" t="s">
        <v>1</v>
      </c>
      <c r="B39" s="15" t="s">
        <v>50</v>
      </c>
      <c r="C39" s="36">
        <v>88424</v>
      </c>
      <c r="D39" s="18">
        <v>599</v>
      </c>
      <c r="E39" s="19">
        <f t="shared" si="3"/>
        <v>89023</v>
      </c>
      <c r="F39" s="35">
        <v>88303</v>
      </c>
      <c r="G39" s="36">
        <v>73098</v>
      </c>
      <c r="H39" s="36">
        <v>60290</v>
      </c>
      <c r="I39" s="36">
        <v>89192</v>
      </c>
      <c r="J39" s="74">
        <v>62863</v>
      </c>
      <c r="K39" s="19">
        <f t="shared" si="1"/>
        <v>373746</v>
      </c>
      <c r="L39" s="86">
        <f t="shared" si="2"/>
        <v>462769</v>
      </c>
    </row>
    <row r="40" spans="1:12">
      <c r="A40" s="1" t="s">
        <v>1</v>
      </c>
      <c r="B40" s="15" t="s">
        <v>51</v>
      </c>
      <c r="C40" s="36">
        <v>357163</v>
      </c>
      <c r="D40" s="18">
        <v>95266</v>
      </c>
      <c r="E40" s="19">
        <f t="shared" si="3"/>
        <v>452429</v>
      </c>
      <c r="F40" s="35">
        <v>355898</v>
      </c>
      <c r="G40" s="36">
        <v>362045</v>
      </c>
      <c r="H40" s="36">
        <v>321266</v>
      </c>
      <c r="I40" s="36">
        <v>353083</v>
      </c>
      <c r="J40" s="74">
        <v>366162</v>
      </c>
      <c r="K40" s="19">
        <f t="shared" si="1"/>
        <v>1758454</v>
      </c>
      <c r="L40" s="86">
        <f t="shared" si="2"/>
        <v>2210883</v>
      </c>
    </row>
    <row r="41" spans="1:12">
      <c r="A41" s="1" t="s">
        <v>1</v>
      </c>
      <c r="B41" s="15" t="s">
        <v>52</v>
      </c>
      <c r="C41" s="36">
        <v>346405</v>
      </c>
      <c r="D41" s="18">
        <v>99226</v>
      </c>
      <c r="E41" s="19">
        <f t="shared" si="3"/>
        <v>445631</v>
      </c>
      <c r="F41" s="35">
        <v>330554</v>
      </c>
      <c r="G41" s="36">
        <v>359088</v>
      </c>
      <c r="H41" s="36">
        <v>319678</v>
      </c>
      <c r="I41" s="36">
        <v>327738</v>
      </c>
      <c r="J41" s="74">
        <v>369368</v>
      </c>
      <c r="K41" s="19">
        <f t="shared" si="1"/>
        <v>1706426</v>
      </c>
      <c r="L41" s="86">
        <f t="shared" si="2"/>
        <v>2152057</v>
      </c>
    </row>
    <row r="42" spans="1:12">
      <c r="A42" s="1" t="s">
        <v>1</v>
      </c>
      <c r="B42" s="15" t="s">
        <v>53</v>
      </c>
      <c r="C42" s="36">
        <v>346405</v>
      </c>
      <c r="D42" s="18">
        <v>99226</v>
      </c>
      <c r="E42" s="19">
        <f t="shared" si="3"/>
        <v>445631</v>
      </c>
      <c r="F42" s="35">
        <v>330554</v>
      </c>
      <c r="G42" s="36">
        <v>359088</v>
      </c>
      <c r="H42" s="36">
        <v>319678</v>
      </c>
      <c r="I42" s="36">
        <v>327738</v>
      </c>
      <c r="J42" s="74">
        <v>369368</v>
      </c>
      <c r="K42" s="19">
        <f t="shared" si="1"/>
        <v>1706426</v>
      </c>
      <c r="L42" s="86">
        <f t="shared" si="2"/>
        <v>2152057</v>
      </c>
    </row>
    <row r="43" spans="1:12">
      <c r="A43" s="1" t="s">
        <v>1</v>
      </c>
      <c r="B43" s="15" t="s">
        <v>54</v>
      </c>
      <c r="C43" s="36">
        <v>2</v>
      </c>
      <c r="D43" s="18">
        <v>0</v>
      </c>
      <c r="E43" s="19"/>
      <c r="F43" s="35">
        <v>0</v>
      </c>
      <c r="G43" s="36">
        <v>1</v>
      </c>
      <c r="H43" s="36">
        <v>2</v>
      </c>
      <c r="I43" s="36">
        <v>0</v>
      </c>
      <c r="J43" s="74">
        <v>2</v>
      </c>
      <c r="K43" s="19"/>
      <c r="L43" s="86"/>
    </row>
    <row r="44" spans="1:12">
      <c r="A44" s="1" t="s">
        <v>1</v>
      </c>
      <c r="B44" s="15" t="s">
        <v>55</v>
      </c>
      <c r="C44" s="40" t="s">
        <v>56</v>
      </c>
      <c r="D44" s="20" t="s">
        <v>56</v>
      </c>
      <c r="E44" s="21"/>
      <c r="F44" s="39" t="s">
        <v>56</v>
      </c>
      <c r="G44" s="40" t="s">
        <v>56</v>
      </c>
      <c r="H44" s="40" t="s">
        <v>56</v>
      </c>
      <c r="I44" s="40" t="s">
        <v>56</v>
      </c>
      <c r="J44" s="75" t="s">
        <v>56</v>
      </c>
      <c r="K44" s="21"/>
      <c r="L44" s="87"/>
    </row>
    <row r="45" spans="1:12">
      <c r="A45" s="1" t="s">
        <v>1</v>
      </c>
      <c r="B45" s="15" t="s">
        <v>57</v>
      </c>
      <c r="C45" s="36">
        <v>7440</v>
      </c>
      <c r="D45" s="18">
        <v>480</v>
      </c>
      <c r="E45" s="19">
        <f>SUM(C45:D45)</f>
        <v>7920</v>
      </c>
      <c r="F45" s="35">
        <v>12950</v>
      </c>
      <c r="G45" s="36">
        <v>10210</v>
      </c>
      <c r="H45" s="36">
        <v>5970</v>
      </c>
      <c r="I45" s="36">
        <v>12720</v>
      </c>
      <c r="J45" s="74">
        <v>7810</v>
      </c>
      <c r="K45" s="19">
        <f t="shared" si="1"/>
        <v>49660</v>
      </c>
      <c r="L45" s="86">
        <f t="shared" si="2"/>
        <v>57580</v>
      </c>
    </row>
    <row r="46" spans="1:12">
      <c r="A46" s="1" t="s">
        <v>1</v>
      </c>
      <c r="B46" s="15" t="s">
        <v>58</v>
      </c>
      <c r="C46" s="36">
        <v>7440</v>
      </c>
      <c r="D46" s="18">
        <v>480</v>
      </c>
      <c r="E46" s="19">
        <f>SUM(C46:D46)</f>
        <v>7920</v>
      </c>
      <c r="F46" s="35">
        <v>0</v>
      </c>
      <c r="G46" s="36">
        <v>10175</v>
      </c>
      <c r="H46" s="36">
        <v>5970</v>
      </c>
      <c r="I46" s="36">
        <v>0</v>
      </c>
      <c r="J46" s="74">
        <v>7810</v>
      </c>
      <c r="K46" s="19">
        <f t="shared" si="1"/>
        <v>23955</v>
      </c>
      <c r="L46" s="86">
        <f t="shared" si="2"/>
        <v>31875</v>
      </c>
    </row>
    <row r="47" spans="1:12" ht="19.5" thickBot="1">
      <c r="A47" s="1" t="s">
        <v>1</v>
      </c>
      <c r="B47" s="12" t="s">
        <v>59</v>
      </c>
      <c r="C47" s="42">
        <v>90000</v>
      </c>
      <c r="D47" s="13">
        <v>30000</v>
      </c>
      <c r="E47" s="14"/>
      <c r="F47" s="41">
        <v>30000</v>
      </c>
      <c r="G47" s="42">
        <v>60000</v>
      </c>
      <c r="H47" s="42">
        <v>60000</v>
      </c>
      <c r="I47" s="42">
        <v>30000</v>
      </c>
      <c r="J47" s="76">
        <v>60000</v>
      </c>
      <c r="K47" s="14"/>
      <c r="L47" s="88"/>
    </row>
  </sheetData>
  <phoneticPr fontId="4"/>
  <pageMargins left="0.11811023622047245" right="0.11811023622047245" top="0.15748031496062992" bottom="0.15748031496062992" header="0.11811023622047245" footer="0.11811023622047245"/>
  <pageSetup paperSize="12" scale="8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2024年11月度給与 (2)</vt:lpstr>
      <vt:lpstr>'2024年11月度給与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2024-12-17T07:29:32Z</cp:lastPrinted>
  <dcterms:created xsi:type="dcterms:W3CDTF">2024-12-03T05:23:16Z</dcterms:created>
  <dcterms:modified xsi:type="dcterms:W3CDTF">2024-12-17T07:30:28Z</dcterms:modified>
</cp:coreProperties>
</file>