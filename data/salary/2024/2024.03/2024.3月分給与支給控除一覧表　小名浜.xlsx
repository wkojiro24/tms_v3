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若林運送 Dropbox\深沢道夫\総務・経理\給与集計内訳\2024\2024.03\"/>
    </mc:Choice>
  </mc:AlternateContent>
  <xr:revisionPtr revIDLastSave="0" documentId="13_ncr:1_{E1E46DFF-76EF-424E-98A0-3AA1FAF3E29F}" xr6:coauthVersionLast="47" xr6:coauthVersionMax="47" xr10:uidLastSave="{00000000-0000-0000-0000-000000000000}"/>
  <bookViews>
    <workbookView xWindow="-120" yWindow="-120" windowWidth="20730" windowHeight="11160" xr2:uid="{E7FC17E9-2944-473D-940E-436AD345A5C3}"/>
  </bookViews>
  <sheets>
    <sheet name="2024年 3月度給与 (4)" sheetId="5" r:id="rId1"/>
    <sheet name="2024年 3月度給与 (3)" sheetId="4" r:id="rId2"/>
    <sheet name="2024年 3月度給与 (2)" sheetId="3" r:id="rId3"/>
  </sheets>
  <definedNames>
    <definedName name="_xlnm.Print_Area" localSheetId="1">'2024年 3月度給与 (3)'!$A$1:$N$52</definedName>
    <definedName name="_xlnm.Print_Area" localSheetId="0">'2024年 3月度給与 (4)'!$A$1:$V$52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50" i="5" l="1"/>
  <c r="V49" i="5"/>
  <c r="V48" i="5"/>
  <c r="V47" i="5"/>
  <c r="V46" i="5"/>
  <c r="V45" i="5"/>
  <c r="V44" i="5"/>
  <c r="V43" i="5"/>
  <c r="V42" i="5"/>
  <c r="V41" i="5"/>
  <c r="V40" i="5"/>
  <c r="V39" i="5"/>
  <c r="V38" i="5"/>
  <c r="V37" i="5"/>
  <c r="V36" i="5"/>
  <c r="V35" i="5"/>
  <c r="V34" i="5"/>
  <c r="V33" i="5"/>
  <c r="V32" i="5"/>
  <c r="V31" i="5"/>
  <c r="V30" i="5"/>
  <c r="V29" i="5"/>
  <c r="V28" i="5"/>
  <c r="V27" i="5"/>
  <c r="V26" i="5"/>
  <c r="V25" i="5"/>
  <c r="V24" i="5"/>
  <c r="V23" i="5"/>
  <c r="V22" i="5"/>
  <c r="V21" i="5"/>
  <c r="V20" i="5"/>
  <c r="V19" i="5"/>
  <c r="V18" i="5"/>
  <c r="V17" i="5"/>
  <c r="V16" i="5"/>
  <c r="V15" i="5"/>
  <c r="V14" i="5"/>
  <c r="V13" i="5"/>
  <c r="V12" i="5"/>
  <c r="V11" i="5"/>
  <c r="V10" i="5"/>
  <c r="V9" i="5"/>
  <c r="V8" i="5"/>
  <c r="V7" i="5"/>
  <c r="V6" i="5"/>
  <c r="V5" i="5"/>
  <c r="M50" i="4"/>
  <c r="K50" i="4"/>
  <c r="M49" i="4"/>
  <c r="K49" i="4"/>
  <c r="M48" i="4"/>
  <c r="K48" i="4"/>
  <c r="M47" i="4"/>
  <c r="K47" i="4"/>
  <c r="M46" i="4"/>
  <c r="K46" i="4"/>
  <c r="M45" i="4"/>
  <c r="K45" i="4"/>
  <c r="M44" i="4"/>
  <c r="K44" i="4"/>
  <c r="M43" i="4"/>
  <c r="K43" i="4"/>
  <c r="M42" i="4"/>
  <c r="K42" i="4"/>
  <c r="M41" i="4"/>
  <c r="K41" i="4"/>
  <c r="M40" i="4"/>
  <c r="K40" i="4"/>
  <c r="M39" i="4"/>
  <c r="K39" i="4"/>
  <c r="M38" i="4"/>
  <c r="K38" i="4"/>
  <c r="M37" i="4"/>
  <c r="K37" i="4"/>
  <c r="M36" i="4"/>
  <c r="K36" i="4"/>
  <c r="M35" i="4"/>
  <c r="K35" i="4"/>
  <c r="M34" i="4"/>
  <c r="K34" i="4"/>
  <c r="M33" i="4"/>
  <c r="K33" i="4"/>
  <c r="M32" i="4"/>
  <c r="K32" i="4"/>
  <c r="M31" i="4"/>
  <c r="K31" i="4"/>
  <c r="M30" i="4"/>
  <c r="K30" i="4"/>
  <c r="M29" i="4"/>
  <c r="K29" i="4"/>
  <c r="M28" i="4"/>
  <c r="K28" i="4"/>
  <c r="M27" i="4"/>
  <c r="K27" i="4"/>
  <c r="M26" i="4"/>
  <c r="K26" i="4"/>
  <c r="M25" i="4"/>
  <c r="K25" i="4"/>
  <c r="M24" i="4"/>
  <c r="K24" i="4"/>
  <c r="M23" i="4"/>
  <c r="K23" i="4"/>
  <c r="M22" i="4"/>
  <c r="K22" i="4"/>
  <c r="M21" i="4"/>
  <c r="K21" i="4"/>
  <c r="M20" i="4"/>
  <c r="K20" i="4"/>
  <c r="M19" i="4"/>
  <c r="K19" i="4"/>
  <c r="M18" i="4"/>
  <c r="K18" i="4"/>
  <c r="M17" i="4"/>
  <c r="K17" i="4"/>
  <c r="M16" i="4"/>
  <c r="K16" i="4"/>
  <c r="M15" i="4"/>
  <c r="K15" i="4"/>
  <c r="M14" i="4"/>
  <c r="K14" i="4"/>
  <c r="M13" i="4"/>
  <c r="K13" i="4"/>
  <c r="M12" i="4"/>
  <c r="K12" i="4"/>
  <c r="M11" i="4"/>
  <c r="K11" i="4"/>
  <c r="M10" i="4"/>
  <c r="K10" i="4"/>
  <c r="M9" i="4"/>
  <c r="K9" i="4"/>
  <c r="M8" i="4"/>
  <c r="K8" i="4"/>
  <c r="M7" i="4"/>
  <c r="K7" i="4"/>
  <c r="M6" i="4"/>
  <c r="K6" i="4"/>
  <c r="M5" i="4"/>
  <c r="K5" i="4"/>
  <c r="AG6" i="3"/>
  <c r="AH6" i="3" s="1"/>
  <c r="AG7" i="3"/>
  <c r="AH7" i="3" s="1"/>
  <c r="AG8" i="3"/>
  <c r="AG9" i="3"/>
  <c r="AG10" i="3"/>
  <c r="AH10" i="3" s="1"/>
  <c r="AG11" i="3"/>
  <c r="AH11" i="3" s="1"/>
  <c r="AG12" i="3"/>
  <c r="AG13" i="3"/>
  <c r="AG14" i="3"/>
  <c r="AH14" i="3" s="1"/>
  <c r="AG15" i="3"/>
  <c r="AH15" i="3" s="1"/>
  <c r="AG16" i="3"/>
  <c r="AG17" i="3"/>
  <c r="AG18" i="3"/>
  <c r="AH18" i="3" s="1"/>
  <c r="AG19" i="3"/>
  <c r="AH19" i="3" s="1"/>
  <c r="AG20" i="3"/>
  <c r="AG21" i="3"/>
  <c r="AG22" i="3"/>
  <c r="AH22" i="3" s="1"/>
  <c r="AG23" i="3"/>
  <c r="AH23" i="3" s="1"/>
  <c r="AG24" i="3"/>
  <c r="AG25" i="3"/>
  <c r="AG26" i="3"/>
  <c r="AH26" i="3" s="1"/>
  <c r="AG27" i="3"/>
  <c r="AH27" i="3" s="1"/>
  <c r="AG28" i="3"/>
  <c r="AG29" i="3"/>
  <c r="AG30" i="3"/>
  <c r="AH30" i="3" s="1"/>
  <c r="AG31" i="3"/>
  <c r="AH31" i="3" s="1"/>
  <c r="AG32" i="3"/>
  <c r="AG33" i="3"/>
  <c r="AG34" i="3"/>
  <c r="AH34" i="3" s="1"/>
  <c r="AG35" i="3"/>
  <c r="AH35" i="3" s="1"/>
  <c r="AG36" i="3"/>
  <c r="AG37" i="3"/>
  <c r="AG38" i="3"/>
  <c r="AH38" i="3" s="1"/>
  <c r="AG39" i="3"/>
  <c r="AH39" i="3" s="1"/>
  <c r="AG40" i="3"/>
  <c r="AG41" i="3"/>
  <c r="AG42" i="3"/>
  <c r="AH42" i="3" s="1"/>
  <c r="AG43" i="3"/>
  <c r="AH43" i="3" s="1"/>
  <c r="AG44" i="3"/>
  <c r="AG45" i="3"/>
  <c r="AG46" i="3"/>
  <c r="AH46" i="3" s="1"/>
  <c r="AG47" i="3"/>
  <c r="AH47" i="3" s="1"/>
  <c r="AG48" i="3"/>
  <c r="AG49" i="3"/>
  <c r="AG50" i="3"/>
  <c r="AH50" i="3" s="1"/>
  <c r="AG5" i="3"/>
  <c r="AH5" i="3" s="1"/>
  <c r="AE6" i="3"/>
  <c r="AE7" i="3"/>
  <c r="AE8" i="3"/>
  <c r="AH8" i="3" s="1"/>
  <c r="AE9" i="3"/>
  <c r="AH9" i="3" s="1"/>
  <c r="AE10" i="3"/>
  <c r="AE11" i="3"/>
  <c r="AE12" i="3"/>
  <c r="AH12" i="3" s="1"/>
  <c r="AE13" i="3"/>
  <c r="AH13" i="3" s="1"/>
  <c r="AE14" i="3"/>
  <c r="AE15" i="3"/>
  <c r="AE16" i="3"/>
  <c r="AH16" i="3" s="1"/>
  <c r="AE17" i="3"/>
  <c r="AH17" i="3" s="1"/>
  <c r="AE18" i="3"/>
  <c r="AE19" i="3"/>
  <c r="AE20" i="3"/>
  <c r="AH20" i="3" s="1"/>
  <c r="AE21" i="3"/>
  <c r="AH21" i="3" s="1"/>
  <c r="AE22" i="3"/>
  <c r="AE23" i="3"/>
  <c r="AE24" i="3"/>
  <c r="AH24" i="3" s="1"/>
  <c r="AE25" i="3"/>
  <c r="AH25" i="3" s="1"/>
  <c r="AE26" i="3"/>
  <c r="AE27" i="3"/>
  <c r="AE28" i="3"/>
  <c r="AH28" i="3" s="1"/>
  <c r="AE29" i="3"/>
  <c r="AH29" i="3" s="1"/>
  <c r="AE30" i="3"/>
  <c r="AE31" i="3"/>
  <c r="AE32" i="3"/>
  <c r="AH32" i="3" s="1"/>
  <c r="AE33" i="3"/>
  <c r="AH33" i="3" s="1"/>
  <c r="AE34" i="3"/>
  <c r="AE35" i="3"/>
  <c r="AE36" i="3"/>
  <c r="AH36" i="3" s="1"/>
  <c r="AE37" i="3"/>
  <c r="AH37" i="3" s="1"/>
  <c r="AE38" i="3"/>
  <c r="AE39" i="3"/>
  <c r="AE40" i="3"/>
  <c r="AH40" i="3" s="1"/>
  <c r="AE41" i="3"/>
  <c r="AH41" i="3" s="1"/>
  <c r="AE42" i="3"/>
  <c r="AE43" i="3"/>
  <c r="AE44" i="3"/>
  <c r="AH44" i="3" s="1"/>
  <c r="AE45" i="3"/>
  <c r="AH45" i="3" s="1"/>
  <c r="AE46" i="3"/>
  <c r="AE47" i="3"/>
  <c r="AE48" i="3"/>
  <c r="AH48" i="3" s="1"/>
  <c r="AE49" i="3"/>
  <c r="AH49" i="3" s="1"/>
  <c r="AE50" i="3"/>
  <c r="AE5" i="3"/>
  <c r="V6" i="3"/>
  <c r="V7" i="3"/>
  <c r="V8" i="3"/>
  <c r="V9" i="3"/>
  <c r="V10" i="3"/>
  <c r="V11" i="3"/>
  <c r="V12" i="3"/>
  <c r="V13" i="3"/>
  <c r="V14" i="3"/>
  <c r="V15" i="3"/>
  <c r="V16" i="3"/>
  <c r="V17" i="3"/>
  <c r="V18" i="3"/>
  <c r="V19" i="3"/>
  <c r="V20" i="3"/>
  <c r="V21" i="3"/>
  <c r="V22" i="3"/>
  <c r="V23" i="3"/>
  <c r="V24" i="3"/>
  <c r="V25" i="3"/>
  <c r="V26" i="3"/>
  <c r="V27" i="3"/>
  <c r="V28" i="3"/>
  <c r="V29" i="3"/>
  <c r="V30" i="3"/>
  <c r="V31" i="3"/>
  <c r="V32" i="3"/>
  <c r="V33" i="3"/>
  <c r="V34" i="3"/>
  <c r="V35" i="3"/>
  <c r="V36" i="3"/>
  <c r="V37" i="3"/>
  <c r="V38" i="3"/>
  <c r="V39" i="3"/>
  <c r="V40" i="3"/>
  <c r="V41" i="3"/>
  <c r="V42" i="3"/>
  <c r="V43" i="3"/>
  <c r="V44" i="3"/>
  <c r="V45" i="3"/>
  <c r="V46" i="3"/>
  <c r="V47" i="3"/>
  <c r="V48" i="3"/>
  <c r="V49" i="3"/>
  <c r="V50" i="3"/>
  <c r="V5" i="3"/>
</calcChain>
</file>

<file path=xl/sharedStrings.xml><?xml version="1.0" encoding="utf-8"?>
<sst xmlns="http://schemas.openxmlformats.org/spreadsheetml/2006/main" count="481" uniqueCount="112">
  <si>
    <t>支給控除一覧表</t>
    <phoneticPr fontId="4"/>
  </si>
  <si>
    <t/>
  </si>
  <si>
    <t>1006</t>
    <phoneticPr fontId="4"/>
  </si>
  <si>
    <t>1007</t>
    <phoneticPr fontId="4"/>
  </si>
  <si>
    <t>1013</t>
    <phoneticPr fontId="4"/>
  </si>
  <si>
    <t>1014</t>
    <phoneticPr fontId="4"/>
  </si>
  <si>
    <t>1015</t>
    <phoneticPr fontId="4"/>
  </si>
  <si>
    <t>1017</t>
    <phoneticPr fontId="4"/>
  </si>
  <si>
    <t>1021</t>
    <phoneticPr fontId="4"/>
  </si>
  <si>
    <t>1022</t>
    <phoneticPr fontId="4"/>
  </si>
  <si>
    <t>1034</t>
    <phoneticPr fontId="4"/>
  </si>
  <si>
    <t>1035</t>
    <phoneticPr fontId="4"/>
  </si>
  <si>
    <t>1039</t>
    <phoneticPr fontId="4"/>
  </si>
  <si>
    <t>1047</t>
    <phoneticPr fontId="4"/>
  </si>
  <si>
    <t>1058</t>
    <phoneticPr fontId="4"/>
  </si>
  <si>
    <t>1065</t>
    <phoneticPr fontId="4"/>
  </si>
  <si>
    <t>1077</t>
    <phoneticPr fontId="4"/>
  </si>
  <si>
    <t>1080</t>
    <phoneticPr fontId="4"/>
  </si>
  <si>
    <t>1087</t>
    <phoneticPr fontId="4"/>
  </si>
  <si>
    <t>1088</t>
    <phoneticPr fontId="4"/>
  </si>
  <si>
    <t>1107</t>
    <phoneticPr fontId="4"/>
  </si>
  <si>
    <t>1109</t>
    <phoneticPr fontId="4"/>
  </si>
  <si>
    <t>1110</t>
    <phoneticPr fontId="4"/>
  </si>
  <si>
    <t>1112</t>
    <phoneticPr fontId="4"/>
  </si>
  <si>
    <t>1002</t>
    <phoneticPr fontId="4"/>
  </si>
  <si>
    <t>1005</t>
    <phoneticPr fontId="4"/>
  </si>
  <si>
    <t>1026</t>
    <phoneticPr fontId="4"/>
  </si>
  <si>
    <t>1027</t>
    <phoneticPr fontId="4"/>
  </si>
  <si>
    <t>1085</t>
    <phoneticPr fontId="4"/>
  </si>
  <si>
    <t>1100</t>
    <phoneticPr fontId="4"/>
  </si>
  <si>
    <t>項目名</t>
    <phoneticPr fontId="4"/>
  </si>
  <si>
    <t>小林　啓一</t>
    <phoneticPr fontId="4"/>
  </si>
  <si>
    <t>鈴木　富雄</t>
    <phoneticPr fontId="4"/>
  </si>
  <si>
    <t>金山　岳夫</t>
    <phoneticPr fontId="4"/>
  </si>
  <si>
    <t>雲藤　順</t>
    <phoneticPr fontId="4"/>
  </si>
  <si>
    <t>鈴木　浩明</t>
    <phoneticPr fontId="4"/>
  </si>
  <si>
    <t>小沼　康</t>
    <phoneticPr fontId="4"/>
  </si>
  <si>
    <t>鵜沼　芳昭</t>
    <phoneticPr fontId="4"/>
  </si>
  <si>
    <t>大平　正勝</t>
    <phoneticPr fontId="4"/>
  </si>
  <si>
    <t>味戸　隆典</t>
    <phoneticPr fontId="4"/>
  </si>
  <si>
    <t>荒木　正朋</t>
    <phoneticPr fontId="4"/>
  </si>
  <si>
    <t>吉田　哲司</t>
    <phoneticPr fontId="4"/>
  </si>
  <si>
    <t>神永　香織</t>
    <phoneticPr fontId="4"/>
  </si>
  <si>
    <t>齋藤　秀行</t>
    <phoneticPr fontId="4"/>
  </si>
  <si>
    <t>菊地　秀和</t>
    <phoneticPr fontId="4"/>
  </si>
  <si>
    <t>若松　美宏</t>
    <phoneticPr fontId="4"/>
  </si>
  <si>
    <t>渡邊　浩司</t>
    <phoneticPr fontId="4"/>
  </si>
  <si>
    <t>松本　誠治</t>
    <phoneticPr fontId="4"/>
  </si>
  <si>
    <t>渡邊　晃弘</t>
    <phoneticPr fontId="4"/>
  </si>
  <si>
    <t>渡邉　進一</t>
    <phoneticPr fontId="4"/>
  </si>
  <si>
    <t>山口　豊</t>
    <phoneticPr fontId="4"/>
  </si>
  <si>
    <t>齋藤　健一</t>
    <phoneticPr fontId="4"/>
  </si>
  <si>
    <t>瀬野尾　勉</t>
    <phoneticPr fontId="4"/>
  </si>
  <si>
    <t>渡辺　敏男</t>
    <phoneticPr fontId="4"/>
  </si>
  <si>
    <t>蛭田　孝子</t>
    <phoneticPr fontId="4"/>
  </si>
  <si>
    <t>鈴木　紀子</t>
    <phoneticPr fontId="4"/>
  </si>
  <si>
    <t>佐原　三夫</t>
    <phoneticPr fontId="4"/>
  </si>
  <si>
    <t>松本　正己</t>
    <phoneticPr fontId="4"/>
  </si>
  <si>
    <t>合計</t>
    <phoneticPr fontId="4"/>
  </si>
  <si>
    <t>平日出勤日数</t>
    <phoneticPr fontId="4"/>
  </si>
  <si>
    <t>法定休日</t>
    <phoneticPr fontId="4"/>
  </si>
  <si>
    <t>法定外休日</t>
    <phoneticPr fontId="4"/>
  </si>
  <si>
    <t>代休日数</t>
    <phoneticPr fontId="4"/>
  </si>
  <si>
    <t>有休日数</t>
    <phoneticPr fontId="4"/>
  </si>
  <si>
    <t>欠勤日数</t>
    <phoneticPr fontId="4"/>
  </si>
  <si>
    <t>就労時間</t>
    <phoneticPr fontId="4"/>
  </si>
  <si>
    <t>平日残業</t>
    <phoneticPr fontId="4"/>
  </si>
  <si>
    <t>法定休日時間</t>
    <phoneticPr fontId="4"/>
  </si>
  <si>
    <t>法定外休時間</t>
    <phoneticPr fontId="4"/>
  </si>
  <si>
    <t>法定代休時間</t>
    <phoneticPr fontId="4"/>
  </si>
  <si>
    <t>法定外代時間</t>
    <phoneticPr fontId="4"/>
  </si>
  <si>
    <t>割増残業</t>
    <phoneticPr fontId="4"/>
  </si>
  <si>
    <t>深夜残業</t>
    <phoneticPr fontId="4"/>
  </si>
  <si>
    <t>有休残日数</t>
    <phoneticPr fontId="4"/>
  </si>
  <si>
    <t>基本給</t>
    <phoneticPr fontId="4"/>
  </si>
  <si>
    <t>職位加算</t>
    <phoneticPr fontId="4"/>
  </si>
  <si>
    <t>職責加算</t>
    <phoneticPr fontId="4"/>
  </si>
  <si>
    <t>調整給</t>
    <phoneticPr fontId="4"/>
  </si>
  <si>
    <t>基本給2</t>
    <phoneticPr fontId="4"/>
  </si>
  <si>
    <t>無事故加算</t>
    <phoneticPr fontId="4"/>
  </si>
  <si>
    <t>欠勤控除</t>
    <phoneticPr fontId="4"/>
  </si>
  <si>
    <t>法定休日残業</t>
    <phoneticPr fontId="4"/>
  </si>
  <si>
    <t>法定外休日残</t>
    <phoneticPr fontId="4"/>
  </si>
  <si>
    <t>法定代休残業</t>
    <phoneticPr fontId="4"/>
  </si>
  <si>
    <t>法定外代休残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</si>
  <si>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</si>
  <si>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</si>
  <si>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</si>
  <si>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</si>
  <si>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</si>
  <si>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</si>
  <si>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</si>
  <si>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</si>
  <si>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社会保険料計</t>
    <phoneticPr fontId="4"/>
  </si>
  <si>
    <t>所得税</t>
    <phoneticPr fontId="4"/>
  </si>
  <si>
    <t>組合費</t>
    <phoneticPr fontId="4"/>
  </si>
  <si>
    <t>住民税</t>
    <phoneticPr fontId="4"/>
  </si>
  <si>
    <t>会社立替</t>
    <phoneticPr fontId="4"/>
  </si>
  <si>
    <t>控除合計</t>
    <phoneticPr fontId="4"/>
  </si>
  <si>
    <t>課税対象額</t>
    <phoneticPr fontId="4"/>
  </si>
  <si>
    <t>差引支給合計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</si>
  <si>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</si>
  <si>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</si>
  <si>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</si>
  <si>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</si>
  <si>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下山田英治</t>
    <phoneticPr fontId="4"/>
  </si>
  <si>
    <t>2024年 3月度給与</t>
    <phoneticPr fontId="4"/>
  </si>
  <si>
    <t>小計</t>
    <rPh sb="0" eb="2">
      <t>ショウケイ</t>
    </rPh>
    <phoneticPr fontId="3"/>
  </si>
  <si>
    <t>１９名</t>
    <rPh sb="2" eb="3">
      <t>メイ</t>
    </rPh>
    <phoneticPr fontId="3"/>
  </si>
  <si>
    <t>8名</t>
    <rPh sb="1" eb="2">
      <t>メイ</t>
    </rPh>
    <phoneticPr fontId="3"/>
  </si>
  <si>
    <t>1名</t>
    <rPh sb="1" eb="2">
      <t>メイ</t>
    </rPh>
    <phoneticPr fontId="3"/>
  </si>
  <si>
    <t>２８名</t>
    <rPh sb="2" eb="3">
      <t>メイ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</si>
</sst>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[h]:mm"/>
    <numFmt numFmtId="177" formatCode="#,##0;&quot;△ &quot;#,##0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4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auto="1"/>
      </left>
      <right style="medium">
        <color indexed="64"/>
      </right>
      <top style="medium">
        <color auto="1"/>
      </top>
      <bottom/>
      <diagonal/>
    </border>
    <border>
      <left style="medium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indexed="64"/>
      </right>
      <top/>
      <bottom/>
      <diagonal/>
    </border>
    <border>
      <left style="medium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indexed="64"/>
      </right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/>
      <right/>
      <top style="medium">
        <color indexed="64"/>
      </top>
      <bottom style="hair">
        <color auto="1"/>
      </bottom>
      <diagonal/>
    </border>
    <border>
      <left style="medium">
        <color indexed="64"/>
      </left>
      <right style="hair">
        <color indexed="64"/>
      </right>
      <top style="medium">
        <color auto="1"/>
      </top>
      <bottom/>
      <diagonal/>
    </border>
    <border>
      <left style="hair">
        <color indexed="64"/>
      </left>
      <right style="hair">
        <color indexed="64"/>
      </right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auto="1"/>
      </bottom>
      <diagonal/>
    </border>
    <border>
      <left style="medium">
        <color indexed="64"/>
      </left>
      <right style="hair">
        <color indexed="64"/>
      </right>
      <top style="hair">
        <color auto="1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medium">
        <color indexed="64"/>
      </left>
      <right style="hair">
        <color indexed="64"/>
      </right>
      <top style="thin">
        <color auto="1"/>
      </top>
      <bottom style="thin">
        <color auto="1"/>
      </bottom>
      <diagonal/>
    </border>
    <border>
      <left style="hair">
        <color indexed="64"/>
      </left>
      <right style="hair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hair">
        <color indexed="64"/>
      </right>
      <top style="thin">
        <color auto="1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 style="thin">
        <color auto="1"/>
      </top>
      <bottom style="hair">
        <color auto="1"/>
      </bottom>
      <diagonal/>
    </border>
    <border>
      <left style="hair">
        <color indexed="64"/>
      </left>
      <right/>
      <top style="medium">
        <color auto="1"/>
      </top>
      <bottom/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auto="1"/>
      </bottom>
      <diagonal/>
    </border>
    <border>
      <left style="hair">
        <color indexed="64"/>
      </left>
      <right/>
      <top style="hair">
        <color auto="1"/>
      </top>
      <bottom style="hair">
        <color auto="1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thin">
        <color auto="1"/>
      </top>
      <bottom style="thin">
        <color auto="1"/>
      </bottom>
      <diagonal/>
    </border>
    <border>
      <left style="hair">
        <color indexed="64"/>
      </left>
      <right/>
      <top style="thin">
        <color auto="1"/>
      </top>
      <bottom style="hair">
        <color auto="1"/>
      </bottom>
      <diagonal/>
    </border>
    <border>
      <left/>
      <right style="hair">
        <color indexed="64"/>
      </right>
      <top style="medium">
        <color auto="1"/>
      </top>
      <bottom/>
      <diagonal/>
    </border>
    <border>
      <left/>
      <right style="hair">
        <color indexed="64"/>
      </right>
      <top/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auto="1"/>
      </bottom>
      <diagonal/>
    </border>
    <border>
      <left/>
      <right style="hair">
        <color indexed="64"/>
      </right>
      <top style="hair">
        <color auto="1"/>
      </top>
      <bottom style="hair">
        <color auto="1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 style="thin">
        <color auto="1"/>
      </top>
      <bottom style="thin">
        <color auto="1"/>
      </bottom>
      <diagonal/>
    </border>
    <border>
      <left/>
      <right style="hair">
        <color indexed="64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90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49" fontId="2" fillId="0" borderId="1" xfId="1" applyNumberFormat="1" applyFont="1" applyBorder="1" applyAlignment="1">
      <alignment horizontal="center"/>
    </xf>
    <xf numFmtId="0" fontId="2" fillId="0" borderId="2" xfId="1" applyFont="1" applyBorder="1" applyAlignment="1">
      <alignment horizontal="center"/>
    </xf>
    <xf numFmtId="0" fontId="2" fillId="0" borderId="3" xfId="1" applyFont="1" applyBorder="1" applyAlignment="1">
      <alignment horizontal="center"/>
    </xf>
    <xf numFmtId="49" fontId="2" fillId="0" borderId="4" xfId="1" applyNumberFormat="1" applyFont="1" applyBorder="1" applyAlignment="1">
      <alignment horizontal="left"/>
    </xf>
    <xf numFmtId="176" fontId="2" fillId="0" borderId="0" xfId="1" applyNumberFormat="1" applyFont="1"/>
    <xf numFmtId="176" fontId="2" fillId="0" borderId="4" xfId="1" applyNumberFormat="1" applyFont="1" applyBorder="1"/>
    <xf numFmtId="3" fontId="2" fillId="0" borderId="0" xfId="1" applyNumberFormat="1" applyFont="1"/>
    <xf numFmtId="3" fontId="2" fillId="0" borderId="4" xfId="1" applyNumberFormat="1" applyFont="1" applyBorder="1"/>
    <xf numFmtId="49" fontId="2" fillId="0" borderId="3" xfId="1" applyNumberFormat="1" applyFont="1" applyBorder="1" applyAlignment="1">
      <alignment horizontal="left"/>
    </xf>
    <xf numFmtId="49" fontId="2" fillId="0" borderId="1" xfId="1" applyNumberFormat="1" applyFont="1" applyBorder="1"/>
    <xf numFmtId="49" fontId="2" fillId="0" borderId="3" xfId="1" applyNumberFormat="1" applyFont="1" applyBorder="1"/>
    <xf numFmtId="49" fontId="2" fillId="0" borderId="5" xfId="1" applyNumberFormat="1" applyFont="1" applyBorder="1" applyAlignment="1">
      <alignment horizontal="left"/>
    </xf>
    <xf numFmtId="2" fontId="2" fillId="0" borderId="6" xfId="1" applyNumberFormat="1" applyFont="1" applyBorder="1"/>
    <xf numFmtId="2" fontId="2" fillId="0" borderId="5" xfId="1" applyNumberFormat="1" applyFont="1" applyBorder="1"/>
    <xf numFmtId="3" fontId="2" fillId="0" borderId="6" xfId="1" applyNumberFormat="1" applyFont="1" applyBorder="1"/>
    <xf numFmtId="3" fontId="2" fillId="0" borderId="5" xfId="1" applyNumberFormat="1" applyFont="1" applyBorder="1"/>
    <xf numFmtId="49" fontId="2" fillId="0" borderId="7" xfId="1" applyNumberFormat="1" applyFont="1" applyBorder="1" applyAlignment="1">
      <alignment horizontal="left"/>
    </xf>
    <xf numFmtId="3" fontId="2" fillId="0" borderId="8" xfId="1" applyNumberFormat="1" applyFont="1" applyBorder="1"/>
    <xf numFmtId="3" fontId="2" fillId="0" borderId="7" xfId="1" applyNumberFormat="1" applyFont="1" applyBorder="1"/>
    <xf numFmtId="49" fontId="2" fillId="0" borderId="9" xfId="1" applyNumberFormat="1" applyFont="1" applyBorder="1" applyAlignment="1">
      <alignment horizontal="left"/>
    </xf>
    <xf numFmtId="3" fontId="2" fillId="0" borderId="10" xfId="1" applyNumberFormat="1" applyFont="1" applyBorder="1"/>
    <xf numFmtId="3" fontId="2" fillId="0" borderId="9" xfId="1" applyNumberFormat="1" applyFont="1" applyBorder="1"/>
    <xf numFmtId="177" fontId="2" fillId="0" borderId="4" xfId="1" applyNumberFormat="1" applyFont="1" applyBorder="1"/>
    <xf numFmtId="49" fontId="2" fillId="0" borderId="11" xfId="1" applyNumberFormat="1" applyFont="1" applyBorder="1" applyAlignment="1">
      <alignment horizontal="left"/>
    </xf>
    <xf numFmtId="2" fontId="2" fillId="0" borderId="12" xfId="1" applyNumberFormat="1" applyFont="1" applyBorder="1"/>
    <xf numFmtId="2" fontId="2" fillId="0" borderId="11" xfId="1" applyNumberFormat="1" applyFont="1" applyBorder="1"/>
    <xf numFmtId="2" fontId="2" fillId="0" borderId="10" xfId="1" applyNumberFormat="1" applyFont="1" applyBorder="1"/>
    <xf numFmtId="2" fontId="2" fillId="0" borderId="9" xfId="1" applyNumberFormat="1" applyFont="1" applyBorder="1"/>
    <xf numFmtId="176" fontId="2" fillId="0" borderId="10" xfId="1" applyNumberFormat="1" applyFont="1" applyBorder="1"/>
    <xf numFmtId="176" fontId="2" fillId="0" borderId="9" xfId="1" applyNumberFormat="1" applyFont="1" applyBorder="1"/>
    <xf numFmtId="177" fontId="2" fillId="0" borderId="9" xfId="1" applyNumberFormat="1" applyFont="1" applyBorder="1"/>
    <xf numFmtId="49" fontId="2" fillId="0" borderId="13" xfId="1" applyNumberFormat="1" applyFont="1" applyBorder="1" applyAlignment="1">
      <alignment horizontal="center"/>
    </xf>
    <xf numFmtId="49" fontId="2" fillId="0" borderId="14" xfId="1" applyNumberFormat="1" applyFont="1" applyBorder="1" applyAlignment="1">
      <alignment horizontal="center"/>
    </xf>
    <xf numFmtId="49" fontId="2" fillId="0" borderId="15" xfId="1" applyNumberFormat="1" applyFont="1" applyBorder="1" applyAlignment="1">
      <alignment horizontal="center"/>
    </xf>
    <xf numFmtId="49" fontId="2" fillId="0" borderId="16" xfId="1" applyNumberFormat="1" applyFont="1" applyBorder="1" applyAlignment="1">
      <alignment horizontal="center"/>
    </xf>
    <xf numFmtId="2" fontId="2" fillId="0" borderId="17" xfId="1" applyNumberFormat="1" applyFont="1" applyBorder="1"/>
    <xf numFmtId="2" fontId="2" fillId="0" borderId="18" xfId="1" applyNumberFormat="1" applyFont="1" applyBorder="1"/>
    <xf numFmtId="2" fontId="2" fillId="0" borderId="19" xfId="1" applyNumberFormat="1" applyFont="1" applyBorder="1"/>
    <xf numFmtId="2" fontId="2" fillId="0" borderId="20" xfId="1" applyNumberFormat="1" applyFont="1" applyBorder="1"/>
    <xf numFmtId="176" fontId="2" fillId="0" borderId="19" xfId="1" applyNumberFormat="1" applyFont="1" applyBorder="1"/>
    <xf numFmtId="176" fontId="2" fillId="0" borderId="20" xfId="1" applyNumberFormat="1" applyFont="1" applyBorder="1"/>
    <xf numFmtId="176" fontId="2" fillId="0" borderId="21" xfId="1" applyNumberFormat="1" applyFont="1" applyBorder="1"/>
    <xf numFmtId="176" fontId="2" fillId="0" borderId="22" xfId="1" applyNumberFormat="1" applyFont="1" applyBorder="1"/>
    <xf numFmtId="2" fontId="2" fillId="0" borderId="23" xfId="1" applyNumberFormat="1" applyFont="1" applyBorder="1"/>
    <xf numFmtId="2" fontId="2" fillId="0" borderId="24" xfId="1" applyNumberFormat="1" applyFont="1" applyBorder="1"/>
    <xf numFmtId="3" fontId="2" fillId="0" borderId="25" xfId="1" applyNumberFormat="1" applyFont="1" applyBorder="1"/>
    <xf numFmtId="3" fontId="2" fillId="0" borderId="26" xfId="1" applyNumberFormat="1" applyFont="1" applyBorder="1"/>
    <xf numFmtId="3" fontId="2" fillId="0" borderId="19" xfId="1" applyNumberFormat="1" applyFont="1" applyBorder="1"/>
    <xf numFmtId="3" fontId="2" fillId="0" borderId="20" xfId="1" applyNumberFormat="1" applyFont="1" applyBorder="1"/>
    <xf numFmtId="177" fontId="2" fillId="0" borderId="20" xfId="1" applyNumberFormat="1" applyFont="1" applyBorder="1"/>
    <xf numFmtId="3" fontId="2" fillId="0" borderId="21" xfId="1" applyNumberFormat="1" applyFont="1" applyBorder="1"/>
    <xf numFmtId="3" fontId="2" fillId="0" borderId="22" xfId="1" applyNumberFormat="1" applyFont="1" applyBorder="1"/>
    <xf numFmtId="3" fontId="2" fillId="0" borderId="23" xfId="1" applyNumberFormat="1" applyFont="1" applyBorder="1"/>
    <xf numFmtId="3" fontId="2" fillId="0" borderId="24" xfId="1" applyNumberFormat="1" applyFont="1" applyBorder="1"/>
    <xf numFmtId="177" fontId="2" fillId="0" borderId="22" xfId="1" applyNumberFormat="1" applyFont="1" applyBorder="1"/>
    <xf numFmtId="177" fontId="2" fillId="0" borderId="24" xfId="1" applyNumberFormat="1" applyFont="1" applyBorder="1"/>
    <xf numFmtId="49" fontId="2" fillId="0" borderId="15" xfId="1" applyNumberFormat="1" applyFont="1" applyBorder="1"/>
    <xf numFmtId="49" fontId="2" fillId="0" borderId="16" xfId="1" applyNumberFormat="1" applyFont="1" applyBorder="1"/>
    <xf numFmtId="49" fontId="2" fillId="0" borderId="27" xfId="1" applyNumberFormat="1" applyFont="1" applyBorder="1" applyAlignment="1">
      <alignment horizontal="center"/>
    </xf>
    <xf numFmtId="49" fontId="2" fillId="0" borderId="28" xfId="1" applyNumberFormat="1" applyFont="1" applyBorder="1" applyAlignment="1">
      <alignment horizontal="center"/>
    </xf>
    <xf numFmtId="2" fontId="2" fillId="0" borderId="29" xfId="1" applyNumberFormat="1" applyFont="1" applyBorder="1"/>
    <xf numFmtId="2" fontId="2" fillId="0" borderId="30" xfId="1" applyNumberFormat="1" applyFont="1" applyBorder="1"/>
    <xf numFmtId="176" fontId="2" fillId="0" borderId="30" xfId="1" applyNumberFormat="1" applyFont="1" applyBorder="1"/>
    <xf numFmtId="176" fontId="2" fillId="0" borderId="31" xfId="1" applyNumberFormat="1" applyFont="1" applyBorder="1"/>
    <xf numFmtId="2" fontId="2" fillId="0" borderId="32" xfId="1" applyNumberFormat="1" applyFont="1" applyBorder="1"/>
    <xf numFmtId="3" fontId="2" fillId="0" borderId="33" xfId="1" applyNumberFormat="1" applyFont="1" applyBorder="1"/>
    <xf numFmtId="3" fontId="2" fillId="0" borderId="30" xfId="1" applyNumberFormat="1" applyFont="1" applyBorder="1"/>
    <xf numFmtId="3" fontId="2" fillId="0" borderId="31" xfId="1" applyNumberFormat="1" applyFont="1" applyBorder="1"/>
    <xf numFmtId="3" fontId="2" fillId="0" borderId="32" xfId="1" applyNumberFormat="1" applyFont="1" applyBorder="1"/>
    <xf numFmtId="49" fontId="2" fillId="0" borderId="28" xfId="1" applyNumberFormat="1" applyFont="1" applyBorder="1"/>
    <xf numFmtId="49" fontId="2" fillId="0" borderId="34" xfId="1" applyNumberFormat="1" applyFont="1" applyBorder="1" applyAlignment="1">
      <alignment horizontal="center"/>
    </xf>
    <xf numFmtId="49" fontId="2" fillId="0" borderId="35" xfId="1" applyNumberFormat="1" applyFont="1" applyBorder="1" applyAlignment="1">
      <alignment horizontal="center"/>
    </xf>
    <xf numFmtId="2" fontId="2" fillId="0" borderId="36" xfId="1" applyNumberFormat="1" applyFont="1" applyBorder="1"/>
    <xf numFmtId="2" fontId="2" fillId="0" borderId="37" xfId="1" applyNumberFormat="1" applyFont="1" applyBorder="1"/>
    <xf numFmtId="176" fontId="2" fillId="0" borderId="37" xfId="1" applyNumberFormat="1" applyFont="1" applyBorder="1"/>
    <xf numFmtId="176" fontId="2" fillId="0" borderId="38" xfId="1" applyNumberFormat="1" applyFont="1" applyBorder="1"/>
    <xf numFmtId="2" fontId="2" fillId="0" borderId="39" xfId="1" applyNumberFormat="1" applyFont="1" applyBorder="1"/>
    <xf numFmtId="3" fontId="2" fillId="0" borderId="40" xfId="1" applyNumberFormat="1" applyFont="1" applyBorder="1"/>
    <xf numFmtId="3" fontId="2" fillId="0" borderId="37" xfId="1" applyNumberFormat="1" applyFont="1" applyBorder="1"/>
    <xf numFmtId="3" fontId="2" fillId="0" borderId="38" xfId="1" applyNumberFormat="1" applyFont="1" applyBorder="1"/>
    <xf numFmtId="3" fontId="2" fillId="0" borderId="39" xfId="1" applyNumberFormat="1" applyFont="1" applyBorder="1"/>
    <xf numFmtId="49" fontId="2" fillId="0" borderId="35" xfId="1" applyNumberFormat="1" applyFont="1" applyBorder="1"/>
    <xf numFmtId="49" fontId="2" fillId="0" borderId="2" xfId="1" applyNumberFormat="1" applyFont="1" applyBorder="1" applyAlignment="1">
      <alignment horizontal="left"/>
    </xf>
    <xf numFmtId="49" fontId="2" fillId="0" borderId="3" xfId="1" applyNumberFormat="1" applyFont="1" applyBorder="1" applyAlignment="1">
      <alignment horizontal="center"/>
    </xf>
    <xf numFmtId="49" fontId="2" fillId="0" borderId="41" xfId="1" applyNumberFormat="1" applyFont="1" applyBorder="1" applyAlignment="1">
      <alignment horizontal="center"/>
    </xf>
    <xf numFmtId="49" fontId="2" fillId="0" borderId="2" xfId="1" applyNumberFormat="1" applyFont="1" applyBorder="1" applyAlignment="1">
      <alignment horizontal="center"/>
    </xf>
    <xf numFmtId="0" fontId="2" fillId="0" borderId="2" xfId="1" applyFont="1" applyBorder="1"/>
  </cellXfs>
  <cellStyles count="2">
    <cellStyle name="標準" xfId="0" builtinId="0"/>
    <cellStyle name="標準 2" xfId="1" xr:uid="{90CDC27F-E281-4A07-AB5B-D8A5C43A764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DB496-D14D-451B-91E3-EA9E6D9098CE}">
  <sheetPr>
    <pageSetUpPr fitToPage="1"/>
  </sheetPr>
  <dimension ref="A1:V52"/>
  <sheetViews>
    <sheetView tabSelected="1" workbookViewId="0">
      <pane xSplit="2" ySplit="4" topLeftCell="J20" activePane="bottomRight" state="frozen"/>
      <selection pane="topRight" activeCell="C1" sqref="C1"/>
      <selection pane="bottomLeft" activeCell="A9" sqref="A9"/>
      <selection pane="bottomRight" activeCell="S30" sqref="S30"/>
    </sheetView>
  </sheetViews>
  <sheetFormatPr defaultRowHeight="18.75"/>
  <cols>
    <col min="1" max="1" width="2.375" style="2" customWidth="1"/>
    <col min="2" max="2" width="13.25" style="2" bestFit="1" customWidth="1"/>
    <col min="3" max="22" width="10.375" style="2" customWidth="1"/>
    <col min="23" max="246" width="9" style="2"/>
    <col min="247" max="247" width="2.375" style="2" customWidth="1"/>
    <col min="248" max="248" width="13.25" style="2" bestFit="1" customWidth="1"/>
    <col min="249" max="250" width="11.125" style="2" bestFit="1" customWidth="1"/>
    <col min="251" max="251" width="13.25" style="2" bestFit="1" customWidth="1"/>
    <col min="252" max="252" width="11.125" style="2" bestFit="1" customWidth="1"/>
    <col min="253" max="253" width="9" style="2"/>
    <col min="254" max="254" width="11.125" style="2" bestFit="1" customWidth="1"/>
    <col min="255" max="255" width="9" style="2"/>
    <col min="256" max="268" width="11.125" style="2" bestFit="1" customWidth="1"/>
    <col min="269" max="269" width="9" style="2"/>
    <col min="270" max="276" width="11.125" style="2" bestFit="1" customWidth="1"/>
    <col min="277" max="277" width="9.625" style="2" bestFit="1" customWidth="1"/>
    <col min="278" max="502" width="9" style="2"/>
    <col min="503" max="503" width="2.375" style="2" customWidth="1"/>
    <col min="504" max="504" width="13.25" style="2" bestFit="1" customWidth="1"/>
    <col min="505" max="506" width="11.125" style="2" bestFit="1" customWidth="1"/>
    <col min="507" max="507" width="13.25" style="2" bestFit="1" customWidth="1"/>
    <col min="508" max="508" width="11.125" style="2" bestFit="1" customWidth="1"/>
    <col min="509" max="509" width="9" style="2"/>
    <col min="510" max="510" width="11.125" style="2" bestFit="1" customWidth="1"/>
    <col min="511" max="511" width="9" style="2"/>
    <col min="512" max="524" width="11.125" style="2" bestFit="1" customWidth="1"/>
    <col min="525" max="525" width="9" style="2"/>
    <col min="526" max="532" width="11.125" style="2" bestFit="1" customWidth="1"/>
    <col min="533" max="533" width="9.625" style="2" bestFit="1" customWidth="1"/>
    <col min="534" max="758" width="9" style="2"/>
    <col min="759" max="759" width="2.375" style="2" customWidth="1"/>
    <col min="760" max="760" width="13.25" style="2" bestFit="1" customWidth="1"/>
    <col min="761" max="762" width="11.125" style="2" bestFit="1" customWidth="1"/>
    <col min="763" max="763" width="13.25" style="2" bestFit="1" customWidth="1"/>
    <col min="764" max="764" width="11.125" style="2" bestFit="1" customWidth="1"/>
    <col min="765" max="765" width="9" style="2"/>
    <col min="766" max="766" width="11.125" style="2" bestFit="1" customWidth="1"/>
    <col min="767" max="767" width="9" style="2"/>
    <col min="768" max="780" width="11.125" style="2" bestFit="1" customWidth="1"/>
    <col min="781" max="781" width="9" style="2"/>
    <col min="782" max="788" width="11.125" style="2" bestFit="1" customWidth="1"/>
    <col min="789" max="789" width="9.625" style="2" bestFit="1" customWidth="1"/>
    <col min="790" max="1014" width="9" style="2"/>
    <col min="1015" max="1015" width="2.375" style="2" customWidth="1"/>
    <col min="1016" max="1016" width="13.25" style="2" bestFit="1" customWidth="1"/>
    <col min="1017" max="1018" width="11.125" style="2" bestFit="1" customWidth="1"/>
    <col min="1019" max="1019" width="13.25" style="2" bestFit="1" customWidth="1"/>
    <col min="1020" max="1020" width="11.125" style="2" bestFit="1" customWidth="1"/>
    <col min="1021" max="1021" width="9" style="2"/>
    <col min="1022" max="1022" width="11.125" style="2" bestFit="1" customWidth="1"/>
    <col min="1023" max="1023" width="9" style="2"/>
    <col min="1024" max="1036" width="11.125" style="2" bestFit="1" customWidth="1"/>
    <col min="1037" max="1037" width="9" style="2"/>
    <col min="1038" max="1044" width="11.125" style="2" bestFit="1" customWidth="1"/>
    <col min="1045" max="1045" width="9.625" style="2" bestFit="1" customWidth="1"/>
    <col min="1046" max="1270" width="9" style="2"/>
    <col min="1271" max="1271" width="2.375" style="2" customWidth="1"/>
    <col min="1272" max="1272" width="13.25" style="2" bestFit="1" customWidth="1"/>
    <col min="1273" max="1274" width="11.125" style="2" bestFit="1" customWidth="1"/>
    <col min="1275" max="1275" width="13.25" style="2" bestFit="1" customWidth="1"/>
    <col min="1276" max="1276" width="11.125" style="2" bestFit="1" customWidth="1"/>
    <col min="1277" max="1277" width="9" style="2"/>
    <col min="1278" max="1278" width="11.125" style="2" bestFit="1" customWidth="1"/>
    <col min="1279" max="1279" width="9" style="2"/>
    <col min="1280" max="1292" width="11.125" style="2" bestFit="1" customWidth="1"/>
    <col min="1293" max="1293" width="9" style="2"/>
    <col min="1294" max="1300" width="11.125" style="2" bestFit="1" customWidth="1"/>
    <col min="1301" max="1301" width="9.625" style="2" bestFit="1" customWidth="1"/>
    <col min="1302" max="1526" width="9" style="2"/>
    <col min="1527" max="1527" width="2.375" style="2" customWidth="1"/>
    <col min="1528" max="1528" width="13.25" style="2" bestFit="1" customWidth="1"/>
    <col min="1529" max="1530" width="11.125" style="2" bestFit="1" customWidth="1"/>
    <col min="1531" max="1531" width="13.25" style="2" bestFit="1" customWidth="1"/>
    <col min="1532" max="1532" width="11.125" style="2" bestFit="1" customWidth="1"/>
    <col min="1533" max="1533" width="9" style="2"/>
    <col min="1534" max="1534" width="11.125" style="2" bestFit="1" customWidth="1"/>
    <col min="1535" max="1535" width="9" style="2"/>
    <col min="1536" max="1548" width="11.125" style="2" bestFit="1" customWidth="1"/>
    <col min="1549" max="1549" width="9" style="2"/>
    <col min="1550" max="1556" width="11.125" style="2" bestFit="1" customWidth="1"/>
    <col min="1557" max="1557" width="9.625" style="2" bestFit="1" customWidth="1"/>
    <col min="1558" max="1782" width="9" style="2"/>
    <col min="1783" max="1783" width="2.375" style="2" customWidth="1"/>
    <col min="1784" max="1784" width="13.25" style="2" bestFit="1" customWidth="1"/>
    <col min="1785" max="1786" width="11.125" style="2" bestFit="1" customWidth="1"/>
    <col min="1787" max="1787" width="13.25" style="2" bestFit="1" customWidth="1"/>
    <col min="1788" max="1788" width="11.125" style="2" bestFit="1" customWidth="1"/>
    <col min="1789" max="1789" width="9" style="2"/>
    <col min="1790" max="1790" width="11.125" style="2" bestFit="1" customWidth="1"/>
    <col min="1791" max="1791" width="9" style="2"/>
    <col min="1792" max="1804" width="11.125" style="2" bestFit="1" customWidth="1"/>
    <col min="1805" max="1805" width="9" style="2"/>
    <col min="1806" max="1812" width="11.125" style="2" bestFit="1" customWidth="1"/>
    <col min="1813" max="1813" width="9.625" style="2" bestFit="1" customWidth="1"/>
    <col min="1814" max="2038" width="9" style="2"/>
    <col min="2039" max="2039" width="2.375" style="2" customWidth="1"/>
    <col min="2040" max="2040" width="13.25" style="2" bestFit="1" customWidth="1"/>
    <col min="2041" max="2042" width="11.125" style="2" bestFit="1" customWidth="1"/>
    <col min="2043" max="2043" width="13.25" style="2" bestFit="1" customWidth="1"/>
    <col min="2044" max="2044" width="11.125" style="2" bestFit="1" customWidth="1"/>
    <col min="2045" max="2045" width="9" style="2"/>
    <col min="2046" max="2046" width="11.125" style="2" bestFit="1" customWidth="1"/>
    <col min="2047" max="2047" width="9" style="2"/>
    <col min="2048" max="2060" width="11.125" style="2" bestFit="1" customWidth="1"/>
    <col min="2061" max="2061" width="9" style="2"/>
    <col min="2062" max="2068" width="11.125" style="2" bestFit="1" customWidth="1"/>
    <col min="2069" max="2069" width="9.625" style="2" bestFit="1" customWidth="1"/>
    <col min="2070" max="2294" width="9" style="2"/>
    <col min="2295" max="2295" width="2.375" style="2" customWidth="1"/>
    <col min="2296" max="2296" width="13.25" style="2" bestFit="1" customWidth="1"/>
    <col min="2297" max="2298" width="11.125" style="2" bestFit="1" customWidth="1"/>
    <col min="2299" max="2299" width="13.25" style="2" bestFit="1" customWidth="1"/>
    <col min="2300" max="2300" width="11.125" style="2" bestFit="1" customWidth="1"/>
    <col min="2301" max="2301" width="9" style="2"/>
    <col min="2302" max="2302" width="11.125" style="2" bestFit="1" customWidth="1"/>
    <col min="2303" max="2303" width="9" style="2"/>
    <col min="2304" max="2316" width="11.125" style="2" bestFit="1" customWidth="1"/>
    <col min="2317" max="2317" width="9" style="2"/>
    <col min="2318" max="2324" width="11.125" style="2" bestFit="1" customWidth="1"/>
    <col min="2325" max="2325" width="9.625" style="2" bestFit="1" customWidth="1"/>
    <col min="2326" max="2550" width="9" style="2"/>
    <col min="2551" max="2551" width="2.375" style="2" customWidth="1"/>
    <col min="2552" max="2552" width="13.25" style="2" bestFit="1" customWidth="1"/>
    <col min="2553" max="2554" width="11.125" style="2" bestFit="1" customWidth="1"/>
    <col min="2555" max="2555" width="13.25" style="2" bestFit="1" customWidth="1"/>
    <col min="2556" max="2556" width="11.125" style="2" bestFit="1" customWidth="1"/>
    <col min="2557" max="2557" width="9" style="2"/>
    <col min="2558" max="2558" width="11.125" style="2" bestFit="1" customWidth="1"/>
    <col min="2559" max="2559" width="9" style="2"/>
    <col min="2560" max="2572" width="11.125" style="2" bestFit="1" customWidth="1"/>
    <col min="2573" max="2573" width="9" style="2"/>
    <col min="2574" max="2580" width="11.125" style="2" bestFit="1" customWidth="1"/>
    <col min="2581" max="2581" width="9.625" style="2" bestFit="1" customWidth="1"/>
    <col min="2582" max="2806" width="9" style="2"/>
    <col min="2807" max="2807" width="2.375" style="2" customWidth="1"/>
    <col min="2808" max="2808" width="13.25" style="2" bestFit="1" customWidth="1"/>
    <col min="2809" max="2810" width="11.125" style="2" bestFit="1" customWidth="1"/>
    <col min="2811" max="2811" width="13.25" style="2" bestFit="1" customWidth="1"/>
    <col min="2812" max="2812" width="11.125" style="2" bestFit="1" customWidth="1"/>
    <col min="2813" max="2813" width="9" style="2"/>
    <col min="2814" max="2814" width="11.125" style="2" bestFit="1" customWidth="1"/>
    <col min="2815" max="2815" width="9" style="2"/>
    <col min="2816" max="2828" width="11.125" style="2" bestFit="1" customWidth="1"/>
    <col min="2829" max="2829" width="9" style="2"/>
    <col min="2830" max="2836" width="11.125" style="2" bestFit="1" customWidth="1"/>
    <col min="2837" max="2837" width="9.625" style="2" bestFit="1" customWidth="1"/>
    <col min="2838" max="3062" width="9" style="2"/>
    <col min="3063" max="3063" width="2.375" style="2" customWidth="1"/>
    <col min="3064" max="3064" width="13.25" style="2" bestFit="1" customWidth="1"/>
    <col min="3065" max="3066" width="11.125" style="2" bestFit="1" customWidth="1"/>
    <col min="3067" max="3067" width="13.25" style="2" bestFit="1" customWidth="1"/>
    <col min="3068" max="3068" width="11.125" style="2" bestFit="1" customWidth="1"/>
    <col min="3069" max="3069" width="9" style="2"/>
    <col min="3070" max="3070" width="11.125" style="2" bestFit="1" customWidth="1"/>
    <col min="3071" max="3071" width="9" style="2"/>
    <col min="3072" max="3084" width="11.125" style="2" bestFit="1" customWidth="1"/>
    <col min="3085" max="3085" width="9" style="2"/>
    <col min="3086" max="3092" width="11.125" style="2" bestFit="1" customWidth="1"/>
    <col min="3093" max="3093" width="9.625" style="2" bestFit="1" customWidth="1"/>
    <col min="3094" max="3318" width="9" style="2"/>
    <col min="3319" max="3319" width="2.375" style="2" customWidth="1"/>
    <col min="3320" max="3320" width="13.25" style="2" bestFit="1" customWidth="1"/>
    <col min="3321" max="3322" width="11.125" style="2" bestFit="1" customWidth="1"/>
    <col min="3323" max="3323" width="13.25" style="2" bestFit="1" customWidth="1"/>
    <col min="3324" max="3324" width="11.125" style="2" bestFit="1" customWidth="1"/>
    <col min="3325" max="3325" width="9" style="2"/>
    <col min="3326" max="3326" width="11.125" style="2" bestFit="1" customWidth="1"/>
    <col min="3327" max="3327" width="9" style="2"/>
    <col min="3328" max="3340" width="11.125" style="2" bestFit="1" customWidth="1"/>
    <col min="3341" max="3341" width="9" style="2"/>
    <col min="3342" max="3348" width="11.125" style="2" bestFit="1" customWidth="1"/>
    <col min="3349" max="3349" width="9.625" style="2" bestFit="1" customWidth="1"/>
    <col min="3350" max="3574" width="9" style="2"/>
    <col min="3575" max="3575" width="2.375" style="2" customWidth="1"/>
    <col min="3576" max="3576" width="13.25" style="2" bestFit="1" customWidth="1"/>
    <col min="3577" max="3578" width="11.125" style="2" bestFit="1" customWidth="1"/>
    <col min="3579" max="3579" width="13.25" style="2" bestFit="1" customWidth="1"/>
    <col min="3580" max="3580" width="11.125" style="2" bestFit="1" customWidth="1"/>
    <col min="3581" max="3581" width="9" style="2"/>
    <col min="3582" max="3582" width="11.125" style="2" bestFit="1" customWidth="1"/>
    <col min="3583" max="3583" width="9" style="2"/>
    <col min="3584" max="3596" width="11.125" style="2" bestFit="1" customWidth="1"/>
    <col min="3597" max="3597" width="9" style="2"/>
    <col min="3598" max="3604" width="11.125" style="2" bestFit="1" customWidth="1"/>
    <col min="3605" max="3605" width="9.625" style="2" bestFit="1" customWidth="1"/>
    <col min="3606" max="3830" width="9" style="2"/>
    <col min="3831" max="3831" width="2.375" style="2" customWidth="1"/>
    <col min="3832" max="3832" width="13.25" style="2" bestFit="1" customWidth="1"/>
    <col min="3833" max="3834" width="11.125" style="2" bestFit="1" customWidth="1"/>
    <col min="3835" max="3835" width="13.25" style="2" bestFit="1" customWidth="1"/>
    <col min="3836" max="3836" width="11.125" style="2" bestFit="1" customWidth="1"/>
    <col min="3837" max="3837" width="9" style="2"/>
    <col min="3838" max="3838" width="11.125" style="2" bestFit="1" customWidth="1"/>
    <col min="3839" max="3839" width="9" style="2"/>
    <col min="3840" max="3852" width="11.125" style="2" bestFit="1" customWidth="1"/>
    <col min="3853" max="3853" width="9" style="2"/>
    <col min="3854" max="3860" width="11.125" style="2" bestFit="1" customWidth="1"/>
    <col min="3861" max="3861" width="9.625" style="2" bestFit="1" customWidth="1"/>
    <col min="3862" max="4086" width="9" style="2"/>
    <col min="4087" max="4087" width="2.375" style="2" customWidth="1"/>
    <col min="4088" max="4088" width="13.25" style="2" bestFit="1" customWidth="1"/>
    <col min="4089" max="4090" width="11.125" style="2" bestFit="1" customWidth="1"/>
    <col min="4091" max="4091" width="13.25" style="2" bestFit="1" customWidth="1"/>
    <col min="4092" max="4092" width="11.125" style="2" bestFit="1" customWidth="1"/>
    <col min="4093" max="4093" width="9" style="2"/>
    <col min="4094" max="4094" width="11.125" style="2" bestFit="1" customWidth="1"/>
    <col min="4095" max="4095" width="9" style="2"/>
    <col min="4096" max="4108" width="11.125" style="2" bestFit="1" customWidth="1"/>
    <col min="4109" max="4109" width="9" style="2"/>
    <col min="4110" max="4116" width="11.125" style="2" bestFit="1" customWidth="1"/>
    <col min="4117" max="4117" width="9.625" style="2" bestFit="1" customWidth="1"/>
    <col min="4118" max="4342" width="9" style="2"/>
    <col min="4343" max="4343" width="2.375" style="2" customWidth="1"/>
    <col min="4344" max="4344" width="13.25" style="2" bestFit="1" customWidth="1"/>
    <col min="4345" max="4346" width="11.125" style="2" bestFit="1" customWidth="1"/>
    <col min="4347" max="4347" width="13.25" style="2" bestFit="1" customWidth="1"/>
    <col min="4348" max="4348" width="11.125" style="2" bestFit="1" customWidth="1"/>
    <col min="4349" max="4349" width="9" style="2"/>
    <col min="4350" max="4350" width="11.125" style="2" bestFit="1" customWidth="1"/>
    <col min="4351" max="4351" width="9" style="2"/>
    <col min="4352" max="4364" width="11.125" style="2" bestFit="1" customWidth="1"/>
    <col min="4365" max="4365" width="9" style="2"/>
    <col min="4366" max="4372" width="11.125" style="2" bestFit="1" customWidth="1"/>
    <col min="4373" max="4373" width="9.625" style="2" bestFit="1" customWidth="1"/>
    <col min="4374" max="4598" width="9" style="2"/>
    <col min="4599" max="4599" width="2.375" style="2" customWidth="1"/>
    <col min="4600" max="4600" width="13.25" style="2" bestFit="1" customWidth="1"/>
    <col min="4601" max="4602" width="11.125" style="2" bestFit="1" customWidth="1"/>
    <col min="4603" max="4603" width="13.25" style="2" bestFit="1" customWidth="1"/>
    <col min="4604" max="4604" width="11.125" style="2" bestFit="1" customWidth="1"/>
    <col min="4605" max="4605" width="9" style="2"/>
    <col min="4606" max="4606" width="11.125" style="2" bestFit="1" customWidth="1"/>
    <col min="4607" max="4607" width="9" style="2"/>
    <col min="4608" max="4620" width="11.125" style="2" bestFit="1" customWidth="1"/>
    <col min="4621" max="4621" width="9" style="2"/>
    <col min="4622" max="4628" width="11.125" style="2" bestFit="1" customWidth="1"/>
    <col min="4629" max="4629" width="9.625" style="2" bestFit="1" customWidth="1"/>
    <col min="4630" max="4854" width="9" style="2"/>
    <col min="4855" max="4855" width="2.375" style="2" customWidth="1"/>
    <col min="4856" max="4856" width="13.25" style="2" bestFit="1" customWidth="1"/>
    <col min="4857" max="4858" width="11.125" style="2" bestFit="1" customWidth="1"/>
    <col min="4859" max="4859" width="13.25" style="2" bestFit="1" customWidth="1"/>
    <col min="4860" max="4860" width="11.125" style="2" bestFit="1" customWidth="1"/>
    <col min="4861" max="4861" width="9" style="2"/>
    <col min="4862" max="4862" width="11.125" style="2" bestFit="1" customWidth="1"/>
    <col min="4863" max="4863" width="9" style="2"/>
    <col min="4864" max="4876" width="11.125" style="2" bestFit="1" customWidth="1"/>
    <col min="4877" max="4877" width="9" style="2"/>
    <col min="4878" max="4884" width="11.125" style="2" bestFit="1" customWidth="1"/>
    <col min="4885" max="4885" width="9.625" style="2" bestFit="1" customWidth="1"/>
    <col min="4886" max="5110" width="9" style="2"/>
    <col min="5111" max="5111" width="2.375" style="2" customWidth="1"/>
    <col min="5112" max="5112" width="13.25" style="2" bestFit="1" customWidth="1"/>
    <col min="5113" max="5114" width="11.125" style="2" bestFit="1" customWidth="1"/>
    <col min="5115" max="5115" width="13.25" style="2" bestFit="1" customWidth="1"/>
    <col min="5116" max="5116" width="11.125" style="2" bestFit="1" customWidth="1"/>
    <col min="5117" max="5117" width="9" style="2"/>
    <col min="5118" max="5118" width="11.125" style="2" bestFit="1" customWidth="1"/>
    <col min="5119" max="5119" width="9" style="2"/>
    <col min="5120" max="5132" width="11.125" style="2" bestFit="1" customWidth="1"/>
    <col min="5133" max="5133" width="9" style="2"/>
    <col min="5134" max="5140" width="11.125" style="2" bestFit="1" customWidth="1"/>
    <col min="5141" max="5141" width="9.625" style="2" bestFit="1" customWidth="1"/>
    <col min="5142" max="5366" width="9" style="2"/>
    <col min="5367" max="5367" width="2.375" style="2" customWidth="1"/>
    <col min="5368" max="5368" width="13.25" style="2" bestFit="1" customWidth="1"/>
    <col min="5369" max="5370" width="11.125" style="2" bestFit="1" customWidth="1"/>
    <col min="5371" max="5371" width="13.25" style="2" bestFit="1" customWidth="1"/>
    <col min="5372" max="5372" width="11.125" style="2" bestFit="1" customWidth="1"/>
    <col min="5373" max="5373" width="9" style="2"/>
    <col min="5374" max="5374" width="11.125" style="2" bestFit="1" customWidth="1"/>
    <col min="5375" max="5375" width="9" style="2"/>
    <col min="5376" max="5388" width="11.125" style="2" bestFit="1" customWidth="1"/>
    <col min="5389" max="5389" width="9" style="2"/>
    <col min="5390" max="5396" width="11.125" style="2" bestFit="1" customWidth="1"/>
    <col min="5397" max="5397" width="9.625" style="2" bestFit="1" customWidth="1"/>
    <col min="5398" max="5622" width="9" style="2"/>
    <col min="5623" max="5623" width="2.375" style="2" customWidth="1"/>
    <col min="5624" max="5624" width="13.25" style="2" bestFit="1" customWidth="1"/>
    <col min="5625" max="5626" width="11.125" style="2" bestFit="1" customWidth="1"/>
    <col min="5627" max="5627" width="13.25" style="2" bestFit="1" customWidth="1"/>
    <col min="5628" max="5628" width="11.125" style="2" bestFit="1" customWidth="1"/>
    <col min="5629" max="5629" width="9" style="2"/>
    <col min="5630" max="5630" width="11.125" style="2" bestFit="1" customWidth="1"/>
    <col min="5631" max="5631" width="9" style="2"/>
    <col min="5632" max="5644" width="11.125" style="2" bestFit="1" customWidth="1"/>
    <col min="5645" max="5645" width="9" style="2"/>
    <col min="5646" max="5652" width="11.125" style="2" bestFit="1" customWidth="1"/>
    <col min="5653" max="5653" width="9.625" style="2" bestFit="1" customWidth="1"/>
    <col min="5654" max="5878" width="9" style="2"/>
    <col min="5879" max="5879" width="2.375" style="2" customWidth="1"/>
    <col min="5880" max="5880" width="13.25" style="2" bestFit="1" customWidth="1"/>
    <col min="5881" max="5882" width="11.125" style="2" bestFit="1" customWidth="1"/>
    <col min="5883" max="5883" width="13.25" style="2" bestFit="1" customWidth="1"/>
    <col min="5884" max="5884" width="11.125" style="2" bestFit="1" customWidth="1"/>
    <col min="5885" max="5885" width="9" style="2"/>
    <col min="5886" max="5886" width="11.125" style="2" bestFit="1" customWidth="1"/>
    <col min="5887" max="5887" width="9" style="2"/>
    <col min="5888" max="5900" width="11.125" style="2" bestFit="1" customWidth="1"/>
    <col min="5901" max="5901" width="9" style="2"/>
    <col min="5902" max="5908" width="11.125" style="2" bestFit="1" customWidth="1"/>
    <col min="5909" max="5909" width="9.625" style="2" bestFit="1" customWidth="1"/>
    <col min="5910" max="6134" width="9" style="2"/>
    <col min="6135" max="6135" width="2.375" style="2" customWidth="1"/>
    <col min="6136" max="6136" width="13.25" style="2" bestFit="1" customWidth="1"/>
    <col min="6137" max="6138" width="11.125" style="2" bestFit="1" customWidth="1"/>
    <col min="6139" max="6139" width="13.25" style="2" bestFit="1" customWidth="1"/>
    <col min="6140" max="6140" width="11.125" style="2" bestFit="1" customWidth="1"/>
    <col min="6141" max="6141" width="9" style="2"/>
    <col min="6142" max="6142" width="11.125" style="2" bestFit="1" customWidth="1"/>
    <col min="6143" max="6143" width="9" style="2"/>
    <col min="6144" max="6156" width="11.125" style="2" bestFit="1" customWidth="1"/>
    <col min="6157" max="6157" width="9" style="2"/>
    <col min="6158" max="6164" width="11.125" style="2" bestFit="1" customWidth="1"/>
    <col min="6165" max="6165" width="9.625" style="2" bestFit="1" customWidth="1"/>
    <col min="6166" max="6390" width="9" style="2"/>
    <col min="6391" max="6391" width="2.375" style="2" customWidth="1"/>
    <col min="6392" max="6392" width="13.25" style="2" bestFit="1" customWidth="1"/>
    <col min="6393" max="6394" width="11.125" style="2" bestFit="1" customWidth="1"/>
    <col min="6395" max="6395" width="13.25" style="2" bestFit="1" customWidth="1"/>
    <col min="6396" max="6396" width="11.125" style="2" bestFit="1" customWidth="1"/>
    <col min="6397" max="6397" width="9" style="2"/>
    <col min="6398" max="6398" width="11.125" style="2" bestFit="1" customWidth="1"/>
    <col min="6399" max="6399" width="9" style="2"/>
    <col min="6400" max="6412" width="11.125" style="2" bestFit="1" customWidth="1"/>
    <col min="6413" max="6413" width="9" style="2"/>
    <col min="6414" max="6420" width="11.125" style="2" bestFit="1" customWidth="1"/>
    <col min="6421" max="6421" width="9.625" style="2" bestFit="1" customWidth="1"/>
    <col min="6422" max="6646" width="9" style="2"/>
    <col min="6647" max="6647" width="2.375" style="2" customWidth="1"/>
    <col min="6648" max="6648" width="13.25" style="2" bestFit="1" customWidth="1"/>
    <col min="6649" max="6650" width="11.125" style="2" bestFit="1" customWidth="1"/>
    <col min="6651" max="6651" width="13.25" style="2" bestFit="1" customWidth="1"/>
    <col min="6652" max="6652" width="11.125" style="2" bestFit="1" customWidth="1"/>
    <col min="6653" max="6653" width="9" style="2"/>
    <col min="6654" max="6654" width="11.125" style="2" bestFit="1" customWidth="1"/>
    <col min="6655" max="6655" width="9" style="2"/>
    <col min="6656" max="6668" width="11.125" style="2" bestFit="1" customWidth="1"/>
    <col min="6669" max="6669" width="9" style="2"/>
    <col min="6670" max="6676" width="11.125" style="2" bestFit="1" customWidth="1"/>
    <col min="6677" max="6677" width="9.625" style="2" bestFit="1" customWidth="1"/>
    <col min="6678" max="6902" width="9" style="2"/>
    <col min="6903" max="6903" width="2.375" style="2" customWidth="1"/>
    <col min="6904" max="6904" width="13.25" style="2" bestFit="1" customWidth="1"/>
    <col min="6905" max="6906" width="11.125" style="2" bestFit="1" customWidth="1"/>
    <col min="6907" max="6907" width="13.25" style="2" bestFit="1" customWidth="1"/>
    <col min="6908" max="6908" width="11.125" style="2" bestFit="1" customWidth="1"/>
    <col min="6909" max="6909" width="9" style="2"/>
    <col min="6910" max="6910" width="11.125" style="2" bestFit="1" customWidth="1"/>
    <col min="6911" max="6911" width="9" style="2"/>
    <col min="6912" max="6924" width="11.125" style="2" bestFit="1" customWidth="1"/>
    <col min="6925" max="6925" width="9" style="2"/>
    <col min="6926" max="6932" width="11.125" style="2" bestFit="1" customWidth="1"/>
    <col min="6933" max="6933" width="9.625" style="2" bestFit="1" customWidth="1"/>
    <col min="6934" max="7158" width="9" style="2"/>
    <col min="7159" max="7159" width="2.375" style="2" customWidth="1"/>
    <col min="7160" max="7160" width="13.25" style="2" bestFit="1" customWidth="1"/>
    <col min="7161" max="7162" width="11.125" style="2" bestFit="1" customWidth="1"/>
    <col min="7163" max="7163" width="13.25" style="2" bestFit="1" customWidth="1"/>
    <col min="7164" max="7164" width="11.125" style="2" bestFit="1" customWidth="1"/>
    <col min="7165" max="7165" width="9" style="2"/>
    <col min="7166" max="7166" width="11.125" style="2" bestFit="1" customWidth="1"/>
    <col min="7167" max="7167" width="9" style="2"/>
    <col min="7168" max="7180" width="11.125" style="2" bestFit="1" customWidth="1"/>
    <col min="7181" max="7181" width="9" style="2"/>
    <col min="7182" max="7188" width="11.125" style="2" bestFit="1" customWidth="1"/>
    <col min="7189" max="7189" width="9.625" style="2" bestFit="1" customWidth="1"/>
    <col min="7190" max="7414" width="9" style="2"/>
    <col min="7415" max="7415" width="2.375" style="2" customWidth="1"/>
    <col min="7416" max="7416" width="13.25" style="2" bestFit="1" customWidth="1"/>
    <col min="7417" max="7418" width="11.125" style="2" bestFit="1" customWidth="1"/>
    <col min="7419" max="7419" width="13.25" style="2" bestFit="1" customWidth="1"/>
    <col min="7420" max="7420" width="11.125" style="2" bestFit="1" customWidth="1"/>
    <col min="7421" max="7421" width="9" style="2"/>
    <col min="7422" max="7422" width="11.125" style="2" bestFit="1" customWidth="1"/>
    <col min="7423" max="7423" width="9" style="2"/>
    <col min="7424" max="7436" width="11.125" style="2" bestFit="1" customWidth="1"/>
    <col min="7437" max="7437" width="9" style="2"/>
    <col min="7438" max="7444" width="11.125" style="2" bestFit="1" customWidth="1"/>
    <col min="7445" max="7445" width="9.625" style="2" bestFit="1" customWidth="1"/>
    <col min="7446" max="7670" width="9" style="2"/>
    <col min="7671" max="7671" width="2.375" style="2" customWidth="1"/>
    <col min="7672" max="7672" width="13.25" style="2" bestFit="1" customWidth="1"/>
    <col min="7673" max="7674" width="11.125" style="2" bestFit="1" customWidth="1"/>
    <col min="7675" max="7675" width="13.25" style="2" bestFit="1" customWidth="1"/>
    <col min="7676" max="7676" width="11.125" style="2" bestFit="1" customWidth="1"/>
    <col min="7677" max="7677" width="9" style="2"/>
    <col min="7678" max="7678" width="11.125" style="2" bestFit="1" customWidth="1"/>
    <col min="7679" max="7679" width="9" style="2"/>
    <col min="7680" max="7692" width="11.125" style="2" bestFit="1" customWidth="1"/>
    <col min="7693" max="7693" width="9" style="2"/>
    <col min="7694" max="7700" width="11.125" style="2" bestFit="1" customWidth="1"/>
    <col min="7701" max="7701" width="9.625" style="2" bestFit="1" customWidth="1"/>
    <col min="7702" max="7926" width="9" style="2"/>
    <col min="7927" max="7927" width="2.375" style="2" customWidth="1"/>
    <col min="7928" max="7928" width="13.25" style="2" bestFit="1" customWidth="1"/>
    <col min="7929" max="7930" width="11.125" style="2" bestFit="1" customWidth="1"/>
    <col min="7931" max="7931" width="13.25" style="2" bestFit="1" customWidth="1"/>
    <col min="7932" max="7932" width="11.125" style="2" bestFit="1" customWidth="1"/>
    <col min="7933" max="7933" width="9" style="2"/>
    <col min="7934" max="7934" width="11.125" style="2" bestFit="1" customWidth="1"/>
    <col min="7935" max="7935" width="9" style="2"/>
    <col min="7936" max="7948" width="11.125" style="2" bestFit="1" customWidth="1"/>
    <col min="7949" max="7949" width="9" style="2"/>
    <col min="7950" max="7956" width="11.125" style="2" bestFit="1" customWidth="1"/>
    <col min="7957" max="7957" width="9.625" style="2" bestFit="1" customWidth="1"/>
    <col min="7958" max="8182" width="9" style="2"/>
    <col min="8183" max="8183" width="2.375" style="2" customWidth="1"/>
    <col min="8184" max="8184" width="13.25" style="2" bestFit="1" customWidth="1"/>
    <col min="8185" max="8186" width="11.125" style="2" bestFit="1" customWidth="1"/>
    <col min="8187" max="8187" width="13.25" style="2" bestFit="1" customWidth="1"/>
    <col min="8188" max="8188" width="11.125" style="2" bestFit="1" customWidth="1"/>
    <col min="8189" max="8189" width="9" style="2"/>
    <col min="8190" max="8190" width="11.125" style="2" bestFit="1" customWidth="1"/>
    <col min="8191" max="8191" width="9" style="2"/>
    <col min="8192" max="8204" width="11.125" style="2" bestFit="1" customWidth="1"/>
    <col min="8205" max="8205" width="9" style="2"/>
    <col min="8206" max="8212" width="11.125" style="2" bestFit="1" customWidth="1"/>
    <col min="8213" max="8213" width="9.625" style="2" bestFit="1" customWidth="1"/>
    <col min="8214" max="8438" width="9" style="2"/>
    <col min="8439" max="8439" width="2.375" style="2" customWidth="1"/>
    <col min="8440" max="8440" width="13.25" style="2" bestFit="1" customWidth="1"/>
    <col min="8441" max="8442" width="11.125" style="2" bestFit="1" customWidth="1"/>
    <col min="8443" max="8443" width="13.25" style="2" bestFit="1" customWidth="1"/>
    <col min="8444" max="8444" width="11.125" style="2" bestFit="1" customWidth="1"/>
    <col min="8445" max="8445" width="9" style="2"/>
    <col min="8446" max="8446" width="11.125" style="2" bestFit="1" customWidth="1"/>
    <col min="8447" max="8447" width="9" style="2"/>
    <col min="8448" max="8460" width="11.125" style="2" bestFit="1" customWidth="1"/>
    <col min="8461" max="8461" width="9" style="2"/>
    <col min="8462" max="8468" width="11.125" style="2" bestFit="1" customWidth="1"/>
    <col min="8469" max="8469" width="9.625" style="2" bestFit="1" customWidth="1"/>
    <col min="8470" max="8694" width="9" style="2"/>
    <col min="8695" max="8695" width="2.375" style="2" customWidth="1"/>
    <col min="8696" max="8696" width="13.25" style="2" bestFit="1" customWidth="1"/>
    <col min="8697" max="8698" width="11.125" style="2" bestFit="1" customWidth="1"/>
    <col min="8699" max="8699" width="13.25" style="2" bestFit="1" customWidth="1"/>
    <col min="8700" max="8700" width="11.125" style="2" bestFit="1" customWidth="1"/>
    <col min="8701" max="8701" width="9" style="2"/>
    <col min="8702" max="8702" width="11.125" style="2" bestFit="1" customWidth="1"/>
    <col min="8703" max="8703" width="9" style="2"/>
    <col min="8704" max="8716" width="11.125" style="2" bestFit="1" customWidth="1"/>
    <col min="8717" max="8717" width="9" style="2"/>
    <col min="8718" max="8724" width="11.125" style="2" bestFit="1" customWidth="1"/>
    <col min="8725" max="8725" width="9.625" style="2" bestFit="1" customWidth="1"/>
    <col min="8726" max="8950" width="9" style="2"/>
    <col min="8951" max="8951" width="2.375" style="2" customWidth="1"/>
    <col min="8952" max="8952" width="13.25" style="2" bestFit="1" customWidth="1"/>
    <col min="8953" max="8954" width="11.125" style="2" bestFit="1" customWidth="1"/>
    <col min="8955" max="8955" width="13.25" style="2" bestFit="1" customWidth="1"/>
    <col min="8956" max="8956" width="11.125" style="2" bestFit="1" customWidth="1"/>
    <col min="8957" max="8957" width="9" style="2"/>
    <col min="8958" max="8958" width="11.125" style="2" bestFit="1" customWidth="1"/>
    <col min="8959" max="8959" width="9" style="2"/>
    <col min="8960" max="8972" width="11.125" style="2" bestFit="1" customWidth="1"/>
    <col min="8973" max="8973" width="9" style="2"/>
    <col min="8974" max="8980" width="11.125" style="2" bestFit="1" customWidth="1"/>
    <col min="8981" max="8981" width="9.625" style="2" bestFit="1" customWidth="1"/>
    <col min="8982" max="9206" width="9" style="2"/>
    <col min="9207" max="9207" width="2.375" style="2" customWidth="1"/>
    <col min="9208" max="9208" width="13.25" style="2" bestFit="1" customWidth="1"/>
    <col min="9209" max="9210" width="11.125" style="2" bestFit="1" customWidth="1"/>
    <col min="9211" max="9211" width="13.25" style="2" bestFit="1" customWidth="1"/>
    <col min="9212" max="9212" width="11.125" style="2" bestFit="1" customWidth="1"/>
    <col min="9213" max="9213" width="9" style="2"/>
    <col min="9214" max="9214" width="11.125" style="2" bestFit="1" customWidth="1"/>
    <col min="9215" max="9215" width="9" style="2"/>
    <col min="9216" max="9228" width="11.125" style="2" bestFit="1" customWidth="1"/>
    <col min="9229" max="9229" width="9" style="2"/>
    <col min="9230" max="9236" width="11.125" style="2" bestFit="1" customWidth="1"/>
    <col min="9237" max="9237" width="9.625" style="2" bestFit="1" customWidth="1"/>
    <col min="9238" max="9462" width="9" style="2"/>
    <col min="9463" max="9463" width="2.375" style="2" customWidth="1"/>
    <col min="9464" max="9464" width="13.25" style="2" bestFit="1" customWidth="1"/>
    <col min="9465" max="9466" width="11.125" style="2" bestFit="1" customWidth="1"/>
    <col min="9467" max="9467" width="13.25" style="2" bestFit="1" customWidth="1"/>
    <col min="9468" max="9468" width="11.125" style="2" bestFit="1" customWidth="1"/>
    <col min="9469" max="9469" width="9" style="2"/>
    <col min="9470" max="9470" width="11.125" style="2" bestFit="1" customWidth="1"/>
    <col min="9471" max="9471" width="9" style="2"/>
    <col min="9472" max="9484" width="11.125" style="2" bestFit="1" customWidth="1"/>
    <col min="9485" max="9485" width="9" style="2"/>
    <col min="9486" max="9492" width="11.125" style="2" bestFit="1" customWidth="1"/>
    <col min="9493" max="9493" width="9.625" style="2" bestFit="1" customWidth="1"/>
    <col min="9494" max="9718" width="9" style="2"/>
    <col min="9719" max="9719" width="2.375" style="2" customWidth="1"/>
    <col min="9720" max="9720" width="13.25" style="2" bestFit="1" customWidth="1"/>
    <col min="9721" max="9722" width="11.125" style="2" bestFit="1" customWidth="1"/>
    <col min="9723" max="9723" width="13.25" style="2" bestFit="1" customWidth="1"/>
    <col min="9724" max="9724" width="11.125" style="2" bestFit="1" customWidth="1"/>
    <col min="9725" max="9725" width="9" style="2"/>
    <col min="9726" max="9726" width="11.125" style="2" bestFit="1" customWidth="1"/>
    <col min="9727" max="9727" width="9" style="2"/>
    <col min="9728" max="9740" width="11.125" style="2" bestFit="1" customWidth="1"/>
    <col min="9741" max="9741" width="9" style="2"/>
    <col min="9742" max="9748" width="11.125" style="2" bestFit="1" customWidth="1"/>
    <col min="9749" max="9749" width="9.625" style="2" bestFit="1" customWidth="1"/>
    <col min="9750" max="9974" width="9" style="2"/>
    <col min="9975" max="9975" width="2.375" style="2" customWidth="1"/>
    <col min="9976" max="9976" width="13.25" style="2" bestFit="1" customWidth="1"/>
    <col min="9977" max="9978" width="11.125" style="2" bestFit="1" customWidth="1"/>
    <col min="9979" max="9979" width="13.25" style="2" bestFit="1" customWidth="1"/>
    <col min="9980" max="9980" width="11.125" style="2" bestFit="1" customWidth="1"/>
    <col min="9981" max="9981" width="9" style="2"/>
    <col min="9982" max="9982" width="11.125" style="2" bestFit="1" customWidth="1"/>
    <col min="9983" max="9983" width="9" style="2"/>
    <col min="9984" max="9996" width="11.125" style="2" bestFit="1" customWidth="1"/>
    <col min="9997" max="9997" width="9" style="2"/>
    <col min="9998" max="10004" width="11.125" style="2" bestFit="1" customWidth="1"/>
    <col min="10005" max="10005" width="9.625" style="2" bestFit="1" customWidth="1"/>
    <col min="10006" max="10230" width="9" style="2"/>
    <col min="10231" max="10231" width="2.375" style="2" customWidth="1"/>
    <col min="10232" max="10232" width="13.25" style="2" bestFit="1" customWidth="1"/>
    <col min="10233" max="10234" width="11.125" style="2" bestFit="1" customWidth="1"/>
    <col min="10235" max="10235" width="13.25" style="2" bestFit="1" customWidth="1"/>
    <col min="10236" max="10236" width="11.125" style="2" bestFit="1" customWidth="1"/>
    <col min="10237" max="10237" width="9" style="2"/>
    <col min="10238" max="10238" width="11.125" style="2" bestFit="1" customWidth="1"/>
    <col min="10239" max="10239" width="9" style="2"/>
    <col min="10240" max="10252" width="11.125" style="2" bestFit="1" customWidth="1"/>
    <col min="10253" max="10253" width="9" style="2"/>
    <col min="10254" max="10260" width="11.125" style="2" bestFit="1" customWidth="1"/>
    <col min="10261" max="10261" width="9.625" style="2" bestFit="1" customWidth="1"/>
    <col min="10262" max="10486" width="9" style="2"/>
    <col min="10487" max="10487" width="2.375" style="2" customWidth="1"/>
    <col min="10488" max="10488" width="13.25" style="2" bestFit="1" customWidth="1"/>
    <col min="10489" max="10490" width="11.125" style="2" bestFit="1" customWidth="1"/>
    <col min="10491" max="10491" width="13.25" style="2" bestFit="1" customWidth="1"/>
    <col min="10492" max="10492" width="11.125" style="2" bestFit="1" customWidth="1"/>
    <col min="10493" max="10493" width="9" style="2"/>
    <col min="10494" max="10494" width="11.125" style="2" bestFit="1" customWidth="1"/>
    <col min="10495" max="10495" width="9" style="2"/>
    <col min="10496" max="10508" width="11.125" style="2" bestFit="1" customWidth="1"/>
    <col min="10509" max="10509" width="9" style="2"/>
    <col min="10510" max="10516" width="11.125" style="2" bestFit="1" customWidth="1"/>
    <col min="10517" max="10517" width="9.625" style="2" bestFit="1" customWidth="1"/>
    <col min="10518" max="10742" width="9" style="2"/>
    <col min="10743" max="10743" width="2.375" style="2" customWidth="1"/>
    <col min="10744" max="10744" width="13.25" style="2" bestFit="1" customWidth="1"/>
    <col min="10745" max="10746" width="11.125" style="2" bestFit="1" customWidth="1"/>
    <col min="10747" max="10747" width="13.25" style="2" bestFit="1" customWidth="1"/>
    <col min="10748" max="10748" width="11.125" style="2" bestFit="1" customWidth="1"/>
    <col min="10749" max="10749" width="9" style="2"/>
    <col min="10750" max="10750" width="11.125" style="2" bestFit="1" customWidth="1"/>
    <col min="10751" max="10751" width="9" style="2"/>
    <col min="10752" max="10764" width="11.125" style="2" bestFit="1" customWidth="1"/>
    <col min="10765" max="10765" width="9" style="2"/>
    <col min="10766" max="10772" width="11.125" style="2" bestFit="1" customWidth="1"/>
    <col min="10773" max="10773" width="9.625" style="2" bestFit="1" customWidth="1"/>
    <col min="10774" max="10998" width="9" style="2"/>
    <col min="10999" max="10999" width="2.375" style="2" customWidth="1"/>
    <col min="11000" max="11000" width="13.25" style="2" bestFit="1" customWidth="1"/>
    <col min="11001" max="11002" width="11.125" style="2" bestFit="1" customWidth="1"/>
    <col min="11003" max="11003" width="13.25" style="2" bestFit="1" customWidth="1"/>
    <col min="11004" max="11004" width="11.125" style="2" bestFit="1" customWidth="1"/>
    <col min="11005" max="11005" width="9" style="2"/>
    <col min="11006" max="11006" width="11.125" style="2" bestFit="1" customWidth="1"/>
    <col min="11007" max="11007" width="9" style="2"/>
    <col min="11008" max="11020" width="11.125" style="2" bestFit="1" customWidth="1"/>
    <col min="11021" max="11021" width="9" style="2"/>
    <col min="11022" max="11028" width="11.125" style="2" bestFit="1" customWidth="1"/>
    <col min="11029" max="11029" width="9.625" style="2" bestFit="1" customWidth="1"/>
    <col min="11030" max="11254" width="9" style="2"/>
    <col min="11255" max="11255" width="2.375" style="2" customWidth="1"/>
    <col min="11256" max="11256" width="13.25" style="2" bestFit="1" customWidth="1"/>
    <col min="11257" max="11258" width="11.125" style="2" bestFit="1" customWidth="1"/>
    <col min="11259" max="11259" width="13.25" style="2" bestFit="1" customWidth="1"/>
    <col min="11260" max="11260" width="11.125" style="2" bestFit="1" customWidth="1"/>
    <col min="11261" max="11261" width="9" style="2"/>
    <col min="11262" max="11262" width="11.125" style="2" bestFit="1" customWidth="1"/>
    <col min="11263" max="11263" width="9" style="2"/>
    <col min="11264" max="11276" width="11.125" style="2" bestFit="1" customWidth="1"/>
    <col min="11277" max="11277" width="9" style="2"/>
    <col min="11278" max="11284" width="11.125" style="2" bestFit="1" customWidth="1"/>
    <col min="11285" max="11285" width="9.625" style="2" bestFit="1" customWidth="1"/>
    <col min="11286" max="11510" width="9" style="2"/>
    <col min="11511" max="11511" width="2.375" style="2" customWidth="1"/>
    <col min="11512" max="11512" width="13.25" style="2" bestFit="1" customWidth="1"/>
    <col min="11513" max="11514" width="11.125" style="2" bestFit="1" customWidth="1"/>
    <col min="11515" max="11515" width="13.25" style="2" bestFit="1" customWidth="1"/>
    <col min="11516" max="11516" width="11.125" style="2" bestFit="1" customWidth="1"/>
    <col min="11517" max="11517" width="9" style="2"/>
    <col min="11518" max="11518" width="11.125" style="2" bestFit="1" customWidth="1"/>
    <col min="11519" max="11519" width="9" style="2"/>
    <col min="11520" max="11532" width="11.125" style="2" bestFit="1" customWidth="1"/>
    <col min="11533" max="11533" width="9" style="2"/>
    <col min="11534" max="11540" width="11.125" style="2" bestFit="1" customWidth="1"/>
    <col min="11541" max="11541" width="9.625" style="2" bestFit="1" customWidth="1"/>
    <col min="11542" max="11766" width="9" style="2"/>
    <col min="11767" max="11767" width="2.375" style="2" customWidth="1"/>
    <col min="11768" max="11768" width="13.25" style="2" bestFit="1" customWidth="1"/>
    <col min="11769" max="11770" width="11.125" style="2" bestFit="1" customWidth="1"/>
    <col min="11771" max="11771" width="13.25" style="2" bestFit="1" customWidth="1"/>
    <col min="11772" max="11772" width="11.125" style="2" bestFit="1" customWidth="1"/>
    <col min="11773" max="11773" width="9" style="2"/>
    <col min="11774" max="11774" width="11.125" style="2" bestFit="1" customWidth="1"/>
    <col min="11775" max="11775" width="9" style="2"/>
    <col min="11776" max="11788" width="11.125" style="2" bestFit="1" customWidth="1"/>
    <col min="11789" max="11789" width="9" style="2"/>
    <col min="11790" max="11796" width="11.125" style="2" bestFit="1" customWidth="1"/>
    <col min="11797" max="11797" width="9.625" style="2" bestFit="1" customWidth="1"/>
    <col min="11798" max="12022" width="9" style="2"/>
    <col min="12023" max="12023" width="2.375" style="2" customWidth="1"/>
    <col min="12024" max="12024" width="13.25" style="2" bestFit="1" customWidth="1"/>
    <col min="12025" max="12026" width="11.125" style="2" bestFit="1" customWidth="1"/>
    <col min="12027" max="12027" width="13.25" style="2" bestFit="1" customWidth="1"/>
    <col min="12028" max="12028" width="11.125" style="2" bestFit="1" customWidth="1"/>
    <col min="12029" max="12029" width="9" style="2"/>
    <col min="12030" max="12030" width="11.125" style="2" bestFit="1" customWidth="1"/>
    <col min="12031" max="12031" width="9" style="2"/>
    <col min="12032" max="12044" width="11.125" style="2" bestFit="1" customWidth="1"/>
    <col min="12045" max="12045" width="9" style="2"/>
    <col min="12046" max="12052" width="11.125" style="2" bestFit="1" customWidth="1"/>
    <col min="12053" max="12053" width="9.625" style="2" bestFit="1" customWidth="1"/>
    <col min="12054" max="12278" width="9" style="2"/>
    <col min="12279" max="12279" width="2.375" style="2" customWidth="1"/>
    <col min="12280" max="12280" width="13.25" style="2" bestFit="1" customWidth="1"/>
    <col min="12281" max="12282" width="11.125" style="2" bestFit="1" customWidth="1"/>
    <col min="12283" max="12283" width="13.25" style="2" bestFit="1" customWidth="1"/>
    <col min="12284" max="12284" width="11.125" style="2" bestFit="1" customWidth="1"/>
    <col min="12285" max="12285" width="9" style="2"/>
    <col min="12286" max="12286" width="11.125" style="2" bestFit="1" customWidth="1"/>
    <col min="12287" max="12287" width="9" style="2"/>
    <col min="12288" max="12300" width="11.125" style="2" bestFit="1" customWidth="1"/>
    <col min="12301" max="12301" width="9" style="2"/>
    <col min="12302" max="12308" width="11.125" style="2" bestFit="1" customWidth="1"/>
    <col min="12309" max="12309" width="9.625" style="2" bestFit="1" customWidth="1"/>
    <col min="12310" max="12534" width="9" style="2"/>
    <col min="12535" max="12535" width="2.375" style="2" customWidth="1"/>
    <col min="12536" max="12536" width="13.25" style="2" bestFit="1" customWidth="1"/>
    <col min="12537" max="12538" width="11.125" style="2" bestFit="1" customWidth="1"/>
    <col min="12539" max="12539" width="13.25" style="2" bestFit="1" customWidth="1"/>
    <col min="12540" max="12540" width="11.125" style="2" bestFit="1" customWidth="1"/>
    <col min="12541" max="12541" width="9" style="2"/>
    <col min="12542" max="12542" width="11.125" style="2" bestFit="1" customWidth="1"/>
    <col min="12543" max="12543" width="9" style="2"/>
    <col min="12544" max="12556" width="11.125" style="2" bestFit="1" customWidth="1"/>
    <col min="12557" max="12557" width="9" style="2"/>
    <col min="12558" max="12564" width="11.125" style="2" bestFit="1" customWidth="1"/>
    <col min="12565" max="12565" width="9.625" style="2" bestFit="1" customWidth="1"/>
    <col min="12566" max="12790" width="9" style="2"/>
    <col min="12791" max="12791" width="2.375" style="2" customWidth="1"/>
    <col min="12792" max="12792" width="13.25" style="2" bestFit="1" customWidth="1"/>
    <col min="12793" max="12794" width="11.125" style="2" bestFit="1" customWidth="1"/>
    <col min="12795" max="12795" width="13.25" style="2" bestFit="1" customWidth="1"/>
    <col min="12796" max="12796" width="11.125" style="2" bestFit="1" customWidth="1"/>
    <col min="12797" max="12797" width="9" style="2"/>
    <col min="12798" max="12798" width="11.125" style="2" bestFit="1" customWidth="1"/>
    <col min="12799" max="12799" width="9" style="2"/>
    <col min="12800" max="12812" width="11.125" style="2" bestFit="1" customWidth="1"/>
    <col min="12813" max="12813" width="9" style="2"/>
    <col min="12814" max="12820" width="11.125" style="2" bestFit="1" customWidth="1"/>
    <col min="12821" max="12821" width="9.625" style="2" bestFit="1" customWidth="1"/>
    <col min="12822" max="13046" width="9" style="2"/>
    <col min="13047" max="13047" width="2.375" style="2" customWidth="1"/>
    <col min="13048" max="13048" width="13.25" style="2" bestFit="1" customWidth="1"/>
    <col min="13049" max="13050" width="11.125" style="2" bestFit="1" customWidth="1"/>
    <col min="13051" max="13051" width="13.25" style="2" bestFit="1" customWidth="1"/>
    <col min="13052" max="13052" width="11.125" style="2" bestFit="1" customWidth="1"/>
    <col min="13053" max="13053" width="9" style="2"/>
    <col min="13054" max="13054" width="11.125" style="2" bestFit="1" customWidth="1"/>
    <col min="13055" max="13055" width="9" style="2"/>
    <col min="13056" max="13068" width="11.125" style="2" bestFit="1" customWidth="1"/>
    <col min="13069" max="13069" width="9" style="2"/>
    <col min="13070" max="13076" width="11.125" style="2" bestFit="1" customWidth="1"/>
    <col min="13077" max="13077" width="9.625" style="2" bestFit="1" customWidth="1"/>
    <col min="13078" max="13302" width="9" style="2"/>
    <col min="13303" max="13303" width="2.375" style="2" customWidth="1"/>
    <col min="13304" max="13304" width="13.25" style="2" bestFit="1" customWidth="1"/>
    <col min="13305" max="13306" width="11.125" style="2" bestFit="1" customWidth="1"/>
    <col min="13307" max="13307" width="13.25" style="2" bestFit="1" customWidth="1"/>
    <col min="13308" max="13308" width="11.125" style="2" bestFit="1" customWidth="1"/>
    <col min="13309" max="13309" width="9" style="2"/>
    <col min="13310" max="13310" width="11.125" style="2" bestFit="1" customWidth="1"/>
    <col min="13311" max="13311" width="9" style="2"/>
    <col min="13312" max="13324" width="11.125" style="2" bestFit="1" customWidth="1"/>
    <col min="13325" max="13325" width="9" style="2"/>
    <col min="13326" max="13332" width="11.125" style="2" bestFit="1" customWidth="1"/>
    <col min="13333" max="13333" width="9.625" style="2" bestFit="1" customWidth="1"/>
    <col min="13334" max="13558" width="9" style="2"/>
    <col min="13559" max="13559" width="2.375" style="2" customWidth="1"/>
    <col min="13560" max="13560" width="13.25" style="2" bestFit="1" customWidth="1"/>
    <col min="13561" max="13562" width="11.125" style="2" bestFit="1" customWidth="1"/>
    <col min="13563" max="13563" width="13.25" style="2" bestFit="1" customWidth="1"/>
    <col min="13564" max="13564" width="11.125" style="2" bestFit="1" customWidth="1"/>
    <col min="13565" max="13565" width="9" style="2"/>
    <col min="13566" max="13566" width="11.125" style="2" bestFit="1" customWidth="1"/>
    <col min="13567" max="13567" width="9" style="2"/>
    <col min="13568" max="13580" width="11.125" style="2" bestFit="1" customWidth="1"/>
    <col min="13581" max="13581" width="9" style="2"/>
    <col min="13582" max="13588" width="11.125" style="2" bestFit="1" customWidth="1"/>
    <col min="13589" max="13589" width="9.625" style="2" bestFit="1" customWidth="1"/>
    <col min="13590" max="13814" width="9" style="2"/>
    <col min="13815" max="13815" width="2.375" style="2" customWidth="1"/>
    <col min="13816" max="13816" width="13.25" style="2" bestFit="1" customWidth="1"/>
    <col min="13817" max="13818" width="11.125" style="2" bestFit="1" customWidth="1"/>
    <col min="13819" max="13819" width="13.25" style="2" bestFit="1" customWidth="1"/>
    <col min="13820" max="13820" width="11.125" style="2" bestFit="1" customWidth="1"/>
    <col min="13821" max="13821" width="9" style="2"/>
    <col min="13822" max="13822" width="11.125" style="2" bestFit="1" customWidth="1"/>
    <col min="13823" max="13823" width="9" style="2"/>
    <col min="13824" max="13836" width="11.125" style="2" bestFit="1" customWidth="1"/>
    <col min="13837" max="13837" width="9" style="2"/>
    <col min="13838" max="13844" width="11.125" style="2" bestFit="1" customWidth="1"/>
    <col min="13845" max="13845" width="9.625" style="2" bestFit="1" customWidth="1"/>
    <col min="13846" max="14070" width="9" style="2"/>
    <col min="14071" max="14071" width="2.375" style="2" customWidth="1"/>
    <col min="14072" max="14072" width="13.25" style="2" bestFit="1" customWidth="1"/>
    <col min="14073" max="14074" width="11.125" style="2" bestFit="1" customWidth="1"/>
    <col min="14075" max="14075" width="13.25" style="2" bestFit="1" customWidth="1"/>
    <col min="14076" max="14076" width="11.125" style="2" bestFit="1" customWidth="1"/>
    <col min="14077" max="14077" width="9" style="2"/>
    <col min="14078" max="14078" width="11.125" style="2" bestFit="1" customWidth="1"/>
    <col min="14079" max="14079" width="9" style="2"/>
    <col min="14080" max="14092" width="11.125" style="2" bestFit="1" customWidth="1"/>
    <col min="14093" max="14093" width="9" style="2"/>
    <col min="14094" max="14100" width="11.125" style="2" bestFit="1" customWidth="1"/>
    <col min="14101" max="14101" width="9.625" style="2" bestFit="1" customWidth="1"/>
    <col min="14102" max="14326" width="9" style="2"/>
    <col min="14327" max="14327" width="2.375" style="2" customWidth="1"/>
    <col min="14328" max="14328" width="13.25" style="2" bestFit="1" customWidth="1"/>
    <col min="14329" max="14330" width="11.125" style="2" bestFit="1" customWidth="1"/>
    <col min="14331" max="14331" width="13.25" style="2" bestFit="1" customWidth="1"/>
    <col min="14332" max="14332" width="11.125" style="2" bestFit="1" customWidth="1"/>
    <col min="14333" max="14333" width="9" style="2"/>
    <col min="14334" max="14334" width="11.125" style="2" bestFit="1" customWidth="1"/>
    <col min="14335" max="14335" width="9" style="2"/>
    <col min="14336" max="14348" width="11.125" style="2" bestFit="1" customWidth="1"/>
    <col min="14349" max="14349" width="9" style="2"/>
    <col min="14350" max="14356" width="11.125" style="2" bestFit="1" customWidth="1"/>
    <col min="14357" max="14357" width="9.625" style="2" bestFit="1" customWidth="1"/>
    <col min="14358" max="14582" width="9" style="2"/>
    <col min="14583" max="14583" width="2.375" style="2" customWidth="1"/>
    <col min="14584" max="14584" width="13.25" style="2" bestFit="1" customWidth="1"/>
    <col min="14585" max="14586" width="11.125" style="2" bestFit="1" customWidth="1"/>
    <col min="14587" max="14587" width="13.25" style="2" bestFit="1" customWidth="1"/>
    <col min="14588" max="14588" width="11.125" style="2" bestFit="1" customWidth="1"/>
    <col min="14589" max="14589" width="9" style="2"/>
    <col min="14590" max="14590" width="11.125" style="2" bestFit="1" customWidth="1"/>
    <col min="14591" max="14591" width="9" style="2"/>
    <col min="14592" max="14604" width="11.125" style="2" bestFit="1" customWidth="1"/>
    <col min="14605" max="14605" width="9" style="2"/>
    <col min="14606" max="14612" width="11.125" style="2" bestFit="1" customWidth="1"/>
    <col min="14613" max="14613" width="9.625" style="2" bestFit="1" customWidth="1"/>
    <col min="14614" max="14838" width="9" style="2"/>
    <col min="14839" max="14839" width="2.375" style="2" customWidth="1"/>
    <col min="14840" max="14840" width="13.25" style="2" bestFit="1" customWidth="1"/>
    <col min="14841" max="14842" width="11.125" style="2" bestFit="1" customWidth="1"/>
    <col min="14843" max="14843" width="13.25" style="2" bestFit="1" customWidth="1"/>
    <col min="14844" max="14844" width="11.125" style="2" bestFit="1" customWidth="1"/>
    <col min="14845" max="14845" width="9" style="2"/>
    <col min="14846" max="14846" width="11.125" style="2" bestFit="1" customWidth="1"/>
    <col min="14847" max="14847" width="9" style="2"/>
    <col min="14848" max="14860" width="11.125" style="2" bestFit="1" customWidth="1"/>
    <col min="14861" max="14861" width="9" style="2"/>
    <col min="14862" max="14868" width="11.125" style="2" bestFit="1" customWidth="1"/>
    <col min="14869" max="14869" width="9.625" style="2" bestFit="1" customWidth="1"/>
    <col min="14870" max="15094" width="9" style="2"/>
    <col min="15095" max="15095" width="2.375" style="2" customWidth="1"/>
    <col min="15096" max="15096" width="13.25" style="2" bestFit="1" customWidth="1"/>
    <col min="15097" max="15098" width="11.125" style="2" bestFit="1" customWidth="1"/>
    <col min="15099" max="15099" width="13.25" style="2" bestFit="1" customWidth="1"/>
    <col min="15100" max="15100" width="11.125" style="2" bestFit="1" customWidth="1"/>
    <col min="15101" max="15101" width="9" style="2"/>
    <col min="15102" max="15102" width="11.125" style="2" bestFit="1" customWidth="1"/>
    <col min="15103" max="15103" width="9" style="2"/>
    <col min="15104" max="15116" width="11.125" style="2" bestFit="1" customWidth="1"/>
    <col min="15117" max="15117" width="9" style="2"/>
    <col min="15118" max="15124" width="11.125" style="2" bestFit="1" customWidth="1"/>
    <col min="15125" max="15125" width="9.625" style="2" bestFit="1" customWidth="1"/>
    <col min="15126" max="15350" width="9" style="2"/>
    <col min="15351" max="15351" width="2.375" style="2" customWidth="1"/>
    <col min="15352" max="15352" width="13.25" style="2" bestFit="1" customWidth="1"/>
    <col min="15353" max="15354" width="11.125" style="2" bestFit="1" customWidth="1"/>
    <col min="15355" max="15355" width="13.25" style="2" bestFit="1" customWidth="1"/>
    <col min="15356" max="15356" width="11.125" style="2" bestFit="1" customWidth="1"/>
    <col min="15357" max="15357" width="9" style="2"/>
    <col min="15358" max="15358" width="11.125" style="2" bestFit="1" customWidth="1"/>
    <col min="15359" max="15359" width="9" style="2"/>
    <col min="15360" max="15372" width="11.125" style="2" bestFit="1" customWidth="1"/>
    <col min="15373" max="15373" width="9" style="2"/>
    <col min="15374" max="15380" width="11.125" style="2" bestFit="1" customWidth="1"/>
    <col min="15381" max="15381" width="9.625" style="2" bestFit="1" customWidth="1"/>
    <col min="15382" max="15606" width="9" style="2"/>
    <col min="15607" max="15607" width="2.375" style="2" customWidth="1"/>
    <col min="15608" max="15608" width="13.25" style="2" bestFit="1" customWidth="1"/>
    <col min="15609" max="15610" width="11.125" style="2" bestFit="1" customWidth="1"/>
    <col min="15611" max="15611" width="13.25" style="2" bestFit="1" customWidth="1"/>
    <col min="15612" max="15612" width="11.125" style="2" bestFit="1" customWidth="1"/>
    <col min="15613" max="15613" width="9" style="2"/>
    <col min="15614" max="15614" width="11.125" style="2" bestFit="1" customWidth="1"/>
    <col min="15615" max="15615" width="9" style="2"/>
    <col min="15616" max="15628" width="11.125" style="2" bestFit="1" customWidth="1"/>
    <col min="15629" max="15629" width="9" style="2"/>
    <col min="15630" max="15636" width="11.125" style="2" bestFit="1" customWidth="1"/>
    <col min="15637" max="15637" width="9.625" style="2" bestFit="1" customWidth="1"/>
    <col min="15638" max="15862" width="9" style="2"/>
    <col min="15863" max="15863" width="2.375" style="2" customWidth="1"/>
    <col min="15864" max="15864" width="13.25" style="2" bestFit="1" customWidth="1"/>
    <col min="15865" max="15866" width="11.125" style="2" bestFit="1" customWidth="1"/>
    <col min="15867" max="15867" width="13.25" style="2" bestFit="1" customWidth="1"/>
    <col min="15868" max="15868" width="11.125" style="2" bestFit="1" customWidth="1"/>
    <col min="15869" max="15869" width="9" style="2"/>
    <col min="15870" max="15870" width="11.125" style="2" bestFit="1" customWidth="1"/>
    <col min="15871" max="15871" width="9" style="2"/>
    <col min="15872" max="15884" width="11.125" style="2" bestFit="1" customWidth="1"/>
    <col min="15885" max="15885" width="9" style="2"/>
    <col min="15886" max="15892" width="11.125" style="2" bestFit="1" customWidth="1"/>
    <col min="15893" max="15893" width="9.625" style="2" bestFit="1" customWidth="1"/>
    <col min="15894" max="16118" width="9" style="2"/>
    <col min="16119" max="16119" width="2.375" style="2" customWidth="1"/>
    <col min="16120" max="16120" width="13.25" style="2" bestFit="1" customWidth="1"/>
    <col min="16121" max="16122" width="11.125" style="2" bestFit="1" customWidth="1"/>
    <col min="16123" max="16123" width="13.25" style="2" bestFit="1" customWidth="1"/>
    <col min="16124" max="16124" width="11.125" style="2" bestFit="1" customWidth="1"/>
    <col min="16125" max="16125" width="9" style="2"/>
    <col min="16126" max="16126" width="11.125" style="2" bestFit="1" customWidth="1"/>
    <col min="16127" max="16127" width="9" style="2"/>
    <col min="16128" max="16140" width="11.125" style="2" bestFit="1" customWidth="1"/>
    <col min="16141" max="16141" width="9" style="2"/>
    <col min="16142" max="16148" width="11.125" style="2" bestFit="1" customWidth="1"/>
    <col min="16149" max="16149" width="9.625" style="2" bestFit="1" customWidth="1"/>
    <col min="16150" max="16384" width="9" style="2"/>
  </cols>
  <sheetData>
    <row r="1" spans="1:22">
      <c r="A1" s="1" t="s">
        <v>0</v>
      </c>
    </row>
    <row r="2" spans="1:22" ht="19.5" thickBot="1">
      <c r="A2" s="1" t="s">
        <v>106</v>
      </c>
    </row>
    <row r="3" spans="1:22">
      <c r="B3" s="4"/>
      <c r="C3" s="34" t="s">
        <v>2</v>
      </c>
      <c r="D3" s="35" t="s">
        <v>3</v>
      </c>
      <c r="E3" s="35" t="s">
        <v>6</v>
      </c>
      <c r="F3" s="35" t="s">
        <v>7</v>
      </c>
      <c r="G3" s="35" t="s">
        <v>8</v>
      </c>
      <c r="H3" s="35" t="s">
        <v>9</v>
      </c>
      <c r="I3" s="35" t="s">
        <v>10</v>
      </c>
      <c r="J3" s="35" t="s">
        <v>11</v>
      </c>
      <c r="K3" s="35" t="s">
        <v>12</v>
      </c>
      <c r="L3" s="35" t="s">
        <v>13</v>
      </c>
      <c r="M3" s="35" t="s">
        <v>14</v>
      </c>
      <c r="N3" s="35" t="s">
        <v>15</v>
      </c>
      <c r="O3" s="35" t="s">
        <v>16</v>
      </c>
      <c r="P3" s="35" t="s">
        <v>18</v>
      </c>
      <c r="Q3" s="35" t="s">
        <v>19</v>
      </c>
      <c r="R3" s="35" t="s">
        <v>20</v>
      </c>
      <c r="S3" s="35" t="s">
        <v>21</v>
      </c>
      <c r="T3" s="35" t="s">
        <v>22</v>
      </c>
      <c r="U3" s="61" t="s">
        <v>23</v>
      </c>
      <c r="V3" s="85" t="s">
        <v>107</v>
      </c>
    </row>
    <row r="4" spans="1:22" ht="19.5" thickBot="1">
      <c r="B4" s="5" t="s">
        <v>30</v>
      </c>
      <c r="C4" s="36" t="s">
        <v>31</v>
      </c>
      <c r="D4" s="37" t="s">
        <v>32</v>
      </c>
      <c r="E4" s="37" t="s">
        <v>34</v>
      </c>
      <c r="F4" s="37" t="s">
        <v>35</v>
      </c>
      <c r="G4" s="37" t="s">
        <v>36</v>
      </c>
      <c r="H4" s="37" t="s">
        <v>37</v>
      </c>
      <c r="I4" s="37" t="s">
        <v>38</v>
      </c>
      <c r="J4" s="37" t="s">
        <v>39</v>
      </c>
      <c r="K4" s="37" t="s">
        <v>40</v>
      </c>
      <c r="L4" s="37" t="s">
        <v>41</v>
      </c>
      <c r="M4" s="37" t="s">
        <v>42</v>
      </c>
      <c r="N4" s="37" t="s">
        <v>43</v>
      </c>
      <c r="O4" s="37" t="s">
        <v>44</v>
      </c>
      <c r="P4" s="37" t="s">
        <v>46</v>
      </c>
      <c r="Q4" s="37" t="s">
        <v>47</v>
      </c>
      <c r="R4" s="37" t="s">
        <v>48</v>
      </c>
      <c r="S4" s="37" t="s">
        <v>49</v>
      </c>
      <c r="T4" s="37" t="s">
        <v>50</v>
      </c>
      <c r="U4" s="62" t="s">
        <v>51</v>
      </c>
      <c r="V4" s="86" t="s">
        <v>108</v>
      </c>
    </row>
    <row r="5" spans="1:22">
      <c r="A5" s="1" t="s">
        <v>1</v>
      </c>
      <c r="B5" s="26" t="s">
        <v>59</v>
      </c>
      <c r="C5" s="38">
        <v>19</v>
      </c>
      <c r="D5" s="39">
        <v>20</v>
      </c>
      <c r="E5" s="39">
        <v>13</v>
      </c>
      <c r="F5" s="39">
        <v>20</v>
      </c>
      <c r="G5" s="39">
        <v>19</v>
      </c>
      <c r="H5" s="39">
        <v>20</v>
      </c>
      <c r="I5" s="39">
        <v>18</v>
      </c>
      <c r="J5" s="39">
        <v>20</v>
      </c>
      <c r="K5" s="39">
        <v>20</v>
      </c>
      <c r="L5" s="39">
        <v>19</v>
      </c>
      <c r="M5" s="39">
        <v>11</v>
      </c>
      <c r="N5" s="39">
        <v>17</v>
      </c>
      <c r="O5" s="39">
        <v>20</v>
      </c>
      <c r="P5" s="39">
        <v>0</v>
      </c>
      <c r="Q5" s="39">
        <v>16</v>
      </c>
      <c r="R5" s="39">
        <v>16</v>
      </c>
      <c r="S5" s="39">
        <v>18</v>
      </c>
      <c r="T5" s="39">
        <v>20</v>
      </c>
      <c r="U5" s="63">
        <v>17</v>
      </c>
      <c r="V5" s="28">
        <f>SUM(C5:U5)</f>
        <v>323</v>
      </c>
    </row>
    <row r="6" spans="1:22">
      <c r="A6" s="1" t="s">
        <v>1</v>
      </c>
      <c r="B6" s="22" t="s">
        <v>60</v>
      </c>
      <c r="C6" s="40">
        <v>4</v>
      </c>
      <c r="D6" s="41">
        <v>2</v>
      </c>
      <c r="E6" s="41">
        <v>2</v>
      </c>
      <c r="F6" s="41">
        <v>3</v>
      </c>
      <c r="G6" s="41">
        <v>3</v>
      </c>
      <c r="H6" s="41">
        <v>2</v>
      </c>
      <c r="I6" s="41">
        <v>5</v>
      </c>
      <c r="J6" s="41">
        <v>4</v>
      </c>
      <c r="K6" s="41">
        <v>4</v>
      </c>
      <c r="L6" s="41">
        <v>4</v>
      </c>
      <c r="M6" s="41">
        <v>2</v>
      </c>
      <c r="N6" s="41">
        <v>2</v>
      </c>
      <c r="O6" s="41">
        <v>5</v>
      </c>
      <c r="P6" s="41">
        <v>0</v>
      </c>
      <c r="Q6" s="41">
        <v>3</v>
      </c>
      <c r="R6" s="41">
        <v>4</v>
      </c>
      <c r="S6" s="41">
        <v>2</v>
      </c>
      <c r="T6" s="41">
        <v>3</v>
      </c>
      <c r="U6" s="64">
        <v>3</v>
      </c>
      <c r="V6" s="30">
        <f t="shared" ref="V6:V50" si="0">SUM(C6:U6)</f>
        <v>57</v>
      </c>
    </row>
    <row r="7" spans="1:22">
      <c r="A7" s="1" t="s">
        <v>1</v>
      </c>
      <c r="B7" s="22" t="s">
        <v>61</v>
      </c>
      <c r="C7" s="40">
        <v>2</v>
      </c>
      <c r="D7" s="41">
        <v>4</v>
      </c>
      <c r="E7" s="41">
        <v>2</v>
      </c>
      <c r="F7" s="41">
        <v>2</v>
      </c>
      <c r="G7" s="41">
        <v>0</v>
      </c>
      <c r="H7" s="41">
        <v>3</v>
      </c>
      <c r="I7" s="41">
        <v>1</v>
      </c>
      <c r="J7" s="41">
        <v>1</v>
      </c>
      <c r="K7" s="41">
        <v>1</v>
      </c>
      <c r="L7" s="41">
        <v>1</v>
      </c>
      <c r="M7" s="41">
        <v>1</v>
      </c>
      <c r="N7" s="41">
        <v>3</v>
      </c>
      <c r="O7" s="41">
        <v>1</v>
      </c>
      <c r="P7" s="41">
        <v>0</v>
      </c>
      <c r="Q7" s="41">
        <v>3</v>
      </c>
      <c r="R7" s="41">
        <v>2</v>
      </c>
      <c r="S7" s="41">
        <v>5</v>
      </c>
      <c r="T7" s="41">
        <v>2</v>
      </c>
      <c r="U7" s="64">
        <v>3</v>
      </c>
      <c r="V7" s="30">
        <f t="shared" si="0"/>
        <v>37</v>
      </c>
    </row>
    <row r="8" spans="1:22">
      <c r="A8" s="1" t="s">
        <v>1</v>
      </c>
      <c r="B8" s="22" t="s">
        <v>62</v>
      </c>
      <c r="C8" s="40">
        <v>0</v>
      </c>
      <c r="D8" s="41">
        <v>0</v>
      </c>
      <c r="E8" s="41">
        <v>2</v>
      </c>
      <c r="F8" s="41">
        <v>0</v>
      </c>
      <c r="G8" s="41">
        <v>0</v>
      </c>
      <c r="H8" s="41">
        <v>0</v>
      </c>
      <c r="I8" s="41">
        <v>0</v>
      </c>
      <c r="J8" s="41">
        <v>0</v>
      </c>
      <c r="K8" s="41">
        <v>0</v>
      </c>
      <c r="L8" s="41">
        <v>0</v>
      </c>
      <c r="M8" s="41">
        <v>0</v>
      </c>
      <c r="N8" s="41">
        <v>3</v>
      </c>
      <c r="O8" s="41">
        <v>0</v>
      </c>
      <c r="P8" s="41">
        <v>0</v>
      </c>
      <c r="Q8" s="41">
        <v>1</v>
      </c>
      <c r="R8" s="41">
        <v>3</v>
      </c>
      <c r="S8" s="41">
        <v>2</v>
      </c>
      <c r="T8" s="41">
        <v>0</v>
      </c>
      <c r="U8" s="64">
        <v>0</v>
      </c>
      <c r="V8" s="30">
        <f t="shared" si="0"/>
        <v>11</v>
      </c>
    </row>
    <row r="9" spans="1:22">
      <c r="A9" s="1" t="s">
        <v>1</v>
      </c>
      <c r="B9" s="22" t="s">
        <v>63</v>
      </c>
      <c r="C9" s="40">
        <v>1</v>
      </c>
      <c r="D9" s="41">
        <v>0</v>
      </c>
      <c r="E9" s="41">
        <v>5</v>
      </c>
      <c r="F9" s="41">
        <v>0</v>
      </c>
      <c r="G9" s="41">
        <v>1</v>
      </c>
      <c r="H9" s="41">
        <v>0</v>
      </c>
      <c r="I9" s="41">
        <v>2</v>
      </c>
      <c r="J9" s="41">
        <v>0</v>
      </c>
      <c r="K9" s="41">
        <v>0</v>
      </c>
      <c r="L9" s="41">
        <v>1</v>
      </c>
      <c r="M9" s="41">
        <v>2</v>
      </c>
      <c r="N9" s="41">
        <v>0</v>
      </c>
      <c r="O9" s="41">
        <v>0</v>
      </c>
      <c r="P9" s="41">
        <v>0</v>
      </c>
      <c r="Q9" s="41">
        <v>3</v>
      </c>
      <c r="R9" s="41">
        <v>1</v>
      </c>
      <c r="S9" s="41">
        <v>0</v>
      </c>
      <c r="T9" s="41">
        <v>0</v>
      </c>
      <c r="U9" s="64">
        <v>3</v>
      </c>
      <c r="V9" s="30">
        <f t="shared" si="0"/>
        <v>19</v>
      </c>
    </row>
    <row r="10" spans="1:22">
      <c r="A10" s="1" t="s">
        <v>1</v>
      </c>
      <c r="B10" s="22" t="s">
        <v>64</v>
      </c>
      <c r="C10" s="40">
        <v>0</v>
      </c>
      <c r="D10" s="41">
        <v>0</v>
      </c>
      <c r="E10" s="41">
        <v>0</v>
      </c>
      <c r="F10" s="41">
        <v>0</v>
      </c>
      <c r="G10" s="41">
        <v>0</v>
      </c>
      <c r="H10" s="41">
        <v>0</v>
      </c>
      <c r="I10" s="41">
        <v>0</v>
      </c>
      <c r="J10" s="41">
        <v>0</v>
      </c>
      <c r="K10" s="41">
        <v>0</v>
      </c>
      <c r="L10" s="41">
        <v>0</v>
      </c>
      <c r="M10" s="41">
        <v>7</v>
      </c>
      <c r="N10" s="41">
        <v>0</v>
      </c>
      <c r="O10" s="41">
        <v>0</v>
      </c>
      <c r="P10" s="41">
        <v>20</v>
      </c>
      <c r="Q10" s="41">
        <v>0</v>
      </c>
      <c r="R10" s="41">
        <v>0</v>
      </c>
      <c r="S10" s="41">
        <v>0</v>
      </c>
      <c r="T10" s="41">
        <v>0</v>
      </c>
      <c r="U10" s="64">
        <v>0</v>
      </c>
      <c r="V10" s="30">
        <f t="shared" si="0"/>
        <v>27</v>
      </c>
    </row>
    <row r="11" spans="1:22">
      <c r="A11" s="1" t="s">
        <v>1</v>
      </c>
      <c r="B11" s="22" t="s">
        <v>65</v>
      </c>
      <c r="C11" s="42">
        <v>0</v>
      </c>
      <c r="D11" s="43">
        <v>0</v>
      </c>
      <c r="E11" s="43">
        <v>0</v>
      </c>
      <c r="F11" s="43">
        <v>0</v>
      </c>
      <c r="G11" s="43">
        <v>0</v>
      </c>
      <c r="H11" s="43">
        <v>0</v>
      </c>
      <c r="I11" s="43">
        <v>0</v>
      </c>
      <c r="J11" s="43">
        <v>0</v>
      </c>
      <c r="K11" s="43">
        <v>0</v>
      </c>
      <c r="L11" s="43">
        <v>0</v>
      </c>
      <c r="M11" s="43">
        <v>0</v>
      </c>
      <c r="N11" s="43">
        <v>0</v>
      </c>
      <c r="O11" s="43">
        <v>0</v>
      </c>
      <c r="P11" s="43">
        <v>0</v>
      </c>
      <c r="Q11" s="43">
        <v>0</v>
      </c>
      <c r="R11" s="43">
        <v>0</v>
      </c>
      <c r="S11" s="43">
        <v>0</v>
      </c>
      <c r="T11" s="43">
        <v>0</v>
      </c>
      <c r="U11" s="65">
        <v>0</v>
      </c>
      <c r="V11" s="32">
        <f t="shared" si="0"/>
        <v>0</v>
      </c>
    </row>
    <row r="12" spans="1:22">
      <c r="A12" s="1" t="s">
        <v>1</v>
      </c>
      <c r="B12" s="22" t="s">
        <v>66</v>
      </c>
      <c r="C12" s="42">
        <v>0.91666666666666663</v>
      </c>
      <c r="D12" s="43">
        <v>1.625</v>
      </c>
      <c r="E12" s="43">
        <v>0.375</v>
      </c>
      <c r="F12" s="43">
        <v>2.2916666666666665</v>
      </c>
      <c r="G12" s="43">
        <v>1.9583333333333335</v>
      </c>
      <c r="H12" s="43">
        <v>2.7916666666666665</v>
      </c>
      <c r="I12" s="43">
        <v>2.2916666666666665</v>
      </c>
      <c r="J12" s="43">
        <v>1.9166666666666665</v>
      </c>
      <c r="K12" s="43">
        <v>1.875</v>
      </c>
      <c r="L12" s="43">
        <v>1.8333333333333335</v>
      </c>
      <c r="M12" s="43">
        <v>0.54166666666666663</v>
      </c>
      <c r="N12" s="43">
        <v>1.3333333333333333</v>
      </c>
      <c r="O12" s="43">
        <v>1.3333333333333333</v>
      </c>
      <c r="P12" s="43">
        <v>0</v>
      </c>
      <c r="Q12" s="43">
        <v>1.1666666666666667</v>
      </c>
      <c r="R12" s="43">
        <v>1.2083333333333333</v>
      </c>
      <c r="S12" s="43">
        <v>2.75</v>
      </c>
      <c r="T12" s="43">
        <v>2</v>
      </c>
      <c r="U12" s="65">
        <v>1.9583333333333335</v>
      </c>
      <c r="V12" s="32">
        <f t="shared" si="0"/>
        <v>30.166666666666661</v>
      </c>
    </row>
    <row r="13" spans="1:22">
      <c r="A13" s="1" t="s">
        <v>1</v>
      </c>
      <c r="B13" s="22" t="s">
        <v>67</v>
      </c>
      <c r="C13" s="42">
        <v>1.375</v>
      </c>
      <c r="D13" s="43">
        <v>0.66666666666666663</v>
      </c>
      <c r="E13" s="43">
        <v>0.79166666666666663</v>
      </c>
      <c r="F13" s="43">
        <v>0.875</v>
      </c>
      <c r="G13" s="43">
        <v>0.875</v>
      </c>
      <c r="H13" s="43">
        <v>0.54166666666666663</v>
      </c>
      <c r="I13" s="43">
        <v>2.0416666666666665</v>
      </c>
      <c r="J13" s="43">
        <v>1.25</v>
      </c>
      <c r="K13" s="43">
        <v>1.5416666666666665</v>
      </c>
      <c r="L13" s="43">
        <v>1.2083333333333333</v>
      </c>
      <c r="M13" s="43">
        <v>0.95833333333333337</v>
      </c>
      <c r="N13" s="43">
        <v>0.125</v>
      </c>
      <c r="O13" s="43">
        <v>1.625</v>
      </c>
      <c r="P13" s="43">
        <v>0</v>
      </c>
      <c r="Q13" s="43">
        <v>0.875</v>
      </c>
      <c r="R13" s="43">
        <v>0.79166666666666663</v>
      </c>
      <c r="S13" s="43">
        <v>0.75</v>
      </c>
      <c r="T13" s="43">
        <v>0.79166666666666663</v>
      </c>
      <c r="U13" s="65">
        <v>0.875</v>
      </c>
      <c r="V13" s="32">
        <f t="shared" si="0"/>
        <v>17.958333333333332</v>
      </c>
    </row>
    <row r="14" spans="1:22">
      <c r="A14" s="1" t="s">
        <v>1</v>
      </c>
      <c r="B14" s="22" t="s">
        <v>68</v>
      </c>
      <c r="C14" s="42">
        <v>0.625</v>
      </c>
      <c r="D14" s="43">
        <v>1.4583333333333333</v>
      </c>
      <c r="E14" s="43">
        <v>0</v>
      </c>
      <c r="F14" s="43">
        <v>0.625</v>
      </c>
      <c r="G14" s="43">
        <v>0</v>
      </c>
      <c r="H14" s="43">
        <v>1.125</v>
      </c>
      <c r="I14" s="43">
        <v>0.41666666666666669</v>
      </c>
      <c r="J14" s="43">
        <v>0.45833333333333331</v>
      </c>
      <c r="K14" s="43">
        <v>0.375</v>
      </c>
      <c r="L14" s="43">
        <v>0.375</v>
      </c>
      <c r="M14" s="43">
        <v>0.45833333333333331</v>
      </c>
      <c r="N14" s="43">
        <v>0.33333333333333331</v>
      </c>
      <c r="O14" s="43">
        <v>0.25</v>
      </c>
      <c r="P14" s="43">
        <v>0</v>
      </c>
      <c r="Q14" s="43">
        <v>1.1666666666666667</v>
      </c>
      <c r="R14" s="43">
        <v>0.5</v>
      </c>
      <c r="S14" s="43">
        <v>0.625</v>
      </c>
      <c r="T14" s="43">
        <v>0.75</v>
      </c>
      <c r="U14" s="65">
        <v>0.75</v>
      </c>
      <c r="V14" s="32">
        <f t="shared" si="0"/>
        <v>10.291666666666666</v>
      </c>
    </row>
    <row r="15" spans="1:22">
      <c r="A15" s="1" t="s">
        <v>1</v>
      </c>
      <c r="B15" s="22" t="s">
        <v>69</v>
      </c>
      <c r="C15" s="42">
        <v>0</v>
      </c>
      <c r="D15" s="43">
        <v>0</v>
      </c>
      <c r="E15" s="43">
        <v>0</v>
      </c>
      <c r="F15" s="43">
        <v>0</v>
      </c>
      <c r="G15" s="43">
        <v>0</v>
      </c>
      <c r="H15" s="43">
        <v>0</v>
      </c>
      <c r="I15" s="43">
        <v>0</v>
      </c>
      <c r="J15" s="43">
        <v>0</v>
      </c>
      <c r="K15" s="43">
        <v>0</v>
      </c>
      <c r="L15" s="43">
        <v>0</v>
      </c>
      <c r="M15" s="43">
        <v>0</v>
      </c>
      <c r="N15" s="43">
        <v>0.29166666666666669</v>
      </c>
      <c r="O15" s="43">
        <v>0</v>
      </c>
      <c r="P15" s="43">
        <v>0</v>
      </c>
      <c r="Q15" s="43">
        <v>0.20833333333333334</v>
      </c>
      <c r="R15" s="43">
        <v>0.66666666666666663</v>
      </c>
      <c r="S15" s="43">
        <v>0</v>
      </c>
      <c r="T15" s="43">
        <v>0</v>
      </c>
      <c r="U15" s="65">
        <v>0</v>
      </c>
      <c r="V15" s="32">
        <f t="shared" si="0"/>
        <v>1.1666666666666665</v>
      </c>
    </row>
    <row r="16" spans="1:22">
      <c r="A16" s="1" t="s">
        <v>1</v>
      </c>
      <c r="B16" s="22" t="s">
        <v>70</v>
      </c>
      <c r="C16" s="42">
        <v>0</v>
      </c>
      <c r="D16" s="43">
        <v>0</v>
      </c>
      <c r="E16" s="43">
        <v>0.66666666666666663</v>
      </c>
      <c r="F16" s="43">
        <v>0</v>
      </c>
      <c r="G16" s="43">
        <v>0</v>
      </c>
      <c r="H16" s="43">
        <v>0</v>
      </c>
      <c r="I16" s="43">
        <v>0</v>
      </c>
      <c r="J16" s="43">
        <v>0</v>
      </c>
      <c r="K16" s="43">
        <v>0</v>
      </c>
      <c r="L16" s="43">
        <v>0</v>
      </c>
      <c r="M16" s="43">
        <v>0</v>
      </c>
      <c r="N16" s="43">
        <v>0.5</v>
      </c>
      <c r="O16" s="43">
        <v>0</v>
      </c>
      <c r="P16" s="43">
        <v>0</v>
      </c>
      <c r="Q16" s="43">
        <v>0</v>
      </c>
      <c r="R16" s="43">
        <v>0.25</v>
      </c>
      <c r="S16" s="43">
        <v>0.625</v>
      </c>
      <c r="T16" s="43">
        <v>0</v>
      </c>
      <c r="U16" s="65">
        <v>0</v>
      </c>
      <c r="V16" s="32">
        <f t="shared" si="0"/>
        <v>2.0416666666666665</v>
      </c>
    </row>
    <row r="17" spans="1:22">
      <c r="A17" s="1" t="s">
        <v>1</v>
      </c>
      <c r="B17" s="22" t="s">
        <v>71</v>
      </c>
      <c r="C17" s="42">
        <v>0</v>
      </c>
      <c r="D17" s="43">
        <v>0</v>
      </c>
      <c r="E17" s="43">
        <v>0</v>
      </c>
      <c r="F17" s="43">
        <v>0</v>
      </c>
      <c r="G17" s="43">
        <v>0</v>
      </c>
      <c r="H17" s="43">
        <v>0.45833333333333331</v>
      </c>
      <c r="I17" s="43">
        <v>0</v>
      </c>
      <c r="J17" s="43">
        <v>0</v>
      </c>
      <c r="K17" s="43">
        <v>0</v>
      </c>
      <c r="L17" s="43">
        <v>0</v>
      </c>
      <c r="M17" s="43">
        <v>0</v>
      </c>
      <c r="N17" s="43">
        <v>0</v>
      </c>
      <c r="O17" s="43">
        <v>0</v>
      </c>
      <c r="P17" s="43">
        <v>0</v>
      </c>
      <c r="Q17" s="43">
        <v>0</v>
      </c>
      <c r="R17" s="43">
        <v>0</v>
      </c>
      <c r="S17" s="43">
        <v>0.25</v>
      </c>
      <c r="T17" s="43">
        <v>0</v>
      </c>
      <c r="U17" s="65">
        <v>0</v>
      </c>
      <c r="V17" s="32">
        <f t="shared" si="0"/>
        <v>0.70833333333333326</v>
      </c>
    </row>
    <row r="18" spans="1:22">
      <c r="A18" s="1" t="s">
        <v>1</v>
      </c>
      <c r="B18" s="6" t="s">
        <v>72</v>
      </c>
      <c r="C18" s="44">
        <v>0</v>
      </c>
      <c r="D18" s="45">
        <v>4.1666666666666664E-2</v>
      </c>
      <c r="E18" s="45">
        <v>0.375</v>
      </c>
      <c r="F18" s="45">
        <v>0.66666666666666663</v>
      </c>
      <c r="G18" s="45">
        <v>0.95833333333333337</v>
      </c>
      <c r="H18" s="45">
        <v>0.95833333333333337</v>
      </c>
      <c r="I18" s="45">
        <v>0.375</v>
      </c>
      <c r="J18" s="45">
        <v>0.25</v>
      </c>
      <c r="K18" s="45">
        <v>8.3333333333333329E-2</v>
      </c>
      <c r="L18" s="45">
        <v>0.45833333333333331</v>
      </c>
      <c r="M18" s="45">
        <v>0.29166666666666669</v>
      </c>
      <c r="N18" s="45">
        <v>0.45833333333333331</v>
      </c>
      <c r="O18" s="45">
        <v>0.58333333333333337</v>
      </c>
      <c r="P18" s="45">
        <v>0</v>
      </c>
      <c r="Q18" s="45">
        <v>0.70833333333333337</v>
      </c>
      <c r="R18" s="45">
        <v>0.54166666666666663</v>
      </c>
      <c r="S18" s="45">
        <v>1.7083333333333335</v>
      </c>
      <c r="T18" s="45">
        <v>0.5</v>
      </c>
      <c r="U18" s="66">
        <v>0.20833333333333334</v>
      </c>
      <c r="V18" s="8">
        <f t="shared" si="0"/>
        <v>9.1666666666666679</v>
      </c>
    </row>
    <row r="19" spans="1:22">
      <c r="A19" s="1" t="s">
        <v>1</v>
      </c>
      <c r="B19" s="14" t="s">
        <v>73</v>
      </c>
      <c r="C19" s="46">
        <v>2</v>
      </c>
      <c r="D19" s="47">
        <v>0</v>
      </c>
      <c r="E19" s="47">
        <v>17</v>
      </c>
      <c r="F19" s="47">
        <v>21</v>
      </c>
      <c r="G19" s="47">
        <v>14</v>
      </c>
      <c r="H19" s="47">
        <v>14</v>
      </c>
      <c r="I19" s="47">
        <v>2</v>
      </c>
      <c r="J19" s="47">
        <v>17</v>
      </c>
      <c r="K19" s="47">
        <v>16.5</v>
      </c>
      <c r="L19" s="47">
        <v>27</v>
      </c>
      <c r="M19" s="47">
        <v>0</v>
      </c>
      <c r="N19" s="47">
        <v>4</v>
      </c>
      <c r="O19" s="47">
        <v>23</v>
      </c>
      <c r="P19" s="47">
        <v>4</v>
      </c>
      <c r="Q19" s="47">
        <v>18</v>
      </c>
      <c r="R19" s="47">
        <v>2</v>
      </c>
      <c r="S19" s="47">
        <v>3</v>
      </c>
      <c r="T19" s="47">
        <v>5</v>
      </c>
      <c r="U19" s="67">
        <v>7</v>
      </c>
      <c r="V19" s="16">
        <f t="shared" si="0"/>
        <v>196.5</v>
      </c>
    </row>
    <row r="20" spans="1:22">
      <c r="A20" s="1" t="s">
        <v>1</v>
      </c>
      <c r="B20" s="19" t="s">
        <v>74</v>
      </c>
      <c r="C20" s="48">
        <v>177000</v>
      </c>
      <c r="D20" s="49">
        <v>187000</v>
      </c>
      <c r="E20" s="49">
        <v>192000</v>
      </c>
      <c r="F20" s="49">
        <v>192000</v>
      </c>
      <c r="G20" s="49">
        <v>187000</v>
      </c>
      <c r="H20" s="49">
        <v>192000</v>
      </c>
      <c r="I20" s="49">
        <v>177000</v>
      </c>
      <c r="J20" s="49">
        <v>182000</v>
      </c>
      <c r="K20" s="49">
        <v>177000</v>
      </c>
      <c r="L20" s="49">
        <v>187000</v>
      </c>
      <c r="M20" s="49">
        <v>177000</v>
      </c>
      <c r="N20" s="49">
        <v>182000</v>
      </c>
      <c r="O20" s="49">
        <v>187000</v>
      </c>
      <c r="P20" s="49">
        <v>0</v>
      </c>
      <c r="Q20" s="49">
        <v>170000</v>
      </c>
      <c r="R20" s="49">
        <v>170000</v>
      </c>
      <c r="S20" s="49">
        <v>170000</v>
      </c>
      <c r="T20" s="49">
        <v>170000</v>
      </c>
      <c r="U20" s="68">
        <v>170000</v>
      </c>
      <c r="V20" s="21">
        <f t="shared" si="0"/>
        <v>3246000</v>
      </c>
    </row>
    <row r="21" spans="1:22">
      <c r="A21" s="1" t="s">
        <v>1</v>
      </c>
      <c r="B21" s="22" t="s">
        <v>75</v>
      </c>
      <c r="C21" s="50">
        <v>0</v>
      </c>
      <c r="D21" s="51">
        <v>0</v>
      </c>
      <c r="E21" s="51">
        <v>20000</v>
      </c>
      <c r="F21" s="51">
        <v>20000</v>
      </c>
      <c r="G21" s="51">
        <v>5000</v>
      </c>
      <c r="H21" s="51">
        <v>5000</v>
      </c>
      <c r="I21" s="51">
        <v>0</v>
      </c>
      <c r="J21" s="51">
        <v>5000</v>
      </c>
      <c r="K21" s="51">
        <v>0</v>
      </c>
      <c r="L21" s="51">
        <v>0</v>
      </c>
      <c r="M21" s="51">
        <v>0</v>
      </c>
      <c r="N21" s="51">
        <v>0</v>
      </c>
      <c r="O21" s="51">
        <v>0</v>
      </c>
      <c r="P21" s="51">
        <v>0</v>
      </c>
      <c r="Q21" s="51">
        <v>0</v>
      </c>
      <c r="R21" s="51">
        <v>0</v>
      </c>
      <c r="S21" s="51">
        <v>0</v>
      </c>
      <c r="T21" s="51">
        <v>0</v>
      </c>
      <c r="U21" s="69">
        <v>0</v>
      </c>
      <c r="V21" s="24">
        <f t="shared" si="0"/>
        <v>55000</v>
      </c>
    </row>
    <row r="22" spans="1:22">
      <c r="A22" s="1" t="s">
        <v>1</v>
      </c>
      <c r="B22" s="22" t="s">
        <v>76</v>
      </c>
      <c r="C22" s="50">
        <v>0</v>
      </c>
      <c r="D22" s="51">
        <v>0</v>
      </c>
      <c r="E22" s="51">
        <v>0</v>
      </c>
      <c r="F22" s="51">
        <v>0</v>
      </c>
      <c r="G22" s="51">
        <v>0</v>
      </c>
      <c r="H22" s="51">
        <v>0</v>
      </c>
      <c r="I22" s="51">
        <v>0</v>
      </c>
      <c r="J22" s="51">
        <v>0</v>
      </c>
      <c r="K22" s="51">
        <v>0</v>
      </c>
      <c r="L22" s="51">
        <v>0</v>
      </c>
      <c r="M22" s="51">
        <v>0</v>
      </c>
      <c r="N22" s="51">
        <v>0</v>
      </c>
      <c r="O22" s="51">
        <v>0</v>
      </c>
      <c r="P22" s="51">
        <v>0</v>
      </c>
      <c r="Q22" s="51">
        <v>0</v>
      </c>
      <c r="R22" s="51">
        <v>0</v>
      </c>
      <c r="S22" s="51">
        <v>0</v>
      </c>
      <c r="T22" s="51">
        <v>0</v>
      </c>
      <c r="U22" s="69">
        <v>0</v>
      </c>
      <c r="V22" s="24">
        <f t="shared" si="0"/>
        <v>0</v>
      </c>
    </row>
    <row r="23" spans="1:22">
      <c r="A23" s="1" t="s">
        <v>1</v>
      </c>
      <c r="B23" s="22" t="s">
        <v>77</v>
      </c>
      <c r="C23" s="50">
        <v>0</v>
      </c>
      <c r="D23" s="51">
        <v>5730</v>
      </c>
      <c r="E23" s="51">
        <v>100392</v>
      </c>
      <c r="F23" s="51">
        <v>20113</v>
      </c>
      <c r="G23" s="51">
        <v>0</v>
      </c>
      <c r="H23" s="51">
        <v>18772</v>
      </c>
      <c r="I23" s="51">
        <v>4341</v>
      </c>
      <c r="J23" s="51">
        <v>0</v>
      </c>
      <c r="K23" s="51">
        <v>5427</v>
      </c>
      <c r="L23" s="51">
        <v>30630</v>
      </c>
      <c r="M23" s="51">
        <v>0</v>
      </c>
      <c r="N23" s="51">
        <v>21965</v>
      </c>
      <c r="O23" s="51">
        <v>44832</v>
      </c>
      <c r="P23" s="51">
        <v>0</v>
      </c>
      <c r="Q23" s="51">
        <v>0</v>
      </c>
      <c r="R23" s="51">
        <v>0</v>
      </c>
      <c r="S23" s="51">
        <v>0</v>
      </c>
      <c r="T23" s="51">
        <v>0</v>
      </c>
      <c r="U23" s="69">
        <v>0</v>
      </c>
      <c r="V23" s="24">
        <f t="shared" si="0"/>
        <v>252202</v>
      </c>
    </row>
    <row r="24" spans="1:22">
      <c r="A24" s="1" t="s">
        <v>1</v>
      </c>
      <c r="B24" s="22" t="s">
        <v>78</v>
      </c>
      <c r="C24" s="50">
        <v>0</v>
      </c>
      <c r="D24" s="51">
        <v>0</v>
      </c>
      <c r="E24" s="51">
        <v>0</v>
      </c>
      <c r="F24" s="51">
        <v>0</v>
      </c>
      <c r="G24" s="51">
        <v>0</v>
      </c>
      <c r="H24" s="51">
        <v>0</v>
      </c>
      <c r="I24" s="51">
        <v>0</v>
      </c>
      <c r="J24" s="51">
        <v>0</v>
      </c>
      <c r="K24" s="51">
        <v>0</v>
      </c>
      <c r="L24" s="51">
        <v>0</v>
      </c>
      <c r="M24" s="51">
        <v>0</v>
      </c>
      <c r="N24" s="51">
        <v>0</v>
      </c>
      <c r="O24" s="51">
        <v>0</v>
      </c>
      <c r="P24" s="51">
        <v>0</v>
      </c>
      <c r="Q24" s="51">
        <v>0</v>
      </c>
      <c r="R24" s="51">
        <v>0</v>
      </c>
      <c r="S24" s="51">
        <v>0</v>
      </c>
      <c r="T24" s="51">
        <v>0</v>
      </c>
      <c r="U24" s="69">
        <v>0</v>
      </c>
      <c r="V24" s="24">
        <f t="shared" si="0"/>
        <v>0</v>
      </c>
    </row>
    <row r="25" spans="1:22">
      <c r="A25" s="1" t="s">
        <v>1</v>
      </c>
      <c r="B25" s="22" t="s">
        <v>79</v>
      </c>
      <c r="C25" s="50">
        <v>3500</v>
      </c>
      <c r="D25" s="51">
        <v>3500</v>
      </c>
      <c r="E25" s="51">
        <v>3500</v>
      </c>
      <c r="F25" s="51">
        <v>3500</v>
      </c>
      <c r="G25" s="51">
        <v>1000</v>
      </c>
      <c r="H25" s="51">
        <v>3500</v>
      </c>
      <c r="I25" s="51">
        <v>3500</v>
      </c>
      <c r="J25" s="51">
        <v>3500</v>
      </c>
      <c r="K25" s="51">
        <v>3500</v>
      </c>
      <c r="L25" s="51">
        <v>3500</v>
      </c>
      <c r="M25" s="51">
        <v>3500</v>
      </c>
      <c r="N25" s="51">
        <v>3500</v>
      </c>
      <c r="O25" s="51">
        <v>3500</v>
      </c>
      <c r="P25" s="51">
        <v>0</v>
      </c>
      <c r="Q25" s="51">
        <v>3500</v>
      </c>
      <c r="R25" s="51">
        <v>1000</v>
      </c>
      <c r="S25" s="51">
        <v>0</v>
      </c>
      <c r="T25" s="51">
        <v>1000</v>
      </c>
      <c r="U25" s="69">
        <v>1000</v>
      </c>
      <c r="V25" s="24">
        <f t="shared" si="0"/>
        <v>49500</v>
      </c>
    </row>
    <row r="26" spans="1:22">
      <c r="A26" s="1" t="s">
        <v>1</v>
      </c>
      <c r="B26" s="22" t="s">
        <v>80</v>
      </c>
      <c r="C26" s="50">
        <v>0</v>
      </c>
      <c r="D26" s="51">
        <v>0</v>
      </c>
      <c r="E26" s="51">
        <v>0</v>
      </c>
      <c r="F26" s="51">
        <v>0</v>
      </c>
      <c r="G26" s="51">
        <v>0</v>
      </c>
      <c r="H26" s="51">
        <v>0</v>
      </c>
      <c r="I26" s="51">
        <v>0</v>
      </c>
      <c r="J26" s="51">
        <v>0</v>
      </c>
      <c r="K26" s="51">
        <v>0</v>
      </c>
      <c r="L26" s="51">
        <v>0</v>
      </c>
      <c r="M26" s="52">
        <v>-60452</v>
      </c>
      <c r="N26" s="51">
        <v>0</v>
      </c>
      <c r="O26" s="51">
        <v>0</v>
      </c>
      <c r="P26" s="51">
        <v>0</v>
      </c>
      <c r="Q26" s="51">
        <v>0</v>
      </c>
      <c r="R26" s="51">
        <v>0</v>
      </c>
      <c r="S26" s="51">
        <v>0</v>
      </c>
      <c r="T26" s="51">
        <v>0</v>
      </c>
      <c r="U26" s="69">
        <v>0</v>
      </c>
      <c r="V26" s="33">
        <f t="shared" si="0"/>
        <v>-60452</v>
      </c>
    </row>
    <row r="27" spans="1:22">
      <c r="A27" s="1" t="s">
        <v>1</v>
      </c>
      <c r="B27" s="22" t="s">
        <v>66</v>
      </c>
      <c r="C27" s="50">
        <v>29722</v>
      </c>
      <c r="D27" s="51">
        <v>55614</v>
      </c>
      <c r="E27" s="51">
        <v>14517</v>
      </c>
      <c r="F27" s="51">
        <v>88715</v>
      </c>
      <c r="G27" s="51">
        <v>67915</v>
      </c>
      <c r="H27" s="51">
        <v>100567</v>
      </c>
      <c r="I27" s="51">
        <v>74305</v>
      </c>
      <c r="J27" s="51">
        <v>65596</v>
      </c>
      <c r="K27" s="51">
        <v>60795</v>
      </c>
      <c r="L27" s="52">
        <v>62744</v>
      </c>
      <c r="M27" s="51">
        <v>17563</v>
      </c>
      <c r="N27" s="51">
        <v>44448</v>
      </c>
      <c r="O27" s="51">
        <v>45632</v>
      </c>
      <c r="P27" s="51">
        <v>0</v>
      </c>
      <c r="Q27" s="51">
        <v>36372</v>
      </c>
      <c r="R27" s="51">
        <v>37120</v>
      </c>
      <c r="S27" s="51">
        <v>84018</v>
      </c>
      <c r="T27" s="51">
        <v>61440</v>
      </c>
      <c r="U27" s="69">
        <v>60160</v>
      </c>
      <c r="V27" s="24">
        <f t="shared" si="0"/>
        <v>1007243</v>
      </c>
    </row>
    <row r="28" spans="1:22">
      <c r="A28" s="1" t="s">
        <v>1</v>
      </c>
      <c r="B28" s="22" t="s">
        <v>81</v>
      </c>
      <c r="C28" s="50">
        <v>48147</v>
      </c>
      <c r="D28" s="51">
        <v>24640</v>
      </c>
      <c r="E28" s="51">
        <v>33098</v>
      </c>
      <c r="F28" s="51">
        <v>36582</v>
      </c>
      <c r="G28" s="51">
        <v>32781</v>
      </c>
      <c r="H28" s="51">
        <v>21073</v>
      </c>
      <c r="I28" s="51">
        <v>71491</v>
      </c>
      <c r="J28" s="51">
        <v>46200</v>
      </c>
      <c r="K28" s="51">
        <v>53983</v>
      </c>
      <c r="L28" s="51">
        <v>44660</v>
      </c>
      <c r="M28" s="51">
        <v>33557</v>
      </c>
      <c r="N28" s="51">
        <v>4500</v>
      </c>
      <c r="O28" s="51">
        <v>60060</v>
      </c>
      <c r="P28" s="51">
        <v>0</v>
      </c>
      <c r="Q28" s="51">
        <v>29463</v>
      </c>
      <c r="R28" s="51">
        <v>26258</v>
      </c>
      <c r="S28" s="51">
        <v>24732</v>
      </c>
      <c r="T28" s="51">
        <v>26258</v>
      </c>
      <c r="U28" s="69">
        <v>29022</v>
      </c>
      <c r="V28" s="24">
        <f t="shared" si="0"/>
        <v>646505</v>
      </c>
    </row>
    <row r="29" spans="1:22">
      <c r="A29" s="1" t="s">
        <v>1</v>
      </c>
      <c r="B29" s="22" t="s">
        <v>82</v>
      </c>
      <c r="C29" s="50">
        <v>21885</v>
      </c>
      <c r="D29" s="51">
        <v>53900</v>
      </c>
      <c r="E29" s="51">
        <v>0</v>
      </c>
      <c r="F29" s="51">
        <v>26130</v>
      </c>
      <c r="G29" s="51">
        <v>0</v>
      </c>
      <c r="H29" s="51">
        <v>43767</v>
      </c>
      <c r="I29" s="51">
        <v>14590</v>
      </c>
      <c r="J29" s="51">
        <v>16940</v>
      </c>
      <c r="K29" s="51">
        <v>13131</v>
      </c>
      <c r="L29" s="51">
        <v>13860</v>
      </c>
      <c r="M29" s="51">
        <v>16049</v>
      </c>
      <c r="N29" s="51">
        <v>12000</v>
      </c>
      <c r="O29" s="51">
        <v>9240</v>
      </c>
      <c r="P29" s="51">
        <v>0</v>
      </c>
      <c r="Q29" s="51">
        <v>39284</v>
      </c>
      <c r="R29" s="51">
        <v>16584</v>
      </c>
      <c r="S29" s="51">
        <v>20610</v>
      </c>
      <c r="T29" s="51">
        <v>24876</v>
      </c>
      <c r="U29" s="69">
        <v>24876</v>
      </c>
      <c r="V29" s="24">
        <f t="shared" si="0"/>
        <v>367722</v>
      </c>
    </row>
    <row r="30" spans="1:22">
      <c r="A30" s="1" t="s">
        <v>1</v>
      </c>
      <c r="B30" s="22" t="s">
        <v>83</v>
      </c>
      <c r="C30" s="50">
        <v>0</v>
      </c>
      <c r="D30" s="51">
        <v>0</v>
      </c>
      <c r="E30" s="51">
        <v>0</v>
      </c>
      <c r="F30" s="51">
        <v>0</v>
      </c>
      <c r="G30" s="51">
        <v>0</v>
      </c>
      <c r="H30" s="51">
        <v>0</v>
      </c>
      <c r="I30" s="51">
        <v>0</v>
      </c>
      <c r="J30" s="51">
        <v>0</v>
      </c>
      <c r="K30" s="51">
        <v>0</v>
      </c>
      <c r="L30" s="51">
        <v>0</v>
      </c>
      <c r="M30" s="51">
        <v>0</v>
      </c>
      <c r="N30" s="51">
        <v>2723</v>
      </c>
      <c r="O30" s="51">
        <v>0</v>
      </c>
      <c r="P30" s="51">
        <v>0</v>
      </c>
      <c r="Q30" s="51">
        <v>1820</v>
      </c>
      <c r="R30" s="51">
        <v>5728</v>
      </c>
      <c r="S30" s="51">
        <v>0</v>
      </c>
      <c r="T30" s="51">
        <v>0</v>
      </c>
      <c r="U30" s="69">
        <v>0</v>
      </c>
      <c r="V30" s="24">
        <f t="shared" si="0"/>
        <v>10271</v>
      </c>
    </row>
    <row r="31" spans="1:22">
      <c r="A31" s="1" t="s">
        <v>1</v>
      </c>
      <c r="B31" s="22" t="s">
        <v>84</v>
      </c>
      <c r="C31" s="50">
        <v>0</v>
      </c>
      <c r="D31" s="51">
        <v>0</v>
      </c>
      <c r="E31" s="51">
        <v>7232</v>
      </c>
      <c r="F31" s="51">
        <v>0</v>
      </c>
      <c r="G31" s="51">
        <v>0</v>
      </c>
      <c r="H31" s="51">
        <v>0</v>
      </c>
      <c r="I31" s="51">
        <v>0</v>
      </c>
      <c r="J31" s="51">
        <v>0</v>
      </c>
      <c r="K31" s="51">
        <v>0</v>
      </c>
      <c r="L31" s="51">
        <v>0</v>
      </c>
      <c r="M31" s="51">
        <v>0</v>
      </c>
      <c r="N31" s="51">
        <v>4668</v>
      </c>
      <c r="O31" s="51">
        <v>0</v>
      </c>
      <c r="P31" s="51">
        <v>0</v>
      </c>
      <c r="Q31" s="51">
        <v>0</v>
      </c>
      <c r="R31" s="51">
        <v>2148</v>
      </c>
      <c r="S31" s="51">
        <v>5340</v>
      </c>
      <c r="T31" s="51">
        <v>0</v>
      </c>
      <c r="U31" s="69">
        <v>0</v>
      </c>
      <c r="V31" s="24">
        <f t="shared" si="0"/>
        <v>19388</v>
      </c>
    </row>
    <row r="32" spans="1:22">
      <c r="A32" s="1" t="s">
        <v>1</v>
      </c>
      <c r="B32" s="22" t="s">
        <v>71</v>
      </c>
      <c r="C32" s="50">
        <v>0</v>
      </c>
      <c r="D32" s="51">
        <v>0</v>
      </c>
      <c r="E32" s="51">
        <v>0</v>
      </c>
      <c r="F32" s="51">
        <v>0</v>
      </c>
      <c r="G32" s="51">
        <v>0</v>
      </c>
      <c r="H32" s="51">
        <v>3300</v>
      </c>
      <c r="I32" s="51">
        <v>0</v>
      </c>
      <c r="J32" s="51">
        <v>0</v>
      </c>
      <c r="K32" s="51">
        <v>0</v>
      </c>
      <c r="L32" s="51">
        <v>0</v>
      </c>
      <c r="M32" s="51">
        <v>0</v>
      </c>
      <c r="N32" s="51">
        <v>0</v>
      </c>
      <c r="O32" s="51">
        <v>0</v>
      </c>
      <c r="P32" s="51">
        <v>0</v>
      </c>
      <c r="Q32" s="51">
        <v>0</v>
      </c>
      <c r="R32" s="51">
        <v>0</v>
      </c>
      <c r="S32" s="51">
        <v>1530</v>
      </c>
      <c r="T32" s="51">
        <v>0</v>
      </c>
      <c r="U32" s="69">
        <v>0</v>
      </c>
      <c r="V32" s="24">
        <f t="shared" si="0"/>
        <v>4830</v>
      </c>
    </row>
    <row r="33" spans="1:22">
      <c r="A33" s="1" t="s">
        <v>1</v>
      </c>
      <c r="B33" s="6" t="s">
        <v>72</v>
      </c>
      <c r="C33" s="53">
        <v>0</v>
      </c>
      <c r="D33" s="54">
        <v>285</v>
      </c>
      <c r="E33" s="54">
        <v>2907</v>
      </c>
      <c r="F33" s="54">
        <v>5168</v>
      </c>
      <c r="G33" s="54">
        <v>6647</v>
      </c>
      <c r="H33" s="54">
        <v>6900</v>
      </c>
      <c r="I33" s="54">
        <v>2430</v>
      </c>
      <c r="J33" s="54">
        <v>1710</v>
      </c>
      <c r="K33" s="54">
        <v>540</v>
      </c>
      <c r="L33" s="54">
        <v>3135</v>
      </c>
      <c r="M33" s="54">
        <v>1890</v>
      </c>
      <c r="N33" s="54">
        <v>3058</v>
      </c>
      <c r="O33" s="54">
        <v>3990</v>
      </c>
      <c r="P33" s="54">
        <v>0</v>
      </c>
      <c r="Q33" s="54">
        <v>4420</v>
      </c>
      <c r="R33" s="54">
        <v>3328</v>
      </c>
      <c r="S33" s="54">
        <v>10455</v>
      </c>
      <c r="T33" s="54">
        <v>3072</v>
      </c>
      <c r="U33" s="70">
        <v>1280</v>
      </c>
      <c r="V33" s="10">
        <f t="shared" si="0"/>
        <v>61215</v>
      </c>
    </row>
    <row r="34" spans="1:22">
      <c r="A34" s="1" t="s">
        <v>1</v>
      </c>
      <c r="B34" s="14" t="s">
        <v>85</v>
      </c>
      <c r="C34" s="55">
        <v>280254</v>
      </c>
      <c r="D34" s="56">
        <v>330669</v>
      </c>
      <c r="E34" s="56">
        <v>373646</v>
      </c>
      <c r="F34" s="56">
        <v>392208</v>
      </c>
      <c r="G34" s="56">
        <v>300343</v>
      </c>
      <c r="H34" s="56">
        <v>394879</v>
      </c>
      <c r="I34" s="56">
        <v>347657</v>
      </c>
      <c r="J34" s="56">
        <v>320946</v>
      </c>
      <c r="K34" s="56">
        <v>314376</v>
      </c>
      <c r="L34" s="56">
        <v>345529</v>
      </c>
      <c r="M34" s="56">
        <v>189107</v>
      </c>
      <c r="N34" s="56">
        <v>278862</v>
      </c>
      <c r="O34" s="56">
        <v>354254</v>
      </c>
      <c r="P34" s="56">
        <v>0</v>
      </c>
      <c r="Q34" s="56">
        <v>284859</v>
      </c>
      <c r="R34" s="56">
        <v>262166</v>
      </c>
      <c r="S34" s="56">
        <v>316685</v>
      </c>
      <c r="T34" s="56">
        <v>286646</v>
      </c>
      <c r="U34" s="71">
        <v>286338</v>
      </c>
      <c r="V34" s="18">
        <f t="shared" si="0"/>
        <v>5659424</v>
      </c>
    </row>
    <row r="35" spans="1:22">
      <c r="A35" s="1" t="s">
        <v>1</v>
      </c>
      <c r="B35" s="6" t="s">
        <v>86</v>
      </c>
      <c r="C35" s="53">
        <v>13893</v>
      </c>
      <c r="D35" s="54">
        <v>3612</v>
      </c>
      <c r="E35" s="54">
        <v>4252</v>
      </c>
      <c r="F35" s="54">
        <v>3474</v>
      </c>
      <c r="G35" s="54">
        <v>14060</v>
      </c>
      <c r="H35" s="54">
        <v>2779</v>
      </c>
      <c r="I35" s="54">
        <v>2668</v>
      </c>
      <c r="J35" s="54">
        <v>1390</v>
      </c>
      <c r="K35" s="54">
        <v>3474</v>
      </c>
      <c r="L35" s="54">
        <v>5335</v>
      </c>
      <c r="M35" s="54">
        <v>3890</v>
      </c>
      <c r="N35" s="54">
        <v>3884</v>
      </c>
      <c r="O35" s="54">
        <v>8669</v>
      </c>
      <c r="P35" s="54">
        <v>0</v>
      </c>
      <c r="Q35" s="54">
        <v>10392</v>
      </c>
      <c r="R35" s="54">
        <v>7336</v>
      </c>
      <c r="S35" s="54">
        <v>10420</v>
      </c>
      <c r="T35" s="54">
        <v>9030</v>
      </c>
      <c r="U35" s="70">
        <v>2557</v>
      </c>
      <c r="V35" s="10">
        <f t="shared" si="0"/>
        <v>111115</v>
      </c>
    </row>
    <row r="36" spans="1:22">
      <c r="A36" s="1" t="s">
        <v>1</v>
      </c>
      <c r="B36" s="6" t="s">
        <v>87</v>
      </c>
      <c r="C36" s="53">
        <v>13893</v>
      </c>
      <c r="D36" s="54">
        <v>3612</v>
      </c>
      <c r="E36" s="54">
        <v>4252</v>
      </c>
      <c r="F36" s="54">
        <v>3474</v>
      </c>
      <c r="G36" s="54">
        <v>14060</v>
      </c>
      <c r="H36" s="54">
        <v>2779</v>
      </c>
      <c r="I36" s="54">
        <v>2668</v>
      </c>
      <c r="J36" s="54">
        <v>1390</v>
      </c>
      <c r="K36" s="54">
        <v>3474</v>
      </c>
      <c r="L36" s="54">
        <v>5335</v>
      </c>
      <c r="M36" s="54">
        <v>3890</v>
      </c>
      <c r="N36" s="54">
        <v>3884</v>
      </c>
      <c r="O36" s="54">
        <v>8669</v>
      </c>
      <c r="P36" s="54">
        <v>0</v>
      </c>
      <c r="Q36" s="54">
        <v>10392</v>
      </c>
      <c r="R36" s="54">
        <v>7336</v>
      </c>
      <c r="S36" s="54">
        <v>10420</v>
      </c>
      <c r="T36" s="54">
        <v>9030</v>
      </c>
      <c r="U36" s="70">
        <v>2557</v>
      </c>
      <c r="V36" s="10">
        <f t="shared" si="0"/>
        <v>111115</v>
      </c>
    </row>
    <row r="37" spans="1:22">
      <c r="A37" s="1" t="s">
        <v>1</v>
      </c>
      <c r="B37" s="14" t="s">
        <v>88</v>
      </c>
      <c r="C37" s="55">
        <v>294147</v>
      </c>
      <c r="D37" s="56">
        <v>334281</v>
      </c>
      <c r="E37" s="56">
        <v>377898</v>
      </c>
      <c r="F37" s="56">
        <v>395682</v>
      </c>
      <c r="G37" s="56">
        <v>314403</v>
      </c>
      <c r="H37" s="56">
        <v>397658</v>
      </c>
      <c r="I37" s="56">
        <v>350325</v>
      </c>
      <c r="J37" s="56">
        <v>322336</v>
      </c>
      <c r="K37" s="56">
        <v>317850</v>
      </c>
      <c r="L37" s="56">
        <v>350864</v>
      </c>
      <c r="M37" s="56">
        <v>192997</v>
      </c>
      <c r="N37" s="56">
        <v>282746</v>
      </c>
      <c r="O37" s="56">
        <v>362923</v>
      </c>
      <c r="P37" s="56">
        <v>0</v>
      </c>
      <c r="Q37" s="56">
        <v>295251</v>
      </c>
      <c r="R37" s="56">
        <v>269502</v>
      </c>
      <c r="S37" s="56">
        <v>327105</v>
      </c>
      <c r="T37" s="56">
        <v>295676</v>
      </c>
      <c r="U37" s="71">
        <v>288895</v>
      </c>
      <c r="V37" s="18">
        <f t="shared" si="0"/>
        <v>5770539</v>
      </c>
    </row>
    <row r="38" spans="1:22">
      <c r="A38" s="1" t="s">
        <v>1</v>
      </c>
      <c r="B38" s="19" t="s">
        <v>89</v>
      </c>
      <c r="C38" s="48">
        <v>15300</v>
      </c>
      <c r="D38" s="49">
        <v>16320</v>
      </c>
      <c r="E38" s="49">
        <v>19380</v>
      </c>
      <c r="F38" s="49">
        <v>20910</v>
      </c>
      <c r="G38" s="49">
        <v>17340</v>
      </c>
      <c r="H38" s="49">
        <v>19380</v>
      </c>
      <c r="I38" s="49">
        <v>16320</v>
      </c>
      <c r="J38" s="49">
        <v>16320</v>
      </c>
      <c r="K38" s="49">
        <v>16320</v>
      </c>
      <c r="L38" s="49">
        <v>18360</v>
      </c>
      <c r="M38" s="49">
        <v>0</v>
      </c>
      <c r="N38" s="49">
        <v>16320</v>
      </c>
      <c r="O38" s="49">
        <v>16320</v>
      </c>
      <c r="P38" s="49">
        <v>17340</v>
      </c>
      <c r="Q38" s="49">
        <v>14280</v>
      </c>
      <c r="R38" s="49">
        <v>14280</v>
      </c>
      <c r="S38" s="49">
        <v>16320</v>
      </c>
      <c r="T38" s="49">
        <v>14280</v>
      </c>
      <c r="U38" s="68">
        <v>15300</v>
      </c>
      <c r="V38" s="21">
        <f t="shared" si="0"/>
        <v>300390</v>
      </c>
    </row>
    <row r="39" spans="1:22">
      <c r="A39" s="1" t="s">
        <v>1</v>
      </c>
      <c r="B39" s="22" t="s">
        <v>90</v>
      </c>
      <c r="C39" s="50">
        <v>2700</v>
      </c>
      <c r="D39" s="51">
        <v>2880</v>
      </c>
      <c r="E39" s="51">
        <v>3420</v>
      </c>
      <c r="F39" s="51">
        <v>3690</v>
      </c>
      <c r="G39" s="51">
        <v>3060</v>
      </c>
      <c r="H39" s="51">
        <v>3420</v>
      </c>
      <c r="I39" s="51">
        <v>2880</v>
      </c>
      <c r="J39" s="51">
        <v>2880</v>
      </c>
      <c r="K39" s="51">
        <v>2880</v>
      </c>
      <c r="L39" s="51">
        <v>3240</v>
      </c>
      <c r="M39" s="51">
        <v>0</v>
      </c>
      <c r="N39" s="51">
        <v>2880</v>
      </c>
      <c r="O39" s="51">
        <v>2880</v>
      </c>
      <c r="P39" s="51">
        <v>3060</v>
      </c>
      <c r="Q39" s="51">
        <v>2520</v>
      </c>
      <c r="R39" s="51">
        <v>2520</v>
      </c>
      <c r="S39" s="51">
        <v>2880</v>
      </c>
      <c r="T39" s="51">
        <v>2520</v>
      </c>
      <c r="U39" s="69">
        <v>2700</v>
      </c>
      <c r="V39" s="24">
        <f t="shared" si="0"/>
        <v>53010</v>
      </c>
    </row>
    <row r="40" spans="1:22">
      <c r="A40" s="1" t="s">
        <v>1</v>
      </c>
      <c r="B40" s="22" t="s">
        <v>91</v>
      </c>
      <c r="C40" s="50">
        <v>27450</v>
      </c>
      <c r="D40" s="51">
        <v>29280</v>
      </c>
      <c r="E40" s="51">
        <v>34770</v>
      </c>
      <c r="F40" s="51">
        <v>37515</v>
      </c>
      <c r="G40" s="51">
        <v>31110</v>
      </c>
      <c r="H40" s="51">
        <v>34770</v>
      </c>
      <c r="I40" s="51">
        <v>29280</v>
      </c>
      <c r="J40" s="51">
        <v>29280</v>
      </c>
      <c r="K40" s="51">
        <v>29280</v>
      </c>
      <c r="L40" s="51">
        <v>32940</v>
      </c>
      <c r="M40" s="51">
        <v>0</v>
      </c>
      <c r="N40" s="51">
        <v>29280</v>
      </c>
      <c r="O40" s="51">
        <v>29280</v>
      </c>
      <c r="P40" s="51">
        <v>31110</v>
      </c>
      <c r="Q40" s="51">
        <v>25620</v>
      </c>
      <c r="R40" s="51">
        <v>25620</v>
      </c>
      <c r="S40" s="51">
        <v>29280</v>
      </c>
      <c r="T40" s="51">
        <v>25620</v>
      </c>
      <c r="U40" s="69">
        <v>27450</v>
      </c>
      <c r="V40" s="24">
        <f t="shared" si="0"/>
        <v>538935</v>
      </c>
    </row>
    <row r="41" spans="1:22">
      <c r="A41" s="1" t="s">
        <v>1</v>
      </c>
      <c r="B41" s="6" t="s">
        <v>92</v>
      </c>
      <c r="C41" s="53">
        <v>1765</v>
      </c>
      <c r="D41" s="54">
        <v>2006</v>
      </c>
      <c r="E41" s="54">
        <v>2267</v>
      </c>
      <c r="F41" s="54">
        <v>2374</v>
      </c>
      <c r="G41" s="54">
        <v>1886</v>
      </c>
      <c r="H41" s="54">
        <v>2386</v>
      </c>
      <c r="I41" s="54">
        <v>2102</v>
      </c>
      <c r="J41" s="54">
        <v>1934</v>
      </c>
      <c r="K41" s="54">
        <v>1907</v>
      </c>
      <c r="L41" s="54">
        <v>2105</v>
      </c>
      <c r="M41" s="54">
        <v>1158</v>
      </c>
      <c r="N41" s="54">
        <v>1696</v>
      </c>
      <c r="O41" s="54">
        <v>2178</v>
      </c>
      <c r="P41" s="54">
        <v>0</v>
      </c>
      <c r="Q41" s="54">
        <v>1772</v>
      </c>
      <c r="R41" s="54">
        <v>1617</v>
      </c>
      <c r="S41" s="54">
        <v>1963</v>
      </c>
      <c r="T41" s="54">
        <v>1774</v>
      </c>
      <c r="U41" s="70">
        <v>1733</v>
      </c>
      <c r="V41" s="10">
        <f t="shared" si="0"/>
        <v>34623</v>
      </c>
    </row>
    <row r="42" spans="1:22">
      <c r="A42" s="1" t="s">
        <v>1</v>
      </c>
      <c r="B42" s="14" t="s">
        <v>93</v>
      </c>
      <c r="C42" s="55">
        <v>47215</v>
      </c>
      <c r="D42" s="56">
        <v>50486</v>
      </c>
      <c r="E42" s="56">
        <v>59837</v>
      </c>
      <c r="F42" s="56">
        <v>64489</v>
      </c>
      <c r="G42" s="56">
        <v>53396</v>
      </c>
      <c r="H42" s="56">
        <v>59956</v>
      </c>
      <c r="I42" s="56">
        <v>50582</v>
      </c>
      <c r="J42" s="56">
        <v>50414</v>
      </c>
      <c r="K42" s="56">
        <v>50387</v>
      </c>
      <c r="L42" s="56">
        <v>56645</v>
      </c>
      <c r="M42" s="56">
        <v>1158</v>
      </c>
      <c r="N42" s="56">
        <v>50176</v>
      </c>
      <c r="O42" s="56">
        <v>50658</v>
      </c>
      <c r="P42" s="56">
        <v>51510</v>
      </c>
      <c r="Q42" s="56">
        <v>44192</v>
      </c>
      <c r="R42" s="56">
        <v>44037</v>
      </c>
      <c r="S42" s="56">
        <v>50443</v>
      </c>
      <c r="T42" s="56">
        <v>44194</v>
      </c>
      <c r="U42" s="71">
        <v>47183</v>
      </c>
      <c r="V42" s="18">
        <f t="shared" si="0"/>
        <v>926958</v>
      </c>
    </row>
    <row r="43" spans="1:22">
      <c r="A43" s="1" t="s">
        <v>1</v>
      </c>
      <c r="B43" s="19" t="s">
        <v>94</v>
      </c>
      <c r="C43" s="48">
        <v>4330</v>
      </c>
      <c r="D43" s="49">
        <v>7630</v>
      </c>
      <c r="E43" s="49">
        <v>7290</v>
      </c>
      <c r="F43" s="49">
        <v>10640</v>
      </c>
      <c r="G43" s="49">
        <v>4830</v>
      </c>
      <c r="H43" s="49">
        <v>11230</v>
      </c>
      <c r="I43" s="49">
        <v>8230</v>
      </c>
      <c r="J43" s="49">
        <v>5670</v>
      </c>
      <c r="K43" s="49">
        <v>7050</v>
      </c>
      <c r="L43" s="49">
        <v>7940</v>
      </c>
      <c r="M43" s="49">
        <v>4330</v>
      </c>
      <c r="N43" s="49">
        <v>5790</v>
      </c>
      <c r="O43" s="49">
        <v>8670</v>
      </c>
      <c r="P43" s="49">
        <v>0</v>
      </c>
      <c r="Q43" s="49">
        <v>6220</v>
      </c>
      <c r="R43" s="49">
        <v>5410</v>
      </c>
      <c r="S43" s="49">
        <v>5520</v>
      </c>
      <c r="T43" s="49">
        <v>6280</v>
      </c>
      <c r="U43" s="68">
        <v>6160</v>
      </c>
      <c r="V43" s="21">
        <f t="shared" si="0"/>
        <v>123220</v>
      </c>
    </row>
    <row r="44" spans="1:22">
      <c r="A44" s="1" t="s">
        <v>1</v>
      </c>
      <c r="B44" s="22" t="s">
        <v>95</v>
      </c>
      <c r="C44" s="50">
        <v>1300</v>
      </c>
      <c r="D44" s="51">
        <v>1300</v>
      </c>
      <c r="E44" s="51">
        <v>1300</v>
      </c>
      <c r="F44" s="51">
        <v>0</v>
      </c>
      <c r="G44" s="51">
        <v>1300</v>
      </c>
      <c r="H44" s="51">
        <v>1300</v>
      </c>
      <c r="I44" s="51">
        <v>1300</v>
      </c>
      <c r="J44" s="51">
        <v>1300</v>
      </c>
      <c r="K44" s="51">
        <v>1300</v>
      </c>
      <c r="L44" s="51">
        <v>1300</v>
      </c>
      <c r="M44" s="51">
        <v>0</v>
      </c>
      <c r="N44" s="51">
        <v>0</v>
      </c>
      <c r="O44" s="51">
        <v>1300</v>
      </c>
      <c r="P44" s="51">
        <v>1300</v>
      </c>
      <c r="Q44" s="51">
        <v>1300</v>
      </c>
      <c r="R44" s="51">
        <v>1300</v>
      </c>
      <c r="S44" s="51">
        <v>1300</v>
      </c>
      <c r="T44" s="51">
        <v>1300</v>
      </c>
      <c r="U44" s="69">
        <v>0</v>
      </c>
      <c r="V44" s="24">
        <f t="shared" si="0"/>
        <v>19500</v>
      </c>
    </row>
    <row r="45" spans="1:22">
      <c r="A45" s="1" t="s">
        <v>1</v>
      </c>
      <c r="B45" s="22" t="s">
        <v>96</v>
      </c>
      <c r="C45" s="50">
        <v>8800</v>
      </c>
      <c r="D45" s="51">
        <v>1500</v>
      </c>
      <c r="E45" s="51">
        <v>14600</v>
      </c>
      <c r="F45" s="51">
        <v>17100</v>
      </c>
      <c r="G45" s="51">
        <v>9500</v>
      </c>
      <c r="H45" s="51">
        <v>13100</v>
      </c>
      <c r="I45" s="51">
        <v>15100</v>
      </c>
      <c r="J45" s="51">
        <v>10100</v>
      </c>
      <c r="K45" s="51">
        <v>13400</v>
      </c>
      <c r="L45" s="51">
        <v>16100</v>
      </c>
      <c r="M45" s="51">
        <v>31500</v>
      </c>
      <c r="N45" s="51">
        <v>11300</v>
      </c>
      <c r="O45" s="51">
        <v>13200</v>
      </c>
      <c r="P45" s="51">
        <v>5600</v>
      </c>
      <c r="Q45" s="51">
        <v>0</v>
      </c>
      <c r="R45" s="51">
        <v>8500</v>
      </c>
      <c r="S45" s="51">
        <v>3100</v>
      </c>
      <c r="T45" s="51">
        <v>2000</v>
      </c>
      <c r="U45" s="69">
        <v>17300</v>
      </c>
      <c r="V45" s="24">
        <f t="shared" si="0"/>
        <v>211800</v>
      </c>
    </row>
    <row r="46" spans="1:22">
      <c r="A46" s="1" t="s">
        <v>1</v>
      </c>
      <c r="B46" s="6" t="s">
        <v>97</v>
      </c>
      <c r="C46" s="53">
        <v>0</v>
      </c>
      <c r="D46" s="54">
        <v>0</v>
      </c>
      <c r="E46" s="54">
        <v>0</v>
      </c>
      <c r="F46" s="54">
        <v>0</v>
      </c>
      <c r="G46" s="54">
        <v>0</v>
      </c>
      <c r="H46" s="54">
        <v>0</v>
      </c>
      <c r="I46" s="54">
        <v>0</v>
      </c>
      <c r="J46" s="54">
        <v>0</v>
      </c>
      <c r="K46" s="54">
        <v>0</v>
      </c>
      <c r="L46" s="54">
        <v>0</v>
      </c>
      <c r="M46" s="54">
        <v>0</v>
      </c>
      <c r="N46" s="54">
        <v>0</v>
      </c>
      <c r="O46" s="54">
        <v>0</v>
      </c>
      <c r="P46" s="57">
        <v>-58410</v>
      </c>
      <c r="Q46" s="54">
        <v>0</v>
      </c>
      <c r="R46" s="54">
        <v>0</v>
      </c>
      <c r="S46" s="54">
        <v>0</v>
      </c>
      <c r="T46" s="54">
        <v>0</v>
      </c>
      <c r="U46" s="70">
        <v>0</v>
      </c>
      <c r="V46" s="10">
        <f t="shared" si="0"/>
        <v>-58410</v>
      </c>
    </row>
    <row r="47" spans="1:22">
      <c r="A47" s="1" t="s">
        <v>1</v>
      </c>
      <c r="B47" s="14" t="s">
        <v>98</v>
      </c>
      <c r="C47" s="55">
        <v>61645</v>
      </c>
      <c r="D47" s="56">
        <v>60916</v>
      </c>
      <c r="E47" s="56">
        <v>83027</v>
      </c>
      <c r="F47" s="56">
        <v>92229</v>
      </c>
      <c r="G47" s="56">
        <v>69026</v>
      </c>
      <c r="H47" s="56">
        <v>85586</v>
      </c>
      <c r="I47" s="56">
        <v>75212</v>
      </c>
      <c r="J47" s="56">
        <v>67484</v>
      </c>
      <c r="K47" s="56">
        <v>72137</v>
      </c>
      <c r="L47" s="56">
        <v>81985</v>
      </c>
      <c r="M47" s="56">
        <v>36988</v>
      </c>
      <c r="N47" s="56">
        <v>67266</v>
      </c>
      <c r="O47" s="56">
        <v>73828</v>
      </c>
      <c r="P47" s="56">
        <v>0</v>
      </c>
      <c r="Q47" s="56">
        <v>51712</v>
      </c>
      <c r="R47" s="56">
        <v>59247</v>
      </c>
      <c r="S47" s="56">
        <v>60363</v>
      </c>
      <c r="T47" s="56">
        <v>53774</v>
      </c>
      <c r="U47" s="71">
        <v>70643</v>
      </c>
      <c r="V47" s="18">
        <f t="shared" si="0"/>
        <v>1223068</v>
      </c>
    </row>
    <row r="48" spans="1:22">
      <c r="A48" s="1" t="s">
        <v>1</v>
      </c>
      <c r="B48" s="14" t="s">
        <v>99</v>
      </c>
      <c r="C48" s="55">
        <v>233039</v>
      </c>
      <c r="D48" s="56">
        <v>280183</v>
      </c>
      <c r="E48" s="56">
        <v>313809</v>
      </c>
      <c r="F48" s="56">
        <v>327719</v>
      </c>
      <c r="G48" s="56">
        <v>246947</v>
      </c>
      <c r="H48" s="56">
        <v>334923</v>
      </c>
      <c r="I48" s="56">
        <v>297075</v>
      </c>
      <c r="J48" s="56">
        <v>270532</v>
      </c>
      <c r="K48" s="56">
        <v>263989</v>
      </c>
      <c r="L48" s="56">
        <v>288884</v>
      </c>
      <c r="M48" s="56">
        <v>187949</v>
      </c>
      <c r="N48" s="56">
        <v>228686</v>
      </c>
      <c r="O48" s="56">
        <v>303596</v>
      </c>
      <c r="P48" s="58">
        <v>-51510</v>
      </c>
      <c r="Q48" s="56">
        <v>240667</v>
      </c>
      <c r="R48" s="56">
        <v>218129</v>
      </c>
      <c r="S48" s="56">
        <v>266242</v>
      </c>
      <c r="T48" s="56">
        <v>242452</v>
      </c>
      <c r="U48" s="71">
        <v>239155</v>
      </c>
      <c r="V48" s="18">
        <f t="shared" si="0"/>
        <v>4732466</v>
      </c>
    </row>
    <row r="49" spans="1:22">
      <c r="A49" s="1" t="s">
        <v>1</v>
      </c>
      <c r="B49" s="14" t="s">
        <v>100</v>
      </c>
      <c r="C49" s="55">
        <v>232502</v>
      </c>
      <c r="D49" s="56">
        <v>273365</v>
      </c>
      <c r="E49" s="56">
        <v>294871</v>
      </c>
      <c r="F49" s="56">
        <v>303453</v>
      </c>
      <c r="G49" s="56">
        <v>245377</v>
      </c>
      <c r="H49" s="56">
        <v>312072</v>
      </c>
      <c r="I49" s="56">
        <v>275113</v>
      </c>
      <c r="J49" s="56">
        <v>254852</v>
      </c>
      <c r="K49" s="56">
        <v>245713</v>
      </c>
      <c r="L49" s="56">
        <v>268879</v>
      </c>
      <c r="M49" s="56">
        <v>156009</v>
      </c>
      <c r="N49" s="56">
        <v>215480</v>
      </c>
      <c r="O49" s="56">
        <v>289095</v>
      </c>
      <c r="P49" s="56">
        <v>0</v>
      </c>
      <c r="Q49" s="56">
        <v>243539</v>
      </c>
      <c r="R49" s="56">
        <v>210255</v>
      </c>
      <c r="S49" s="56">
        <v>266742</v>
      </c>
      <c r="T49" s="56">
        <v>241902</v>
      </c>
      <c r="U49" s="71">
        <v>218252</v>
      </c>
      <c r="V49" s="18">
        <f t="shared" si="0"/>
        <v>4547471</v>
      </c>
    </row>
    <row r="50" spans="1:22">
      <c r="A50" s="1" t="s">
        <v>1</v>
      </c>
      <c r="B50" s="14" t="s">
        <v>101</v>
      </c>
      <c r="C50" s="55">
        <v>232502</v>
      </c>
      <c r="D50" s="56">
        <v>273365</v>
      </c>
      <c r="E50" s="56">
        <v>294871</v>
      </c>
      <c r="F50" s="56">
        <v>303453</v>
      </c>
      <c r="G50" s="56">
        <v>245377</v>
      </c>
      <c r="H50" s="56">
        <v>312072</v>
      </c>
      <c r="I50" s="56">
        <v>275113</v>
      </c>
      <c r="J50" s="56">
        <v>254852</v>
      </c>
      <c r="K50" s="56">
        <v>245713</v>
      </c>
      <c r="L50" s="56">
        <v>268879</v>
      </c>
      <c r="M50" s="56">
        <v>156009</v>
      </c>
      <c r="N50" s="56">
        <v>215480</v>
      </c>
      <c r="O50" s="56">
        <v>289095</v>
      </c>
      <c r="P50" s="56">
        <v>0</v>
      </c>
      <c r="Q50" s="56">
        <v>243539</v>
      </c>
      <c r="R50" s="56">
        <v>210255</v>
      </c>
      <c r="S50" s="56">
        <v>266742</v>
      </c>
      <c r="T50" s="56">
        <v>241902</v>
      </c>
      <c r="U50" s="71">
        <v>218252</v>
      </c>
      <c r="V50" s="18">
        <f t="shared" si="0"/>
        <v>4547471</v>
      </c>
    </row>
    <row r="51" spans="1:22">
      <c r="A51" s="1" t="s">
        <v>1</v>
      </c>
      <c r="B51" s="14" t="s">
        <v>102</v>
      </c>
      <c r="C51" s="55">
        <v>1</v>
      </c>
      <c r="D51" s="56">
        <v>0</v>
      </c>
      <c r="E51" s="56">
        <v>1</v>
      </c>
      <c r="F51" s="56">
        <v>0</v>
      </c>
      <c r="G51" s="56">
        <v>1</v>
      </c>
      <c r="H51" s="56">
        <v>0</v>
      </c>
      <c r="I51" s="56">
        <v>0</v>
      </c>
      <c r="J51" s="56">
        <v>1</v>
      </c>
      <c r="K51" s="56">
        <v>0</v>
      </c>
      <c r="L51" s="56">
        <v>0</v>
      </c>
      <c r="M51" s="56">
        <v>0</v>
      </c>
      <c r="N51" s="56">
        <v>0</v>
      </c>
      <c r="O51" s="56">
        <v>0</v>
      </c>
      <c r="P51" s="56">
        <v>4</v>
      </c>
      <c r="Q51" s="56">
        <v>0</v>
      </c>
      <c r="R51" s="56">
        <v>0</v>
      </c>
      <c r="S51" s="56">
        <v>1</v>
      </c>
      <c r="T51" s="56">
        <v>0</v>
      </c>
      <c r="U51" s="71">
        <v>0</v>
      </c>
      <c r="V51" s="18"/>
    </row>
    <row r="52" spans="1:22" ht="19.5" thickBot="1">
      <c r="A52" s="1" t="s">
        <v>1</v>
      </c>
      <c r="B52" s="11" t="s">
        <v>103</v>
      </c>
      <c r="C52" s="59" t="s">
        <v>104</v>
      </c>
      <c r="D52" s="60" t="s">
        <v>104</v>
      </c>
      <c r="E52" s="60" t="s">
        <v>104</v>
      </c>
      <c r="F52" s="60" t="s">
        <v>104</v>
      </c>
      <c r="G52" s="60" t="s">
        <v>104</v>
      </c>
      <c r="H52" s="60" t="s">
        <v>104</v>
      </c>
      <c r="I52" s="60" t="s">
        <v>104</v>
      </c>
      <c r="J52" s="60" t="s">
        <v>104</v>
      </c>
      <c r="K52" s="60" t="s">
        <v>104</v>
      </c>
      <c r="L52" s="60" t="s">
        <v>104</v>
      </c>
      <c r="M52" s="60" t="s">
        <v>104</v>
      </c>
      <c r="N52" s="60" t="s">
        <v>104</v>
      </c>
      <c r="O52" s="60" t="s">
        <v>104</v>
      </c>
      <c r="P52" s="60" t="s">
        <v>104</v>
      </c>
      <c r="Q52" s="60" t="s">
        <v>104</v>
      </c>
      <c r="R52" s="60" t="s">
        <v>104</v>
      </c>
      <c r="S52" s="60" t="s">
        <v>104</v>
      </c>
      <c r="T52" s="60" t="s">
        <v>104</v>
      </c>
      <c r="U52" s="72" t="s">
        <v>104</v>
      </c>
      <c r="V52" s="13"/>
    </row>
  </sheetData>
  <phoneticPr fontId="3"/>
  <pageMargins left="0.11811023622047245" right="0.11811023622047245" top="0.15748031496062992" bottom="0.15748031496062992" header="0.11811023622047245" footer="0.11811023622047245"/>
  <pageSetup paperSize="12" scale="74" orientation="landscape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69723-AD4D-47C4-8C97-BBB09A96168C}">
  <sheetPr>
    <pageSetUpPr fitToPage="1"/>
  </sheetPr>
  <dimension ref="A1:N52"/>
  <sheetViews>
    <sheetView workbookViewId="0">
      <pane xSplit="2" ySplit="4" topLeftCell="C5" activePane="bottomRight" state="frozen"/>
      <selection pane="topRight" activeCell="C1" sqref="C1"/>
      <selection pane="bottomLeft" activeCell="A9" sqref="A9"/>
      <selection pane="bottomRight" activeCell="B3" sqref="B3"/>
    </sheetView>
  </sheetViews>
  <sheetFormatPr defaultRowHeight="18.75"/>
  <cols>
    <col min="1" max="1" width="2.375" style="2" customWidth="1"/>
    <col min="2" max="2" width="13.25" style="2" bestFit="1" customWidth="1"/>
    <col min="3" max="14" width="10.875" style="2" customWidth="1"/>
    <col min="15" max="237" width="9" style="2"/>
    <col min="238" max="238" width="2.375" style="2" customWidth="1"/>
    <col min="239" max="239" width="13.25" style="2" bestFit="1" customWidth="1"/>
    <col min="240" max="241" width="11.125" style="2" bestFit="1" customWidth="1"/>
    <col min="242" max="242" width="13.25" style="2" bestFit="1" customWidth="1"/>
    <col min="243" max="243" width="11.125" style="2" bestFit="1" customWidth="1"/>
    <col min="244" max="244" width="9" style="2"/>
    <col min="245" max="245" width="11.125" style="2" bestFit="1" customWidth="1"/>
    <col min="246" max="246" width="9" style="2"/>
    <col min="247" max="259" width="11.125" style="2" bestFit="1" customWidth="1"/>
    <col min="260" max="260" width="9" style="2"/>
    <col min="261" max="267" width="11.125" style="2" bestFit="1" customWidth="1"/>
    <col min="268" max="268" width="9.625" style="2" bestFit="1" customWidth="1"/>
    <col min="269" max="493" width="9" style="2"/>
    <col min="494" max="494" width="2.375" style="2" customWidth="1"/>
    <col min="495" max="495" width="13.25" style="2" bestFit="1" customWidth="1"/>
    <col min="496" max="497" width="11.125" style="2" bestFit="1" customWidth="1"/>
    <col min="498" max="498" width="13.25" style="2" bestFit="1" customWidth="1"/>
    <col min="499" max="499" width="11.125" style="2" bestFit="1" customWidth="1"/>
    <col min="500" max="500" width="9" style="2"/>
    <col min="501" max="501" width="11.125" style="2" bestFit="1" customWidth="1"/>
    <col min="502" max="502" width="9" style="2"/>
    <col min="503" max="515" width="11.125" style="2" bestFit="1" customWidth="1"/>
    <col min="516" max="516" width="9" style="2"/>
    <col min="517" max="523" width="11.125" style="2" bestFit="1" customWidth="1"/>
    <col min="524" max="524" width="9.625" style="2" bestFit="1" customWidth="1"/>
    <col min="525" max="749" width="9" style="2"/>
    <col min="750" max="750" width="2.375" style="2" customWidth="1"/>
    <col min="751" max="751" width="13.25" style="2" bestFit="1" customWidth="1"/>
    <col min="752" max="753" width="11.125" style="2" bestFit="1" customWidth="1"/>
    <col min="754" max="754" width="13.25" style="2" bestFit="1" customWidth="1"/>
    <col min="755" max="755" width="11.125" style="2" bestFit="1" customWidth="1"/>
    <col min="756" max="756" width="9" style="2"/>
    <col min="757" max="757" width="11.125" style="2" bestFit="1" customWidth="1"/>
    <col min="758" max="758" width="9" style="2"/>
    <col min="759" max="771" width="11.125" style="2" bestFit="1" customWidth="1"/>
    <col min="772" max="772" width="9" style="2"/>
    <col min="773" max="779" width="11.125" style="2" bestFit="1" customWidth="1"/>
    <col min="780" max="780" width="9.625" style="2" bestFit="1" customWidth="1"/>
    <col min="781" max="1005" width="9" style="2"/>
    <col min="1006" max="1006" width="2.375" style="2" customWidth="1"/>
    <col min="1007" max="1007" width="13.25" style="2" bestFit="1" customWidth="1"/>
    <col min="1008" max="1009" width="11.125" style="2" bestFit="1" customWidth="1"/>
    <col min="1010" max="1010" width="13.25" style="2" bestFit="1" customWidth="1"/>
    <col min="1011" max="1011" width="11.125" style="2" bestFit="1" customWidth="1"/>
    <col min="1012" max="1012" width="9" style="2"/>
    <col min="1013" max="1013" width="11.125" style="2" bestFit="1" customWidth="1"/>
    <col min="1014" max="1014" width="9" style="2"/>
    <col min="1015" max="1027" width="11.125" style="2" bestFit="1" customWidth="1"/>
    <col min="1028" max="1028" width="9" style="2"/>
    <col min="1029" max="1035" width="11.125" style="2" bestFit="1" customWidth="1"/>
    <col min="1036" max="1036" width="9.625" style="2" bestFit="1" customWidth="1"/>
    <col min="1037" max="1261" width="9" style="2"/>
    <col min="1262" max="1262" width="2.375" style="2" customWidth="1"/>
    <col min="1263" max="1263" width="13.25" style="2" bestFit="1" customWidth="1"/>
    <col min="1264" max="1265" width="11.125" style="2" bestFit="1" customWidth="1"/>
    <col min="1266" max="1266" width="13.25" style="2" bestFit="1" customWidth="1"/>
    <col min="1267" max="1267" width="11.125" style="2" bestFit="1" customWidth="1"/>
    <col min="1268" max="1268" width="9" style="2"/>
    <col min="1269" max="1269" width="11.125" style="2" bestFit="1" customWidth="1"/>
    <col min="1270" max="1270" width="9" style="2"/>
    <col min="1271" max="1283" width="11.125" style="2" bestFit="1" customWidth="1"/>
    <col min="1284" max="1284" width="9" style="2"/>
    <col min="1285" max="1291" width="11.125" style="2" bestFit="1" customWidth="1"/>
    <col min="1292" max="1292" width="9.625" style="2" bestFit="1" customWidth="1"/>
    <col min="1293" max="1517" width="9" style="2"/>
    <col min="1518" max="1518" width="2.375" style="2" customWidth="1"/>
    <col min="1519" max="1519" width="13.25" style="2" bestFit="1" customWidth="1"/>
    <col min="1520" max="1521" width="11.125" style="2" bestFit="1" customWidth="1"/>
    <col min="1522" max="1522" width="13.25" style="2" bestFit="1" customWidth="1"/>
    <col min="1523" max="1523" width="11.125" style="2" bestFit="1" customWidth="1"/>
    <col min="1524" max="1524" width="9" style="2"/>
    <col min="1525" max="1525" width="11.125" style="2" bestFit="1" customWidth="1"/>
    <col min="1526" max="1526" width="9" style="2"/>
    <col min="1527" max="1539" width="11.125" style="2" bestFit="1" customWidth="1"/>
    <col min="1540" max="1540" width="9" style="2"/>
    <col min="1541" max="1547" width="11.125" style="2" bestFit="1" customWidth="1"/>
    <col min="1548" max="1548" width="9.625" style="2" bestFit="1" customWidth="1"/>
    <col min="1549" max="1773" width="9" style="2"/>
    <col min="1774" max="1774" width="2.375" style="2" customWidth="1"/>
    <col min="1775" max="1775" width="13.25" style="2" bestFit="1" customWidth="1"/>
    <col min="1776" max="1777" width="11.125" style="2" bestFit="1" customWidth="1"/>
    <col min="1778" max="1778" width="13.25" style="2" bestFit="1" customWidth="1"/>
    <col min="1779" max="1779" width="11.125" style="2" bestFit="1" customWidth="1"/>
    <col min="1780" max="1780" width="9" style="2"/>
    <col min="1781" max="1781" width="11.125" style="2" bestFit="1" customWidth="1"/>
    <col min="1782" max="1782" width="9" style="2"/>
    <col min="1783" max="1795" width="11.125" style="2" bestFit="1" customWidth="1"/>
    <col min="1796" max="1796" width="9" style="2"/>
    <col min="1797" max="1803" width="11.125" style="2" bestFit="1" customWidth="1"/>
    <col min="1804" max="1804" width="9.625" style="2" bestFit="1" customWidth="1"/>
    <col min="1805" max="2029" width="9" style="2"/>
    <col min="2030" max="2030" width="2.375" style="2" customWidth="1"/>
    <col min="2031" max="2031" width="13.25" style="2" bestFit="1" customWidth="1"/>
    <col min="2032" max="2033" width="11.125" style="2" bestFit="1" customWidth="1"/>
    <col min="2034" max="2034" width="13.25" style="2" bestFit="1" customWidth="1"/>
    <col min="2035" max="2035" width="11.125" style="2" bestFit="1" customWidth="1"/>
    <col min="2036" max="2036" width="9" style="2"/>
    <col min="2037" max="2037" width="11.125" style="2" bestFit="1" customWidth="1"/>
    <col min="2038" max="2038" width="9" style="2"/>
    <col min="2039" max="2051" width="11.125" style="2" bestFit="1" customWidth="1"/>
    <col min="2052" max="2052" width="9" style="2"/>
    <col min="2053" max="2059" width="11.125" style="2" bestFit="1" customWidth="1"/>
    <col min="2060" max="2060" width="9.625" style="2" bestFit="1" customWidth="1"/>
    <col min="2061" max="2285" width="9" style="2"/>
    <col min="2286" max="2286" width="2.375" style="2" customWidth="1"/>
    <col min="2287" max="2287" width="13.25" style="2" bestFit="1" customWidth="1"/>
    <col min="2288" max="2289" width="11.125" style="2" bestFit="1" customWidth="1"/>
    <col min="2290" max="2290" width="13.25" style="2" bestFit="1" customWidth="1"/>
    <col min="2291" max="2291" width="11.125" style="2" bestFit="1" customWidth="1"/>
    <col min="2292" max="2292" width="9" style="2"/>
    <col min="2293" max="2293" width="11.125" style="2" bestFit="1" customWidth="1"/>
    <col min="2294" max="2294" width="9" style="2"/>
    <col min="2295" max="2307" width="11.125" style="2" bestFit="1" customWidth="1"/>
    <col min="2308" max="2308" width="9" style="2"/>
    <col min="2309" max="2315" width="11.125" style="2" bestFit="1" customWidth="1"/>
    <col min="2316" max="2316" width="9.625" style="2" bestFit="1" customWidth="1"/>
    <col min="2317" max="2541" width="9" style="2"/>
    <col min="2542" max="2542" width="2.375" style="2" customWidth="1"/>
    <col min="2543" max="2543" width="13.25" style="2" bestFit="1" customWidth="1"/>
    <col min="2544" max="2545" width="11.125" style="2" bestFit="1" customWidth="1"/>
    <col min="2546" max="2546" width="13.25" style="2" bestFit="1" customWidth="1"/>
    <col min="2547" max="2547" width="11.125" style="2" bestFit="1" customWidth="1"/>
    <col min="2548" max="2548" width="9" style="2"/>
    <col min="2549" max="2549" width="11.125" style="2" bestFit="1" customWidth="1"/>
    <col min="2550" max="2550" width="9" style="2"/>
    <col min="2551" max="2563" width="11.125" style="2" bestFit="1" customWidth="1"/>
    <col min="2564" max="2564" width="9" style="2"/>
    <col min="2565" max="2571" width="11.125" style="2" bestFit="1" customWidth="1"/>
    <col min="2572" max="2572" width="9.625" style="2" bestFit="1" customWidth="1"/>
    <col min="2573" max="2797" width="9" style="2"/>
    <col min="2798" max="2798" width="2.375" style="2" customWidth="1"/>
    <col min="2799" max="2799" width="13.25" style="2" bestFit="1" customWidth="1"/>
    <col min="2800" max="2801" width="11.125" style="2" bestFit="1" customWidth="1"/>
    <col min="2802" max="2802" width="13.25" style="2" bestFit="1" customWidth="1"/>
    <col min="2803" max="2803" width="11.125" style="2" bestFit="1" customWidth="1"/>
    <col min="2804" max="2804" width="9" style="2"/>
    <col min="2805" max="2805" width="11.125" style="2" bestFit="1" customWidth="1"/>
    <col min="2806" max="2806" width="9" style="2"/>
    <col min="2807" max="2819" width="11.125" style="2" bestFit="1" customWidth="1"/>
    <col min="2820" max="2820" width="9" style="2"/>
    <col min="2821" max="2827" width="11.125" style="2" bestFit="1" customWidth="1"/>
    <col min="2828" max="2828" width="9.625" style="2" bestFit="1" customWidth="1"/>
    <col min="2829" max="3053" width="9" style="2"/>
    <col min="3054" max="3054" width="2.375" style="2" customWidth="1"/>
    <col min="3055" max="3055" width="13.25" style="2" bestFit="1" customWidth="1"/>
    <col min="3056" max="3057" width="11.125" style="2" bestFit="1" customWidth="1"/>
    <col min="3058" max="3058" width="13.25" style="2" bestFit="1" customWidth="1"/>
    <col min="3059" max="3059" width="11.125" style="2" bestFit="1" customWidth="1"/>
    <col min="3060" max="3060" width="9" style="2"/>
    <col min="3061" max="3061" width="11.125" style="2" bestFit="1" customWidth="1"/>
    <col min="3062" max="3062" width="9" style="2"/>
    <col min="3063" max="3075" width="11.125" style="2" bestFit="1" customWidth="1"/>
    <col min="3076" max="3076" width="9" style="2"/>
    <col min="3077" max="3083" width="11.125" style="2" bestFit="1" customWidth="1"/>
    <col min="3084" max="3084" width="9.625" style="2" bestFit="1" customWidth="1"/>
    <col min="3085" max="3309" width="9" style="2"/>
    <col min="3310" max="3310" width="2.375" style="2" customWidth="1"/>
    <col min="3311" max="3311" width="13.25" style="2" bestFit="1" customWidth="1"/>
    <col min="3312" max="3313" width="11.125" style="2" bestFit="1" customWidth="1"/>
    <col min="3314" max="3314" width="13.25" style="2" bestFit="1" customWidth="1"/>
    <col min="3315" max="3315" width="11.125" style="2" bestFit="1" customWidth="1"/>
    <col min="3316" max="3316" width="9" style="2"/>
    <col min="3317" max="3317" width="11.125" style="2" bestFit="1" customWidth="1"/>
    <col min="3318" max="3318" width="9" style="2"/>
    <col min="3319" max="3331" width="11.125" style="2" bestFit="1" customWidth="1"/>
    <col min="3332" max="3332" width="9" style="2"/>
    <col min="3333" max="3339" width="11.125" style="2" bestFit="1" customWidth="1"/>
    <col min="3340" max="3340" width="9.625" style="2" bestFit="1" customWidth="1"/>
    <col min="3341" max="3565" width="9" style="2"/>
    <col min="3566" max="3566" width="2.375" style="2" customWidth="1"/>
    <col min="3567" max="3567" width="13.25" style="2" bestFit="1" customWidth="1"/>
    <col min="3568" max="3569" width="11.125" style="2" bestFit="1" customWidth="1"/>
    <col min="3570" max="3570" width="13.25" style="2" bestFit="1" customWidth="1"/>
    <col min="3571" max="3571" width="11.125" style="2" bestFit="1" customWidth="1"/>
    <col min="3572" max="3572" width="9" style="2"/>
    <col min="3573" max="3573" width="11.125" style="2" bestFit="1" customWidth="1"/>
    <col min="3574" max="3574" width="9" style="2"/>
    <col min="3575" max="3587" width="11.125" style="2" bestFit="1" customWidth="1"/>
    <col min="3588" max="3588" width="9" style="2"/>
    <col min="3589" max="3595" width="11.125" style="2" bestFit="1" customWidth="1"/>
    <col min="3596" max="3596" width="9.625" style="2" bestFit="1" customWidth="1"/>
    <col min="3597" max="3821" width="9" style="2"/>
    <col min="3822" max="3822" width="2.375" style="2" customWidth="1"/>
    <col min="3823" max="3823" width="13.25" style="2" bestFit="1" customWidth="1"/>
    <col min="3824" max="3825" width="11.125" style="2" bestFit="1" customWidth="1"/>
    <col min="3826" max="3826" width="13.25" style="2" bestFit="1" customWidth="1"/>
    <col min="3827" max="3827" width="11.125" style="2" bestFit="1" customWidth="1"/>
    <col min="3828" max="3828" width="9" style="2"/>
    <col min="3829" max="3829" width="11.125" style="2" bestFit="1" customWidth="1"/>
    <col min="3830" max="3830" width="9" style="2"/>
    <col min="3831" max="3843" width="11.125" style="2" bestFit="1" customWidth="1"/>
    <col min="3844" max="3844" width="9" style="2"/>
    <col min="3845" max="3851" width="11.125" style="2" bestFit="1" customWidth="1"/>
    <col min="3852" max="3852" width="9.625" style="2" bestFit="1" customWidth="1"/>
    <col min="3853" max="4077" width="9" style="2"/>
    <col min="4078" max="4078" width="2.375" style="2" customWidth="1"/>
    <col min="4079" max="4079" width="13.25" style="2" bestFit="1" customWidth="1"/>
    <col min="4080" max="4081" width="11.125" style="2" bestFit="1" customWidth="1"/>
    <col min="4082" max="4082" width="13.25" style="2" bestFit="1" customWidth="1"/>
    <col min="4083" max="4083" width="11.125" style="2" bestFit="1" customWidth="1"/>
    <col min="4084" max="4084" width="9" style="2"/>
    <col min="4085" max="4085" width="11.125" style="2" bestFit="1" customWidth="1"/>
    <col min="4086" max="4086" width="9" style="2"/>
    <col min="4087" max="4099" width="11.125" style="2" bestFit="1" customWidth="1"/>
    <col min="4100" max="4100" width="9" style="2"/>
    <col min="4101" max="4107" width="11.125" style="2" bestFit="1" customWidth="1"/>
    <col min="4108" max="4108" width="9.625" style="2" bestFit="1" customWidth="1"/>
    <col min="4109" max="4333" width="9" style="2"/>
    <col min="4334" max="4334" width="2.375" style="2" customWidth="1"/>
    <col min="4335" max="4335" width="13.25" style="2" bestFit="1" customWidth="1"/>
    <col min="4336" max="4337" width="11.125" style="2" bestFit="1" customWidth="1"/>
    <col min="4338" max="4338" width="13.25" style="2" bestFit="1" customWidth="1"/>
    <col min="4339" max="4339" width="11.125" style="2" bestFit="1" customWidth="1"/>
    <col min="4340" max="4340" width="9" style="2"/>
    <col min="4341" max="4341" width="11.125" style="2" bestFit="1" customWidth="1"/>
    <col min="4342" max="4342" width="9" style="2"/>
    <col min="4343" max="4355" width="11.125" style="2" bestFit="1" customWidth="1"/>
    <col min="4356" max="4356" width="9" style="2"/>
    <col min="4357" max="4363" width="11.125" style="2" bestFit="1" customWidth="1"/>
    <col min="4364" max="4364" width="9.625" style="2" bestFit="1" customWidth="1"/>
    <col min="4365" max="4589" width="9" style="2"/>
    <col min="4590" max="4590" width="2.375" style="2" customWidth="1"/>
    <col min="4591" max="4591" width="13.25" style="2" bestFit="1" customWidth="1"/>
    <col min="4592" max="4593" width="11.125" style="2" bestFit="1" customWidth="1"/>
    <col min="4594" max="4594" width="13.25" style="2" bestFit="1" customWidth="1"/>
    <col min="4595" max="4595" width="11.125" style="2" bestFit="1" customWidth="1"/>
    <col min="4596" max="4596" width="9" style="2"/>
    <col min="4597" max="4597" width="11.125" style="2" bestFit="1" customWidth="1"/>
    <col min="4598" max="4598" width="9" style="2"/>
    <col min="4599" max="4611" width="11.125" style="2" bestFit="1" customWidth="1"/>
    <col min="4612" max="4612" width="9" style="2"/>
    <col min="4613" max="4619" width="11.125" style="2" bestFit="1" customWidth="1"/>
    <col min="4620" max="4620" width="9.625" style="2" bestFit="1" customWidth="1"/>
    <col min="4621" max="4845" width="9" style="2"/>
    <col min="4846" max="4846" width="2.375" style="2" customWidth="1"/>
    <col min="4847" max="4847" width="13.25" style="2" bestFit="1" customWidth="1"/>
    <col min="4848" max="4849" width="11.125" style="2" bestFit="1" customWidth="1"/>
    <col min="4850" max="4850" width="13.25" style="2" bestFit="1" customWidth="1"/>
    <col min="4851" max="4851" width="11.125" style="2" bestFit="1" customWidth="1"/>
    <col min="4852" max="4852" width="9" style="2"/>
    <col min="4853" max="4853" width="11.125" style="2" bestFit="1" customWidth="1"/>
    <col min="4854" max="4854" width="9" style="2"/>
    <col min="4855" max="4867" width="11.125" style="2" bestFit="1" customWidth="1"/>
    <col min="4868" max="4868" width="9" style="2"/>
    <col min="4869" max="4875" width="11.125" style="2" bestFit="1" customWidth="1"/>
    <col min="4876" max="4876" width="9.625" style="2" bestFit="1" customWidth="1"/>
    <col min="4877" max="5101" width="9" style="2"/>
    <col min="5102" max="5102" width="2.375" style="2" customWidth="1"/>
    <col min="5103" max="5103" width="13.25" style="2" bestFit="1" customWidth="1"/>
    <col min="5104" max="5105" width="11.125" style="2" bestFit="1" customWidth="1"/>
    <col min="5106" max="5106" width="13.25" style="2" bestFit="1" customWidth="1"/>
    <col min="5107" max="5107" width="11.125" style="2" bestFit="1" customWidth="1"/>
    <col min="5108" max="5108" width="9" style="2"/>
    <col min="5109" max="5109" width="11.125" style="2" bestFit="1" customWidth="1"/>
    <col min="5110" max="5110" width="9" style="2"/>
    <col min="5111" max="5123" width="11.125" style="2" bestFit="1" customWidth="1"/>
    <col min="5124" max="5124" width="9" style="2"/>
    <col min="5125" max="5131" width="11.125" style="2" bestFit="1" customWidth="1"/>
    <col min="5132" max="5132" width="9.625" style="2" bestFit="1" customWidth="1"/>
    <col min="5133" max="5357" width="9" style="2"/>
    <col min="5358" max="5358" width="2.375" style="2" customWidth="1"/>
    <col min="5359" max="5359" width="13.25" style="2" bestFit="1" customWidth="1"/>
    <col min="5360" max="5361" width="11.125" style="2" bestFit="1" customWidth="1"/>
    <col min="5362" max="5362" width="13.25" style="2" bestFit="1" customWidth="1"/>
    <col min="5363" max="5363" width="11.125" style="2" bestFit="1" customWidth="1"/>
    <col min="5364" max="5364" width="9" style="2"/>
    <col min="5365" max="5365" width="11.125" style="2" bestFit="1" customWidth="1"/>
    <col min="5366" max="5366" width="9" style="2"/>
    <col min="5367" max="5379" width="11.125" style="2" bestFit="1" customWidth="1"/>
    <col min="5380" max="5380" width="9" style="2"/>
    <col min="5381" max="5387" width="11.125" style="2" bestFit="1" customWidth="1"/>
    <col min="5388" max="5388" width="9.625" style="2" bestFit="1" customWidth="1"/>
    <col min="5389" max="5613" width="9" style="2"/>
    <col min="5614" max="5614" width="2.375" style="2" customWidth="1"/>
    <col min="5615" max="5615" width="13.25" style="2" bestFit="1" customWidth="1"/>
    <col min="5616" max="5617" width="11.125" style="2" bestFit="1" customWidth="1"/>
    <col min="5618" max="5618" width="13.25" style="2" bestFit="1" customWidth="1"/>
    <col min="5619" max="5619" width="11.125" style="2" bestFit="1" customWidth="1"/>
    <col min="5620" max="5620" width="9" style="2"/>
    <col min="5621" max="5621" width="11.125" style="2" bestFit="1" customWidth="1"/>
    <col min="5622" max="5622" width="9" style="2"/>
    <col min="5623" max="5635" width="11.125" style="2" bestFit="1" customWidth="1"/>
    <col min="5636" max="5636" width="9" style="2"/>
    <col min="5637" max="5643" width="11.125" style="2" bestFit="1" customWidth="1"/>
    <col min="5644" max="5644" width="9.625" style="2" bestFit="1" customWidth="1"/>
    <col min="5645" max="5869" width="9" style="2"/>
    <col min="5870" max="5870" width="2.375" style="2" customWidth="1"/>
    <col min="5871" max="5871" width="13.25" style="2" bestFit="1" customWidth="1"/>
    <col min="5872" max="5873" width="11.125" style="2" bestFit="1" customWidth="1"/>
    <col min="5874" max="5874" width="13.25" style="2" bestFit="1" customWidth="1"/>
    <col min="5875" max="5875" width="11.125" style="2" bestFit="1" customWidth="1"/>
    <col min="5876" max="5876" width="9" style="2"/>
    <col min="5877" max="5877" width="11.125" style="2" bestFit="1" customWidth="1"/>
    <col min="5878" max="5878" width="9" style="2"/>
    <col min="5879" max="5891" width="11.125" style="2" bestFit="1" customWidth="1"/>
    <col min="5892" max="5892" width="9" style="2"/>
    <col min="5893" max="5899" width="11.125" style="2" bestFit="1" customWidth="1"/>
    <col min="5900" max="5900" width="9.625" style="2" bestFit="1" customWidth="1"/>
    <col min="5901" max="6125" width="9" style="2"/>
    <col min="6126" max="6126" width="2.375" style="2" customWidth="1"/>
    <col min="6127" max="6127" width="13.25" style="2" bestFit="1" customWidth="1"/>
    <col min="6128" max="6129" width="11.125" style="2" bestFit="1" customWidth="1"/>
    <col min="6130" max="6130" width="13.25" style="2" bestFit="1" customWidth="1"/>
    <col min="6131" max="6131" width="11.125" style="2" bestFit="1" customWidth="1"/>
    <col min="6132" max="6132" width="9" style="2"/>
    <col min="6133" max="6133" width="11.125" style="2" bestFit="1" customWidth="1"/>
    <col min="6134" max="6134" width="9" style="2"/>
    <col min="6135" max="6147" width="11.125" style="2" bestFit="1" customWidth="1"/>
    <col min="6148" max="6148" width="9" style="2"/>
    <col min="6149" max="6155" width="11.125" style="2" bestFit="1" customWidth="1"/>
    <col min="6156" max="6156" width="9.625" style="2" bestFit="1" customWidth="1"/>
    <col min="6157" max="6381" width="9" style="2"/>
    <col min="6382" max="6382" width="2.375" style="2" customWidth="1"/>
    <col min="6383" max="6383" width="13.25" style="2" bestFit="1" customWidth="1"/>
    <col min="6384" max="6385" width="11.125" style="2" bestFit="1" customWidth="1"/>
    <col min="6386" max="6386" width="13.25" style="2" bestFit="1" customWidth="1"/>
    <col min="6387" max="6387" width="11.125" style="2" bestFit="1" customWidth="1"/>
    <col min="6388" max="6388" width="9" style="2"/>
    <col min="6389" max="6389" width="11.125" style="2" bestFit="1" customWidth="1"/>
    <col min="6390" max="6390" width="9" style="2"/>
    <col min="6391" max="6403" width="11.125" style="2" bestFit="1" customWidth="1"/>
    <col min="6404" max="6404" width="9" style="2"/>
    <col min="6405" max="6411" width="11.125" style="2" bestFit="1" customWidth="1"/>
    <col min="6412" max="6412" width="9.625" style="2" bestFit="1" customWidth="1"/>
    <col min="6413" max="6637" width="9" style="2"/>
    <col min="6638" max="6638" width="2.375" style="2" customWidth="1"/>
    <col min="6639" max="6639" width="13.25" style="2" bestFit="1" customWidth="1"/>
    <col min="6640" max="6641" width="11.125" style="2" bestFit="1" customWidth="1"/>
    <col min="6642" max="6642" width="13.25" style="2" bestFit="1" customWidth="1"/>
    <col min="6643" max="6643" width="11.125" style="2" bestFit="1" customWidth="1"/>
    <col min="6644" max="6644" width="9" style="2"/>
    <col min="6645" max="6645" width="11.125" style="2" bestFit="1" customWidth="1"/>
    <col min="6646" max="6646" width="9" style="2"/>
    <col min="6647" max="6659" width="11.125" style="2" bestFit="1" customWidth="1"/>
    <col min="6660" max="6660" width="9" style="2"/>
    <col min="6661" max="6667" width="11.125" style="2" bestFit="1" customWidth="1"/>
    <col min="6668" max="6668" width="9.625" style="2" bestFit="1" customWidth="1"/>
    <col min="6669" max="6893" width="9" style="2"/>
    <col min="6894" max="6894" width="2.375" style="2" customWidth="1"/>
    <col min="6895" max="6895" width="13.25" style="2" bestFit="1" customWidth="1"/>
    <col min="6896" max="6897" width="11.125" style="2" bestFit="1" customWidth="1"/>
    <col min="6898" max="6898" width="13.25" style="2" bestFit="1" customWidth="1"/>
    <col min="6899" max="6899" width="11.125" style="2" bestFit="1" customWidth="1"/>
    <col min="6900" max="6900" width="9" style="2"/>
    <col min="6901" max="6901" width="11.125" style="2" bestFit="1" customWidth="1"/>
    <col min="6902" max="6902" width="9" style="2"/>
    <col min="6903" max="6915" width="11.125" style="2" bestFit="1" customWidth="1"/>
    <col min="6916" max="6916" width="9" style="2"/>
    <col min="6917" max="6923" width="11.125" style="2" bestFit="1" customWidth="1"/>
    <col min="6924" max="6924" width="9.625" style="2" bestFit="1" customWidth="1"/>
    <col min="6925" max="7149" width="9" style="2"/>
    <col min="7150" max="7150" width="2.375" style="2" customWidth="1"/>
    <col min="7151" max="7151" width="13.25" style="2" bestFit="1" customWidth="1"/>
    <col min="7152" max="7153" width="11.125" style="2" bestFit="1" customWidth="1"/>
    <col min="7154" max="7154" width="13.25" style="2" bestFit="1" customWidth="1"/>
    <col min="7155" max="7155" width="11.125" style="2" bestFit="1" customWidth="1"/>
    <col min="7156" max="7156" width="9" style="2"/>
    <col min="7157" max="7157" width="11.125" style="2" bestFit="1" customWidth="1"/>
    <col min="7158" max="7158" width="9" style="2"/>
    <col min="7159" max="7171" width="11.125" style="2" bestFit="1" customWidth="1"/>
    <col min="7172" max="7172" width="9" style="2"/>
    <col min="7173" max="7179" width="11.125" style="2" bestFit="1" customWidth="1"/>
    <col min="7180" max="7180" width="9.625" style="2" bestFit="1" customWidth="1"/>
    <col min="7181" max="7405" width="9" style="2"/>
    <col min="7406" max="7406" width="2.375" style="2" customWidth="1"/>
    <col min="7407" max="7407" width="13.25" style="2" bestFit="1" customWidth="1"/>
    <col min="7408" max="7409" width="11.125" style="2" bestFit="1" customWidth="1"/>
    <col min="7410" max="7410" width="13.25" style="2" bestFit="1" customWidth="1"/>
    <col min="7411" max="7411" width="11.125" style="2" bestFit="1" customWidth="1"/>
    <col min="7412" max="7412" width="9" style="2"/>
    <col min="7413" max="7413" width="11.125" style="2" bestFit="1" customWidth="1"/>
    <col min="7414" max="7414" width="9" style="2"/>
    <col min="7415" max="7427" width="11.125" style="2" bestFit="1" customWidth="1"/>
    <col min="7428" max="7428" width="9" style="2"/>
    <col min="7429" max="7435" width="11.125" style="2" bestFit="1" customWidth="1"/>
    <col min="7436" max="7436" width="9.625" style="2" bestFit="1" customWidth="1"/>
    <col min="7437" max="7661" width="9" style="2"/>
    <col min="7662" max="7662" width="2.375" style="2" customWidth="1"/>
    <col min="7663" max="7663" width="13.25" style="2" bestFit="1" customWidth="1"/>
    <col min="7664" max="7665" width="11.125" style="2" bestFit="1" customWidth="1"/>
    <col min="7666" max="7666" width="13.25" style="2" bestFit="1" customWidth="1"/>
    <col min="7667" max="7667" width="11.125" style="2" bestFit="1" customWidth="1"/>
    <col min="7668" max="7668" width="9" style="2"/>
    <col min="7669" max="7669" width="11.125" style="2" bestFit="1" customWidth="1"/>
    <col min="7670" max="7670" width="9" style="2"/>
    <col min="7671" max="7683" width="11.125" style="2" bestFit="1" customWidth="1"/>
    <col min="7684" max="7684" width="9" style="2"/>
    <col min="7685" max="7691" width="11.125" style="2" bestFit="1" customWidth="1"/>
    <col min="7692" max="7692" width="9.625" style="2" bestFit="1" customWidth="1"/>
    <col min="7693" max="7917" width="9" style="2"/>
    <col min="7918" max="7918" width="2.375" style="2" customWidth="1"/>
    <col min="7919" max="7919" width="13.25" style="2" bestFit="1" customWidth="1"/>
    <col min="7920" max="7921" width="11.125" style="2" bestFit="1" customWidth="1"/>
    <col min="7922" max="7922" width="13.25" style="2" bestFit="1" customWidth="1"/>
    <col min="7923" max="7923" width="11.125" style="2" bestFit="1" customWidth="1"/>
    <col min="7924" max="7924" width="9" style="2"/>
    <col min="7925" max="7925" width="11.125" style="2" bestFit="1" customWidth="1"/>
    <col min="7926" max="7926" width="9" style="2"/>
    <col min="7927" max="7939" width="11.125" style="2" bestFit="1" customWidth="1"/>
    <col min="7940" max="7940" width="9" style="2"/>
    <col min="7941" max="7947" width="11.125" style="2" bestFit="1" customWidth="1"/>
    <col min="7948" max="7948" width="9.625" style="2" bestFit="1" customWidth="1"/>
    <col min="7949" max="8173" width="9" style="2"/>
    <col min="8174" max="8174" width="2.375" style="2" customWidth="1"/>
    <col min="8175" max="8175" width="13.25" style="2" bestFit="1" customWidth="1"/>
    <col min="8176" max="8177" width="11.125" style="2" bestFit="1" customWidth="1"/>
    <col min="8178" max="8178" width="13.25" style="2" bestFit="1" customWidth="1"/>
    <col min="8179" max="8179" width="11.125" style="2" bestFit="1" customWidth="1"/>
    <col min="8180" max="8180" width="9" style="2"/>
    <col min="8181" max="8181" width="11.125" style="2" bestFit="1" customWidth="1"/>
    <col min="8182" max="8182" width="9" style="2"/>
    <col min="8183" max="8195" width="11.125" style="2" bestFit="1" customWidth="1"/>
    <col min="8196" max="8196" width="9" style="2"/>
    <col min="8197" max="8203" width="11.125" style="2" bestFit="1" customWidth="1"/>
    <col min="8204" max="8204" width="9.625" style="2" bestFit="1" customWidth="1"/>
    <col min="8205" max="8429" width="9" style="2"/>
    <col min="8430" max="8430" width="2.375" style="2" customWidth="1"/>
    <col min="8431" max="8431" width="13.25" style="2" bestFit="1" customWidth="1"/>
    <col min="8432" max="8433" width="11.125" style="2" bestFit="1" customWidth="1"/>
    <col min="8434" max="8434" width="13.25" style="2" bestFit="1" customWidth="1"/>
    <col min="8435" max="8435" width="11.125" style="2" bestFit="1" customWidth="1"/>
    <col min="8436" max="8436" width="9" style="2"/>
    <col min="8437" max="8437" width="11.125" style="2" bestFit="1" customWidth="1"/>
    <col min="8438" max="8438" width="9" style="2"/>
    <col min="8439" max="8451" width="11.125" style="2" bestFit="1" customWidth="1"/>
    <col min="8452" max="8452" width="9" style="2"/>
    <col min="8453" max="8459" width="11.125" style="2" bestFit="1" customWidth="1"/>
    <col min="8460" max="8460" width="9.625" style="2" bestFit="1" customWidth="1"/>
    <col min="8461" max="8685" width="9" style="2"/>
    <col min="8686" max="8686" width="2.375" style="2" customWidth="1"/>
    <col min="8687" max="8687" width="13.25" style="2" bestFit="1" customWidth="1"/>
    <col min="8688" max="8689" width="11.125" style="2" bestFit="1" customWidth="1"/>
    <col min="8690" max="8690" width="13.25" style="2" bestFit="1" customWidth="1"/>
    <col min="8691" max="8691" width="11.125" style="2" bestFit="1" customWidth="1"/>
    <col min="8692" max="8692" width="9" style="2"/>
    <col min="8693" max="8693" width="11.125" style="2" bestFit="1" customWidth="1"/>
    <col min="8694" max="8694" width="9" style="2"/>
    <col min="8695" max="8707" width="11.125" style="2" bestFit="1" customWidth="1"/>
    <col min="8708" max="8708" width="9" style="2"/>
    <col min="8709" max="8715" width="11.125" style="2" bestFit="1" customWidth="1"/>
    <col min="8716" max="8716" width="9.625" style="2" bestFit="1" customWidth="1"/>
    <col min="8717" max="8941" width="9" style="2"/>
    <col min="8942" max="8942" width="2.375" style="2" customWidth="1"/>
    <col min="8943" max="8943" width="13.25" style="2" bestFit="1" customWidth="1"/>
    <col min="8944" max="8945" width="11.125" style="2" bestFit="1" customWidth="1"/>
    <col min="8946" max="8946" width="13.25" style="2" bestFit="1" customWidth="1"/>
    <col min="8947" max="8947" width="11.125" style="2" bestFit="1" customWidth="1"/>
    <col min="8948" max="8948" width="9" style="2"/>
    <col min="8949" max="8949" width="11.125" style="2" bestFit="1" customWidth="1"/>
    <col min="8950" max="8950" width="9" style="2"/>
    <col min="8951" max="8963" width="11.125" style="2" bestFit="1" customWidth="1"/>
    <col min="8964" max="8964" width="9" style="2"/>
    <col min="8965" max="8971" width="11.125" style="2" bestFit="1" customWidth="1"/>
    <col min="8972" max="8972" width="9.625" style="2" bestFit="1" customWidth="1"/>
    <col min="8973" max="9197" width="9" style="2"/>
    <col min="9198" max="9198" width="2.375" style="2" customWidth="1"/>
    <col min="9199" max="9199" width="13.25" style="2" bestFit="1" customWidth="1"/>
    <col min="9200" max="9201" width="11.125" style="2" bestFit="1" customWidth="1"/>
    <col min="9202" max="9202" width="13.25" style="2" bestFit="1" customWidth="1"/>
    <col min="9203" max="9203" width="11.125" style="2" bestFit="1" customWidth="1"/>
    <col min="9204" max="9204" width="9" style="2"/>
    <col min="9205" max="9205" width="11.125" style="2" bestFit="1" customWidth="1"/>
    <col min="9206" max="9206" width="9" style="2"/>
    <col min="9207" max="9219" width="11.125" style="2" bestFit="1" customWidth="1"/>
    <col min="9220" max="9220" width="9" style="2"/>
    <col min="9221" max="9227" width="11.125" style="2" bestFit="1" customWidth="1"/>
    <col min="9228" max="9228" width="9.625" style="2" bestFit="1" customWidth="1"/>
    <col min="9229" max="9453" width="9" style="2"/>
    <col min="9454" max="9454" width="2.375" style="2" customWidth="1"/>
    <col min="9455" max="9455" width="13.25" style="2" bestFit="1" customWidth="1"/>
    <col min="9456" max="9457" width="11.125" style="2" bestFit="1" customWidth="1"/>
    <col min="9458" max="9458" width="13.25" style="2" bestFit="1" customWidth="1"/>
    <col min="9459" max="9459" width="11.125" style="2" bestFit="1" customWidth="1"/>
    <col min="9460" max="9460" width="9" style="2"/>
    <col min="9461" max="9461" width="11.125" style="2" bestFit="1" customWidth="1"/>
    <col min="9462" max="9462" width="9" style="2"/>
    <col min="9463" max="9475" width="11.125" style="2" bestFit="1" customWidth="1"/>
    <col min="9476" max="9476" width="9" style="2"/>
    <col min="9477" max="9483" width="11.125" style="2" bestFit="1" customWidth="1"/>
    <col min="9484" max="9484" width="9.625" style="2" bestFit="1" customWidth="1"/>
    <col min="9485" max="9709" width="9" style="2"/>
    <col min="9710" max="9710" width="2.375" style="2" customWidth="1"/>
    <col min="9711" max="9711" width="13.25" style="2" bestFit="1" customWidth="1"/>
    <col min="9712" max="9713" width="11.125" style="2" bestFit="1" customWidth="1"/>
    <col min="9714" max="9714" width="13.25" style="2" bestFit="1" customWidth="1"/>
    <col min="9715" max="9715" width="11.125" style="2" bestFit="1" customWidth="1"/>
    <col min="9716" max="9716" width="9" style="2"/>
    <col min="9717" max="9717" width="11.125" style="2" bestFit="1" customWidth="1"/>
    <col min="9718" max="9718" width="9" style="2"/>
    <col min="9719" max="9731" width="11.125" style="2" bestFit="1" customWidth="1"/>
    <col min="9732" max="9732" width="9" style="2"/>
    <col min="9733" max="9739" width="11.125" style="2" bestFit="1" customWidth="1"/>
    <col min="9740" max="9740" width="9.625" style="2" bestFit="1" customWidth="1"/>
    <col min="9741" max="9965" width="9" style="2"/>
    <col min="9966" max="9966" width="2.375" style="2" customWidth="1"/>
    <col min="9967" max="9967" width="13.25" style="2" bestFit="1" customWidth="1"/>
    <col min="9968" max="9969" width="11.125" style="2" bestFit="1" customWidth="1"/>
    <col min="9970" max="9970" width="13.25" style="2" bestFit="1" customWidth="1"/>
    <col min="9971" max="9971" width="11.125" style="2" bestFit="1" customWidth="1"/>
    <col min="9972" max="9972" width="9" style="2"/>
    <col min="9973" max="9973" width="11.125" style="2" bestFit="1" customWidth="1"/>
    <col min="9974" max="9974" width="9" style="2"/>
    <col min="9975" max="9987" width="11.125" style="2" bestFit="1" customWidth="1"/>
    <col min="9988" max="9988" width="9" style="2"/>
    <col min="9989" max="9995" width="11.125" style="2" bestFit="1" customWidth="1"/>
    <col min="9996" max="9996" width="9.625" style="2" bestFit="1" customWidth="1"/>
    <col min="9997" max="10221" width="9" style="2"/>
    <col min="10222" max="10222" width="2.375" style="2" customWidth="1"/>
    <col min="10223" max="10223" width="13.25" style="2" bestFit="1" customWidth="1"/>
    <col min="10224" max="10225" width="11.125" style="2" bestFit="1" customWidth="1"/>
    <col min="10226" max="10226" width="13.25" style="2" bestFit="1" customWidth="1"/>
    <col min="10227" max="10227" width="11.125" style="2" bestFit="1" customWidth="1"/>
    <col min="10228" max="10228" width="9" style="2"/>
    <col min="10229" max="10229" width="11.125" style="2" bestFit="1" customWidth="1"/>
    <col min="10230" max="10230" width="9" style="2"/>
    <col min="10231" max="10243" width="11.125" style="2" bestFit="1" customWidth="1"/>
    <col min="10244" max="10244" width="9" style="2"/>
    <col min="10245" max="10251" width="11.125" style="2" bestFit="1" customWidth="1"/>
    <col min="10252" max="10252" width="9.625" style="2" bestFit="1" customWidth="1"/>
    <col min="10253" max="10477" width="9" style="2"/>
    <col min="10478" max="10478" width="2.375" style="2" customWidth="1"/>
    <col min="10479" max="10479" width="13.25" style="2" bestFit="1" customWidth="1"/>
    <col min="10480" max="10481" width="11.125" style="2" bestFit="1" customWidth="1"/>
    <col min="10482" max="10482" width="13.25" style="2" bestFit="1" customWidth="1"/>
    <col min="10483" max="10483" width="11.125" style="2" bestFit="1" customWidth="1"/>
    <col min="10484" max="10484" width="9" style="2"/>
    <col min="10485" max="10485" width="11.125" style="2" bestFit="1" customWidth="1"/>
    <col min="10486" max="10486" width="9" style="2"/>
    <col min="10487" max="10499" width="11.125" style="2" bestFit="1" customWidth="1"/>
    <col min="10500" max="10500" width="9" style="2"/>
    <col min="10501" max="10507" width="11.125" style="2" bestFit="1" customWidth="1"/>
    <col min="10508" max="10508" width="9.625" style="2" bestFit="1" customWidth="1"/>
    <col min="10509" max="10733" width="9" style="2"/>
    <col min="10734" max="10734" width="2.375" style="2" customWidth="1"/>
    <col min="10735" max="10735" width="13.25" style="2" bestFit="1" customWidth="1"/>
    <col min="10736" max="10737" width="11.125" style="2" bestFit="1" customWidth="1"/>
    <col min="10738" max="10738" width="13.25" style="2" bestFit="1" customWidth="1"/>
    <col min="10739" max="10739" width="11.125" style="2" bestFit="1" customWidth="1"/>
    <col min="10740" max="10740" width="9" style="2"/>
    <col min="10741" max="10741" width="11.125" style="2" bestFit="1" customWidth="1"/>
    <col min="10742" max="10742" width="9" style="2"/>
    <col min="10743" max="10755" width="11.125" style="2" bestFit="1" customWidth="1"/>
    <col min="10756" max="10756" width="9" style="2"/>
    <col min="10757" max="10763" width="11.125" style="2" bestFit="1" customWidth="1"/>
    <col min="10764" max="10764" width="9.625" style="2" bestFit="1" customWidth="1"/>
    <col min="10765" max="10989" width="9" style="2"/>
    <col min="10990" max="10990" width="2.375" style="2" customWidth="1"/>
    <col min="10991" max="10991" width="13.25" style="2" bestFit="1" customWidth="1"/>
    <col min="10992" max="10993" width="11.125" style="2" bestFit="1" customWidth="1"/>
    <col min="10994" max="10994" width="13.25" style="2" bestFit="1" customWidth="1"/>
    <col min="10995" max="10995" width="11.125" style="2" bestFit="1" customWidth="1"/>
    <col min="10996" max="10996" width="9" style="2"/>
    <col min="10997" max="10997" width="11.125" style="2" bestFit="1" customWidth="1"/>
    <col min="10998" max="10998" width="9" style="2"/>
    <col min="10999" max="11011" width="11.125" style="2" bestFit="1" customWidth="1"/>
    <col min="11012" max="11012" width="9" style="2"/>
    <col min="11013" max="11019" width="11.125" style="2" bestFit="1" customWidth="1"/>
    <col min="11020" max="11020" width="9.625" style="2" bestFit="1" customWidth="1"/>
    <col min="11021" max="11245" width="9" style="2"/>
    <col min="11246" max="11246" width="2.375" style="2" customWidth="1"/>
    <col min="11247" max="11247" width="13.25" style="2" bestFit="1" customWidth="1"/>
    <col min="11248" max="11249" width="11.125" style="2" bestFit="1" customWidth="1"/>
    <col min="11250" max="11250" width="13.25" style="2" bestFit="1" customWidth="1"/>
    <col min="11251" max="11251" width="11.125" style="2" bestFit="1" customWidth="1"/>
    <col min="11252" max="11252" width="9" style="2"/>
    <col min="11253" max="11253" width="11.125" style="2" bestFit="1" customWidth="1"/>
    <col min="11254" max="11254" width="9" style="2"/>
    <col min="11255" max="11267" width="11.125" style="2" bestFit="1" customWidth="1"/>
    <col min="11268" max="11268" width="9" style="2"/>
    <col min="11269" max="11275" width="11.125" style="2" bestFit="1" customWidth="1"/>
    <col min="11276" max="11276" width="9.625" style="2" bestFit="1" customWidth="1"/>
    <col min="11277" max="11501" width="9" style="2"/>
    <col min="11502" max="11502" width="2.375" style="2" customWidth="1"/>
    <col min="11503" max="11503" width="13.25" style="2" bestFit="1" customWidth="1"/>
    <col min="11504" max="11505" width="11.125" style="2" bestFit="1" customWidth="1"/>
    <col min="11506" max="11506" width="13.25" style="2" bestFit="1" customWidth="1"/>
    <col min="11507" max="11507" width="11.125" style="2" bestFit="1" customWidth="1"/>
    <col min="11508" max="11508" width="9" style="2"/>
    <col min="11509" max="11509" width="11.125" style="2" bestFit="1" customWidth="1"/>
    <col min="11510" max="11510" width="9" style="2"/>
    <col min="11511" max="11523" width="11.125" style="2" bestFit="1" customWidth="1"/>
    <col min="11524" max="11524" width="9" style="2"/>
    <col min="11525" max="11531" width="11.125" style="2" bestFit="1" customWidth="1"/>
    <col min="11532" max="11532" width="9.625" style="2" bestFit="1" customWidth="1"/>
    <col min="11533" max="11757" width="9" style="2"/>
    <col min="11758" max="11758" width="2.375" style="2" customWidth="1"/>
    <col min="11759" max="11759" width="13.25" style="2" bestFit="1" customWidth="1"/>
    <col min="11760" max="11761" width="11.125" style="2" bestFit="1" customWidth="1"/>
    <col min="11762" max="11762" width="13.25" style="2" bestFit="1" customWidth="1"/>
    <col min="11763" max="11763" width="11.125" style="2" bestFit="1" customWidth="1"/>
    <col min="11764" max="11764" width="9" style="2"/>
    <col min="11765" max="11765" width="11.125" style="2" bestFit="1" customWidth="1"/>
    <col min="11766" max="11766" width="9" style="2"/>
    <col min="11767" max="11779" width="11.125" style="2" bestFit="1" customWidth="1"/>
    <col min="11780" max="11780" width="9" style="2"/>
    <col min="11781" max="11787" width="11.125" style="2" bestFit="1" customWidth="1"/>
    <col min="11788" max="11788" width="9.625" style="2" bestFit="1" customWidth="1"/>
    <col min="11789" max="12013" width="9" style="2"/>
    <col min="12014" max="12014" width="2.375" style="2" customWidth="1"/>
    <col min="12015" max="12015" width="13.25" style="2" bestFit="1" customWidth="1"/>
    <col min="12016" max="12017" width="11.125" style="2" bestFit="1" customWidth="1"/>
    <col min="12018" max="12018" width="13.25" style="2" bestFit="1" customWidth="1"/>
    <col min="12019" max="12019" width="11.125" style="2" bestFit="1" customWidth="1"/>
    <col min="12020" max="12020" width="9" style="2"/>
    <col min="12021" max="12021" width="11.125" style="2" bestFit="1" customWidth="1"/>
    <col min="12022" max="12022" width="9" style="2"/>
    <col min="12023" max="12035" width="11.125" style="2" bestFit="1" customWidth="1"/>
    <col min="12036" max="12036" width="9" style="2"/>
    <col min="12037" max="12043" width="11.125" style="2" bestFit="1" customWidth="1"/>
    <col min="12044" max="12044" width="9.625" style="2" bestFit="1" customWidth="1"/>
    <col min="12045" max="12269" width="9" style="2"/>
    <col min="12270" max="12270" width="2.375" style="2" customWidth="1"/>
    <col min="12271" max="12271" width="13.25" style="2" bestFit="1" customWidth="1"/>
    <col min="12272" max="12273" width="11.125" style="2" bestFit="1" customWidth="1"/>
    <col min="12274" max="12274" width="13.25" style="2" bestFit="1" customWidth="1"/>
    <col min="12275" max="12275" width="11.125" style="2" bestFit="1" customWidth="1"/>
    <col min="12276" max="12276" width="9" style="2"/>
    <col min="12277" max="12277" width="11.125" style="2" bestFit="1" customWidth="1"/>
    <col min="12278" max="12278" width="9" style="2"/>
    <col min="12279" max="12291" width="11.125" style="2" bestFit="1" customWidth="1"/>
    <col min="12292" max="12292" width="9" style="2"/>
    <col min="12293" max="12299" width="11.125" style="2" bestFit="1" customWidth="1"/>
    <col min="12300" max="12300" width="9.625" style="2" bestFit="1" customWidth="1"/>
    <col min="12301" max="12525" width="9" style="2"/>
    <col min="12526" max="12526" width="2.375" style="2" customWidth="1"/>
    <col min="12527" max="12527" width="13.25" style="2" bestFit="1" customWidth="1"/>
    <col min="12528" max="12529" width="11.125" style="2" bestFit="1" customWidth="1"/>
    <col min="12530" max="12530" width="13.25" style="2" bestFit="1" customWidth="1"/>
    <col min="12531" max="12531" width="11.125" style="2" bestFit="1" customWidth="1"/>
    <col min="12532" max="12532" width="9" style="2"/>
    <col min="12533" max="12533" width="11.125" style="2" bestFit="1" customWidth="1"/>
    <col min="12534" max="12534" width="9" style="2"/>
    <col min="12535" max="12547" width="11.125" style="2" bestFit="1" customWidth="1"/>
    <col min="12548" max="12548" width="9" style="2"/>
    <col min="12549" max="12555" width="11.125" style="2" bestFit="1" customWidth="1"/>
    <col min="12556" max="12556" width="9.625" style="2" bestFit="1" customWidth="1"/>
    <col min="12557" max="12781" width="9" style="2"/>
    <col min="12782" max="12782" width="2.375" style="2" customWidth="1"/>
    <col min="12783" max="12783" width="13.25" style="2" bestFit="1" customWidth="1"/>
    <col min="12784" max="12785" width="11.125" style="2" bestFit="1" customWidth="1"/>
    <col min="12786" max="12786" width="13.25" style="2" bestFit="1" customWidth="1"/>
    <col min="12787" max="12787" width="11.125" style="2" bestFit="1" customWidth="1"/>
    <col min="12788" max="12788" width="9" style="2"/>
    <col min="12789" max="12789" width="11.125" style="2" bestFit="1" customWidth="1"/>
    <col min="12790" max="12790" width="9" style="2"/>
    <col min="12791" max="12803" width="11.125" style="2" bestFit="1" customWidth="1"/>
    <col min="12804" max="12804" width="9" style="2"/>
    <col min="12805" max="12811" width="11.125" style="2" bestFit="1" customWidth="1"/>
    <col min="12812" max="12812" width="9.625" style="2" bestFit="1" customWidth="1"/>
    <col min="12813" max="13037" width="9" style="2"/>
    <col min="13038" max="13038" width="2.375" style="2" customWidth="1"/>
    <col min="13039" max="13039" width="13.25" style="2" bestFit="1" customWidth="1"/>
    <col min="13040" max="13041" width="11.125" style="2" bestFit="1" customWidth="1"/>
    <col min="13042" max="13042" width="13.25" style="2" bestFit="1" customWidth="1"/>
    <col min="13043" max="13043" width="11.125" style="2" bestFit="1" customWidth="1"/>
    <col min="13044" max="13044" width="9" style="2"/>
    <col min="13045" max="13045" width="11.125" style="2" bestFit="1" customWidth="1"/>
    <col min="13046" max="13046" width="9" style="2"/>
    <col min="13047" max="13059" width="11.125" style="2" bestFit="1" customWidth="1"/>
    <col min="13060" max="13060" width="9" style="2"/>
    <col min="13061" max="13067" width="11.125" style="2" bestFit="1" customWidth="1"/>
    <col min="13068" max="13068" width="9.625" style="2" bestFit="1" customWidth="1"/>
    <col min="13069" max="13293" width="9" style="2"/>
    <col min="13294" max="13294" width="2.375" style="2" customWidth="1"/>
    <col min="13295" max="13295" width="13.25" style="2" bestFit="1" customWidth="1"/>
    <col min="13296" max="13297" width="11.125" style="2" bestFit="1" customWidth="1"/>
    <col min="13298" max="13298" width="13.25" style="2" bestFit="1" customWidth="1"/>
    <col min="13299" max="13299" width="11.125" style="2" bestFit="1" customWidth="1"/>
    <col min="13300" max="13300" width="9" style="2"/>
    <col min="13301" max="13301" width="11.125" style="2" bestFit="1" customWidth="1"/>
    <col min="13302" max="13302" width="9" style="2"/>
    <col min="13303" max="13315" width="11.125" style="2" bestFit="1" customWidth="1"/>
    <col min="13316" max="13316" width="9" style="2"/>
    <col min="13317" max="13323" width="11.125" style="2" bestFit="1" customWidth="1"/>
    <col min="13324" max="13324" width="9.625" style="2" bestFit="1" customWidth="1"/>
    <col min="13325" max="13549" width="9" style="2"/>
    <col min="13550" max="13550" width="2.375" style="2" customWidth="1"/>
    <col min="13551" max="13551" width="13.25" style="2" bestFit="1" customWidth="1"/>
    <col min="13552" max="13553" width="11.125" style="2" bestFit="1" customWidth="1"/>
    <col min="13554" max="13554" width="13.25" style="2" bestFit="1" customWidth="1"/>
    <col min="13555" max="13555" width="11.125" style="2" bestFit="1" customWidth="1"/>
    <col min="13556" max="13556" width="9" style="2"/>
    <col min="13557" max="13557" width="11.125" style="2" bestFit="1" customWidth="1"/>
    <col min="13558" max="13558" width="9" style="2"/>
    <col min="13559" max="13571" width="11.125" style="2" bestFit="1" customWidth="1"/>
    <col min="13572" max="13572" width="9" style="2"/>
    <col min="13573" max="13579" width="11.125" style="2" bestFit="1" customWidth="1"/>
    <col min="13580" max="13580" width="9.625" style="2" bestFit="1" customWidth="1"/>
    <col min="13581" max="13805" width="9" style="2"/>
    <col min="13806" max="13806" width="2.375" style="2" customWidth="1"/>
    <col min="13807" max="13807" width="13.25" style="2" bestFit="1" customWidth="1"/>
    <col min="13808" max="13809" width="11.125" style="2" bestFit="1" customWidth="1"/>
    <col min="13810" max="13810" width="13.25" style="2" bestFit="1" customWidth="1"/>
    <col min="13811" max="13811" width="11.125" style="2" bestFit="1" customWidth="1"/>
    <col min="13812" max="13812" width="9" style="2"/>
    <col min="13813" max="13813" width="11.125" style="2" bestFit="1" customWidth="1"/>
    <col min="13814" max="13814" width="9" style="2"/>
    <col min="13815" max="13827" width="11.125" style="2" bestFit="1" customWidth="1"/>
    <col min="13828" max="13828" width="9" style="2"/>
    <col min="13829" max="13835" width="11.125" style="2" bestFit="1" customWidth="1"/>
    <col min="13836" max="13836" width="9.625" style="2" bestFit="1" customWidth="1"/>
    <col min="13837" max="14061" width="9" style="2"/>
    <col min="14062" max="14062" width="2.375" style="2" customWidth="1"/>
    <col min="14063" max="14063" width="13.25" style="2" bestFit="1" customWidth="1"/>
    <col min="14064" max="14065" width="11.125" style="2" bestFit="1" customWidth="1"/>
    <col min="14066" max="14066" width="13.25" style="2" bestFit="1" customWidth="1"/>
    <col min="14067" max="14067" width="11.125" style="2" bestFit="1" customWidth="1"/>
    <col min="14068" max="14068" width="9" style="2"/>
    <col min="14069" max="14069" width="11.125" style="2" bestFit="1" customWidth="1"/>
    <col min="14070" max="14070" width="9" style="2"/>
    <col min="14071" max="14083" width="11.125" style="2" bestFit="1" customWidth="1"/>
    <col min="14084" max="14084" width="9" style="2"/>
    <col min="14085" max="14091" width="11.125" style="2" bestFit="1" customWidth="1"/>
    <col min="14092" max="14092" width="9.625" style="2" bestFit="1" customWidth="1"/>
    <col min="14093" max="14317" width="9" style="2"/>
    <col min="14318" max="14318" width="2.375" style="2" customWidth="1"/>
    <col min="14319" max="14319" width="13.25" style="2" bestFit="1" customWidth="1"/>
    <col min="14320" max="14321" width="11.125" style="2" bestFit="1" customWidth="1"/>
    <col min="14322" max="14322" width="13.25" style="2" bestFit="1" customWidth="1"/>
    <col min="14323" max="14323" width="11.125" style="2" bestFit="1" customWidth="1"/>
    <col min="14324" max="14324" width="9" style="2"/>
    <col min="14325" max="14325" width="11.125" style="2" bestFit="1" customWidth="1"/>
    <col min="14326" max="14326" width="9" style="2"/>
    <col min="14327" max="14339" width="11.125" style="2" bestFit="1" customWidth="1"/>
    <col min="14340" max="14340" width="9" style="2"/>
    <col min="14341" max="14347" width="11.125" style="2" bestFit="1" customWidth="1"/>
    <col min="14348" max="14348" width="9.625" style="2" bestFit="1" customWidth="1"/>
    <col min="14349" max="14573" width="9" style="2"/>
    <col min="14574" max="14574" width="2.375" style="2" customWidth="1"/>
    <col min="14575" max="14575" width="13.25" style="2" bestFit="1" customWidth="1"/>
    <col min="14576" max="14577" width="11.125" style="2" bestFit="1" customWidth="1"/>
    <col min="14578" max="14578" width="13.25" style="2" bestFit="1" customWidth="1"/>
    <col min="14579" max="14579" width="11.125" style="2" bestFit="1" customWidth="1"/>
    <col min="14580" max="14580" width="9" style="2"/>
    <col min="14581" max="14581" width="11.125" style="2" bestFit="1" customWidth="1"/>
    <col min="14582" max="14582" width="9" style="2"/>
    <col min="14583" max="14595" width="11.125" style="2" bestFit="1" customWidth="1"/>
    <col min="14596" max="14596" width="9" style="2"/>
    <col min="14597" max="14603" width="11.125" style="2" bestFit="1" customWidth="1"/>
    <col min="14604" max="14604" width="9.625" style="2" bestFit="1" customWidth="1"/>
    <col min="14605" max="14829" width="9" style="2"/>
    <col min="14830" max="14830" width="2.375" style="2" customWidth="1"/>
    <col min="14831" max="14831" width="13.25" style="2" bestFit="1" customWidth="1"/>
    <col min="14832" max="14833" width="11.125" style="2" bestFit="1" customWidth="1"/>
    <col min="14834" max="14834" width="13.25" style="2" bestFit="1" customWidth="1"/>
    <col min="14835" max="14835" width="11.125" style="2" bestFit="1" customWidth="1"/>
    <col min="14836" max="14836" width="9" style="2"/>
    <col min="14837" max="14837" width="11.125" style="2" bestFit="1" customWidth="1"/>
    <col min="14838" max="14838" width="9" style="2"/>
    <col min="14839" max="14851" width="11.125" style="2" bestFit="1" customWidth="1"/>
    <col min="14852" max="14852" width="9" style="2"/>
    <col min="14853" max="14859" width="11.125" style="2" bestFit="1" customWidth="1"/>
    <col min="14860" max="14860" width="9.625" style="2" bestFit="1" customWidth="1"/>
    <col min="14861" max="15085" width="9" style="2"/>
    <col min="15086" max="15086" width="2.375" style="2" customWidth="1"/>
    <col min="15087" max="15087" width="13.25" style="2" bestFit="1" customWidth="1"/>
    <col min="15088" max="15089" width="11.125" style="2" bestFit="1" customWidth="1"/>
    <col min="15090" max="15090" width="13.25" style="2" bestFit="1" customWidth="1"/>
    <col min="15091" max="15091" width="11.125" style="2" bestFit="1" customWidth="1"/>
    <col min="15092" max="15092" width="9" style="2"/>
    <col min="15093" max="15093" width="11.125" style="2" bestFit="1" customWidth="1"/>
    <col min="15094" max="15094" width="9" style="2"/>
    <col min="15095" max="15107" width="11.125" style="2" bestFit="1" customWidth="1"/>
    <col min="15108" max="15108" width="9" style="2"/>
    <col min="15109" max="15115" width="11.125" style="2" bestFit="1" customWidth="1"/>
    <col min="15116" max="15116" width="9.625" style="2" bestFit="1" customWidth="1"/>
    <col min="15117" max="15341" width="9" style="2"/>
    <col min="15342" max="15342" width="2.375" style="2" customWidth="1"/>
    <col min="15343" max="15343" width="13.25" style="2" bestFit="1" customWidth="1"/>
    <col min="15344" max="15345" width="11.125" style="2" bestFit="1" customWidth="1"/>
    <col min="15346" max="15346" width="13.25" style="2" bestFit="1" customWidth="1"/>
    <col min="15347" max="15347" width="11.125" style="2" bestFit="1" customWidth="1"/>
    <col min="15348" max="15348" width="9" style="2"/>
    <col min="15349" max="15349" width="11.125" style="2" bestFit="1" customWidth="1"/>
    <col min="15350" max="15350" width="9" style="2"/>
    <col min="15351" max="15363" width="11.125" style="2" bestFit="1" customWidth="1"/>
    <col min="15364" max="15364" width="9" style="2"/>
    <col min="15365" max="15371" width="11.125" style="2" bestFit="1" customWidth="1"/>
    <col min="15372" max="15372" width="9.625" style="2" bestFit="1" customWidth="1"/>
    <col min="15373" max="15597" width="9" style="2"/>
    <col min="15598" max="15598" width="2.375" style="2" customWidth="1"/>
    <col min="15599" max="15599" width="13.25" style="2" bestFit="1" customWidth="1"/>
    <col min="15600" max="15601" width="11.125" style="2" bestFit="1" customWidth="1"/>
    <col min="15602" max="15602" width="13.25" style="2" bestFit="1" customWidth="1"/>
    <col min="15603" max="15603" width="11.125" style="2" bestFit="1" customWidth="1"/>
    <col min="15604" max="15604" width="9" style="2"/>
    <col min="15605" max="15605" width="11.125" style="2" bestFit="1" customWidth="1"/>
    <col min="15606" max="15606" width="9" style="2"/>
    <col min="15607" max="15619" width="11.125" style="2" bestFit="1" customWidth="1"/>
    <col min="15620" max="15620" width="9" style="2"/>
    <col min="15621" max="15627" width="11.125" style="2" bestFit="1" customWidth="1"/>
    <col min="15628" max="15628" width="9.625" style="2" bestFit="1" customWidth="1"/>
    <col min="15629" max="15853" width="9" style="2"/>
    <col min="15854" max="15854" width="2.375" style="2" customWidth="1"/>
    <col min="15855" max="15855" width="13.25" style="2" bestFit="1" customWidth="1"/>
    <col min="15856" max="15857" width="11.125" style="2" bestFit="1" customWidth="1"/>
    <col min="15858" max="15858" width="13.25" style="2" bestFit="1" customWidth="1"/>
    <col min="15859" max="15859" width="11.125" style="2" bestFit="1" customWidth="1"/>
    <col min="15860" max="15860" width="9" style="2"/>
    <col min="15861" max="15861" width="11.125" style="2" bestFit="1" customWidth="1"/>
    <col min="15862" max="15862" width="9" style="2"/>
    <col min="15863" max="15875" width="11.125" style="2" bestFit="1" customWidth="1"/>
    <col min="15876" max="15876" width="9" style="2"/>
    <col min="15877" max="15883" width="11.125" style="2" bestFit="1" customWidth="1"/>
    <col min="15884" max="15884" width="9.625" style="2" bestFit="1" customWidth="1"/>
    <col min="15885" max="16109" width="9" style="2"/>
    <col min="16110" max="16110" width="2.375" style="2" customWidth="1"/>
    <col min="16111" max="16111" width="13.25" style="2" bestFit="1" customWidth="1"/>
    <col min="16112" max="16113" width="11.125" style="2" bestFit="1" customWidth="1"/>
    <col min="16114" max="16114" width="13.25" style="2" bestFit="1" customWidth="1"/>
    <col min="16115" max="16115" width="11.125" style="2" bestFit="1" customWidth="1"/>
    <col min="16116" max="16116" width="9" style="2"/>
    <col min="16117" max="16117" width="11.125" style="2" bestFit="1" customWidth="1"/>
    <col min="16118" max="16118" width="9" style="2"/>
    <col min="16119" max="16131" width="11.125" style="2" bestFit="1" customWidth="1"/>
    <col min="16132" max="16132" width="9" style="2"/>
    <col min="16133" max="16139" width="11.125" style="2" bestFit="1" customWidth="1"/>
    <col min="16140" max="16140" width="9.625" style="2" bestFit="1" customWidth="1"/>
    <col min="16141" max="16384" width="9" style="2"/>
  </cols>
  <sheetData>
    <row r="1" spans="1:14">
      <c r="A1" s="1" t="s">
        <v>0</v>
      </c>
    </row>
    <row r="2" spans="1:14" ht="19.5" thickBot="1">
      <c r="A2" s="1" t="s">
        <v>106</v>
      </c>
    </row>
    <row r="3" spans="1:14">
      <c r="B3" s="4"/>
      <c r="C3" s="73" t="s">
        <v>17</v>
      </c>
      <c r="D3" s="35" t="s">
        <v>4</v>
      </c>
      <c r="E3" s="35" t="s">
        <v>26</v>
      </c>
      <c r="F3" s="35" t="s">
        <v>27</v>
      </c>
      <c r="G3" s="35" t="s">
        <v>24</v>
      </c>
      <c r="H3" s="35" t="s">
        <v>25</v>
      </c>
      <c r="I3" s="35" t="s">
        <v>28</v>
      </c>
      <c r="J3" s="87" t="s">
        <v>29</v>
      </c>
      <c r="K3" s="85" t="s">
        <v>107</v>
      </c>
      <c r="L3" s="88" t="s">
        <v>5</v>
      </c>
      <c r="M3" s="85" t="s">
        <v>107</v>
      </c>
      <c r="N3" s="89" t="s">
        <v>58</v>
      </c>
    </row>
    <row r="4" spans="1:14" ht="19.5" thickBot="1">
      <c r="B4" s="5" t="s">
        <v>30</v>
      </c>
      <c r="C4" s="74" t="s">
        <v>45</v>
      </c>
      <c r="D4" s="37" t="s">
        <v>105</v>
      </c>
      <c r="E4" s="37" t="s">
        <v>54</v>
      </c>
      <c r="F4" s="37" t="s">
        <v>55</v>
      </c>
      <c r="G4" s="37" t="s">
        <v>52</v>
      </c>
      <c r="H4" s="37" t="s">
        <v>53</v>
      </c>
      <c r="I4" s="37" t="s">
        <v>56</v>
      </c>
      <c r="J4" s="3" t="s">
        <v>57</v>
      </c>
      <c r="K4" s="86" t="s">
        <v>109</v>
      </c>
      <c r="L4" s="86" t="s">
        <v>33</v>
      </c>
      <c r="M4" s="86" t="s">
        <v>110</v>
      </c>
      <c r="N4" s="5" t="s">
        <v>111</v>
      </c>
    </row>
    <row r="5" spans="1:14">
      <c r="A5" s="1" t="s">
        <v>1</v>
      </c>
      <c r="B5" s="26" t="s">
        <v>59</v>
      </c>
      <c r="C5" s="75">
        <v>17</v>
      </c>
      <c r="D5" s="39">
        <v>20</v>
      </c>
      <c r="E5" s="39">
        <v>13</v>
      </c>
      <c r="F5" s="39">
        <v>19</v>
      </c>
      <c r="G5" s="39">
        <v>10</v>
      </c>
      <c r="H5" s="39">
        <v>10</v>
      </c>
      <c r="I5" s="39">
        <v>10</v>
      </c>
      <c r="J5" s="27">
        <v>18</v>
      </c>
      <c r="K5" s="28">
        <f>SUM(C5:J5)</f>
        <v>117</v>
      </c>
      <c r="L5" s="28">
        <v>20</v>
      </c>
      <c r="M5" s="28">
        <f>SUM(L5)</f>
        <v>20</v>
      </c>
      <c r="N5" s="28">
        <v>460</v>
      </c>
    </row>
    <row r="6" spans="1:14">
      <c r="A6" s="1" t="s">
        <v>1</v>
      </c>
      <c r="B6" s="22" t="s">
        <v>60</v>
      </c>
      <c r="C6" s="76">
        <v>0</v>
      </c>
      <c r="D6" s="41">
        <v>4</v>
      </c>
      <c r="E6" s="41">
        <v>0</v>
      </c>
      <c r="F6" s="41">
        <v>0</v>
      </c>
      <c r="G6" s="41">
        <v>0</v>
      </c>
      <c r="H6" s="41">
        <v>0</v>
      </c>
      <c r="I6" s="41">
        <v>0</v>
      </c>
      <c r="J6" s="29">
        <v>0</v>
      </c>
      <c r="K6" s="30">
        <f t="shared" ref="K6:K50" si="0">SUM(C6:J6)</f>
        <v>4</v>
      </c>
      <c r="L6" s="30">
        <v>0</v>
      </c>
      <c r="M6" s="30">
        <f t="shared" ref="M6:M50" si="1">SUM(L6)</f>
        <v>0</v>
      </c>
      <c r="N6" s="30">
        <v>61</v>
      </c>
    </row>
    <row r="7" spans="1:14">
      <c r="A7" s="1" t="s">
        <v>1</v>
      </c>
      <c r="B7" s="22" t="s">
        <v>61</v>
      </c>
      <c r="C7" s="76">
        <v>0</v>
      </c>
      <c r="D7" s="41">
        <v>0</v>
      </c>
      <c r="E7" s="41">
        <v>0</v>
      </c>
      <c r="F7" s="41">
        <v>0</v>
      </c>
      <c r="G7" s="41">
        <v>0</v>
      </c>
      <c r="H7" s="41">
        <v>0</v>
      </c>
      <c r="I7" s="41">
        <v>0</v>
      </c>
      <c r="J7" s="29">
        <v>0</v>
      </c>
      <c r="K7" s="30">
        <f t="shared" si="0"/>
        <v>0</v>
      </c>
      <c r="L7" s="30">
        <v>0</v>
      </c>
      <c r="M7" s="30">
        <f t="shared" si="1"/>
        <v>0</v>
      </c>
      <c r="N7" s="30">
        <v>37</v>
      </c>
    </row>
    <row r="8" spans="1:14">
      <c r="A8" s="1" t="s">
        <v>1</v>
      </c>
      <c r="B8" s="22" t="s">
        <v>62</v>
      </c>
      <c r="C8" s="76">
        <v>0</v>
      </c>
      <c r="D8" s="41">
        <v>0</v>
      </c>
      <c r="E8" s="41">
        <v>0</v>
      </c>
      <c r="F8" s="41">
        <v>0</v>
      </c>
      <c r="G8" s="41">
        <v>0</v>
      </c>
      <c r="H8" s="41">
        <v>0</v>
      </c>
      <c r="I8" s="41">
        <v>0</v>
      </c>
      <c r="J8" s="29">
        <v>0</v>
      </c>
      <c r="K8" s="30">
        <f t="shared" si="0"/>
        <v>0</v>
      </c>
      <c r="L8" s="30">
        <v>0</v>
      </c>
      <c r="M8" s="30">
        <f t="shared" si="1"/>
        <v>0</v>
      </c>
      <c r="N8" s="30">
        <v>11</v>
      </c>
    </row>
    <row r="9" spans="1:14">
      <c r="A9" s="1" t="s">
        <v>1</v>
      </c>
      <c r="B9" s="22" t="s">
        <v>63</v>
      </c>
      <c r="C9" s="76">
        <v>3</v>
      </c>
      <c r="D9" s="41">
        <v>0.5</v>
      </c>
      <c r="E9" s="41">
        <v>0</v>
      </c>
      <c r="F9" s="41">
        <v>0</v>
      </c>
      <c r="G9" s="41">
        <v>0</v>
      </c>
      <c r="H9" s="41">
        <v>0</v>
      </c>
      <c r="I9" s="41">
        <v>0</v>
      </c>
      <c r="J9" s="29">
        <v>0</v>
      </c>
      <c r="K9" s="30">
        <f t="shared" si="0"/>
        <v>3.5</v>
      </c>
      <c r="L9" s="30">
        <v>0</v>
      </c>
      <c r="M9" s="30">
        <f t="shared" si="1"/>
        <v>0</v>
      </c>
      <c r="N9" s="30">
        <v>22.5</v>
      </c>
    </row>
    <row r="10" spans="1:14">
      <c r="A10" s="1" t="s">
        <v>1</v>
      </c>
      <c r="B10" s="22" t="s">
        <v>64</v>
      </c>
      <c r="C10" s="76">
        <v>0</v>
      </c>
      <c r="D10" s="41">
        <v>0</v>
      </c>
      <c r="E10" s="41">
        <v>0</v>
      </c>
      <c r="F10" s="41">
        <v>0</v>
      </c>
      <c r="G10" s="41">
        <v>0</v>
      </c>
      <c r="H10" s="41">
        <v>0</v>
      </c>
      <c r="I10" s="41">
        <v>0</v>
      </c>
      <c r="J10" s="29">
        <v>0</v>
      </c>
      <c r="K10" s="30">
        <f t="shared" si="0"/>
        <v>0</v>
      </c>
      <c r="L10" s="30">
        <v>0</v>
      </c>
      <c r="M10" s="30">
        <f t="shared" si="1"/>
        <v>0</v>
      </c>
      <c r="N10" s="30">
        <v>27</v>
      </c>
    </row>
    <row r="11" spans="1:14">
      <c r="A11" s="1" t="s">
        <v>1</v>
      </c>
      <c r="B11" s="22" t="s">
        <v>65</v>
      </c>
      <c r="C11" s="77">
        <v>0</v>
      </c>
      <c r="D11" s="43">
        <v>0</v>
      </c>
      <c r="E11" s="43">
        <v>3.3333333333333335</v>
      </c>
      <c r="F11" s="43">
        <v>4.583333333333333</v>
      </c>
      <c r="G11" s="43">
        <v>2.9583333333333335</v>
      </c>
      <c r="H11" s="43">
        <v>2.9583333333333335</v>
      </c>
      <c r="I11" s="43">
        <v>3.1666666666666665</v>
      </c>
      <c r="J11" s="31">
        <v>3.7916666666666665</v>
      </c>
      <c r="K11" s="32">
        <f t="shared" si="0"/>
        <v>20.791666666666668</v>
      </c>
      <c r="L11" s="32">
        <v>0</v>
      </c>
      <c r="M11" s="32">
        <f t="shared" si="1"/>
        <v>0</v>
      </c>
      <c r="N11" s="32">
        <v>20.791666666666668</v>
      </c>
    </row>
    <row r="12" spans="1:14">
      <c r="A12" s="1" t="s">
        <v>1</v>
      </c>
      <c r="B12" s="22" t="s">
        <v>66</v>
      </c>
      <c r="C12" s="77">
        <v>0</v>
      </c>
      <c r="D12" s="43">
        <v>0.875</v>
      </c>
      <c r="E12" s="43">
        <v>0</v>
      </c>
      <c r="F12" s="43">
        <v>0</v>
      </c>
      <c r="G12" s="43">
        <v>0</v>
      </c>
      <c r="H12" s="43">
        <v>0</v>
      </c>
      <c r="I12" s="43">
        <v>0.125</v>
      </c>
      <c r="J12" s="31">
        <v>0</v>
      </c>
      <c r="K12" s="32">
        <f t="shared" si="0"/>
        <v>1</v>
      </c>
      <c r="L12" s="32">
        <v>0</v>
      </c>
      <c r="M12" s="32">
        <f t="shared" si="1"/>
        <v>0</v>
      </c>
      <c r="N12" s="32">
        <v>31.166666666666661</v>
      </c>
    </row>
    <row r="13" spans="1:14">
      <c r="A13" s="1" t="s">
        <v>1</v>
      </c>
      <c r="B13" s="22" t="s">
        <v>67</v>
      </c>
      <c r="C13" s="77">
        <v>0</v>
      </c>
      <c r="D13" s="43">
        <v>1.0416666666666667</v>
      </c>
      <c r="E13" s="43">
        <v>0</v>
      </c>
      <c r="F13" s="43">
        <v>0</v>
      </c>
      <c r="G13" s="43">
        <v>0</v>
      </c>
      <c r="H13" s="43">
        <v>0</v>
      </c>
      <c r="I13" s="43">
        <v>0</v>
      </c>
      <c r="J13" s="31">
        <v>0</v>
      </c>
      <c r="K13" s="32">
        <f t="shared" si="0"/>
        <v>1.0416666666666667</v>
      </c>
      <c r="L13" s="32">
        <v>0</v>
      </c>
      <c r="M13" s="32">
        <f t="shared" si="1"/>
        <v>0</v>
      </c>
      <c r="N13" s="32">
        <v>19</v>
      </c>
    </row>
    <row r="14" spans="1:14">
      <c r="A14" s="1" t="s">
        <v>1</v>
      </c>
      <c r="B14" s="22" t="s">
        <v>68</v>
      </c>
      <c r="C14" s="77">
        <v>0</v>
      </c>
      <c r="D14" s="43">
        <v>0</v>
      </c>
      <c r="E14" s="43">
        <v>0</v>
      </c>
      <c r="F14" s="43">
        <v>0</v>
      </c>
      <c r="G14" s="43">
        <v>0</v>
      </c>
      <c r="H14" s="43">
        <v>0</v>
      </c>
      <c r="I14" s="43">
        <v>0</v>
      </c>
      <c r="J14" s="31">
        <v>0</v>
      </c>
      <c r="K14" s="32">
        <f t="shared" si="0"/>
        <v>0</v>
      </c>
      <c r="L14" s="32">
        <v>0</v>
      </c>
      <c r="M14" s="32">
        <f t="shared" si="1"/>
        <v>0</v>
      </c>
      <c r="N14" s="32">
        <v>10.291666666666666</v>
      </c>
    </row>
    <row r="15" spans="1:14">
      <c r="A15" s="1" t="s">
        <v>1</v>
      </c>
      <c r="B15" s="22" t="s">
        <v>69</v>
      </c>
      <c r="C15" s="77">
        <v>0</v>
      </c>
      <c r="D15" s="43">
        <v>0</v>
      </c>
      <c r="E15" s="43">
        <v>0</v>
      </c>
      <c r="F15" s="43">
        <v>0</v>
      </c>
      <c r="G15" s="43">
        <v>0</v>
      </c>
      <c r="H15" s="43">
        <v>0</v>
      </c>
      <c r="I15" s="43">
        <v>0</v>
      </c>
      <c r="J15" s="31">
        <v>0</v>
      </c>
      <c r="K15" s="32">
        <f t="shared" si="0"/>
        <v>0</v>
      </c>
      <c r="L15" s="32">
        <v>0</v>
      </c>
      <c r="M15" s="32">
        <f t="shared" si="1"/>
        <v>0</v>
      </c>
      <c r="N15" s="32">
        <v>1.1666666666666665</v>
      </c>
    </row>
    <row r="16" spans="1:14">
      <c r="A16" s="1" t="s">
        <v>1</v>
      </c>
      <c r="B16" s="22" t="s">
        <v>70</v>
      </c>
      <c r="C16" s="77">
        <v>0</v>
      </c>
      <c r="D16" s="43">
        <v>0</v>
      </c>
      <c r="E16" s="43">
        <v>0</v>
      </c>
      <c r="F16" s="43">
        <v>0</v>
      </c>
      <c r="G16" s="43">
        <v>0</v>
      </c>
      <c r="H16" s="43">
        <v>0</v>
      </c>
      <c r="I16" s="43">
        <v>0</v>
      </c>
      <c r="J16" s="31">
        <v>0</v>
      </c>
      <c r="K16" s="32">
        <f t="shared" si="0"/>
        <v>0</v>
      </c>
      <c r="L16" s="32">
        <v>0</v>
      </c>
      <c r="M16" s="32">
        <f t="shared" si="1"/>
        <v>0</v>
      </c>
      <c r="N16" s="32">
        <v>2.0416666666666665</v>
      </c>
    </row>
    <row r="17" spans="1:14">
      <c r="A17" s="1" t="s">
        <v>1</v>
      </c>
      <c r="B17" s="22" t="s">
        <v>71</v>
      </c>
      <c r="C17" s="77">
        <v>0</v>
      </c>
      <c r="D17" s="43">
        <v>0</v>
      </c>
      <c r="E17" s="43">
        <v>0</v>
      </c>
      <c r="F17" s="43">
        <v>0</v>
      </c>
      <c r="G17" s="43">
        <v>0</v>
      </c>
      <c r="H17" s="43">
        <v>0</v>
      </c>
      <c r="I17" s="43">
        <v>0</v>
      </c>
      <c r="J17" s="31">
        <v>0</v>
      </c>
      <c r="K17" s="32">
        <f t="shared" si="0"/>
        <v>0</v>
      </c>
      <c r="L17" s="32">
        <v>0</v>
      </c>
      <c r="M17" s="32">
        <f t="shared" si="1"/>
        <v>0</v>
      </c>
      <c r="N17" s="32">
        <v>0.70833333333333326</v>
      </c>
    </row>
    <row r="18" spans="1:14">
      <c r="A18" s="1" t="s">
        <v>1</v>
      </c>
      <c r="B18" s="6" t="s">
        <v>72</v>
      </c>
      <c r="C18" s="78">
        <v>0</v>
      </c>
      <c r="D18" s="45">
        <v>0</v>
      </c>
      <c r="E18" s="45">
        <v>0</v>
      </c>
      <c r="F18" s="45">
        <v>0</v>
      </c>
      <c r="G18" s="45">
        <v>2.0833333333333335</v>
      </c>
      <c r="H18" s="45">
        <v>2.0833333333333335</v>
      </c>
      <c r="I18" s="45">
        <v>1.0416666666666667</v>
      </c>
      <c r="J18" s="7">
        <v>1.25</v>
      </c>
      <c r="K18" s="8">
        <f t="shared" si="0"/>
        <v>6.4583333333333339</v>
      </c>
      <c r="L18" s="8">
        <v>0</v>
      </c>
      <c r="M18" s="8">
        <f t="shared" si="1"/>
        <v>0</v>
      </c>
      <c r="N18" s="8">
        <v>15.625000000000002</v>
      </c>
    </row>
    <row r="19" spans="1:14">
      <c r="A19" s="1" t="s">
        <v>1</v>
      </c>
      <c r="B19" s="14" t="s">
        <v>73</v>
      </c>
      <c r="C19" s="79">
        <v>7</v>
      </c>
      <c r="D19" s="47">
        <v>30.5</v>
      </c>
      <c r="E19" s="47">
        <v>13</v>
      </c>
      <c r="F19" s="47">
        <v>16</v>
      </c>
      <c r="G19" s="47">
        <v>0</v>
      </c>
      <c r="H19" s="47">
        <v>0</v>
      </c>
      <c r="I19" s="47">
        <v>2</v>
      </c>
      <c r="J19" s="15">
        <v>17</v>
      </c>
      <c r="K19" s="16">
        <f t="shared" si="0"/>
        <v>85.5</v>
      </c>
      <c r="L19" s="16">
        <v>27</v>
      </c>
      <c r="M19" s="16">
        <f t="shared" si="1"/>
        <v>27</v>
      </c>
      <c r="N19" s="16">
        <v>309</v>
      </c>
    </row>
    <row r="20" spans="1:14">
      <c r="A20" s="1" t="s">
        <v>1</v>
      </c>
      <c r="B20" s="19" t="s">
        <v>74</v>
      </c>
      <c r="C20" s="80">
        <v>365000</v>
      </c>
      <c r="D20" s="49">
        <v>270000</v>
      </c>
      <c r="E20" s="49">
        <v>0</v>
      </c>
      <c r="F20" s="49">
        <v>0</v>
      </c>
      <c r="G20" s="49">
        <v>0</v>
      </c>
      <c r="H20" s="49">
        <v>0</v>
      </c>
      <c r="I20" s="49">
        <v>0</v>
      </c>
      <c r="J20" s="20">
        <v>0</v>
      </c>
      <c r="K20" s="21">
        <f t="shared" si="0"/>
        <v>635000</v>
      </c>
      <c r="L20" s="21">
        <v>385000</v>
      </c>
      <c r="M20" s="21">
        <f t="shared" si="1"/>
        <v>385000</v>
      </c>
      <c r="N20" s="21">
        <v>4266000</v>
      </c>
    </row>
    <row r="21" spans="1:14">
      <c r="A21" s="1" t="s">
        <v>1</v>
      </c>
      <c r="B21" s="22" t="s">
        <v>75</v>
      </c>
      <c r="C21" s="81">
        <v>0</v>
      </c>
      <c r="D21" s="51">
        <v>0</v>
      </c>
      <c r="E21" s="51">
        <v>0</v>
      </c>
      <c r="F21" s="51">
        <v>0</v>
      </c>
      <c r="G21" s="51">
        <v>0</v>
      </c>
      <c r="H21" s="51">
        <v>0</v>
      </c>
      <c r="I21" s="51">
        <v>0</v>
      </c>
      <c r="J21" s="23">
        <v>0</v>
      </c>
      <c r="K21" s="24">
        <f t="shared" si="0"/>
        <v>0</v>
      </c>
      <c r="L21" s="24">
        <v>0</v>
      </c>
      <c r="M21" s="24">
        <f t="shared" si="1"/>
        <v>0</v>
      </c>
      <c r="N21" s="24">
        <v>55000</v>
      </c>
    </row>
    <row r="22" spans="1:14">
      <c r="A22" s="1" t="s">
        <v>1</v>
      </c>
      <c r="B22" s="22" t="s">
        <v>76</v>
      </c>
      <c r="C22" s="81">
        <v>0</v>
      </c>
      <c r="D22" s="51">
        <v>3000</v>
      </c>
      <c r="E22" s="51">
        <v>0</v>
      </c>
      <c r="F22" s="51">
        <v>0</v>
      </c>
      <c r="G22" s="51">
        <v>0</v>
      </c>
      <c r="H22" s="51">
        <v>0</v>
      </c>
      <c r="I22" s="51">
        <v>0</v>
      </c>
      <c r="J22" s="23">
        <v>0</v>
      </c>
      <c r="K22" s="24">
        <f t="shared" si="0"/>
        <v>3000</v>
      </c>
      <c r="L22" s="24">
        <v>0</v>
      </c>
      <c r="M22" s="24">
        <f t="shared" si="1"/>
        <v>0</v>
      </c>
      <c r="N22" s="24">
        <v>3000</v>
      </c>
    </row>
    <row r="23" spans="1:14">
      <c r="A23" s="1" t="s">
        <v>1</v>
      </c>
      <c r="B23" s="22" t="s">
        <v>77</v>
      </c>
      <c r="C23" s="81">
        <v>0</v>
      </c>
      <c r="D23" s="51">
        <v>0</v>
      </c>
      <c r="E23" s="51">
        <v>0</v>
      </c>
      <c r="F23" s="51">
        <v>0</v>
      </c>
      <c r="G23" s="51">
        <v>0</v>
      </c>
      <c r="H23" s="51">
        <v>0</v>
      </c>
      <c r="I23" s="51">
        <v>0</v>
      </c>
      <c r="J23" s="23">
        <v>0</v>
      </c>
      <c r="K23" s="24">
        <f t="shared" si="0"/>
        <v>0</v>
      </c>
      <c r="L23" s="24">
        <v>0</v>
      </c>
      <c r="M23" s="24">
        <f t="shared" si="1"/>
        <v>0</v>
      </c>
      <c r="N23" s="24">
        <v>252202</v>
      </c>
    </row>
    <row r="24" spans="1:14">
      <c r="A24" s="1" t="s">
        <v>1</v>
      </c>
      <c r="B24" s="22" t="s">
        <v>78</v>
      </c>
      <c r="C24" s="81">
        <v>0</v>
      </c>
      <c r="D24" s="51">
        <v>0</v>
      </c>
      <c r="E24" s="51">
        <v>78400</v>
      </c>
      <c r="F24" s="51">
        <v>110000</v>
      </c>
      <c r="G24" s="51">
        <v>65320</v>
      </c>
      <c r="H24" s="51">
        <v>65320</v>
      </c>
      <c r="I24" s="51">
        <v>69920</v>
      </c>
      <c r="J24" s="23">
        <v>83720</v>
      </c>
      <c r="K24" s="24">
        <f t="shared" si="0"/>
        <v>472680</v>
      </c>
      <c r="L24" s="24">
        <v>0</v>
      </c>
      <c r="M24" s="24">
        <f t="shared" si="1"/>
        <v>0</v>
      </c>
      <c r="N24" s="24">
        <v>472680</v>
      </c>
    </row>
    <row r="25" spans="1:14">
      <c r="A25" s="1" t="s">
        <v>1</v>
      </c>
      <c r="B25" s="22" t="s">
        <v>79</v>
      </c>
      <c r="C25" s="81">
        <v>0</v>
      </c>
      <c r="D25" s="51">
        <v>0</v>
      </c>
      <c r="E25" s="51">
        <v>0</v>
      </c>
      <c r="F25" s="51">
        <v>0</v>
      </c>
      <c r="G25" s="51">
        <v>0</v>
      </c>
      <c r="H25" s="51">
        <v>0</v>
      </c>
      <c r="I25" s="51">
        <v>0</v>
      </c>
      <c r="J25" s="23">
        <v>0</v>
      </c>
      <c r="K25" s="24">
        <f t="shared" si="0"/>
        <v>0</v>
      </c>
      <c r="L25" s="24">
        <v>0</v>
      </c>
      <c r="M25" s="24">
        <f t="shared" si="1"/>
        <v>0</v>
      </c>
      <c r="N25" s="24">
        <v>49500</v>
      </c>
    </row>
    <row r="26" spans="1:14">
      <c r="A26" s="1" t="s">
        <v>1</v>
      </c>
      <c r="B26" s="22" t="s">
        <v>80</v>
      </c>
      <c r="C26" s="81">
        <v>0</v>
      </c>
      <c r="D26" s="51">
        <v>0</v>
      </c>
      <c r="E26" s="51">
        <v>0</v>
      </c>
      <c r="F26" s="51">
        <v>0</v>
      </c>
      <c r="G26" s="51">
        <v>0</v>
      </c>
      <c r="H26" s="51">
        <v>0</v>
      </c>
      <c r="I26" s="51">
        <v>0</v>
      </c>
      <c r="J26" s="23">
        <v>0</v>
      </c>
      <c r="K26" s="24">
        <f t="shared" si="0"/>
        <v>0</v>
      </c>
      <c r="L26" s="24">
        <v>0</v>
      </c>
      <c r="M26" s="24">
        <f t="shared" si="1"/>
        <v>0</v>
      </c>
      <c r="N26" s="33">
        <v>-60452</v>
      </c>
    </row>
    <row r="27" spans="1:14">
      <c r="A27" s="1" t="s">
        <v>1</v>
      </c>
      <c r="B27" s="22" t="s">
        <v>66</v>
      </c>
      <c r="C27" s="81">
        <v>0</v>
      </c>
      <c r="D27" s="51">
        <v>42924</v>
      </c>
      <c r="E27" s="51">
        <v>0</v>
      </c>
      <c r="F27" s="51">
        <v>0</v>
      </c>
      <c r="G27" s="51">
        <v>0</v>
      </c>
      <c r="H27" s="51">
        <v>0</v>
      </c>
      <c r="I27" s="51">
        <v>3450</v>
      </c>
      <c r="J27" s="23">
        <v>0</v>
      </c>
      <c r="K27" s="24">
        <f t="shared" si="0"/>
        <v>46374</v>
      </c>
      <c r="L27" s="24">
        <v>0</v>
      </c>
      <c r="M27" s="24">
        <f t="shared" si="1"/>
        <v>0</v>
      </c>
      <c r="N27" s="24">
        <v>928129</v>
      </c>
    </row>
    <row r="28" spans="1:14">
      <c r="A28" s="1" t="s">
        <v>1</v>
      </c>
      <c r="B28" s="22" t="s">
        <v>81</v>
      </c>
      <c r="C28" s="81">
        <v>0</v>
      </c>
      <c r="D28" s="51">
        <v>55175</v>
      </c>
      <c r="E28" s="51">
        <v>0</v>
      </c>
      <c r="F28" s="51">
        <v>0</v>
      </c>
      <c r="G28" s="51">
        <v>0</v>
      </c>
      <c r="H28" s="51">
        <v>0</v>
      </c>
      <c r="I28" s="51">
        <v>0</v>
      </c>
      <c r="J28" s="23">
        <v>0</v>
      </c>
      <c r="K28" s="24">
        <f t="shared" si="0"/>
        <v>55175</v>
      </c>
      <c r="L28" s="24">
        <v>0</v>
      </c>
      <c r="M28" s="24">
        <f t="shared" si="1"/>
        <v>0</v>
      </c>
      <c r="N28" s="24">
        <v>701680</v>
      </c>
    </row>
    <row r="29" spans="1:14">
      <c r="A29" s="1" t="s">
        <v>1</v>
      </c>
      <c r="B29" s="22" t="s">
        <v>82</v>
      </c>
      <c r="C29" s="81">
        <v>0</v>
      </c>
      <c r="D29" s="51">
        <v>0</v>
      </c>
      <c r="E29" s="51">
        <v>0</v>
      </c>
      <c r="F29" s="51">
        <v>0</v>
      </c>
      <c r="G29" s="51">
        <v>0</v>
      </c>
      <c r="H29" s="51">
        <v>0</v>
      </c>
      <c r="I29" s="51">
        <v>0</v>
      </c>
      <c r="J29" s="23">
        <v>0</v>
      </c>
      <c r="K29" s="24">
        <f t="shared" si="0"/>
        <v>0</v>
      </c>
      <c r="L29" s="24">
        <v>0</v>
      </c>
      <c r="M29" s="24">
        <f t="shared" si="1"/>
        <v>0</v>
      </c>
      <c r="N29" s="24">
        <v>367722</v>
      </c>
    </row>
    <row r="30" spans="1:14">
      <c r="A30" s="1" t="s">
        <v>1</v>
      </c>
      <c r="B30" s="22" t="s">
        <v>83</v>
      </c>
      <c r="C30" s="81">
        <v>0</v>
      </c>
      <c r="D30" s="51">
        <v>0</v>
      </c>
      <c r="E30" s="51">
        <v>0</v>
      </c>
      <c r="F30" s="51">
        <v>0</v>
      </c>
      <c r="G30" s="51">
        <v>0</v>
      </c>
      <c r="H30" s="51">
        <v>0</v>
      </c>
      <c r="I30" s="51">
        <v>0</v>
      </c>
      <c r="J30" s="23">
        <v>0</v>
      </c>
      <c r="K30" s="24">
        <f t="shared" si="0"/>
        <v>0</v>
      </c>
      <c r="L30" s="24">
        <v>0</v>
      </c>
      <c r="M30" s="24">
        <f t="shared" si="1"/>
        <v>0</v>
      </c>
      <c r="N30" s="24">
        <v>10271</v>
      </c>
    </row>
    <row r="31" spans="1:14">
      <c r="A31" s="1" t="s">
        <v>1</v>
      </c>
      <c r="B31" s="22" t="s">
        <v>84</v>
      </c>
      <c r="C31" s="81">
        <v>0</v>
      </c>
      <c r="D31" s="51">
        <v>0</v>
      </c>
      <c r="E31" s="51">
        <v>0</v>
      </c>
      <c r="F31" s="51">
        <v>0</v>
      </c>
      <c r="G31" s="51">
        <v>0</v>
      </c>
      <c r="H31" s="51">
        <v>0</v>
      </c>
      <c r="I31" s="51">
        <v>0</v>
      </c>
      <c r="J31" s="23">
        <v>0</v>
      </c>
      <c r="K31" s="24">
        <f t="shared" si="0"/>
        <v>0</v>
      </c>
      <c r="L31" s="24">
        <v>0</v>
      </c>
      <c r="M31" s="24">
        <f t="shared" si="1"/>
        <v>0</v>
      </c>
      <c r="N31" s="24">
        <v>19388</v>
      </c>
    </row>
    <row r="32" spans="1:14">
      <c r="A32" s="1" t="s">
        <v>1</v>
      </c>
      <c r="B32" s="22" t="s">
        <v>71</v>
      </c>
      <c r="C32" s="81">
        <v>0</v>
      </c>
      <c r="D32" s="51">
        <v>0</v>
      </c>
      <c r="E32" s="51">
        <v>0</v>
      </c>
      <c r="F32" s="51">
        <v>0</v>
      </c>
      <c r="G32" s="51">
        <v>0</v>
      </c>
      <c r="H32" s="51">
        <v>0</v>
      </c>
      <c r="I32" s="51">
        <v>0</v>
      </c>
      <c r="J32" s="23">
        <v>0</v>
      </c>
      <c r="K32" s="24">
        <f t="shared" si="0"/>
        <v>0</v>
      </c>
      <c r="L32" s="24">
        <v>0</v>
      </c>
      <c r="M32" s="24">
        <f t="shared" si="1"/>
        <v>0</v>
      </c>
      <c r="N32" s="24">
        <v>4830</v>
      </c>
    </row>
    <row r="33" spans="1:14">
      <c r="A33" s="1" t="s">
        <v>1</v>
      </c>
      <c r="B33" s="6" t="s">
        <v>72</v>
      </c>
      <c r="C33" s="82">
        <v>0</v>
      </c>
      <c r="D33" s="54">
        <v>0</v>
      </c>
      <c r="E33" s="54">
        <v>0</v>
      </c>
      <c r="F33" s="54">
        <v>0</v>
      </c>
      <c r="G33" s="54">
        <v>11500</v>
      </c>
      <c r="H33" s="54">
        <v>11500</v>
      </c>
      <c r="I33" s="54">
        <v>5750</v>
      </c>
      <c r="J33" s="9">
        <v>6900</v>
      </c>
      <c r="K33" s="10">
        <f t="shared" si="0"/>
        <v>35650</v>
      </c>
      <c r="L33" s="10">
        <v>0</v>
      </c>
      <c r="M33" s="10">
        <f t="shared" si="1"/>
        <v>0</v>
      </c>
      <c r="N33" s="10">
        <v>96865</v>
      </c>
    </row>
    <row r="34" spans="1:14">
      <c r="A34" s="1" t="s">
        <v>1</v>
      </c>
      <c r="B34" s="14" t="s">
        <v>85</v>
      </c>
      <c r="C34" s="83">
        <v>365000</v>
      </c>
      <c r="D34" s="56">
        <v>371099</v>
      </c>
      <c r="E34" s="56">
        <v>78400</v>
      </c>
      <c r="F34" s="56">
        <v>110000</v>
      </c>
      <c r="G34" s="56">
        <v>76820</v>
      </c>
      <c r="H34" s="56">
        <v>76820</v>
      </c>
      <c r="I34" s="56">
        <v>79120</v>
      </c>
      <c r="J34" s="17">
        <v>90620</v>
      </c>
      <c r="K34" s="18">
        <f t="shared" si="0"/>
        <v>1247879</v>
      </c>
      <c r="L34" s="18">
        <v>385000</v>
      </c>
      <c r="M34" s="18">
        <f t="shared" si="1"/>
        <v>385000</v>
      </c>
      <c r="N34" s="18">
        <v>7292303</v>
      </c>
    </row>
    <row r="35" spans="1:14">
      <c r="A35" s="1" t="s">
        <v>1</v>
      </c>
      <c r="B35" s="6" t="s">
        <v>86</v>
      </c>
      <c r="C35" s="82">
        <v>3668</v>
      </c>
      <c r="D35" s="54">
        <v>6002</v>
      </c>
      <c r="E35" s="54">
        <v>2890</v>
      </c>
      <c r="F35" s="54">
        <v>2640</v>
      </c>
      <c r="G35" s="54">
        <v>3335</v>
      </c>
      <c r="H35" s="54">
        <v>4446</v>
      </c>
      <c r="I35" s="54">
        <v>3612</v>
      </c>
      <c r="J35" s="9">
        <v>7002</v>
      </c>
      <c r="K35" s="10">
        <f t="shared" si="0"/>
        <v>33595</v>
      </c>
      <c r="L35" s="10">
        <v>0</v>
      </c>
      <c r="M35" s="10">
        <f t="shared" si="1"/>
        <v>0</v>
      </c>
      <c r="N35" s="10">
        <v>144710</v>
      </c>
    </row>
    <row r="36" spans="1:14">
      <c r="A36" s="1" t="s">
        <v>1</v>
      </c>
      <c r="B36" s="6" t="s">
        <v>87</v>
      </c>
      <c r="C36" s="82">
        <v>3668</v>
      </c>
      <c r="D36" s="54">
        <v>6002</v>
      </c>
      <c r="E36" s="54">
        <v>2890</v>
      </c>
      <c r="F36" s="54">
        <v>2640</v>
      </c>
      <c r="G36" s="54">
        <v>3335</v>
      </c>
      <c r="H36" s="54">
        <v>4446</v>
      </c>
      <c r="I36" s="54">
        <v>3612</v>
      </c>
      <c r="J36" s="9">
        <v>7002</v>
      </c>
      <c r="K36" s="10">
        <f t="shared" si="0"/>
        <v>33595</v>
      </c>
      <c r="L36" s="10">
        <v>0</v>
      </c>
      <c r="M36" s="10">
        <f t="shared" si="1"/>
        <v>0</v>
      </c>
      <c r="N36" s="10">
        <v>144710</v>
      </c>
    </row>
    <row r="37" spans="1:14">
      <c r="A37" s="1" t="s">
        <v>1</v>
      </c>
      <c r="B37" s="14" t="s">
        <v>88</v>
      </c>
      <c r="C37" s="83">
        <v>368668</v>
      </c>
      <c r="D37" s="56">
        <v>377101</v>
      </c>
      <c r="E37" s="56">
        <v>81290</v>
      </c>
      <c r="F37" s="56">
        <v>112640</v>
      </c>
      <c r="G37" s="56">
        <v>80155</v>
      </c>
      <c r="H37" s="56">
        <v>81266</v>
      </c>
      <c r="I37" s="56">
        <v>82732</v>
      </c>
      <c r="J37" s="17">
        <v>97622</v>
      </c>
      <c r="K37" s="18">
        <f t="shared" si="0"/>
        <v>1281474</v>
      </c>
      <c r="L37" s="18">
        <v>385000</v>
      </c>
      <c r="M37" s="18">
        <f t="shared" si="1"/>
        <v>385000</v>
      </c>
      <c r="N37" s="18">
        <v>7437013</v>
      </c>
    </row>
    <row r="38" spans="1:14">
      <c r="A38" s="1" t="s">
        <v>1</v>
      </c>
      <c r="B38" s="19" t="s">
        <v>89</v>
      </c>
      <c r="C38" s="80">
        <v>18360</v>
      </c>
      <c r="D38" s="49">
        <v>19380</v>
      </c>
      <c r="E38" s="49">
        <v>0</v>
      </c>
      <c r="F38" s="49">
        <v>0</v>
      </c>
      <c r="G38" s="49">
        <v>0</v>
      </c>
      <c r="H38" s="49">
        <v>0</v>
      </c>
      <c r="I38" s="49">
        <v>0</v>
      </c>
      <c r="J38" s="20">
        <v>0</v>
      </c>
      <c r="K38" s="21">
        <f t="shared" si="0"/>
        <v>37740</v>
      </c>
      <c r="L38" s="21">
        <v>19380</v>
      </c>
      <c r="M38" s="21">
        <f t="shared" si="1"/>
        <v>19380</v>
      </c>
      <c r="N38" s="21">
        <v>357510</v>
      </c>
    </row>
    <row r="39" spans="1:14">
      <c r="A39" s="1" t="s">
        <v>1</v>
      </c>
      <c r="B39" s="22" t="s">
        <v>90</v>
      </c>
      <c r="C39" s="81">
        <v>3240</v>
      </c>
      <c r="D39" s="51">
        <v>3420</v>
      </c>
      <c r="E39" s="51">
        <v>0</v>
      </c>
      <c r="F39" s="51">
        <v>0</v>
      </c>
      <c r="G39" s="51">
        <v>0</v>
      </c>
      <c r="H39" s="51">
        <v>0</v>
      </c>
      <c r="I39" s="51">
        <v>0</v>
      </c>
      <c r="J39" s="23">
        <v>0</v>
      </c>
      <c r="K39" s="24">
        <f t="shared" si="0"/>
        <v>6660</v>
      </c>
      <c r="L39" s="24">
        <v>3420</v>
      </c>
      <c r="M39" s="24">
        <f t="shared" si="1"/>
        <v>3420</v>
      </c>
      <c r="N39" s="24">
        <v>63090</v>
      </c>
    </row>
    <row r="40" spans="1:14">
      <c r="A40" s="1" t="s">
        <v>1</v>
      </c>
      <c r="B40" s="22" t="s">
        <v>91</v>
      </c>
      <c r="C40" s="81">
        <v>32940</v>
      </c>
      <c r="D40" s="51">
        <v>34770</v>
      </c>
      <c r="E40" s="51">
        <v>0</v>
      </c>
      <c r="F40" s="51">
        <v>0</v>
      </c>
      <c r="G40" s="51">
        <v>0</v>
      </c>
      <c r="H40" s="51">
        <v>0</v>
      </c>
      <c r="I40" s="51">
        <v>0</v>
      </c>
      <c r="J40" s="23">
        <v>0</v>
      </c>
      <c r="K40" s="24">
        <f t="shared" si="0"/>
        <v>67710</v>
      </c>
      <c r="L40" s="24">
        <v>34770</v>
      </c>
      <c r="M40" s="24">
        <f t="shared" si="1"/>
        <v>34770</v>
      </c>
      <c r="N40" s="24">
        <v>641415</v>
      </c>
    </row>
    <row r="41" spans="1:14">
      <c r="A41" s="1" t="s">
        <v>1</v>
      </c>
      <c r="B41" s="6" t="s">
        <v>92</v>
      </c>
      <c r="C41" s="82">
        <v>2212</v>
      </c>
      <c r="D41" s="54">
        <v>2263</v>
      </c>
      <c r="E41" s="54">
        <v>488</v>
      </c>
      <c r="F41" s="54">
        <v>676</v>
      </c>
      <c r="G41" s="54">
        <v>0</v>
      </c>
      <c r="H41" s="54">
        <v>0</v>
      </c>
      <c r="I41" s="54">
        <v>0</v>
      </c>
      <c r="J41" s="9">
        <v>586</v>
      </c>
      <c r="K41" s="10">
        <f t="shared" si="0"/>
        <v>6225</v>
      </c>
      <c r="L41" s="10">
        <v>2310</v>
      </c>
      <c r="M41" s="10">
        <f t="shared" si="1"/>
        <v>2310</v>
      </c>
      <c r="N41" s="10">
        <v>43158</v>
      </c>
    </row>
    <row r="42" spans="1:14">
      <c r="A42" s="1" t="s">
        <v>1</v>
      </c>
      <c r="B42" s="14" t="s">
        <v>93</v>
      </c>
      <c r="C42" s="83">
        <v>56752</v>
      </c>
      <c r="D42" s="56">
        <v>59833</v>
      </c>
      <c r="E42" s="56">
        <v>488</v>
      </c>
      <c r="F42" s="56">
        <v>676</v>
      </c>
      <c r="G42" s="56">
        <v>0</v>
      </c>
      <c r="H42" s="56">
        <v>0</v>
      </c>
      <c r="I42" s="56">
        <v>0</v>
      </c>
      <c r="J42" s="17">
        <v>586</v>
      </c>
      <c r="K42" s="18">
        <f t="shared" si="0"/>
        <v>118335</v>
      </c>
      <c r="L42" s="18">
        <v>59880</v>
      </c>
      <c r="M42" s="18">
        <f t="shared" si="1"/>
        <v>59880</v>
      </c>
      <c r="N42" s="18">
        <v>1105173</v>
      </c>
    </row>
    <row r="43" spans="1:14">
      <c r="A43" s="1" t="s">
        <v>1</v>
      </c>
      <c r="B43" s="19" t="s">
        <v>94</v>
      </c>
      <c r="C43" s="80">
        <v>9050</v>
      </c>
      <c r="D43" s="49">
        <v>7180</v>
      </c>
      <c r="E43" s="49">
        <v>0</v>
      </c>
      <c r="F43" s="49">
        <v>1200</v>
      </c>
      <c r="G43" s="49">
        <v>0</v>
      </c>
      <c r="H43" s="49">
        <v>0</v>
      </c>
      <c r="I43" s="49">
        <v>0</v>
      </c>
      <c r="J43" s="20">
        <v>0</v>
      </c>
      <c r="K43" s="21">
        <f t="shared" si="0"/>
        <v>17430</v>
      </c>
      <c r="L43" s="21">
        <v>10430</v>
      </c>
      <c r="M43" s="21">
        <f t="shared" si="1"/>
        <v>10430</v>
      </c>
      <c r="N43" s="21">
        <v>151080</v>
      </c>
    </row>
    <row r="44" spans="1:14">
      <c r="A44" s="1" t="s">
        <v>1</v>
      </c>
      <c r="B44" s="22" t="s">
        <v>95</v>
      </c>
      <c r="C44" s="81">
        <v>0</v>
      </c>
      <c r="D44" s="51">
        <v>0</v>
      </c>
      <c r="E44" s="51">
        <v>0</v>
      </c>
      <c r="F44" s="51">
        <v>0</v>
      </c>
      <c r="G44" s="51">
        <v>0</v>
      </c>
      <c r="H44" s="51">
        <v>0</v>
      </c>
      <c r="I44" s="51">
        <v>0</v>
      </c>
      <c r="J44" s="23">
        <v>0</v>
      </c>
      <c r="K44" s="24">
        <f t="shared" si="0"/>
        <v>0</v>
      </c>
      <c r="L44" s="24">
        <v>0</v>
      </c>
      <c r="M44" s="24">
        <f t="shared" si="1"/>
        <v>0</v>
      </c>
      <c r="N44" s="24">
        <v>19500</v>
      </c>
    </row>
    <row r="45" spans="1:14">
      <c r="A45" s="1" t="s">
        <v>1</v>
      </c>
      <c r="B45" s="22" t="s">
        <v>96</v>
      </c>
      <c r="C45" s="81">
        <v>16800</v>
      </c>
      <c r="D45" s="51">
        <v>16400</v>
      </c>
      <c r="E45" s="51">
        <v>600</v>
      </c>
      <c r="F45" s="51">
        <v>500</v>
      </c>
      <c r="G45" s="51">
        <v>0</v>
      </c>
      <c r="H45" s="51">
        <v>0</v>
      </c>
      <c r="I45" s="51">
        <v>0</v>
      </c>
      <c r="J45" s="23">
        <v>2300</v>
      </c>
      <c r="K45" s="24">
        <f t="shared" si="0"/>
        <v>36600</v>
      </c>
      <c r="L45" s="24">
        <v>17300</v>
      </c>
      <c r="M45" s="24">
        <f t="shared" si="1"/>
        <v>17300</v>
      </c>
      <c r="N45" s="24">
        <v>265700</v>
      </c>
    </row>
    <row r="46" spans="1:14">
      <c r="A46" s="1" t="s">
        <v>1</v>
      </c>
      <c r="B46" s="6" t="s">
        <v>97</v>
      </c>
      <c r="C46" s="82">
        <v>0</v>
      </c>
      <c r="D46" s="54">
        <v>0</v>
      </c>
      <c r="E46" s="54">
        <v>0</v>
      </c>
      <c r="F46" s="54">
        <v>0</v>
      </c>
      <c r="G46" s="54">
        <v>0</v>
      </c>
      <c r="H46" s="54">
        <v>0</v>
      </c>
      <c r="I46" s="54">
        <v>0</v>
      </c>
      <c r="J46" s="9">
        <v>0</v>
      </c>
      <c r="K46" s="10">
        <f t="shared" si="0"/>
        <v>0</v>
      </c>
      <c r="L46" s="10">
        <v>0</v>
      </c>
      <c r="M46" s="10">
        <f t="shared" si="1"/>
        <v>0</v>
      </c>
      <c r="N46" s="25">
        <v>-58410</v>
      </c>
    </row>
    <row r="47" spans="1:14">
      <c r="A47" s="1" t="s">
        <v>1</v>
      </c>
      <c r="B47" s="14" t="s">
        <v>98</v>
      </c>
      <c r="C47" s="83">
        <v>82602</v>
      </c>
      <c r="D47" s="56">
        <v>83413</v>
      </c>
      <c r="E47" s="56">
        <v>1088</v>
      </c>
      <c r="F47" s="56">
        <v>2376</v>
      </c>
      <c r="G47" s="56">
        <v>0</v>
      </c>
      <c r="H47" s="56">
        <v>0</v>
      </c>
      <c r="I47" s="56">
        <v>0</v>
      </c>
      <c r="J47" s="17">
        <v>2886</v>
      </c>
      <c r="K47" s="18">
        <f t="shared" si="0"/>
        <v>172365</v>
      </c>
      <c r="L47" s="18">
        <v>87610</v>
      </c>
      <c r="M47" s="18">
        <f t="shared" si="1"/>
        <v>87610</v>
      </c>
      <c r="N47" s="18">
        <v>1483043</v>
      </c>
    </row>
    <row r="48" spans="1:14">
      <c r="A48" s="1" t="s">
        <v>1</v>
      </c>
      <c r="B48" s="14" t="s">
        <v>99</v>
      </c>
      <c r="C48" s="83">
        <v>308248</v>
      </c>
      <c r="D48" s="56">
        <v>311266</v>
      </c>
      <c r="E48" s="56">
        <v>77912</v>
      </c>
      <c r="F48" s="56">
        <v>109324</v>
      </c>
      <c r="G48" s="56">
        <v>76820</v>
      </c>
      <c r="H48" s="56">
        <v>76820</v>
      </c>
      <c r="I48" s="56">
        <v>79120</v>
      </c>
      <c r="J48" s="17">
        <v>90034</v>
      </c>
      <c r="K48" s="18">
        <f t="shared" si="0"/>
        <v>1129544</v>
      </c>
      <c r="L48" s="18">
        <v>325120</v>
      </c>
      <c r="M48" s="18">
        <f t="shared" si="1"/>
        <v>325120</v>
      </c>
      <c r="N48" s="18">
        <v>6187130</v>
      </c>
    </row>
    <row r="49" spans="1:14">
      <c r="A49" s="1" t="s">
        <v>1</v>
      </c>
      <c r="B49" s="14" t="s">
        <v>100</v>
      </c>
      <c r="C49" s="83">
        <v>286066</v>
      </c>
      <c r="D49" s="56">
        <v>293688</v>
      </c>
      <c r="E49" s="56">
        <v>80202</v>
      </c>
      <c r="F49" s="56">
        <v>110264</v>
      </c>
      <c r="G49" s="56">
        <v>80155</v>
      </c>
      <c r="H49" s="56">
        <v>81266</v>
      </c>
      <c r="I49" s="56">
        <v>82732</v>
      </c>
      <c r="J49" s="17">
        <v>94736</v>
      </c>
      <c r="K49" s="18">
        <f t="shared" si="0"/>
        <v>1109109</v>
      </c>
      <c r="L49" s="18">
        <v>297390</v>
      </c>
      <c r="M49" s="18">
        <f t="shared" si="1"/>
        <v>297390</v>
      </c>
      <c r="N49" s="18">
        <v>5953970</v>
      </c>
    </row>
    <row r="50" spans="1:14">
      <c r="A50" s="1" t="s">
        <v>1</v>
      </c>
      <c r="B50" s="14" t="s">
        <v>101</v>
      </c>
      <c r="C50" s="83">
        <v>286066</v>
      </c>
      <c r="D50" s="56">
        <v>293688</v>
      </c>
      <c r="E50" s="56">
        <v>80202</v>
      </c>
      <c r="F50" s="56">
        <v>110264</v>
      </c>
      <c r="G50" s="56">
        <v>80155</v>
      </c>
      <c r="H50" s="56">
        <v>81266</v>
      </c>
      <c r="I50" s="56">
        <v>82732</v>
      </c>
      <c r="J50" s="17">
        <v>94736</v>
      </c>
      <c r="K50" s="18">
        <f t="shared" si="0"/>
        <v>1109109</v>
      </c>
      <c r="L50" s="18">
        <v>297390</v>
      </c>
      <c r="M50" s="18">
        <f t="shared" si="1"/>
        <v>297390</v>
      </c>
      <c r="N50" s="18">
        <v>5953970</v>
      </c>
    </row>
    <row r="51" spans="1:14">
      <c r="A51" s="1" t="s">
        <v>1</v>
      </c>
      <c r="B51" s="14" t="s">
        <v>102</v>
      </c>
      <c r="C51" s="83">
        <v>0</v>
      </c>
      <c r="D51" s="56">
        <v>1</v>
      </c>
      <c r="E51" s="56">
        <v>0</v>
      </c>
      <c r="F51" s="56">
        <v>0</v>
      </c>
      <c r="G51" s="56">
        <v>1</v>
      </c>
      <c r="H51" s="56">
        <v>1</v>
      </c>
      <c r="I51" s="56">
        <v>1</v>
      </c>
      <c r="J51" s="17">
        <v>1</v>
      </c>
      <c r="K51" s="18"/>
      <c r="L51" s="18">
        <v>0</v>
      </c>
      <c r="M51" s="18"/>
      <c r="N51" s="18"/>
    </row>
    <row r="52" spans="1:14" ht="19.5" thickBot="1">
      <c r="A52" s="1" t="s">
        <v>1</v>
      </c>
      <c r="B52" s="11" t="s">
        <v>103</v>
      </c>
      <c r="C52" s="84" t="s">
        <v>104</v>
      </c>
      <c r="D52" s="60" t="s">
        <v>104</v>
      </c>
      <c r="E52" s="60" t="s">
        <v>104</v>
      </c>
      <c r="F52" s="60" t="s">
        <v>104</v>
      </c>
      <c r="G52" s="60" t="s">
        <v>104</v>
      </c>
      <c r="H52" s="60" t="s">
        <v>104</v>
      </c>
      <c r="I52" s="60" t="s">
        <v>104</v>
      </c>
      <c r="J52" s="12" t="s">
        <v>104</v>
      </c>
      <c r="K52" s="13"/>
      <c r="L52" s="13" t="s">
        <v>104</v>
      </c>
      <c r="M52" s="13"/>
      <c r="N52" s="13"/>
    </row>
  </sheetData>
  <phoneticPr fontId="3"/>
  <pageMargins left="0.31496062992125984" right="0.31496062992125984" top="0.35433070866141736" bottom="0.35433070866141736" header="0.11811023622047245" footer="0.11811023622047245"/>
  <pageSetup paperSize="12" scale="7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D9908-26BC-45D9-9373-218ECCA2947E}">
  <dimension ref="A1:AH52"/>
  <sheetViews>
    <sheetView workbookViewId="0">
      <pane xSplit="2" ySplit="4" topLeftCell="I5" activePane="bottomRight" state="frozen"/>
      <selection pane="topRight" activeCell="C1" sqref="C1"/>
      <selection pane="bottomLeft" activeCell="A9" sqref="A9"/>
      <selection pane="bottomRight" sqref="A1:W3"/>
    </sheetView>
  </sheetViews>
  <sheetFormatPr defaultRowHeight="18.75"/>
  <cols>
    <col min="1" max="1" width="2.375" style="2" customWidth="1"/>
    <col min="2" max="2" width="13.25" style="2" bestFit="1" customWidth="1"/>
    <col min="3" max="34" width="10.375" style="2" customWidth="1"/>
    <col min="35" max="258" width="9" style="2"/>
    <col min="259" max="259" width="2.375" style="2" customWidth="1"/>
    <col min="260" max="260" width="13.25" style="2" bestFit="1" customWidth="1"/>
    <col min="261" max="262" width="11.125" style="2" bestFit="1" customWidth="1"/>
    <col min="263" max="263" width="13.25" style="2" bestFit="1" customWidth="1"/>
    <col min="264" max="264" width="11.125" style="2" bestFit="1" customWidth="1"/>
    <col min="265" max="265" width="9" style="2"/>
    <col min="266" max="266" width="11.125" style="2" bestFit="1" customWidth="1"/>
    <col min="267" max="267" width="9" style="2"/>
    <col min="268" max="280" width="11.125" style="2" bestFit="1" customWidth="1"/>
    <col min="281" max="281" width="9" style="2"/>
    <col min="282" max="288" width="11.125" style="2" bestFit="1" customWidth="1"/>
    <col min="289" max="289" width="9.625" style="2" bestFit="1" customWidth="1"/>
    <col min="290" max="514" width="9" style="2"/>
    <col min="515" max="515" width="2.375" style="2" customWidth="1"/>
    <col min="516" max="516" width="13.25" style="2" bestFit="1" customWidth="1"/>
    <col min="517" max="518" width="11.125" style="2" bestFit="1" customWidth="1"/>
    <col min="519" max="519" width="13.25" style="2" bestFit="1" customWidth="1"/>
    <col min="520" max="520" width="11.125" style="2" bestFit="1" customWidth="1"/>
    <col min="521" max="521" width="9" style="2"/>
    <col min="522" max="522" width="11.125" style="2" bestFit="1" customWidth="1"/>
    <col min="523" max="523" width="9" style="2"/>
    <col min="524" max="536" width="11.125" style="2" bestFit="1" customWidth="1"/>
    <col min="537" max="537" width="9" style="2"/>
    <col min="538" max="544" width="11.125" style="2" bestFit="1" customWidth="1"/>
    <col min="545" max="545" width="9.625" style="2" bestFit="1" customWidth="1"/>
    <col min="546" max="770" width="9" style="2"/>
    <col min="771" max="771" width="2.375" style="2" customWidth="1"/>
    <col min="772" max="772" width="13.25" style="2" bestFit="1" customWidth="1"/>
    <col min="773" max="774" width="11.125" style="2" bestFit="1" customWidth="1"/>
    <col min="775" max="775" width="13.25" style="2" bestFit="1" customWidth="1"/>
    <col min="776" max="776" width="11.125" style="2" bestFit="1" customWidth="1"/>
    <col min="777" max="777" width="9" style="2"/>
    <col min="778" max="778" width="11.125" style="2" bestFit="1" customWidth="1"/>
    <col min="779" max="779" width="9" style="2"/>
    <col min="780" max="792" width="11.125" style="2" bestFit="1" customWidth="1"/>
    <col min="793" max="793" width="9" style="2"/>
    <col min="794" max="800" width="11.125" style="2" bestFit="1" customWidth="1"/>
    <col min="801" max="801" width="9.625" style="2" bestFit="1" customWidth="1"/>
    <col min="802" max="1026" width="9" style="2"/>
    <col min="1027" max="1027" width="2.375" style="2" customWidth="1"/>
    <col min="1028" max="1028" width="13.25" style="2" bestFit="1" customWidth="1"/>
    <col min="1029" max="1030" width="11.125" style="2" bestFit="1" customWidth="1"/>
    <col min="1031" max="1031" width="13.25" style="2" bestFit="1" customWidth="1"/>
    <col min="1032" max="1032" width="11.125" style="2" bestFit="1" customWidth="1"/>
    <col min="1033" max="1033" width="9" style="2"/>
    <col min="1034" max="1034" width="11.125" style="2" bestFit="1" customWidth="1"/>
    <col min="1035" max="1035" width="9" style="2"/>
    <col min="1036" max="1048" width="11.125" style="2" bestFit="1" customWidth="1"/>
    <col min="1049" max="1049" width="9" style="2"/>
    <col min="1050" max="1056" width="11.125" style="2" bestFit="1" customWidth="1"/>
    <col min="1057" max="1057" width="9.625" style="2" bestFit="1" customWidth="1"/>
    <col min="1058" max="1282" width="9" style="2"/>
    <col min="1283" max="1283" width="2.375" style="2" customWidth="1"/>
    <col min="1284" max="1284" width="13.25" style="2" bestFit="1" customWidth="1"/>
    <col min="1285" max="1286" width="11.125" style="2" bestFit="1" customWidth="1"/>
    <col min="1287" max="1287" width="13.25" style="2" bestFit="1" customWidth="1"/>
    <col min="1288" max="1288" width="11.125" style="2" bestFit="1" customWidth="1"/>
    <col min="1289" max="1289" width="9" style="2"/>
    <col min="1290" max="1290" width="11.125" style="2" bestFit="1" customWidth="1"/>
    <col min="1291" max="1291" width="9" style="2"/>
    <col min="1292" max="1304" width="11.125" style="2" bestFit="1" customWidth="1"/>
    <col min="1305" max="1305" width="9" style="2"/>
    <col min="1306" max="1312" width="11.125" style="2" bestFit="1" customWidth="1"/>
    <col min="1313" max="1313" width="9.625" style="2" bestFit="1" customWidth="1"/>
    <col min="1314" max="1538" width="9" style="2"/>
    <col min="1539" max="1539" width="2.375" style="2" customWidth="1"/>
    <col min="1540" max="1540" width="13.25" style="2" bestFit="1" customWidth="1"/>
    <col min="1541" max="1542" width="11.125" style="2" bestFit="1" customWidth="1"/>
    <col min="1543" max="1543" width="13.25" style="2" bestFit="1" customWidth="1"/>
    <col min="1544" max="1544" width="11.125" style="2" bestFit="1" customWidth="1"/>
    <col min="1545" max="1545" width="9" style="2"/>
    <col min="1546" max="1546" width="11.125" style="2" bestFit="1" customWidth="1"/>
    <col min="1547" max="1547" width="9" style="2"/>
    <col min="1548" max="1560" width="11.125" style="2" bestFit="1" customWidth="1"/>
    <col min="1561" max="1561" width="9" style="2"/>
    <col min="1562" max="1568" width="11.125" style="2" bestFit="1" customWidth="1"/>
    <col min="1569" max="1569" width="9.625" style="2" bestFit="1" customWidth="1"/>
    <col min="1570" max="1794" width="9" style="2"/>
    <col min="1795" max="1795" width="2.375" style="2" customWidth="1"/>
    <col min="1796" max="1796" width="13.25" style="2" bestFit="1" customWidth="1"/>
    <col min="1797" max="1798" width="11.125" style="2" bestFit="1" customWidth="1"/>
    <col min="1799" max="1799" width="13.25" style="2" bestFit="1" customWidth="1"/>
    <col min="1800" max="1800" width="11.125" style="2" bestFit="1" customWidth="1"/>
    <col min="1801" max="1801" width="9" style="2"/>
    <col min="1802" max="1802" width="11.125" style="2" bestFit="1" customWidth="1"/>
    <col min="1803" max="1803" width="9" style="2"/>
    <col min="1804" max="1816" width="11.125" style="2" bestFit="1" customWidth="1"/>
    <col min="1817" max="1817" width="9" style="2"/>
    <col min="1818" max="1824" width="11.125" style="2" bestFit="1" customWidth="1"/>
    <col min="1825" max="1825" width="9.625" style="2" bestFit="1" customWidth="1"/>
    <col min="1826" max="2050" width="9" style="2"/>
    <col min="2051" max="2051" width="2.375" style="2" customWidth="1"/>
    <col min="2052" max="2052" width="13.25" style="2" bestFit="1" customWidth="1"/>
    <col min="2053" max="2054" width="11.125" style="2" bestFit="1" customWidth="1"/>
    <col min="2055" max="2055" width="13.25" style="2" bestFit="1" customWidth="1"/>
    <col min="2056" max="2056" width="11.125" style="2" bestFit="1" customWidth="1"/>
    <col min="2057" max="2057" width="9" style="2"/>
    <col min="2058" max="2058" width="11.125" style="2" bestFit="1" customWidth="1"/>
    <col min="2059" max="2059" width="9" style="2"/>
    <col min="2060" max="2072" width="11.125" style="2" bestFit="1" customWidth="1"/>
    <col min="2073" max="2073" width="9" style="2"/>
    <col min="2074" max="2080" width="11.125" style="2" bestFit="1" customWidth="1"/>
    <col min="2081" max="2081" width="9.625" style="2" bestFit="1" customWidth="1"/>
    <col min="2082" max="2306" width="9" style="2"/>
    <col min="2307" max="2307" width="2.375" style="2" customWidth="1"/>
    <col min="2308" max="2308" width="13.25" style="2" bestFit="1" customWidth="1"/>
    <col min="2309" max="2310" width="11.125" style="2" bestFit="1" customWidth="1"/>
    <col min="2311" max="2311" width="13.25" style="2" bestFit="1" customWidth="1"/>
    <col min="2312" max="2312" width="11.125" style="2" bestFit="1" customWidth="1"/>
    <col min="2313" max="2313" width="9" style="2"/>
    <col min="2314" max="2314" width="11.125" style="2" bestFit="1" customWidth="1"/>
    <col min="2315" max="2315" width="9" style="2"/>
    <col min="2316" max="2328" width="11.125" style="2" bestFit="1" customWidth="1"/>
    <col min="2329" max="2329" width="9" style="2"/>
    <col min="2330" max="2336" width="11.125" style="2" bestFit="1" customWidth="1"/>
    <col min="2337" max="2337" width="9.625" style="2" bestFit="1" customWidth="1"/>
    <col min="2338" max="2562" width="9" style="2"/>
    <col min="2563" max="2563" width="2.375" style="2" customWidth="1"/>
    <col min="2564" max="2564" width="13.25" style="2" bestFit="1" customWidth="1"/>
    <col min="2565" max="2566" width="11.125" style="2" bestFit="1" customWidth="1"/>
    <col min="2567" max="2567" width="13.25" style="2" bestFit="1" customWidth="1"/>
    <col min="2568" max="2568" width="11.125" style="2" bestFit="1" customWidth="1"/>
    <col min="2569" max="2569" width="9" style="2"/>
    <col min="2570" max="2570" width="11.125" style="2" bestFit="1" customWidth="1"/>
    <col min="2571" max="2571" width="9" style="2"/>
    <col min="2572" max="2584" width="11.125" style="2" bestFit="1" customWidth="1"/>
    <col min="2585" max="2585" width="9" style="2"/>
    <col min="2586" max="2592" width="11.125" style="2" bestFit="1" customWidth="1"/>
    <col min="2593" max="2593" width="9.625" style="2" bestFit="1" customWidth="1"/>
    <col min="2594" max="2818" width="9" style="2"/>
    <col min="2819" max="2819" width="2.375" style="2" customWidth="1"/>
    <col min="2820" max="2820" width="13.25" style="2" bestFit="1" customWidth="1"/>
    <col min="2821" max="2822" width="11.125" style="2" bestFit="1" customWidth="1"/>
    <col min="2823" max="2823" width="13.25" style="2" bestFit="1" customWidth="1"/>
    <col min="2824" max="2824" width="11.125" style="2" bestFit="1" customWidth="1"/>
    <col min="2825" max="2825" width="9" style="2"/>
    <col min="2826" max="2826" width="11.125" style="2" bestFit="1" customWidth="1"/>
    <col min="2827" max="2827" width="9" style="2"/>
    <col min="2828" max="2840" width="11.125" style="2" bestFit="1" customWidth="1"/>
    <col min="2841" max="2841" width="9" style="2"/>
    <col min="2842" max="2848" width="11.125" style="2" bestFit="1" customWidth="1"/>
    <col min="2849" max="2849" width="9.625" style="2" bestFit="1" customWidth="1"/>
    <col min="2850" max="3074" width="9" style="2"/>
    <col min="3075" max="3075" width="2.375" style="2" customWidth="1"/>
    <col min="3076" max="3076" width="13.25" style="2" bestFit="1" customWidth="1"/>
    <col min="3077" max="3078" width="11.125" style="2" bestFit="1" customWidth="1"/>
    <col min="3079" max="3079" width="13.25" style="2" bestFit="1" customWidth="1"/>
    <col min="3080" max="3080" width="11.125" style="2" bestFit="1" customWidth="1"/>
    <col min="3081" max="3081" width="9" style="2"/>
    <col min="3082" max="3082" width="11.125" style="2" bestFit="1" customWidth="1"/>
    <col min="3083" max="3083" width="9" style="2"/>
    <col min="3084" max="3096" width="11.125" style="2" bestFit="1" customWidth="1"/>
    <col min="3097" max="3097" width="9" style="2"/>
    <col min="3098" max="3104" width="11.125" style="2" bestFit="1" customWidth="1"/>
    <col min="3105" max="3105" width="9.625" style="2" bestFit="1" customWidth="1"/>
    <col min="3106" max="3330" width="9" style="2"/>
    <col min="3331" max="3331" width="2.375" style="2" customWidth="1"/>
    <col min="3332" max="3332" width="13.25" style="2" bestFit="1" customWidth="1"/>
    <col min="3333" max="3334" width="11.125" style="2" bestFit="1" customWidth="1"/>
    <col min="3335" max="3335" width="13.25" style="2" bestFit="1" customWidth="1"/>
    <col min="3336" max="3336" width="11.125" style="2" bestFit="1" customWidth="1"/>
    <col min="3337" max="3337" width="9" style="2"/>
    <col min="3338" max="3338" width="11.125" style="2" bestFit="1" customWidth="1"/>
    <col min="3339" max="3339" width="9" style="2"/>
    <col min="3340" max="3352" width="11.125" style="2" bestFit="1" customWidth="1"/>
    <col min="3353" max="3353" width="9" style="2"/>
    <col min="3354" max="3360" width="11.125" style="2" bestFit="1" customWidth="1"/>
    <col min="3361" max="3361" width="9.625" style="2" bestFit="1" customWidth="1"/>
    <col min="3362" max="3586" width="9" style="2"/>
    <col min="3587" max="3587" width="2.375" style="2" customWidth="1"/>
    <col min="3588" max="3588" width="13.25" style="2" bestFit="1" customWidth="1"/>
    <col min="3589" max="3590" width="11.125" style="2" bestFit="1" customWidth="1"/>
    <col min="3591" max="3591" width="13.25" style="2" bestFit="1" customWidth="1"/>
    <col min="3592" max="3592" width="11.125" style="2" bestFit="1" customWidth="1"/>
    <col min="3593" max="3593" width="9" style="2"/>
    <col min="3594" max="3594" width="11.125" style="2" bestFit="1" customWidth="1"/>
    <col min="3595" max="3595" width="9" style="2"/>
    <col min="3596" max="3608" width="11.125" style="2" bestFit="1" customWidth="1"/>
    <col min="3609" max="3609" width="9" style="2"/>
    <col min="3610" max="3616" width="11.125" style="2" bestFit="1" customWidth="1"/>
    <col min="3617" max="3617" width="9.625" style="2" bestFit="1" customWidth="1"/>
    <col min="3618" max="3842" width="9" style="2"/>
    <col min="3843" max="3843" width="2.375" style="2" customWidth="1"/>
    <col min="3844" max="3844" width="13.25" style="2" bestFit="1" customWidth="1"/>
    <col min="3845" max="3846" width="11.125" style="2" bestFit="1" customWidth="1"/>
    <col min="3847" max="3847" width="13.25" style="2" bestFit="1" customWidth="1"/>
    <col min="3848" max="3848" width="11.125" style="2" bestFit="1" customWidth="1"/>
    <col min="3849" max="3849" width="9" style="2"/>
    <col min="3850" max="3850" width="11.125" style="2" bestFit="1" customWidth="1"/>
    <col min="3851" max="3851" width="9" style="2"/>
    <col min="3852" max="3864" width="11.125" style="2" bestFit="1" customWidth="1"/>
    <col min="3865" max="3865" width="9" style="2"/>
    <col min="3866" max="3872" width="11.125" style="2" bestFit="1" customWidth="1"/>
    <col min="3873" max="3873" width="9.625" style="2" bestFit="1" customWidth="1"/>
    <col min="3874" max="4098" width="9" style="2"/>
    <col min="4099" max="4099" width="2.375" style="2" customWidth="1"/>
    <col min="4100" max="4100" width="13.25" style="2" bestFit="1" customWidth="1"/>
    <col min="4101" max="4102" width="11.125" style="2" bestFit="1" customWidth="1"/>
    <col min="4103" max="4103" width="13.25" style="2" bestFit="1" customWidth="1"/>
    <col min="4104" max="4104" width="11.125" style="2" bestFit="1" customWidth="1"/>
    <col min="4105" max="4105" width="9" style="2"/>
    <col min="4106" max="4106" width="11.125" style="2" bestFit="1" customWidth="1"/>
    <col min="4107" max="4107" width="9" style="2"/>
    <col min="4108" max="4120" width="11.125" style="2" bestFit="1" customWidth="1"/>
    <col min="4121" max="4121" width="9" style="2"/>
    <col min="4122" max="4128" width="11.125" style="2" bestFit="1" customWidth="1"/>
    <col min="4129" max="4129" width="9.625" style="2" bestFit="1" customWidth="1"/>
    <col min="4130" max="4354" width="9" style="2"/>
    <col min="4355" max="4355" width="2.375" style="2" customWidth="1"/>
    <col min="4356" max="4356" width="13.25" style="2" bestFit="1" customWidth="1"/>
    <col min="4357" max="4358" width="11.125" style="2" bestFit="1" customWidth="1"/>
    <col min="4359" max="4359" width="13.25" style="2" bestFit="1" customWidth="1"/>
    <col min="4360" max="4360" width="11.125" style="2" bestFit="1" customWidth="1"/>
    <col min="4361" max="4361" width="9" style="2"/>
    <col min="4362" max="4362" width="11.125" style="2" bestFit="1" customWidth="1"/>
    <col min="4363" max="4363" width="9" style="2"/>
    <col min="4364" max="4376" width="11.125" style="2" bestFit="1" customWidth="1"/>
    <col min="4377" max="4377" width="9" style="2"/>
    <col min="4378" max="4384" width="11.125" style="2" bestFit="1" customWidth="1"/>
    <col min="4385" max="4385" width="9.625" style="2" bestFit="1" customWidth="1"/>
    <col min="4386" max="4610" width="9" style="2"/>
    <col min="4611" max="4611" width="2.375" style="2" customWidth="1"/>
    <col min="4612" max="4612" width="13.25" style="2" bestFit="1" customWidth="1"/>
    <col min="4613" max="4614" width="11.125" style="2" bestFit="1" customWidth="1"/>
    <col min="4615" max="4615" width="13.25" style="2" bestFit="1" customWidth="1"/>
    <col min="4616" max="4616" width="11.125" style="2" bestFit="1" customWidth="1"/>
    <col min="4617" max="4617" width="9" style="2"/>
    <col min="4618" max="4618" width="11.125" style="2" bestFit="1" customWidth="1"/>
    <col min="4619" max="4619" width="9" style="2"/>
    <col min="4620" max="4632" width="11.125" style="2" bestFit="1" customWidth="1"/>
    <col min="4633" max="4633" width="9" style="2"/>
    <col min="4634" max="4640" width="11.125" style="2" bestFit="1" customWidth="1"/>
    <col min="4641" max="4641" width="9.625" style="2" bestFit="1" customWidth="1"/>
    <col min="4642" max="4866" width="9" style="2"/>
    <col min="4867" max="4867" width="2.375" style="2" customWidth="1"/>
    <col min="4868" max="4868" width="13.25" style="2" bestFit="1" customWidth="1"/>
    <col min="4869" max="4870" width="11.125" style="2" bestFit="1" customWidth="1"/>
    <col min="4871" max="4871" width="13.25" style="2" bestFit="1" customWidth="1"/>
    <col min="4872" max="4872" width="11.125" style="2" bestFit="1" customWidth="1"/>
    <col min="4873" max="4873" width="9" style="2"/>
    <col min="4874" max="4874" width="11.125" style="2" bestFit="1" customWidth="1"/>
    <col min="4875" max="4875" width="9" style="2"/>
    <col min="4876" max="4888" width="11.125" style="2" bestFit="1" customWidth="1"/>
    <col min="4889" max="4889" width="9" style="2"/>
    <col min="4890" max="4896" width="11.125" style="2" bestFit="1" customWidth="1"/>
    <col min="4897" max="4897" width="9.625" style="2" bestFit="1" customWidth="1"/>
    <col min="4898" max="5122" width="9" style="2"/>
    <col min="5123" max="5123" width="2.375" style="2" customWidth="1"/>
    <col min="5124" max="5124" width="13.25" style="2" bestFit="1" customWidth="1"/>
    <col min="5125" max="5126" width="11.125" style="2" bestFit="1" customWidth="1"/>
    <col min="5127" max="5127" width="13.25" style="2" bestFit="1" customWidth="1"/>
    <col min="5128" max="5128" width="11.125" style="2" bestFit="1" customWidth="1"/>
    <col min="5129" max="5129" width="9" style="2"/>
    <col min="5130" max="5130" width="11.125" style="2" bestFit="1" customWidth="1"/>
    <col min="5131" max="5131" width="9" style="2"/>
    <col min="5132" max="5144" width="11.125" style="2" bestFit="1" customWidth="1"/>
    <col min="5145" max="5145" width="9" style="2"/>
    <col min="5146" max="5152" width="11.125" style="2" bestFit="1" customWidth="1"/>
    <col min="5153" max="5153" width="9.625" style="2" bestFit="1" customWidth="1"/>
    <col min="5154" max="5378" width="9" style="2"/>
    <col min="5379" max="5379" width="2.375" style="2" customWidth="1"/>
    <col min="5380" max="5380" width="13.25" style="2" bestFit="1" customWidth="1"/>
    <col min="5381" max="5382" width="11.125" style="2" bestFit="1" customWidth="1"/>
    <col min="5383" max="5383" width="13.25" style="2" bestFit="1" customWidth="1"/>
    <col min="5384" max="5384" width="11.125" style="2" bestFit="1" customWidth="1"/>
    <col min="5385" max="5385" width="9" style="2"/>
    <col min="5386" max="5386" width="11.125" style="2" bestFit="1" customWidth="1"/>
    <col min="5387" max="5387" width="9" style="2"/>
    <col min="5388" max="5400" width="11.125" style="2" bestFit="1" customWidth="1"/>
    <col min="5401" max="5401" width="9" style="2"/>
    <col min="5402" max="5408" width="11.125" style="2" bestFit="1" customWidth="1"/>
    <col min="5409" max="5409" width="9.625" style="2" bestFit="1" customWidth="1"/>
    <col min="5410" max="5634" width="9" style="2"/>
    <col min="5635" max="5635" width="2.375" style="2" customWidth="1"/>
    <col min="5636" max="5636" width="13.25" style="2" bestFit="1" customWidth="1"/>
    <col min="5637" max="5638" width="11.125" style="2" bestFit="1" customWidth="1"/>
    <col min="5639" max="5639" width="13.25" style="2" bestFit="1" customWidth="1"/>
    <col min="5640" max="5640" width="11.125" style="2" bestFit="1" customWidth="1"/>
    <col min="5641" max="5641" width="9" style="2"/>
    <col min="5642" max="5642" width="11.125" style="2" bestFit="1" customWidth="1"/>
    <col min="5643" max="5643" width="9" style="2"/>
    <col min="5644" max="5656" width="11.125" style="2" bestFit="1" customWidth="1"/>
    <col min="5657" max="5657" width="9" style="2"/>
    <col min="5658" max="5664" width="11.125" style="2" bestFit="1" customWidth="1"/>
    <col min="5665" max="5665" width="9.625" style="2" bestFit="1" customWidth="1"/>
    <col min="5666" max="5890" width="9" style="2"/>
    <col min="5891" max="5891" width="2.375" style="2" customWidth="1"/>
    <col min="5892" max="5892" width="13.25" style="2" bestFit="1" customWidth="1"/>
    <col min="5893" max="5894" width="11.125" style="2" bestFit="1" customWidth="1"/>
    <col min="5895" max="5895" width="13.25" style="2" bestFit="1" customWidth="1"/>
    <col min="5896" max="5896" width="11.125" style="2" bestFit="1" customWidth="1"/>
    <col min="5897" max="5897" width="9" style="2"/>
    <col min="5898" max="5898" width="11.125" style="2" bestFit="1" customWidth="1"/>
    <col min="5899" max="5899" width="9" style="2"/>
    <col min="5900" max="5912" width="11.125" style="2" bestFit="1" customWidth="1"/>
    <col min="5913" max="5913" width="9" style="2"/>
    <col min="5914" max="5920" width="11.125" style="2" bestFit="1" customWidth="1"/>
    <col min="5921" max="5921" width="9.625" style="2" bestFit="1" customWidth="1"/>
    <col min="5922" max="6146" width="9" style="2"/>
    <col min="6147" max="6147" width="2.375" style="2" customWidth="1"/>
    <col min="6148" max="6148" width="13.25" style="2" bestFit="1" customWidth="1"/>
    <col min="6149" max="6150" width="11.125" style="2" bestFit="1" customWidth="1"/>
    <col min="6151" max="6151" width="13.25" style="2" bestFit="1" customWidth="1"/>
    <col min="6152" max="6152" width="11.125" style="2" bestFit="1" customWidth="1"/>
    <col min="6153" max="6153" width="9" style="2"/>
    <col min="6154" max="6154" width="11.125" style="2" bestFit="1" customWidth="1"/>
    <col min="6155" max="6155" width="9" style="2"/>
    <col min="6156" max="6168" width="11.125" style="2" bestFit="1" customWidth="1"/>
    <col min="6169" max="6169" width="9" style="2"/>
    <col min="6170" max="6176" width="11.125" style="2" bestFit="1" customWidth="1"/>
    <col min="6177" max="6177" width="9.625" style="2" bestFit="1" customWidth="1"/>
    <col min="6178" max="6402" width="9" style="2"/>
    <col min="6403" max="6403" width="2.375" style="2" customWidth="1"/>
    <col min="6404" max="6404" width="13.25" style="2" bestFit="1" customWidth="1"/>
    <col min="6405" max="6406" width="11.125" style="2" bestFit="1" customWidth="1"/>
    <col min="6407" max="6407" width="13.25" style="2" bestFit="1" customWidth="1"/>
    <col min="6408" max="6408" width="11.125" style="2" bestFit="1" customWidth="1"/>
    <col min="6409" max="6409" width="9" style="2"/>
    <col min="6410" max="6410" width="11.125" style="2" bestFit="1" customWidth="1"/>
    <col min="6411" max="6411" width="9" style="2"/>
    <col min="6412" max="6424" width="11.125" style="2" bestFit="1" customWidth="1"/>
    <col min="6425" max="6425" width="9" style="2"/>
    <col min="6426" max="6432" width="11.125" style="2" bestFit="1" customWidth="1"/>
    <col min="6433" max="6433" width="9.625" style="2" bestFit="1" customWidth="1"/>
    <col min="6434" max="6658" width="9" style="2"/>
    <col min="6659" max="6659" width="2.375" style="2" customWidth="1"/>
    <col min="6660" max="6660" width="13.25" style="2" bestFit="1" customWidth="1"/>
    <col min="6661" max="6662" width="11.125" style="2" bestFit="1" customWidth="1"/>
    <col min="6663" max="6663" width="13.25" style="2" bestFit="1" customWidth="1"/>
    <col min="6664" max="6664" width="11.125" style="2" bestFit="1" customWidth="1"/>
    <col min="6665" max="6665" width="9" style="2"/>
    <col min="6666" max="6666" width="11.125" style="2" bestFit="1" customWidth="1"/>
    <col min="6667" max="6667" width="9" style="2"/>
    <col min="6668" max="6680" width="11.125" style="2" bestFit="1" customWidth="1"/>
    <col min="6681" max="6681" width="9" style="2"/>
    <col min="6682" max="6688" width="11.125" style="2" bestFit="1" customWidth="1"/>
    <col min="6689" max="6689" width="9.625" style="2" bestFit="1" customWidth="1"/>
    <col min="6690" max="6914" width="9" style="2"/>
    <col min="6915" max="6915" width="2.375" style="2" customWidth="1"/>
    <col min="6916" max="6916" width="13.25" style="2" bestFit="1" customWidth="1"/>
    <col min="6917" max="6918" width="11.125" style="2" bestFit="1" customWidth="1"/>
    <col min="6919" max="6919" width="13.25" style="2" bestFit="1" customWidth="1"/>
    <col min="6920" max="6920" width="11.125" style="2" bestFit="1" customWidth="1"/>
    <col min="6921" max="6921" width="9" style="2"/>
    <col min="6922" max="6922" width="11.125" style="2" bestFit="1" customWidth="1"/>
    <col min="6923" max="6923" width="9" style="2"/>
    <col min="6924" max="6936" width="11.125" style="2" bestFit="1" customWidth="1"/>
    <col min="6937" max="6937" width="9" style="2"/>
    <col min="6938" max="6944" width="11.125" style="2" bestFit="1" customWidth="1"/>
    <col min="6945" max="6945" width="9.625" style="2" bestFit="1" customWidth="1"/>
    <col min="6946" max="7170" width="9" style="2"/>
    <col min="7171" max="7171" width="2.375" style="2" customWidth="1"/>
    <col min="7172" max="7172" width="13.25" style="2" bestFit="1" customWidth="1"/>
    <col min="7173" max="7174" width="11.125" style="2" bestFit="1" customWidth="1"/>
    <col min="7175" max="7175" width="13.25" style="2" bestFit="1" customWidth="1"/>
    <col min="7176" max="7176" width="11.125" style="2" bestFit="1" customWidth="1"/>
    <col min="7177" max="7177" width="9" style="2"/>
    <col min="7178" max="7178" width="11.125" style="2" bestFit="1" customWidth="1"/>
    <col min="7179" max="7179" width="9" style="2"/>
    <col min="7180" max="7192" width="11.125" style="2" bestFit="1" customWidth="1"/>
    <col min="7193" max="7193" width="9" style="2"/>
    <col min="7194" max="7200" width="11.125" style="2" bestFit="1" customWidth="1"/>
    <col min="7201" max="7201" width="9.625" style="2" bestFit="1" customWidth="1"/>
    <col min="7202" max="7426" width="9" style="2"/>
    <col min="7427" max="7427" width="2.375" style="2" customWidth="1"/>
    <col min="7428" max="7428" width="13.25" style="2" bestFit="1" customWidth="1"/>
    <col min="7429" max="7430" width="11.125" style="2" bestFit="1" customWidth="1"/>
    <col min="7431" max="7431" width="13.25" style="2" bestFit="1" customWidth="1"/>
    <col min="7432" max="7432" width="11.125" style="2" bestFit="1" customWidth="1"/>
    <col min="7433" max="7433" width="9" style="2"/>
    <col min="7434" max="7434" width="11.125" style="2" bestFit="1" customWidth="1"/>
    <col min="7435" max="7435" width="9" style="2"/>
    <col min="7436" max="7448" width="11.125" style="2" bestFit="1" customWidth="1"/>
    <col min="7449" max="7449" width="9" style="2"/>
    <col min="7450" max="7456" width="11.125" style="2" bestFit="1" customWidth="1"/>
    <col min="7457" max="7457" width="9.625" style="2" bestFit="1" customWidth="1"/>
    <col min="7458" max="7682" width="9" style="2"/>
    <col min="7683" max="7683" width="2.375" style="2" customWidth="1"/>
    <col min="7684" max="7684" width="13.25" style="2" bestFit="1" customWidth="1"/>
    <col min="7685" max="7686" width="11.125" style="2" bestFit="1" customWidth="1"/>
    <col min="7687" max="7687" width="13.25" style="2" bestFit="1" customWidth="1"/>
    <col min="7688" max="7688" width="11.125" style="2" bestFit="1" customWidth="1"/>
    <col min="7689" max="7689" width="9" style="2"/>
    <col min="7690" max="7690" width="11.125" style="2" bestFit="1" customWidth="1"/>
    <col min="7691" max="7691" width="9" style="2"/>
    <col min="7692" max="7704" width="11.125" style="2" bestFit="1" customWidth="1"/>
    <col min="7705" max="7705" width="9" style="2"/>
    <col min="7706" max="7712" width="11.125" style="2" bestFit="1" customWidth="1"/>
    <col min="7713" max="7713" width="9.625" style="2" bestFit="1" customWidth="1"/>
    <col min="7714" max="7938" width="9" style="2"/>
    <col min="7939" max="7939" width="2.375" style="2" customWidth="1"/>
    <col min="7940" max="7940" width="13.25" style="2" bestFit="1" customWidth="1"/>
    <col min="7941" max="7942" width="11.125" style="2" bestFit="1" customWidth="1"/>
    <col min="7943" max="7943" width="13.25" style="2" bestFit="1" customWidth="1"/>
    <col min="7944" max="7944" width="11.125" style="2" bestFit="1" customWidth="1"/>
    <col min="7945" max="7945" width="9" style="2"/>
    <col min="7946" max="7946" width="11.125" style="2" bestFit="1" customWidth="1"/>
    <col min="7947" max="7947" width="9" style="2"/>
    <col min="7948" max="7960" width="11.125" style="2" bestFit="1" customWidth="1"/>
    <col min="7961" max="7961" width="9" style="2"/>
    <col min="7962" max="7968" width="11.125" style="2" bestFit="1" customWidth="1"/>
    <col min="7969" max="7969" width="9.625" style="2" bestFit="1" customWidth="1"/>
    <col min="7970" max="8194" width="9" style="2"/>
    <col min="8195" max="8195" width="2.375" style="2" customWidth="1"/>
    <col min="8196" max="8196" width="13.25" style="2" bestFit="1" customWidth="1"/>
    <col min="8197" max="8198" width="11.125" style="2" bestFit="1" customWidth="1"/>
    <col min="8199" max="8199" width="13.25" style="2" bestFit="1" customWidth="1"/>
    <col min="8200" max="8200" width="11.125" style="2" bestFit="1" customWidth="1"/>
    <col min="8201" max="8201" width="9" style="2"/>
    <col min="8202" max="8202" width="11.125" style="2" bestFit="1" customWidth="1"/>
    <col min="8203" max="8203" width="9" style="2"/>
    <col min="8204" max="8216" width="11.125" style="2" bestFit="1" customWidth="1"/>
    <col min="8217" max="8217" width="9" style="2"/>
    <col min="8218" max="8224" width="11.125" style="2" bestFit="1" customWidth="1"/>
    <col min="8225" max="8225" width="9.625" style="2" bestFit="1" customWidth="1"/>
    <col min="8226" max="8450" width="9" style="2"/>
    <col min="8451" max="8451" width="2.375" style="2" customWidth="1"/>
    <col min="8452" max="8452" width="13.25" style="2" bestFit="1" customWidth="1"/>
    <col min="8453" max="8454" width="11.125" style="2" bestFit="1" customWidth="1"/>
    <col min="8455" max="8455" width="13.25" style="2" bestFit="1" customWidth="1"/>
    <col min="8456" max="8456" width="11.125" style="2" bestFit="1" customWidth="1"/>
    <col min="8457" max="8457" width="9" style="2"/>
    <col min="8458" max="8458" width="11.125" style="2" bestFit="1" customWidth="1"/>
    <col min="8459" max="8459" width="9" style="2"/>
    <col min="8460" max="8472" width="11.125" style="2" bestFit="1" customWidth="1"/>
    <col min="8473" max="8473" width="9" style="2"/>
    <col min="8474" max="8480" width="11.125" style="2" bestFit="1" customWidth="1"/>
    <col min="8481" max="8481" width="9.625" style="2" bestFit="1" customWidth="1"/>
    <col min="8482" max="8706" width="9" style="2"/>
    <col min="8707" max="8707" width="2.375" style="2" customWidth="1"/>
    <col min="8708" max="8708" width="13.25" style="2" bestFit="1" customWidth="1"/>
    <col min="8709" max="8710" width="11.125" style="2" bestFit="1" customWidth="1"/>
    <col min="8711" max="8711" width="13.25" style="2" bestFit="1" customWidth="1"/>
    <col min="8712" max="8712" width="11.125" style="2" bestFit="1" customWidth="1"/>
    <col min="8713" max="8713" width="9" style="2"/>
    <col min="8714" max="8714" width="11.125" style="2" bestFit="1" customWidth="1"/>
    <col min="8715" max="8715" width="9" style="2"/>
    <col min="8716" max="8728" width="11.125" style="2" bestFit="1" customWidth="1"/>
    <col min="8729" max="8729" width="9" style="2"/>
    <col min="8730" max="8736" width="11.125" style="2" bestFit="1" customWidth="1"/>
    <col min="8737" max="8737" width="9.625" style="2" bestFit="1" customWidth="1"/>
    <col min="8738" max="8962" width="9" style="2"/>
    <col min="8963" max="8963" width="2.375" style="2" customWidth="1"/>
    <col min="8964" max="8964" width="13.25" style="2" bestFit="1" customWidth="1"/>
    <col min="8965" max="8966" width="11.125" style="2" bestFit="1" customWidth="1"/>
    <col min="8967" max="8967" width="13.25" style="2" bestFit="1" customWidth="1"/>
    <col min="8968" max="8968" width="11.125" style="2" bestFit="1" customWidth="1"/>
    <col min="8969" max="8969" width="9" style="2"/>
    <col min="8970" max="8970" width="11.125" style="2" bestFit="1" customWidth="1"/>
    <col min="8971" max="8971" width="9" style="2"/>
    <col min="8972" max="8984" width="11.125" style="2" bestFit="1" customWidth="1"/>
    <col min="8985" max="8985" width="9" style="2"/>
    <col min="8986" max="8992" width="11.125" style="2" bestFit="1" customWidth="1"/>
    <col min="8993" max="8993" width="9.625" style="2" bestFit="1" customWidth="1"/>
    <col min="8994" max="9218" width="9" style="2"/>
    <col min="9219" max="9219" width="2.375" style="2" customWidth="1"/>
    <col min="9220" max="9220" width="13.25" style="2" bestFit="1" customWidth="1"/>
    <col min="9221" max="9222" width="11.125" style="2" bestFit="1" customWidth="1"/>
    <col min="9223" max="9223" width="13.25" style="2" bestFit="1" customWidth="1"/>
    <col min="9224" max="9224" width="11.125" style="2" bestFit="1" customWidth="1"/>
    <col min="9225" max="9225" width="9" style="2"/>
    <col min="9226" max="9226" width="11.125" style="2" bestFit="1" customWidth="1"/>
    <col min="9227" max="9227" width="9" style="2"/>
    <col min="9228" max="9240" width="11.125" style="2" bestFit="1" customWidth="1"/>
    <col min="9241" max="9241" width="9" style="2"/>
    <col min="9242" max="9248" width="11.125" style="2" bestFit="1" customWidth="1"/>
    <col min="9249" max="9249" width="9.625" style="2" bestFit="1" customWidth="1"/>
    <col min="9250" max="9474" width="9" style="2"/>
    <col min="9475" max="9475" width="2.375" style="2" customWidth="1"/>
    <col min="9476" max="9476" width="13.25" style="2" bestFit="1" customWidth="1"/>
    <col min="9477" max="9478" width="11.125" style="2" bestFit="1" customWidth="1"/>
    <col min="9479" max="9479" width="13.25" style="2" bestFit="1" customWidth="1"/>
    <col min="9480" max="9480" width="11.125" style="2" bestFit="1" customWidth="1"/>
    <col min="9481" max="9481" width="9" style="2"/>
    <col min="9482" max="9482" width="11.125" style="2" bestFit="1" customWidth="1"/>
    <col min="9483" max="9483" width="9" style="2"/>
    <col min="9484" max="9496" width="11.125" style="2" bestFit="1" customWidth="1"/>
    <col min="9497" max="9497" width="9" style="2"/>
    <col min="9498" max="9504" width="11.125" style="2" bestFit="1" customWidth="1"/>
    <col min="9505" max="9505" width="9.625" style="2" bestFit="1" customWidth="1"/>
    <col min="9506" max="9730" width="9" style="2"/>
    <col min="9731" max="9731" width="2.375" style="2" customWidth="1"/>
    <col min="9732" max="9732" width="13.25" style="2" bestFit="1" customWidth="1"/>
    <col min="9733" max="9734" width="11.125" style="2" bestFit="1" customWidth="1"/>
    <col min="9735" max="9735" width="13.25" style="2" bestFit="1" customWidth="1"/>
    <col min="9736" max="9736" width="11.125" style="2" bestFit="1" customWidth="1"/>
    <col min="9737" max="9737" width="9" style="2"/>
    <col min="9738" max="9738" width="11.125" style="2" bestFit="1" customWidth="1"/>
    <col min="9739" max="9739" width="9" style="2"/>
    <col min="9740" max="9752" width="11.125" style="2" bestFit="1" customWidth="1"/>
    <col min="9753" max="9753" width="9" style="2"/>
    <col min="9754" max="9760" width="11.125" style="2" bestFit="1" customWidth="1"/>
    <col min="9761" max="9761" width="9.625" style="2" bestFit="1" customWidth="1"/>
    <col min="9762" max="9986" width="9" style="2"/>
    <col min="9987" max="9987" width="2.375" style="2" customWidth="1"/>
    <col min="9988" max="9988" width="13.25" style="2" bestFit="1" customWidth="1"/>
    <col min="9989" max="9990" width="11.125" style="2" bestFit="1" customWidth="1"/>
    <col min="9991" max="9991" width="13.25" style="2" bestFit="1" customWidth="1"/>
    <col min="9992" max="9992" width="11.125" style="2" bestFit="1" customWidth="1"/>
    <col min="9993" max="9993" width="9" style="2"/>
    <col min="9994" max="9994" width="11.125" style="2" bestFit="1" customWidth="1"/>
    <col min="9995" max="9995" width="9" style="2"/>
    <col min="9996" max="10008" width="11.125" style="2" bestFit="1" customWidth="1"/>
    <col min="10009" max="10009" width="9" style="2"/>
    <col min="10010" max="10016" width="11.125" style="2" bestFit="1" customWidth="1"/>
    <col min="10017" max="10017" width="9.625" style="2" bestFit="1" customWidth="1"/>
    <col min="10018" max="10242" width="9" style="2"/>
    <col min="10243" max="10243" width="2.375" style="2" customWidth="1"/>
    <col min="10244" max="10244" width="13.25" style="2" bestFit="1" customWidth="1"/>
    <col min="10245" max="10246" width="11.125" style="2" bestFit="1" customWidth="1"/>
    <col min="10247" max="10247" width="13.25" style="2" bestFit="1" customWidth="1"/>
    <col min="10248" max="10248" width="11.125" style="2" bestFit="1" customWidth="1"/>
    <col min="10249" max="10249" width="9" style="2"/>
    <col min="10250" max="10250" width="11.125" style="2" bestFit="1" customWidth="1"/>
    <col min="10251" max="10251" width="9" style="2"/>
    <col min="10252" max="10264" width="11.125" style="2" bestFit="1" customWidth="1"/>
    <col min="10265" max="10265" width="9" style="2"/>
    <col min="10266" max="10272" width="11.125" style="2" bestFit="1" customWidth="1"/>
    <col min="10273" max="10273" width="9.625" style="2" bestFit="1" customWidth="1"/>
    <col min="10274" max="10498" width="9" style="2"/>
    <col min="10499" max="10499" width="2.375" style="2" customWidth="1"/>
    <col min="10500" max="10500" width="13.25" style="2" bestFit="1" customWidth="1"/>
    <col min="10501" max="10502" width="11.125" style="2" bestFit="1" customWidth="1"/>
    <col min="10503" max="10503" width="13.25" style="2" bestFit="1" customWidth="1"/>
    <col min="10504" max="10504" width="11.125" style="2" bestFit="1" customWidth="1"/>
    <col min="10505" max="10505" width="9" style="2"/>
    <col min="10506" max="10506" width="11.125" style="2" bestFit="1" customWidth="1"/>
    <col min="10507" max="10507" width="9" style="2"/>
    <col min="10508" max="10520" width="11.125" style="2" bestFit="1" customWidth="1"/>
    <col min="10521" max="10521" width="9" style="2"/>
    <col min="10522" max="10528" width="11.125" style="2" bestFit="1" customWidth="1"/>
    <col min="10529" max="10529" width="9.625" style="2" bestFit="1" customWidth="1"/>
    <col min="10530" max="10754" width="9" style="2"/>
    <col min="10755" max="10755" width="2.375" style="2" customWidth="1"/>
    <col min="10756" max="10756" width="13.25" style="2" bestFit="1" customWidth="1"/>
    <col min="10757" max="10758" width="11.125" style="2" bestFit="1" customWidth="1"/>
    <col min="10759" max="10759" width="13.25" style="2" bestFit="1" customWidth="1"/>
    <col min="10760" max="10760" width="11.125" style="2" bestFit="1" customWidth="1"/>
    <col min="10761" max="10761" width="9" style="2"/>
    <col min="10762" max="10762" width="11.125" style="2" bestFit="1" customWidth="1"/>
    <col min="10763" max="10763" width="9" style="2"/>
    <col min="10764" max="10776" width="11.125" style="2" bestFit="1" customWidth="1"/>
    <col min="10777" max="10777" width="9" style="2"/>
    <col min="10778" max="10784" width="11.125" style="2" bestFit="1" customWidth="1"/>
    <col min="10785" max="10785" width="9.625" style="2" bestFit="1" customWidth="1"/>
    <col min="10786" max="11010" width="9" style="2"/>
    <col min="11011" max="11011" width="2.375" style="2" customWidth="1"/>
    <col min="11012" max="11012" width="13.25" style="2" bestFit="1" customWidth="1"/>
    <col min="11013" max="11014" width="11.125" style="2" bestFit="1" customWidth="1"/>
    <col min="11015" max="11015" width="13.25" style="2" bestFit="1" customWidth="1"/>
    <col min="11016" max="11016" width="11.125" style="2" bestFit="1" customWidth="1"/>
    <col min="11017" max="11017" width="9" style="2"/>
    <col min="11018" max="11018" width="11.125" style="2" bestFit="1" customWidth="1"/>
    <col min="11019" max="11019" width="9" style="2"/>
    <col min="11020" max="11032" width="11.125" style="2" bestFit="1" customWidth="1"/>
    <col min="11033" max="11033" width="9" style="2"/>
    <col min="11034" max="11040" width="11.125" style="2" bestFit="1" customWidth="1"/>
    <col min="11041" max="11041" width="9.625" style="2" bestFit="1" customWidth="1"/>
    <col min="11042" max="11266" width="9" style="2"/>
    <col min="11267" max="11267" width="2.375" style="2" customWidth="1"/>
    <col min="11268" max="11268" width="13.25" style="2" bestFit="1" customWidth="1"/>
    <col min="11269" max="11270" width="11.125" style="2" bestFit="1" customWidth="1"/>
    <col min="11271" max="11271" width="13.25" style="2" bestFit="1" customWidth="1"/>
    <col min="11272" max="11272" width="11.125" style="2" bestFit="1" customWidth="1"/>
    <col min="11273" max="11273" width="9" style="2"/>
    <col min="11274" max="11274" width="11.125" style="2" bestFit="1" customWidth="1"/>
    <col min="11275" max="11275" width="9" style="2"/>
    <col min="11276" max="11288" width="11.125" style="2" bestFit="1" customWidth="1"/>
    <col min="11289" max="11289" width="9" style="2"/>
    <col min="11290" max="11296" width="11.125" style="2" bestFit="1" customWidth="1"/>
    <col min="11297" max="11297" width="9.625" style="2" bestFit="1" customWidth="1"/>
    <col min="11298" max="11522" width="9" style="2"/>
    <col min="11523" max="11523" width="2.375" style="2" customWidth="1"/>
    <col min="11524" max="11524" width="13.25" style="2" bestFit="1" customWidth="1"/>
    <col min="11525" max="11526" width="11.125" style="2" bestFit="1" customWidth="1"/>
    <col min="11527" max="11527" width="13.25" style="2" bestFit="1" customWidth="1"/>
    <col min="11528" max="11528" width="11.125" style="2" bestFit="1" customWidth="1"/>
    <col min="11529" max="11529" width="9" style="2"/>
    <col min="11530" max="11530" width="11.125" style="2" bestFit="1" customWidth="1"/>
    <col min="11531" max="11531" width="9" style="2"/>
    <col min="11532" max="11544" width="11.125" style="2" bestFit="1" customWidth="1"/>
    <col min="11545" max="11545" width="9" style="2"/>
    <col min="11546" max="11552" width="11.125" style="2" bestFit="1" customWidth="1"/>
    <col min="11553" max="11553" width="9.625" style="2" bestFit="1" customWidth="1"/>
    <col min="11554" max="11778" width="9" style="2"/>
    <col min="11779" max="11779" width="2.375" style="2" customWidth="1"/>
    <col min="11780" max="11780" width="13.25" style="2" bestFit="1" customWidth="1"/>
    <col min="11781" max="11782" width="11.125" style="2" bestFit="1" customWidth="1"/>
    <col min="11783" max="11783" width="13.25" style="2" bestFit="1" customWidth="1"/>
    <col min="11784" max="11784" width="11.125" style="2" bestFit="1" customWidth="1"/>
    <col min="11785" max="11785" width="9" style="2"/>
    <col min="11786" max="11786" width="11.125" style="2" bestFit="1" customWidth="1"/>
    <col min="11787" max="11787" width="9" style="2"/>
    <col min="11788" max="11800" width="11.125" style="2" bestFit="1" customWidth="1"/>
    <col min="11801" max="11801" width="9" style="2"/>
    <col min="11802" max="11808" width="11.125" style="2" bestFit="1" customWidth="1"/>
    <col min="11809" max="11809" width="9.625" style="2" bestFit="1" customWidth="1"/>
    <col min="11810" max="12034" width="9" style="2"/>
    <col min="12035" max="12035" width="2.375" style="2" customWidth="1"/>
    <col min="12036" max="12036" width="13.25" style="2" bestFit="1" customWidth="1"/>
    <col min="12037" max="12038" width="11.125" style="2" bestFit="1" customWidth="1"/>
    <col min="12039" max="12039" width="13.25" style="2" bestFit="1" customWidth="1"/>
    <col min="12040" max="12040" width="11.125" style="2" bestFit="1" customWidth="1"/>
    <col min="12041" max="12041" width="9" style="2"/>
    <col min="12042" max="12042" width="11.125" style="2" bestFit="1" customWidth="1"/>
    <col min="12043" max="12043" width="9" style="2"/>
    <col min="12044" max="12056" width="11.125" style="2" bestFit="1" customWidth="1"/>
    <col min="12057" max="12057" width="9" style="2"/>
    <col min="12058" max="12064" width="11.125" style="2" bestFit="1" customWidth="1"/>
    <col min="12065" max="12065" width="9.625" style="2" bestFit="1" customWidth="1"/>
    <col min="12066" max="12290" width="9" style="2"/>
    <col min="12291" max="12291" width="2.375" style="2" customWidth="1"/>
    <col min="12292" max="12292" width="13.25" style="2" bestFit="1" customWidth="1"/>
    <col min="12293" max="12294" width="11.125" style="2" bestFit="1" customWidth="1"/>
    <col min="12295" max="12295" width="13.25" style="2" bestFit="1" customWidth="1"/>
    <col min="12296" max="12296" width="11.125" style="2" bestFit="1" customWidth="1"/>
    <col min="12297" max="12297" width="9" style="2"/>
    <col min="12298" max="12298" width="11.125" style="2" bestFit="1" customWidth="1"/>
    <col min="12299" max="12299" width="9" style="2"/>
    <col min="12300" max="12312" width="11.125" style="2" bestFit="1" customWidth="1"/>
    <col min="12313" max="12313" width="9" style="2"/>
    <col min="12314" max="12320" width="11.125" style="2" bestFit="1" customWidth="1"/>
    <col min="12321" max="12321" width="9.625" style="2" bestFit="1" customWidth="1"/>
    <col min="12322" max="12546" width="9" style="2"/>
    <col min="12547" max="12547" width="2.375" style="2" customWidth="1"/>
    <col min="12548" max="12548" width="13.25" style="2" bestFit="1" customWidth="1"/>
    <col min="12549" max="12550" width="11.125" style="2" bestFit="1" customWidth="1"/>
    <col min="12551" max="12551" width="13.25" style="2" bestFit="1" customWidth="1"/>
    <col min="12552" max="12552" width="11.125" style="2" bestFit="1" customWidth="1"/>
    <col min="12553" max="12553" width="9" style="2"/>
    <col min="12554" max="12554" width="11.125" style="2" bestFit="1" customWidth="1"/>
    <col min="12555" max="12555" width="9" style="2"/>
    <col min="12556" max="12568" width="11.125" style="2" bestFit="1" customWidth="1"/>
    <col min="12569" max="12569" width="9" style="2"/>
    <col min="12570" max="12576" width="11.125" style="2" bestFit="1" customWidth="1"/>
    <col min="12577" max="12577" width="9.625" style="2" bestFit="1" customWidth="1"/>
    <col min="12578" max="12802" width="9" style="2"/>
    <col min="12803" max="12803" width="2.375" style="2" customWidth="1"/>
    <col min="12804" max="12804" width="13.25" style="2" bestFit="1" customWidth="1"/>
    <col min="12805" max="12806" width="11.125" style="2" bestFit="1" customWidth="1"/>
    <col min="12807" max="12807" width="13.25" style="2" bestFit="1" customWidth="1"/>
    <col min="12808" max="12808" width="11.125" style="2" bestFit="1" customWidth="1"/>
    <col min="12809" max="12809" width="9" style="2"/>
    <col min="12810" max="12810" width="11.125" style="2" bestFit="1" customWidth="1"/>
    <col min="12811" max="12811" width="9" style="2"/>
    <col min="12812" max="12824" width="11.125" style="2" bestFit="1" customWidth="1"/>
    <col min="12825" max="12825" width="9" style="2"/>
    <col min="12826" max="12832" width="11.125" style="2" bestFit="1" customWidth="1"/>
    <col min="12833" max="12833" width="9.625" style="2" bestFit="1" customWidth="1"/>
    <col min="12834" max="13058" width="9" style="2"/>
    <col min="13059" max="13059" width="2.375" style="2" customWidth="1"/>
    <col min="13060" max="13060" width="13.25" style="2" bestFit="1" customWidth="1"/>
    <col min="13061" max="13062" width="11.125" style="2" bestFit="1" customWidth="1"/>
    <col min="13063" max="13063" width="13.25" style="2" bestFit="1" customWidth="1"/>
    <col min="13064" max="13064" width="11.125" style="2" bestFit="1" customWidth="1"/>
    <col min="13065" max="13065" width="9" style="2"/>
    <col min="13066" max="13066" width="11.125" style="2" bestFit="1" customWidth="1"/>
    <col min="13067" max="13067" width="9" style="2"/>
    <col min="13068" max="13080" width="11.125" style="2" bestFit="1" customWidth="1"/>
    <col min="13081" max="13081" width="9" style="2"/>
    <col min="13082" max="13088" width="11.125" style="2" bestFit="1" customWidth="1"/>
    <col min="13089" max="13089" width="9.625" style="2" bestFit="1" customWidth="1"/>
    <col min="13090" max="13314" width="9" style="2"/>
    <col min="13315" max="13315" width="2.375" style="2" customWidth="1"/>
    <col min="13316" max="13316" width="13.25" style="2" bestFit="1" customWidth="1"/>
    <col min="13317" max="13318" width="11.125" style="2" bestFit="1" customWidth="1"/>
    <col min="13319" max="13319" width="13.25" style="2" bestFit="1" customWidth="1"/>
    <col min="13320" max="13320" width="11.125" style="2" bestFit="1" customWidth="1"/>
    <col min="13321" max="13321" width="9" style="2"/>
    <col min="13322" max="13322" width="11.125" style="2" bestFit="1" customWidth="1"/>
    <col min="13323" max="13323" width="9" style="2"/>
    <col min="13324" max="13336" width="11.125" style="2" bestFit="1" customWidth="1"/>
    <col min="13337" max="13337" width="9" style="2"/>
    <col min="13338" max="13344" width="11.125" style="2" bestFit="1" customWidth="1"/>
    <col min="13345" max="13345" width="9.625" style="2" bestFit="1" customWidth="1"/>
    <col min="13346" max="13570" width="9" style="2"/>
    <col min="13571" max="13571" width="2.375" style="2" customWidth="1"/>
    <col min="13572" max="13572" width="13.25" style="2" bestFit="1" customWidth="1"/>
    <col min="13573" max="13574" width="11.125" style="2" bestFit="1" customWidth="1"/>
    <col min="13575" max="13575" width="13.25" style="2" bestFit="1" customWidth="1"/>
    <col min="13576" max="13576" width="11.125" style="2" bestFit="1" customWidth="1"/>
    <col min="13577" max="13577" width="9" style="2"/>
    <col min="13578" max="13578" width="11.125" style="2" bestFit="1" customWidth="1"/>
    <col min="13579" max="13579" width="9" style="2"/>
    <col min="13580" max="13592" width="11.125" style="2" bestFit="1" customWidth="1"/>
    <col min="13593" max="13593" width="9" style="2"/>
    <col min="13594" max="13600" width="11.125" style="2" bestFit="1" customWidth="1"/>
    <col min="13601" max="13601" width="9.625" style="2" bestFit="1" customWidth="1"/>
    <col min="13602" max="13826" width="9" style="2"/>
    <col min="13827" max="13827" width="2.375" style="2" customWidth="1"/>
    <col min="13828" max="13828" width="13.25" style="2" bestFit="1" customWidth="1"/>
    <col min="13829" max="13830" width="11.125" style="2" bestFit="1" customWidth="1"/>
    <col min="13831" max="13831" width="13.25" style="2" bestFit="1" customWidth="1"/>
    <col min="13832" max="13832" width="11.125" style="2" bestFit="1" customWidth="1"/>
    <col min="13833" max="13833" width="9" style="2"/>
    <col min="13834" max="13834" width="11.125" style="2" bestFit="1" customWidth="1"/>
    <col min="13835" max="13835" width="9" style="2"/>
    <col min="13836" max="13848" width="11.125" style="2" bestFit="1" customWidth="1"/>
    <col min="13849" max="13849" width="9" style="2"/>
    <col min="13850" max="13856" width="11.125" style="2" bestFit="1" customWidth="1"/>
    <col min="13857" max="13857" width="9.625" style="2" bestFit="1" customWidth="1"/>
    <col min="13858" max="14082" width="9" style="2"/>
    <col min="14083" max="14083" width="2.375" style="2" customWidth="1"/>
    <col min="14084" max="14084" width="13.25" style="2" bestFit="1" customWidth="1"/>
    <col min="14085" max="14086" width="11.125" style="2" bestFit="1" customWidth="1"/>
    <col min="14087" max="14087" width="13.25" style="2" bestFit="1" customWidth="1"/>
    <col min="14088" max="14088" width="11.125" style="2" bestFit="1" customWidth="1"/>
    <col min="14089" max="14089" width="9" style="2"/>
    <col min="14090" max="14090" width="11.125" style="2" bestFit="1" customWidth="1"/>
    <col min="14091" max="14091" width="9" style="2"/>
    <col min="14092" max="14104" width="11.125" style="2" bestFit="1" customWidth="1"/>
    <col min="14105" max="14105" width="9" style="2"/>
    <col min="14106" max="14112" width="11.125" style="2" bestFit="1" customWidth="1"/>
    <col min="14113" max="14113" width="9.625" style="2" bestFit="1" customWidth="1"/>
    <col min="14114" max="14338" width="9" style="2"/>
    <col min="14339" max="14339" width="2.375" style="2" customWidth="1"/>
    <col min="14340" max="14340" width="13.25" style="2" bestFit="1" customWidth="1"/>
    <col min="14341" max="14342" width="11.125" style="2" bestFit="1" customWidth="1"/>
    <col min="14343" max="14343" width="13.25" style="2" bestFit="1" customWidth="1"/>
    <col min="14344" max="14344" width="11.125" style="2" bestFit="1" customWidth="1"/>
    <col min="14345" max="14345" width="9" style="2"/>
    <col min="14346" max="14346" width="11.125" style="2" bestFit="1" customWidth="1"/>
    <col min="14347" max="14347" width="9" style="2"/>
    <col min="14348" max="14360" width="11.125" style="2" bestFit="1" customWidth="1"/>
    <col min="14361" max="14361" width="9" style="2"/>
    <col min="14362" max="14368" width="11.125" style="2" bestFit="1" customWidth="1"/>
    <col min="14369" max="14369" width="9.625" style="2" bestFit="1" customWidth="1"/>
    <col min="14370" max="14594" width="9" style="2"/>
    <col min="14595" max="14595" width="2.375" style="2" customWidth="1"/>
    <col min="14596" max="14596" width="13.25" style="2" bestFit="1" customWidth="1"/>
    <col min="14597" max="14598" width="11.125" style="2" bestFit="1" customWidth="1"/>
    <col min="14599" max="14599" width="13.25" style="2" bestFit="1" customWidth="1"/>
    <col min="14600" max="14600" width="11.125" style="2" bestFit="1" customWidth="1"/>
    <col min="14601" max="14601" width="9" style="2"/>
    <col min="14602" max="14602" width="11.125" style="2" bestFit="1" customWidth="1"/>
    <col min="14603" max="14603" width="9" style="2"/>
    <col min="14604" max="14616" width="11.125" style="2" bestFit="1" customWidth="1"/>
    <col min="14617" max="14617" width="9" style="2"/>
    <col min="14618" max="14624" width="11.125" style="2" bestFit="1" customWidth="1"/>
    <col min="14625" max="14625" width="9.625" style="2" bestFit="1" customWidth="1"/>
    <col min="14626" max="14850" width="9" style="2"/>
    <col min="14851" max="14851" width="2.375" style="2" customWidth="1"/>
    <col min="14852" max="14852" width="13.25" style="2" bestFit="1" customWidth="1"/>
    <col min="14853" max="14854" width="11.125" style="2" bestFit="1" customWidth="1"/>
    <col min="14855" max="14855" width="13.25" style="2" bestFit="1" customWidth="1"/>
    <col min="14856" max="14856" width="11.125" style="2" bestFit="1" customWidth="1"/>
    <col min="14857" max="14857" width="9" style="2"/>
    <col min="14858" max="14858" width="11.125" style="2" bestFit="1" customWidth="1"/>
    <col min="14859" max="14859" width="9" style="2"/>
    <col min="14860" max="14872" width="11.125" style="2" bestFit="1" customWidth="1"/>
    <col min="14873" max="14873" width="9" style="2"/>
    <col min="14874" max="14880" width="11.125" style="2" bestFit="1" customWidth="1"/>
    <col min="14881" max="14881" width="9.625" style="2" bestFit="1" customWidth="1"/>
    <col min="14882" max="15106" width="9" style="2"/>
    <col min="15107" max="15107" width="2.375" style="2" customWidth="1"/>
    <col min="15108" max="15108" width="13.25" style="2" bestFit="1" customWidth="1"/>
    <col min="15109" max="15110" width="11.125" style="2" bestFit="1" customWidth="1"/>
    <col min="15111" max="15111" width="13.25" style="2" bestFit="1" customWidth="1"/>
    <col min="15112" max="15112" width="11.125" style="2" bestFit="1" customWidth="1"/>
    <col min="15113" max="15113" width="9" style="2"/>
    <col min="15114" max="15114" width="11.125" style="2" bestFit="1" customWidth="1"/>
    <col min="15115" max="15115" width="9" style="2"/>
    <col min="15116" max="15128" width="11.125" style="2" bestFit="1" customWidth="1"/>
    <col min="15129" max="15129" width="9" style="2"/>
    <col min="15130" max="15136" width="11.125" style="2" bestFit="1" customWidth="1"/>
    <col min="15137" max="15137" width="9.625" style="2" bestFit="1" customWidth="1"/>
    <col min="15138" max="15362" width="9" style="2"/>
    <col min="15363" max="15363" width="2.375" style="2" customWidth="1"/>
    <col min="15364" max="15364" width="13.25" style="2" bestFit="1" customWidth="1"/>
    <col min="15365" max="15366" width="11.125" style="2" bestFit="1" customWidth="1"/>
    <col min="15367" max="15367" width="13.25" style="2" bestFit="1" customWidth="1"/>
    <col min="15368" max="15368" width="11.125" style="2" bestFit="1" customWidth="1"/>
    <col min="15369" max="15369" width="9" style="2"/>
    <col min="15370" max="15370" width="11.125" style="2" bestFit="1" customWidth="1"/>
    <col min="15371" max="15371" width="9" style="2"/>
    <col min="15372" max="15384" width="11.125" style="2" bestFit="1" customWidth="1"/>
    <col min="15385" max="15385" width="9" style="2"/>
    <col min="15386" max="15392" width="11.125" style="2" bestFit="1" customWidth="1"/>
    <col min="15393" max="15393" width="9.625" style="2" bestFit="1" customWidth="1"/>
    <col min="15394" max="15618" width="9" style="2"/>
    <col min="15619" max="15619" width="2.375" style="2" customWidth="1"/>
    <col min="15620" max="15620" width="13.25" style="2" bestFit="1" customWidth="1"/>
    <col min="15621" max="15622" width="11.125" style="2" bestFit="1" customWidth="1"/>
    <col min="15623" max="15623" width="13.25" style="2" bestFit="1" customWidth="1"/>
    <col min="15624" max="15624" width="11.125" style="2" bestFit="1" customWidth="1"/>
    <col min="15625" max="15625" width="9" style="2"/>
    <col min="15626" max="15626" width="11.125" style="2" bestFit="1" customWidth="1"/>
    <col min="15627" max="15627" width="9" style="2"/>
    <col min="15628" max="15640" width="11.125" style="2" bestFit="1" customWidth="1"/>
    <col min="15641" max="15641" width="9" style="2"/>
    <col min="15642" max="15648" width="11.125" style="2" bestFit="1" customWidth="1"/>
    <col min="15649" max="15649" width="9.625" style="2" bestFit="1" customWidth="1"/>
    <col min="15650" max="15874" width="9" style="2"/>
    <col min="15875" max="15875" width="2.375" style="2" customWidth="1"/>
    <col min="15876" max="15876" width="13.25" style="2" bestFit="1" customWidth="1"/>
    <col min="15877" max="15878" width="11.125" style="2" bestFit="1" customWidth="1"/>
    <col min="15879" max="15879" width="13.25" style="2" bestFit="1" customWidth="1"/>
    <col min="15880" max="15880" width="11.125" style="2" bestFit="1" customWidth="1"/>
    <col min="15881" max="15881" width="9" style="2"/>
    <col min="15882" max="15882" width="11.125" style="2" bestFit="1" customWidth="1"/>
    <col min="15883" max="15883" width="9" style="2"/>
    <col min="15884" max="15896" width="11.125" style="2" bestFit="1" customWidth="1"/>
    <col min="15897" max="15897" width="9" style="2"/>
    <col min="15898" max="15904" width="11.125" style="2" bestFit="1" customWidth="1"/>
    <col min="15905" max="15905" width="9.625" style="2" bestFit="1" customWidth="1"/>
    <col min="15906" max="16130" width="9" style="2"/>
    <col min="16131" max="16131" width="2.375" style="2" customWidth="1"/>
    <col min="16132" max="16132" width="13.25" style="2" bestFit="1" customWidth="1"/>
    <col min="16133" max="16134" width="11.125" style="2" bestFit="1" customWidth="1"/>
    <col min="16135" max="16135" width="13.25" style="2" bestFit="1" customWidth="1"/>
    <col min="16136" max="16136" width="11.125" style="2" bestFit="1" customWidth="1"/>
    <col min="16137" max="16137" width="9" style="2"/>
    <col min="16138" max="16138" width="11.125" style="2" bestFit="1" customWidth="1"/>
    <col min="16139" max="16139" width="9" style="2"/>
    <col min="16140" max="16152" width="11.125" style="2" bestFit="1" customWidth="1"/>
    <col min="16153" max="16153" width="9" style="2"/>
    <col min="16154" max="16160" width="11.125" style="2" bestFit="1" customWidth="1"/>
    <col min="16161" max="16161" width="9.625" style="2" bestFit="1" customWidth="1"/>
    <col min="16162" max="16384" width="9" style="2"/>
  </cols>
  <sheetData>
    <row r="1" spans="1:34">
      <c r="A1" s="1" t="s">
        <v>0</v>
      </c>
    </row>
    <row r="2" spans="1:34" ht="19.5" thickBot="1">
      <c r="A2" s="1" t="s">
        <v>106</v>
      </c>
    </row>
    <row r="3" spans="1:34">
      <c r="B3" s="4"/>
      <c r="C3" s="34" t="s">
        <v>2</v>
      </c>
      <c r="D3" s="35" t="s">
        <v>3</v>
      </c>
      <c r="E3" s="35" t="s">
        <v>6</v>
      </c>
      <c r="F3" s="35" t="s">
        <v>7</v>
      </c>
      <c r="G3" s="35" t="s">
        <v>8</v>
      </c>
      <c r="H3" s="35" t="s">
        <v>9</v>
      </c>
      <c r="I3" s="35" t="s">
        <v>10</v>
      </c>
      <c r="J3" s="35" t="s">
        <v>11</v>
      </c>
      <c r="K3" s="35" t="s">
        <v>12</v>
      </c>
      <c r="L3" s="35" t="s">
        <v>13</v>
      </c>
      <c r="M3" s="35" t="s">
        <v>14</v>
      </c>
      <c r="N3" s="35" t="s">
        <v>15</v>
      </c>
      <c r="O3" s="35" t="s">
        <v>16</v>
      </c>
      <c r="P3" s="35" t="s">
        <v>18</v>
      </c>
      <c r="Q3" s="35" t="s">
        <v>19</v>
      </c>
      <c r="R3" s="35" t="s">
        <v>20</v>
      </c>
      <c r="S3" s="35" t="s">
        <v>21</v>
      </c>
      <c r="T3" s="35" t="s">
        <v>22</v>
      </c>
      <c r="U3" s="61" t="s">
        <v>23</v>
      </c>
      <c r="V3" s="85" t="s">
        <v>107</v>
      </c>
      <c r="W3" s="73" t="s">
        <v>17</v>
      </c>
      <c r="X3" s="35" t="s">
        <v>4</v>
      </c>
      <c r="Y3" s="35" t="s">
        <v>26</v>
      </c>
      <c r="Z3" s="35" t="s">
        <v>27</v>
      </c>
      <c r="AA3" s="35" t="s">
        <v>24</v>
      </c>
      <c r="AB3" s="35" t="s">
        <v>25</v>
      </c>
      <c r="AC3" s="35" t="s">
        <v>28</v>
      </c>
      <c r="AD3" s="87" t="s">
        <v>29</v>
      </c>
      <c r="AE3" s="85" t="s">
        <v>107</v>
      </c>
      <c r="AF3" s="88" t="s">
        <v>5</v>
      </c>
      <c r="AG3" s="85" t="s">
        <v>107</v>
      </c>
      <c r="AH3" s="89" t="s">
        <v>58</v>
      </c>
    </row>
    <row r="4" spans="1:34" ht="19.5" thickBot="1">
      <c r="B4" s="5" t="s">
        <v>30</v>
      </c>
      <c r="C4" s="36" t="s">
        <v>31</v>
      </c>
      <c r="D4" s="37" t="s">
        <v>32</v>
      </c>
      <c r="E4" s="37" t="s">
        <v>34</v>
      </c>
      <c r="F4" s="37" t="s">
        <v>35</v>
      </c>
      <c r="G4" s="37" t="s">
        <v>36</v>
      </c>
      <c r="H4" s="37" t="s">
        <v>37</v>
      </c>
      <c r="I4" s="37" t="s">
        <v>38</v>
      </c>
      <c r="J4" s="37" t="s">
        <v>39</v>
      </c>
      <c r="K4" s="37" t="s">
        <v>40</v>
      </c>
      <c r="L4" s="37" t="s">
        <v>41</v>
      </c>
      <c r="M4" s="37" t="s">
        <v>42</v>
      </c>
      <c r="N4" s="37" t="s">
        <v>43</v>
      </c>
      <c r="O4" s="37" t="s">
        <v>44</v>
      </c>
      <c r="P4" s="37" t="s">
        <v>46</v>
      </c>
      <c r="Q4" s="37" t="s">
        <v>47</v>
      </c>
      <c r="R4" s="37" t="s">
        <v>48</v>
      </c>
      <c r="S4" s="37" t="s">
        <v>49</v>
      </c>
      <c r="T4" s="37" t="s">
        <v>50</v>
      </c>
      <c r="U4" s="62" t="s">
        <v>51</v>
      </c>
      <c r="V4" s="86" t="s">
        <v>108</v>
      </c>
      <c r="W4" s="74" t="s">
        <v>45</v>
      </c>
      <c r="X4" s="37" t="s">
        <v>105</v>
      </c>
      <c r="Y4" s="37" t="s">
        <v>54</v>
      </c>
      <c r="Z4" s="37" t="s">
        <v>55</v>
      </c>
      <c r="AA4" s="37" t="s">
        <v>52</v>
      </c>
      <c r="AB4" s="37" t="s">
        <v>53</v>
      </c>
      <c r="AC4" s="37" t="s">
        <v>56</v>
      </c>
      <c r="AD4" s="3" t="s">
        <v>57</v>
      </c>
      <c r="AE4" s="86" t="s">
        <v>109</v>
      </c>
      <c r="AF4" s="86" t="s">
        <v>33</v>
      </c>
      <c r="AG4" s="86" t="s">
        <v>110</v>
      </c>
      <c r="AH4" s="5" t="s">
        <v>111</v>
      </c>
    </row>
    <row r="5" spans="1:34">
      <c r="A5" s="1" t="s">
        <v>1</v>
      </c>
      <c r="B5" s="26" t="s">
        <v>59</v>
      </c>
      <c r="C5" s="38">
        <v>19</v>
      </c>
      <c r="D5" s="39">
        <v>20</v>
      </c>
      <c r="E5" s="39">
        <v>13</v>
      </c>
      <c r="F5" s="39">
        <v>20</v>
      </c>
      <c r="G5" s="39">
        <v>19</v>
      </c>
      <c r="H5" s="39">
        <v>20</v>
      </c>
      <c r="I5" s="39">
        <v>18</v>
      </c>
      <c r="J5" s="39">
        <v>20</v>
      </c>
      <c r="K5" s="39">
        <v>20</v>
      </c>
      <c r="L5" s="39">
        <v>19</v>
      </c>
      <c r="M5" s="39">
        <v>11</v>
      </c>
      <c r="N5" s="39">
        <v>17</v>
      </c>
      <c r="O5" s="39">
        <v>20</v>
      </c>
      <c r="P5" s="39">
        <v>0</v>
      </c>
      <c r="Q5" s="39">
        <v>16</v>
      </c>
      <c r="R5" s="39">
        <v>16</v>
      </c>
      <c r="S5" s="39">
        <v>18</v>
      </c>
      <c r="T5" s="39">
        <v>20</v>
      </c>
      <c r="U5" s="63">
        <v>17</v>
      </c>
      <c r="V5" s="28">
        <f>SUM(C5:U5)</f>
        <v>323</v>
      </c>
      <c r="W5" s="75">
        <v>17</v>
      </c>
      <c r="X5" s="39">
        <v>20</v>
      </c>
      <c r="Y5" s="39">
        <v>13</v>
      </c>
      <c r="Z5" s="39">
        <v>19</v>
      </c>
      <c r="AA5" s="39">
        <v>10</v>
      </c>
      <c r="AB5" s="39">
        <v>10</v>
      </c>
      <c r="AC5" s="39">
        <v>10</v>
      </c>
      <c r="AD5" s="27">
        <v>18</v>
      </c>
      <c r="AE5" s="28">
        <f>SUM(W5:AD5)</f>
        <v>117</v>
      </c>
      <c r="AF5" s="28">
        <v>20</v>
      </c>
      <c r="AG5" s="28">
        <f>SUM(AF5)</f>
        <v>20</v>
      </c>
      <c r="AH5" s="28">
        <f>SUM(AG5,AE5,V5)</f>
        <v>460</v>
      </c>
    </row>
    <row r="6" spans="1:34">
      <c r="A6" s="1" t="s">
        <v>1</v>
      </c>
      <c r="B6" s="22" t="s">
        <v>60</v>
      </c>
      <c r="C6" s="40">
        <v>4</v>
      </c>
      <c r="D6" s="41">
        <v>2</v>
      </c>
      <c r="E6" s="41">
        <v>2</v>
      </c>
      <c r="F6" s="41">
        <v>3</v>
      </c>
      <c r="G6" s="41">
        <v>3</v>
      </c>
      <c r="H6" s="41">
        <v>2</v>
      </c>
      <c r="I6" s="41">
        <v>5</v>
      </c>
      <c r="J6" s="41">
        <v>4</v>
      </c>
      <c r="K6" s="41">
        <v>4</v>
      </c>
      <c r="L6" s="41">
        <v>4</v>
      </c>
      <c r="M6" s="41">
        <v>2</v>
      </c>
      <c r="N6" s="41">
        <v>2</v>
      </c>
      <c r="O6" s="41">
        <v>5</v>
      </c>
      <c r="P6" s="41">
        <v>0</v>
      </c>
      <c r="Q6" s="41">
        <v>3</v>
      </c>
      <c r="R6" s="41">
        <v>4</v>
      </c>
      <c r="S6" s="41">
        <v>2</v>
      </c>
      <c r="T6" s="41">
        <v>3</v>
      </c>
      <c r="U6" s="64">
        <v>3</v>
      </c>
      <c r="V6" s="30">
        <f t="shared" ref="V6:V50" si="0">SUM(C6:U6)</f>
        <v>57</v>
      </c>
      <c r="W6" s="76">
        <v>0</v>
      </c>
      <c r="X6" s="41">
        <v>4</v>
      </c>
      <c r="Y6" s="41">
        <v>0</v>
      </c>
      <c r="Z6" s="41">
        <v>0</v>
      </c>
      <c r="AA6" s="41">
        <v>0</v>
      </c>
      <c r="AB6" s="41">
        <v>0</v>
      </c>
      <c r="AC6" s="41">
        <v>0</v>
      </c>
      <c r="AD6" s="29">
        <v>0</v>
      </c>
      <c r="AE6" s="30">
        <f t="shared" ref="AE6:AE50" si="1">SUM(W6:AD6)</f>
        <v>4</v>
      </c>
      <c r="AF6" s="30">
        <v>0</v>
      </c>
      <c r="AG6" s="30">
        <f t="shared" ref="AG6:AG50" si="2">SUM(AF6)</f>
        <v>0</v>
      </c>
      <c r="AH6" s="30">
        <f t="shared" ref="AH6:AH50" si="3">SUM(AG6,AE6,V6)</f>
        <v>61</v>
      </c>
    </row>
    <row r="7" spans="1:34">
      <c r="A7" s="1" t="s">
        <v>1</v>
      </c>
      <c r="B7" s="22" t="s">
        <v>61</v>
      </c>
      <c r="C7" s="40">
        <v>2</v>
      </c>
      <c r="D7" s="41">
        <v>4</v>
      </c>
      <c r="E7" s="41">
        <v>2</v>
      </c>
      <c r="F7" s="41">
        <v>2</v>
      </c>
      <c r="G7" s="41">
        <v>0</v>
      </c>
      <c r="H7" s="41">
        <v>3</v>
      </c>
      <c r="I7" s="41">
        <v>1</v>
      </c>
      <c r="J7" s="41">
        <v>1</v>
      </c>
      <c r="K7" s="41">
        <v>1</v>
      </c>
      <c r="L7" s="41">
        <v>1</v>
      </c>
      <c r="M7" s="41">
        <v>1</v>
      </c>
      <c r="N7" s="41">
        <v>3</v>
      </c>
      <c r="O7" s="41">
        <v>1</v>
      </c>
      <c r="P7" s="41">
        <v>0</v>
      </c>
      <c r="Q7" s="41">
        <v>3</v>
      </c>
      <c r="R7" s="41">
        <v>2</v>
      </c>
      <c r="S7" s="41">
        <v>5</v>
      </c>
      <c r="T7" s="41">
        <v>2</v>
      </c>
      <c r="U7" s="64">
        <v>3</v>
      </c>
      <c r="V7" s="30">
        <f t="shared" si="0"/>
        <v>37</v>
      </c>
      <c r="W7" s="76">
        <v>0</v>
      </c>
      <c r="X7" s="41">
        <v>0</v>
      </c>
      <c r="Y7" s="41">
        <v>0</v>
      </c>
      <c r="Z7" s="41">
        <v>0</v>
      </c>
      <c r="AA7" s="41">
        <v>0</v>
      </c>
      <c r="AB7" s="41">
        <v>0</v>
      </c>
      <c r="AC7" s="41">
        <v>0</v>
      </c>
      <c r="AD7" s="29">
        <v>0</v>
      </c>
      <c r="AE7" s="30">
        <f t="shared" si="1"/>
        <v>0</v>
      </c>
      <c r="AF7" s="30">
        <v>0</v>
      </c>
      <c r="AG7" s="30">
        <f t="shared" si="2"/>
        <v>0</v>
      </c>
      <c r="AH7" s="30">
        <f t="shared" si="3"/>
        <v>37</v>
      </c>
    </row>
    <row r="8" spans="1:34">
      <c r="A8" s="1" t="s">
        <v>1</v>
      </c>
      <c r="B8" s="22" t="s">
        <v>62</v>
      </c>
      <c r="C8" s="40">
        <v>0</v>
      </c>
      <c r="D8" s="41">
        <v>0</v>
      </c>
      <c r="E8" s="41">
        <v>2</v>
      </c>
      <c r="F8" s="41">
        <v>0</v>
      </c>
      <c r="G8" s="41">
        <v>0</v>
      </c>
      <c r="H8" s="41">
        <v>0</v>
      </c>
      <c r="I8" s="41">
        <v>0</v>
      </c>
      <c r="J8" s="41">
        <v>0</v>
      </c>
      <c r="K8" s="41">
        <v>0</v>
      </c>
      <c r="L8" s="41">
        <v>0</v>
      </c>
      <c r="M8" s="41">
        <v>0</v>
      </c>
      <c r="N8" s="41">
        <v>3</v>
      </c>
      <c r="O8" s="41">
        <v>0</v>
      </c>
      <c r="P8" s="41">
        <v>0</v>
      </c>
      <c r="Q8" s="41">
        <v>1</v>
      </c>
      <c r="R8" s="41">
        <v>3</v>
      </c>
      <c r="S8" s="41">
        <v>2</v>
      </c>
      <c r="T8" s="41">
        <v>0</v>
      </c>
      <c r="U8" s="64">
        <v>0</v>
      </c>
      <c r="V8" s="30">
        <f t="shared" si="0"/>
        <v>11</v>
      </c>
      <c r="W8" s="76">
        <v>0</v>
      </c>
      <c r="X8" s="41">
        <v>0</v>
      </c>
      <c r="Y8" s="41">
        <v>0</v>
      </c>
      <c r="Z8" s="41">
        <v>0</v>
      </c>
      <c r="AA8" s="41">
        <v>0</v>
      </c>
      <c r="AB8" s="41">
        <v>0</v>
      </c>
      <c r="AC8" s="41">
        <v>0</v>
      </c>
      <c r="AD8" s="29">
        <v>0</v>
      </c>
      <c r="AE8" s="30">
        <f t="shared" si="1"/>
        <v>0</v>
      </c>
      <c r="AF8" s="30">
        <v>0</v>
      </c>
      <c r="AG8" s="30">
        <f t="shared" si="2"/>
        <v>0</v>
      </c>
      <c r="AH8" s="30">
        <f t="shared" si="3"/>
        <v>11</v>
      </c>
    </row>
    <row r="9" spans="1:34">
      <c r="A9" s="1" t="s">
        <v>1</v>
      </c>
      <c r="B9" s="22" t="s">
        <v>63</v>
      </c>
      <c r="C9" s="40">
        <v>1</v>
      </c>
      <c r="D9" s="41">
        <v>0</v>
      </c>
      <c r="E9" s="41">
        <v>5</v>
      </c>
      <c r="F9" s="41">
        <v>0</v>
      </c>
      <c r="G9" s="41">
        <v>1</v>
      </c>
      <c r="H9" s="41">
        <v>0</v>
      </c>
      <c r="I9" s="41">
        <v>2</v>
      </c>
      <c r="J9" s="41">
        <v>0</v>
      </c>
      <c r="K9" s="41">
        <v>0</v>
      </c>
      <c r="L9" s="41">
        <v>1</v>
      </c>
      <c r="M9" s="41">
        <v>2</v>
      </c>
      <c r="N9" s="41">
        <v>0</v>
      </c>
      <c r="O9" s="41">
        <v>0</v>
      </c>
      <c r="P9" s="41">
        <v>0</v>
      </c>
      <c r="Q9" s="41">
        <v>3</v>
      </c>
      <c r="R9" s="41">
        <v>1</v>
      </c>
      <c r="S9" s="41">
        <v>0</v>
      </c>
      <c r="T9" s="41">
        <v>0</v>
      </c>
      <c r="U9" s="64">
        <v>3</v>
      </c>
      <c r="V9" s="30">
        <f t="shared" si="0"/>
        <v>19</v>
      </c>
      <c r="W9" s="76">
        <v>3</v>
      </c>
      <c r="X9" s="41">
        <v>0.5</v>
      </c>
      <c r="Y9" s="41">
        <v>0</v>
      </c>
      <c r="Z9" s="41">
        <v>0</v>
      </c>
      <c r="AA9" s="41">
        <v>0</v>
      </c>
      <c r="AB9" s="41">
        <v>0</v>
      </c>
      <c r="AC9" s="41">
        <v>0</v>
      </c>
      <c r="AD9" s="29">
        <v>0</v>
      </c>
      <c r="AE9" s="30">
        <f t="shared" si="1"/>
        <v>3.5</v>
      </c>
      <c r="AF9" s="30">
        <v>0</v>
      </c>
      <c r="AG9" s="30">
        <f t="shared" si="2"/>
        <v>0</v>
      </c>
      <c r="AH9" s="30">
        <f t="shared" si="3"/>
        <v>22.5</v>
      </c>
    </row>
    <row r="10" spans="1:34">
      <c r="A10" s="1" t="s">
        <v>1</v>
      </c>
      <c r="B10" s="22" t="s">
        <v>64</v>
      </c>
      <c r="C10" s="40">
        <v>0</v>
      </c>
      <c r="D10" s="41">
        <v>0</v>
      </c>
      <c r="E10" s="41">
        <v>0</v>
      </c>
      <c r="F10" s="41">
        <v>0</v>
      </c>
      <c r="G10" s="41">
        <v>0</v>
      </c>
      <c r="H10" s="41">
        <v>0</v>
      </c>
      <c r="I10" s="41">
        <v>0</v>
      </c>
      <c r="J10" s="41">
        <v>0</v>
      </c>
      <c r="K10" s="41">
        <v>0</v>
      </c>
      <c r="L10" s="41">
        <v>0</v>
      </c>
      <c r="M10" s="41">
        <v>7</v>
      </c>
      <c r="N10" s="41">
        <v>0</v>
      </c>
      <c r="O10" s="41">
        <v>0</v>
      </c>
      <c r="P10" s="41">
        <v>20</v>
      </c>
      <c r="Q10" s="41">
        <v>0</v>
      </c>
      <c r="R10" s="41">
        <v>0</v>
      </c>
      <c r="S10" s="41">
        <v>0</v>
      </c>
      <c r="T10" s="41">
        <v>0</v>
      </c>
      <c r="U10" s="64">
        <v>0</v>
      </c>
      <c r="V10" s="30">
        <f t="shared" si="0"/>
        <v>27</v>
      </c>
      <c r="W10" s="76">
        <v>0</v>
      </c>
      <c r="X10" s="41">
        <v>0</v>
      </c>
      <c r="Y10" s="41">
        <v>0</v>
      </c>
      <c r="Z10" s="41">
        <v>0</v>
      </c>
      <c r="AA10" s="41">
        <v>0</v>
      </c>
      <c r="AB10" s="41">
        <v>0</v>
      </c>
      <c r="AC10" s="41">
        <v>0</v>
      </c>
      <c r="AD10" s="29">
        <v>0</v>
      </c>
      <c r="AE10" s="30">
        <f t="shared" si="1"/>
        <v>0</v>
      </c>
      <c r="AF10" s="30">
        <v>0</v>
      </c>
      <c r="AG10" s="30">
        <f t="shared" si="2"/>
        <v>0</v>
      </c>
      <c r="AH10" s="30">
        <f t="shared" si="3"/>
        <v>27</v>
      </c>
    </row>
    <row r="11" spans="1:34">
      <c r="A11" s="1" t="s">
        <v>1</v>
      </c>
      <c r="B11" s="22" t="s">
        <v>65</v>
      </c>
      <c r="C11" s="42">
        <v>0</v>
      </c>
      <c r="D11" s="43">
        <v>0</v>
      </c>
      <c r="E11" s="43">
        <v>0</v>
      </c>
      <c r="F11" s="43">
        <v>0</v>
      </c>
      <c r="G11" s="43">
        <v>0</v>
      </c>
      <c r="H11" s="43">
        <v>0</v>
      </c>
      <c r="I11" s="43">
        <v>0</v>
      </c>
      <c r="J11" s="43">
        <v>0</v>
      </c>
      <c r="K11" s="43">
        <v>0</v>
      </c>
      <c r="L11" s="43">
        <v>0</v>
      </c>
      <c r="M11" s="43">
        <v>0</v>
      </c>
      <c r="N11" s="43">
        <v>0</v>
      </c>
      <c r="O11" s="43">
        <v>0</v>
      </c>
      <c r="P11" s="43">
        <v>0</v>
      </c>
      <c r="Q11" s="43">
        <v>0</v>
      </c>
      <c r="R11" s="43">
        <v>0</v>
      </c>
      <c r="S11" s="43">
        <v>0</v>
      </c>
      <c r="T11" s="43">
        <v>0</v>
      </c>
      <c r="U11" s="65">
        <v>0</v>
      </c>
      <c r="V11" s="32">
        <f t="shared" si="0"/>
        <v>0</v>
      </c>
      <c r="W11" s="77">
        <v>0</v>
      </c>
      <c r="X11" s="43">
        <v>0</v>
      </c>
      <c r="Y11" s="43">
        <v>3.3333333333333335</v>
      </c>
      <c r="Z11" s="43">
        <v>4.583333333333333</v>
      </c>
      <c r="AA11" s="43">
        <v>2.9583333333333335</v>
      </c>
      <c r="AB11" s="43">
        <v>2.9583333333333335</v>
      </c>
      <c r="AC11" s="43">
        <v>3.1666666666666665</v>
      </c>
      <c r="AD11" s="31">
        <v>3.7916666666666665</v>
      </c>
      <c r="AE11" s="32">
        <f t="shared" si="1"/>
        <v>20.791666666666668</v>
      </c>
      <c r="AF11" s="32">
        <v>0</v>
      </c>
      <c r="AG11" s="32">
        <f t="shared" si="2"/>
        <v>0</v>
      </c>
      <c r="AH11" s="32">
        <f t="shared" si="3"/>
        <v>20.791666666666668</v>
      </c>
    </row>
    <row r="12" spans="1:34">
      <c r="A12" s="1" t="s">
        <v>1</v>
      </c>
      <c r="B12" s="22" t="s">
        <v>66</v>
      </c>
      <c r="C12" s="42">
        <v>0.91666666666666663</v>
      </c>
      <c r="D12" s="43">
        <v>1.625</v>
      </c>
      <c r="E12" s="43">
        <v>0.375</v>
      </c>
      <c r="F12" s="43">
        <v>2.2916666666666665</v>
      </c>
      <c r="G12" s="43">
        <v>1.9583333333333335</v>
      </c>
      <c r="H12" s="43">
        <v>2.7916666666666665</v>
      </c>
      <c r="I12" s="43">
        <v>2.2916666666666665</v>
      </c>
      <c r="J12" s="43">
        <v>1.9166666666666665</v>
      </c>
      <c r="K12" s="43">
        <v>1.875</v>
      </c>
      <c r="L12" s="43">
        <v>1.8333333333333335</v>
      </c>
      <c r="M12" s="43">
        <v>0.54166666666666663</v>
      </c>
      <c r="N12" s="43">
        <v>1.3333333333333333</v>
      </c>
      <c r="O12" s="43">
        <v>1.3333333333333333</v>
      </c>
      <c r="P12" s="43">
        <v>0</v>
      </c>
      <c r="Q12" s="43">
        <v>1.1666666666666667</v>
      </c>
      <c r="R12" s="43">
        <v>1.2083333333333333</v>
      </c>
      <c r="S12" s="43">
        <v>2.75</v>
      </c>
      <c r="T12" s="43">
        <v>2</v>
      </c>
      <c r="U12" s="65">
        <v>1.9583333333333335</v>
      </c>
      <c r="V12" s="32">
        <f t="shared" si="0"/>
        <v>30.166666666666661</v>
      </c>
      <c r="W12" s="77">
        <v>0</v>
      </c>
      <c r="X12" s="43">
        <v>0.875</v>
      </c>
      <c r="Y12" s="43">
        <v>0</v>
      </c>
      <c r="Z12" s="43">
        <v>0</v>
      </c>
      <c r="AA12" s="43">
        <v>0</v>
      </c>
      <c r="AB12" s="43">
        <v>0</v>
      </c>
      <c r="AC12" s="43">
        <v>0.125</v>
      </c>
      <c r="AD12" s="31">
        <v>0</v>
      </c>
      <c r="AE12" s="32">
        <f t="shared" si="1"/>
        <v>1</v>
      </c>
      <c r="AF12" s="32">
        <v>0</v>
      </c>
      <c r="AG12" s="32">
        <f t="shared" si="2"/>
        <v>0</v>
      </c>
      <c r="AH12" s="32">
        <f t="shared" si="3"/>
        <v>31.166666666666661</v>
      </c>
    </row>
    <row r="13" spans="1:34">
      <c r="A13" s="1" t="s">
        <v>1</v>
      </c>
      <c r="B13" s="22" t="s">
        <v>67</v>
      </c>
      <c r="C13" s="42">
        <v>1.375</v>
      </c>
      <c r="D13" s="43">
        <v>0.66666666666666663</v>
      </c>
      <c r="E13" s="43">
        <v>0.79166666666666663</v>
      </c>
      <c r="F13" s="43">
        <v>0.875</v>
      </c>
      <c r="G13" s="43">
        <v>0.875</v>
      </c>
      <c r="H13" s="43">
        <v>0.54166666666666663</v>
      </c>
      <c r="I13" s="43">
        <v>2.0416666666666665</v>
      </c>
      <c r="J13" s="43">
        <v>1.25</v>
      </c>
      <c r="K13" s="43">
        <v>1.5416666666666665</v>
      </c>
      <c r="L13" s="43">
        <v>1.2083333333333333</v>
      </c>
      <c r="M13" s="43">
        <v>0.95833333333333337</v>
      </c>
      <c r="N13" s="43">
        <v>0.125</v>
      </c>
      <c r="O13" s="43">
        <v>1.625</v>
      </c>
      <c r="P13" s="43">
        <v>0</v>
      </c>
      <c r="Q13" s="43">
        <v>0.875</v>
      </c>
      <c r="R13" s="43">
        <v>0.79166666666666663</v>
      </c>
      <c r="S13" s="43">
        <v>0.75</v>
      </c>
      <c r="T13" s="43">
        <v>0.79166666666666663</v>
      </c>
      <c r="U13" s="65">
        <v>0.875</v>
      </c>
      <c r="V13" s="32">
        <f t="shared" si="0"/>
        <v>17.958333333333332</v>
      </c>
      <c r="W13" s="77">
        <v>0</v>
      </c>
      <c r="X13" s="43">
        <v>1.0416666666666667</v>
      </c>
      <c r="Y13" s="43">
        <v>0</v>
      </c>
      <c r="Z13" s="43">
        <v>0</v>
      </c>
      <c r="AA13" s="43">
        <v>0</v>
      </c>
      <c r="AB13" s="43">
        <v>0</v>
      </c>
      <c r="AC13" s="43">
        <v>0</v>
      </c>
      <c r="AD13" s="31">
        <v>0</v>
      </c>
      <c r="AE13" s="32">
        <f t="shared" si="1"/>
        <v>1.0416666666666667</v>
      </c>
      <c r="AF13" s="32">
        <v>0</v>
      </c>
      <c r="AG13" s="32">
        <f t="shared" si="2"/>
        <v>0</v>
      </c>
      <c r="AH13" s="32">
        <f t="shared" si="3"/>
        <v>19</v>
      </c>
    </row>
    <row r="14" spans="1:34">
      <c r="A14" s="1" t="s">
        <v>1</v>
      </c>
      <c r="B14" s="22" t="s">
        <v>68</v>
      </c>
      <c r="C14" s="42">
        <v>0.625</v>
      </c>
      <c r="D14" s="43">
        <v>1.4583333333333333</v>
      </c>
      <c r="E14" s="43">
        <v>0</v>
      </c>
      <c r="F14" s="43">
        <v>0.625</v>
      </c>
      <c r="G14" s="43">
        <v>0</v>
      </c>
      <c r="H14" s="43">
        <v>1.125</v>
      </c>
      <c r="I14" s="43">
        <v>0.41666666666666669</v>
      </c>
      <c r="J14" s="43">
        <v>0.45833333333333331</v>
      </c>
      <c r="K14" s="43">
        <v>0.375</v>
      </c>
      <c r="L14" s="43">
        <v>0.375</v>
      </c>
      <c r="M14" s="43">
        <v>0.45833333333333331</v>
      </c>
      <c r="N14" s="43">
        <v>0.33333333333333331</v>
      </c>
      <c r="O14" s="43">
        <v>0.25</v>
      </c>
      <c r="P14" s="43">
        <v>0</v>
      </c>
      <c r="Q14" s="43">
        <v>1.1666666666666667</v>
      </c>
      <c r="R14" s="43">
        <v>0.5</v>
      </c>
      <c r="S14" s="43">
        <v>0.625</v>
      </c>
      <c r="T14" s="43">
        <v>0.75</v>
      </c>
      <c r="U14" s="65">
        <v>0.75</v>
      </c>
      <c r="V14" s="32">
        <f t="shared" si="0"/>
        <v>10.291666666666666</v>
      </c>
      <c r="W14" s="77">
        <v>0</v>
      </c>
      <c r="X14" s="43">
        <v>0</v>
      </c>
      <c r="Y14" s="43">
        <v>0</v>
      </c>
      <c r="Z14" s="43">
        <v>0</v>
      </c>
      <c r="AA14" s="43">
        <v>0</v>
      </c>
      <c r="AB14" s="43">
        <v>0</v>
      </c>
      <c r="AC14" s="43">
        <v>0</v>
      </c>
      <c r="AD14" s="31">
        <v>0</v>
      </c>
      <c r="AE14" s="32">
        <f t="shared" si="1"/>
        <v>0</v>
      </c>
      <c r="AF14" s="32">
        <v>0</v>
      </c>
      <c r="AG14" s="32">
        <f t="shared" si="2"/>
        <v>0</v>
      </c>
      <c r="AH14" s="32">
        <f t="shared" si="3"/>
        <v>10.291666666666666</v>
      </c>
    </row>
    <row r="15" spans="1:34">
      <c r="A15" s="1" t="s">
        <v>1</v>
      </c>
      <c r="B15" s="22" t="s">
        <v>69</v>
      </c>
      <c r="C15" s="42">
        <v>0</v>
      </c>
      <c r="D15" s="43">
        <v>0</v>
      </c>
      <c r="E15" s="43">
        <v>0</v>
      </c>
      <c r="F15" s="43">
        <v>0</v>
      </c>
      <c r="G15" s="43">
        <v>0</v>
      </c>
      <c r="H15" s="43">
        <v>0</v>
      </c>
      <c r="I15" s="43">
        <v>0</v>
      </c>
      <c r="J15" s="43">
        <v>0</v>
      </c>
      <c r="K15" s="43">
        <v>0</v>
      </c>
      <c r="L15" s="43">
        <v>0</v>
      </c>
      <c r="M15" s="43">
        <v>0</v>
      </c>
      <c r="N15" s="43">
        <v>0.29166666666666669</v>
      </c>
      <c r="O15" s="43">
        <v>0</v>
      </c>
      <c r="P15" s="43">
        <v>0</v>
      </c>
      <c r="Q15" s="43">
        <v>0.20833333333333334</v>
      </c>
      <c r="R15" s="43">
        <v>0.66666666666666663</v>
      </c>
      <c r="S15" s="43">
        <v>0</v>
      </c>
      <c r="T15" s="43">
        <v>0</v>
      </c>
      <c r="U15" s="65">
        <v>0</v>
      </c>
      <c r="V15" s="32">
        <f t="shared" si="0"/>
        <v>1.1666666666666665</v>
      </c>
      <c r="W15" s="77">
        <v>0</v>
      </c>
      <c r="X15" s="43">
        <v>0</v>
      </c>
      <c r="Y15" s="43">
        <v>0</v>
      </c>
      <c r="Z15" s="43">
        <v>0</v>
      </c>
      <c r="AA15" s="43">
        <v>0</v>
      </c>
      <c r="AB15" s="43">
        <v>0</v>
      </c>
      <c r="AC15" s="43">
        <v>0</v>
      </c>
      <c r="AD15" s="31">
        <v>0</v>
      </c>
      <c r="AE15" s="32">
        <f t="shared" si="1"/>
        <v>0</v>
      </c>
      <c r="AF15" s="32">
        <v>0</v>
      </c>
      <c r="AG15" s="32">
        <f t="shared" si="2"/>
        <v>0</v>
      </c>
      <c r="AH15" s="32">
        <f t="shared" si="3"/>
        <v>1.1666666666666665</v>
      </c>
    </row>
    <row r="16" spans="1:34">
      <c r="A16" s="1" t="s">
        <v>1</v>
      </c>
      <c r="B16" s="22" t="s">
        <v>70</v>
      </c>
      <c r="C16" s="42">
        <v>0</v>
      </c>
      <c r="D16" s="43">
        <v>0</v>
      </c>
      <c r="E16" s="43">
        <v>0.66666666666666663</v>
      </c>
      <c r="F16" s="43">
        <v>0</v>
      </c>
      <c r="G16" s="43">
        <v>0</v>
      </c>
      <c r="H16" s="43">
        <v>0</v>
      </c>
      <c r="I16" s="43">
        <v>0</v>
      </c>
      <c r="J16" s="43">
        <v>0</v>
      </c>
      <c r="K16" s="43">
        <v>0</v>
      </c>
      <c r="L16" s="43">
        <v>0</v>
      </c>
      <c r="M16" s="43">
        <v>0</v>
      </c>
      <c r="N16" s="43">
        <v>0.5</v>
      </c>
      <c r="O16" s="43">
        <v>0</v>
      </c>
      <c r="P16" s="43">
        <v>0</v>
      </c>
      <c r="Q16" s="43">
        <v>0</v>
      </c>
      <c r="R16" s="43">
        <v>0.25</v>
      </c>
      <c r="S16" s="43">
        <v>0.625</v>
      </c>
      <c r="T16" s="43">
        <v>0</v>
      </c>
      <c r="U16" s="65">
        <v>0</v>
      </c>
      <c r="V16" s="32">
        <f t="shared" si="0"/>
        <v>2.0416666666666665</v>
      </c>
      <c r="W16" s="77">
        <v>0</v>
      </c>
      <c r="X16" s="43">
        <v>0</v>
      </c>
      <c r="Y16" s="43">
        <v>0</v>
      </c>
      <c r="Z16" s="43">
        <v>0</v>
      </c>
      <c r="AA16" s="43">
        <v>0</v>
      </c>
      <c r="AB16" s="43">
        <v>0</v>
      </c>
      <c r="AC16" s="43">
        <v>0</v>
      </c>
      <c r="AD16" s="31">
        <v>0</v>
      </c>
      <c r="AE16" s="32">
        <f t="shared" si="1"/>
        <v>0</v>
      </c>
      <c r="AF16" s="32">
        <v>0</v>
      </c>
      <c r="AG16" s="32">
        <f t="shared" si="2"/>
        <v>0</v>
      </c>
      <c r="AH16" s="32">
        <f t="shared" si="3"/>
        <v>2.0416666666666665</v>
      </c>
    </row>
    <row r="17" spans="1:34">
      <c r="A17" s="1" t="s">
        <v>1</v>
      </c>
      <c r="B17" s="22" t="s">
        <v>71</v>
      </c>
      <c r="C17" s="42">
        <v>0</v>
      </c>
      <c r="D17" s="43">
        <v>0</v>
      </c>
      <c r="E17" s="43">
        <v>0</v>
      </c>
      <c r="F17" s="43">
        <v>0</v>
      </c>
      <c r="G17" s="43">
        <v>0</v>
      </c>
      <c r="H17" s="43">
        <v>0.45833333333333331</v>
      </c>
      <c r="I17" s="43">
        <v>0</v>
      </c>
      <c r="J17" s="43">
        <v>0</v>
      </c>
      <c r="K17" s="43">
        <v>0</v>
      </c>
      <c r="L17" s="43">
        <v>0</v>
      </c>
      <c r="M17" s="43">
        <v>0</v>
      </c>
      <c r="N17" s="43">
        <v>0</v>
      </c>
      <c r="O17" s="43">
        <v>0</v>
      </c>
      <c r="P17" s="43">
        <v>0</v>
      </c>
      <c r="Q17" s="43">
        <v>0</v>
      </c>
      <c r="R17" s="43">
        <v>0</v>
      </c>
      <c r="S17" s="43">
        <v>0.25</v>
      </c>
      <c r="T17" s="43">
        <v>0</v>
      </c>
      <c r="U17" s="65">
        <v>0</v>
      </c>
      <c r="V17" s="32">
        <f t="shared" si="0"/>
        <v>0.70833333333333326</v>
      </c>
      <c r="W17" s="77">
        <v>0</v>
      </c>
      <c r="X17" s="43">
        <v>0</v>
      </c>
      <c r="Y17" s="43">
        <v>0</v>
      </c>
      <c r="Z17" s="43">
        <v>0</v>
      </c>
      <c r="AA17" s="43">
        <v>0</v>
      </c>
      <c r="AB17" s="43">
        <v>0</v>
      </c>
      <c r="AC17" s="43">
        <v>0</v>
      </c>
      <c r="AD17" s="31">
        <v>0</v>
      </c>
      <c r="AE17" s="32">
        <f t="shared" si="1"/>
        <v>0</v>
      </c>
      <c r="AF17" s="32">
        <v>0</v>
      </c>
      <c r="AG17" s="32">
        <f t="shared" si="2"/>
        <v>0</v>
      </c>
      <c r="AH17" s="32">
        <f t="shared" si="3"/>
        <v>0.70833333333333326</v>
      </c>
    </row>
    <row r="18" spans="1:34">
      <c r="A18" s="1" t="s">
        <v>1</v>
      </c>
      <c r="B18" s="6" t="s">
        <v>72</v>
      </c>
      <c r="C18" s="44">
        <v>0</v>
      </c>
      <c r="D18" s="45">
        <v>4.1666666666666664E-2</v>
      </c>
      <c r="E18" s="45">
        <v>0.375</v>
      </c>
      <c r="F18" s="45">
        <v>0.66666666666666663</v>
      </c>
      <c r="G18" s="45">
        <v>0.95833333333333337</v>
      </c>
      <c r="H18" s="45">
        <v>0.95833333333333337</v>
      </c>
      <c r="I18" s="45">
        <v>0.375</v>
      </c>
      <c r="J18" s="45">
        <v>0.25</v>
      </c>
      <c r="K18" s="45">
        <v>8.3333333333333329E-2</v>
      </c>
      <c r="L18" s="45">
        <v>0.45833333333333331</v>
      </c>
      <c r="M18" s="45">
        <v>0.29166666666666669</v>
      </c>
      <c r="N18" s="45">
        <v>0.45833333333333331</v>
      </c>
      <c r="O18" s="45">
        <v>0.58333333333333337</v>
      </c>
      <c r="P18" s="45">
        <v>0</v>
      </c>
      <c r="Q18" s="45">
        <v>0.70833333333333337</v>
      </c>
      <c r="R18" s="45">
        <v>0.54166666666666663</v>
      </c>
      <c r="S18" s="45">
        <v>1.7083333333333335</v>
      </c>
      <c r="T18" s="45">
        <v>0.5</v>
      </c>
      <c r="U18" s="66">
        <v>0.20833333333333334</v>
      </c>
      <c r="V18" s="8">
        <f t="shared" si="0"/>
        <v>9.1666666666666679</v>
      </c>
      <c r="W18" s="78">
        <v>0</v>
      </c>
      <c r="X18" s="45">
        <v>0</v>
      </c>
      <c r="Y18" s="45">
        <v>0</v>
      </c>
      <c r="Z18" s="45">
        <v>0</v>
      </c>
      <c r="AA18" s="45">
        <v>2.0833333333333335</v>
      </c>
      <c r="AB18" s="45">
        <v>2.0833333333333335</v>
      </c>
      <c r="AC18" s="45">
        <v>1.0416666666666667</v>
      </c>
      <c r="AD18" s="7">
        <v>1.25</v>
      </c>
      <c r="AE18" s="8">
        <f t="shared" si="1"/>
        <v>6.4583333333333339</v>
      </c>
      <c r="AF18" s="8">
        <v>0</v>
      </c>
      <c r="AG18" s="8">
        <f t="shared" si="2"/>
        <v>0</v>
      </c>
      <c r="AH18" s="8">
        <f t="shared" si="3"/>
        <v>15.625000000000002</v>
      </c>
    </row>
    <row r="19" spans="1:34">
      <c r="A19" s="1" t="s">
        <v>1</v>
      </c>
      <c r="B19" s="14" t="s">
        <v>73</v>
      </c>
      <c r="C19" s="46">
        <v>2</v>
      </c>
      <c r="D19" s="47">
        <v>0</v>
      </c>
      <c r="E19" s="47">
        <v>17</v>
      </c>
      <c r="F19" s="47">
        <v>21</v>
      </c>
      <c r="G19" s="47">
        <v>14</v>
      </c>
      <c r="H19" s="47">
        <v>14</v>
      </c>
      <c r="I19" s="47">
        <v>2</v>
      </c>
      <c r="J19" s="47">
        <v>17</v>
      </c>
      <c r="K19" s="47">
        <v>16.5</v>
      </c>
      <c r="L19" s="47">
        <v>27</v>
      </c>
      <c r="M19" s="47">
        <v>0</v>
      </c>
      <c r="N19" s="47">
        <v>4</v>
      </c>
      <c r="O19" s="47">
        <v>23</v>
      </c>
      <c r="P19" s="47">
        <v>4</v>
      </c>
      <c r="Q19" s="47">
        <v>18</v>
      </c>
      <c r="R19" s="47">
        <v>2</v>
      </c>
      <c r="S19" s="47">
        <v>3</v>
      </c>
      <c r="T19" s="47">
        <v>5</v>
      </c>
      <c r="U19" s="67">
        <v>7</v>
      </c>
      <c r="V19" s="16">
        <f t="shared" si="0"/>
        <v>196.5</v>
      </c>
      <c r="W19" s="79">
        <v>7</v>
      </c>
      <c r="X19" s="47">
        <v>30.5</v>
      </c>
      <c r="Y19" s="47">
        <v>13</v>
      </c>
      <c r="Z19" s="47">
        <v>16</v>
      </c>
      <c r="AA19" s="47">
        <v>0</v>
      </c>
      <c r="AB19" s="47">
        <v>0</v>
      </c>
      <c r="AC19" s="47">
        <v>2</v>
      </c>
      <c r="AD19" s="15">
        <v>17</v>
      </c>
      <c r="AE19" s="16">
        <f t="shared" si="1"/>
        <v>85.5</v>
      </c>
      <c r="AF19" s="16">
        <v>27</v>
      </c>
      <c r="AG19" s="16">
        <f t="shared" si="2"/>
        <v>27</v>
      </c>
      <c r="AH19" s="16">
        <f t="shared" si="3"/>
        <v>309</v>
      </c>
    </row>
    <row r="20" spans="1:34">
      <c r="A20" s="1" t="s">
        <v>1</v>
      </c>
      <c r="B20" s="19" t="s">
        <v>74</v>
      </c>
      <c r="C20" s="48">
        <v>177000</v>
      </c>
      <c r="D20" s="49">
        <v>187000</v>
      </c>
      <c r="E20" s="49">
        <v>192000</v>
      </c>
      <c r="F20" s="49">
        <v>192000</v>
      </c>
      <c r="G20" s="49">
        <v>187000</v>
      </c>
      <c r="H20" s="49">
        <v>192000</v>
      </c>
      <c r="I20" s="49">
        <v>177000</v>
      </c>
      <c r="J20" s="49">
        <v>182000</v>
      </c>
      <c r="K20" s="49">
        <v>177000</v>
      </c>
      <c r="L20" s="49">
        <v>187000</v>
      </c>
      <c r="M20" s="49">
        <v>177000</v>
      </c>
      <c r="N20" s="49">
        <v>182000</v>
      </c>
      <c r="O20" s="49">
        <v>187000</v>
      </c>
      <c r="P20" s="49">
        <v>0</v>
      </c>
      <c r="Q20" s="49">
        <v>170000</v>
      </c>
      <c r="R20" s="49">
        <v>170000</v>
      </c>
      <c r="S20" s="49">
        <v>170000</v>
      </c>
      <c r="T20" s="49">
        <v>170000</v>
      </c>
      <c r="U20" s="68">
        <v>170000</v>
      </c>
      <c r="V20" s="21">
        <f t="shared" si="0"/>
        <v>3246000</v>
      </c>
      <c r="W20" s="80">
        <v>365000</v>
      </c>
      <c r="X20" s="49">
        <v>270000</v>
      </c>
      <c r="Y20" s="49">
        <v>0</v>
      </c>
      <c r="Z20" s="49">
        <v>0</v>
      </c>
      <c r="AA20" s="49">
        <v>0</v>
      </c>
      <c r="AB20" s="49">
        <v>0</v>
      </c>
      <c r="AC20" s="49">
        <v>0</v>
      </c>
      <c r="AD20" s="20">
        <v>0</v>
      </c>
      <c r="AE20" s="21">
        <f t="shared" si="1"/>
        <v>635000</v>
      </c>
      <c r="AF20" s="21">
        <v>385000</v>
      </c>
      <c r="AG20" s="21">
        <f t="shared" si="2"/>
        <v>385000</v>
      </c>
      <c r="AH20" s="21">
        <f t="shared" si="3"/>
        <v>4266000</v>
      </c>
    </row>
    <row r="21" spans="1:34">
      <c r="A21" s="1" t="s">
        <v>1</v>
      </c>
      <c r="B21" s="22" t="s">
        <v>75</v>
      </c>
      <c r="C21" s="50">
        <v>0</v>
      </c>
      <c r="D21" s="51">
        <v>0</v>
      </c>
      <c r="E21" s="51">
        <v>20000</v>
      </c>
      <c r="F21" s="51">
        <v>20000</v>
      </c>
      <c r="G21" s="51">
        <v>5000</v>
      </c>
      <c r="H21" s="51">
        <v>5000</v>
      </c>
      <c r="I21" s="51">
        <v>0</v>
      </c>
      <c r="J21" s="51">
        <v>5000</v>
      </c>
      <c r="K21" s="51">
        <v>0</v>
      </c>
      <c r="L21" s="51">
        <v>0</v>
      </c>
      <c r="M21" s="51">
        <v>0</v>
      </c>
      <c r="N21" s="51">
        <v>0</v>
      </c>
      <c r="O21" s="51">
        <v>0</v>
      </c>
      <c r="P21" s="51">
        <v>0</v>
      </c>
      <c r="Q21" s="51">
        <v>0</v>
      </c>
      <c r="R21" s="51">
        <v>0</v>
      </c>
      <c r="S21" s="51">
        <v>0</v>
      </c>
      <c r="T21" s="51">
        <v>0</v>
      </c>
      <c r="U21" s="69">
        <v>0</v>
      </c>
      <c r="V21" s="24">
        <f t="shared" si="0"/>
        <v>55000</v>
      </c>
      <c r="W21" s="81">
        <v>0</v>
      </c>
      <c r="X21" s="51">
        <v>0</v>
      </c>
      <c r="Y21" s="51">
        <v>0</v>
      </c>
      <c r="Z21" s="51">
        <v>0</v>
      </c>
      <c r="AA21" s="51">
        <v>0</v>
      </c>
      <c r="AB21" s="51">
        <v>0</v>
      </c>
      <c r="AC21" s="51">
        <v>0</v>
      </c>
      <c r="AD21" s="23">
        <v>0</v>
      </c>
      <c r="AE21" s="24">
        <f t="shared" si="1"/>
        <v>0</v>
      </c>
      <c r="AF21" s="24">
        <v>0</v>
      </c>
      <c r="AG21" s="24">
        <f t="shared" si="2"/>
        <v>0</v>
      </c>
      <c r="AH21" s="24">
        <f t="shared" si="3"/>
        <v>55000</v>
      </c>
    </row>
    <row r="22" spans="1:34">
      <c r="A22" s="1" t="s">
        <v>1</v>
      </c>
      <c r="B22" s="22" t="s">
        <v>76</v>
      </c>
      <c r="C22" s="50">
        <v>0</v>
      </c>
      <c r="D22" s="51">
        <v>0</v>
      </c>
      <c r="E22" s="51">
        <v>0</v>
      </c>
      <c r="F22" s="51">
        <v>0</v>
      </c>
      <c r="G22" s="51">
        <v>0</v>
      </c>
      <c r="H22" s="51">
        <v>0</v>
      </c>
      <c r="I22" s="51">
        <v>0</v>
      </c>
      <c r="J22" s="51">
        <v>0</v>
      </c>
      <c r="K22" s="51">
        <v>0</v>
      </c>
      <c r="L22" s="51">
        <v>0</v>
      </c>
      <c r="M22" s="51">
        <v>0</v>
      </c>
      <c r="N22" s="51">
        <v>0</v>
      </c>
      <c r="O22" s="51">
        <v>0</v>
      </c>
      <c r="P22" s="51">
        <v>0</v>
      </c>
      <c r="Q22" s="51">
        <v>0</v>
      </c>
      <c r="R22" s="51">
        <v>0</v>
      </c>
      <c r="S22" s="51">
        <v>0</v>
      </c>
      <c r="T22" s="51">
        <v>0</v>
      </c>
      <c r="U22" s="69">
        <v>0</v>
      </c>
      <c r="V22" s="24">
        <f t="shared" si="0"/>
        <v>0</v>
      </c>
      <c r="W22" s="81">
        <v>0</v>
      </c>
      <c r="X22" s="51">
        <v>3000</v>
      </c>
      <c r="Y22" s="51">
        <v>0</v>
      </c>
      <c r="Z22" s="51">
        <v>0</v>
      </c>
      <c r="AA22" s="51">
        <v>0</v>
      </c>
      <c r="AB22" s="51">
        <v>0</v>
      </c>
      <c r="AC22" s="51">
        <v>0</v>
      </c>
      <c r="AD22" s="23">
        <v>0</v>
      </c>
      <c r="AE22" s="24">
        <f t="shared" si="1"/>
        <v>3000</v>
      </c>
      <c r="AF22" s="24">
        <v>0</v>
      </c>
      <c r="AG22" s="24">
        <f t="shared" si="2"/>
        <v>0</v>
      </c>
      <c r="AH22" s="24">
        <f t="shared" si="3"/>
        <v>3000</v>
      </c>
    </row>
    <row r="23" spans="1:34">
      <c r="A23" s="1" t="s">
        <v>1</v>
      </c>
      <c r="B23" s="22" t="s">
        <v>77</v>
      </c>
      <c r="C23" s="50">
        <v>0</v>
      </c>
      <c r="D23" s="51">
        <v>5730</v>
      </c>
      <c r="E23" s="51">
        <v>100392</v>
      </c>
      <c r="F23" s="51">
        <v>20113</v>
      </c>
      <c r="G23" s="51">
        <v>0</v>
      </c>
      <c r="H23" s="51">
        <v>18772</v>
      </c>
      <c r="I23" s="51">
        <v>4341</v>
      </c>
      <c r="J23" s="51">
        <v>0</v>
      </c>
      <c r="K23" s="51">
        <v>5427</v>
      </c>
      <c r="L23" s="51">
        <v>30630</v>
      </c>
      <c r="M23" s="51">
        <v>0</v>
      </c>
      <c r="N23" s="51">
        <v>21965</v>
      </c>
      <c r="O23" s="51">
        <v>44832</v>
      </c>
      <c r="P23" s="51">
        <v>0</v>
      </c>
      <c r="Q23" s="51">
        <v>0</v>
      </c>
      <c r="R23" s="51">
        <v>0</v>
      </c>
      <c r="S23" s="51">
        <v>0</v>
      </c>
      <c r="T23" s="51">
        <v>0</v>
      </c>
      <c r="U23" s="69">
        <v>0</v>
      </c>
      <c r="V23" s="24">
        <f t="shared" si="0"/>
        <v>252202</v>
      </c>
      <c r="W23" s="81">
        <v>0</v>
      </c>
      <c r="X23" s="51">
        <v>0</v>
      </c>
      <c r="Y23" s="51">
        <v>0</v>
      </c>
      <c r="Z23" s="51">
        <v>0</v>
      </c>
      <c r="AA23" s="51">
        <v>0</v>
      </c>
      <c r="AB23" s="51">
        <v>0</v>
      </c>
      <c r="AC23" s="51">
        <v>0</v>
      </c>
      <c r="AD23" s="23">
        <v>0</v>
      </c>
      <c r="AE23" s="24">
        <f t="shared" si="1"/>
        <v>0</v>
      </c>
      <c r="AF23" s="24">
        <v>0</v>
      </c>
      <c r="AG23" s="24">
        <f t="shared" si="2"/>
        <v>0</v>
      </c>
      <c r="AH23" s="24">
        <f t="shared" si="3"/>
        <v>252202</v>
      </c>
    </row>
    <row r="24" spans="1:34">
      <c r="A24" s="1" t="s">
        <v>1</v>
      </c>
      <c r="B24" s="22" t="s">
        <v>78</v>
      </c>
      <c r="C24" s="50">
        <v>0</v>
      </c>
      <c r="D24" s="51">
        <v>0</v>
      </c>
      <c r="E24" s="51">
        <v>0</v>
      </c>
      <c r="F24" s="51">
        <v>0</v>
      </c>
      <c r="G24" s="51">
        <v>0</v>
      </c>
      <c r="H24" s="51">
        <v>0</v>
      </c>
      <c r="I24" s="51">
        <v>0</v>
      </c>
      <c r="J24" s="51">
        <v>0</v>
      </c>
      <c r="K24" s="51">
        <v>0</v>
      </c>
      <c r="L24" s="51">
        <v>0</v>
      </c>
      <c r="M24" s="51">
        <v>0</v>
      </c>
      <c r="N24" s="51">
        <v>0</v>
      </c>
      <c r="O24" s="51">
        <v>0</v>
      </c>
      <c r="P24" s="51">
        <v>0</v>
      </c>
      <c r="Q24" s="51">
        <v>0</v>
      </c>
      <c r="R24" s="51">
        <v>0</v>
      </c>
      <c r="S24" s="51">
        <v>0</v>
      </c>
      <c r="T24" s="51">
        <v>0</v>
      </c>
      <c r="U24" s="69">
        <v>0</v>
      </c>
      <c r="V24" s="24">
        <f t="shared" si="0"/>
        <v>0</v>
      </c>
      <c r="W24" s="81">
        <v>0</v>
      </c>
      <c r="X24" s="51">
        <v>0</v>
      </c>
      <c r="Y24" s="51">
        <v>78400</v>
      </c>
      <c r="Z24" s="51">
        <v>110000</v>
      </c>
      <c r="AA24" s="51">
        <v>65320</v>
      </c>
      <c r="AB24" s="51">
        <v>65320</v>
      </c>
      <c r="AC24" s="51">
        <v>69920</v>
      </c>
      <c r="AD24" s="23">
        <v>83720</v>
      </c>
      <c r="AE24" s="24">
        <f t="shared" si="1"/>
        <v>472680</v>
      </c>
      <c r="AF24" s="24">
        <v>0</v>
      </c>
      <c r="AG24" s="24">
        <f t="shared" si="2"/>
        <v>0</v>
      </c>
      <c r="AH24" s="24">
        <f t="shared" si="3"/>
        <v>472680</v>
      </c>
    </row>
    <row r="25" spans="1:34">
      <c r="A25" s="1" t="s">
        <v>1</v>
      </c>
      <c r="B25" s="22" t="s">
        <v>79</v>
      </c>
      <c r="C25" s="50">
        <v>3500</v>
      </c>
      <c r="D25" s="51">
        <v>3500</v>
      </c>
      <c r="E25" s="51">
        <v>3500</v>
      </c>
      <c r="F25" s="51">
        <v>3500</v>
      </c>
      <c r="G25" s="51">
        <v>1000</v>
      </c>
      <c r="H25" s="51">
        <v>3500</v>
      </c>
      <c r="I25" s="51">
        <v>3500</v>
      </c>
      <c r="J25" s="51">
        <v>3500</v>
      </c>
      <c r="K25" s="51">
        <v>3500</v>
      </c>
      <c r="L25" s="51">
        <v>3500</v>
      </c>
      <c r="M25" s="51">
        <v>3500</v>
      </c>
      <c r="N25" s="51">
        <v>3500</v>
      </c>
      <c r="O25" s="51">
        <v>3500</v>
      </c>
      <c r="P25" s="51">
        <v>0</v>
      </c>
      <c r="Q25" s="51">
        <v>3500</v>
      </c>
      <c r="R25" s="51">
        <v>1000</v>
      </c>
      <c r="S25" s="51">
        <v>0</v>
      </c>
      <c r="T25" s="51">
        <v>1000</v>
      </c>
      <c r="U25" s="69">
        <v>1000</v>
      </c>
      <c r="V25" s="24">
        <f t="shared" si="0"/>
        <v>49500</v>
      </c>
      <c r="W25" s="81">
        <v>0</v>
      </c>
      <c r="X25" s="51">
        <v>0</v>
      </c>
      <c r="Y25" s="51">
        <v>0</v>
      </c>
      <c r="Z25" s="51">
        <v>0</v>
      </c>
      <c r="AA25" s="51">
        <v>0</v>
      </c>
      <c r="AB25" s="51">
        <v>0</v>
      </c>
      <c r="AC25" s="51">
        <v>0</v>
      </c>
      <c r="AD25" s="23">
        <v>0</v>
      </c>
      <c r="AE25" s="24">
        <f t="shared" si="1"/>
        <v>0</v>
      </c>
      <c r="AF25" s="24">
        <v>0</v>
      </c>
      <c r="AG25" s="24">
        <f t="shared" si="2"/>
        <v>0</v>
      </c>
      <c r="AH25" s="24">
        <f t="shared" si="3"/>
        <v>49500</v>
      </c>
    </row>
    <row r="26" spans="1:34">
      <c r="A26" s="1" t="s">
        <v>1</v>
      </c>
      <c r="B26" s="22" t="s">
        <v>80</v>
      </c>
      <c r="C26" s="50">
        <v>0</v>
      </c>
      <c r="D26" s="51">
        <v>0</v>
      </c>
      <c r="E26" s="51">
        <v>0</v>
      </c>
      <c r="F26" s="51">
        <v>0</v>
      </c>
      <c r="G26" s="51">
        <v>0</v>
      </c>
      <c r="H26" s="51">
        <v>0</v>
      </c>
      <c r="I26" s="51">
        <v>0</v>
      </c>
      <c r="J26" s="51">
        <v>0</v>
      </c>
      <c r="K26" s="51">
        <v>0</v>
      </c>
      <c r="L26" s="51">
        <v>0</v>
      </c>
      <c r="M26" s="51">
        <v>60452</v>
      </c>
      <c r="N26" s="51">
        <v>0</v>
      </c>
      <c r="O26" s="51">
        <v>0</v>
      </c>
      <c r="P26" s="51">
        <v>0</v>
      </c>
      <c r="Q26" s="51">
        <v>0</v>
      </c>
      <c r="R26" s="51">
        <v>0</v>
      </c>
      <c r="S26" s="51">
        <v>0</v>
      </c>
      <c r="T26" s="51">
        <v>0</v>
      </c>
      <c r="U26" s="69">
        <v>0</v>
      </c>
      <c r="V26" s="24">
        <f t="shared" si="0"/>
        <v>60452</v>
      </c>
      <c r="W26" s="81">
        <v>0</v>
      </c>
      <c r="X26" s="51">
        <v>0</v>
      </c>
      <c r="Y26" s="51">
        <v>0</v>
      </c>
      <c r="Z26" s="51">
        <v>0</v>
      </c>
      <c r="AA26" s="51">
        <v>0</v>
      </c>
      <c r="AB26" s="51">
        <v>0</v>
      </c>
      <c r="AC26" s="51">
        <v>0</v>
      </c>
      <c r="AD26" s="23">
        <v>0</v>
      </c>
      <c r="AE26" s="24">
        <f t="shared" si="1"/>
        <v>0</v>
      </c>
      <c r="AF26" s="24">
        <v>0</v>
      </c>
      <c r="AG26" s="24">
        <f t="shared" si="2"/>
        <v>0</v>
      </c>
      <c r="AH26" s="24">
        <f t="shared" si="3"/>
        <v>60452</v>
      </c>
    </row>
    <row r="27" spans="1:34">
      <c r="A27" s="1" t="s">
        <v>1</v>
      </c>
      <c r="B27" s="22" t="s">
        <v>66</v>
      </c>
      <c r="C27" s="50">
        <v>29722</v>
      </c>
      <c r="D27" s="51">
        <v>55614</v>
      </c>
      <c r="E27" s="51">
        <v>14517</v>
      </c>
      <c r="F27" s="51">
        <v>88715</v>
      </c>
      <c r="G27" s="51">
        <v>67915</v>
      </c>
      <c r="H27" s="51">
        <v>100567</v>
      </c>
      <c r="I27" s="51">
        <v>74305</v>
      </c>
      <c r="J27" s="51">
        <v>65596</v>
      </c>
      <c r="K27" s="51">
        <v>60795</v>
      </c>
      <c r="L27" s="52">
        <v>-62744</v>
      </c>
      <c r="M27" s="51">
        <v>17563</v>
      </c>
      <c r="N27" s="51">
        <v>44448</v>
      </c>
      <c r="O27" s="51">
        <v>45632</v>
      </c>
      <c r="P27" s="51">
        <v>0</v>
      </c>
      <c r="Q27" s="51">
        <v>36372</v>
      </c>
      <c r="R27" s="51">
        <v>37120</v>
      </c>
      <c r="S27" s="51">
        <v>84018</v>
      </c>
      <c r="T27" s="51">
        <v>61440</v>
      </c>
      <c r="U27" s="69">
        <v>60160</v>
      </c>
      <c r="V27" s="24">
        <f t="shared" si="0"/>
        <v>881755</v>
      </c>
      <c r="W27" s="81">
        <v>0</v>
      </c>
      <c r="X27" s="51">
        <v>42924</v>
      </c>
      <c r="Y27" s="51">
        <v>0</v>
      </c>
      <c r="Z27" s="51">
        <v>0</v>
      </c>
      <c r="AA27" s="51">
        <v>0</v>
      </c>
      <c r="AB27" s="51">
        <v>0</v>
      </c>
      <c r="AC27" s="51">
        <v>3450</v>
      </c>
      <c r="AD27" s="23">
        <v>0</v>
      </c>
      <c r="AE27" s="24">
        <f t="shared" si="1"/>
        <v>46374</v>
      </c>
      <c r="AF27" s="24">
        <v>0</v>
      </c>
      <c r="AG27" s="24">
        <f t="shared" si="2"/>
        <v>0</v>
      </c>
      <c r="AH27" s="24">
        <f t="shared" si="3"/>
        <v>928129</v>
      </c>
    </row>
    <row r="28" spans="1:34">
      <c r="A28" s="1" t="s">
        <v>1</v>
      </c>
      <c r="B28" s="22" t="s">
        <v>81</v>
      </c>
      <c r="C28" s="50">
        <v>48147</v>
      </c>
      <c r="D28" s="51">
        <v>24640</v>
      </c>
      <c r="E28" s="51">
        <v>33098</v>
      </c>
      <c r="F28" s="51">
        <v>36582</v>
      </c>
      <c r="G28" s="51">
        <v>32781</v>
      </c>
      <c r="H28" s="51">
        <v>21073</v>
      </c>
      <c r="I28" s="51">
        <v>71491</v>
      </c>
      <c r="J28" s="51">
        <v>46200</v>
      </c>
      <c r="K28" s="51">
        <v>53983</v>
      </c>
      <c r="L28" s="51">
        <v>44660</v>
      </c>
      <c r="M28" s="51">
        <v>33557</v>
      </c>
      <c r="N28" s="51">
        <v>4500</v>
      </c>
      <c r="O28" s="51">
        <v>60060</v>
      </c>
      <c r="P28" s="51">
        <v>0</v>
      </c>
      <c r="Q28" s="51">
        <v>29463</v>
      </c>
      <c r="R28" s="51">
        <v>26258</v>
      </c>
      <c r="S28" s="51">
        <v>24732</v>
      </c>
      <c r="T28" s="51">
        <v>26258</v>
      </c>
      <c r="U28" s="69">
        <v>29022</v>
      </c>
      <c r="V28" s="24">
        <f t="shared" si="0"/>
        <v>646505</v>
      </c>
      <c r="W28" s="81">
        <v>0</v>
      </c>
      <c r="X28" s="51">
        <v>55175</v>
      </c>
      <c r="Y28" s="51">
        <v>0</v>
      </c>
      <c r="Z28" s="51">
        <v>0</v>
      </c>
      <c r="AA28" s="51">
        <v>0</v>
      </c>
      <c r="AB28" s="51">
        <v>0</v>
      </c>
      <c r="AC28" s="51">
        <v>0</v>
      </c>
      <c r="AD28" s="23">
        <v>0</v>
      </c>
      <c r="AE28" s="24">
        <f t="shared" si="1"/>
        <v>55175</v>
      </c>
      <c r="AF28" s="24">
        <v>0</v>
      </c>
      <c r="AG28" s="24">
        <f t="shared" si="2"/>
        <v>0</v>
      </c>
      <c r="AH28" s="24">
        <f t="shared" si="3"/>
        <v>701680</v>
      </c>
    </row>
    <row r="29" spans="1:34">
      <c r="A29" s="1" t="s">
        <v>1</v>
      </c>
      <c r="B29" s="22" t="s">
        <v>82</v>
      </c>
      <c r="C29" s="50">
        <v>21885</v>
      </c>
      <c r="D29" s="51">
        <v>53900</v>
      </c>
      <c r="E29" s="51">
        <v>0</v>
      </c>
      <c r="F29" s="51">
        <v>26130</v>
      </c>
      <c r="G29" s="51">
        <v>0</v>
      </c>
      <c r="H29" s="51">
        <v>43767</v>
      </c>
      <c r="I29" s="51">
        <v>14590</v>
      </c>
      <c r="J29" s="51">
        <v>16940</v>
      </c>
      <c r="K29" s="51">
        <v>13131</v>
      </c>
      <c r="L29" s="51">
        <v>13860</v>
      </c>
      <c r="M29" s="51">
        <v>16049</v>
      </c>
      <c r="N29" s="51">
        <v>12000</v>
      </c>
      <c r="O29" s="51">
        <v>9240</v>
      </c>
      <c r="P29" s="51">
        <v>0</v>
      </c>
      <c r="Q29" s="51">
        <v>39284</v>
      </c>
      <c r="R29" s="51">
        <v>16584</v>
      </c>
      <c r="S29" s="51">
        <v>20610</v>
      </c>
      <c r="T29" s="51">
        <v>24876</v>
      </c>
      <c r="U29" s="69">
        <v>24876</v>
      </c>
      <c r="V29" s="24">
        <f t="shared" si="0"/>
        <v>367722</v>
      </c>
      <c r="W29" s="81">
        <v>0</v>
      </c>
      <c r="X29" s="51">
        <v>0</v>
      </c>
      <c r="Y29" s="51">
        <v>0</v>
      </c>
      <c r="Z29" s="51">
        <v>0</v>
      </c>
      <c r="AA29" s="51">
        <v>0</v>
      </c>
      <c r="AB29" s="51">
        <v>0</v>
      </c>
      <c r="AC29" s="51">
        <v>0</v>
      </c>
      <c r="AD29" s="23">
        <v>0</v>
      </c>
      <c r="AE29" s="24">
        <f t="shared" si="1"/>
        <v>0</v>
      </c>
      <c r="AF29" s="24">
        <v>0</v>
      </c>
      <c r="AG29" s="24">
        <f t="shared" si="2"/>
        <v>0</v>
      </c>
      <c r="AH29" s="24">
        <f t="shared" si="3"/>
        <v>367722</v>
      </c>
    </row>
    <row r="30" spans="1:34">
      <c r="A30" s="1" t="s">
        <v>1</v>
      </c>
      <c r="B30" s="22" t="s">
        <v>83</v>
      </c>
      <c r="C30" s="50">
        <v>0</v>
      </c>
      <c r="D30" s="51">
        <v>0</v>
      </c>
      <c r="E30" s="51">
        <v>0</v>
      </c>
      <c r="F30" s="51">
        <v>0</v>
      </c>
      <c r="G30" s="51">
        <v>0</v>
      </c>
      <c r="H30" s="51">
        <v>0</v>
      </c>
      <c r="I30" s="51">
        <v>0</v>
      </c>
      <c r="J30" s="51">
        <v>0</v>
      </c>
      <c r="K30" s="51">
        <v>0</v>
      </c>
      <c r="L30" s="51">
        <v>0</v>
      </c>
      <c r="M30" s="51">
        <v>0</v>
      </c>
      <c r="N30" s="51">
        <v>2723</v>
      </c>
      <c r="O30" s="51">
        <v>0</v>
      </c>
      <c r="P30" s="51">
        <v>0</v>
      </c>
      <c r="Q30" s="51">
        <v>1820</v>
      </c>
      <c r="R30" s="51">
        <v>5728</v>
      </c>
      <c r="S30" s="51">
        <v>0</v>
      </c>
      <c r="T30" s="51">
        <v>0</v>
      </c>
      <c r="U30" s="69">
        <v>0</v>
      </c>
      <c r="V30" s="24">
        <f t="shared" si="0"/>
        <v>10271</v>
      </c>
      <c r="W30" s="81">
        <v>0</v>
      </c>
      <c r="X30" s="51">
        <v>0</v>
      </c>
      <c r="Y30" s="51">
        <v>0</v>
      </c>
      <c r="Z30" s="51">
        <v>0</v>
      </c>
      <c r="AA30" s="51">
        <v>0</v>
      </c>
      <c r="AB30" s="51">
        <v>0</v>
      </c>
      <c r="AC30" s="51">
        <v>0</v>
      </c>
      <c r="AD30" s="23">
        <v>0</v>
      </c>
      <c r="AE30" s="24">
        <f t="shared" si="1"/>
        <v>0</v>
      </c>
      <c r="AF30" s="24">
        <v>0</v>
      </c>
      <c r="AG30" s="24">
        <f t="shared" si="2"/>
        <v>0</v>
      </c>
      <c r="AH30" s="24">
        <f t="shared" si="3"/>
        <v>10271</v>
      </c>
    </row>
    <row r="31" spans="1:34">
      <c r="A31" s="1" t="s">
        <v>1</v>
      </c>
      <c r="B31" s="22" t="s">
        <v>84</v>
      </c>
      <c r="C31" s="50">
        <v>0</v>
      </c>
      <c r="D31" s="51">
        <v>0</v>
      </c>
      <c r="E31" s="51">
        <v>7232</v>
      </c>
      <c r="F31" s="51">
        <v>0</v>
      </c>
      <c r="G31" s="51">
        <v>0</v>
      </c>
      <c r="H31" s="51">
        <v>0</v>
      </c>
      <c r="I31" s="51">
        <v>0</v>
      </c>
      <c r="J31" s="51">
        <v>0</v>
      </c>
      <c r="K31" s="51">
        <v>0</v>
      </c>
      <c r="L31" s="51">
        <v>0</v>
      </c>
      <c r="M31" s="51">
        <v>0</v>
      </c>
      <c r="N31" s="51">
        <v>4668</v>
      </c>
      <c r="O31" s="51">
        <v>0</v>
      </c>
      <c r="P31" s="51">
        <v>0</v>
      </c>
      <c r="Q31" s="51">
        <v>0</v>
      </c>
      <c r="R31" s="51">
        <v>2148</v>
      </c>
      <c r="S31" s="51">
        <v>5340</v>
      </c>
      <c r="T31" s="51">
        <v>0</v>
      </c>
      <c r="U31" s="69">
        <v>0</v>
      </c>
      <c r="V31" s="24">
        <f t="shared" si="0"/>
        <v>19388</v>
      </c>
      <c r="W31" s="81">
        <v>0</v>
      </c>
      <c r="X31" s="51">
        <v>0</v>
      </c>
      <c r="Y31" s="51">
        <v>0</v>
      </c>
      <c r="Z31" s="51">
        <v>0</v>
      </c>
      <c r="AA31" s="51">
        <v>0</v>
      </c>
      <c r="AB31" s="51">
        <v>0</v>
      </c>
      <c r="AC31" s="51">
        <v>0</v>
      </c>
      <c r="AD31" s="23">
        <v>0</v>
      </c>
      <c r="AE31" s="24">
        <f t="shared" si="1"/>
        <v>0</v>
      </c>
      <c r="AF31" s="24">
        <v>0</v>
      </c>
      <c r="AG31" s="24">
        <f t="shared" si="2"/>
        <v>0</v>
      </c>
      <c r="AH31" s="24">
        <f t="shared" si="3"/>
        <v>19388</v>
      </c>
    </row>
    <row r="32" spans="1:34">
      <c r="A32" s="1" t="s">
        <v>1</v>
      </c>
      <c r="B32" s="22" t="s">
        <v>71</v>
      </c>
      <c r="C32" s="50">
        <v>0</v>
      </c>
      <c r="D32" s="51">
        <v>0</v>
      </c>
      <c r="E32" s="51">
        <v>0</v>
      </c>
      <c r="F32" s="51">
        <v>0</v>
      </c>
      <c r="G32" s="51">
        <v>0</v>
      </c>
      <c r="H32" s="51">
        <v>3300</v>
      </c>
      <c r="I32" s="51">
        <v>0</v>
      </c>
      <c r="J32" s="51">
        <v>0</v>
      </c>
      <c r="K32" s="51">
        <v>0</v>
      </c>
      <c r="L32" s="51">
        <v>0</v>
      </c>
      <c r="M32" s="51">
        <v>0</v>
      </c>
      <c r="N32" s="51">
        <v>0</v>
      </c>
      <c r="O32" s="51">
        <v>0</v>
      </c>
      <c r="P32" s="51">
        <v>0</v>
      </c>
      <c r="Q32" s="51">
        <v>0</v>
      </c>
      <c r="R32" s="51">
        <v>0</v>
      </c>
      <c r="S32" s="51">
        <v>1530</v>
      </c>
      <c r="T32" s="51">
        <v>0</v>
      </c>
      <c r="U32" s="69">
        <v>0</v>
      </c>
      <c r="V32" s="24">
        <f t="shared" si="0"/>
        <v>4830</v>
      </c>
      <c r="W32" s="81">
        <v>0</v>
      </c>
      <c r="X32" s="51">
        <v>0</v>
      </c>
      <c r="Y32" s="51">
        <v>0</v>
      </c>
      <c r="Z32" s="51">
        <v>0</v>
      </c>
      <c r="AA32" s="51">
        <v>0</v>
      </c>
      <c r="AB32" s="51">
        <v>0</v>
      </c>
      <c r="AC32" s="51">
        <v>0</v>
      </c>
      <c r="AD32" s="23">
        <v>0</v>
      </c>
      <c r="AE32" s="24">
        <f t="shared" si="1"/>
        <v>0</v>
      </c>
      <c r="AF32" s="24">
        <v>0</v>
      </c>
      <c r="AG32" s="24">
        <f t="shared" si="2"/>
        <v>0</v>
      </c>
      <c r="AH32" s="24">
        <f t="shared" si="3"/>
        <v>4830</v>
      </c>
    </row>
    <row r="33" spans="1:34">
      <c r="A33" s="1" t="s">
        <v>1</v>
      </c>
      <c r="B33" s="6" t="s">
        <v>72</v>
      </c>
      <c r="C33" s="53">
        <v>0</v>
      </c>
      <c r="D33" s="54">
        <v>285</v>
      </c>
      <c r="E33" s="54">
        <v>2907</v>
      </c>
      <c r="F33" s="54">
        <v>5168</v>
      </c>
      <c r="G33" s="54">
        <v>6647</v>
      </c>
      <c r="H33" s="54">
        <v>6900</v>
      </c>
      <c r="I33" s="54">
        <v>2430</v>
      </c>
      <c r="J33" s="54">
        <v>1710</v>
      </c>
      <c r="K33" s="54">
        <v>540</v>
      </c>
      <c r="L33" s="54">
        <v>3135</v>
      </c>
      <c r="M33" s="54">
        <v>1890</v>
      </c>
      <c r="N33" s="54">
        <v>3058</v>
      </c>
      <c r="O33" s="54">
        <v>3990</v>
      </c>
      <c r="P33" s="54">
        <v>0</v>
      </c>
      <c r="Q33" s="54">
        <v>4420</v>
      </c>
      <c r="R33" s="54">
        <v>3328</v>
      </c>
      <c r="S33" s="54">
        <v>10455</v>
      </c>
      <c r="T33" s="54">
        <v>3072</v>
      </c>
      <c r="U33" s="70">
        <v>1280</v>
      </c>
      <c r="V33" s="10">
        <f t="shared" si="0"/>
        <v>61215</v>
      </c>
      <c r="W33" s="82">
        <v>0</v>
      </c>
      <c r="X33" s="54">
        <v>0</v>
      </c>
      <c r="Y33" s="54">
        <v>0</v>
      </c>
      <c r="Z33" s="54">
        <v>0</v>
      </c>
      <c r="AA33" s="54">
        <v>11500</v>
      </c>
      <c r="AB33" s="54">
        <v>11500</v>
      </c>
      <c r="AC33" s="54">
        <v>5750</v>
      </c>
      <c r="AD33" s="9">
        <v>6900</v>
      </c>
      <c r="AE33" s="10">
        <f t="shared" si="1"/>
        <v>35650</v>
      </c>
      <c r="AF33" s="10">
        <v>0</v>
      </c>
      <c r="AG33" s="10">
        <f t="shared" si="2"/>
        <v>0</v>
      </c>
      <c r="AH33" s="10">
        <f t="shared" si="3"/>
        <v>96865</v>
      </c>
    </row>
    <row r="34" spans="1:34">
      <c r="A34" s="1" t="s">
        <v>1</v>
      </c>
      <c r="B34" s="14" t="s">
        <v>85</v>
      </c>
      <c r="C34" s="55">
        <v>280254</v>
      </c>
      <c r="D34" s="56">
        <v>330669</v>
      </c>
      <c r="E34" s="56">
        <v>373646</v>
      </c>
      <c r="F34" s="56">
        <v>392208</v>
      </c>
      <c r="G34" s="56">
        <v>300343</v>
      </c>
      <c r="H34" s="56">
        <v>394879</v>
      </c>
      <c r="I34" s="56">
        <v>347657</v>
      </c>
      <c r="J34" s="56">
        <v>320946</v>
      </c>
      <c r="K34" s="56">
        <v>314376</v>
      </c>
      <c r="L34" s="56">
        <v>345529</v>
      </c>
      <c r="M34" s="56">
        <v>189107</v>
      </c>
      <c r="N34" s="56">
        <v>278862</v>
      </c>
      <c r="O34" s="56">
        <v>354254</v>
      </c>
      <c r="P34" s="56">
        <v>0</v>
      </c>
      <c r="Q34" s="56">
        <v>284859</v>
      </c>
      <c r="R34" s="56">
        <v>262166</v>
      </c>
      <c r="S34" s="56">
        <v>316685</v>
      </c>
      <c r="T34" s="56">
        <v>286646</v>
      </c>
      <c r="U34" s="71">
        <v>286338</v>
      </c>
      <c r="V34" s="18">
        <f t="shared" si="0"/>
        <v>5659424</v>
      </c>
      <c r="W34" s="83">
        <v>365000</v>
      </c>
      <c r="X34" s="56">
        <v>371099</v>
      </c>
      <c r="Y34" s="56">
        <v>78400</v>
      </c>
      <c r="Z34" s="56">
        <v>110000</v>
      </c>
      <c r="AA34" s="56">
        <v>76820</v>
      </c>
      <c r="AB34" s="56">
        <v>76820</v>
      </c>
      <c r="AC34" s="56">
        <v>79120</v>
      </c>
      <c r="AD34" s="17">
        <v>90620</v>
      </c>
      <c r="AE34" s="18">
        <f t="shared" si="1"/>
        <v>1247879</v>
      </c>
      <c r="AF34" s="18">
        <v>385000</v>
      </c>
      <c r="AG34" s="18">
        <f t="shared" si="2"/>
        <v>385000</v>
      </c>
      <c r="AH34" s="18">
        <f t="shared" si="3"/>
        <v>7292303</v>
      </c>
    </row>
    <row r="35" spans="1:34">
      <c r="A35" s="1" t="s">
        <v>1</v>
      </c>
      <c r="B35" s="6" t="s">
        <v>86</v>
      </c>
      <c r="C35" s="53">
        <v>13893</v>
      </c>
      <c r="D35" s="54">
        <v>3612</v>
      </c>
      <c r="E35" s="54">
        <v>4252</v>
      </c>
      <c r="F35" s="54">
        <v>3474</v>
      </c>
      <c r="G35" s="54">
        <v>14060</v>
      </c>
      <c r="H35" s="54">
        <v>2779</v>
      </c>
      <c r="I35" s="54">
        <v>2668</v>
      </c>
      <c r="J35" s="54">
        <v>1390</v>
      </c>
      <c r="K35" s="54">
        <v>3474</v>
      </c>
      <c r="L35" s="54">
        <v>5335</v>
      </c>
      <c r="M35" s="54">
        <v>3890</v>
      </c>
      <c r="N35" s="54">
        <v>3884</v>
      </c>
      <c r="O35" s="54">
        <v>8669</v>
      </c>
      <c r="P35" s="54">
        <v>0</v>
      </c>
      <c r="Q35" s="54">
        <v>10392</v>
      </c>
      <c r="R35" s="54">
        <v>7336</v>
      </c>
      <c r="S35" s="54">
        <v>10420</v>
      </c>
      <c r="T35" s="54">
        <v>9030</v>
      </c>
      <c r="U35" s="70">
        <v>2557</v>
      </c>
      <c r="V35" s="10">
        <f t="shared" si="0"/>
        <v>111115</v>
      </c>
      <c r="W35" s="82">
        <v>3668</v>
      </c>
      <c r="X35" s="54">
        <v>6002</v>
      </c>
      <c r="Y35" s="54">
        <v>2890</v>
      </c>
      <c r="Z35" s="54">
        <v>2640</v>
      </c>
      <c r="AA35" s="54">
        <v>3335</v>
      </c>
      <c r="AB35" s="54">
        <v>4446</v>
      </c>
      <c r="AC35" s="54">
        <v>3612</v>
      </c>
      <c r="AD35" s="9">
        <v>7002</v>
      </c>
      <c r="AE35" s="10">
        <f t="shared" si="1"/>
        <v>33595</v>
      </c>
      <c r="AF35" s="10">
        <v>0</v>
      </c>
      <c r="AG35" s="10">
        <f t="shared" si="2"/>
        <v>0</v>
      </c>
      <c r="AH35" s="10">
        <f t="shared" si="3"/>
        <v>144710</v>
      </c>
    </row>
    <row r="36" spans="1:34">
      <c r="A36" s="1" t="s">
        <v>1</v>
      </c>
      <c r="B36" s="6" t="s">
        <v>87</v>
      </c>
      <c r="C36" s="53">
        <v>13893</v>
      </c>
      <c r="D36" s="54">
        <v>3612</v>
      </c>
      <c r="E36" s="54">
        <v>4252</v>
      </c>
      <c r="F36" s="54">
        <v>3474</v>
      </c>
      <c r="G36" s="54">
        <v>14060</v>
      </c>
      <c r="H36" s="54">
        <v>2779</v>
      </c>
      <c r="I36" s="54">
        <v>2668</v>
      </c>
      <c r="J36" s="54">
        <v>1390</v>
      </c>
      <c r="K36" s="54">
        <v>3474</v>
      </c>
      <c r="L36" s="54">
        <v>5335</v>
      </c>
      <c r="M36" s="54">
        <v>3890</v>
      </c>
      <c r="N36" s="54">
        <v>3884</v>
      </c>
      <c r="O36" s="54">
        <v>8669</v>
      </c>
      <c r="P36" s="54">
        <v>0</v>
      </c>
      <c r="Q36" s="54">
        <v>10392</v>
      </c>
      <c r="R36" s="54">
        <v>7336</v>
      </c>
      <c r="S36" s="54">
        <v>10420</v>
      </c>
      <c r="T36" s="54">
        <v>9030</v>
      </c>
      <c r="U36" s="70">
        <v>2557</v>
      </c>
      <c r="V36" s="10">
        <f t="shared" si="0"/>
        <v>111115</v>
      </c>
      <c r="W36" s="82">
        <v>3668</v>
      </c>
      <c r="X36" s="54">
        <v>6002</v>
      </c>
      <c r="Y36" s="54">
        <v>2890</v>
      </c>
      <c r="Z36" s="54">
        <v>2640</v>
      </c>
      <c r="AA36" s="54">
        <v>3335</v>
      </c>
      <c r="AB36" s="54">
        <v>4446</v>
      </c>
      <c r="AC36" s="54">
        <v>3612</v>
      </c>
      <c r="AD36" s="9">
        <v>7002</v>
      </c>
      <c r="AE36" s="10">
        <f t="shared" si="1"/>
        <v>33595</v>
      </c>
      <c r="AF36" s="10">
        <v>0</v>
      </c>
      <c r="AG36" s="10">
        <f t="shared" si="2"/>
        <v>0</v>
      </c>
      <c r="AH36" s="10">
        <f t="shared" si="3"/>
        <v>144710</v>
      </c>
    </row>
    <row r="37" spans="1:34">
      <c r="A37" s="1" t="s">
        <v>1</v>
      </c>
      <c r="B37" s="14" t="s">
        <v>88</v>
      </c>
      <c r="C37" s="55">
        <v>294147</v>
      </c>
      <c r="D37" s="56">
        <v>334281</v>
      </c>
      <c r="E37" s="56">
        <v>377898</v>
      </c>
      <c r="F37" s="56">
        <v>395682</v>
      </c>
      <c r="G37" s="56">
        <v>314403</v>
      </c>
      <c r="H37" s="56">
        <v>397658</v>
      </c>
      <c r="I37" s="56">
        <v>350325</v>
      </c>
      <c r="J37" s="56">
        <v>322336</v>
      </c>
      <c r="K37" s="56">
        <v>317850</v>
      </c>
      <c r="L37" s="56">
        <v>350864</v>
      </c>
      <c r="M37" s="56">
        <v>192997</v>
      </c>
      <c r="N37" s="56">
        <v>282746</v>
      </c>
      <c r="O37" s="56">
        <v>362923</v>
      </c>
      <c r="P37" s="56">
        <v>0</v>
      </c>
      <c r="Q37" s="56">
        <v>295251</v>
      </c>
      <c r="R37" s="56">
        <v>269502</v>
      </c>
      <c r="S37" s="56">
        <v>327105</v>
      </c>
      <c r="T37" s="56">
        <v>295676</v>
      </c>
      <c r="U37" s="71">
        <v>288895</v>
      </c>
      <c r="V37" s="18">
        <f t="shared" si="0"/>
        <v>5770539</v>
      </c>
      <c r="W37" s="83">
        <v>368668</v>
      </c>
      <c r="X37" s="56">
        <v>377101</v>
      </c>
      <c r="Y37" s="56">
        <v>81290</v>
      </c>
      <c r="Z37" s="56">
        <v>112640</v>
      </c>
      <c r="AA37" s="56">
        <v>80155</v>
      </c>
      <c r="AB37" s="56">
        <v>81266</v>
      </c>
      <c r="AC37" s="56">
        <v>82732</v>
      </c>
      <c r="AD37" s="17">
        <v>97622</v>
      </c>
      <c r="AE37" s="18">
        <f t="shared" si="1"/>
        <v>1281474</v>
      </c>
      <c r="AF37" s="18">
        <v>385000</v>
      </c>
      <c r="AG37" s="18">
        <f t="shared" si="2"/>
        <v>385000</v>
      </c>
      <c r="AH37" s="18">
        <f t="shared" si="3"/>
        <v>7437013</v>
      </c>
    </row>
    <row r="38" spans="1:34">
      <c r="A38" s="1" t="s">
        <v>1</v>
      </c>
      <c r="B38" s="19" t="s">
        <v>89</v>
      </c>
      <c r="C38" s="48">
        <v>15300</v>
      </c>
      <c r="D38" s="49">
        <v>16320</v>
      </c>
      <c r="E38" s="49">
        <v>19380</v>
      </c>
      <c r="F38" s="49">
        <v>20910</v>
      </c>
      <c r="G38" s="49">
        <v>17340</v>
      </c>
      <c r="H38" s="49">
        <v>19380</v>
      </c>
      <c r="I38" s="49">
        <v>16320</v>
      </c>
      <c r="J38" s="49">
        <v>16320</v>
      </c>
      <c r="K38" s="49">
        <v>16320</v>
      </c>
      <c r="L38" s="49">
        <v>18360</v>
      </c>
      <c r="M38" s="49">
        <v>0</v>
      </c>
      <c r="N38" s="49">
        <v>16320</v>
      </c>
      <c r="O38" s="49">
        <v>16320</v>
      </c>
      <c r="P38" s="49">
        <v>17340</v>
      </c>
      <c r="Q38" s="49">
        <v>14280</v>
      </c>
      <c r="R38" s="49">
        <v>14280</v>
      </c>
      <c r="S38" s="49">
        <v>16320</v>
      </c>
      <c r="T38" s="49">
        <v>14280</v>
      </c>
      <c r="U38" s="68">
        <v>15300</v>
      </c>
      <c r="V38" s="21">
        <f t="shared" si="0"/>
        <v>300390</v>
      </c>
      <c r="W38" s="80">
        <v>18360</v>
      </c>
      <c r="X38" s="49">
        <v>19380</v>
      </c>
      <c r="Y38" s="49">
        <v>0</v>
      </c>
      <c r="Z38" s="49">
        <v>0</v>
      </c>
      <c r="AA38" s="49">
        <v>0</v>
      </c>
      <c r="AB38" s="49">
        <v>0</v>
      </c>
      <c r="AC38" s="49">
        <v>0</v>
      </c>
      <c r="AD38" s="20">
        <v>0</v>
      </c>
      <c r="AE38" s="21">
        <f t="shared" si="1"/>
        <v>37740</v>
      </c>
      <c r="AF38" s="21">
        <v>19380</v>
      </c>
      <c r="AG38" s="21">
        <f t="shared" si="2"/>
        <v>19380</v>
      </c>
      <c r="AH38" s="21">
        <f t="shared" si="3"/>
        <v>357510</v>
      </c>
    </row>
    <row r="39" spans="1:34">
      <c r="A39" s="1" t="s">
        <v>1</v>
      </c>
      <c r="B39" s="22" t="s">
        <v>90</v>
      </c>
      <c r="C39" s="50">
        <v>2700</v>
      </c>
      <c r="D39" s="51">
        <v>2880</v>
      </c>
      <c r="E39" s="51">
        <v>3420</v>
      </c>
      <c r="F39" s="51">
        <v>3690</v>
      </c>
      <c r="G39" s="51">
        <v>3060</v>
      </c>
      <c r="H39" s="51">
        <v>3420</v>
      </c>
      <c r="I39" s="51">
        <v>2880</v>
      </c>
      <c r="J39" s="51">
        <v>2880</v>
      </c>
      <c r="K39" s="51">
        <v>2880</v>
      </c>
      <c r="L39" s="51">
        <v>3240</v>
      </c>
      <c r="M39" s="51">
        <v>0</v>
      </c>
      <c r="N39" s="51">
        <v>2880</v>
      </c>
      <c r="O39" s="51">
        <v>2880</v>
      </c>
      <c r="P39" s="51">
        <v>3060</v>
      </c>
      <c r="Q39" s="51">
        <v>2520</v>
      </c>
      <c r="R39" s="51">
        <v>2520</v>
      </c>
      <c r="S39" s="51">
        <v>2880</v>
      </c>
      <c r="T39" s="51">
        <v>2520</v>
      </c>
      <c r="U39" s="69">
        <v>2700</v>
      </c>
      <c r="V39" s="24">
        <f t="shared" si="0"/>
        <v>53010</v>
      </c>
      <c r="W39" s="81">
        <v>3240</v>
      </c>
      <c r="X39" s="51">
        <v>3420</v>
      </c>
      <c r="Y39" s="51">
        <v>0</v>
      </c>
      <c r="Z39" s="51">
        <v>0</v>
      </c>
      <c r="AA39" s="51">
        <v>0</v>
      </c>
      <c r="AB39" s="51">
        <v>0</v>
      </c>
      <c r="AC39" s="51">
        <v>0</v>
      </c>
      <c r="AD39" s="23">
        <v>0</v>
      </c>
      <c r="AE39" s="24">
        <f t="shared" si="1"/>
        <v>6660</v>
      </c>
      <c r="AF39" s="24">
        <v>3420</v>
      </c>
      <c r="AG39" s="24">
        <f t="shared" si="2"/>
        <v>3420</v>
      </c>
      <c r="AH39" s="24">
        <f t="shared" si="3"/>
        <v>63090</v>
      </c>
    </row>
    <row r="40" spans="1:34">
      <c r="A40" s="1" t="s">
        <v>1</v>
      </c>
      <c r="B40" s="22" t="s">
        <v>91</v>
      </c>
      <c r="C40" s="50">
        <v>27450</v>
      </c>
      <c r="D40" s="51">
        <v>29280</v>
      </c>
      <c r="E40" s="51">
        <v>34770</v>
      </c>
      <c r="F40" s="51">
        <v>37515</v>
      </c>
      <c r="G40" s="51">
        <v>31110</v>
      </c>
      <c r="H40" s="51">
        <v>34770</v>
      </c>
      <c r="I40" s="51">
        <v>29280</v>
      </c>
      <c r="J40" s="51">
        <v>29280</v>
      </c>
      <c r="K40" s="51">
        <v>29280</v>
      </c>
      <c r="L40" s="51">
        <v>32940</v>
      </c>
      <c r="M40" s="51">
        <v>0</v>
      </c>
      <c r="N40" s="51">
        <v>29280</v>
      </c>
      <c r="O40" s="51">
        <v>29280</v>
      </c>
      <c r="P40" s="51">
        <v>31110</v>
      </c>
      <c r="Q40" s="51">
        <v>25620</v>
      </c>
      <c r="R40" s="51">
        <v>25620</v>
      </c>
      <c r="S40" s="51">
        <v>29280</v>
      </c>
      <c r="T40" s="51">
        <v>25620</v>
      </c>
      <c r="U40" s="69">
        <v>27450</v>
      </c>
      <c r="V40" s="24">
        <f t="shared" si="0"/>
        <v>538935</v>
      </c>
      <c r="W40" s="81">
        <v>32940</v>
      </c>
      <c r="X40" s="51">
        <v>34770</v>
      </c>
      <c r="Y40" s="51">
        <v>0</v>
      </c>
      <c r="Z40" s="51">
        <v>0</v>
      </c>
      <c r="AA40" s="51">
        <v>0</v>
      </c>
      <c r="AB40" s="51">
        <v>0</v>
      </c>
      <c r="AC40" s="51">
        <v>0</v>
      </c>
      <c r="AD40" s="23">
        <v>0</v>
      </c>
      <c r="AE40" s="24">
        <f t="shared" si="1"/>
        <v>67710</v>
      </c>
      <c r="AF40" s="24">
        <v>34770</v>
      </c>
      <c r="AG40" s="24">
        <f t="shared" si="2"/>
        <v>34770</v>
      </c>
      <c r="AH40" s="24">
        <f t="shared" si="3"/>
        <v>641415</v>
      </c>
    </row>
    <row r="41" spans="1:34">
      <c r="A41" s="1" t="s">
        <v>1</v>
      </c>
      <c r="B41" s="6" t="s">
        <v>92</v>
      </c>
      <c r="C41" s="53">
        <v>1765</v>
      </c>
      <c r="D41" s="54">
        <v>2006</v>
      </c>
      <c r="E41" s="54">
        <v>2267</v>
      </c>
      <c r="F41" s="54">
        <v>2374</v>
      </c>
      <c r="G41" s="54">
        <v>1886</v>
      </c>
      <c r="H41" s="54">
        <v>2386</v>
      </c>
      <c r="I41" s="54">
        <v>2102</v>
      </c>
      <c r="J41" s="54">
        <v>1934</v>
      </c>
      <c r="K41" s="54">
        <v>1907</v>
      </c>
      <c r="L41" s="54">
        <v>2105</v>
      </c>
      <c r="M41" s="54">
        <v>1158</v>
      </c>
      <c r="N41" s="54">
        <v>1696</v>
      </c>
      <c r="O41" s="54">
        <v>2178</v>
      </c>
      <c r="P41" s="54">
        <v>0</v>
      </c>
      <c r="Q41" s="54">
        <v>1772</v>
      </c>
      <c r="R41" s="54">
        <v>1617</v>
      </c>
      <c r="S41" s="54">
        <v>1963</v>
      </c>
      <c r="T41" s="54">
        <v>1774</v>
      </c>
      <c r="U41" s="70">
        <v>1733</v>
      </c>
      <c r="V41" s="10">
        <f t="shared" si="0"/>
        <v>34623</v>
      </c>
      <c r="W41" s="82">
        <v>2212</v>
      </c>
      <c r="X41" s="54">
        <v>2263</v>
      </c>
      <c r="Y41" s="54">
        <v>488</v>
      </c>
      <c r="Z41" s="54">
        <v>676</v>
      </c>
      <c r="AA41" s="54">
        <v>0</v>
      </c>
      <c r="AB41" s="54">
        <v>0</v>
      </c>
      <c r="AC41" s="54">
        <v>0</v>
      </c>
      <c r="AD41" s="9">
        <v>586</v>
      </c>
      <c r="AE41" s="10">
        <f t="shared" si="1"/>
        <v>6225</v>
      </c>
      <c r="AF41" s="10">
        <v>2310</v>
      </c>
      <c r="AG41" s="10">
        <f t="shared" si="2"/>
        <v>2310</v>
      </c>
      <c r="AH41" s="10">
        <f t="shared" si="3"/>
        <v>43158</v>
      </c>
    </row>
    <row r="42" spans="1:34">
      <c r="A42" s="1" t="s">
        <v>1</v>
      </c>
      <c r="B42" s="14" t="s">
        <v>93</v>
      </c>
      <c r="C42" s="55">
        <v>47215</v>
      </c>
      <c r="D42" s="56">
        <v>50486</v>
      </c>
      <c r="E42" s="56">
        <v>59837</v>
      </c>
      <c r="F42" s="56">
        <v>64489</v>
      </c>
      <c r="G42" s="56">
        <v>53396</v>
      </c>
      <c r="H42" s="56">
        <v>59956</v>
      </c>
      <c r="I42" s="56">
        <v>50582</v>
      </c>
      <c r="J42" s="56">
        <v>50414</v>
      </c>
      <c r="K42" s="56">
        <v>50387</v>
      </c>
      <c r="L42" s="56">
        <v>56645</v>
      </c>
      <c r="M42" s="56">
        <v>1158</v>
      </c>
      <c r="N42" s="56">
        <v>50176</v>
      </c>
      <c r="O42" s="56">
        <v>50658</v>
      </c>
      <c r="P42" s="56">
        <v>51510</v>
      </c>
      <c r="Q42" s="56">
        <v>44192</v>
      </c>
      <c r="R42" s="56">
        <v>44037</v>
      </c>
      <c r="S42" s="56">
        <v>50443</v>
      </c>
      <c r="T42" s="56">
        <v>44194</v>
      </c>
      <c r="U42" s="71">
        <v>47183</v>
      </c>
      <c r="V42" s="18">
        <f t="shared" si="0"/>
        <v>926958</v>
      </c>
      <c r="W42" s="83">
        <v>56752</v>
      </c>
      <c r="X42" s="56">
        <v>59833</v>
      </c>
      <c r="Y42" s="56">
        <v>488</v>
      </c>
      <c r="Z42" s="56">
        <v>676</v>
      </c>
      <c r="AA42" s="56">
        <v>0</v>
      </c>
      <c r="AB42" s="56">
        <v>0</v>
      </c>
      <c r="AC42" s="56">
        <v>0</v>
      </c>
      <c r="AD42" s="17">
        <v>586</v>
      </c>
      <c r="AE42" s="18">
        <f t="shared" si="1"/>
        <v>118335</v>
      </c>
      <c r="AF42" s="18">
        <v>59880</v>
      </c>
      <c r="AG42" s="18">
        <f t="shared" si="2"/>
        <v>59880</v>
      </c>
      <c r="AH42" s="18">
        <f t="shared" si="3"/>
        <v>1105173</v>
      </c>
    </row>
    <row r="43" spans="1:34">
      <c r="A43" s="1" t="s">
        <v>1</v>
      </c>
      <c r="B43" s="19" t="s">
        <v>94</v>
      </c>
      <c r="C43" s="48">
        <v>4330</v>
      </c>
      <c r="D43" s="49">
        <v>7630</v>
      </c>
      <c r="E43" s="49">
        <v>7290</v>
      </c>
      <c r="F43" s="49">
        <v>10640</v>
      </c>
      <c r="G43" s="49">
        <v>4830</v>
      </c>
      <c r="H43" s="49">
        <v>11230</v>
      </c>
      <c r="I43" s="49">
        <v>8230</v>
      </c>
      <c r="J43" s="49">
        <v>5670</v>
      </c>
      <c r="K43" s="49">
        <v>7050</v>
      </c>
      <c r="L43" s="49">
        <v>7940</v>
      </c>
      <c r="M43" s="49">
        <v>4330</v>
      </c>
      <c r="N43" s="49">
        <v>5790</v>
      </c>
      <c r="O43" s="49">
        <v>8670</v>
      </c>
      <c r="P43" s="49">
        <v>0</v>
      </c>
      <c r="Q43" s="49">
        <v>6220</v>
      </c>
      <c r="R43" s="49">
        <v>5410</v>
      </c>
      <c r="S43" s="49">
        <v>5520</v>
      </c>
      <c r="T43" s="49">
        <v>6280</v>
      </c>
      <c r="U43" s="68">
        <v>6160</v>
      </c>
      <c r="V43" s="21">
        <f t="shared" si="0"/>
        <v>123220</v>
      </c>
      <c r="W43" s="80">
        <v>9050</v>
      </c>
      <c r="X43" s="49">
        <v>7180</v>
      </c>
      <c r="Y43" s="49">
        <v>0</v>
      </c>
      <c r="Z43" s="49">
        <v>1200</v>
      </c>
      <c r="AA43" s="49">
        <v>0</v>
      </c>
      <c r="AB43" s="49">
        <v>0</v>
      </c>
      <c r="AC43" s="49">
        <v>0</v>
      </c>
      <c r="AD43" s="20">
        <v>0</v>
      </c>
      <c r="AE43" s="21">
        <f t="shared" si="1"/>
        <v>17430</v>
      </c>
      <c r="AF43" s="21">
        <v>10430</v>
      </c>
      <c r="AG43" s="21">
        <f t="shared" si="2"/>
        <v>10430</v>
      </c>
      <c r="AH43" s="21">
        <f t="shared" si="3"/>
        <v>151080</v>
      </c>
    </row>
    <row r="44" spans="1:34">
      <c r="A44" s="1" t="s">
        <v>1</v>
      </c>
      <c r="B44" s="22" t="s">
        <v>95</v>
      </c>
      <c r="C44" s="50">
        <v>1300</v>
      </c>
      <c r="D44" s="51">
        <v>1300</v>
      </c>
      <c r="E44" s="51">
        <v>1300</v>
      </c>
      <c r="F44" s="51">
        <v>0</v>
      </c>
      <c r="G44" s="51">
        <v>1300</v>
      </c>
      <c r="H44" s="51">
        <v>1300</v>
      </c>
      <c r="I44" s="51">
        <v>1300</v>
      </c>
      <c r="J44" s="51">
        <v>1300</v>
      </c>
      <c r="K44" s="51">
        <v>1300</v>
      </c>
      <c r="L44" s="51">
        <v>1300</v>
      </c>
      <c r="M44" s="51">
        <v>0</v>
      </c>
      <c r="N44" s="51">
        <v>0</v>
      </c>
      <c r="O44" s="51">
        <v>1300</v>
      </c>
      <c r="P44" s="51">
        <v>1300</v>
      </c>
      <c r="Q44" s="51">
        <v>1300</v>
      </c>
      <c r="R44" s="51">
        <v>1300</v>
      </c>
      <c r="S44" s="51">
        <v>1300</v>
      </c>
      <c r="T44" s="51">
        <v>1300</v>
      </c>
      <c r="U44" s="69">
        <v>0</v>
      </c>
      <c r="V44" s="24">
        <f t="shared" si="0"/>
        <v>19500</v>
      </c>
      <c r="W44" s="81">
        <v>0</v>
      </c>
      <c r="X44" s="51">
        <v>0</v>
      </c>
      <c r="Y44" s="51">
        <v>0</v>
      </c>
      <c r="Z44" s="51">
        <v>0</v>
      </c>
      <c r="AA44" s="51">
        <v>0</v>
      </c>
      <c r="AB44" s="51">
        <v>0</v>
      </c>
      <c r="AC44" s="51">
        <v>0</v>
      </c>
      <c r="AD44" s="23">
        <v>0</v>
      </c>
      <c r="AE44" s="24">
        <f t="shared" si="1"/>
        <v>0</v>
      </c>
      <c r="AF44" s="24">
        <v>0</v>
      </c>
      <c r="AG44" s="24">
        <f t="shared" si="2"/>
        <v>0</v>
      </c>
      <c r="AH44" s="24">
        <f t="shared" si="3"/>
        <v>19500</v>
      </c>
    </row>
    <row r="45" spans="1:34">
      <c r="A45" s="1" t="s">
        <v>1</v>
      </c>
      <c r="B45" s="22" t="s">
        <v>96</v>
      </c>
      <c r="C45" s="50">
        <v>8800</v>
      </c>
      <c r="D45" s="51">
        <v>1500</v>
      </c>
      <c r="E45" s="51">
        <v>14600</v>
      </c>
      <c r="F45" s="51">
        <v>17100</v>
      </c>
      <c r="G45" s="51">
        <v>9500</v>
      </c>
      <c r="H45" s="51">
        <v>13100</v>
      </c>
      <c r="I45" s="51">
        <v>15100</v>
      </c>
      <c r="J45" s="51">
        <v>10100</v>
      </c>
      <c r="K45" s="51">
        <v>13400</v>
      </c>
      <c r="L45" s="51">
        <v>16100</v>
      </c>
      <c r="M45" s="51">
        <v>31500</v>
      </c>
      <c r="N45" s="51">
        <v>11300</v>
      </c>
      <c r="O45" s="51">
        <v>13200</v>
      </c>
      <c r="P45" s="51">
        <v>5600</v>
      </c>
      <c r="Q45" s="51">
        <v>0</v>
      </c>
      <c r="R45" s="51">
        <v>8500</v>
      </c>
      <c r="S45" s="51">
        <v>3100</v>
      </c>
      <c r="T45" s="51">
        <v>2000</v>
      </c>
      <c r="U45" s="69">
        <v>17300</v>
      </c>
      <c r="V45" s="24">
        <f t="shared" si="0"/>
        <v>211800</v>
      </c>
      <c r="W45" s="81">
        <v>16800</v>
      </c>
      <c r="X45" s="51">
        <v>16400</v>
      </c>
      <c r="Y45" s="51">
        <v>600</v>
      </c>
      <c r="Z45" s="51">
        <v>500</v>
      </c>
      <c r="AA45" s="51">
        <v>0</v>
      </c>
      <c r="AB45" s="51">
        <v>0</v>
      </c>
      <c r="AC45" s="51">
        <v>0</v>
      </c>
      <c r="AD45" s="23">
        <v>2300</v>
      </c>
      <c r="AE45" s="24">
        <f t="shared" si="1"/>
        <v>36600</v>
      </c>
      <c r="AF45" s="24">
        <v>17300</v>
      </c>
      <c r="AG45" s="24">
        <f t="shared" si="2"/>
        <v>17300</v>
      </c>
      <c r="AH45" s="24">
        <f t="shared" si="3"/>
        <v>265700</v>
      </c>
    </row>
    <row r="46" spans="1:34">
      <c r="A46" s="1" t="s">
        <v>1</v>
      </c>
      <c r="B46" s="6" t="s">
        <v>97</v>
      </c>
      <c r="C46" s="53">
        <v>0</v>
      </c>
      <c r="D46" s="54">
        <v>0</v>
      </c>
      <c r="E46" s="54">
        <v>0</v>
      </c>
      <c r="F46" s="54">
        <v>0</v>
      </c>
      <c r="G46" s="54">
        <v>0</v>
      </c>
      <c r="H46" s="54">
        <v>0</v>
      </c>
      <c r="I46" s="54">
        <v>0</v>
      </c>
      <c r="J46" s="54">
        <v>0</v>
      </c>
      <c r="K46" s="54">
        <v>0</v>
      </c>
      <c r="L46" s="54">
        <v>0</v>
      </c>
      <c r="M46" s="54">
        <v>0</v>
      </c>
      <c r="N46" s="54">
        <v>0</v>
      </c>
      <c r="O46" s="54">
        <v>0</v>
      </c>
      <c r="P46" s="57">
        <v>-58410</v>
      </c>
      <c r="Q46" s="54">
        <v>0</v>
      </c>
      <c r="R46" s="54">
        <v>0</v>
      </c>
      <c r="S46" s="54">
        <v>0</v>
      </c>
      <c r="T46" s="54">
        <v>0</v>
      </c>
      <c r="U46" s="70">
        <v>0</v>
      </c>
      <c r="V46" s="10">
        <f t="shared" si="0"/>
        <v>-58410</v>
      </c>
      <c r="W46" s="82">
        <v>0</v>
      </c>
      <c r="X46" s="54">
        <v>0</v>
      </c>
      <c r="Y46" s="54">
        <v>0</v>
      </c>
      <c r="Z46" s="54">
        <v>0</v>
      </c>
      <c r="AA46" s="54">
        <v>0</v>
      </c>
      <c r="AB46" s="54">
        <v>0</v>
      </c>
      <c r="AC46" s="54">
        <v>0</v>
      </c>
      <c r="AD46" s="9">
        <v>0</v>
      </c>
      <c r="AE46" s="10">
        <f t="shared" si="1"/>
        <v>0</v>
      </c>
      <c r="AF46" s="10">
        <v>0</v>
      </c>
      <c r="AG46" s="10">
        <f t="shared" si="2"/>
        <v>0</v>
      </c>
      <c r="AH46" s="10">
        <f t="shared" si="3"/>
        <v>-58410</v>
      </c>
    </row>
    <row r="47" spans="1:34">
      <c r="A47" s="1" t="s">
        <v>1</v>
      </c>
      <c r="B47" s="14" t="s">
        <v>98</v>
      </c>
      <c r="C47" s="55">
        <v>61645</v>
      </c>
      <c r="D47" s="56">
        <v>60916</v>
      </c>
      <c r="E47" s="56">
        <v>83027</v>
      </c>
      <c r="F47" s="56">
        <v>92229</v>
      </c>
      <c r="G47" s="56">
        <v>69026</v>
      </c>
      <c r="H47" s="56">
        <v>85586</v>
      </c>
      <c r="I47" s="56">
        <v>75212</v>
      </c>
      <c r="J47" s="56">
        <v>67484</v>
      </c>
      <c r="K47" s="56">
        <v>72137</v>
      </c>
      <c r="L47" s="56">
        <v>81985</v>
      </c>
      <c r="M47" s="56">
        <v>36988</v>
      </c>
      <c r="N47" s="56">
        <v>67266</v>
      </c>
      <c r="O47" s="56">
        <v>73828</v>
      </c>
      <c r="P47" s="56">
        <v>0</v>
      </c>
      <c r="Q47" s="56">
        <v>51712</v>
      </c>
      <c r="R47" s="56">
        <v>59247</v>
      </c>
      <c r="S47" s="56">
        <v>60363</v>
      </c>
      <c r="T47" s="56">
        <v>53774</v>
      </c>
      <c r="U47" s="71">
        <v>70643</v>
      </c>
      <c r="V47" s="18">
        <f t="shared" si="0"/>
        <v>1223068</v>
      </c>
      <c r="W47" s="83">
        <v>82602</v>
      </c>
      <c r="X47" s="56">
        <v>83413</v>
      </c>
      <c r="Y47" s="56">
        <v>1088</v>
      </c>
      <c r="Z47" s="56">
        <v>2376</v>
      </c>
      <c r="AA47" s="56">
        <v>0</v>
      </c>
      <c r="AB47" s="56">
        <v>0</v>
      </c>
      <c r="AC47" s="56">
        <v>0</v>
      </c>
      <c r="AD47" s="17">
        <v>2886</v>
      </c>
      <c r="AE47" s="18">
        <f t="shared" si="1"/>
        <v>172365</v>
      </c>
      <c r="AF47" s="18">
        <v>87610</v>
      </c>
      <c r="AG47" s="18">
        <f t="shared" si="2"/>
        <v>87610</v>
      </c>
      <c r="AH47" s="18">
        <f t="shared" si="3"/>
        <v>1483043</v>
      </c>
    </row>
    <row r="48" spans="1:34">
      <c r="A48" s="1" t="s">
        <v>1</v>
      </c>
      <c r="B48" s="14" t="s">
        <v>99</v>
      </c>
      <c r="C48" s="55">
        <v>233039</v>
      </c>
      <c r="D48" s="56">
        <v>280183</v>
      </c>
      <c r="E48" s="56">
        <v>313809</v>
      </c>
      <c r="F48" s="56">
        <v>327719</v>
      </c>
      <c r="G48" s="56">
        <v>246947</v>
      </c>
      <c r="H48" s="56">
        <v>334923</v>
      </c>
      <c r="I48" s="56">
        <v>297075</v>
      </c>
      <c r="J48" s="56">
        <v>270532</v>
      </c>
      <c r="K48" s="56">
        <v>263989</v>
      </c>
      <c r="L48" s="56">
        <v>288884</v>
      </c>
      <c r="M48" s="56">
        <v>187949</v>
      </c>
      <c r="N48" s="56">
        <v>228686</v>
      </c>
      <c r="O48" s="56">
        <v>303596</v>
      </c>
      <c r="P48" s="58">
        <v>-51510</v>
      </c>
      <c r="Q48" s="56">
        <v>240667</v>
      </c>
      <c r="R48" s="56">
        <v>218129</v>
      </c>
      <c r="S48" s="56">
        <v>266242</v>
      </c>
      <c r="T48" s="56">
        <v>242452</v>
      </c>
      <c r="U48" s="71">
        <v>239155</v>
      </c>
      <c r="V48" s="18">
        <f t="shared" si="0"/>
        <v>4732466</v>
      </c>
      <c r="W48" s="83">
        <v>308248</v>
      </c>
      <c r="X48" s="56">
        <v>311266</v>
      </c>
      <c r="Y48" s="56">
        <v>77912</v>
      </c>
      <c r="Z48" s="56">
        <v>109324</v>
      </c>
      <c r="AA48" s="56">
        <v>76820</v>
      </c>
      <c r="AB48" s="56">
        <v>76820</v>
      </c>
      <c r="AC48" s="56">
        <v>79120</v>
      </c>
      <c r="AD48" s="17">
        <v>90034</v>
      </c>
      <c r="AE48" s="18">
        <f t="shared" si="1"/>
        <v>1129544</v>
      </c>
      <c r="AF48" s="18">
        <v>325120</v>
      </c>
      <c r="AG48" s="18">
        <f t="shared" si="2"/>
        <v>325120</v>
      </c>
      <c r="AH48" s="18">
        <f t="shared" si="3"/>
        <v>6187130</v>
      </c>
    </row>
    <row r="49" spans="1:34">
      <c r="A49" s="1" t="s">
        <v>1</v>
      </c>
      <c r="B49" s="14" t="s">
        <v>100</v>
      </c>
      <c r="C49" s="55">
        <v>232502</v>
      </c>
      <c r="D49" s="56">
        <v>273365</v>
      </c>
      <c r="E49" s="56">
        <v>294871</v>
      </c>
      <c r="F49" s="56">
        <v>303453</v>
      </c>
      <c r="G49" s="56">
        <v>245377</v>
      </c>
      <c r="H49" s="56">
        <v>312072</v>
      </c>
      <c r="I49" s="56">
        <v>275113</v>
      </c>
      <c r="J49" s="56">
        <v>254852</v>
      </c>
      <c r="K49" s="56">
        <v>245713</v>
      </c>
      <c r="L49" s="56">
        <v>268879</v>
      </c>
      <c r="M49" s="56">
        <v>156009</v>
      </c>
      <c r="N49" s="56">
        <v>215480</v>
      </c>
      <c r="O49" s="56">
        <v>289095</v>
      </c>
      <c r="P49" s="56">
        <v>0</v>
      </c>
      <c r="Q49" s="56">
        <v>243539</v>
      </c>
      <c r="R49" s="56">
        <v>210255</v>
      </c>
      <c r="S49" s="56">
        <v>266742</v>
      </c>
      <c r="T49" s="56">
        <v>241902</v>
      </c>
      <c r="U49" s="71">
        <v>218252</v>
      </c>
      <c r="V49" s="18">
        <f t="shared" si="0"/>
        <v>4547471</v>
      </c>
      <c r="W49" s="83">
        <v>286066</v>
      </c>
      <c r="X49" s="56">
        <v>293688</v>
      </c>
      <c r="Y49" s="56">
        <v>80202</v>
      </c>
      <c r="Z49" s="56">
        <v>110264</v>
      </c>
      <c r="AA49" s="56">
        <v>80155</v>
      </c>
      <c r="AB49" s="56">
        <v>81266</v>
      </c>
      <c r="AC49" s="56">
        <v>82732</v>
      </c>
      <c r="AD49" s="17">
        <v>94736</v>
      </c>
      <c r="AE49" s="18">
        <f t="shared" si="1"/>
        <v>1109109</v>
      </c>
      <c r="AF49" s="18">
        <v>297390</v>
      </c>
      <c r="AG49" s="18">
        <f t="shared" si="2"/>
        <v>297390</v>
      </c>
      <c r="AH49" s="18">
        <f t="shared" si="3"/>
        <v>5953970</v>
      </c>
    </row>
    <row r="50" spans="1:34">
      <c r="A50" s="1" t="s">
        <v>1</v>
      </c>
      <c r="B50" s="14" t="s">
        <v>101</v>
      </c>
      <c r="C50" s="55">
        <v>232502</v>
      </c>
      <c r="D50" s="56">
        <v>273365</v>
      </c>
      <c r="E50" s="56">
        <v>294871</v>
      </c>
      <c r="F50" s="56">
        <v>303453</v>
      </c>
      <c r="G50" s="56">
        <v>245377</v>
      </c>
      <c r="H50" s="56">
        <v>312072</v>
      </c>
      <c r="I50" s="56">
        <v>275113</v>
      </c>
      <c r="J50" s="56">
        <v>254852</v>
      </c>
      <c r="K50" s="56">
        <v>245713</v>
      </c>
      <c r="L50" s="56">
        <v>268879</v>
      </c>
      <c r="M50" s="56">
        <v>156009</v>
      </c>
      <c r="N50" s="56">
        <v>215480</v>
      </c>
      <c r="O50" s="56">
        <v>289095</v>
      </c>
      <c r="P50" s="56">
        <v>0</v>
      </c>
      <c r="Q50" s="56">
        <v>243539</v>
      </c>
      <c r="R50" s="56">
        <v>210255</v>
      </c>
      <c r="S50" s="56">
        <v>266742</v>
      </c>
      <c r="T50" s="56">
        <v>241902</v>
      </c>
      <c r="U50" s="71">
        <v>218252</v>
      </c>
      <c r="V50" s="18">
        <f t="shared" si="0"/>
        <v>4547471</v>
      </c>
      <c r="W50" s="83">
        <v>286066</v>
      </c>
      <c r="X50" s="56">
        <v>293688</v>
      </c>
      <c r="Y50" s="56">
        <v>80202</v>
      </c>
      <c r="Z50" s="56">
        <v>110264</v>
      </c>
      <c r="AA50" s="56">
        <v>80155</v>
      </c>
      <c r="AB50" s="56">
        <v>81266</v>
      </c>
      <c r="AC50" s="56">
        <v>82732</v>
      </c>
      <c r="AD50" s="17">
        <v>94736</v>
      </c>
      <c r="AE50" s="18">
        <f t="shared" si="1"/>
        <v>1109109</v>
      </c>
      <c r="AF50" s="18">
        <v>297390</v>
      </c>
      <c r="AG50" s="18">
        <f t="shared" si="2"/>
        <v>297390</v>
      </c>
      <c r="AH50" s="18">
        <f t="shared" si="3"/>
        <v>5953970</v>
      </c>
    </row>
    <row r="51" spans="1:34">
      <c r="A51" s="1" t="s">
        <v>1</v>
      </c>
      <c r="B51" s="14" t="s">
        <v>102</v>
      </c>
      <c r="C51" s="55">
        <v>1</v>
      </c>
      <c r="D51" s="56">
        <v>0</v>
      </c>
      <c r="E51" s="56">
        <v>1</v>
      </c>
      <c r="F51" s="56">
        <v>0</v>
      </c>
      <c r="G51" s="56">
        <v>1</v>
      </c>
      <c r="H51" s="56">
        <v>0</v>
      </c>
      <c r="I51" s="56">
        <v>0</v>
      </c>
      <c r="J51" s="56">
        <v>1</v>
      </c>
      <c r="K51" s="56">
        <v>0</v>
      </c>
      <c r="L51" s="56">
        <v>0</v>
      </c>
      <c r="M51" s="56">
        <v>0</v>
      </c>
      <c r="N51" s="56">
        <v>0</v>
      </c>
      <c r="O51" s="56">
        <v>0</v>
      </c>
      <c r="P51" s="56">
        <v>4</v>
      </c>
      <c r="Q51" s="56">
        <v>0</v>
      </c>
      <c r="R51" s="56">
        <v>0</v>
      </c>
      <c r="S51" s="56">
        <v>1</v>
      </c>
      <c r="T51" s="56">
        <v>0</v>
      </c>
      <c r="U51" s="71">
        <v>0</v>
      </c>
      <c r="V51" s="18"/>
      <c r="W51" s="83">
        <v>0</v>
      </c>
      <c r="X51" s="56">
        <v>1</v>
      </c>
      <c r="Y51" s="56">
        <v>0</v>
      </c>
      <c r="Z51" s="56">
        <v>0</v>
      </c>
      <c r="AA51" s="56">
        <v>1</v>
      </c>
      <c r="AB51" s="56">
        <v>1</v>
      </c>
      <c r="AC51" s="56">
        <v>1</v>
      </c>
      <c r="AD51" s="17">
        <v>1</v>
      </c>
      <c r="AE51" s="18"/>
      <c r="AF51" s="18">
        <v>0</v>
      </c>
      <c r="AG51" s="18"/>
      <c r="AH51" s="18"/>
    </row>
    <row r="52" spans="1:34" ht="19.5" thickBot="1">
      <c r="A52" s="1" t="s">
        <v>1</v>
      </c>
      <c r="B52" s="11" t="s">
        <v>103</v>
      </c>
      <c r="C52" s="59" t="s">
        <v>104</v>
      </c>
      <c r="D52" s="60" t="s">
        <v>104</v>
      </c>
      <c r="E52" s="60" t="s">
        <v>104</v>
      </c>
      <c r="F52" s="60" t="s">
        <v>104</v>
      </c>
      <c r="G52" s="60" t="s">
        <v>104</v>
      </c>
      <c r="H52" s="60" t="s">
        <v>104</v>
      </c>
      <c r="I52" s="60" t="s">
        <v>104</v>
      </c>
      <c r="J52" s="60" t="s">
        <v>104</v>
      </c>
      <c r="K52" s="60" t="s">
        <v>104</v>
      </c>
      <c r="L52" s="60" t="s">
        <v>104</v>
      </c>
      <c r="M52" s="60" t="s">
        <v>104</v>
      </c>
      <c r="N52" s="60" t="s">
        <v>104</v>
      </c>
      <c r="O52" s="60" t="s">
        <v>104</v>
      </c>
      <c r="P52" s="60" t="s">
        <v>104</v>
      </c>
      <c r="Q52" s="60" t="s">
        <v>104</v>
      </c>
      <c r="R52" s="60" t="s">
        <v>104</v>
      </c>
      <c r="S52" s="60" t="s">
        <v>104</v>
      </c>
      <c r="T52" s="60" t="s">
        <v>104</v>
      </c>
      <c r="U52" s="72" t="s">
        <v>104</v>
      </c>
      <c r="V52" s="13"/>
      <c r="W52" s="84" t="s">
        <v>104</v>
      </c>
      <c r="X52" s="60" t="s">
        <v>104</v>
      </c>
      <c r="Y52" s="60" t="s">
        <v>104</v>
      </c>
      <c r="Z52" s="60" t="s">
        <v>104</v>
      </c>
      <c r="AA52" s="60" t="s">
        <v>104</v>
      </c>
      <c r="AB52" s="60" t="s">
        <v>104</v>
      </c>
      <c r="AC52" s="60" t="s">
        <v>104</v>
      </c>
      <c r="AD52" s="12" t="s">
        <v>104</v>
      </c>
      <c r="AE52" s="13"/>
      <c r="AF52" s="13" t="s">
        <v>104</v>
      </c>
      <c r="AG52" s="13"/>
      <c r="AH52" s="13"/>
    </row>
  </sheetData>
  <phoneticPr fontId="4"/>
  <pageMargins left="0.7" right="0.7" top="0.75" bottom="0.75" header="0.3" footer="0.3"/>
  <pageSetup paperSize="1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2</vt:i4>
      </vt:variant>
    </vt:vector>
  </HeadingPairs>
  <TitlesOfParts>
    <vt:vector size="5" baseType="lpstr">
      <vt:lpstr>2024年 3月度給与 (4)</vt:lpstr>
      <vt:lpstr>2024年 3月度給与 (3)</vt:lpstr>
      <vt:lpstr>2024年 3月度給与 (2)</vt:lpstr>
      <vt:lpstr>'2024年 3月度給与 (3)'!Print_Area</vt:lpstr>
      <vt:lpstr>'2024年 3月度給与 (4)'!Print_Area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fukasawa</dc:creator>
  <cp:lastModifiedBy>fukasawa</cp:lastModifiedBy>
  <cp:lastPrinted>2024-05-08T06:43:21Z</cp:lastPrinted>
  <dcterms:created xsi:type="dcterms:W3CDTF">2024-04-05T05:36:23Z</dcterms:created>
  <dcterms:modified xsi:type="dcterms:W3CDTF">2024-05-08T06:44:57Z</dcterms:modified>
</cp:coreProperties>
</file>