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3\"/>
    </mc:Choice>
  </mc:AlternateContent>
  <xr:revisionPtr revIDLastSave="0" documentId="13_ncr:1_{DECCE72D-95CE-407F-A7A1-929BD004995D}" xr6:coauthVersionLast="47" xr6:coauthVersionMax="47" xr10:uidLastSave="{00000000-0000-0000-0000-000000000000}"/>
  <bookViews>
    <workbookView xWindow="-120" yWindow="-120" windowWidth="20730" windowHeight="11160" xr2:uid="{A6944D28-9198-478E-9383-5EAF4D1C777F}"/>
  </bookViews>
  <sheets>
    <sheet name="2024年 3月度給与 (2)" sheetId="3" r:id="rId1"/>
  </sheets>
  <definedNames>
    <definedName name="_xlnm.Print_Area" localSheetId="0">'2024年 3月度給与 (2)'!$A$1:$N$50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5" i="3"/>
  <c r="N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6" i="3"/>
  <c r="F5" i="3"/>
</calcChain>
</file>

<file path=xl/sharedStrings.xml><?xml version="1.0" encoding="utf-8"?>
<sst xmlns="http://schemas.openxmlformats.org/spreadsheetml/2006/main" count="128" uniqueCount="70">
  <si>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</si>
  <si>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</si>
  <si>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</si>
  <si>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</si>
  <si>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</si>
  <si>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</si>
  <si>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</si>
  <si>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</si>
  <si>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</si>
  <si>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</si>
  <si>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</si>
  <si>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</si>
  <si>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</si>
  <si>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</si>
  <si>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</si>
  <si>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</si>
  <si>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</si>
  <si>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</si>
  <si>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</si>
  <si>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</si>
  <si>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</si>
  <si>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</si>
  <si>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</si>
  <si>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</si>
  <si>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</si>
  <si>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</si>
  <si>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</si>
  <si>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</si>
  <si>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</si>
  <si>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</si>
  <si>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</si>
  <si>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</si>
  <si>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</si>
  <si>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</si>
  <si>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</si>
  <si>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</si>
  <si>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</si>
  <si>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</si>
  <si>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</si>
  <si>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</si>
  <si>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</si>
  <si>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</si>
  <si>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</si>
  <si>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</si>
  <si>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</si>
  <si>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</si>
  <si>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</si>
  <si>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</si>
  <si>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</si>
  <si>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</si>
  <si>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</si>
  <si>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</si>
  <si>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</si>
  <si>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</si>
  <si>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</si>
  <si>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</si>
  <si>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</si>
  <si>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</si>
  <si>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</si>
  <si>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</si>
  <si>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</si>
  <si>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</si>
  <si>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</si>
  <si>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3月度給与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</si>
  <si>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</si>
  <si>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</si>
  <si>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</si>
  <si>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</si>
  <si>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６名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</si>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</sst>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3" xfId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</cellXfs>
  <cellStyles count="2">
    <cellStyle name="標準" xfId="0" builtinId="0"/>
    <cellStyle name="標準 2" xfId="1" xr:uid="{D56E1935-8794-4700-A55C-9533AD7E6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EE60-5443-4107-9A3A-9EF317CEA660}">
  <sheetPr>
    <pageSetUpPr fitToPage="1"/>
  </sheetPr>
  <dimension ref="A1:N50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2.12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63</v>
      </c>
    </row>
    <row r="3" spans="1:14">
      <c r="B3" s="4"/>
      <c r="C3" s="35" t="s">
        <v>5</v>
      </c>
      <c r="D3" s="35" t="s">
        <v>8</v>
      </c>
      <c r="E3" s="59" t="s">
        <v>7</v>
      </c>
      <c r="F3" s="71" t="s">
        <v>66</v>
      </c>
      <c r="G3" s="34" t="s">
        <v>2</v>
      </c>
      <c r="H3" s="35" t="s">
        <v>3</v>
      </c>
      <c r="I3" s="35" t="s">
        <v>4</v>
      </c>
      <c r="J3" s="35" t="s">
        <v>6</v>
      </c>
      <c r="K3" s="35" t="s">
        <v>9</v>
      </c>
      <c r="L3" s="5" t="s">
        <v>10</v>
      </c>
      <c r="M3" s="58" t="s">
        <v>66</v>
      </c>
      <c r="N3" s="6" t="s">
        <v>19</v>
      </c>
    </row>
    <row r="4" spans="1:14" ht="19.5" thickBot="1">
      <c r="B4" s="7" t="s">
        <v>11</v>
      </c>
      <c r="C4" s="37" t="s">
        <v>15</v>
      </c>
      <c r="D4" s="37" t="s">
        <v>17</v>
      </c>
      <c r="E4" s="60" t="s">
        <v>65</v>
      </c>
      <c r="F4" s="72" t="s">
        <v>67</v>
      </c>
      <c r="G4" s="36" t="s">
        <v>12</v>
      </c>
      <c r="H4" s="37" t="s">
        <v>13</v>
      </c>
      <c r="I4" s="37" t="s">
        <v>14</v>
      </c>
      <c r="J4" s="37" t="s">
        <v>16</v>
      </c>
      <c r="K4" s="37" t="s">
        <v>18</v>
      </c>
      <c r="L4" s="3" t="s">
        <v>64</v>
      </c>
      <c r="M4" s="72" t="s">
        <v>68</v>
      </c>
      <c r="N4" s="7" t="s">
        <v>69</v>
      </c>
    </row>
    <row r="5" spans="1:14">
      <c r="A5" s="1" t="s">
        <v>1</v>
      </c>
      <c r="B5" s="24" t="s">
        <v>20</v>
      </c>
      <c r="C5" s="39">
        <v>20</v>
      </c>
      <c r="D5" s="39">
        <v>20</v>
      </c>
      <c r="E5" s="61">
        <v>16</v>
      </c>
      <c r="F5" s="26">
        <f>SUM(C5:E5)</f>
        <v>56</v>
      </c>
      <c r="G5" s="38">
        <v>16</v>
      </c>
      <c r="H5" s="39">
        <v>17</v>
      </c>
      <c r="I5" s="39">
        <v>17</v>
      </c>
      <c r="J5" s="39">
        <v>19</v>
      </c>
      <c r="K5" s="39">
        <v>19</v>
      </c>
      <c r="L5" s="25">
        <v>19</v>
      </c>
      <c r="M5" s="26">
        <f>SUM(G5:L5)</f>
        <v>107</v>
      </c>
      <c r="N5" s="26">
        <f>SUM(M5,F5)</f>
        <v>163</v>
      </c>
    </row>
    <row r="6" spans="1:14">
      <c r="A6" s="1" t="s">
        <v>1</v>
      </c>
      <c r="B6" s="27" t="s">
        <v>21</v>
      </c>
      <c r="C6" s="41">
        <v>0</v>
      </c>
      <c r="D6" s="41">
        <v>0</v>
      </c>
      <c r="E6" s="62">
        <v>4</v>
      </c>
      <c r="F6" s="29">
        <f>SUM(C6:E6)</f>
        <v>4</v>
      </c>
      <c r="G6" s="40">
        <v>3</v>
      </c>
      <c r="H6" s="41">
        <v>2</v>
      </c>
      <c r="I6" s="41">
        <v>3</v>
      </c>
      <c r="J6" s="41">
        <v>5</v>
      </c>
      <c r="K6" s="41">
        <v>4</v>
      </c>
      <c r="L6" s="28">
        <v>2</v>
      </c>
      <c r="M6" s="29">
        <f t="shared" ref="M6:M48" si="0">SUM(G6:L6)</f>
        <v>19</v>
      </c>
      <c r="N6" s="29">
        <f t="shared" ref="N6:N48" si="1">SUM(M6,F6)</f>
        <v>23</v>
      </c>
    </row>
    <row r="7" spans="1:14">
      <c r="A7" s="1" t="s">
        <v>1</v>
      </c>
      <c r="B7" s="27" t="s">
        <v>22</v>
      </c>
      <c r="C7" s="41">
        <v>0</v>
      </c>
      <c r="D7" s="41">
        <v>0</v>
      </c>
      <c r="E7" s="62">
        <v>1</v>
      </c>
      <c r="F7" s="29">
        <f t="shared" ref="F7:F48" si="2">SUM(C7:E7)</f>
        <v>1</v>
      </c>
      <c r="G7" s="40">
        <v>3</v>
      </c>
      <c r="H7" s="41">
        <v>5</v>
      </c>
      <c r="I7" s="41">
        <v>5</v>
      </c>
      <c r="J7" s="41">
        <v>1</v>
      </c>
      <c r="K7" s="41">
        <v>1</v>
      </c>
      <c r="L7" s="28">
        <v>3</v>
      </c>
      <c r="M7" s="29">
        <f t="shared" si="0"/>
        <v>18</v>
      </c>
      <c r="N7" s="29">
        <f t="shared" si="1"/>
        <v>19</v>
      </c>
    </row>
    <row r="8" spans="1:14">
      <c r="A8" s="1" t="s">
        <v>1</v>
      </c>
      <c r="B8" s="27" t="s">
        <v>23</v>
      </c>
      <c r="C8" s="41">
        <v>0</v>
      </c>
      <c r="D8" s="41">
        <v>0</v>
      </c>
      <c r="E8" s="62">
        <v>0</v>
      </c>
      <c r="F8" s="29">
        <f t="shared" si="2"/>
        <v>0</v>
      </c>
      <c r="G8" s="40">
        <v>0</v>
      </c>
      <c r="H8" s="41">
        <v>3</v>
      </c>
      <c r="I8" s="41">
        <v>0</v>
      </c>
      <c r="J8" s="41">
        <v>0</v>
      </c>
      <c r="K8" s="41">
        <v>0</v>
      </c>
      <c r="L8" s="28">
        <v>0</v>
      </c>
      <c r="M8" s="29">
        <f t="shared" si="0"/>
        <v>3</v>
      </c>
      <c r="N8" s="29">
        <f t="shared" si="1"/>
        <v>3</v>
      </c>
    </row>
    <row r="9" spans="1:14">
      <c r="A9" s="1" t="s">
        <v>1</v>
      </c>
      <c r="B9" s="27" t="s">
        <v>24</v>
      </c>
      <c r="C9" s="41">
        <v>0</v>
      </c>
      <c r="D9" s="41">
        <v>0</v>
      </c>
      <c r="E9" s="62">
        <v>4.5</v>
      </c>
      <c r="F9" s="29">
        <f t="shared" si="2"/>
        <v>4.5</v>
      </c>
      <c r="G9" s="40">
        <v>4</v>
      </c>
      <c r="H9" s="41">
        <v>0</v>
      </c>
      <c r="I9" s="41">
        <v>3</v>
      </c>
      <c r="J9" s="41">
        <v>1</v>
      </c>
      <c r="K9" s="41">
        <v>1</v>
      </c>
      <c r="L9" s="28">
        <v>1</v>
      </c>
      <c r="M9" s="29">
        <f t="shared" si="0"/>
        <v>10</v>
      </c>
      <c r="N9" s="29">
        <f t="shared" si="1"/>
        <v>14.5</v>
      </c>
    </row>
    <row r="10" spans="1:14">
      <c r="A10" s="1" t="s">
        <v>1</v>
      </c>
      <c r="B10" s="27" t="s">
        <v>25</v>
      </c>
      <c r="C10" s="43">
        <v>0</v>
      </c>
      <c r="D10" s="43">
        <v>0</v>
      </c>
      <c r="E10" s="63">
        <v>8.3333333333333329E-2</v>
      </c>
      <c r="F10" s="31">
        <f t="shared" si="2"/>
        <v>8.3333333333333329E-2</v>
      </c>
      <c r="G10" s="42">
        <v>1.8333333333333335</v>
      </c>
      <c r="H10" s="43">
        <v>0.75</v>
      </c>
      <c r="I10" s="43">
        <v>1</v>
      </c>
      <c r="J10" s="43">
        <v>1.875</v>
      </c>
      <c r="K10" s="43">
        <v>2.3333333333333335</v>
      </c>
      <c r="L10" s="30">
        <v>2.25</v>
      </c>
      <c r="M10" s="31">
        <f t="shared" si="0"/>
        <v>10.041666666666668</v>
      </c>
      <c r="N10" s="31">
        <f t="shared" si="1"/>
        <v>10.125000000000002</v>
      </c>
    </row>
    <row r="11" spans="1:14">
      <c r="A11" s="1" t="s">
        <v>1</v>
      </c>
      <c r="B11" s="27" t="s">
        <v>26</v>
      </c>
      <c r="C11" s="43">
        <v>0</v>
      </c>
      <c r="D11" s="43">
        <v>0</v>
      </c>
      <c r="E11" s="63">
        <v>1.1666666666666667</v>
      </c>
      <c r="F11" s="31">
        <f t="shared" si="2"/>
        <v>1.1666666666666667</v>
      </c>
      <c r="G11" s="42">
        <v>1.3333333333333333</v>
      </c>
      <c r="H11" s="43">
        <v>0.33333333333333331</v>
      </c>
      <c r="I11" s="43">
        <v>1.125</v>
      </c>
      <c r="J11" s="43">
        <v>1.9583333333333335</v>
      </c>
      <c r="K11" s="43">
        <v>1.625</v>
      </c>
      <c r="L11" s="30">
        <v>0.75</v>
      </c>
      <c r="M11" s="31">
        <f t="shared" si="0"/>
        <v>7.125</v>
      </c>
      <c r="N11" s="31">
        <f t="shared" si="1"/>
        <v>8.2916666666666661</v>
      </c>
    </row>
    <row r="12" spans="1:14">
      <c r="A12" s="1" t="s">
        <v>1</v>
      </c>
      <c r="B12" s="27" t="s">
        <v>27</v>
      </c>
      <c r="C12" s="43">
        <v>0</v>
      </c>
      <c r="D12" s="43">
        <v>0</v>
      </c>
      <c r="E12" s="63">
        <v>0.25</v>
      </c>
      <c r="F12" s="31">
        <f t="shared" si="2"/>
        <v>0.25</v>
      </c>
      <c r="G12" s="42">
        <v>1.25</v>
      </c>
      <c r="H12" s="43">
        <v>1</v>
      </c>
      <c r="I12" s="43">
        <v>1.9166666666666665</v>
      </c>
      <c r="J12" s="43">
        <v>0.33333333333333331</v>
      </c>
      <c r="K12" s="43">
        <v>0.29166666666666669</v>
      </c>
      <c r="L12" s="30">
        <v>1.375</v>
      </c>
      <c r="M12" s="31">
        <f t="shared" si="0"/>
        <v>6.1666666666666661</v>
      </c>
      <c r="N12" s="31">
        <f t="shared" si="1"/>
        <v>6.4166666666666661</v>
      </c>
    </row>
    <row r="13" spans="1:14">
      <c r="A13" s="1" t="s">
        <v>1</v>
      </c>
      <c r="B13" s="27" t="s">
        <v>28</v>
      </c>
      <c r="C13" s="43">
        <v>0</v>
      </c>
      <c r="D13" s="43">
        <v>0</v>
      </c>
      <c r="E13" s="63">
        <v>0</v>
      </c>
      <c r="F13" s="31">
        <f t="shared" si="2"/>
        <v>0</v>
      </c>
      <c r="G13" s="42">
        <v>0</v>
      </c>
      <c r="H13" s="43">
        <v>0.33333333333333331</v>
      </c>
      <c r="I13" s="43">
        <v>0</v>
      </c>
      <c r="J13" s="43">
        <v>0</v>
      </c>
      <c r="K13" s="43">
        <v>0</v>
      </c>
      <c r="L13" s="30">
        <v>0</v>
      </c>
      <c r="M13" s="31">
        <f t="shared" si="0"/>
        <v>0.33333333333333331</v>
      </c>
      <c r="N13" s="31">
        <f t="shared" si="1"/>
        <v>0.33333333333333331</v>
      </c>
    </row>
    <row r="14" spans="1:14">
      <c r="A14" s="1" t="s">
        <v>1</v>
      </c>
      <c r="B14" s="27" t="s">
        <v>29</v>
      </c>
      <c r="C14" s="43">
        <v>0</v>
      </c>
      <c r="D14" s="43">
        <v>0</v>
      </c>
      <c r="E14" s="63">
        <v>0</v>
      </c>
      <c r="F14" s="31">
        <f t="shared" si="2"/>
        <v>0</v>
      </c>
      <c r="G14" s="42">
        <v>0</v>
      </c>
      <c r="H14" s="43">
        <v>0.70833333333333337</v>
      </c>
      <c r="I14" s="43">
        <v>0</v>
      </c>
      <c r="J14" s="43">
        <v>0</v>
      </c>
      <c r="K14" s="43">
        <v>0</v>
      </c>
      <c r="L14" s="30">
        <v>0</v>
      </c>
      <c r="M14" s="31">
        <f t="shared" si="0"/>
        <v>0.70833333333333337</v>
      </c>
      <c r="N14" s="31">
        <f t="shared" si="1"/>
        <v>0.70833333333333337</v>
      </c>
    </row>
    <row r="15" spans="1:14">
      <c r="A15" s="1" t="s">
        <v>1</v>
      </c>
      <c r="B15" s="27" t="s">
        <v>30</v>
      </c>
      <c r="C15" s="43">
        <v>0</v>
      </c>
      <c r="D15" s="43">
        <v>0</v>
      </c>
      <c r="E15" s="63">
        <v>0</v>
      </c>
      <c r="F15" s="31">
        <f t="shared" si="2"/>
        <v>0</v>
      </c>
      <c r="G15" s="42">
        <v>0</v>
      </c>
      <c r="H15" s="43">
        <v>0</v>
      </c>
      <c r="I15" s="43">
        <v>0</v>
      </c>
      <c r="J15" s="43">
        <v>0</v>
      </c>
      <c r="K15" s="43">
        <v>0</v>
      </c>
      <c r="L15" s="30">
        <v>0.125</v>
      </c>
      <c r="M15" s="31">
        <f t="shared" si="0"/>
        <v>0.125</v>
      </c>
      <c r="N15" s="31">
        <f t="shared" si="1"/>
        <v>0.125</v>
      </c>
    </row>
    <row r="16" spans="1:14">
      <c r="A16" s="1" t="s">
        <v>1</v>
      </c>
      <c r="B16" s="27" t="s">
        <v>31</v>
      </c>
      <c r="C16" s="43">
        <v>0</v>
      </c>
      <c r="D16" s="43">
        <v>0</v>
      </c>
      <c r="E16" s="63">
        <v>0.375</v>
      </c>
      <c r="F16" s="31">
        <f t="shared" si="2"/>
        <v>0.375</v>
      </c>
      <c r="G16" s="42">
        <v>0</v>
      </c>
      <c r="H16" s="43">
        <v>0</v>
      </c>
      <c r="I16" s="43">
        <v>0</v>
      </c>
      <c r="J16" s="43">
        <v>0</v>
      </c>
      <c r="K16" s="43">
        <v>0</v>
      </c>
      <c r="L16" s="30">
        <v>0</v>
      </c>
      <c r="M16" s="31">
        <f t="shared" si="0"/>
        <v>0</v>
      </c>
      <c r="N16" s="31">
        <f t="shared" si="1"/>
        <v>0.375</v>
      </c>
    </row>
    <row r="17" spans="1:14">
      <c r="A17" s="1" t="s">
        <v>1</v>
      </c>
      <c r="B17" s="8" t="s">
        <v>32</v>
      </c>
      <c r="C17" s="45">
        <v>0.125</v>
      </c>
      <c r="D17" s="45">
        <v>0</v>
      </c>
      <c r="E17" s="64">
        <v>0</v>
      </c>
      <c r="F17" s="10">
        <f t="shared" si="2"/>
        <v>0.125</v>
      </c>
      <c r="G17" s="44">
        <v>1.125</v>
      </c>
      <c r="H17" s="45">
        <v>2.3333333333333335</v>
      </c>
      <c r="I17" s="45">
        <v>2.25</v>
      </c>
      <c r="J17" s="45">
        <v>1.9583333333333335</v>
      </c>
      <c r="K17" s="45">
        <v>0.95833333333333337</v>
      </c>
      <c r="L17" s="9">
        <v>1.2083333333333333</v>
      </c>
      <c r="M17" s="10">
        <f t="shared" si="0"/>
        <v>9.8333333333333357</v>
      </c>
      <c r="N17" s="10">
        <f t="shared" si="1"/>
        <v>9.9583333333333357</v>
      </c>
    </row>
    <row r="18" spans="1:14">
      <c r="A18" s="1" t="s">
        <v>1</v>
      </c>
      <c r="B18" s="16" t="s">
        <v>33</v>
      </c>
      <c r="C18" s="47">
        <v>27.5</v>
      </c>
      <c r="D18" s="47">
        <v>17.5</v>
      </c>
      <c r="E18" s="65">
        <v>12.5</v>
      </c>
      <c r="F18" s="18">
        <f t="shared" si="2"/>
        <v>57.5</v>
      </c>
      <c r="G18" s="46">
        <v>17</v>
      </c>
      <c r="H18" s="47">
        <v>18</v>
      </c>
      <c r="I18" s="47">
        <v>18</v>
      </c>
      <c r="J18" s="47">
        <v>18</v>
      </c>
      <c r="K18" s="47">
        <v>6</v>
      </c>
      <c r="L18" s="17">
        <v>1</v>
      </c>
      <c r="M18" s="18">
        <f t="shared" si="0"/>
        <v>78</v>
      </c>
      <c r="N18" s="18">
        <f t="shared" si="1"/>
        <v>135.5</v>
      </c>
    </row>
    <row r="19" spans="1:14">
      <c r="A19" s="1" t="s">
        <v>1</v>
      </c>
      <c r="B19" s="21" t="s">
        <v>34</v>
      </c>
      <c r="C19" s="49">
        <v>365000</v>
      </c>
      <c r="D19" s="49">
        <v>365000</v>
      </c>
      <c r="E19" s="66">
        <v>170000</v>
      </c>
      <c r="F19" s="23">
        <f t="shared" si="2"/>
        <v>900000</v>
      </c>
      <c r="G19" s="48">
        <v>182000</v>
      </c>
      <c r="H19" s="49">
        <v>177000</v>
      </c>
      <c r="I19" s="49">
        <v>177000</v>
      </c>
      <c r="J19" s="49">
        <v>187000</v>
      </c>
      <c r="K19" s="49">
        <v>170000</v>
      </c>
      <c r="L19" s="22">
        <v>170000</v>
      </c>
      <c r="M19" s="23">
        <f t="shared" si="0"/>
        <v>1063000</v>
      </c>
      <c r="N19" s="23">
        <f t="shared" si="1"/>
        <v>1963000</v>
      </c>
    </row>
    <row r="20" spans="1:14">
      <c r="A20" s="1" t="s">
        <v>1</v>
      </c>
      <c r="B20" s="27" t="s">
        <v>35</v>
      </c>
      <c r="C20" s="51">
        <v>0</v>
      </c>
      <c r="D20" s="51">
        <v>0</v>
      </c>
      <c r="E20" s="67">
        <v>0</v>
      </c>
      <c r="F20" s="33">
        <f t="shared" si="2"/>
        <v>0</v>
      </c>
      <c r="G20" s="50">
        <v>5000</v>
      </c>
      <c r="H20" s="51">
        <v>0</v>
      </c>
      <c r="I20" s="51">
        <v>0</v>
      </c>
      <c r="J20" s="51">
        <v>0</v>
      </c>
      <c r="K20" s="51">
        <v>0</v>
      </c>
      <c r="L20" s="32">
        <v>0</v>
      </c>
      <c r="M20" s="33">
        <f t="shared" si="0"/>
        <v>5000</v>
      </c>
      <c r="N20" s="33">
        <f t="shared" si="1"/>
        <v>5000</v>
      </c>
    </row>
    <row r="21" spans="1:14">
      <c r="A21" s="1" t="s">
        <v>1</v>
      </c>
      <c r="B21" s="27" t="s">
        <v>36</v>
      </c>
      <c r="C21" s="51">
        <v>0</v>
      </c>
      <c r="D21" s="51">
        <v>0</v>
      </c>
      <c r="E21" s="67">
        <v>6000</v>
      </c>
      <c r="F21" s="33">
        <f t="shared" si="2"/>
        <v>6000</v>
      </c>
      <c r="G21" s="50">
        <v>6000</v>
      </c>
      <c r="H21" s="51">
        <v>10000</v>
      </c>
      <c r="I21" s="51">
        <v>0</v>
      </c>
      <c r="J21" s="51">
        <v>0</v>
      </c>
      <c r="K21" s="51">
        <v>0</v>
      </c>
      <c r="L21" s="32">
        <v>0</v>
      </c>
      <c r="M21" s="33">
        <f t="shared" si="0"/>
        <v>16000</v>
      </c>
      <c r="N21" s="33">
        <f t="shared" si="1"/>
        <v>22000</v>
      </c>
    </row>
    <row r="22" spans="1:14">
      <c r="A22" s="1" t="s">
        <v>1</v>
      </c>
      <c r="B22" s="27" t="s">
        <v>37</v>
      </c>
      <c r="C22" s="51">
        <v>0</v>
      </c>
      <c r="D22" s="51">
        <v>0</v>
      </c>
      <c r="E22" s="67">
        <v>0</v>
      </c>
      <c r="F22" s="33">
        <f t="shared" si="2"/>
        <v>0</v>
      </c>
      <c r="G22" s="50">
        <v>6696</v>
      </c>
      <c r="H22" s="51">
        <v>0</v>
      </c>
      <c r="I22" s="51">
        <v>0</v>
      </c>
      <c r="J22" s="51">
        <v>5884</v>
      </c>
      <c r="K22" s="51">
        <v>0</v>
      </c>
      <c r="L22" s="32">
        <v>0</v>
      </c>
      <c r="M22" s="33">
        <f t="shared" si="0"/>
        <v>12580</v>
      </c>
      <c r="N22" s="33">
        <f t="shared" si="1"/>
        <v>12580</v>
      </c>
    </row>
    <row r="23" spans="1:14">
      <c r="A23" s="1" t="s">
        <v>1</v>
      </c>
      <c r="B23" s="27" t="s">
        <v>38</v>
      </c>
      <c r="C23" s="51">
        <v>0</v>
      </c>
      <c r="D23" s="51">
        <v>0</v>
      </c>
      <c r="E23" s="67">
        <v>0</v>
      </c>
      <c r="F23" s="33">
        <f t="shared" si="2"/>
        <v>0</v>
      </c>
      <c r="G23" s="50">
        <v>3500</v>
      </c>
      <c r="H23" s="51">
        <v>3500</v>
      </c>
      <c r="I23" s="51">
        <v>3500</v>
      </c>
      <c r="J23" s="51">
        <v>3500</v>
      </c>
      <c r="K23" s="51">
        <v>2000</v>
      </c>
      <c r="L23" s="32">
        <v>2000</v>
      </c>
      <c r="M23" s="33">
        <f t="shared" si="0"/>
        <v>18000</v>
      </c>
      <c r="N23" s="33">
        <f t="shared" si="1"/>
        <v>18000</v>
      </c>
    </row>
    <row r="24" spans="1:14">
      <c r="A24" s="1" t="s">
        <v>1</v>
      </c>
      <c r="B24" s="27" t="s">
        <v>39</v>
      </c>
      <c r="C24" s="51">
        <v>0</v>
      </c>
      <c r="D24" s="51">
        <v>0</v>
      </c>
      <c r="E24" s="67">
        <v>0</v>
      </c>
      <c r="F24" s="33">
        <f t="shared" si="2"/>
        <v>0</v>
      </c>
      <c r="G24" s="50">
        <v>0</v>
      </c>
      <c r="H24" s="51">
        <v>12600</v>
      </c>
      <c r="I24" s="51">
        <v>0</v>
      </c>
      <c r="J24" s="51">
        <v>0</v>
      </c>
      <c r="K24" s="51">
        <v>0</v>
      </c>
      <c r="L24" s="32">
        <v>0</v>
      </c>
      <c r="M24" s="33">
        <f t="shared" si="0"/>
        <v>12600</v>
      </c>
      <c r="N24" s="33">
        <f t="shared" si="1"/>
        <v>12600</v>
      </c>
    </row>
    <row r="25" spans="1:14">
      <c r="A25" s="1" t="s">
        <v>1</v>
      </c>
      <c r="B25" s="27" t="s">
        <v>25</v>
      </c>
      <c r="C25" s="51">
        <v>0</v>
      </c>
      <c r="D25" s="51">
        <v>0</v>
      </c>
      <c r="E25" s="67">
        <v>3012</v>
      </c>
      <c r="F25" s="33">
        <f t="shared" si="2"/>
        <v>3012</v>
      </c>
      <c r="G25" s="50">
        <v>64724</v>
      </c>
      <c r="H25" s="51">
        <v>27360</v>
      </c>
      <c r="I25" s="51">
        <v>32424</v>
      </c>
      <c r="J25" s="51">
        <v>64170</v>
      </c>
      <c r="K25" s="51">
        <v>72128</v>
      </c>
      <c r="L25" s="32">
        <v>69552</v>
      </c>
      <c r="M25" s="33">
        <f t="shared" si="0"/>
        <v>330358</v>
      </c>
      <c r="N25" s="33">
        <f t="shared" si="1"/>
        <v>333370</v>
      </c>
    </row>
    <row r="26" spans="1:14">
      <c r="A26" s="1" t="s">
        <v>1</v>
      </c>
      <c r="B26" s="27" t="s">
        <v>40</v>
      </c>
      <c r="C26" s="51">
        <v>0</v>
      </c>
      <c r="D26" s="51">
        <v>0</v>
      </c>
      <c r="E26" s="67">
        <v>45556</v>
      </c>
      <c r="F26" s="33">
        <f t="shared" si="2"/>
        <v>45556</v>
      </c>
      <c r="G26" s="50">
        <v>50848</v>
      </c>
      <c r="H26" s="51">
        <v>13136</v>
      </c>
      <c r="I26" s="51">
        <v>39393</v>
      </c>
      <c r="J26" s="51">
        <v>72380</v>
      </c>
      <c r="K26" s="51">
        <v>54249</v>
      </c>
      <c r="L26" s="32">
        <v>25038</v>
      </c>
      <c r="M26" s="33">
        <f t="shared" si="0"/>
        <v>255044</v>
      </c>
      <c r="N26" s="33">
        <f t="shared" si="1"/>
        <v>300600</v>
      </c>
    </row>
    <row r="27" spans="1:14">
      <c r="A27" s="1" t="s">
        <v>1</v>
      </c>
      <c r="B27" s="27" t="s">
        <v>41</v>
      </c>
      <c r="C27" s="51">
        <v>0</v>
      </c>
      <c r="D27" s="51">
        <v>0</v>
      </c>
      <c r="E27" s="67">
        <v>9762</v>
      </c>
      <c r="F27" s="33">
        <f t="shared" si="2"/>
        <v>9762</v>
      </c>
      <c r="G27" s="50">
        <v>47670</v>
      </c>
      <c r="H27" s="51">
        <v>39408</v>
      </c>
      <c r="I27" s="51">
        <v>67114</v>
      </c>
      <c r="J27" s="51">
        <v>12320</v>
      </c>
      <c r="K27" s="51">
        <v>9737</v>
      </c>
      <c r="L27" s="32">
        <v>45903</v>
      </c>
      <c r="M27" s="33">
        <f t="shared" si="0"/>
        <v>222152</v>
      </c>
      <c r="N27" s="33">
        <f t="shared" si="1"/>
        <v>231914</v>
      </c>
    </row>
    <row r="28" spans="1:14">
      <c r="A28" s="1" t="s">
        <v>1</v>
      </c>
      <c r="B28" s="27" t="s">
        <v>42</v>
      </c>
      <c r="C28" s="51">
        <v>0</v>
      </c>
      <c r="D28" s="51">
        <v>0</v>
      </c>
      <c r="E28" s="67">
        <v>0</v>
      </c>
      <c r="F28" s="33">
        <f t="shared" si="2"/>
        <v>0</v>
      </c>
      <c r="G28" s="50">
        <v>0</v>
      </c>
      <c r="H28" s="51">
        <v>3408</v>
      </c>
      <c r="I28" s="51">
        <v>0</v>
      </c>
      <c r="J28" s="51">
        <v>0</v>
      </c>
      <c r="K28" s="51">
        <v>0</v>
      </c>
      <c r="L28" s="32">
        <v>0</v>
      </c>
      <c r="M28" s="33">
        <f t="shared" si="0"/>
        <v>3408</v>
      </c>
      <c r="N28" s="33">
        <f t="shared" si="1"/>
        <v>3408</v>
      </c>
    </row>
    <row r="29" spans="1:14">
      <c r="A29" s="1" t="s">
        <v>1</v>
      </c>
      <c r="B29" s="27" t="s">
        <v>43</v>
      </c>
      <c r="C29" s="51">
        <v>0</v>
      </c>
      <c r="D29" s="51">
        <v>0</v>
      </c>
      <c r="E29" s="67">
        <v>0</v>
      </c>
      <c r="F29" s="33">
        <f t="shared" si="2"/>
        <v>0</v>
      </c>
      <c r="G29" s="50">
        <v>0</v>
      </c>
      <c r="H29" s="51">
        <v>7242</v>
      </c>
      <c r="I29" s="51">
        <v>0</v>
      </c>
      <c r="J29" s="51">
        <v>0</v>
      </c>
      <c r="K29" s="51">
        <v>0</v>
      </c>
      <c r="L29" s="32">
        <v>0</v>
      </c>
      <c r="M29" s="33">
        <f t="shared" si="0"/>
        <v>7242</v>
      </c>
      <c r="N29" s="33">
        <f t="shared" si="1"/>
        <v>7242</v>
      </c>
    </row>
    <row r="30" spans="1:14">
      <c r="A30" s="1" t="s">
        <v>1</v>
      </c>
      <c r="B30" s="27" t="s">
        <v>30</v>
      </c>
      <c r="C30" s="51">
        <v>0</v>
      </c>
      <c r="D30" s="51">
        <v>0</v>
      </c>
      <c r="E30" s="67">
        <v>0</v>
      </c>
      <c r="F30" s="33">
        <f t="shared" si="2"/>
        <v>0</v>
      </c>
      <c r="G30" s="50">
        <v>0</v>
      </c>
      <c r="H30" s="51">
        <v>0</v>
      </c>
      <c r="I30" s="51">
        <v>0</v>
      </c>
      <c r="J30" s="51">
        <v>0</v>
      </c>
      <c r="K30" s="51">
        <v>0</v>
      </c>
      <c r="L30" s="32">
        <v>774</v>
      </c>
      <c r="M30" s="33">
        <f t="shared" si="0"/>
        <v>774</v>
      </c>
      <c r="N30" s="33">
        <f t="shared" si="1"/>
        <v>774</v>
      </c>
    </row>
    <row r="31" spans="1:14">
      <c r="A31" s="1" t="s">
        <v>1</v>
      </c>
      <c r="B31" s="27" t="s">
        <v>31</v>
      </c>
      <c r="C31" s="51">
        <v>0</v>
      </c>
      <c r="D31" s="51">
        <v>0</v>
      </c>
      <c r="E31" s="67">
        <v>10845</v>
      </c>
      <c r="F31" s="33">
        <f t="shared" si="2"/>
        <v>10845</v>
      </c>
      <c r="G31" s="50">
        <v>0</v>
      </c>
      <c r="H31" s="51">
        <v>0</v>
      </c>
      <c r="I31" s="51">
        <v>0</v>
      </c>
      <c r="J31" s="51">
        <v>0</v>
      </c>
      <c r="K31" s="51">
        <v>0</v>
      </c>
      <c r="L31" s="32">
        <v>0</v>
      </c>
      <c r="M31" s="33">
        <f t="shared" si="0"/>
        <v>0</v>
      </c>
      <c r="N31" s="33">
        <f t="shared" si="1"/>
        <v>10845</v>
      </c>
    </row>
    <row r="32" spans="1:14">
      <c r="A32" s="1" t="s">
        <v>1</v>
      </c>
      <c r="B32" s="8" t="s">
        <v>32</v>
      </c>
      <c r="C32" s="53">
        <v>1641</v>
      </c>
      <c r="D32" s="53">
        <v>0</v>
      </c>
      <c r="E32" s="68">
        <v>0</v>
      </c>
      <c r="F32" s="12">
        <f t="shared" si="2"/>
        <v>1641</v>
      </c>
      <c r="G32" s="52">
        <v>7938</v>
      </c>
      <c r="H32" s="53">
        <v>17024</v>
      </c>
      <c r="I32" s="53">
        <v>14580</v>
      </c>
      <c r="J32" s="53">
        <v>13395</v>
      </c>
      <c r="K32" s="53">
        <v>5934</v>
      </c>
      <c r="L32" s="11">
        <v>7482</v>
      </c>
      <c r="M32" s="12">
        <f t="shared" si="0"/>
        <v>66353</v>
      </c>
      <c r="N32" s="12">
        <f t="shared" si="1"/>
        <v>67994</v>
      </c>
    </row>
    <row r="33" spans="1:14">
      <c r="A33" s="1" t="s">
        <v>1</v>
      </c>
      <c r="B33" s="16" t="s">
        <v>44</v>
      </c>
      <c r="C33" s="55">
        <v>366641</v>
      </c>
      <c r="D33" s="55">
        <v>365000</v>
      </c>
      <c r="E33" s="69">
        <v>245175</v>
      </c>
      <c r="F33" s="20">
        <f t="shared" si="2"/>
        <v>976816</v>
      </c>
      <c r="G33" s="54">
        <v>374376</v>
      </c>
      <c r="H33" s="55">
        <v>310678</v>
      </c>
      <c r="I33" s="55">
        <v>334011</v>
      </c>
      <c r="J33" s="55">
        <v>358649</v>
      </c>
      <c r="K33" s="55">
        <v>314048</v>
      </c>
      <c r="L33" s="19">
        <v>320749</v>
      </c>
      <c r="M33" s="20">
        <f t="shared" si="0"/>
        <v>2012511</v>
      </c>
      <c r="N33" s="20">
        <f t="shared" si="1"/>
        <v>2989327</v>
      </c>
    </row>
    <row r="34" spans="1:14">
      <c r="A34" s="1" t="s">
        <v>1</v>
      </c>
      <c r="B34" s="21" t="s">
        <v>45</v>
      </c>
      <c r="C34" s="49">
        <v>7819</v>
      </c>
      <c r="D34" s="49">
        <v>15747</v>
      </c>
      <c r="E34" s="66">
        <v>575</v>
      </c>
      <c r="F34" s="23">
        <f t="shared" si="2"/>
        <v>24141</v>
      </c>
      <c r="G34" s="48">
        <v>9022</v>
      </c>
      <c r="H34" s="49">
        <v>2625</v>
      </c>
      <c r="I34" s="49">
        <v>2734</v>
      </c>
      <c r="J34" s="49">
        <v>12986</v>
      </c>
      <c r="K34" s="49">
        <v>7874</v>
      </c>
      <c r="L34" s="22">
        <v>1313</v>
      </c>
      <c r="M34" s="23">
        <f t="shared" si="0"/>
        <v>36554</v>
      </c>
      <c r="N34" s="23">
        <f t="shared" si="1"/>
        <v>60695</v>
      </c>
    </row>
    <row r="35" spans="1:14">
      <c r="A35" s="1" t="s">
        <v>1</v>
      </c>
      <c r="B35" s="8" t="s">
        <v>46</v>
      </c>
      <c r="C35" s="53">
        <v>7819</v>
      </c>
      <c r="D35" s="53">
        <v>15747</v>
      </c>
      <c r="E35" s="68">
        <v>575</v>
      </c>
      <c r="F35" s="12">
        <f t="shared" si="2"/>
        <v>24141</v>
      </c>
      <c r="G35" s="52">
        <v>9022</v>
      </c>
      <c r="H35" s="53">
        <v>2625</v>
      </c>
      <c r="I35" s="53">
        <v>2734</v>
      </c>
      <c r="J35" s="53">
        <v>12986</v>
      </c>
      <c r="K35" s="53">
        <v>7874</v>
      </c>
      <c r="L35" s="11">
        <v>1313</v>
      </c>
      <c r="M35" s="12">
        <f t="shared" si="0"/>
        <v>36554</v>
      </c>
      <c r="N35" s="12">
        <f t="shared" si="1"/>
        <v>60695</v>
      </c>
    </row>
    <row r="36" spans="1:14">
      <c r="A36" s="1" t="s">
        <v>1</v>
      </c>
      <c r="B36" s="16" t="s">
        <v>47</v>
      </c>
      <c r="C36" s="55">
        <v>374460</v>
      </c>
      <c r="D36" s="55">
        <v>380747</v>
      </c>
      <c r="E36" s="69">
        <v>245750</v>
      </c>
      <c r="F36" s="20">
        <f t="shared" si="2"/>
        <v>1000957</v>
      </c>
      <c r="G36" s="54">
        <v>383398</v>
      </c>
      <c r="H36" s="55">
        <v>313303</v>
      </c>
      <c r="I36" s="55">
        <v>336745</v>
      </c>
      <c r="J36" s="55">
        <v>371635</v>
      </c>
      <c r="K36" s="55">
        <v>321922</v>
      </c>
      <c r="L36" s="19">
        <v>322062</v>
      </c>
      <c r="M36" s="20">
        <f t="shared" si="0"/>
        <v>2049065</v>
      </c>
      <c r="N36" s="20">
        <f t="shared" si="1"/>
        <v>3050022</v>
      </c>
    </row>
    <row r="37" spans="1:14">
      <c r="A37" s="1" t="s">
        <v>1</v>
      </c>
      <c r="B37" s="21" t="s">
        <v>48</v>
      </c>
      <c r="C37" s="49">
        <v>18360</v>
      </c>
      <c r="D37" s="49">
        <v>19380</v>
      </c>
      <c r="E37" s="66">
        <v>11220</v>
      </c>
      <c r="F37" s="23">
        <f t="shared" si="2"/>
        <v>48960</v>
      </c>
      <c r="G37" s="48">
        <v>16320</v>
      </c>
      <c r="H37" s="49">
        <v>15300</v>
      </c>
      <c r="I37" s="49">
        <v>14280</v>
      </c>
      <c r="J37" s="49">
        <v>17340</v>
      </c>
      <c r="K37" s="49">
        <v>14280</v>
      </c>
      <c r="L37" s="22">
        <v>15300</v>
      </c>
      <c r="M37" s="23">
        <f t="shared" si="0"/>
        <v>92820</v>
      </c>
      <c r="N37" s="23">
        <f t="shared" si="1"/>
        <v>141780</v>
      </c>
    </row>
    <row r="38" spans="1:14">
      <c r="A38" s="1" t="s">
        <v>1</v>
      </c>
      <c r="B38" s="27" t="s">
        <v>49</v>
      </c>
      <c r="C38" s="51">
        <v>3240</v>
      </c>
      <c r="D38" s="51">
        <v>3420</v>
      </c>
      <c r="E38" s="67">
        <v>0</v>
      </c>
      <c r="F38" s="33">
        <f t="shared" si="2"/>
        <v>6660</v>
      </c>
      <c r="G38" s="50">
        <v>2880</v>
      </c>
      <c r="H38" s="51">
        <v>2700</v>
      </c>
      <c r="I38" s="51">
        <v>2520</v>
      </c>
      <c r="J38" s="51">
        <v>3060</v>
      </c>
      <c r="K38" s="51">
        <v>2520</v>
      </c>
      <c r="L38" s="32">
        <v>2700</v>
      </c>
      <c r="M38" s="33">
        <f t="shared" si="0"/>
        <v>16380</v>
      </c>
      <c r="N38" s="33">
        <f t="shared" si="1"/>
        <v>23040</v>
      </c>
    </row>
    <row r="39" spans="1:14">
      <c r="A39" s="1" t="s">
        <v>1</v>
      </c>
      <c r="B39" s="27" t="s">
        <v>50</v>
      </c>
      <c r="C39" s="51">
        <v>32940</v>
      </c>
      <c r="D39" s="51">
        <v>34770</v>
      </c>
      <c r="E39" s="67">
        <v>20130</v>
      </c>
      <c r="F39" s="33">
        <f t="shared" si="2"/>
        <v>87840</v>
      </c>
      <c r="G39" s="50">
        <v>29280</v>
      </c>
      <c r="H39" s="51">
        <v>27450</v>
      </c>
      <c r="I39" s="51">
        <v>25620</v>
      </c>
      <c r="J39" s="51">
        <v>31110</v>
      </c>
      <c r="K39" s="51">
        <v>25620</v>
      </c>
      <c r="L39" s="32">
        <v>27450</v>
      </c>
      <c r="M39" s="33">
        <f t="shared" si="0"/>
        <v>166530</v>
      </c>
      <c r="N39" s="33">
        <f t="shared" si="1"/>
        <v>254370</v>
      </c>
    </row>
    <row r="40" spans="1:14">
      <c r="A40" s="1" t="s">
        <v>1</v>
      </c>
      <c r="B40" s="8" t="s">
        <v>51</v>
      </c>
      <c r="C40" s="53">
        <v>2247</v>
      </c>
      <c r="D40" s="53">
        <v>2284</v>
      </c>
      <c r="E40" s="68">
        <v>1474</v>
      </c>
      <c r="F40" s="12">
        <f t="shared" si="2"/>
        <v>6005</v>
      </c>
      <c r="G40" s="52">
        <v>2300</v>
      </c>
      <c r="H40" s="53">
        <v>1880</v>
      </c>
      <c r="I40" s="53">
        <v>2020</v>
      </c>
      <c r="J40" s="53">
        <v>2230</v>
      </c>
      <c r="K40" s="53">
        <v>1932</v>
      </c>
      <c r="L40" s="11">
        <v>1932</v>
      </c>
      <c r="M40" s="12">
        <f t="shared" si="0"/>
        <v>12294</v>
      </c>
      <c r="N40" s="12">
        <f t="shared" si="1"/>
        <v>18299</v>
      </c>
    </row>
    <row r="41" spans="1:14">
      <c r="A41" s="1" t="s">
        <v>1</v>
      </c>
      <c r="B41" s="16" t="s">
        <v>52</v>
      </c>
      <c r="C41" s="55">
        <v>56787</v>
      </c>
      <c r="D41" s="55">
        <v>59854</v>
      </c>
      <c r="E41" s="69">
        <v>32824</v>
      </c>
      <c r="F41" s="20">
        <f t="shared" si="2"/>
        <v>149465</v>
      </c>
      <c r="G41" s="54">
        <v>50780</v>
      </c>
      <c r="H41" s="55">
        <v>47330</v>
      </c>
      <c r="I41" s="55">
        <v>44440</v>
      </c>
      <c r="J41" s="55">
        <v>53740</v>
      </c>
      <c r="K41" s="55">
        <v>44352</v>
      </c>
      <c r="L41" s="19">
        <v>47382</v>
      </c>
      <c r="M41" s="20">
        <f t="shared" si="0"/>
        <v>288024</v>
      </c>
      <c r="N41" s="20">
        <f t="shared" si="1"/>
        <v>437489</v>
      </c>
    </row>
    <row r="42" spans="1:14">
      <c r="A42" s="1" t="s">
        <v>1</v>
      </c>
      <c r="B42" s="21" t="s">
        <v>53</v>
      </c>
      <c r="C42" s="49">
        <v>9190</v>
      </c>
      <c r="D42" s="49">
        <v>8800</v>
      </c>
      <c r="E42" s="66">
        <v>5210</v>
      </c>
      <c r="F42" s="23">
        <f t="shared" si="2"/>
        <v>23200</v>
      </c>
      <c r="G42" s="48">
        <v>6070</v>
      </c>
      <c r="H42" s="49">
        <v>5410</v>
      </c>
      <c r="I42" s="49">
        <v>7970</v>
      </c>
      <c r="J42" s="49">
        <v>8780</v>
      </c>
      <c r="K42" s="49">
        <v>7260</v>
      </c>
      <c r="L42" s="22">
        <v>5770</v>
      </c>
      <c r="M42" s="23">
        <f t="shared" si="0"/>
        <v>41260</v>
      </c>
      <c r="N42" s="23">
        <f t="shared" si="1"/>
        <v>64460</v>
      </c>
    </row>
    <row r="43" spans="1:14">
      <c r="A43" s="1" t="s">
        <v>1</v>
      </c>
      <c r="B43" s="27" t="s">
        <v>54</v>
      </c>
      <c r="C43" s="51">
        <v>18900</v>
      </c>
      <c r="D43" s="51">
        <v>18400</v>
      </c>
      <c r="E43" s="67">
        <v>8200</v>
      </c>
      <c r="F43" s="33">
        <f t="shared" si="2"/>
        <v>45500</v>
      </c>
      <c r="G43" s="50">
        <v>10200</v>
      </c>
      <c r="H43" s="51">
        <v>7100</v>
      </c>
      <c r="I43" s="51">
        <v>12900</v>
      </c>
      <c r="J43" s="51">
        <v>15300</v>
      </c>
      <c r="K43" s="51">
        <v>11800</v>
      </c>
      <c r="L43" s="32">
        <v>11000</v>
      </c>
      <c r="M43" s="33">
        <f t="shared" si="0"/>
        <v>68300</v>
      </c>
      <c r="N43" s="33">
        <f t="shared" si="1"/>
        <v>113800</v>
      </c>
    </row>
    <row r="44" spans="1:14">
      <c r="A44" s="1" t="s">
        <v>1</v>
      </c>
      <c r="B44" s="8" t="s">
        <v>55</v>
      </c>
      <c r="C44" s="53">
        <v>8150</v>
      </c>
      <c r="D44" s="53">
        <v>0</v>
      </c>
      <c r="E44" s="68">
        <v>0</v>
      </c>
      <c r="F44" s="12">
        <f t="shared" si="2"/>
        <v>8150</v>
      </c>
      <c r="G44" s="52">
        <v>0</v>
      </c>
      <c r="H44" s="53">
        <v>0</v>
      </c>
      <c r="I44" s="53">
        <v>0</v>
      </c>
      <c r="J44" s="53">
        <v>0</v>
      </c>
      <c r="K44" s="53">
        <v>0</v>
      </c>
      <c r="L44" s="11">
        <v>0</v>
      </c>
      <c r="M44" s="12">
        <f t="shared" si="0"/>
        <v>0</v>
      </c>
      <c r="N44" s="12">
        <f t="shared" si="1"/>
        <v>8150</v>
      </c>
    </row>
    <row r="45" spans="1:14">
      <c r="A45" s="1" t="s">
        <v>1</v>
      </c>
      <c r="B45" s="16" t="s">
        <v>56</v>
      </c>
      <c r="C45" s="55">
        <v>93027</v>
      </c>
      <c r="D45" s="55">
        <v>87054</v>
      </c>
      <c r="E45" s="69">
        <v>46234</v>
      </c>
      <c r="F45" s="20">
        <f t="shared" si="2"/>
        <v>226315</v>
      </c>
      <c r="G45" s="54">
        <v>67050</v>
      </c>
      <c r="H45" s="55">
        <v>59840</v>
      </c>
      <c r="I45" s="55">
        <v>65310</v>
      </c>
      <c r="J45" s="55">
        <v>77820</v>
      </c>
      <c r="K45" s="55">
        <v>63412</v>
      </c>
      <c r="L45" s="19">
        <v>64152</v>
      </c>
      <c r="M45" s="20">
        <f t="shared" si="0"/>
        <v>397584</v>
      </c>
      <c r="N45" s="20">
        <f t="shared" si="1"/>
        <v>623899</v>
      </c>
    </row>
    <row r="46" spans="1:14">
      <c r="A46" s="1" t="s">
        <v>1</v>
      </c>
      <c r="B46" s="16" t="s">
        <v>57</v>
      </c>
      <c r="C46" s="55">
        <v>309854</v>
      </c>
      <c r="D46" s="55">
        <v>305146</v>
      </c>
      <c r="E46" s="69">
        <v>212351</v>
      </c>
      <c r="F46" s="20">
        <f t="shared" si="2"/>
        <v>827351</v>
      </c>
      <c r="G46" s="54">
        <v>323596</v>
      </c>
      <c r="H46" s="55">
        <v>263348</v>
      </c>
      <c r="I46" s="55">
        <v>289571</v>
      </c>
      <c r="J46" s="55">
        <v>304909</v>
      </c>
      <c r="K46" s="55">
        <v>269696</v>
      </c>
      <c r="L46" s="19">
        <v>273367</v>
      </c>
      <c r="M46" s="20">
        <f t="shared" si="0"/>
        <v>1724487</v>
      </c>
      <c r="N46" s="20">
        <f t="shared" si="1"/>
        <v>2551838</v>
      </c>
    </row>
    <row r="47" spans="1:14">
      <c r="A47" s="1" t="s">
        <v>1</v>
      </c>
      <c r="B47" s="16" t="s">
        <v>58</v>
      </c>
      <c r="C47" s="55">
        <v>281433</v>
      </c>
      <c r="D47" s="55">
        <v>293693</v>
      </c>
      <c r="E47" s="69">
        <v>199516</v>
      </c>
      <c r="F47" s="20">
        <f t="shared" si="2"/>
        <v>774642</v>
      </c>
      <c r="G47" s="54">
        <v>316348</v>
      </c>
      <c r="H47" s="55">
        <v>253463</v>
      </c>
      <c r="I47" s="55">
        <v>271435</v>
      </c>
      <c r="J47" s="55">
        <v>293815</v>
      </c>
      <c r="K47" s="55">
        <v>258510</v>
      </c>
      <c r="L47" s="19">
        <v>257910</v>
      </c>
      <c r="M47" s="20">
        <f t="shared" si="0"/>
        <v>1651481</v>
      </c>
      <c r="N47" s="20">
        <f t="shared" si="1"/>
        <v>2426123</v>
      </c>
    </row>
    <row r="48" spans="1:14">
      <c r="A48" s="1" t="s">
        <v>1</v>
      </c>
      <c r="B48" s="16" t="s">
        <v>59</v>
      </c>
      <c r="C48" s="55">
        <v>281433</v>
      </c>
      <c r="D48" s="55">
        <v>293693</v>
      </c>
      <c r="E48" s="69">
        <v>199516</v>
      </c>
      <c r="F48" s="20">
        <f t="shared" si="2"/>
        <v>774642</v>
      </c>
      <c r="G48" s="54">
        <v>316348</v>
      </c>
      <c r="H48" s="55">
        <v>253463</v>
      </c>
      <c r="I48" s="55">
        <v>271435</v>
      </c>
      <c r="J48" s="55">
        <v>293815</v>
      </c>
      <c r="K48" s="55">
        <v>258510</v>
      </c>
      <c r="L48" s="19">
        <v>257910</v>
      </c>
      <c r="M48" s="20">
        <f t="shared" si="0"/>
        <v>1651481</v>
      </c>
      <c r="N48" s="20">
        <f t="shared" si="1"/>
        <v>2426123</v>
      </c>
    </row>
    <row r="49" spans="1:14">
      <c r="A49" s="1" t="s">
        <v>1</v>
      </c>
      <c r="B49" s="16" t="s">
        <v>60</v>
      </c>
      <c r="C49" s="55">
        <v>0</v>
      </c>
      <c r="D49" s="55">
        <v>0</v>
      </c>
      <c r="E49" s="69">
        <v>0</v>
      </c>
      <c r="F49" s="20"/>
      <c r="G49" s="54">
        <v>2</v>
      </c>
      <c r="H49" s="55">
        <v>1</v>
      </c>
      <c r="I49" s="55">
        <v>0</v>
      </c>
      <c r="J49" s="55">
        <v>0</v>
      </c>
      <c r="K49" s="55">
        <v>0</v>
      </c>
      <c r="L49" s="19">
        <v>1</v>
      </c>
      <c r="M49" s="20"/>
      <c r="N49" s="20"/>
    </row>
    <row r="50" spans="1:14" ht="19.5" thickBot="1">
      <c r="A50" s="1" t="s">
        <v>1</v>
      </c>
      <c r="B50" s="13" t="s">
        <v>61</v>
      </c>
      <c r="C50" s="57" t="s">
        <v>62</v>
      </c>
      <c r="D50" s="57" t="s">
        <v>62</v>
      </c>
      <c r="E50" s="70" t="s">
        <v>62</v>
      </c>
      <c r="F50" s="15"/>
      <c r="G50" s="56" t="s">
        <v>62</v>
      </c>
      <c r="H50" s="57" t="s">
        <v>62</v>
      </c>
      <c r="I50" s="57" t="s">
        <v>62</v>
      </c>
      <c r="J50" s="57" t="s">
        <v>62</v>
      </c>
      <c r="K50" s="57" t="s">
        <v>62</v>
      </c>
      <c r="L50" s="14" t="s">
        <v>62</v>
      </c>
      <c r="M50" s="15"/>
      <c r="N50" s="15"/>
    </row>
  </sheetData>
  <phoneticPr fontId="4"/>
  <pageMargins left="0.11811023622047245" right="0.11811023622047245" top="0.35433070866141736" bottom="0.35433070866141736" header="0.11811023622047245" footer="0.11811023622047245"/>
  <pageSetup paperSize="12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3月度給与 (2)</vt:lpstr>
      <vt:lpstr>'2024年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2024-04-05T06:23:59Z</cp:lastPrinted>
  <dcterms:created xsi:type="dcterms:W3CDTF">2024-04-05T02:24:42Z</dcterms:created>
  <dcterms:modified xsi:type="dcterms:W3CDTF">2024-04-06T02:26:08Z</dcterms:modified>
</cp:coreProperties>
</file>