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夏季賞与\"/>
    </mc:Choice>
  </mc:AlternateContent>
  <xr:revisionPtr revIDLastSave="0" documentId="13_ncr:1_{B01F8583-2CB0-48DB-BF97-13DE4A049488}" xr6:coauthVersionLast="47" xr6:coauthVersionMax="47" xr10:uidLastSave="{00000000-0000-0000-0000-000000000000}"/>
  <bookViews>
    <workbookView xWindow="-120" yWindow="-120" windowWidth="20730" windowHeight="11160" tabRatio="599" activeTab="2" xr2:uid="{F2DD6209-55BE-46FD-B690-63826B1C7B4B}"/>
  </bookViews>
  <sheets>
    <sheet name="夏季賞与 (2)" sheetId="3" r:id="rId1"/>
    <sheet name="夏季賞与 (3)" sheetId="4" r:id="rId2"/>
    <sheet name="夏季賞与 (4)" sheetId="5" r:id="rId3"/>
  </sheets>
  <definedNames>
    <definedName name="_xlnm.Print_Area" localSheetId="1">'夏季賞与 (3)'!$A$1:$U$23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5" l="1"/>
  <c r="E21" i="5"/>
  <c r="G20" i="5"/>
  <c r="E20" i="5"/>
  <c r="G19" i="5"/>
  <c r="E19" i="5"/>
  <c r="G18" i="5"/>
  <c r="E18" i="5"/>
  <c r="G17" i="5"/>
  <c r="E17" i="5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E8" i="5"/>
  <c r="G7" i="5"/>
  <c r="E7" i="5"/>
  <c r="G6" i="5"/>
  <c r="E6" i="5"/>
  <c r="G5" i="5"/>
  <c r="E5" i="5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AA9" i="3"/>
  <c r="AA13" i="3"/>
  <c r="AA17" i="3"/>
  <c r="AA21" i="3"/>
  <c r="Z6" i="3"/>
  <c r="AA6" i="3" s="1"/>
  <c r="Z7" i="3"/>
  <c r="AA7" i="3" s="1"/>
  <c r="Z8" i="3"/>
  <c r="AA8" i="3" s="1"/>
  <c r="Z9" i="3"/>
  <c r="Z10" i="3"/>
  <c r="AA10" i="3" s="1"/>
  <c r="Z11" i="3"/>
  <c r="AA11" i="3" s="1"/>
  <c r="Z12" i="3"/>
  <c r="AA12" i="3" s="1"/>
  <c r="Z13" i="3"/>
  <c r="Z14" i="3"/>
  <c r="AA14" i="3" s="1"/>
  <c r="Z15" i="3"/>
  <c r="AA15" i="3" s="1"/>
  <c r="Z16" i="3"/>
  <c r="AA16" i="3" s="1"/>
  <c r="Z17" i="3"/>
  <c r="Z18" i="3"/>
  <c r="AA18" i="3" s="1"/>
  <c r="Z19" i="3"/>
  <c r="AA19" i="3" s="1"/>
  <c r="Z20" i="3"/>
  <c r="AA20" i="3" s="1"/>
  <c r="Z21" i="3"/>
  <c r="Z5" i="3"/>
  <c r="AA5" i="3" s="1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5" i="3"/>
</calcChain>
</file>

<file path=xl/sharedStrings.xml><?xml version="1.0" encoding="utf-8"?>
<sst xmlns="http://schemas.openxmlformats.org/spreadsheetml/2006/main" count="217" uniqueCount="70">
  <si>
    <t>賞与支給控除一覧表</t>
    <phoneticPr fontId="4"/>
  </si>
  <si>
    <t/>
  </si>
  <si>
    <t>夏季賞与</t>
    <phoneticPr fontId="4"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</si>
  <si>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</si>
  <si>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</si>
  <si>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</si>
  <si>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</si>
  <si>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</si>
  <si>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</si>
  <si>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</si>
  <si>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</si>
  <si>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</si>
  <si>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</si>
  <si>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</si>
  <si>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</si>
  <si>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</si>
  <si>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</si>
  <si>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</si>
  <si>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</si>
  <si>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</si>
  <si>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</si>
  <si>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</si>
  <si>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</si>
  <si>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</si>
  <si>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</si>
  <si>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</si>
  <si>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</si>
  <si>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</si>
  <si>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</si>
  <si>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</si>
  <si>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</si>
  <si>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</si>
  <si>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</si>
  <si>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</si>
  <si>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</si>
  <si>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</si>
  <si>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</si>
  <si>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</si>
  <si>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</si>
  <si>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</si>
  <si>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</si>
  <si>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</si>
  <si>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</si>
  <si>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</si>
  <si>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</si>
  <si>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</si>
  <si>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</si>
  <si>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</si>
  <si>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</si>
  <si>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</si>
  <si>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</si>
  <si>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</si>
  <si>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</si>
  <si>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</si>
  <si>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</si>
  <si>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</si>
  <si>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</si>
  <si>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</si>
  <si>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</si>
  <si>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</si>
  <si>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</si>
  <si>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</si>
  <si>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</si>
  <si>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(定額減税額)</t>
    <phoneticPr fontId="4"/>
  </si>
  <si>
    <t>(減税設定額)</t>
    <phoneticPr fontId="4"/>
  </si>
  <si>
    <t>小計</t>
    <rPh sb="0" eb="2">
      <t>ショウケイ</t>
    </rPh>
    <phoneticPr fontId="3"/>
  </si>
  <si>
    <t>18名</t>
    <rPh sb="2" eb="3">
      <t>メイ</t>
    </rPh>
    <phoneticPr fontId="3"/>
  </si>
  <si>
    <t>2名</t>
    <rPh sb="1" eb="2">
      <t>メイ</t>
    </rPh>
    <phoneticPr fontId="3"/>
  </si>
  <si>
    <t>1名</t>
    <rPh sb="1" eb="2">
      <t>メイ</t>
    </rPh>
    <phoneticPr fontId="3"/>
  </si>
  <si>
    <t>21名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</si>
</sst>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4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0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37" xfId="1" applyNumberFormat="1" applyFont="1" applyBorder="1"/>
    <xf numFmtId="49" fontId="2" fillId="0" borderId="4" xfId="1" applyNumberFormat="1" applyFont="1" applyBorder="1" applyAlignment="1">
      <alignment horizontal="center"/>
    </xf>
  </cellXfs>
  <cellStyles count="2">
    <cellStyle name="標準" xfId="0" builtinId="0"/>
    <cellStyle name="標準 2" xfId="1" xr:uid="{CCE32E91-36B5-484D-B262-3027A060CC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692C-39FE-4C5A-A7C4-F4658EB9FD6C}">
  <sheetPr>
    <pageSetUpPr fitToPage="1"/>
  </sheetPr>
  <dimension ref="A1:AA22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27" width="11" style="2" customWidth="1"/>
    <col min="28" max="253" width="9" style="2"/>
    <col min="254" max="254" width="2.375" style="2" customWidth="1"/>
    <col min="255" max="255" width="13.25" style="2" bestFit="1" customWidth="1"/>
    <col min="256" max="259" width="11.125" style="2" bestFit="1" customWidth="1"/>
    <col min="260" max="260" width="13.25" style="2" bestFit="1" customWidth="1"/>
    <col min="261" max="261" width="11.125" style="2" bestFit="1" customWidth="1"/>
    <col min="262" max="262" width="9" style="2"/>
    <col min="263" max="263" width="11.125" style="2" bestFit="1" customWidth="1"/>
    <col min="264" max="264" width="9" style="2"/>
    <col min="265" max="279" width="11.125" style="2" bestFit="1" customWidth="1"/>
    <col min="280" max="280" width="9" style="2"/>
    <col min="281" max="281" width="11.125" style="2" bestFit="1" customWidth="1"/>
    <col min="282" max="282" width="9.625" style="2" bestFit="1" customWidth="1"/>
    <col min="283" max="509" width="9" style="2"/>
    <col min="510" max="510" width="2.375" style="2" customWidth="1"/>
    <col min="511" max="511" width="13.25" style="2" bestFit="1" customWidth="1"/>
    <col min="512" max="515" width="11.125" style="2" bestFit="1" customWidth="1"/>
    <col min="516" max="516" width="13.25" style="2" bestFit="1" customWidth="1"/>
    <col min="517" max="517" width="11.125" style="2" bestFit="1" customWidth="1"/>
    <col min="518" max="518" width="9" style="2"/>
    <col min="519" max="519" width="11.125" style="2" bestFit="1" customWidth="1"/>
    <col min="520" max="520" width="9" style="2"/>
    <col min="521" max="535" width="11.125" style="2" bestFit="1" customWidth="1"/>
    <col min="536" max="536" width="9" style="2"/>
    <col min="537" max="537" width="11.125" style="2" bestFit="1" customWidth="1"/>
    <col min="538" max="538" width="9.625" style="2" bestFit="1" customWidth="1"/>
    <col min="539" max="765" width="9" style="2"/>
    <col min="766" max="766" width="2.375" style="2" customWidth="1"/>
    <col min="767" max="767" width="13.25" style="2" bestFit="1" customWidth="1"/>
    <col min="768" max="771" width="11.125" style="2" bestFit="1" customWidth="1"/>
    <col min="772" max="772" width="13.25" style="2" bestFit="1" customWidth="1"/>
    <col min="773" max="773" width="11.125" style="2" bestFit="1" customWidth="1"/>
    <col min="774" max="774" width="9" style="2"/>
    <col min="775" max="775" width="11.125" style="2" bestFit="1" customWidth="1"/>
    <col min="776" max="776" width="9" style="2"/>
    <col min="777" max="791" width="11.125" style="2" bestFit="1" customWidth="1"/>
    <col min="792" max="792" width="9" style="2"/>
    <col min="793" max="793" width="11.125" style="2" bestFit="1" customWidth="1"/>
    <col min="794" max="794" width="9.625" style="2" bestFit="1" customWidth="1"/>
    <col min="795" max="1021" width="9" style="2"/>
    <col min="1022" max="1022" width="2.375" style="2" customWidth="1"/>
    <col min="1023" max="1023" width="13.25" style="2" bestFit="1" customWidth="1"/>
    <col min="1024" max="1027" width="11.125" style="2" bestFit="1" customWidth="1"/>
    <col min="1028" max="1028" width="13.25" style="2" bestFit="1" customWidth="1"/>
    <col min="1029" max="1029" width="11.125" style="2" bestFit="1" customWidth="1"/>
    <col min="1030" max="1030" width="9" style="2"/>
    <col min="1031" max="1031" width="11.125" style="2" bestFit="1" customWidth="1"/>
    <col min="1032" max="1032" width="9" style="2"/>
    <col min="1033" max="1047" width="11.125" style="2" bestFit="1" customWidth="1"/>
    <col min="1048" max="1048" width="9" style="2"/>
    <col min="1049" max="1049" width="11.125" style="2" bestFit="1" customWidth="1"/>
    <col min="1050" max="1050" width="9.625" style="2" bestFit="1" customWidth="1"/>
    <col min="1051" max="1277" width="9" style="2"/>
    <col min="1278" max="1278" width="2.375" style="2" customWidth="1"/>
    <col min="1279" max="1279" width="13.25" style="2" bestFit="1" customWidth="1"/>
    <col min="1280" max="1283" width="11.125" style="2" bestFit="1" customWidth="1"/>
    <col min="1284" max="1284" width="13.25" style="2" bestFit="1" customWidth="1"/>
    <col min="1285" max="1285" width="11.125" style="2" bestFit="1" customWidth="1"/>
    <col min="1286" max="1286" width="9" style="2"/>
    <col min="1287" max="1287" width="11.125" style="2" bestFit="1" customWidth="1"/>
    <col min="1288" max="1288" width="9" style="2"/>
    <col min="1289" max="1303" width="11.125" style="2" bestFit="1" customWidth="1"/>
    <col min="1304" max="1304" width="9" style="2"/>
    <col min="1305" max="1305" width="11.125" style="2" bestFit="1" customWidth="1"/>
    <col min="1306" max="1306" width="9.625" style="2" bestFit="1" customWidth="1"/>
    <col min="1307" max="1533" width="9" style="2"/>
    <col min="1534" max="1534" width="2.375" style="2" customWidth="1"/>
    <col min="1535" max="1535" width="13.25" style="2" bestFit="1" customWidth="1"/>
    <col min="1536" max="1539" width="11.125" style="2" bestFit="1" customWidth="1"/>
    <col min="1540" max="1540" width="13.25" style="2" bestFit="1" customWidth="1"/>
    <col min="1541" max="1541" width="11.125" style="2" bestFit="1" customWidth="1"/>
    <col min="1542" max="1542" width="9" style="2"/>
    <col min="1543" max="1543" width="11.125" style="2" bestFit="1" customWidth="1"/>
    <col min="1544" max="1544" width="9" style="2"/>
    <col min="1545" max="1559" width="11.125" style="2" bestFit="1" customWidth="1"/>
    <col min="1560" max="1560" width="9" style="2"/>
    <col min="1561" max="1561" width="11.125" style="2" bestFit="1" customWidth="1"/>
    <col min="1562" max="1562" width="9.625" style="2" bestFit="1" customWidth="1"/>
    <col min="1563" max="1789" width="9" style="2"/>
    <col min="1790" max="1790" width="2.375" style="2" customWidth="1"/>
    <col min="1791" max="1791" width="13.25" style="2" bestFit="1" customWidth="1"/>
    <col min="1792" max="1795" width="11.125" style="2" bestFit="1" customWidth="1"/>
    <col min="1796" max="1796" width="13.25" style="2" bestFit="1" customWidth="1"/>
    <col min="1797" max="1797" width="11.125" style="2" bestFit="1" customWidth="1"/>
    <col min="1798" max="1798" width="9" style="2"/>
    <col min="1799" max="1799" width="11.125" style="2" bestFit="1" customWidth="1"/>
    <col min="1800" max="1800" width="9" style="2"/>
    <col min="1801" max="1815" width="11.125" style="2" bestFit="1" customWidth="1"/>
    <col min="1816" max="1816" width="9" style="2"/>
    <col min="1817" max="1817" width="11.125" style="2" bestFit="1" customWidth="1"/>
    <col min="1818" max="1818" width="9.625" style="2" bestFit="1" customWidth="1"/>
    <col min="1819" max="2045" width="9" style="2"/>
    <col min="2046" max="2046" width="2.375" style="2" customWidth="1"/>
    <col min="2047" max="2047" width="13.25" style="2" bestFit="1" customWidth="1"/>
    <col min="2048" max="2051" width="11.125" style="2" bestFit="1" customWidth="1"/>
    <col min="2052" max="2052" width="13.25" style="2" bestFit="1" customWidth="1"/>
    <col min="2053" max="2053" width="11.125" style="2" bestFit="1" customWidth="1"/>
    <col min="2054" max="2054" width="9" style="2"/>
    <col min="2055" max="2055" width="11.125" style="2" bestFit="1" customWidth="1"/>
    <col min="2056" max="2056" width="9" style="2"/>
    <col min="2057" max="2071" width="11.125" style="2" bestFit="1" customWidth="1"/>
    <col min="2072" max="2072" width="9" style="2"/>
    <col min="2073" max="2073" width="11.125" style="2" bestFit="1" customWidth="1"/>
    <col min="2074" max="2074" width="9.625" style="2" bestFit="1" customWidth="1"/>
    <col min="2075" max="2301" width="9" style="2"/>
    <col min="2302" max="2302" width="2.375" style="2" customWidth="1"/>
    <col min="2303" max="2303" width="13.25" style="2" bestFit="1" customWidth="1"/>
    <col min="2304" max="2307" width="11.125" style="2" bestFit="1" customWidth="1"/>
    <col min="2308" max="2308" width="13.25" style="2" bestFit="1" customWidth="1"/>
    <col min="2309" max="2309" width="11.125" style="2" bestFit="1" customWidth="1"/>
    <col min="2310" max="2310" width="9" style="2"/>
    <col min="2311" max="2311" width="11.125" style="2" bestFit="1" customWidth="1"/>
    <col min="2312" max="2312" width="9" style="2"/>
    <col min="2313" max="2327" width="11.125" style="2" bestFit="1" customWidth="1"/>
    <col min="2328" max="2328" width="9" style="2"/>
    <col min="2329" max="2329" width="11.125" style="2" bestFit="1" customWidth="1"/>
    <col min="2330" max="2330" width="9.625" style="2" bestFit="1" customWidth="1"/>
    <col min="2331" max="2557" width="9" style="2"/>
    <col min="2558" max="2558" width="2.375" style="2" customWidth="1"/>
    <col min="2559" max="2559" width="13.25" style="2" bestFit="1" customWidth="1"/>
    <col min="2560" max="2563" width="11.125" style="2" bestFit="1" customWidth="1"/>
    <col min="2564" max="2564" width="13.25" style="2" bestFit="1" customWidth="1"/>
    <col min="2565" max="2565" width="11.125" style="2" bestFit="1" customWidth="1"/>
    <col min="2566" max="2566" width="9" style="2"/>
    <col min="2567" max="2567" width="11.125" style="2" bestFit="1" customWidth="1"/>
    <col min="2568" max="2568" width="9" style="2"/>
    <col min="2569" max="2583" width="11.125" style="2" bestFit="1" customWidth="1"/>
    <col min="2584" max="2584" width="9" style="2"/>
    <col min="2585" max="2585" width="11.125" style="2" bestFit="1" customWidth="1"/>
    <col min="2586" max="2586" width="9.625" style="2" bestFit="1" customWidth="1"/>
    <col min="2587" max="2813" width="9" style="2"/>
    <col min="2814" max="2814" width="2.375" style="2" customWidth="1"/>
    <col min="2815" max="2815" width="13.25" style="2" bestFit="1" customWidth="1"/>
    <col min="2816" max="2819" width="11.125" style="2" bestFit="1" customWidth="1"/>
    <col min="2820" max="2820" width="13.25" style="2" bestFit="1" customWidth="1"/>
    <col min="2821" max="2821" width="11.125" style="2" bestFit="1" customWidth="1"/>
    <col min="2822" max="2822" width="9" style="2"/>
    <col min="2823" max="2823" width="11.125" style="2" bestFit="1" customWidth="1"/>
    <col min="2824" max="2824" width="9" style="2"/>
    <col min="2825" max="2839" width="11.125" style="2" bestFit="1" customWidth="1"/>
    <col min="2840" max="2840" width="9" style="2"/>
    <col min="2841" max="2841" width="11.125" style="2" bestFit="1" customWidth="1"/>
    <col min="2842" max="2842" width="9.625" style="2" bestFit="1" customWidth="1"/>
    <col min="2843" max="3069" width="9" style="2"/>
    <col min="3070" max="3070" width="2.375" style="2" customWidth="1"/>
    <col min="3071" max="3071" width="13.25" style="2" bestFit="1" customWidth="1"/>
    <col min="3072" max="3075" width="11.125" style="2" bestFit="1" customWidth="1"/>
    <col min="3076" max="3076" width="13.25" style="2" bestFit="1" customWidth="1"/>
    <col min="3077" max="3077" width="11.125" style="2" bestFit="1" customWidth="1"/>
    <col min="3078" max="3078" width="9" style="2"/>
    <col min="3079" max="3079" width="11.125" style="2" bestFit="1" customWidth="1"/>
    <col min="3080" max="3080" width="9" style="2"/>
    <col min="3081" max="3095" width="11.125" style="2" bestFit="1" customWidth="1"/>
    <col min="3096" max="3096" width="9" style="2"/>
    <col min="3097" max="3097" width="11.125" style="2" bestFit="1" customWidth="1"/>
    <col min="3098" max="3098" width="9.625" style="2" bestFit="1" customWidth="1"/>
    <col min="3099" max="3325" width="9" style="2"/>
    <col min="3326" max="3326" width="2.375" style="2" customWidth="1"/>
    <col min="3327" max="3327" width="13.25" style="2" bestFit="1" customWidth="1"/>
    <col min="3328" max="3331" width="11.125" style="2" bestFit="1" customWidth="1"/>
    <col min="3332" max="3332" width="13.25" style="2" bestFit="1" customWidth="1"/>
    <col min="3333" max="3333" width="11.125" style="2" bestFit="1" customWidth="1"/>
    <col min="3334" max="3334" width="9" style="2"/>
    <col min="3335" max="3335" width="11.125" style="2" bestFit="1" customWidth="1"/>
    <col min="3336" max="3336" width="9" style="2"/>
    <col min="3337" max="3351" width="11.125" style="2" bestFit="1" customWidth="1"/>
    <col min="3352" max="3352" width="9" style="2"/>
    <col min="3353" max="3353" width="11.125" style="2" bestFit="1" customWidth="1"/>
    <col min="3354" max="3354" width="9.625" style="2" bestFit="1" customWidth="1"/>
    <col min="3355" max="3581" width="9" style="2"/>
    <col min="3582" max="3582" width="2.375" style="2" customWidth="1"/>
    <col min="3583" max="3583" width="13.25" style="2" bestFit="1" customWidth="1"/>
    <col min="3584" max="3587" width="11.125" style="2" bestFit="1" customWidth="1"/>
    <col min="3588" max="3588" width="13.25" style="2" bestFit="1" customWidth="1"/>
    <col min="3589" max="3589" width="11.125" style="2" bestFit="1" customWidth="1"/>
    <col min="3590" max="3590" width="9" style="2"/>
    <col min="3591" max="3591" width="11.125" style="2" bestFit="1" customWidth="1"/>
    <col min="3592" max="3592" width="9" style="2"/>
    <col min="3593" max="3607" width="11.125" style="2" bestFit="1" customWidth="1"/>
    <col min="3608" max="3608" width="9" style="2"/>
    <col min="3609" max="3609" width="11.125" style="2" bestFit="1" customWidth="1"/>
    <col min="3610" max="3610" width="9.625" style="2" bestFit="1" customWidth="1"/>
    <col min="3611" max="3837" width="9" style="2"/>
    <col min="3838" max="3838" width="2.375" style="2" customWidth="1"/>
    <col min="3839" max="3839" width="13.25" style="2" bestFit="1" customWidth="1"/>
    <col min="3840" max="3843" width="11.125" style="2" bestFit="1" customWidth="1"/>
    <col min="3844" max="3844" width="13.25" style="2" bestFit="1" customWidth="1"/>
    <col min="3845" max="3845" width="11.125" style="2" bestFit="1" customWidth="1"/>
    <col min="3846" max="3846" width="9" style="2"/>
    <col min="3847" max="3847" width="11.125" style="2" bestFit="1" customWidth="1"/>
    <col min="3848" max="3848" width="9" style="2"/>
    <col min="3849" max="3863" width="11.125" style="2" bestFit="1" customWidth="1"/>
    <col min="3864" max="3864" width="9" style="2"/>
    <col min="3865" max="3865" width="11.125" style="2" bestFit="1" customWidth="1"/>
    <col min="3866" max="3866" width="9.625" style="2" bestFit="1" customWidth="1"/>
    <col min="3867" max="4093" width="9" style="2"/>
    <col min="4094" max="4094" width="2.375" style="2" customWidth="1"/>
    <col min="4095" max="4095" width="13.25" style="2" bestFit="1" customWidth="1"/>
    <col min="4096" max="4099" width="11.125" style="2" bestFit="1" customWidth="1"/>
    <col min="4100" max="4100" width="13.25" style="2" bestFit="1" customWidth="1"/>
    <col min="4101" max="4101" width="11.125" style="2" bestFit="1" customWidth="1"/>
    <col min="4102" max="4102" width="9" style="2"/>
    <col min="4103" max="4103" width="11.125" style="2" bestFit="1" customWidth="1"/>
    <col min="4104" max="4104" width="9" style="2"/>
    <col min="4105" max="4119" width="11.125" style="2" bestFit="1" customWidth="1"/>
    <col min="4120" max="4120" width="9" style="2"/>
    <col min="4121" max="4121" width="11.125" style="2" bestFit="1" customWidth="1"/>
    <col min="4122" max="4122" width="9.625" style="2" bestFit="1" customWidth="1"/>
    <col min="4123" max="4349" width="9" style="2"/>
    <col min="4350" max="4350" width="2.375" style="2" customWidth="1"/>
    <col min="4351" max="4351" width="13.25" style="2" bestFit="1" customWidth="1"/>
    <col min="4352" max="4355" width="11.125" style="2" bestFit="1" customWidth="1"/>
    <col min="4356" max="4356" width="13.25" style="2" bestFit="1" customWidth="1"/>
    <col min="4357" max="4357" width="11.125" style="2" bestFit="1" customWidth="1"/>
    <col min="4358" max="4358" width="9" style="2"/>
    <col min="4359" max="4359" width="11.125" style="2" bestFit="1" customWidth="1"/>
    <col min="4360" max="4360" width="9" style="2"/>
    <col min="4361" max="4375" width="11.125" style="2" bestFit="1" customWidth="1"/>
    <col min="4376" max="4376" width="9" style="2"/>
    <col min="4377" max="4377" width="11.125" style="2" bestFit="1" customWidth="1"/>
    <col min="4378" max="4378" width="9.625" style="2" bestFit="1" customWidth="1"/>
    <col min="4379" max="4605" width="9" style="2"/>
    <col min="4606" max="4606" width="2.375" style="2" customWidth="1"/>
    <col min="4607" max="4607" width="13.25" style="2" bestFit="1" customWidth="1"/>
    <col min="4608" max="4611" width="11.125" style="2" bestFit="1" customWidth="1"/>
    <col min="4612" max="4612" width="13.25" style="2" bestFit="1" customWidth="1"/>
    <col min="4613" max="4613" width="11.125" style="2" bestFit="1" customWidth="1"/>
    <col min="4614" max="4614" width="9" style="2"/>
    <col min="4615" max="4615" width="11.125" style="2" bestFit="1" customWidth="1"/>
    <col min="4616" max="4616" width="9" style="2"/>
    <col min="4617" max="4631" width="11.125" style="2" bestFit="1" customWidth="1"/>
    <col min="4632" max="4632" width="9" style="2"/>
    <col min="4633" max="4633" width="11.125" style="2" bestFit="1" customWidth="1"/>
    <col min="4634" max="4634" width="9.625" style="2" bestFit="1" customWidth="1"/>
    <col min="4635" max="4861" width="9" style="2"/>
    <col min="4862" max="4862" width="2.375" style="2" customWidth="1"/>
    <col min="4863" max="4863" width="13.25" style="2" bestFit="1" customWidth="1"/>
    <col min="4864" max="4867" width="11.125" style="2" bestFit="1" customWidth="1"/>
    <col min="4868" max="4868" width="13.25" style="2" bestFit="1" customWidth="1"/>
    <col min="4869" max="4869" width="11.125" style="2" bestFit="1" customWidth="1"/>
    <col min="4870" max="4870" width="9" style="2"/>
    <col min="4871" max="4871" width="11.125" style="2" bestFit="1" customWidth="1"/>
    <col min="4872" max="4872" width="9" style="2"/>
    <col min="4873" max="4887" width="11.125" style="2" bestFit="1" customWidth="1"/>
    <col min="4888" max="4888" width="9" style="2"/>
    <col min="4889" max="4889" width="11.125" style="2" bestFit="1" customWidth="1"/>
    <col min="4890" max="4890" width="9.625" style="2" bestFit="1" customWidth="1"/>
    <col min="4891" max="5117" width="9" style="2"/>
    <col min="5118" max="5118" width="2.375" style="2" customWidth="1"/>
    <col min="5119" max="5119" width="13.25" style="2" bestFit="1" customWidth="1"/>
    <col min="5120" max="5123" width="11.125" style="2" bestFit="1" customWidth="1"/>
    <col min="5124" max="5124" width="13.25" style="2" bestFit="1" customWidth="1"/>
    <col min="5125" max="5125" width="11.125" style="2" bestFit="1" customWidth="1"/>
    <col min="5126" max="5126" width="9" style="2"/>
    <col min="5127" max="5127" width="11.125" style="2" bestFit="1" customWidth="1"/>
    <col min="5128" max="5128" width="9" style="2"/>
    <col min="5129" max="5143" width="11.125" style="2" bestFit="1" customWidth="1"/>
    <col min="5144" max="5144" width="9" style="2"/>
    <col min="5145" max="5145" width="11.125" style="2" bestFit="1" customWidth="1"/>
    <col min="5146" max="5146" width="9.625" style="2" bestFit="1" customWidth="1"/>
    <col min="5147" max="5373" width="9" style="2"/>
    <col min="5374" max="5374" width="2.375" style="2" customWidth="1"/>
    <col min="5375" max="5375" width="13.25" style="2" bestFit="1" customWidth="1"/>
    <col min="5376" max="5379" width="11.125" style="2" bestFit="1" customWidth="1"/>
    <col min="5380" max="5380" width="13.25" style="2" bestFit="1" customWidth="1"/>
    <col min="5381" max="5381" width="11.125" style="2" bestFit="1" customWidth="1"/>
    <col min="5382" max="5382" width="9" style="2"/>
    <col min="5383" max="5383" width="11.125" style="2" bestFit="1" customWidth="1"/>
    <col min="5384" max="5384" width="9" style="2"/>
    <col min="5385" max="5399" width="11.125" style="2" bestFit="1" customWidth="1"/>
    <col min="5400" max="5400" width="9" style="2"/>
    <col min="5401" max="5401" width="11.125" style="2" bestFit="1" customWidth="1"/>
    <col min="5402" max="5402" width="9.625" style="2" bestFit="1" customWidth="1"/>
    <col min="5403" max="5629" width="9" style="2"/>
    <col min="5630" max="5630" width="2.375" style="2" customWidth="1"/>
    <col min="5631" max="5631" width="13.25" style="2" bestFit="1" customWidth="1"/>
    <col min="5632" max="5635" width="11.125" style="2" bestFit="1" customWidth="1"/>
    <col min="5636" max="5636" width="13.25" style="2" bestFit="1" customWidth="1"/>
    <col min="5637" max="5637" width="11.125" style="2" bestFit="1" customWidth="1"/>
    <col min="5638" max="5638" width="9" style="2"/>
    <col min="5639" max="5639" width="11.125" style="2" bestFit="1" customWidth="1"/>
    <col min="5640" max="5640" width="9" style="2"/>
    <col min="5641" max="5655" width="11.125" style="2" bestFit="1" customWidth="1"/>
    <col min="5656" max="5656" width="9" style="2"/>
    <col min="5657" max="5657" width="11.125" style="2" bestFit="1" customWidth="1"/>
    <col min="5658" max="5658" width="9.625" style="2" bestFit="1" customWidth="1"/>
    <col min="5659" max="5885" width="9" style="2"/>
    <col min="5886" max="5886" width="2.375" style="2" customWidth="1"/>
    <col min="5887" max="5887" width="13.25" style="2" bestFit="1" customWidth="1"/>
    <col min="5888" max="5891" width="11.125" style="2" bestFit="1" customWidth="1"/>
    <col min="5892" max="5892" width="13.25" style="2" bestFit="1" customWidth="1"/>
    <col min="5893" max="5893" width="11.125" style="2" bestFit="1" customWidth="1"/>
    <col min="5894" max="5894" width="9" style="2"/>
    <col min="5895" max="5895" width="11.125" style="2" bestFit="1" customWidth="1"/>
    <col min="5896" max="5896" width="9" style="2"/>
    <col min="5897" max="5911" width="11.125" style="2" bestFit="1" customWidth="1"/>
    <col min="5912" max="5912" width="9" style="2"/>
    <col min="5913" max="5913" width="11.125" style="2" bestFit="1" customWidth="1"/>
    <col min="5914" max="5914" width="9.625" style="2" bestFit="1" customWidth="1"/>
    <col min="5915" max="6141" width="9" style="2"/>
    <col min="6142" max="6142" width="2.375" style="2" customWidth="1"/>
    <col min="6143" max="6143" width="13.25" style="2" bestFit="1" customWidth="1"/>
    <col min="6144" max="6147" width="11.125" style="2" bestFit="1" customWidth="1"/>
    <col min="6148" max="6148" width="13.25" style="2" bestFit="1" customWidth="1"/>
    <col min="6149" max="6149" width="11.125" style="2" bestFit="1" customWidth="1"/>
    <col min="6150" max="6150" width="9" style="2"/>
    <col min="6151" max="6151" width="11.125" style="2" bestFit="1" customWidth="1"/>
    <col min="6152" max="6152" width="9" style="2"/>
    <col min="6153" max="6167" width="11.125" style="2" bestFit="1" customWidth="1"/>
    <col min="6168" max="6168" width="9" style="2"/>
    <col min="6169" max="6169" width="11.125" style="2" bestFit="1" customWidth="1"/>
    <col min="6170" max="6170" width="9.625" style="2" bestFit="1" customWidth="1"/>
    <col min="6171" max="6397" width="9" style="2"/>
    <col min="6398" max="6398" width="2.375" style="2" customWidth="1"/>
    <col min="6399" max="6399" width="13.25" style="2" bestFit="1" customWidth="1"/>
    <col min="6400" max="6403" width="11.125" style="2" bestFit="1" customWidth="1"/>
    <col min="6404" max="6404" width="13.25" style="2" bestFit="1" customWidth="1"/>
    <col min="6405" max="6405" width="11.125" style="2" bestFit="1" customWidth="1"/>
    <col min="6406" max="6406" width="9" style="2"/>
    <col min="6407" max="6407" width="11.125" style="2" bestFit="1" customWidth="1"/>
    <col min="6408" max="6408" width="9" style="2"/>
    <col min="6409" max="6423" width="11.125" style="2" bestFit="1" customWidth="1"/>
    <col min="6424" max="6424" width="9" style="2"/>
    <col min="6425" max="6425" width="11.125" style="2" bestFit="1" customWidth="1"/>
    <col min="6426" max="6426" width="9.625" style="2" bestFit="1" customWidth="1"/>
    <col min="6427" max="6653" width="9" style="2"/>
    <col min="6654" max="6654" width="2.375" style="2" customWidth="1"/>
    <col min="6655" max="6655" width="13.25" style="2" bestFit="1" customWidth="1"/>
    <col min="6656" max="6659" width="11.125" style="2" bestFit="1" customWidth="1"/>
    <col min="6660" max="6660" width="13.25" style="2" bestFit="1" customWidth="1"/>
    <col min="6661" max="6661" width="11.125" style="2" bestFit="1" customWidth="1"/>
    <col min="6662" max="6662" width="9" style="2"/>
    <col min="6663" max="6663" width="11.125" style="2" bestFit="1" customWidth="1"/>
    <col min="6664" max="6664" width="9" style="2"/>
    <col min="6665" max="6679" width="11.125" style="2" bestFit="1" customWidth="1"/>
    <col min="6680" max="6680" width="9" style="2"/>
    <col min="6681" max="6681" width="11.125" style="2" bestFit="1" customWidth="1"/>
    <col min="6682" max="6682" width="9.625" style="2" bestFit="1" customWidth="1"/>
    <col min="6683" max="6909" width="9" style="2"/>
    <col min="6910" max="6910" width="2.375" style="2" customWidth="1"/>
    <col min="6911" max="6911" width="13.25" style="2" bestFit="1" customWidth="1"/>
    <col min="6912" max="6915" width="11.125" style="2" bestFit="1" customWidth="1"/>
    <col min="6916" max="6916" width="13.25" style="2" bestFit="1" customWidth="1"/>
    <col min="6917" max="6917" width="11.125" style="2" bestFit="1" customWidth="1"/>
    <col min="6918" max="6918" width="9" style="2"/>
    <col min="6919" max="6919" width="11.125" style="2" bestFit="1" customWidth="1"/>
    <col min="6920" max="6920" width="9" style="2"/>
    <col min="6921" max="6935" width="11.125" style="2" bestFit="1" customWidth="1"/>
    <col min="6936" max="6936" width="9" style="2"/>
    <col min="6937" max="6937" width="11.125" style="2" bestFit="1" customWidth="1"/>
    <col min="6938" max="6938" width="9.625" style="2" bestFit="1" customWidth="1"/>
    <col min="6939" max="7165" width="9" style="2"/>
    <col min="7166" max="7166" width="2.375" style="2" customWidth="1"/>
    <col min="7167" max="7167" width="13.25" style="2" bestFit="1" customWidth="1"/>
    <col min="7168" max="7171" width="11.125" style="2" bestFit="1" customWidth="1"/>
    <col min="7172" max="7172" width="13.25" style="2" bestFit="1" customWidth="1"/>
    <col min="7173" max="7173" width="11.125" style="2" bestFit="1" customWidth="1"/>
    <col min="7174" max="7174" width="9" style="2"/>
    <col min="7175" max="7175" width="11.125" style="2" bestFit="1" customWidth="1"/>
    <col min="7176" max="7176" width="9" style="2"/>
    <col min="7177" max="7191" width="11.125" style="2" bestFit="1" customWidth="1"/>
    <col min="7192" max="7192" width="9" style="2"/>
    <col min="7193" max="7193" width="11.125" style="2" bestFit="1" customWidth="1"/>
    <col min="7194" max="7194" width="9.625" style="2" bestFit="1" customWidth="1"/>
    <col min="7195" max="7421" width="9" style="2"/>
    <col min="7422" max="7422" width="2.375" style="2" customWidth="1"/>
    <col min="7423" max="7423" width="13.25" style="2" bestFit="1" customWidth="1"/>
    <col min="7424" max="7427" width="11.125" style="2" bestFit="1" customWidth="1"/>
    <col min="7428" max="7428" width="13.25" style="2" bestFit="1" customWidth="1"/>
    <col min="7429" max="7429" width="11.125" style="2" bestFit="1" customWidth="1"/>
    <col min="7430" max="7430" width="9" style="2"/>
    <col min="7431" max="7431" width="11.125" style="2" bestFit="1" customWidth="1"/>
    <col min="7432" max="7432" width="9" style="2"/>
    <col min="7433" max="7447" width="11.125" style="2" bestFit="1" customWidth="1"/>
    <col min="7448" max="7448" width="9" style="2"/>
    <col min="7449" max="7449" width="11.125" style="2" bestFit="1" customWidth="1"/>
    <col min="7450" max="7450" width="9.625" style="2" bestFit="1" customWidth="1"/>
    <col min="7451" max="7677" width="9" style="2"/>
    <col min="7678" max="7678" width="2.375" style="2" customWidth="1"/>
    <col min="7679" max="7679" width="13.25" style="2" bestFit="1" customWidth="1"/>
    <col min="7680" max="7683" width="11.125" style="2" bestFit="1" customWidth="1"/>
    <col min="7684" max="7684" width="13.25" style="2" bestFit="1" customWidth="1"/>
    <col min="7685" max="7685" width="11.125" style="2" bestFit="1" customWidth="1"/>
    <col min="7686" max="7686" width="9" style="2"/>
    <col min="7687" max="7687" width="11.125" style="2" bestFit="1" customWidth="1"/>
    <col min="7688" max="7688" width="9" style="2"/>
    <col min="7689" max="7703" width="11.125" style="2" bestFit="1" customWidth="1"/>
    <col min="7704" max="7704" width="9" style="2"/>
    <col min="7705" max="7705" width="11.125" style="2" bestFit="1" customWidth="1"/>
    <col min="7706" max="7706" width="9.625" style="2" bestFit="1" customWidth="1"/>
    <col min="7707" max="7933" width="9" style="2"/>
    <col min="7934" max="7934" width="2.375" style="2" customWidth="1"/>
    <col min="7935" max="7935" width="13.25" style="2" bestFit="1" customWidth="1"/>
    <col min="7936" max="7939" width="11.125" style="2" bestFit="1" customWidth="1"/>
    <col min="7940" max="7940" width="13.25" style="2" bestFit="1" customWidth="1"/>
    <col min="7941" max="7941" width="11.125" style="2" bestFit="1" customWidth="1"/>
    <col min="7942" max="7942" width="9" style="2"/>
    <col min="7943" max="7943" width="11.125" style="2" bestFit="1" customWidth="1"/>
    <col min="7944" max="7944" width="9" style="2"/>
    <col min="7945" max="7959" width="11.125" style="2" bestFit="1" customWidth="1"/>
    <col min="7960" max="7960" width="9" style="2"/>
    <col min="7961" max="7961" width="11.125" style="2" bestFit="1" customWidth="1"/>
    <col min="7962" max="7962" width="9.625" style="2" bestFit="1" customWidth="1"/>
    <col min="7963" max="8189" width="9" style="2"/>
    <col min="8190" max="8190" width="2.375" style="2" customWidth="1"/>
    <col min="8191" max="8191" width="13.25" style="2" bestFit="1" customWidth="1"/>
    <col min="8192" max="8195" width="11.125" style="2" bestFit="1" customWidth="1"/>
    <col min="8196" max="8196" width="13.25" style="2" bestFit="1" customWidth="1"/>
    <col min="8197" max="8197" width="11.125" style="2" bestFit="1" customWidth="1"/>
    <col min="8198" max="8198" width="9" style="2"/>
    <col min="8199" max="8199" width="11.125" style="2" bestFit="1" customWidth="1"/>
    <col min="8200" max="8200" width="9" style="2"/>
    <col min="8201" max="8215" width="11.125" style="2" bestFit="1" customWidth="1"/>
    <col min="8216" max="8216" width="9" style="2"/>
    <col min="8217" max="8217" width="11.125" style="2" bestFit="1" customWidth="1"/>
    <col min="8218" max="8218" width="9.625" style="2" bestFit="1" customWidth="1"/>
    <col min="8219" max="8445" width="9" style="2"/>
    <col min="8446" max="8446" width="2.375" style="2" customWidth="1"/>
    <col min="8447" max="8447" width="13.25" style="2" bestFit="1" customWidth="1"/>
    <col min="8448" max="8451" width="11.125" style="2" bestFit="1" customWidth="1"/>
    <col min="8452" max="8452" width="13.25" style="2" bestFit="1" customWidth="1"/>
    <col min="8453" max="8453" width="11.125" style="2" bestFit="1" customWidth="1"/>
    <col min="8454" max="8454" width="9" style="2"/>
    <col min="8455" max="8455" width="11.125" style="2" bestFit="1" customWidth="1"/>
    <col min="8456" max="8456" width="9" style="2"/>
    <col min="8457" max="8471" width="11.125" style="2" bestFit="1" customWidth="1"/>
    <col min="8472" max="8472" width="9" style="2"/>
    <col min="8473" max="8473" width="11.125" style="2" bestFit="1" customWidth="1"/>
    <col min="8474" max="8474" width="9.625" style="2" bestFit="1" customWidth="1"/>
    <col min="8475" max="8701" width="9" style="2"/>
    <col min="8702" max="8702" width="2.375" style="2" customWidth="1"/>
    <col min="8703" max="8703" width="13.25" style="2" bestFit="1" customWidth="1"/>
    <col min="8704" max="8707" width="11.125" style="2" bestFit="1" customWidth="1"/>
    <col min="8708" max="8708" width="13.25" style="2" bestFit="1" customWidth="1"/>
    <col min="8709" max="8709" width="11.125" style="2" bestFit="1" customWidth="1"/>
    <col min="8710" max="8710" width="9" style="2"/>
    <col min="8711" max="8711" width="11.125" style="2" bestFit="1" customWidth="1"/>
    <col min="8712" max="8712" width="9" style="2"/>
    <col min="8713" max="8727" width="11.125" style="2" bestFit="1" customWidth="1"/>
    <col min="8728" max="8728" width="9" style="2"/>
    <col min="8729" max="8729" width="11.125" style="2" bestFit="1" customWidth="1"/>
    <col min="8730" max="8730" width="9.625" style="2" bestFit="1" customWidth="1"/>
    <col min="8731" max="8957" width="9" style="2"/>
    <col min="8958" max="8958" width="2.375" style="2" customWidth="1"/>
    <col min="8959" max="8959" width="13.25" style="2" bestFit="1" customWidth="1"/>
    <col min="8960" max="8963" width="11.125" style="2" bestFit="1" customWidth="1"/>
    <col min="8964" max="8964" width="13.25" style="2" bestFit="1" customWidth="1"/>
    <col min="8965" max="8965" width="11.125" style="2" bestFit="1" customWidth="1"/>
    <col min="8966" max="8966" width="9" style="2"/>
    <col min="8967" max="8967" width="11.125" style="2" bestFit="1" customWidth="1"/>
    <col min="8968" max="8968" width="9" style="2"/>
    <col min="8969" max="8983" width="11.125" style="2" bestFit="1" customWidth="1"/>
    <col min="8984" max="8984" width="9" style="2"/>
    <col min="8985" max="8985" width="11.125" style="2" bestFit="1" customWidth="1"/>
    <col min="8986" max="8986" width="9.625" style="2" bestFit="1" customWidth="1"/>
    <col min="8987" max="9213" width="9" style="2"/>
    <col min="9214" max="9214" width="2.375" style="2" customWidth="1"/>
    <col min="9215" max="9215" width="13.25" style="2" bestFit="1" customWidth="1"/>
    <col min="9216" max="9219" width="11.125" style="2" bestFit="1" customWidth="1"/>
    <col min="9220" max="9220" width="13.25" style="2" bestFit="1" customWidth="1"/>
    <col min="9221" max="9221" width="11.125" style="2" bestFit="1" customWidth="1"/>
    <col min="9222" max="9222" width="9" style="2"/>
    <col min="9223" max="9223" width="11.125" style="2" bestFit="1" customWidth="1"/>
    <col min="9224" max="9224" width="9" style="2"/>
    <col min="9225" max="9239" width="11.125" style="2" bestFit="1" customWidth="1"/>
    <col min="9240" max="9240" width="9" style="2"/>
    <col min="9241" max="9241" width="11.125" style="2" bestFit="1" customWidth="1"/>
    <col min="9242" max="9242" width="9.625" style="2" bestFit="1" customWidth="1"/>
    <col min="9243" max="9469" width="9" style="2"/>
    <col min="9470" max="9470" width="2.375" style="2" customWidth="1"/>
    <col min="9471" max="9471" width="13.25" style="2" bestFit="1" customWidth="1"/>
    <col min="9472" max="9475" width="11.125" style="2" bestFit="1" customWidth="1"/>
    <col min="9476" max="9476" width="13.25" style="2" bestFit="1" customWidth="1"/>
    <col min="9477" max="9477" width="11.125" style="2" bestFit="1" customWidth="1"/>
    <col min="9478" max="9478" width="9" style="2"/>
    <col min="9479" max="9479" width="11.125" style="2" bestFit="1" customWidth="1"/>
    <col min="9480" max="9480" width="9" style="2"/>
    <col min="9481" max="9495" width="11.125" style="2" bestFit="1" customWidth="1"/>
    <col min="9496" max="9496" width="9" style="2"/>
    <col min="9497" max="9497" width="11.125" style="2" bestFit="1" customWidth="1"/>
    <col min="9498" max="9498" width="9.625" style="2" bestFit="1" customWidth="1"/>
    <col min="9499" max="9725" width="9" style="2"/>
    <col min="9726" max="9726" width="2.375" style="2" customWidth="1"/>
    <col min="9727" max="9727" width="13.25" style="2" bestFit="1" customWidth="1"/>
    <col min="9728" max="9731" width="11.125" style="2" bestFit="1" customWidth="1"/>
    <col min="9732" max="9732" width="13.25" style="2" bestFit="1" customWidth="1"/>
    <col min="9733" max="9733" width="11.125" style="2" bestFit="1" customWidth="1"/>
    <col min="9734" max="9734" width="9" style="2"/>
    <col min="9735" max="9735" width="11.125" style="2" bestFit="1" customWidth="1"/>
    <col min="9736" max="9736" width="9" style="2"/>
    <col min="9737" max="9751" width="11.125" style="2" bestFit="1" customWidth="1"/>
    <col min="9752" max="9752" width="9" style="2"/>
    <col min="9753" max="9753" width="11.125" style="2" bestFit="1" customWidth="1"/>
    <col min="9754" max="9754" width="9.625" style="2" bestFit="1" customWidth="1"/>
    <col min="9755" max="9981" width="9" style="2"/>
    <col min="9982" max="9982" width="2.375" style="2" customWidth="1"/>
    <col min="9983" max="9983" width="13.25" style="2" bestFit="1" customWidth="1"/>
    <col min="9984" max="9987" width="11.125" style="2" bestFit="1" customWidth="1"/>
    <col min="9988" max="9988" width="13.25" style="2" bestFit="1" customWidth="1"/>
    <col min="9989" max="9989" width="11.125" style="2" bestFit="1" customWidth="1"/>
    <col min="9990" max="9990" width="9" style="2"/>
    <col min="9991" max="9991" width="11.125" style="2" bestFit="1" customWidth="1"/>
    <col min="9992" max="9992" width="9" style="2"/>
    <col min="9993" max="10007" width="11.125" style="2" bestFit="1" customWidth="1"/>
    <col min="10008" max="10008" width="9" style="2"/>
    <col min="10009" max="10009" width="11.125" style="2" bestFit="1" customWidth="1"/>
    <col min="10010" max="10010" width="9.625" style="2" bestFit="1" customWidth="1"/>
    <col min="10011" max="10237" width="9" style="2"/>
    <col min="10238" max="10238" width="2.375" style="2" customWidth="1"/>
    <col min="10239" max="10239" width="13.25" style="2" bestFit="1" customWidth="1"/>
    <col min="10240" max="10243" width="11.125" style="2" bestFit="1" customWidth="1"/>
    <col min="10244" max="10244" width="13.25" style="2" bestFit="1" customWidth="1"/>
    <col min="10245" max="10245" width="11.125" style="2" bestFit="1" customWidth="1"/>
    <col min="10246" max="10246" width="9" style="2"/>
    <col min="10247" max="10247" width="11.125" style="2" bestFit="1" customWidth="1"/>
    <col min="10248" max="10248" width="9" style="2"/>
    <col min="10249" max="10263" width="11.125" style="2" bestFit="1" customWidth="1"/>
    <col min="10264" max="10264" width="9" style="2"/>
    <col min="10265" max="10265" width="11.125" style="2" bestFit="1" customWidth="1"/>
    <col min="10266" max="10266" width="9.625" style="2" bestFit="1" customWidth="1"/>
    <col min="10267" max="10493" width="9" style="2"/>
    <col min="10494" max="10494" width="2.375" style="2" customWidth="1"/>
    <col min="10495" max="10495" width="13.25" style="2" bestFit="1" customWidth="1"/>
    <col min="10496" max="10499" width="11.125" style="2" bestFit="1" customWidth="1"/>
    <col min="10500" max="10500" width="13.25" style="2" bestFit="1" customWidth="1"/>
    <col min="10501" max="10501" width="11.125" style="2" bestFit="1" customWidth="1"/>
    <col min="10502" max="10502" width="9" style="2"/>
    <col min="10503" max="10503" width="11.125" style="2" bestFit="1" customWidth="1"/>
    <col min="10504" max="10504" width="9" style="2"/>
    <col min="10505" max="10519" width="11.125" style="2" bestFit="1" customWidth="1"/>
    <col min="10520" max="10520" width="9" style="2"/>
    <col min="10521" max="10521" width="11.125" style="2" bestFit="1" customWidth="1"/>
    <col min="10522" max="10522" width="9.625" style="2" bestFit="1" customWidth="1"/>
    <col min="10523" max="10749" width="9" style="2"/>
    <col min="10750" max="10750" width="2.375" style="2" customWidth="1"/>
    <col min="10751" max="10751" width="13.25" style="2" bestFit="1" customWidth="1"/>
    <col min="10752" max="10755" width="11.125" style="2" bestFit="1" customWidth="1"/>
    <col min="10756" max="10756" width="13.25" style="2" bestFit="1" customWidth="1"/>
    <col min="10757" max="10757" width="11.125" style="2" bestFit="1" customWidth="1"/>
    <col min="10758" max="10758" width="9" style="2"/>
    <col min="10759" max="10759" width="11.125" style="2" bestFit="1" customWidth="1"/>
    <col min="10760" max="10760" width="9" style="2"/>
    <col min="10761" max="10775" width="11.125" style="2" bestFit="1" customWidth="1"/>
    <col min="10776" max="10776" width="9" style="2"/>
    <col min="10777" max="10777" width="11.125" style="2" bestFit="1" customWidth="1"/>
    <col min="10778" max="10778" width="9.625" style="2" bestFit="1" customWidth="1"/>
    <col min="10779" max="11005" width="9" style="2"/>
    <col min="11006" max="11006" width="2.375" style="2" customWidth="1"/>
    <col min="11007" max="11007" width="13.25" style="2" bestFit="1" customWidth="1"/>
    <col min="11008" max="11011" width="11.125" style="2" bestFit="1" customWidth="1"/>
    <col min="11012" max="11012" width="13.25" style="2" bestFit="1" customWidth="1"/>
    <col min="11013" max="11013" width="11.125" style="2" bestFit="1" customWidth="1"/>
    <col min="11014" max="11014" width="9" style="2"/>
    <col min="11015" max="11015" width="11.125" style="2" bestFit="1" customWidth="1"/>
    <col min="11016" max="11016" width="9" style="2"/>
    <col min="11017" max="11031" width="11.125" style="2" bestFit="1" customWidth="1"/>
    <col min="11032" max="11032" width="9" style="2"/>
    <col min="11033" max="11033" width="11.125" style="2" bestFit="1" customWidth="1"/>
    <col min="11034" max="11034" width="9.625" style="2" bestFit="1" customWidth="1"/>
    <col min="11035" max="11261" width="9" style="2"/>
    <col min="11262" max="11262" width="2.375" style="2" customWidth="1"/>
    <col min="11263" max="11263" width="13.25" style="2" bestFit="1" customWidth="1"/>
    <col min="11264" max="11267" width="11.125" style="2" bestFit="1" customWidth="1"/>
    <col min="11268" max="11268" width="13.25" style="2" bestFit="1" customWidth="1"/>
    <col min="11269" max="11269" width="11.125" style="2" bestFit="1" customWidth="1"/>
    <col min="11270" max="11270" width="9" style="2"/>
    <col min="11271" max="11271" width="11.125" style="2" bestFit="1" customWidth="1"/>
    <col min="11272" max="11272" width="9" style="2"/>
    <col min="11273" max="11287" width="11.125" style="2" bestFit="1" customWidth="1"/>
    <col min="11288" max="11288" width="9" style="2"/>
    <col min="11289" max="11289" width="11.125" style="2" bestFit="1" customWidth="1"/>
    <col min="11290" max="11290" width="9.625" style="2" bestFit="1" customWidth="1"/>
    <col min="11291" max="11517" width="9" style="2"/>
    <col min="11518" max="11518" width="2.375" style="2" customWidth="1"/>
    <col min="11519" max="11519" width="13.25" style="2" bestFit="1" customWidth="1"/>
    <col min="11520" max="11523" width="11.125" style="2" bestFit="1" customWidth="1"/>
    <col min="11524" max="11524" width="13.25" style="2" bestFit="1" customWidth="1"/>
    <col min="11525" max="11525" width="11.125" style="2" bestFit="1" customWidth="1"/>
    <col min="11526" max="11526" width="9" style="2"/>
    <col min="11527" max="11527" width="11.125" style="2" bestFit="1" customWidth="1"/>
    <col min="11528" max="11528" width="9" style="2"/>
    <col min="11529" max="11543" width="11.125" style="2" bestFit="1" customWidth="1"/>
    <col min="11544" max="11544" width="9" style="2"/>
    <col min="11545" max="11545" width="11.125" style="2" bestFit="1" customWidth="1"/>
    <col min="11546" max="11546" width="9.625" style="2" bestFit="1" customWidth="1"/>
    <col min="11547" max="11773" width="9" style="2"/>
    <col min="11774" max="11774" width="2.375" style="2" customWidth="1"/>
    <col min="11775" max="11775" width="13.25" style="2" bestFit="1" customWidth="1"/>
    <col min="11776" max="11779" width="11.125" style="2" bestFit="1" customWidth="1"/>
    <col min="11780" max="11780" width="13.25" style="2" bestFit="1" customWidth="1"/>
    <col min="11781" max="11781" width="11.125" style="2" bestFit="1" customWidth="1"/>
    <col min="11782" max="11782" width="9" style="2"/>
    <col min="11783" max="11783" width="11.125" style="2" bestFit="1" customWidth="1"/>
    <col min="11784" max="11784" width="9" style="2"/>
    <col min="11785" max="11799" width="11.125" style="2" bestFit="1" customWidth="1"/>
    <col min="11800" max="11800" width="9" style="2"/>
    <col min="11801" max="11801" width="11.125" style="2" bestFit="1" customWidth="1"/>
    <col min="11802" max="11802" width="9.625" style="2" bestFit="1" customWidth="1"/>
    <col min="11803" max="12029" width="9" style="2"/>
    <col min="12030" max="12030" width="2.375" style="2" customWidth="1"/>
    <col min="12031" max="12031" width="13.25" style="2" bestFit="1" customWidth="1"/>
    <col min="12032" max="12035" width="11.125" style="2" bestFit="1" customWidth="1"/>
    <col min="12036" max="12036" width="13.25" style="2" bestFit="1" customWidth="1"/>
    <col min="12037" max="12037" width="11.125" style="2" bestFit="1" customWidth="1"/>
    <col min="12038" max="12038" width="9" style="2"/>
    <col min="12039" max="12039" width="11.125" style="2" bestFit="1" customWidth="1"/>
    <col min="12040" max="12040" width="9" style="2"/>
    <col min="12041" max="12055" width="11.125" style="2" bestFit="1" customWidth="1"/>
    <col min="12056" max="12056" width="9" style="2"/>
    <col min="12057" max="12057" width="11.125" style="2" bestFit="1" customWidth="1"/>
    <col min="12058" max="12058" width="9.625" style="2" bestFit="1" customWidth="1"/>
    <col min="12059" max="12285" width="9" style="2"/>
    <col min="12286" max="12286" width="2.375" style="2" customWidth="1"/>
    <col min="12287" max="12287" width="13.25" style="2" bestFit="1" customWidth="1"/>
    <col min="12288" max="12291" width="11.125" style="2" bestFit="1" customWidth="1"/>
    <col min="12292" max="12292" width="13.25" style="2" bestFit="1" customWidth="1"/>
    <col min="12293" max="12293" width="11.125" style="2" bestFit="1" customWidth="1"/>
    <col min="12294" max="12294" width="9" style="2"/>
    <col min="12295" max="12295" width="11.125" style="2" bestFit="1" customWidth="1"/>
    <col min="12296" max="12296" width="9" style="2"/>
    <col min="12297" max="12311" width="11.125" style="2" bestFit="1" customWidth="1"/>
    <col min="12312" max="12312" width="9" style="2"/>
    <col min="12313" max="12313" width="11.125" style="2" bestFit="1" customWidth="1"/>
    <col min="12314" max="12314" width="9.625" style="2" bestFit="1" customWidth="1"/>
    <col min="12315" max="12541" width="9" style="2"/>
    <col min="12542" max="12542" width="2.375" style="2" customWidth="1"/>
    <col min="12543" max="12543" width="13.25" style="2" bestFit="1" customWidth="1"/>
    <col min="12544" max="12547" width="11.125" style="2" bestFit="1" customWidth="1"/>
    <col min="12548" max="12548" width="13.25" style="2" bestFit="1" customWidth="1"/>
    <col min="12549" max="12549" width="11.125" style="2" bestFit="1" customWidth="1"/>
    <col min="12550" max="12550" width="9" style="2"/>
    <col min="12551" max="12551" width="11.125" style="2" bestFit="1" customWidth="1"/>
    <col min="12552" max="12552" width="9" style="2"/>
    <col min="12553" max="12567" width="11.125" style="2" bestFit="1" customWidth="1"/>
    <col min="12568" max="12568" width="9" style="2"/>
    <col min="12569" max="12569" width="11.125" style="2" bestFit="1" customWidth="1"/>
    <col min="12570" max="12570" width="9.625" style="2" bestFit="1" customWidth="1"/>
    <col min="12571" max="12797" width="9" style="2"/>
    <col min="12798" max="12798" width="2.375" style="2" customWidth="1"/>
    <col min="12799" max="12799" width="13.25" style="2" bestFit="1" customWidth="1"/>
    <col min="12800" max="12803" width="11.125" style="2" bestFit="1" customWidth="1"/>
    <col min="12804" max="12804" width="13.25" style="2" bestFit="1" customWidth="1"/>
    <col min="12805" max="12805" width="11.125" style="2" bestFit="1" customWidth="1"/>
    <col min="12806" max="12806" width="9" style="2"/>
    <col min="12807" max="12807" width="11.125" style="2" bestFit="1" customWidth="1"/>
    <col min="12808" max="12808" width="9" style="2"/>
    <col min="12809" max="12823" width="11.125" style="2" bestFit="1" customWidth="1"/>
    <col min="12824" max="12824" width="9" style="2"/>
    <col min="12825" max="12825" width="11.125" style="2" bestFit="1" customWidth="1"/>
    <col min="12826" max="12826" width="9.625" style="2" bestFit="1" customWidth="1"/>
    <col min="12827" max="13053" width="9" style="2"/>
    <col min="13054" max="13054" width="2.375" style="2" customWidth="1"/>
    <col min="13055" max="13055" width="13.25" style="2" bestFit="1" customWidth="1"/>
    <col min="13056" max="13059" width="11.125" style="2" bestFit="1" customWidth="1"/>
    <col min="13060" max="13060" width="13.25" style="2" bestFit="1" customWidth="1"/>
    <col min="13061" max="13061" width="11.125" style="2" bestFit="1" customWidth="1"/>
    <col min="13062" max="13062" width="9" style="2"/>
    <col min="13063" max="13063" width="11.125" style="2" bestFit="1" customWidth="1"/>
    <col min="13064" max="13064" width="9" style="2"/>
    <col min="13065" max="13079" width="11.125" style="2" bestFit="1" customWidth="1"/>
    <col min="13080" max="13080" width="9" style="2"/>
    <col min="13081" max="13081" width="11.125" style="2" bestFit="1" customWidth="1"/>
    <col min="13082" max="13082" width="9.625" style="2" bestFit="1" customWidth="1"/>
    <col min="13083" max="13309" width="9" style="2"/>
    <col min="13310" max="13310" width="2.375" style="2" customWidth="1"/>
    <col min="13311" max="13311" width="13.25" style="2" bestFit="1" customWidth="1"/>
    <col min="13312" max="13315" width="11.125" style="2" bestFit="1" customWidth="1"/>
    <col min="13316" max="13316" width="13.25" style="2" bestFit="1" customWidth="1"/>
    <col min="13317" max="13317" width="11.125" style="2" bestFit="1" customWidth="1"/>
    <col min="13318" max="13318" width="9" style="2"/>
    <col min="13319" max="13319" width="11.125" style="2" bestFit="1" customWidth="1"/>
    <col min="13320" max="13320" width="9" style="2"/>
    <col min="13321" max="13335" width="11.125" style="2" bestFit="1" customWidth="1"/>
    <col min="13336" max="13336" width="9" style="2"/>
    <col min="13337" max="13337" width="11.125" style="2" bestFit="1" customWidth="1"/>
    <col min="13338" max="13338" width="9.625" style="2" bestFit="1" customWidth="1"/>
    <col min="13339" max="13565" width="9" style="2"/>
    <col min="13566" max="13566" width="2.375" style="2" customWidth="1"/>
    <col min="13567" max="13567" width="13.25" style="2" bestFit="1" customWidth="1"/>
    <col min="13568" max="13571" width="11.125" style="2" bestFit="1" customWidth="1"/>
    <col min="13572" max="13572" width="13.25" style="2" bestFit="1" customWidth="1"/>
    <col min="13573" max="13573" width="11.125" style="2" bestFit="1" customWidth="1"/>
    <col min="13574" max="13574" width="9" style="2"/>
    <col min="13575" max="13575" width="11.125" style="2" bestFit="1" customWidth="1"/>
    <col min="13576" max="13576" width="9" style="2"/>
    <col min="13577" max="13591" width="11.125" style="2" bestFit="1" customWidth="1"/>
    <col min="13592" max="13592" width="9" style="2"/>
    <col min="13593" max="13593" width="11.125" style="2" bestFit="1" customWidth="1"/>
    <col min="13594" max="13594" width="9.625" style="2" bestFit="1" customWidth="1"/>
    <col min="13595" max="13821" width="9" style="2"/>
    <col min="13822" max="13822" width="2.375" style="2" customWidth="1"/>
    <col min="13823" max="13823" width="13.25" style="2" bestFit="1" customWidth="1"/>
    <col min="13824" max="13827" width="11.125" style="2" bestFit="1" customWidth="1"/>
    <col min="13828" max="13828" width="13.25" style="2" bestFit="1" customWidth="1"/>
    <col min="13829" max="13829" width="11.125" style="2" bestFit="1" customWidth="1"/>
    <col min="13830" max="13830" width="9" style="2"/>
    <col min="13831" max="13831" width="11.125" style="2" bestFit="1" customWidth="1"/>
    <col min="13832" max="13832" width="9" style="2"/>
    <col min="13833" max="13847" width="11.125" style="2" bestFit="1" customWidth="1"/>
    <col min="13848" max="13848" width="9" style="2"/>
    <col min="13849" max="13849" width="11.125" style="2" bestFit="1" customWidth="1"/>
    <col min="13850" max="13850" width="9.625" style="2" bestFit="1" customWidth="1"/>
    <col min="13851" max="14077" width="9" style="2"/>
    <col min="14078" max="14078" width="2.375" style="2" customWidth="1"/>
    <col min="14079" max="14079" width="13.25" style="2" bestFit="1" customWidth="1"/>
    <col min="14080" max="14083" width="11.125" style="2" bestFit="1" customWidth="1"/>
    <col min="14084" max="14084" width="13.25" style="2" bestFit="1" customWidth="1"/>
    <col min="14085" max="14085" width="11.125" style="2" bestFit="1" customWidth="1"/>
    <col min="14086" max="14086" width="9" style="2"/>
    <col min="14087" max="14087" width="11.125" style="2" bestFit="1" customWidth="1"/>
    <col min="14088" max="14088" width="9" style="2"/>
    <col min="14089" max="14103" width="11.125" style="2" bestFit="1" customWidth="1"/>
    <col min="14104" max="14104" width="9" style="2"/>
    <col min="14105" max="14105" width="11.125" style="2" bestFit="1" customWidth="1"/>
    <col min="14106" max="14106" width="9.625" style="2" bestFit="1" customWidth="1"/>
    <col min="14107" max="14333" width="9" style="2"/>
    <col min="14334" max="14334" width="2.375" style="2" customWidth="1"/>
    <col min="14335" max="14335" width="13.25" style="2" bestFit="1" customWidth="1"/>
    <col min="14336" max="14339" width="11.125" style="2" bestFit="1" customWidth="1"/>
    <col min="14340" max="14340" width="13.25" style="2" bestFit="1" customWidth="1"/>
    <col min="14341" max="14341" width="11.125" style="2" bestFit="1" customWidth="1"/>
    <col min="14342" max="14342" width="9" style="2"/>
    <col min="14343" max="14343" width="11.125" style="2" bestFit="1" customWidth="1"/>
    <col min="14344" max="14344" width="9" style="2"/>
    <col min="14345" max="14359" width="11.125" style="2" bestFit="1" customWidth="1"/>
    <col min="14360" max="14360" width="9" style="2"/>
    <col min="14361" max="14361" width="11.125" style="2" bestFit="1" customWidth="1"/>
    <col min="14362" max="14362" width="9.625" style="2" bestFit="1" customWidth="1"/>
    <col min="14363" max="14589" width="9" style="2"/>
    <col min="14590" max="14590" width="2.375" style="2" customWidth="1"/>
    <col min="14591" max="14591" width="13.25" style="2" bestFit="1" customWidth="1"/>
    <col min="14592" max="14595" width="11.125" style="2" bestFit="1" customWidth="1"/>
    <col min="14596" max="14596" width="13.25" style="2" bestFit="1" customWidth="1"/>
    <col min="14597" max="14597" width="11.125" style="2" bestFit="1" customWidth="1"/>
    <col min="14598" max="14598" width="9" style="2"/>
    <col min="14599" max="14599" width="11.125" style="2" bestFit="1" customWidth="1"/>
    <col min="14600" max="14600" width="9" style="2"/>
    <col min="14601" max="14615" width="11.125" style="2" bestFit="1" customWidth="1"/>
    <col min="14616" max="14616" width="9" style="2"/>
    <col min="14617" max="14617" width="11.125" style="2" bestFit="1" customWidth="1"/>
    <col min="14618" max="14618" width="9.625" style="2" bestFit="1" customWidth="1"/>
    <col min="14619" max="14845" width="9" style="2"/>
    <col min="14846" max="14846" width="2.375" style="2" customWidth="1"/>
    <col min="14847" max="14847" width="13.25" style="2" bestFit="1" customWidth="1"/>
    <col min="14848" max="14851" width="11.125" style="2" bestFit="1" customWidth="1"/>
    <col min="14852" max="14852" width="13.25" style="2" bestFit="1" customWidth="1"/>
    <col min="14853" max="14853" width="11.125" style="2" bestFit="1" customWidth="1"/>
    <col min="14854" max="14854" width="9" style="2"/>
    <col min="14855" max="14855" width="11.125" style="2" bestFit="1" customWidth="1"/>
    <col min="14856" max="14856" width="9" style="2"/>
    <col min="14857" max="14871" width="11.125" style="2" bestFit="1" customWidth="1"/>
    <col min="14872" max="14872" width="9" style="2"/>
    <col min="14873" max="14873" width="11.125" style="2" bestFit="1" customWidth="1"/>
    <col min="14874" max="14874" width="9.625" style="2" bestFit="1" customWidth="1"/>
    <col min="14875" max="15101" width="9" style="2"/>
    <col min="15102" max="15102" width="2.375" style="2" customWidth="1"/>
    <col min="15103" max="15103" width="13.25" style="2" bestFit="1" customWidth="1"/>
    <col min="15104" max="15107" width="11.125" style="2" bestFit="1" customWidth="1"/>
    <col min="15108" max="15108" width="13.25" style="2" bestFit="1" customWidth="1"/>
    <col min="15109" max="15109" width="11.125" style="2" bestFit="1" customWidth="1"/>
    <col min="15110" max="15110" width="9" style="2"/>
    <col min="15111" max="15111" width="11.125" style="2" bestFit="1" customWidth="1"/>
    <col min="15112" max="15112" width="9" style="2"/>
    <col min="15113" max="15127" width="11.125" style="2" bestFit="1" customWidth="1"/>
    <col min="15128" max="15128" width="9" style="2"/>
    <col min="15129" max="15129" width="11.125" style="2" bestFit="1" customWidth="1"/>
    <col min="15130" max="15130" width="9.625" style="2" bestFit="1" customWidth="1"/>
    <col min="15131" max="15357" width="9" style="2"/>
    <col min="15358" max="15358" width="2.375" style="2" customWidth="1"/>
    <col min="15359" max="15359" width="13.25" style="2" bestFit="1" customWidth="1"/>
    <col min="15360" max="15363" width="11.125" style="2" bestFit="1" customWidth="1"/>
    <col min="15364" max="15364" width="13.25" style="2" bestFit="1" customWidth="1"/>
    <col min="15365" max="15365" width="11.125" style="2" bestFit="1" customWidth="1"/>
    <col min="15366" max="15366" width="9" style="2"/>
    <col min="15367" max="15367" width="11.125" style="2" bestFit="1" customWidth="1"/>
    <col min="15368" max="15368" width="9" style="2"/>
    <col min="15369" max="15383" width="11.125" style="2" bestFit="1" customWidth="1"/>
    <col min="15384" max="15384" width="9" style="2"/>
    <col min="15385" max="15385" width="11.125" style="2" bestFit="1" customWidth="1"/>
    <col min="15386" max="15386" width="9.625" style="2" bestFit="1" customWidth="1"/>
    <col min="15387" max="15613" width="9" style="2"/>
    <col min="15614" max="15614" width="2.375" style="2" customWidth="1"/>
    <col min="15615" max="15615" width="13.25" style="2" bestFit="1" customWidth="1"/>
    <col min="15616" max="15619" width="11.125" style="2" bestFit="1" customWidth="1"/>
    <col min="15620" max="15620" width="13.25" style="2" bestFit="1" customWidth="1"/>
    <col min="15621" max="15621" width="11.125" style="2" bestFit="1" customWidth="1"/>
    <col min="15622" max="15622" width="9" style="2"/>
    <col min="15623" max="15623" width="11.125" style="2" bestFit="1" customWidth="1"/>
    <col min="15624" max="15624" width="9" style="2"/>
    <col min="15625" max="15639" width="11.125" style="2" bestFit="1" customWidth="1"/>
    <col min="15640" max="15640" width="9" style="2"/>
    <col min="15641" max="15641" width="11.125" style="2" bestFit="1" customWidth="1"/>
    <col min="15642" max="15642" width="9.625" style="2" bestFit="1" customWidth="1"/>
    <col min="15643" max="15869" width="9" style="2"/>
    <col min="15870" max="15870" width="2.375" style="2" customWidth="1"/>
    <col min="15871" max="15871" width="13.25" style="2" bestFit="1" customWidth="1"/>
    <col min="15872" max="15875" width="11.125" style="2" bestFit="1" customWidth="1"/>
    <col min="15876" max="15876" width="13.25" style="2" bestFit="1" customWidth="1"/>
    <col min="15877" max="15877" width="11.125" style="2" bestFit="1" customWidth="1"/>
    <col min="15878" max="15878" width="9" style="2"/>
    <col min="15879" max="15879" width="11.125" style="2" bestFit="1" customWidth="1"/>
    <col min="15880" max="15880" width="9" style="2"/>
    <col min="15881" max="15895" width="11.125" style="2" bestFit="1" customWidth="1"/>
    <col min="15896" max="15896" width="9" style="2"/>
    <col min="15897" max="15897" width="11.125" style="2" bestFit="1" customWidth="1"/>
    <col min="15898" max="15898" width="9.625" style="2" bestFit="1" customWidth="1"/>
    <col min="15899" max="16125" width="9" style="2"/>
    <col min="16126" max="16126" width="2.375" style="2" customWidth="1"/>
    <col min="16127" max="16127" width="13.25" style="2" bestFit="1" customWidth="1"/>
    <col min="16128" max="16131" width="11.125" style="2" bestFit="1" customWidth="1"/>
    <col min="16132" max="16132" width="13.25" style="2" bestFit="1" customWidth="1"/>
    <col min="16133" max="16133" width="11.125" style="2" bestFit="1" customWidth="1"/>
    <col min="16134" max="16134" width="9" style="2"/>
    <col min="16135" max="16135" width="11.125" style="2" bestFit="1" customWidth="1"/>
    <col min="16136" max="16136" width="9" style="2"/>
    <col min="16137" max="16151" width="11.125" style="2" bestFit="1" customWidth="1"/>
    <col min="16152" max="16152" width="9" style="2"/>
    <col min="16153" max="16153" width="11.125" style="2" bestFit="1" customWidth="1"/>
    <col min="16154" max="16154" width="9.625" style="2" bestFit="1" customWidth="1"/>
    <col min="16155" max="16384" width="9" style="2"/>
  </cols>
  <sheetData>
    <row r="1" spans="1:27">
      <c r="A1" s="1" t="s">
        <v>0</v>
      </c>
    </row>
    <row r="2" spans="1:27" ht="19.5" thickBot="1">
      <c r="A2" s="1" t="s">
        <v>2</v>
      </c>
    </row>
    <row r="3" spans="1:27">
      <c r="B3" s="13"/>
      <c r="C3" s="26" t="s">
        <v>3</v>
      </c>
      <c r="D3" s="27" t="s">
        <v>4</v>
      </c>
      <c r="E3" s="27" t="s">
        <v>7</v>
      </c>
      <c r="F3" s="27" t="s">
        <v>8</v>
      </c>
      <c r="G3" s="27" t="s">
        <v>9</v>
      </c>
      <c r="H3" s="27" t="s">
        <v>10</v>
      </c>
      <c r="I3" s="27" t="s">
        <v>11</v>
      </c>
      <c r="J3" s="27" t="s">
        <v>12</v>
      </c>
      <c r="K3" s="27" t="s">
        <v>13</v>
      </c>
      <c r="L3" s="27" t="s">
        <v>14</v>
      </c>
      <c r="M3" s="27" t="s">
        <v>15</v>
      </c>
      <c r="N3" s="27" t="s">
        <v>16</v>
      </c>
      <c r="O3" s="27" t="s">
        <v>18</v>
      </c>
      <c r="P3" s="27" t="s">
        <v>19</v>
      </c>
      <c r="Q3" s="27" t="s">
        <v>20</v>
      </c>
      <c r="R3" s="27" t="s">
        <v>21</v>
      </c>
      <c r="S3" s="27" t="s">
        <v>22</v>
      </c>
      <c r="T3" s="4" t="s">
        <v>23</v>
      </c>
      <c r="U3" s="50" t="s">
        <v>65</v>
      </c>
      <c r="V3" s="42" t="s">
        <v>17</v>
      </c>
      <c r="W3" s="52" t="s">
        <v>5</v>
      </c>
      <c r="X3" s="50" t="s">
        <v>65</v>
      </c>
      <c r="Y3" s="4" t="s">
        <v>6</v>
      </c>
      <c r="Z3" s="50" t="s">
        <v>65</v>
      </c>
      <c r="AA3" s="5" t="s">
        <v>46</v>
      </c>
    </row>
    <row r="4" spans="1:27" ht="19.5" thickBot="1">
      <c r="B4" s="6" t="s">
        <v>24</v>
      </c>
      <c r="C4" s="28" t="s">
        <v>25</v>
      </c>
      <c r="D4" s="29" t="s">
        <v>26</v>
      </c>
      <c r="E4" s="29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29" t="s">
        <v>36</v>
      </c>
      <c r="M4" s="29" t="s">
        <v>37</v>
      </c>
      <c r="N4" s="29" t="s">
        <v>38</v>
      </c>
      <c r="O4" s="29" t="s">
        <v>40</v>
      </c>
      <c r="P4" s="29" t="s">
        <v>41</v>
      </c>
      <c r="Q4" s="29" t="s">
        <v>42</v>
      </c>
      <c r="R4" s="29" t="s">
        <v>43</v>
      </c>
      <c r="S4" s="29" t="s">
        <v>44</v>
      </c>
      <c r="T4" s="3" t="s">
        <v>45</v>
      </c>
      <c r="U4" s="51" t="s">
        <v>66</v>
      </c>
      <c r="V4" s="43" t="s">
        <v>39</v>
      </c>
      <c r="W4" s="53" t="s">
        <v>27</v>
      </c>
      <c r="X4" s="60" t="s">
        <v>67</v>
      </c>
      <c r="Y4" s="3" t="s">
        <v>28</v>
      </c>
      <c r="Z4" s="60" t="s">
        <v>68</v>
      </c>
      <c r="AA4" s="6" t="s">
        <v>69</v>
      </c>
    </row>
    <row r="5" spans="1:27">
      <c r="A5" s="1" t="s">
        <v>1</v>
      </c>
      <c r="B5" s="23" t="s">
        <v>47</v>
      </c>
      <c r="C5" s="30">
        <v>59000</v>
      </c>
      <c r="D5" s="31">
        <v>71000</v>
      </c>
      <c r="E5" s="31">
        <v>83000</v>
      </c>
      <c r="F5" s="31">
        <v>83000</v>
      </c>
      <c r="G5" s="31">
        <v>71000</v>
      </c>
      <c r="H5" s="31">
        <v>83000</v>
      </c>
      <c r="I5" s="31">
        <v>59000</v>
      </c>
      <c r="J5" s="31">
        <v>71000</v>
      </c>
      <c r="K5" s="31">
        <v>53000</v>
      </c>
      <c r="L5" s="31">
        <v>83000</v>
      </c>
      <c r="M5" s="31">
        <v>71000</v>
      </c>
      <c r="N5" s="31">
        <v>71000</v>
      </c>
      <c r="O5" s="31">
        <v>83000</v>
      </c>
      <c r="P5" s="31">
        <v>59000</v>
      </c>
      <c r="Q5" s="31">
        <v>53000</v>
      </c>
      <c r="R5" s="31">
        <v>53000</v>
      </c>
      <c r="S5" s="31">
        <v>53000</v>
      </c>
      <c r="T5" s="24">
        <v>59000</v>
      </c>
      <c r="U5" s="25">
        <f>SUM(C5:T5)</f>
        <v>1218000</v>
      </c>
      <c r="V5" s="44">
        <v>365000</v>
      </c>
      <c r="W5" s="54">
        <v>103000</v>
      </c>
      <c r="X5" s="25">
        <f>SUM(V5:W5)</f>
        <v>468000</v>
      </c>
      <c r="Y5" s="24">
        <v>385000</v>
      </c>
      <c r="Z5" s="25">
        <f>SUM(Y5)</f>
        <v>385000</v>
      </c>
      <c r="AA5" s="25">
        <f>SUM(Z5,X5,U5)</f>
        <v>2071000</v>
      </c>
    </row>
    <row r="6" spans="1:27">
      <c r="A6" s="1" t="s">
        <v>1</v>
      </c>
      <c r="B6" s="20" t="s">
        <v>48</v>
      </c>
      <c r="C6" s="32">
        <v>0</v>
      </c>
      <c r="D6" s="33">
        <v>0</v>
      </c>
      <c r="E6" s="33">
        <v>30000</v>
      </c>
      <c r="F6" s="33">
        <v>30000</v>
      </c>
      <c r="G6" s="33">
        <v>15000</v>
      </c>
      <c r="H6" s="33">
        <v>15000</v>
      </c>
      <c r="I6" s="33">
        <v>0</v>
      </c>
      <c r="J6" s="33">
        <v>15000</v>
      </c>
      <c r="K6" s="33">
        <v>0</v>
      </c>
      <c r="L6" s="33">
        <v>0</v>
      </c>
      <c r="M6" s="33">
        <v>0</v>
      </c>
      <c r="N6" s="33">
        <v>0</v>
      </c>
      <c r="O6" s="33">
        <v>15000</v>
      </c>
      <c r="P6" s="33">
        <v>0</v>
      </c>
      <c r="Q6" s="33">
        <v>0</v>
      </c>
      <c r="R6" s="33">
        <v>0</v>
      </c>
      <c r="S6" s="33">
        <v>0</v>
      </c>
      <c r="T6" s="21">
        <v>0</v>
      </c>
      <c r="U6" s="22">
        <f t="shared" ref="U6:U21" si="0">SUM(C6:T6)</f>
        <v>120000</v>
      </c>
      <c r="V6" s="45">
        <v>0</v>
      </c>
      <c r="W6" s="55">
        <v>0</v>
      </c>
      <c r="X6" s="22">
        <f t="shared" ref="X6:X21" si="1">SUM(V6:W6)</f>
        <v>0</v>
      </c>
      <c r="Y6" s="21">
        <v>0</v>
      </c>
      <c r="Z6" s="22">
        <f t="shared" ref="Z6:Z21" si="2">SUM(Y6)</f>
        <v>0</v>
      </c>
      <c r="AA6" s="22">
        <f t="shared" ref="AA6:AA21" si="3">SUM(Z6,X6,U6)</f>
        <v>120000</v>
      </c>
    </row>
    <row r="7" spans="1:27">
      <c r="A7" s="1" t="s">
        <v>1</v>
      </c>
      <c r="B7" s="20" t="s">
        <v>49</v>
      </c>
      <c r="C7" s="32">
        <v>0</v>
      </c>
      <c r="D7" s="33">
        <v>0</v>
      </c>
      <c r="E7" s="33">
        <v>500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21">
        <v>0</v>
      </c>
      <c r="U7" s="22">
        <f t="shared" si="0"/>
        <v>500</v>
      </c>
      <c r="V7" s="45">
        <v>0</v>
      </c>
      <c r="W7" s="55">
        <v>13000</v>
      </c>
      <c r="X7" s="22">
        <f t="shared" si="1"/>
        <v>13000</v>
      </c>
      <c r="Y7" s="21">
        <v>0</v>
      </c>
      <c r="Z7" s="22">
        <f t="shared" si="2"/>
        <v>0</v>
      </c>
      <c r="AA7" s="22">
        <f t="shared" si="3"/>
        <v>13500</v>
      </c>
    </row>
    <row r="8" spans="1:27">
      <c r="A8" s="1" t="s">
        <v>1</v>
      </c>
      <c r="B8" s="7" t="s">
        <v>50</v>
      </c>
      <c r="C8" s="34">
        <v>15000</v>
      </c>
      <c r="D8" s="35">
        <v>15000</v>
      </c>
      <c r="E8" s="35">
        <v>15000</v>
      </c>
      <c r="F8" s="35">
        <v>15000</v>
      </c>
      <c r="G8" s="35">
        <v>15000</v>
      </c>
      <c r="H8" s="35">
        <v>15000</v>
      </c>
      <c r="I8" s="35">
        <v>15000</v>
      </c>
      <c r="J8" s="35">
        <v>15000</v>
      </c>
      <c r="K8" s="35">
        <v>15000</v>
      </c>
      <c r="L8" s="35">
        <v>15000</v>
      </c>
      <c r="M8" s="35">
        <v>15000</v>
      </c>
      <c r="N8" s="35">
        <v>15000</v>
      </c>
      <c r="O8" s="35">
        <v>15000</v>
      </c>
      <c r="P8" s="35">
        <v>15000</v>
      </c>
      <c r="Q8" s="35">
        <v>15000</v>
      </c>
      <c r="R8" s="35">
        <v>15000</v>
      </c>
      <c r="S8" s="35">
        <v>15000</v>
      </c>
      <c r="T8" s="8">
        <v>15000</v>
      </c>
      <c r="U8" s="9">
        <f t="shared" si="0"/>
        <v>270000</v>
      </c>
      <c r="V8" s="46">
        <v>15000</v>
      </c>
      <c r="W8" s="56">
        <v>15000</v>
      </c>
      <c r="X8" s="9">
        <f t="shared" si="1"/>
        <v>30000</v>
      </c>
      <c r="Y8" s="8">
        <v>15000</v>
      </c>
      <c r="Z8" s="9">
        <f t="shared" si="2"/>
        <v>15000</v>
      </c>
      <c r="AA8" s="9">
        <f t="shared" si="3"/>
        <v>315000</v>
      </c>
    </row>
    <row r="9" spans="1:27">
      <c r="A9" s="1" t="s">
        <v>1</v>
      </c>
      <c r="B9" s="14" t="s">
        <v>51</v>
      </c>
      <c r="C9" s="36">
        <v>74000</v>
      </c>
      <c r="D9" s="37">
        <v>86000</v>
      </c>
      <c r="E9" s="37">
        <v>128500</v>
      </c>
      <c r="F9" s="37">
        <v>128000</v>
      </c>
      <c r="G9" s="37">
        <v>101000</v>
      </c>
      <c r="H9" s="37">
        <v>113000</v>
      </c>
      <c r="I9" s="37">
        <v>74000</v>
      </c>
      <c r="J9" s="37">
        <v>101000</v>
      </c>
      <c r="K9" s="37">
        <v>68000</v>
      </c>
      <c r="L9" s="37">
        <v>98000</v>
      </c>
      <c r="M9" s="37">
        <v>86000</v>
      </c>
      <c r="N9" s="37">
        <v>86000</v>
      </c>
      <c r="O9" s="37">
        <v>113000</v>
      </c>
      <c r="P9" s="37">
        <v>74000</v>
      </c>
      <c r="Q9" s="37">
        <v>68000</v>
      </c>
      <c r="R9" s="37">
        <v>68000</v>
      </c>
      <c r="S9" s="37">
        <v>68000</v>
      </c>
      <c r="T9" s="15">
        <v>74000</v>
      </c>
      <c r="U9" s="16">
        <f t="shared" si="0"/>
        <v>1608500</v>
      </c>
      <c r="V9" s="47">
        <v>380000</v>
      </c>
      <c r="W9" s="57">
        <v>131000</v>
      </c>
      <c r="X9" s="16">
        <f t="shared" si="1"/>
        <v>511000</v>
      </c>
      <c r="Y9" s="15">
        <v>400000</v>
      </c>
      <c r="Z9" s="16">
        <f t="shared" si="2"/>
        <v>400000</v>
      </c>
      <c r="AA9" s="16">
        <f t="shared" si="3"/>
        <v>2519500</v>
      </c>
    </row>
    <row r="10" spans="1:27">
      <c r="A10" s="1" t="s">
        <v>1</v>
      </c>
      <c r="B10" s="14" t="s">
        <v>52</v>
      </c>
      <c r="C10" s="36">
        <v>74000</v>
      </c>
      <c r="D10" s="37">
        <v>86000</v>
      </c>
      <c r="E10" s="37">
        <v>128500</v>
      </c>
      <c r="F10" s="37">
        <v>128000</v>
      </c>
      <c r="G10" s="37">
        <v>101000</v>
      </c>
      <c r="H10" s="37">
        <v>113000</v>
      </c>
      <c r="I10" s="37">
        <v>74000</v>
      </c>
      <c r="J10" s="37">
        <v>101000</v>
      </c>
      <c r="K10" s="37">
        <v>68000</v>
      </c>
      <c r="L10" s="37">
        <v>98000</v>
      </c>
      <c r="M10" s="37">
        <v>86000</v>
      </c>
      <c r="N10" s="37">
        <v>86000</v>
      </c>
      <c r="O10" s="37">
        <v>113000</v>
      </c>
      <c r="P10" s="37">
        <v>74000</v>
      </c>
      <c r="Q10" s="37">
        <v>68000</v>
      </c>
      <c r="R10" s="37">
        <v>68000</v>
      </c>
      <c r="S10" s="37">
        <v>68000</v>
      </c>
      <c r="T10" s="15">
        <v>74000</v>
      </c>
      <c r="U10" s="16">
        <f t="shared" si="0"/>
        <v>1608500</v>
      </c>
      <c r="V10" s="47">
        <v>380000</v>
      </c>
      <c r="W10" s="57">
        <v>131000</v>
      </c>
      <c r="X10" s="16">
        <f t="shared" si="1"/>
        <v>511000</v>
      </c>
      <c r="Y10" s="15">
        <v>400000</v>
      </c>
      <c r="Z10" s="16">
        <f t="shared" si="2"/>
        <v>400000</v>
      </c>
      <c r="AA10" s="16">
        <f t="shared" si="3"/>
        <v>2519500</v>
      </c>
    </row>
    <row r="11" spans="1:27">
      <c r="A11" s="1" t="s">
        <v>1</v>
      </c>
      <c r="B11" s="17" t="s">
        <v>53</v>
      </c>
      <c r="C11" s="38">
        <v>3774</v>
      </c>
      <c r="D11" s="39">
        <v>4386</v>
      </c>
      <c r="E11" s="39">
        <v>6528</v>
      </c>
      <c r="F11" s="39">
        <v>6528</v>
      </c>
      <c r="G11" s="39">
        <v>5151</v>
      </c>
      <c r="H11" s="39">
        <v>5763</v>
      </c>
      <c r="I11" s="39">
        <v>3774</v>
      </c>
      <c r="J11" s="39">
        <v>5151</v>
      </c>
      <c r="K11" s="39">
        <v>3468</v>
      </c>
      <c r="L11" s="39">
        <v>4998</v>
      </c>
      <c r="M11" s="39">
        <v>4386</v>
      </c>
      <c r="N11" s="39">
        <v>4386</v>
      </c>
      <c r="O11" s="39">
        <v>5763</v>
      </c>
      <c r="P11" s="39">
        <v>3774</v>
      </c>
      <c r="Q11" s="39">
        <v>3468</v>
      </c>
      <c r="R11" s="39">
        <v>3468</v>
      </c>
      <c r="S11" s="39">
        <v>3468</v>
      </c>
      <c r="T11" s="18">
        <v>3774</v>
      </c>
      <c r="U11" s="19">
        <f t="shared" si="0"/>
        <v>82008</v>
      </c>
      <c r="V11" s="48">
        <v>19380</v>
      </c>
      <c r="W11" s="58">
        <v>6681</v>
      </c>
      <c r="X11" s="19">
        <f t="shared" si="1"/>
        <v>26061</v>
      </c>
      <c r="Y11" s="18">
        <v>20400</v>
      </c>
      <c r="Z11" s="19">
        <f t="shared" si="2"/>
        <v>20400</v>
      </c>
      <c r="AA11" s="19">
        <f t="shared" si="3"/>
        <v>128469</v>
      </c>
    </row>
    <row r="12" spans="1:27">
      <c r="A12" s="1" t="s">
        <v>1</v>
      </c>
      <c r="B12" s="20" t="s">
        <v>54</v>
      </c>
      <c r="C12" s="32">
        <v>666</v>
      </c>
      <c r="D12" s="33">
        <v>774</v>
      </c>
      <c r="E12" s="33">
        <v>1152</v>
      </c>
      <c r="F12" s="33">
        <v>1152</v>
      </c>
      <c r="G12" s="33">
        <v>0</v>
      </c>
      <c r="H12" s="33">
        <v>1017</v>
      </c>
      <c r="I12" s="33">
        <v>666</v>
      </c>
      <c r="J12" s="33">
        <v>909</v>
      </c>
      <c r="K12" s="33">
        <v>612</v>
      </c>
      <c r="L12" s="33">
        <v>882</v>
      </c>
      <c r="M12" s="33">
        <v>774</v>
      </c>
      <c r="N12" s="33">
        <v>774</v>
      </c>
      <c r="O12" s="33">
        <v>1017</v>
      </c>
      <c r="P12" s="33">
        <v>666</v>
      </c>
      <c r="Q12" s="33">
        <v>612</v>
      </c>
      <c r="R12" s="33">
        <v>612</v>
      </c>
      <c r="S12" s="33">
        <v>612</v>
      </c>
      <c r="T12" s="21">
        <v>666</v>
      </c>
      <c r="U12" s="22">
        <f t="shared" si="0"/>
        <v>13563</v>
      </c>
      <c r="V12" s="45">
        <v>3420</v>
      </c>
      <c r="W12" s="55">
        <v>1179</v>
      </c>
      <c r="X12" s="22">
        <f t="shared" si="1"/>
        <v>4599</v>
      </c>
      <c r="Y12" s="21">
        <v>3600</v>
      </c>
      <c r="Z12" s="22">
        <f t="shared" si="2"/>
        <v>3600</v>
      </c>
      <c r="AA12" s="22">
        <f t="shared" si="3"/>
        <v>21762</v>
      </c>
    </row>
    <row r="13" spans="1:27">
      <c r="A13" s="1" t="s">
        <v>1</v>
      </c>
      <c r="B13" s="20" t="s">
        <v>55</v>
      </c>
      <c r="C13" s="32">
        <v>6771</v>
      </c>
      <c r="D13" s="33">
        <v>7869</v>
      </c>
      <c r="E13" s="33">
        <v>11712</v>
      </c>
      <c r="F13" s="33">
        <v>11712</v>
      </c>
      <c r="G13" s="33">
        <v>9241</v>
      </c>
      <c r="H13" s="33">
        <v>10339</v>
      </c>
      <c r="I13" s="33">
        <v>6771</v>
      </c>
      <c r="J13" s="33">
        <v>9241</v>
      </c>
      <c r="K13" s="33">
        <v>6222</v>
      </c>
      <c r="L13" s="33">
        <v>8967</v>
      </c>
      <c r="M13" s="33">
        <v>7869</v>
      </c>
      <c r="N13" s="33">
        <v>7869</v>
      </c>
      <c r="O13" s="33">
        <v>10339</v>
      </c>
      <c r="P13" s="33">
        <v>6771</v>
      </c>
      <c r="Q13" s="33">
        <v>6222</v>
      </c>
      <c r="R13" s="33">
        <v>6222</v>
      </c>
      <c r="S13" s="33">
        <v>6222</v>
      </c>
      <c r="T13" s="21">
        <v>6771</v>
      </c>
      <c r="U13" s="22">
        <f t="shared" si="0"/>
        <v>147130</v>
      </c>
      <c r="V13" s="45">
        <v>34770</v>
      </c>
      <c r="W13" s="55">
        <v>11986</v>
      </c>
      <c r="X13" s="22">
        <f t="shared" si="1"/>
        <v>46756</v>
      </c>
      <c r="Y13" s="21">
        <v>36600</v>
      </c>
      <c r="Z13" s="22">
        <f t="shared" si="2"/>
        <v>36600</v>
      </c>
      <c r="AA13" s="22">
        <f t="shared" si="3"/>
        <v>230486</v>
      </c>
    </row>
    <row r="14" spans="1:27">
      <c r="A14" s="1" t="s">
        <v>1</v>
      </c>
      <c r="B14" s="7" t="s">
        <v>56</v>
      </c>
      <c r="C14" s="34">
        <v>444</v>
      </c>
      <c r="D14" s="35">
        <v>516</v>
      </c>
      <c r="E14" s="35">
        <v>771</v>
      </c>
      <c r="F14" s="35">
        <v>768</v>
      </c>
      <c r="G14" s="35">
        <v>606</v>
      </c>
      <c r="H14" s="35">
        <v>678</v>
      </c>
      <c r="I14" s="35">
        <v>444</v>
      </c>
      <c r="J14" s="35">
        <v>606</v>
      </c>
      <c r="K14" s="35">
        <v>408</v>
      </c>
      <c r="L14" s="35">
        <v>588</v>
      </c>
      <c r="M14" s="35">
        <v>516</v>
      </c>
      <c r="N14" s="35">
        <v>516</v>
      </c>
      <c r="O14" s="35">
        <v>678</v>
      </c>
      <c r="P14" s="35">
        <v>444</v>
      </c>
      <c r="Q14" s="35">
        <v>408</v>
      </c>
      <c r="R14" s="35">
        <v>408</v>
      </c>
      <c r="S14" s="35">
        <v>408</v>
      </c>
      <c r="T14" s="8">
        <v>444</v>
      </c>
      <c r="U14" s="9">
        <f t="shared" si="0"/>
        <v>9651</v>
      </c>
      <c r="V14" s="46">
        <v>2280</v>
      </c>
      <c r="W14" s="56">
        <v>786</v>
      </c>
      <c r="X14" s="9">
        <f t="shared" si="1"/>
        <v>3066</v>
      </c>
      <c r="Y14" s="8">
        <v>2400</v>
      </c>
      <c r="Z14" s="9">
        <f t="shared" si="2"/>
        <v>2400</v>
      </c>
      <c r="AA14" s="9">
        <f t="shared" si="3"/>
        <v>15117</v>
      </c>
    </row>
    <row r="15" spans="1:27">
      <c r="A15" s="1" t="s">
        <v>1</v>
      </c>
      <c r="B15" s="14" t="s">
        <v>57</v>
      </c>
      <c r="C15" s="36">
        <v>62345</v>
      </c>
      <c r="D15" s="37">
        <v>72455</v>
      </c>
      <c r="E15" s="37">
        <v>108337</v>
      </c>
      <c r="F15" s="37">
        <v>107840</v>
      </c>
      <c r="G15" s="37">
        <v>86002</v>
      </c>
      <c r="H15" s="37">
        <v>95203</v>
      </c>
      <c r="I15" s="37">
        <v>62345</v>
      </c>
      <c r="J15" s="37">
        <v>85093</v>
      </c>
      <c r="K15" s="37">
        <v>57290</v>
      </c>
      <c r="L15" s="37">
        <v>82565</v>
      </c>
      <c r="M15" s="37">
        <v>72455</v>
      </c>
      <c r="N15" s="37">
        <v>72455</v>
      </c>
      <c r="O15" s="37">
        <v>95203</v>
      </c>
      <c r="P15" s="37">
        <v>62345</v>
      </c>
      <c r="Q15" s="37">
        <v>57290</v>
      </c>
      <c r="R15" s="37">
        <v>57290</v>
      </c>
      <c r="S15" s="37">
        <v>57290</v>
      </c>
      <c r="T15" s="15">
        <v>62345</v>
      </c>
      <c r="U15" s="16">
        <f t="shared" si="0"/>
        <v>1356148</v>
      </c>
      <c r="V15" s="47">
        <v>320150</v>
      </c>
      <c r="W15" s="57">
        <v>110368</v>
      </c>
      <c r="X15" s="16">
        <f t="shared" si="1"/>
        <v>430518</v>
      </c>
      <c r="Y15" s="15">
        <v>337000</v>
      </c>
      <c r="Z15" s="16">
        <f t="shared" si="2"/>
        <v>337000</v>
      </c>
      <c r="AA15" s="16">
        <f t="shared" si="3"/>
        <v>2123666</v>
      </c>
    </row>
    <row r="16" spans="1:27">
      <c r="A16" s="1" t="s">
        <v>1</v>
      </c>
      <c r="B16" s="14" t="s">
        <v>58</v>
      </c>
      <c r="C16" s="36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15">
        <v>0</v>
      </c>
      <c r="U16" s="16">
        <f t="shared" si="0"/>
        <v>0</v>
      </c>
      <c r="V16" s="47">
        <v>0</v>
      </c>
      <c r="W16" s="57">
        <v>0</v>
      </c>
      <c r="X16" s="16">
        <f t="shared" si="1"/>
        <v>0</v>
      </c>
      <c r="Y16" s="15">
        <v>7956</v>
      </c>
      <c r="Z16" s="16">
        <f t="shared" si="2"/>
        <v>7956</v>
      </c>
      <c r="AA16" s="16">
        <f t="shared" si="3"/>
        <v>7956</v>
      </c>
    </row>
    <row r="17" spans="1:27">
      <c r="A17" s="1" t="s">
        <v>1</v>
      </c>
      <c r="B17" s="14" t="s">
        <v>59</v>
      </c>
      <c r="C17" s="36">
        <v>11655</v>
      </c>
      <c r="D17" s="37">
        <v>13545</v>
      </c>
      <c r="E17" s="37">
        <v>20163</v>
      </c>
      <c r="F17" s="37">
        <v>20160</v>
      </c>
      <c r="G17" s="37">
        <v>14998</v>
      </c>
      <c r="H17" s="37">
        <v>17797</v>
      </c>
      <c r="I17" s="37">
        <v>11655</v>
      </c>
      <c r="J17" s="37">
        <v>15907</v>
      </c>
      <c r="K17" s="37">
        <v>10710</v>
      </c>
      <c r="L17" s="37">
        <v>15435</v>
      </c>
      <c r="M17" s="37">
        <v>13545</v>
      </c>
      <c r="N17" s="37">
        <v>13545</v>
      </c>
      <c r="O17" s="37">
        <v>17797</v>
      </c>
      <c r="P17" s="37">
        <v>11655</v>
      </c>
      <c r="Q17" s="37">
        <v>10710</v>
      </c>
      <c r="R17" s="37">
        <v>10710</v>
      </c>
      <c r="S17" s="37">
        <v>10710</v>
      </c>
      <c r="T17" s="15">
        <v>11655</v>
      </c>
      <c r="U17" s="16">
        <f t="shared" si="0"/>
        <v>252352</v>
      </c>
      <c r="V17" s="47">
        <v>59850</v>
      </c>
      <c r="W17" s="57">
        <v>20632</v>
      </c>
      <c r="X17" s="16">
        <f t="shared" si="1"/>
        <v>80482</v>
      </c>
      <c r="Y17" s="15">
        <v>63000</v>
      </c>
      <c r="Z17" s="16">
        <f t="shared" si="2"/>
        <v>63000</v>
      </c>
      <c r="AA17" s="16">
        <f t="shared" si="3"/>
        <v>395834</v>
      </c>
    </row>
    <row r="18" spans="1:27">
      <c r="A18" s="1" t="s">
        <v>1</v>
      </c>
      <c r="B18" s="14" t="s">
        <v>60</v>
      </c>
      <c r="C18" s="36">
        <v>62345</v>
      </c>
      <c r="D18" s="37">
        <v>72455</v>
      </c>
      <c r="E18" s="37">
        <v>108337</v>
      </c>
      <c r="F18" s="37">
        <v>107840</v>
      </c>
      <c r="G18" s="37">
        <v>86002</v>
      </c>
      <c r="H18" s="37">
        <v>95203</v>
      </c>
      <c r="I18" s="37">
        <v>62345</v>
      </c>
      <c r="J18" s="37">
        <v>85093</v>
      </c>
      <c r="K18" s="37">
        <v>57290</v>
      </c>
      <c r="L18" s="37">
        <v>82565</v>
      </c>
      <c r="M18" s="37">
        <v>72455</v>
      </c>
      <c r="N18" s="37">
        <v>72455</v>
      </c>
      <c r="O18" s="37">
        <v>95203</v>
      </c>
      <c r="P18" s="37">
        <v>62345</v>
      </c>
      <c r="Q18" s="37">
        <v>57290</v>
      </c>
      <c r="R18" s="37">
        <v>57290</v>
      </c>
      <c r="S18" s="37">
        <v>57290</v>
      </c>
      <c r="T18" s="15">
        <v>62345</v>
      </c>
      <c r="U18" s="16">
        <f t="shared" si="0"/>
        <v>1356148</v>
      </c>
      <c r="V18" s="47">
        <v>320150</v>
      </c>
      <c r="W18" s="57">
        <v>110368</v>
      </c>
      <c r="X18" s="16">
        <f t="shared" si="1"/>
        <v>430518</v>
      </c>
      <c r="Y18" s="15">
        <v>329044</v>
      </c>
      <c r="Z18" s="16">
        <f t="shared" si="2"/>
        <v>329044</v>
      </c>
      <c r="AA18" s="16">
        <f t="shared" si="3"/>
        <v>2115710</v>
      </c>
    </row>
    <row r="19" spans="1:27">
      <c r="A19" s="1" t="s">
        <v>1</v>
      </c>
      <c r="B19" s="14" t="s">
        <v>61</v>
      </c>
      <c r="C19" s="36">
        <v>62345</v>
      </c>
      <c r="D19" s="37">
        <v>72455</v>
      </c>
      <c r="E19" s="37">
        <v>108337</v>
      </c>
      <c r="F19" s="37">
        <v>107840</v>
      </c>
      <c r="G19" s="37">
        <v>86002</v>
      </c>
      <c r="H19" s="37">
        <v>95203</v>
      </c>
      <c r="I19" s="37">
        <v>62345</v>
      </c>
      <c r="J19" s="37">
        <v>85093</v>
      </c>
      <c r="K19" s="37">
        <v>57290</v>
      </c>
      <c r="L19" s="37">
        <v>82565</v>
      </c>
      <c r="M19" s="37">
        <v>72455</v>
      </c>
      <c r="N19" s="37">
        <v>72455</v>
      </c>
      <c r="O19" s="37">
        <v>95203</v>
      </c>
      <c r="P19" s="37">
        <v>62345</v>
      </c>
      <c r="Q19" s="37">
        <v>57290</v>
      </c>
      <c r="R19" s="37">
        <v>57290</v>
      </c>
      <c r="S19" s="37">
        <v>57290</v>
      </c>
      <c r="T19" s="15">
        <v>62345</v>
      </c>
      <c r="U19" s="16">
        <f t="shared" si="0"/>
        <v>1356148</v>
      </c>
      <c r="V19" s="47">
        <v>320150</v>
      </c>
      <c r="W19" s="57">
        <v>110368</v>
      </c>
      <c r="X19" s="16">
        <f t="shared" si="1"/>
        <v>430518</v>
      </c>
      <c r="Y19" s="15">
        <v>329044</v>
      </c>
      <c r="Z19" s="16">
        <f t="shared" si="2"/>
        <v>329044</v>
      </c>
      <c r="AA19" s="16">
        <f t="shared" si="3"/>
        <v>2115710</v>
      </c>
    </row>
    <row r="20" spans="1:27">
      <c r="A20" s="1" t="s">
        <v>1</v>
      </c>
      <c r="B20" s="14" t="s">
        <v>62</v>
      </c>
      <c r="C20" s="36">
        <v>1273</v>
      </c>
      <c r="D20" s="37">
        <v>4438</v>
      </c>
      <c r="E20" s="37">
        <v>6636</v>
      </c>
      <c r="F20" s="37">
        <v>8808</v>
      </c>
      <c r="G20" s="37">
        <v>1756</v>
      </c>
      <c r="H20" s="37">
        <v>7776</v>
      </c>
      <c r="I20" s="37">
        <v>2546</v>
      </c>
      <c r="J20" s="37">
        <v>3475</v>
      </c>
      <c r="K20" s="37">
        <v>2339</v>
      </c>
      <c r="L20" s="37">
        <v>6743</v>
      </c>
      <c r="M20" s="37">
        <v>4438</v>
      </c>
      <c r="N20" s="37">
        <v>5918</v>
      </c>
      <c r="O20" s="37">
        <v>0</v>
      </c>
      <c r="P20" s="37">
        <v>2546</v>
      </c>
      <c r="Q20" s="37">
        <v>2339</v>
      </c>
      <c r="R20" s="37">
        <v>1169</v>
      </c>
      <c r="S20" s="37">
        <v>3509</v>
      </c>
      <c r="T20" s="15">
        <v>2546</v>
      </c>
      <c r="U20" s="16">
        <f t="shared" si="0"/>
        <v>68255</v>
      </c>
      <c r="V20" s="47">
        <v>26149</v>
      </c>
      <c r="W20" s="57">
        <v>6761</v>
      </c>
      <c r="X20" s="16">
        <f t="shared" si="1"/>
        <v>32910</v>
      </c>
      <c r="Y20" s="15">
        <v>27526</v>
      </c>
      <c r="Z20" s="16">
        <f t="shared" si="2"/>
        <v>27526</v>
      </c>
      <c r="AA20" s="16">
        <f t="shared" si="3"/>
        <v>128691</v>
      </c>
    </row>
    <row r="21" spans="1:27">
      <c r="A21" s="1" t="s">
        <v>1</v>
      </c>
      <c r="B21" s="14" t="s">
        <v>63</v>
      </c>
      <c r="C21" s="36">
        <v>1273</v>
      </c>
      <c r="D21" s="37">
        <v>4438</v>
      </c>
      <c r="E21" s="37">
        <v>6636</v>
      </c>
      <c r="F21" s="37">
        <v>8808</v>
      </c>
      <c r="G21" s="37">
        <v>1756</v>
      </c>
      <c r="H21" s="37">
        <v>7776</v>
      </c>
      <c r="I21" s="37">
        <v>2546</v>
      </c>
      <c r="J21" s="37">
        <v>3475</v>
      </c>
      <c r="K21" s="37">
        <v>2339</v>
      </c>
      <c r="L21" s="37">
        <v>6743</v>
      </c>
      <c r="M21" s="37">
        <v>4438</v>
      </c>
      <c r="N21" s="37">
        <v>5918</v>
      </c>
      <c r="O21" s="37">
        <v>0</v>
      </c>
      <c r="P21" s="37">
        <v>2546</v>
      </c>
      <c r="Q21" s="37">
        <v>2339</v>
      </c>
      <c r="R21" s="37">
        <v>1169</v>
      </c>
      <c r="S21" s="37">
        <v>3509</v>
      </c>
      <c r="T21" s="15">
        <v>2546</v>
      </c>
      <c r="U21" s="16">
        <f t="shared" si="0"/>
        <v>68255</v>
      </c>
      <c r="V21" s="47">
        <v>26149</v>
      </c>
      <c r="W21" s="57">
        <v>6761</v>
      </c>
      <c r="X21" s="16">
        <f t="shared" si="1"/>
        <v>32910</v>
      </c>
      <c r="Y21" s="15">
        <v>19570</v>
      </c>
      <c r="Z21" s="16">
        <f t="shared" si="2"/>
        <v>19570</v>
      </c>
      <c r="AA21" s="16">
        <f t="shared" si="3"/>
        <v>120735</v>
      </c>
    </row>
    <row r="22" spans="1:27" ht="19.5" thickBot="1">
      <c r="A22" s="1" t="s">
        <v>1</v>
      </c>
      <c r="B22" s="10" t="s">
        <v>64</v>
      </c>
      <c r="C22" s="40">
        <v>60000</v>
      </c>
      <c r="D22" s="41">
        <v>30000</v>
      </c>
      <c r="E22" s="41">
        <v>60000</v>
      </c>
      <c r="F22" s="41">
        <v>30000</v>
      </c>
      <c r="G22" s="41">
        <v>30000</v>
      </c>
      <c r="H22" s="41">
        <v>30000</v>
      </c>
      <c r="I22" s="41">
        <v>30000</v>
      </c>
      <c r="J22" s="41">
        <v>60000</v>
      </c>
      <c r="K22" s="41">
        <v>30000</v>
      </c>
      <c r="L22" s="41">
        <v>30000</v>
      </c>
      <c r="M22" s="41">
        <v>30000</v>
      </c>
      <c r="N22" s="41">
        <v>30000</v>
      </c>
      <c r="O22" s="41">
        <v>150000</v>
      </c>
      <c r="P22" s="41">
        <v>30000</v>
      </c>
      <c r="Q22" s="41">
        <v>30000</v>
      </c>
      <c r="R22" s="41">
        <v>60000</v>
      </c>
      <c r="S22" s="41">
        <v>30000</v>
      </c>
      <c r="T22" s="11">
        <v>30000</v>
      </c>
      <c r="U22" s="12"/>
      <c r="V22" s="49">
        <v>90000</v>
      </c>
      <c r="W22" s="59">
        <v>60000</v>
      </c>
      <c r="X22" s="12"/>
      <c r="Y22" s="11">
        <v>30000</v>
      </c>
      <c r="Z22" s="12"/>
      <c r="AA22" s="12"/>
    </row>
  </sheetData>
  <phoneticPr fontId="3"/>
  <pageMargins left="0.11811023622047245" right="0.19685039370078741" top="0.35433070866141736" bottom="0.35433070866141736" header="0.11811023622047245" footer="0.11811023622047245"/>
  <pageSetup paperSize="12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BBF5-C61F-4E27-8145-53FC3B5E516C}">
  <sheetPr>
    <pageSetUpPr fitToPage="1"/>
  </sheetPr>
  <dimension ref="A1:U22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21" width="11" style="2" customWidth="1"/>
    <col min="22" max="247" width="9" style="2"/>
    <col min="248" max="248" width="2.375" style="2" customWidth="1"/>
    <col min="249" max="249" width="13.25" style="2" bestFit="1" customWidth="1"/>
    <col min="250" max="253" width="11.125" style="2" bestFit="1" customWidth="1"/>
    <col min="254" max="254" width="13.25" style="2" bestFit="1" customWidth="1"/>
    <col min="255" max="255" width="11.125" style="2" bestFit="1" customWidth="1"/>
    <col min="256" max="256" width="9" style="2"/>
    <col min="257" max="257" width="11.125" style="2" bestFit="1" customWidth="1"/>
    <col min="258" max="258" width="9" style="2"/>
    <col min="259" max="273" width="11.125" style="2" bestFit="1" customWidth="1"/>
    <col min="274" max="274" width="9" style="2"/>
    <col min="275" max="275" width="11.125" style="2" bestFit="1" customWidth="1"/>
    <col min="276" max="276" width="9.625" style="2" bestFit="1" customWidth="1"/>
    <col min="277" max="503" width="9" style="2"/>
    <col min="504" max="504" width="2.375" style="2" customWidth="1"/>
    <col min="505" max="505" width="13.25" style="2" bestFit="1" customWidth="1"/>
    <col min="506" max="509" width="11.125" style="2" bestFit="1" customWidth="1"/>
    <col min="510" max="510" width="13.25" style="2" bestFit="1" customWidth="1"/>
    <col min="511" max="511" width="11.125" style="2" bestFit="1" customWidth="1"/>
    <col min="512" max="512" width="9" style="2"/>
    <col min="513" max="513" width="11.125" style="2" bestFit="1" customWidth="1"/>
    <col min="514" max="514" width="9" style="2"/>
    <col min="515" max="529" width="11.125" style="2" bestFit="1" customWidth="1"/>
    <col min="530" max="530" width="9" style="2"/>
    <col min="531" max="531" width="11.125" style="2" bestFit="1" customWidth="1"/>
    <col min="532" max="532" width="9.625" style="2" bestFit="1" customWidth="1"/>
    <col min="533" max="759" width="9" style="2"/>
    <col min="760" max="760" width="2.375" style="2" customWidth="1"/>
    <col min="761" max="761" width="13.25" style="2" bestFit="1" customWidth="1"/>
    <col min="762" max="765" width="11.125" style="2" bestFit="1" customWidth="1"/>
    <col min="766" max="766" width="13.25" style="2" bestFit="1" customWidth="1"/>
    <col min="767" max="767" width="11.125" style="2" bestFit="1" customWidth="1"/>
    <col min="768" max="768" width="9" style="2"/>
    <col min="769" max="769" width="11.125" style="2" bestFit="1" customWidth="1"/>
    <col min="770" max="770" width="9" style="2"/>
    <col min="771" max="785" width="11.125" style="2" bestFit="1" customWidth="1"/>
    <col min="786" max="786" width="9" style="2"/>
    <col min="787" max="787" width="11.125" style="2" bestFit="1" customWidth="1"/>
    <col min="788" max="788" width="9.625" style="2" bestFit="1" customWidth="1"/>
    <col min="789" max="1015" width="9" style="2"/>
    <col min="1016" max="1016" width="2.375" style="2" customWidth="1"/>
    <col min="1017" max="1017" width="13.25" style="2" bestFit="1" customWidth="1"/>
    <col min="1018" max="1021" width="11.125" style="2" bestFit="1" customWidth="1"/>
    <col min="1022" max="1022" width="13.25" style="2" bestFit="1" customWidth="1"/>
    <col min="1023" max="1023" width="11.125" style="2" bestFit="1" customWidth="1"/>
    <col min="1024" max="1024" width="9" style="2"/>
    <col min="1025" max="1025" width="11.125" style="2" bestFit="1" customWidth="1"/>
    <col min="1026" max="1026" width="9" style="2"/>
    <col min="1027" max="1041" width="11.125" style="2" bestFit="1" customWidth="1"/>
    <col min="1042" max="1042" width="9" style="2"/>
    <col min="1043" max="1043" width="11.125" style="2" bestFit="1" customWidth="1"/>
    <col min="1044" max="1044" width="9.625" style="2" bestFit="1" customWidth="1"/>
    <col min="1045" max="1271" width="9" style="2"/>
    <col min="1272" max="1272" width="2.375" style="2" customWidth="1"/>
    <col min="1273" max="1273" width="13.25" style="2" bestFit="1" customWidth="1"/>
    <col min="1274" max="1277" width="11.125" style="2" bestFit="1" customWidth="1"/>
    <col min="1278" max="1278" width="13.25" style="2" bestFit="1" customWidth="1"/>
    <col min="1279" max="1279" width="11.125" style="2" bestFit="1" customWidth="1"/>
    <col min="1280" max="1280" width="9" style="2"/>
    <col min="1281" max="1281" width="11.125" style="2" bestFit="1" customWidth="1"/>
    <col min="1282" max="1282" width="9" style="2"/>
    <col min="1283" max="1297" width="11.125" style="2" bestFit="1" customWidth="1"/>
    <col min="1298" max="1298" width="9" style="2"/>
    <col min="1299" max="1299" width="11.125" style="2" bestFit="1" customWidth="1"/>
    <col min="1300" max="1300" width="9.625" style="2" bestFit="1" customWidth="1"/>
    <col min="1301" max="1527" width="9" style="2"/>
    <col min="1528" max="1528" width="2.375" style="2" customWidth="1"/>
    <col min="1529" max="1529" width="13.25" style="2" bestFit="1" customWidth="1"/>
    <col min="1530" max="1533" width="11.125" style="2" bestFit="1" customWidth="1"/>
    <col min="1534" max="1534" width="13.25" style="2" bestFit="1" customWidth="1"/>
    <col min="1535" max="1535" width="11.125" style="2" bestFit="1" customWidth="1"/>
    <col min="1536" max="1536" width="9" style="2"/>
    <col min="1537" max="1537" width="11.125" style="2" bestFit="1" customWidth="1"/>
    <col min="1538" max="1538" width="9" style="2"/>
    <col min="1539" max="1553" width="11.125" style="2" bestFit="1" customWidth="1"/>
    <col min="1554" max="1554" width="9" style="2"/>
    <col min="1555" max="1555" width="11.125" style="2" bestFit="1" customWidth="1"/>
    <col min="1556" max="1556" width="9.625" style="2" bestFit="1" customWidth="1"/>
    <col min="1557" max="1783" width="9" style="2"/>
    <col min="1784" max="1784" width="2.375" style="2" customWidth="1"/>
    <col min="1785" max="1785" width="13.25" style="2" bestFit="1" customWidth="1"/>
    <col min="1786" max="1789" width="11.125" style="2" bestFit="1" customWidth="1"/>
    <col min="1790" max="1790" width="13.25" style="2" bestFit="1" customWidth="1"/>
    <col min="1791" max="1791" width="11.125" style="2" bestFit="1" customWidth="1"/>
    <col min="1792" max="1792" width="9" style="2"/>
    <col min="1793" max="1793" width="11.125" style="2" bestFit="1" customWidth="1"/>
    <col min="1794" max="1794" width="9" style="2"/>
    <col min="1795" max="1809" width="11.125" style="2" bestFit="1" customWidth="1"/>
    <col min="1810" max="1810" width="9" style="2"/>
    <col min="1811" max="1811" width="11.125" style="2" bestFit="1" customWidth="1"/>
    <col min="1812" max="1812" width="9.625" style="2" bestFit="1" customWidth="1"/>
    <col min="1813" max="2039" width="9" style="2"/>
    <col min="2040" max="2040" width="2.375" style="2" customWidth="1"/>
    <col min="2041" max="2041" width="13.25" style="2" bestFit="1" customWidth="1"/>
    <col min="2042" max="2045" width="11.125" style="2" bestFit="1" customWidth="1"/>
    <col min="2046" max="2046" width="13.25" style="2" bestFit="1" customWidth="1"/>
    <col min="2047" max="2047" width="11.125" style="2" bestFit="1" customWidth="1"/>
    <col min="2048" max="2048" width="9" style="2"/>
    <col min="2049" max="2049" width="11.125" style="2" bestFit="1" customWidth="1"/>
    <col min="2050" max="2050" width="9" style="2"/>
    <col min="2051" max="2065" width="11.125" style="2" bestFit="1" customWidth="1"/>
    <col min="2066" max="2066" width="9" style="2"/>
    <col min="2067" max="2067" width="11.125" style="2" bestFit="1" customWidth="1"/>
    <col min="2068" max="2068" width="9.625" style="2" bestFit="1" customWidth="1"/>
    <col min="2069" max="2295" width="9" style="2"/>
    <col min="2296" max="2296" width="2.375" style="2" customWidth="1"/>
    <col min="2297" max="2297" width="13.25" style="2" bestFit="1" customWidth="1"/>
    <col min="2298" max="2301" width="11.125" style="2" bestFit="1" customWidth="1"/>
    <col min="2302" max="2302" width="13.25" style="2" bestFit="1" customWidth="1"/>
    <col min="2303" max="2303" width="11.125" style="2" bestFit="1" customWidth="1"/>
    <col min="2304" max="2304" width="9" style="2"/>
    <col min="2305" max="2305" width="11.125" style="2" bestFit="1" customWidth="1"/>
    <col min="2306" max="2306" width="9" style="2"/>
    <col min="2307" max="2321" width="11.125" style="2" bestFit="1" customWidth="1"/>
    <col min="2322" max="2322" width="9" style="2"/>
    <col min="2323" max="2323" width="11.125" style="2" bestFit="1" customWidth="1"/>
    <col min="2324" max="2324" width="9.625" style="2" bestFit="1" customWidth="1"/>
    <col min="2325" max="2551" width="9" style="2"/>
    <col min="2552" max="2552" width="2.375" style="2" customWidth="1"/>
    <col min="2553" max="2553" width="13.25" style="2" bestFit="1" customWidth="1"/>
    <col min="2554" max="2557" width="11.125" style="2" bestFit="1" customWidth="1"/>
    <col min="2558" max="2558" width="13.25" style="2" bestFit="1" customWidth="1"/>
    <col min="2559" max="2559" width="11.125" style="2" bestFit="1" customWidth="1"/>
    <col min="2560" max="2560" width="9" style="2"/>
    <col min="2561" max="2561" width="11.125" style="2" bestFit="1" customWidth="1"/>
    <col min="2562" max="2562" width="9" style="2"/>
    <col min="2563" max="2577" width="11.125" style="2" bestFit="1" customWidth="1"/>
    <col min="2578" max="2578" width="9" style="2"/>
    <col min="2579" max="2579" width="11.125" style="2" bestFit="1" customWidth="1"/>
    <col min="2580" max="2580" width="9.625" style="2" bestFit="1" customWidth="1"/>
    <col min="2581" max="2807" width="9" style="2"/>
    <col min="2808" max="2808" width="2.375" style="2" customWidth="1"/>
    <col min="2809" max="2809" width="13.25" style="2" bestFit="1" customWidth="1"/>
    <col min="2810" max="2813" width="11.125" style="2" bestFit="1" customWidth="1"/>
    <col min="2814" max="2814" width="13.25" style="2" bestFit="1" customWidth="1"/>
    <col min="2815" max="2815" width="11.125" style="2" bestFit="1" customWidth="1"/>
    <col min="2816" max="2816" width="9" style="2"/>
    <col min="2817" max="2817" width="11.125" style="2" bestFit="1" customWidth="1"/>
    <col min="2818" max="2818" width="9" style="2"/>
    <col min="2819" max="2833" width="11.125" style="2" bestFit="1" customWidth="1"/>
    <col min="2834" max="2834" width="9" style="2"/>
    <col min="2835" max="2835" width="11.125" style="2" bestFit="1" customWidth="1"/>
    <col min="2836" max="2836" width="9.625" style="2" bestFit="1" customWidth="1"/>
    <col min="2837" max="3063" width="9" style="2"/>
    <col min="3064" max="3064" width="2.375" style="2" customWidth="1"/>
    <col min="3065" max="3065" width="13.25" style="2" bestFit="1" customWidth="1"/>
    <col min="3066" max="3069" width="11.125" style="2" bestFit="1" customWidth="1"/>
    <col min="3070" max="3070" width="13.25" style="2" bestFit="1" customWidth="1"/>
    <col min="3071" max="3071" width="11.125" style="2" bestFit="1" customWidth="1"/>
    <col min="3072" max="3072" width="9" style="2"/>
    <col min="3073" max="3073" width="11.125" style="2" bestFit="1" customWidth="1"/>
    <col min="3074" max="3074" width="9" style="2"/>
    <col min="3075" max="3089" width="11.125" style="2" bestFit="1" customWidth="1"/>
    <col min="3090" max="3090" width="9" style="2"/>
    <col min="3091" max="3091" width="11.125" style="2" bestFit="1" customWidth="1"/>
    <col min="3092" max="3092" width="9.625" style="2" bestFit="1" customWidth="1"/>
    <col min="3093" max="3319" width="9" style="2"/>
    <col min="3320" max="3320" width="2.375" style="2" customWidth="1"/>
    <col min="3321" max="3321" width="13.25" style="2" bestFit="1" customWidth="1"/>
    <col min="3322" max="3325" width="11.125" style="2" bestFit="1" customWidth="1"/>
    <col min="3326" max="3326" width="13.25" style="2" bestFit="1" customWidth="1"/>
    <col min="3327" max="3327" width="11.125" style="2" bestFit="1" customWidth="1"/>
    <col min="3328" max="3328" width="9" style="2"/>
    <col min="3329" max="3329" width="11.125" style="2" bestFit="1" customWidth="1"/>
    <col min="3330" max="3330" width="9" style="2"/>
    <col min="3331" max="3345" width="11.125" style="2" bestFit="1" customWidth="1"/>
    <col min="3346" max="3346" width="9" style="2"/>
    <col min="3347" max="3347" width="11.125" style="2" bestFit="1" customWidth="1"/>
    <col min="3348" max="3348" width="9.625" style="2" bestFit="1" customWidth="1"/>
    <col min="3349" max="3575" width="9" style="2"/>
    <col min="3576" max="3576" width="2.375" style="2" customWidth="1"/>
    <col min="3577" max="3577" width="13.25" style="2" bestFit="1" customWidth="1"/>
    <col min="3578" max="3581" width="11.125" style="2" bestFit="1" customWidth="1"/>
    <col min="3582" max="3582" width="13.25" style="2" bestFit="1" customWidth="1"/>
    <col min="3583" max="3583" width="11.125" style="2" bestFit="1" customWidth="1"/>
    <col min="3584" max="3584" width="9" style="2"/>
    <col min="3585" max="3585" width="11.125" style="2" bestFit="1" customWidth="1"/>
    <col min="3586" max="3586" width="9" style="2"/>
    <col min="3587" max="3601" width="11.125" style="2" bestFit="1" customWidth="1"/>
    <col min="3602" max="3602" width="9" style="2"/>
    <col min="3603" max="3603" width="11.125" style="2" bestFit="1" customWidth="1"/>
    <col min="3604" max="3604" width="9.625" style="2" bestFit="1" customWidth="1"/>
    <col min="3605" max="3831" width="9" style="2"/>
    <col min="3832" max="3832" width="2.375" style="2" customWidth="1"/>
    <col min="3833" max="3833" width="13.25" style="2" bestFit="1" customWidth="1"/>
    <col min="3834" max="3837" width="11.125" style="2" bestFit="1" customWidth="1"/>
    <col min="3838" max="3838" width="13.25" style="2" bestFit="1" customWidth="1"/>
    <col min="3839" max="3839" width="11.125" style="2" bestFit="1" customWidth="1"/>
    <col min="3840" max="3840" width="9" style="2"/>
    <col min="3841" max="3841" width="11.125" style="2" bestFit="1" customWidth="1"/>
    <col min="3842" max="3842" width="9" style="2"/>
    <col min="3843" max="3857" width="11.125" style="2" bestFit="1" customWidth="1"/>
    <col min="3858" max="3858" width="9" style="2"/>
    <col min="3859" max="3859" width="11.125" style="2" bestFit="1" customWidth="1"/>
    <col min="3860" max="3860" width="9.625" style="2" bestFit="1" customWidth="1"/>
    <col min="3861" max="4087" width="9" style="2"/>
    <col min="4088" max="4088" width="2.375" style="2" customWidth="1"/>
    <col min="4089" max="4089" width="13.25" style="2" bestFit="1" customWidth="1"/>
    <col min="4090" max="4093" width="11.125" style="2" bestFit="1" customWidth="1"/>
    <col min="4094" max="4094" width="13.25" style="2" bestFit="1" customWidth="1"/>
    <col min="4095" max="4095" width="11.125" style="2" bestFit="1" customWidth="1"/>
    <col min="4096" max="4096" width="9" style="2"/>
    <col min="4097" max="4097" width="11.125" style="2" bestFit="1" customWidth="1"/>
    <col min="4098" max="4098" width="9" style="2"/>
    <col min="4099" max="4113" width="11.125" style="2" bestFit="1" customWidth="1"/>
    <col min="4114" max="4114" width="9" style="2"/>
    <col min="4115" max="4115" width="11.125" style="2" bestFit="1" customWidth="1"/>
    <col min="4116" max="4116" width="9.625" style="2" bestFit="1" customWidth="1"/>
    <col min="4117" max="4343" width="9" style="2"/>
    <col min="4344" max="4344" width="2.375" style="2" customWidth="1"/>
    <col min="4345" max="4345" width="13.25" style="2" bestFit="1" customWidth="1"/>
    <col min="4346" max="4349" width="11.125" style="2" bestFit="1" customWidth="1"/>
    <col min="4350" max="4350" width="13.25" style="2" bestFit="1" customWidth="1"/>
    <col min="4351" max="4351" width="11.125" style="2" bestFit="1" customWidth="1"/>
    <col min="4352" max="4352" width="9" style="2"/>
    <col min="4353" max="4353" width="11.125" style="2" bestFit="1" customWidth="1"/>
    <col min="4354" max="4354" width="9" style="2"/>
    <col min="4355" max="4369" width="11.125" style="2" bestFit="1" customWidth="1"/>
    <col min="4370" max="4370" width="9" style="2"/>
    <col min="4371" max="4371" width="11.125" style="2" bestFit="1" customWidth="1"/>
    <col min="4372" max="4372" width="9.625" style="2" bestFit="1" customWidth="1"/>
    <col min="4373" max="4599" width="9" style="2"/>
    <col min="4600" max="4600" width="2.375" style="2" customWidth="1"/>
    <col min="4601" max="4601" width="13.25" style="2" bestFit="1" customWidth="1"/>
    <col min="4602" max="4605" width="11.125" style="2" bestFit="1" customWidth="1"/>
    <col min="4606" max="4606" width="13.25" style="2" bestFit="1" customWidth="1"/>
    <col min="4607" max="4607" width="11.125" style="2" bestFit="1" customWidth="1"/>
    <col min="4608" max="4608" width="9" style="2"/>
    <col min="4609" max="4609" width="11.125" style="2" bestFit="1" customWidth="1"/>
    <col min="4610" max="4610" width="9" style="2"/>
    <col min="4611" max="4625" width="11.125" style="2" bestFit="1" customWidth="1"/>
    <col min="4626" max="4626" width="9" style="2"/>
    <col min="4627" max="4627" width="11.125" style="2" bestFit="1" customWidth="1"/>
    <col min="4628" max="4628" width="9.625" style="2" bestFit="1" customWidth="1"/>
    <col min="4629" max="4855" width="9" style="2"/>
    <col min="4856" max="4856" width="2.375" style="2" customWidth="1"/>
    <col min="4857" max="4857" width="13.25" style="2" bestFit="1" customWidth="1"/>
    <col min="4858" max="4861" width="11.125" style="2" bestFit="1" customWidth="1"/>
    <col min="4862" max="4862" width="13.25" style="2" bestFit="1" customWidth="1"/>
    <col min="4863" max="4863" width="11.125" style="2" bestFit="1" customWidth="1"/>
    <col min="4864" max="4864" width="9" style="2"/>
    <col min="4865" max="4865" width="11.125" style="2" bestFit="1" customWidth="1"/>
    <col min="4866" max="4866" width="9" style="2"/>
    <col min="4867" max="4881" width="11.125" style="2" bestFit="1" customWidth="1"/>
    <col min="4882" max="4882" width="9" style="2"/>
    <col min="4883" max="4883" width="11.125" style="2" bestFit="1" customWidth="1"/>
    <col min="4884" max="4884" width="9.625" style="2" bestFit="1" customWidth="1"/>
    <col min="4885" max="5111" width="9" style="2"/>
    <col min="5112" max="5112" width="2.375" style="2" customWidth="1"/>
    <col min="5113" max="5113" width="13.25" style="2" bestFit="1" customWidth="1"/>
    <col min="5114" max="5117" width="11.125" style="2" bestFit="1" customWidth="1"/>
    <col min="5118" max="5118" width="13.25" style="2" bestFit="1" customWidth="1"/>
    <col min="5119" max="5119" width="11.125" style="2" bestFit="1" customWidth="1"/>
    <col min="5120" max="5120" width="9" style="2"/>
    <col min="5121" max="5121" width="11.125" style="2" bestFit="1" customWidth="1"/>
    <col min="5122" max="5122" width="9" style="2"/>
    <col min="5123" max="5137" width="11.125" style="2" bestFit="1" customWidth="1"/>
    <col min="5138" max="5138" width="9" style="2"/>
    <col min="5139" max="5139" width="11.125" style="2" bestFit="1" customWidth="1"/>
    <col min="5140" max="5140" width="9.625" style="2" bestFit="1" customWidth="1"/>
    <col min="5141" max="5367" width="9" style="2"/>
    <col min="5368" max="5368" width="2.375" style="2" customWidth="1"/>
    <col min="5369" max="5369" width="13.25" style="2" bestFit="1" customWidth="1"/>
    <col min="5370" max="5373" width="11.125" style="2" bestFit="1" customWidth="1"/>
    <col min="5374" max="5374" width="13.25" style="2" bestFit="1" customWidth="1"/>
    <col min="5375" max="5375" width="11.125" style="2" bestFit="1" customWidth="1"/>
    <col min="5376" max="5376" width="9" style="2"/>
    <col min="5377" max="5377" width="11.125" style="2" bestFit="1" customWidth="1"/>
    <col min="5378" max="5378" width="9" style="2"/>
    <col min="5379" max="5393" width="11.125" style="2" bestFit="1" customWidth="1"/>
    <col min="5394" max="5394" width="9" style="2"/>
    <col min="5395" max="5395" width="11.125" style="2" bestFit="1" customWidth="1"/>
    <col min="5396" max="5396" width="9.625" style="2" bestFit="1" customWidth="1"/>
    <col min="5397" max="5623" width="9" style="2"/>
    <col min="5624" max="5624" width="2.375" style="2" customWidth="1"/>
    <col min="5625" max="5625" width="13.25" style="2" bestFit="1" customWidth="1"/>
    <col min="5626" max="5629" width="11.125" style="2" bestFit="1" customWidth="1"/>
    <col min="5630" max="5630" width="13.25" style="2" bestFit="1" customWidth="1"/>
    <col min="5631" max="5631" width="11.125" style="2" bestFit="1" customWidth="1"/>
    <col min="5632" max="5632" width="9" style="2"/>
    <col min="5633" max="5633" width="11.125" style="2" bestFit="1" customWidth="1"/>
    <col min="5634" max="5634" width="9" style="2"/>
    <col min="5635" max="5649" width="11.125" style="2" bestFit="1" customWidth="1"/>
    <col min="5650" max="5650" width="9" style="2"/>
    <col min="5651" max="5651" width="11.125" style="2" bestFit="1" customWidth="1"/>
    <col min="5652" max="5652" width="9.625" style="2" bestFit="1" customWidth="1"/>
    <col min="5653" max="5879" width="9" style="2"/>
    <col min="5880" max="5880" width="2.375" style="2" customWidth="1"/>
    <col min="5881" max="5881" width="13.25" style="2" bestFit="1" customWidth="1"/>
    <col min="5882" max="5885" width="11.125" style="2" bestFit="1" customWidth="1"/>
    <col min="5886" max="5886" width="13.25" style="2" bestFit="1" customWidth="1"/>
    <col min="5887" max="5887" width="11.125" style="2" bestFit="1" customWidth="1"/>
    <col min="5888" max="5888" width="9" style="2"/>
    <col min="5889" max="5889" width="11.125" style="2" bestFit="1" customWidth="1"/>
    <col min="5890" max="5890" width="9" style="2"/>
    <col min="5891" max="5905" width="11.125" style="2" bestFit="1" customWidth="1"/>
    <col min="5906" max="5906" width="9" style="2"/>
    <col min="5907" max="5907" width="11.125" style="2" bestFit="1" customWidth="1"/>
    <col min="5908" max="5908" width="9.625" style="2" bestFit="1" customWidth="1"/>
    <col min="5909" max="6135" width="9" style="2"/>
    <col min="6136" max="6136" width="2.375" style="2" customWidth="1"/>
    <col min="6137" max="6137" width="13.25" style="2" bestFit="1" customWidth="1"/>
    <col min="6138" max="6141" width="11.125" style="2" bestFit="1" customWidth="1"/>
    <col min="6142" max="6142" width="13.25" style="2" bestFit="1" customWidth="1"/>
    <col min="6143" max="6143" width="11.125" style="2" bestFit="1" customWidth="1"/>
    <col min="6144" max="6144" width="9" style="2"/>
    <col min="6145" max="6145" width="11.125" style="2" bestFit="1" customWidth="1"/>
    <col min="6146" max="6146" width="9" style="2"/>
    <col min="6147" max="6161" width="11.125" style="2" bestFit="1" customWidth="1"/>
    <col min="6162" max="6162" width="9" style="2"/>
    <col min="6163" max="6163" width="11.125" style="2" bestFit="1" customWidth="1"/>
    <col min="6164" max="6164" width="9.625" style="2" bestFit="1" customWidth="1"/>
    <col min="6165" max="6391" width="9" style="2"/>
    <col min="6392" max="6392" width="2.375" style="2" customWidth="1"/>
    <col min="6393" max="6393" width="13.25" style="2" bestFit="1" customWidth="1"/>
    <col min="6394" max="6397" width="11.125" style="2" bestFit="1" customWidth="1"/>
    <col min="6398" max="6398" width="13.25" style="2" bestFit="1" customWidth="1"/>
    <col min="6399" max="6399" width="11.125" style="2" bestFit="1" customWidth="1"/>
    <col min="6400" max="6400" width="9" style="2"/>
    <col min="6401" max="6401" width="11.125" style="2" bestFit="1" customWidth="1"/>
    <col min="6402" max="6402" width="9" style="2"/>
    <col min="6403" max="6417" width="11.125" style="2" bestFit="1" customWidth="1"/>
    <col min="6418" max="6418" width="9" style="2"/>
    <col min="6419" max="6419" width="11.125" style="2" bestFit="1" customWidth="1"/>
    <col min="6420" max="6420" width="9.625" style="2" bestFit="1" customWidth="1"/>
    <col min="6421" max="6647" width="9" style="2"/>
    <col min="6648" max="6648" width="2.375" style="2" customWidth="1"/>
    <col min="6649" max="6649" width="13.25" style="2" bestFit="1" customWidth="1"/>
    <col min="6650" max="6653" width="11.125" style="2" bestFit="1" customWidth="1"/>
    <col min="6654" max="6654" width="13.25" style="2" bestFit="1" customWidth="1"/>
    <col min="6655" max="6655" width="11.125" style="2" bestFit="1" customWidth="1"/>
    <col min="6656" max="6656" width="9" style="2"/>
    <col min="6657" max="6657" width="11.125" style="2" bestFit="1" customWidth="1"/>
    <col min="6658" max="6658" width="9" style="2"/>
    <col min="6659" max="6673" width="11.125" style="2" bestFit="1" customWidth="1"/>
    <col min="6674" max="6674" width="9" style="2"/>
    <col min="6675" max="6675" width="11.125" style="2" bestFit="1" customWidth="1"/>
    <col min="6676" max="6676" width="9.625" style="2" bestFit="1" customWidth="1"/>
    <col min="6677" max="6903" width="9" style="2"/>
    <col min="6904" max="6904" width="2.375" style="2" customWidth="1"/>
    <col min="6905" max="6905" width="13.25" style="2" bestFit="1" customWidth="1"/>
    <col min="6906" max="6909" width="11.125" style="2" bestFit="1" customWidth="1"/>
    <col min="6910" max="6910" width="13.25" style="2" bestFit="1" customWidth="1"/>
    <col min="6911" max="6911" width="11.125" style="2" bestFit="1" customWidth="1"/>
    <col min="6912" max="6912" width="9" style="2"/>
    <col min="6913" max="6913" width="11.125" style="2" bestFit="1" customWidth="1"/>
    <col min="6914" max="6914" width="9" style="2"/>
    <col min="6915" max="6929" width="11.125" style="2" bestFit="1" customWidth="1"/>
    <col min="6930" max="6930" width="9" style="2"/>
    <col min="6931" max="6931" width="11.125" style="2" bestFit="1" customWidth="1"/>
    <col min="6932" max="6932" width="9.625" style="2" bestFit="1" customWidth="1"/>
    <col min="6933" max="7159" width="9" style="2"/>
    <col min="7160" max="7160" width="2.375" style="2" customWidth="1"/>
    <col min="7161" max="7161" width="13.25" style="2" bestFit="1" customWidth="1"/>
    <col min="7162" max="7165" width="11.125" style="2" bestFit="1" customWidth="1"/>
    <col min="7166" max="7166" width="13.25" style="2" bestFit="1" customWidth="1"/>
    <col min="7167" max="7167" width="11.125" style="2" bestFit="1" customWidth="1"/>
    <col min="7168" max="7168" width="9" style="2"/>
    <col min="7169" max="7169" width="11.125" style="2" bestFit="1" customWidth="1"/>
    <col min="7170" max="7170" width="9" style="2"/>
    <col min="7171" max="7185" width="11.125" style="2" bestFit="1" customWidth="1"/>
    <col min="7186" max="7186" width="9" style="2"/>
    <col min="7187" max="7187" width="11.125" style="2" bestFit="1" customWidth="1"/>
    <col min="7188" max="7188" width="9.625" style="2" bestFit="1" customWidth="1"/>
    <col min="7189" max="7415" width="9" style="2"/>
    <col min="7416" max="7416" width="2.375" style="2" customWidth="1"/>
    <col min="7417" max="7417" width="13.25" style="2" bestFit="1" customWidth="1"/>
    <col min="7418" max="7421" width="11.125" style="2" bestFit="1" customWidth="1"/>
    <col min="7422" max="7422" width="13.25" style="2" bestFit="1" customWidth="1"/>
    <col min="7423" max="7423" width="11.125" style="2" bestFit="1" customWidth="1"/>
    <col min="7424" max="7424" width="9" style="2"/>
    <col min="7425" max="7425" width="11.125" style="2" bestFit="1" customWidth="1"/>
    <col min="7426" max="7426" width="9" style="2"/>
    <col min="7427" max="7441" width="11.125" style="2" bestFit="1" customWidth="1"/>
    <col min="7442" max="7442" width="9" style="2"/>
    <col min="7443" max="7443" width="11.125" style="2" bestFit="1" customWidth="1"/>
    <col min="7444" max="7444" width="9.625" style="2" bestFit="1" customWidth="1"/>
    <col min="7445" max="7671" width="9" style="2"/>
    <col min="7672" max="7672" width="2.375" style="2" customWidth="1"/>
    <col min="7673" max="7673" width="13.25" style="2" bestFit="1" customWidth="1"/>
    <col min="7674" max="7677" width="11.125" style="2" bestFit="1" customWidth="1"/>
    <col min="7678" max="7678" width="13.25" style="2" bestFit="1" customWidth="1"/>
    <col min="7679" max="7679" width="11.125" style="2" bestFit="1" customWidth="1"/>
    <col min="7680" max="7680" width="9" style="2"/>
    <col min="7681" max="7681" width="11.125" style="2" bestFit="1" customWidth="1"/>
    <col min="7682" max="7682" width="9" style="2"/>
    <col min="7683" max="7697" width="11.125" style="2" bestFit="1" customWidth="1"/>
    <col min="7698" max="7698" width="9" style="2"/>
    <col min="7699" max="7699" width="11.125" style="2" bestFit="1" customWidth="1"/>
    <col min="7700" max="7700" width="9.625" style="2" bestFit="1" customWidth="1"/>
    <col min="7701" max="7927" width="9" style="2"/>
    <col min="7928" max="7928" width="2.375" style="2" customWidth="1"/>
    <col min="7929" max="7929" width="13.25" style="2" bestFit="1" customWidth="1"/>
    <col min="7930" max="7933" width="11.125" style="2" bestFit="1" customWidth="1"/>
    <col min="7934" max="7934" width="13.25" style="2" bestFit="1" customWidth="1"/>
    <col min="7935" max="7935" width="11.125" style="2" bestFit="1" customWidth="1"/>
    <col min="7936" max="7936" width="9" style="2"/>
    <col min="7937" max="7937" width="11.125" style="2" bestFit="1" customWidth="1"/>
    <col min="7938" max="7938" width="9" style="2"/>
    <col min="7939" max="7953" width="11.125" style="2" bestFit="1" customWidth="1"/>
    <col min="7954" max="7954" width="9" style="2"/>
    <col min="7955" max="7955" width="11.125" style="2" bestFit="1" customWidth="1"/>
    <col min="7956" max="7956" width="9.625" style="2" bestFit="1" customWidth="1"/>
    <col min="7957" max="8183" width="9" style="2"/>
    <col min="8184" max="8184" width="2.375" style="2" customWidth="1"/>
    <col min="8185" max="8185" width="13.25" style="2" bestFit="1" customWidth="1"/>
    <col min="8186" max="8189" width="11.125" style="2" bestFit="1" customWidth="1"/>
    <col min="8190" max="8190" width="13.25" style="2" bestFit="1" customWidth="1"/>
    <col min="8191" max="8191" width="11.125" style="2" bestFit="1" customWidth="1"/>
    <col min="8192" max="8192" width="9" style="2"/>
    <col min="8193" max="8193" width="11.125" style="2" bestFit="1" customWidth="1"/>
    <col min="8194" max="8194" width="9" style="2"/>
    <col min="8195" max="8209" width="11.125" style="2" bestFit="1" customWidth="1"/>
    <col min="8210" max="8210" width="9" style="2"/>
    <col min="8211" max="8211" width="11.125" style="2" bestFit="1" customWidth="1"/>
    <col min="8212" max="8212" width="9.625" style="2" bestFit="1" customWidth="1"/>
    <col min="8213" max="8439" width="9" style="2"/>
    <col min="8440" max="8440" width="2.375" style="2" customWidth="1"/>
    <col min="8441" max="8441" width="13.25" style="2" bestFit="1" customWidth="1"/>
    <col min="8442" max="8445" width="11.125" style="2" bestFit="1" customWidth="1"/>
    <col min="8446" max="8446" width="13.25" style="2" bestFit="1" customWidth="1"/>
    <col min="8447" max="8447" width="11.125" style="2" bestFit="1" customWidth="1"/>
    <col min="8448" max="8448" width="9" style="2"/>
    <col min="8449" max="8449" width="11.125" style="2" bestFit="1" customWidth="1"/>
    <col min="8450" max="8450" width="9" style="2"/>
    <col min="8451" max="8465" width="11.125" style="2" bestFit="1" customWidth="1"/>
    <col min="8466" max="8466" width="9" style="2"/>
    <col min="8467" max="8467" width="11.125" style="2" bestFit="1" customWidth="1"/>
    <col min="8468" max="8468" width="9.625" style="2" bestFit="1" customWidth="1"/>
    <col min="8469" max="8695" width="9" style="2"/>
    <col min="8696" max="8696" width="2.375" style="2" customWidth="1"/>
    <col min="8697" max="8697" width="13.25" style="2" bestFit="1" customWidth="1"/>
    <col min="8698" max="8701" width="11.125" style="2" bestFit="1" customWidth="1"/>
    <col min="8702" max="8702" width="13.25" style="2" bestFit="1" customWidth="1"/>
    <col min="8703" max="8703" width="11.125" style="2" bestFit="1" customWidth="1"/>
    <col min="8704" max="8704" width="9" style="2"/>
    <col min="8705" max="8705" width="11.125" style="2" bestFit="1" customWidth="1"/>
    <col min="8706" max="8706" width="9" style="2"/>
    <col min="8707" max="8721" width="11.125" style="2" bestFit="1" customWidth="1"/>
    <col min="8722" max="8722" width="9" style="2"/>
    <col min="8723" max="8723" width="11.125" style="2" bestFit="1" customWidth="1"/>
    <col min="8724" max="8724" width="9.625" style="2" bestFit="1" customWidth="1"/>
    <col min="8725" max="8951" width="9" style="2"/>
    <col min="8952" max="8952" width="2.375" style="2" customWidth="1"/>
    <col min="8953" max="8953" width="13.25" style="2" bestFit="1" customWidth="1"/>
    <col min="8954" max="8957" width="11.125" style="2" bestFit="1" customWidth="1"/>
    <col min="8958" max="8958" width="13.25" style="2" bestFit="1" customWidth="1"/>
    <col min="8959" max="8959" width="11.125" style="2" bestFit="1" customWidth="1"/>
    <col min="8960" max="8960" width="9" style="2"/>
    <col min="8961" max="8961" width="11.125" style="2" bestFit="1" customWidth="1"/>
    <col min="8962" max="8962" width="9" style="2"/>
    <col min="8963" max="8977" width="11.125" style="2" bestFit="1" customWidth="1"/>
    <col min="8978" max="8978" width="9" style="2"/>
    <col min="8979" max="8979" width="11.125" style="2" bestFit="1" customWidth="1"/>
    <col min="8980" max="8980" width="9.625" style="2" bestFit="1" customWidth="1"/>
    <col min="8981" max="9207" width="9" style="2"/>
    <col min="9208" max="9208" width="2.375" style="2" customWidth="1"/>
    <col min="9209" max="9209" width="13.25" style="2" bestFit="1" customWidth="1"/>
    <col min="9210" max="9213" width="11.125" style="2" bestFit="1" customWidth="1"/>
    <col min="9214" max="9214" width="13.25" style="2" bestFit="1" customWidth="1"/>
    <col min="9215" max="9215" width="11.125" style="2" bestFit="1" customWidth="1"/>
    <col min="9216" max="9216" width="9" style="2"/>
    <col min="9217" max="9217" width="11.125" style="2" bestFit="1" customWidth="1"/>
    <col min="9218" max="9218" width="9" style="2"/>
    <col min="9219" max="9233" width="11.125" style="2" bestFit="1" customWidth="1"/>
    <col min="9234" max="9234" width="9" style="2"/>
    <col min="9235" max="9235" width="11.125" style="2" bestFit="1" customWidth="1"/>
    <col min="9236" max="9236" width="9.625" style="2" bestFit="1" customWidth="1"/>
    <col min="9237" max="9463" width="9" style="2"/>
    <col min="9464" max="9464" width="2.375" style="2" customWidth="1"/>
    <col min="9465" max="9465" width="13.25" style="2" bestFit="1" customWidth="1"/>
    <col min="9466" max="9469" width="11.125" style="2" bestFit="1" customWidth="1"/>
    <col min="9470" max="9470" width="13.25" style="2" bestFit="1" customWidth="1"/>
    <col min="9471" max="9471" width="11.125" style="2" bestFit="1" customWidth="1"/>
    <col min="9472" max="9472" width="9" style="2"/>
    <col min="9473" max="9473" width="11.125" style="2" bestFit="1" customWidth="1"/>
    <col min="9474" max="9474" width="9" style="2"/>
    <col min="9475" max="9489" width="11.125" style="2" bestFit="1" customWidth="1"/>
    <col min="9490" max="9490" width="9" style="2"/>
    <col min="9491" max="9491" width="11.125" style="2" bestFit="1" customWidth="1"/>
    <col min="9492" max="9492" width="9.625" style="2" bestFit="1" customWidth="1"/>
    <col min="9493" max="9719" width="9" style="2"/>
    <col min="9720" max="9720" width="2.375" style="2" customWidth="1"/>
    <col min="9721" max="9721" width="13.25" style="2" bestFit="1" customWidth="1"/>
    <col min="9722" max="9725" width="11.125" style="2" bestFit="1" customWidth="1"/>
    <col min="9726" max="9726" width="13.25" style="2" bestFit="1" customWidth="1"/>
    <col min="9727" max="9727" width="11.125" style="2" bestFit="1" customWidth="1"/>
    <col min="9728" max="9728" width="9" style="2"/>
    <col min="9729" max="9729" width="11.125" style="2" bestFit="1" customWidth="1"/>
    <col min="9730" max="9730" width="9" style="2"/>
    <col min="9731" max="9745" width="11.125" style="2" bestFit="1" customWidth="1"/>
    <col min="9746" max="9746" width="9" style="2"/>
    <col min="9747" max="9747" width="11.125" style="2" bestFit="1" customWidth="1"/>
    <col min="9748" max="9748" width="9.625" style="2" bestFit="1" customWidth="1"/>
    <col min="9749" max="9975" width="9" style="2"/>
    <col min="9976" max="9976" width="2.375" style="2" customWidth="1"/>
    <col min="9977" max="9977" width="13.25" style="2" bestFit="1" customWidth="1"/>
    <col min="9978" max="9981" width="11.125" style="2" bestFit="1" customWidth="1"/>
    <col min="9982" max="9982" width="13.25" style="2" bestFit="1" customWidth="1"/>
    <col min="9983" max="9983" width="11.125" style="2" bestFit="1" customWidth="1"/>
    <col min="9984" max="9984" width="9" style="2"/>
    <col min="9985" max="9985" width="11.125" style="2" bestFit="1" customWidth="1"/>
    <col min="9986" max="9986" width="9" style="2"/>
    <col min="9987" max="10001" width="11.125" style="2" bestFit="1" customWidth="1"/>
    <col min="10002" max="10002" width="9" style="2"/>
    <col min="10003" max="10003" width="11.125" style="2" bestFit="1" customWidth="1"/>
    <col min="10004" max="10004" width="9.625" style="2" bestFit="1" customWidth="1"/>
    <col min="10005" max="10231" width="9" style="2"/>
    <col min="10232" max="10232" width="2.375" style="2" customWidth="1"/>
    <col min="10233" max="10233" width="13.25" style="2" bestFit="1" customWidth="1"/>
    <col min="10234" max="10237" width="11.125" style="2" bestFit="1" customWidth="1"/>
    <col min="10238" max="10238" width="13.25" style="2" bestFit="1" customWidth="1"/>
    <col min="10239" max="10239" width="11.125" style="2" bestFit="1" customWidth="1"/>
    <col min="10240" max="10240" width="9" style="2"/>
    <col min="10241" max="10241" width="11.125" style="2" bestFit="1" customWidth="1"/>
    <col min="10242" max="10242" width="9" style="2"/>
    <col min="10243" max="10257" width="11.125" style="2" bestFit="1" customWidth="1"/>
    <col min="10258" max="10258" width="9" style="2"/>
    <col min="10259" max="10259" width="11.125" style="2" bestFit="1" customWidth="1"/>
    <col min="10260" max="10260" width="9.625" style="2" bestFit="1" customWidth="1"/>
    <col min="10261" max="10487" width="9" style="2"/>
    <col min="10488" max="10488" width="2.375" style="2" customWidth="1"/>
    <col min="10489" max="10489" width="13.25" style="2" bestFit="1" customWidth="1"/>
    <col min="10490" max="10493" width="11.125" style="2" bestFit="1" customWidth="1"/>
    <col min="10494" max="10494" width="13.25" style="2" bestFit="1" customWidth="1"/>
    <col min="10495" max="10495" width="11.125" style="2" bestFit="1" customWidth="1"/>
    <col min="10496" max="10496" width="9" style="2"/>
    <col min="10497" max="10497" width="11.125" style="2" bestFit="1" customWidth="1"/>
    <col min="10498" max="10498" width="9" style="2"/>
    <col min="10499" max="10513" width="11.125" style="2" bestFit="1" customWidth="1"/>
    <col min="10514" max="10514" width="9" style="2"/>
    <col min="10515" max="10515" width="11.125" style="2" bestFit="1" customWidth="1"/>
    <col min="10516" max="10516" width="9.625" style="2" bestFit="1" customWidth="1"/>
    <col min="10517" max="10743" width="9" style="2"/>
    <col min="10744" max="10744" width="2.375" style="2" customWidth="1"/>
    <col min="10745" max="10745" width="13.25" style="2" bestFit="1" customWidth="1"/>
    <col min="10746" max="10749" width="11.125" style="2" bestFit="1" customWidth="1"/>
    <col min="10750" max="10750" width="13.25" style="2" bestFit="1" customWidth="1"/>
    <col min="10751" max="10751" width="11.125" style="2" bestFit="1" customWidth="1"/>
    <col min="10752" max="10752" width="9" style="2"/>
    <col min="10753" max="10753" width="11.125" style="2" bestFit="1" customWidth="1"/>
    <col min="10754" max="10754" width="9" style="2"/>
    <col min="10755" max="10769" width="11.125" style="2" bestFit="1" customWidth="1"/>
    <col min="10770" max="10770" width="9" style="2"/>
    <col min="10771" max="10771" width="11.125" style="2" bestFit="1" customWidth="1"/>
    <col min="10772" max="10772" width="9.625" style="2" bestFit="1" customWidth="1"/>
    <col min="10773" max="10999" width="9" style="2"/>
    <col min="11000" max="11000" width="2.375" style="2" customWidth="1"/>
    <col min="11001" max="11001" width="13.25" style="2" bestFit="1" customWidth="1"/>
    <col min="11002" max="11005" width="11.125" style="2" bestFit="1" customWidth="1"/>
    <col min="11006" max="11006" width="13.25" style="2" bestFit="1" customWidth="1"/>
    <col min="11007" max="11007" width="11.125" style="2" bestFit="1" customWidth="1"/>
    <col min="11008" max="11008" width="9" style="2"/>
    <col min="11009" max="11009" width="11.125" style="2" bestFit="1" customWidth="1"/>
    <col min="11010" max="11010" width="9" style="2"/>
    <col min="11011" max="11025" width="11.125" style="2" bestFit="1" customWidth="1"/>
    <col min="11026" max="11026" width="9" style="2"/>
    <col min="11027" max="11027" width="11.125" style="2" bestFit="1" customWidth="1"/>
    <col min="11028" max="11028" width="9.625" style="2" bestFit="1" customWidth="1"/>
    <col min="11029" max="11255" width="9" style="2"/>
    <col min="11256" max="11256" width="2.375" style="2" customWidth="1"/>
    <col min="11257" max="11257" width="13.25" style="2" bestFit="1" customWidth="1"/>
    <col min="11258" max="11261" width="11.125" style="2" bestFit="1" customWidth="1"/>
    <col min="11262" max="11262" width="13.25" style="2" bestFit="1" customWidth="1"/>
    <col min="11263" max="11263" width="11.125" style="2" bestFit="1" customWidth="1"/>
    <col min="11264" max="11264" width="9" style="2"/>
    <col min="11265" max="11265" width="11.125" style="2" bestFit="1" customWidth="1"/>
    <col min="11266" max="11266" width="9" style="2"/>
    <col min="11267" max="11281" width="11.125" style="2" bestFit="1" customWidth="1"/>
    <col min="11282" max="11282" width="9" style="2"/>
    <col min="11283" max="11283" width="11.125" style="2" bestFit="1" customWidth="1"/>
    <col min="11284" max="11284" width="9.625" style="2" bestFit="1" customWidth="1"/>
    <col min="11285" max="11511" width="9" style="2"/>
    <col min="11512" max="11512" width="2.375" style="2" customWidth="1"/>
    <col min="11513" max="11513" width="13.25" style="2" bestFit="1" customWidth="1"/>
    <col min="11514" max="11517" width="11.125" style="2" bestFit="1" customWidth="1"/>
    <col min="11518" max="11518" width="13.25" style="2" bestFit="1" customWidth="1"/>
    <col min="11519" max="11519" width="11.125" style="2" bestFit="1" customWidth="1"/>
    <col min="11520" max="11520" width="9" style="2"/>
    <col min="11521" max="11521" width="11.125" style="2" bestFit="1" customWidth="1"/>
    <col min="11522" max="11522" width="9" style="2"/>
    <col min="11523" max="11537" width="11.125" style="2" bestFit="1" customWidth="1"/>
    <col min="11538" max="11538" width="9" style="2"/>
    <col min="11539" max="11539" width="11.125" style="2" bestFit="1" customWidth="1"/>
    <col min="11540" max="11540" width="9.625" style="2" bestFit="1" customWidth="1"/>
    <col min="11541" max="11767" width="9" style="2"/>
    <col min="11768" max="11768" width="2.375" style="2" customWidth="1"/>
    <col min="11769" max="11769" width="13.25" style="2" bestFit="1" customWidth="1"/>
    <col min="11770" max="11773" width="11.125" style="2" bestFit="1" customWidth="1"/>
    <col min="11774" max="11774" width="13.25" style="2" bestFit="1" customWidth="1"/>
    <col min="11775" max="11775" width="11.125" style="2" bestFit="1" customWidth="1"/>
    <col min="11776" max="11776" width="9" style="2"/>
    <col min="11777" max="11777" width="11.125" style="2" bestFit="1" customWidth="1"/>
    <col min="11778" max="11778" width="9" style="2"/>
    <col min="11779" max="11793" width="11.125" style="2" bestFit="1" customWidth="1"/>
    <col min="11794" max="11794" width="9" style="2"/>
    <col min="11795" max="11795" width="11.125" style="2" bestFit="1" customWidth="1"/>
    <col min="11796" max="11796" width="9.625" style="2" bestFit="1" customWidth="1"/>
    <col min="11797" max="12023" width="9" style="2"/>
    <col min="12024" max="12024" width="2.375" style="2" customWidth="1"/>
    <col min="12025" max="12025" width="13.25" style="2" bestFit="1" customWidth="1"/>
    <col min="12026" max="12029" width="11.125" style="2" bestFit="1" customWidth="1"/>
    <col min="12030" max="12030" width="13.25" style="2" bestFit="1" customWidth="1"/>
    <col min="12031" max="12031" width="11.125" style="2" bestFit="1" customWidth="1"/>
    <col min="12032" max="12032" width="9" style="2"/>
    <col min="12033" max="12033" width="11.125" style="2" bestFit="1" customWidth="1"/>
    <col min="12034" max="12034" width="9" style="2"/>
    <col min="12035" max="12049" width="11.125" style="2" bestFit="1" customWidth="1"/>
    <col min="12050" max="12050" width="9" style="2"/>
    <col min="12051" max="12051" width="11.125" style="2" bestFit="1" customWidth="1"/>
    <col min="12052" max="12052" width="9.625" style="2" bestFit="1" customWidth="1"/>
    <col min="12053" max="12279" width="9" style="2"/>
    <col min="12280" max="12280" width="2.375" style="2" customWidth="1"/>
    <col min="12281" max="12281" width="13.25" style="2" bestFit="1" customWidth="1"/>
    <col min="12282" max="12285" width="11.125" style="2" bestFit="1" customWidth="1"/>
    <col min="12286" max="12286" width="13.25" style="2" bestFit="1" customWidth="1"/>
    <col min="12287" max="12287" width="11.125" style="2" bestFit="1" customWidth="1"/>
    <col min="12288" max="12288" width="9" style="2"/>
    <col min="12289" max="12289" width="11.125" style="2" bestFit="1" customWidth="1"/>
    <col min="12290" max="12290" width="9" style="2"/>
    <col min="12291" max="12305" width="11.125" style="2" bestFit="1" customWidth="1"/>
    <col min="12306" max="12306" width="9" style="2"/>
    <col min="12307" max="12307" width="11.125" style="2" bestFit="1" customWidth="1"/>
    <col min="12308" max="12308" width="9.625" style="2" bestFit="1" customWidth="1"/>
    <col min="12309" max="12535" width="9" style="2"/>
    <col min="12536" max="12536" width="2.375" style="2" customWidth="1"/>
    <col min="12537" max="12537" width="13.25" style="2" bestFit="1" customWidth="1"/>
    <col min="12538" max="12541" width="11.125" style="2" bestFit="1" customWidth="1"/>
    <col min="12542" max="12542" width="13.25" style="2" bestFit="1" customWidth="1"/>
    <col min="12543" max="12543" width="11.125" style="2" bestFit="1" customWidth="1"/>
    <col min="12544" max="12544" width="9" style="2"/>
    <col min="12545" max="12545" width="11.125" style="2" bestFit="1" customWidth="1"/>
    <col min="12546" max="12546" width="9" style="2"/>
    <col min="12547" max="12561" width="11.125" style="2" bestFit="1" customWidth="1"/>
    <col min="12562" max="12562" width="9" style="2"/>
    <col min="12563" max="12563" width="11.125" style="2" bestFit="1" customWidth="1"/>
    <col min="12564" max="12564" width="9.625" style="2" bestFit="1" customWidth="1"/>
    <col min="12565" max="12791" width="9" style="2"/>
    <col min="12792" max="12792" width="2.375" style="2" customWidth="1"/>
    <col min="12793" max="12793" width="13.25" style="2" bestFit="1" customWidth="1"/>
    <col min="12794" max="12797" width="11.125" style="2" bestFit="1" customWidth="1"/>
    <col min="12798" max="12798" width="13.25" style="2" bestFit="1" customWidth="1"/>
    <col min="12799" max="12799" width="11.125" style="2" bestFit="1" customWidth="1"/>
    <col min="12800" max="12800" width="9" style="2"/>
    <col min="12801" max="12801" width="11.125" style="2" bestFit="1" customWidth="1"/>
    <col min="12802" max="12802" width="9" style="2"/>
    <col min="12803" max="12817" width="11.125" style="2" bestFit="1" customWidth="1"/>
    <col min="12818" max="12818" width="9" style="2"/>
    <col min="12819" max="12819" width="11.125" style="2" bestFit="1" customWidth="1"/>
    <col min="12820" max="12820" width="9.625" style="2" bestFit="1" customWidth="1"/>
    <col min="12821" max="13047" width="9" style="2"/>
    <col min="13048" max="13048" width="2.375" style="2" customWidth="1"/>
    <col min="13049" max="13049" width="13.25" style="2" bestFit="1" customWidth="1"/>
    <col min="13050" max="13053" width="11.125" style="2" bestFit="1" customWidth="1"/>
    <col min="13054" max="13054" width="13.25" style="2" bestFit="1" customWidth="1"/>
    <col min="13055" max="13055" width="11.125" style="2" bestFit="1" customWidth="1"/>
    <col min="13056" max="13056" width="9" style="2"/>
    <col min="13057" max="13057" width="11.125" style="2" bestFit="1" customWidth="1"/>
    <col min="13058" max="13058" width="9" style="2"/>
    <col min="13059" max="13073" width="11.125" style="2" bestFit="1" customWidth="1"/>
    <col min="13074" max="13074" width="9" style="2"/>
    <col min="13075" max="13075" width="11.125" style="2" bestFit="1" customWidth="1"/>
    <col min="13076" max="13076" width="9.625" style="2" bestFit="1" customWidth="1"/>
    <col min="13077" max="13303" width="9" style="2"/>
    <col min="13304" max="13304" width="2.375" style="2" customWidth="1"/>
    <col min="13305" max="13305" width="13.25" style="2" bestFit="1" customWidth="1"/>
    <col min="13306" max="13309" width="11.125" style="2" bestFit="1" customWidth="1"/>
    <col min="13310" max="13310" width="13.25" style="2" bestFit="1" customWidth="1"/>
    <col min="13311" max="13311" width="11.125" style="2" bestFit="1" customWidth="1"/>
    <col min="13312" max="13312" width="9" style="2"/>
    <col min="13313" max="13313" width="11.125" style="2" bestFit="1" customWidth="1"/>
    <col min="13314" max="13314" width="9" style="2"/>
    <col min="13315" max="13329" width="11.125" style="2" bestFit="1" customWidth="1"/>
    <col min="13330" max="13330" width="9" style="2"/>
    <col min="13331" max="13331" width="11.125" style="2" bestFit="1" customWidth="1"/>
    <col min="13332" max="13332" width="9.625" style="2" bestFit="1" customWidth="1"/>
    <col min="13333" max="13559" width="9" style="2"/>
    <col min="13560" max="13560" width="2.375" style="2" customWidth="1"/>
    <col min="13561" max="13561" width="13.25" style="2" bestFit="1" customWidth="1"/>
    <col min="13562" max="13565" width="11.125" style="2" bestFit="1" customWidth="1"/>
    <col min="13566" max="13566" width="13.25" style="2" bestFit="1" customWidth="1"/>
    <col min="13567" max="13567" width="11.125" style="2" bestFit="1" customWidth="1"/>
    <col min="13568" max="13568" width="9" style="2"/>
    <col min="13569" max="13569" width="11.125" style="2" bestFit="1" customWidth="1"/>
    <col min="13570" max="13570" width="9" style="2"/>
    <col min="13571" max="13585" width="11.125" style="2" bestFit="1" customWidth="1"/>
    <col min="13586" max="13586" width="9" style="2"/>
    <col min="13587" max="13587" width="11.125" style="2" bestFit="1" customWidth="1"/>
    <col min="13588" max="13588" width="9.625" style="2" bestFit="1" customWidth="1"/>
    <col min="13589" max="13815" width="9" style="2"/>
    <col min="13816" max="13816" width="2.375" style="2" customWidth="1"/>
    <col min="13817" max="13817" width="13.25" style="2" bestFit="1" customWidth="1"/>
    <col min="13818" max="13821" width="11.125" style="2" bestFit="1" customWidth="1"/>
    <col min="13822" max="13822" width="13.25" style="2" bestFit="1" customWidth="1"/>
    <col min="13823" max="13823" width="11.125" style="2" bestFit="1" customWidth="1"/>
    <col min="13824" max="13824" width="9" style="2"/>
    <col min="13825" max="13825" width="11.125" style="2" bestFit="1" customWidth="1"/>
    <col min="13826" max="13826" width="9" style="2"/>
    <col min="13827" max="13841" width="11.125" style="2" bestFit="1" customWidth="1"/>
    <col min="13842" max="13842" width="9" style="2"/>
    <col min="13843" max="13843" width="11.125" style="2" bestFit="1" customWidth="1"/>
    <col min="13844" max="13844" width="9.625" style="2" bestFit="1" customWidth="1"/>
    <col min="13845" max="14071" width="9" style="2"/>
    <col min="14072" max="14072" width="2.375" style="2" customWidth="1"/>
    <col min="14073" max="14073" width="13.25" style="2" bestFit="1" customWidth="1"/>
    <col min="14074" max="14077" width="11.125" style="2" bestFit="1" customWidth="1"/>
    <col min="14078" max="14078" width="13.25" style="2" bestFit="1" customWidth="1"/>
    <col min="14079" max="14079" width="11.125" style="2" bestFit="1" customWidth="1"/>
    <col min="14080" max="14080" width="9" style="2"/>
    <col min="14081" max="14081" width="11.125" style="2" bestFit="1" customWidth="1"/>
    <col min="14082" max="14082" width="9" style="2"/>
    <col min="14083" max="14097" width="11.125" style="2" bestFit="1" customWidth="1"/>
    <col min="14098" max="14098" width="9" style="2"/>
    <col min="14099" max="14099" width="11.125" style="2" bestFit="1" customWidth="1"/>
    <col min="14100" max="14100" width="9.625" style="2" bestFit="1" customWidth="1"/>
    <col min="14101" max="14327" width="9" style="2"/>
    <col min="14328" max="14328" width="2.375" style="2" customWidth="1"/>
    <col min="14329" max="14329" width="13.25" style="2" bestFit="1" customWidth="1"/>
    <col min="14330" max="14333" width="11.125" style="2" bestFit="1" customWidth="1"/>
    <col min="14334" max="14334" width="13.25" style="2" bestFit="1" customWidth="1"/>
    <col min="14335" max="14335" width="11.125" style="2" bestFit="1" customWidth="1"/>
    <col min="14336" max="14336" width="9" style="2"/>
    <col min="14337" max="14337" width="11.125" style="2" bestFit="1" customWidth="1"/>
    <col min="14338" max="14338" width="9" style="2"/>
    <col min="14339" max="14353" width="11.125" style="2" bestFit="1" customWidth="1"/>
    <col min="14354" max="14354" width="9" style="2"/>
    <col min="14355" max="14355" width="11.125" style="2" bestFit="1" customWidth="1"/>
    <col min="14356" max="14356" width="9.625" style="2" bestFit="1" customWidth="1"/>
    <col min="14357" max="14583" width="9" style="2"/>
    <col min="14584" max="14584" width="2.375" style="2" customWidth="1"/>
    <col min="14585" max="14585" width="13.25" style="2" bestFit="1" customWidth="1"/>
    <col min="14586" max="14589" width="11.125" style="2" bestFit="1" customWidth="1"/>
    <col min="14590" max="14590" width="13.25" style="2" bestFit="1" customWidth="1"/>
    <col min="14591" max="14591" width="11.125" style="2" bestFit="1" customWidth="1"/>
    <col min="14592" max="14592" width="9" style="2"/>
    <col min="14593" max="14593" width="11.125" style="2" bestFit="1" customWidth="1"/>
    <col min="14594" max="14594" width="9" style="2"/>
    <col min="14595" max="14609" width="11.125" style="2" bestFit="1" customWidth="1"/>
    <col min="14610" max="14610" width="9" style="2"/>
    <col min="14611" max="14611" width="11.125" style="2" bestFit="1" customWidth="1"/>
    <col min="14612" max="14612" width="9.625" style="2" bestFit="1" customWidth="1"/>
    <col min="14613" max="14839" width="9" style="2"/>
    <col min="14840" max="14840" width="2.375" style="2" customWidth="1"/>
    <col min="14841" max="14841" width="13.25" style="2" bestFit="1" customWidth="1"/>
    <col min="14842" max="14845" width="11.125" style="2" bestFit="1" customWidth="1"/>
    <col min="14846" max="14846" width="13.25" style="2" bestFit="1" customWidth="1"/>
    <col min="14847" max="14847" width="11.125" style="2" bestFit="1" customWidth="1"/>
    <col min="14848" max="14848" width="9" style="2"/>
    <col min="14849" max="14849" width="11.125" style="2" bestFit="1" customWidth="1"/>
    <col min="14850" max="14850" width="9" style="2"/>
    <col min="14851" max="14865" width="11.125" style="2" bestFit="1" customWidth="1"/>
    <col min="14866" max="14866" width="9" style="2"/>
    <col min="14867" max="14867" width="11.125" style="2" bestFit="1" customWidth="1"/>
    <col min="14868" max="14868" width="9.625" style="2" bestFit="1" customWidth="1"/>
    <col min="14869" max="15095" width="9" style="2"/>
    <col min="15096" max="15096" width="2.375" style="2" customWidth="1"/>
    <col min="15097" max="15097" width="13.25" style="2" bestFit="1" customWidth="1"/>
    <col min="15098" max="15101" width="11.125" style="2" bestFit="1" customWidth="1"/>
    <col min="15102" max="15102" width="13.25" style="2" bestFit="1" customWidth="1"/>
    <col min="15103" max="15103" width="11.125" style="2" bestFit="1" customWidth="1"/>
    <col min="15104" max="15104" width="9" style="2"/>
    <col min="15105" max="15105" width="11.125" style="2" bestFit="1" customWidth="1"/>
    <col min="15106" max="15106" width="9" style="2"/>
    <col min="15107" max="15121" width="11.125" style="2" bestFit="1" customWidth="1"/>
    <col min="15122" max="15122" width="9" style="2"/>
    <col min="15123" max="15123" width="11.125" style="2" bestFit="1" customWidth="1"/>
    <col min="15124" max="15124" width="9.625" style="2" bestFit="1" customWidth="1"/>
    <col min="15125" max="15351" width="9" style="2"/>
    <col min="15352" max="15352" width="2.375" style="2" customWidth="1"/>
    <col min="15353" max="15353" width="13.25" style="2" bestFit="1" customWidth="1"/>
    <col min="15354" max="15357" width="11.125" style="2" bestFit="1" customWidth="1"/>
    <col min="15358" max="15358" width="13.25" style="2" bestFit="1" customWidth="1"/>
    <col min="15359" max="15359" width="11.125" style="2" bestFit="1" customWidth="1"/>
    <col min="15360" max="15360" width="9" style="2"/>
    <col min="15361" max="15361" width="11.125" style="2" bestFit="1" customWidth="1"/>
    <col min="15362" max="15362" width="9" style="2"/>
    <col min="15363" max="15377" width="11.125" style="2" bestFit="1" customWidth="1"/>
    <col min="15378" max="15378" width="9" style="2"/>
    <col min="15379" max="15379" width="11.125" style="2" bestFit="1" customWidth="1"/>
    <col min="15380" max="15380" width="9.625" style="2" bestFit="1" customWidth="1"/>
    <col min="15381" max="15607" width="9" style="2"/>
    <col min="15608" max="15608" width="2.375" style="2" customWidth="1"/>
    <col min="15609" max="15609" width="13.25" style="2" bestFit="1" customWidth="1"/>
    <col min="15610" max="15613" width="11.125" style="2" bestFit="1" customWidth="1"/>
    <col min="15614" max="15614" width="13.25" style="2" bestFit="1" customWidth="1"/>
    <col min="15615" max="15615" width="11.125" style="2" bestFit="1" customWidth="1"/>
    <col min="15616" max="15616" width="9" style="2"/>
    <col min="15617" max="15617" width="11.125" style="2" bestFit="1" customWidth="1"/>
    <col min="15618" max="15618" width="9" style="2"/>
    <col min="15619" max="15633" width="11.125" style="2" bestFit="1" customWidth="1"/>
    <col min="15634" max="15634" width="9" style="2"/>
    <col min="15635" max="15635" width="11.125" style="2" bestFit="1" customWidth="1"/>
    <col min="15636" max="15636" width="9.625" style="2" bestFit="1" customWidth="1"/>
    <col min="15637" max="15863" width="9" style="2"/>
    <col min="15864" max="15864" width="2.375" style="2" customWidth="1"/>
    <col min="15865" max="15865" width="13.25" style="2" bestFit="1" customWidth="1"/>
    <col min="15866" max="15869" width="11.125" style="2" bestFit="1" customWidth="1"/>
    <col min="15870" max="15870" width="13.25" style="2" bestFit="1" customWidth="1"/>
    <col min="15871" max="15871" width="11.125" style="2" bestFit="1" customWidth="1"/>
    <col min="15872" max="15872" width="9" style="2"/>
    <col min="15873" max="15873" width="11.125" style="2" bestFit="1" customWidth="1"/>
    <col min="15874" max="15874" width="9" style="2"/>
    <col min="15875" max="15889" width="11.125" style="2" bestFit="1" customWidth="1"/>
    <col min="15890" max="15890" width="9" style="2"/>
    <col min="15891" max="15891" width="11.125" style="2" bestFit="1" customWidth="1"/>
    <col min="15892" max="15892" width="9.625" style="2" bestFit="1" customWidth="1"/>
    <col min="15893" max="16119" width="9" style="2"/>
    <col min="16120" max="16120" width="2.375" style="2" customWidth="1"/>
    <col min="16121" max="16121" width="13.25" style="2" bestFit="1" customWidth="1"/>
    <col min="16122" max="16125" width="11.125" style="2" bestFit="1" customWidth="1"/>
    <col min="16126" max="16126" width="13.25" style="2" bestFit="1" customWidth="1"/>
    <col min="16127" max="16127" width="11.125" style="2" bestFit="1" customWidth="1"/>
    <col min="16128" max="16128" width="9" style="2"/>
    <col min="16129" max="16129" width="11.125" style="2" bestFit="1" customWidth="1"/>
    <col min="16130" max="16130" width="9" style="2"/>
    <col min="16131" max="16145" width="11.125" style="2" bestFit="1" customWidth="1"/>
    <col min="16146" max="16146" width="9" style="2"/>
    <col min="16147" max="16147" width="11.125" style="2" bestFit="1" customWidth="1"/>
    <col min="16148" max="16148" width="9.625" style="2" bestFit="1" customWidth="1"/>
    <col min="16149" max="16384" width="9" style="2"/>
  </cols>
  <sheetData>
    <row r="1" spans="1:21">
      <c r="A1" s="1" t="s">
        <v>0</v>
      </c>
    </row>
    <row r="2" spans="1:21" ht="19.5" thickBot="1">
      <c r="A2" s="1" t="s">
        <v>2</v>
      </c>
    </row>
    <row r="3" spans="1:21">
      <c r="B3" s="13"/>
      <c r="C3" s="26" t="s">
        <v>3</v>
      </c>
      <c r="D3" s="27" t="s">
        <v>4</v>
      </c>
      <c r="E3" s="27" t="s">
        <v>7</v>
      </c>
      <c r="F3" s="27" t="s">
        <v>8</v>
      </c>
      <c r="G3" s="27" t="s">
        <v>9</v>
      </c>
      <c r="H3" s="27" t="s">
        <v>10</v>
      </c>
      <c r="I3" s="27" t="s">
        <v>11</v>
      </c>
      <c r="J3" s="27" t="s">
        <v>12</v>
      </c>
      <c r="K3" s="27" t="s">
        <v>13</v>
      </c>
      <c r="L3" s="27" t="s">
        <v>14</v>
      </c>
      <c r="M3" s="27" t="s">
        <v>15</v>
      </c>
      <c r="N3" s="27" t="s">
        <v>16</v>
      </c>
      <c r="O3" s="27" t="s">
        <v>18</v>
      </c>
      <c r="P3" s="27" t="s">
        <v>19</v>
      </c>
      <c r="Q3" s="27" t="s">
        <v>20</v>
      </c>
      <c r="R3" s="27" t="s">
        <v>21</v>
      </c>
      <c r="S3" s="27" t="s">
        <v>22</v>
      </c>
      <c r="T3" s="4" t="s">
        <v>23</v>
      </c>
      <c r="U3" s="50" t="s">
        <v>65</v>
      </c>
    </row>
    <row r="4" spans="1:21" ht="19.5" thickBot="1">
      <c r="B4" s="6" t="s">
        <v>24</v>
      </c>
      <c r="C4" s="28" t="s">
        <v>25</v>
      </c>
      <c r="D4" s="29" t="s">
        <v>26</v>
      </c>
      <c r="E4" s="29" t="s">
        <v>29</v>
      </c>
      <c r="F4" s="29" t="s">
        <v>30</v>
      </c>
      <c r="G4" s="29" t="s">
        <v>31</v>
      </c>
      <c r="H4" s="29" t="s">
        <v>32</v>
      </c>
      <c r="I4" s="29" t="s">
        <v>33</v>
      </c>
      <c r="J4" s="29" t="s">
        <v>34</v>
      </c>
      <c r="K4" s="29" t="s">
        <v>35</v>
      </c>
      <c r="L4" s="29" t="s">
        <v>36</v>
      </c>
      <c r="M4" s="29" t="s">
        <v>37</v>
      </c>
      <c r="N4" s="29" t="s">
        <v>38</v>
      </c>
      <c r="O4" s="29" t="s">
        <v>40</v>
      </c>
      <c r="P4" s="29" t="s">
        <v>41</v>
      </c>
      <c r="Q4" s="29" t="s">
        <v>42</v>
      </c>
      <c r="R4" s="29" t="s">
        <v>43</v>
      </c>
      <c r="S4" s="29" t="s">
        <v>44</v>
      </c>
      <c r="T4" s="3" t="s">
        <v>45</v>
      </c>
      <c r="U4" s="51" t="s">
        <v>66</v>
      </c>
    </row>
    <row r="5" spans="1:21">
      <c r="A5" s="1" t="s">
        <v>1</v>
      </c>
      <c r="B5" s="23" t="s">
        <v>47</v>
      </c>
      <c r="C5" s="30">
        <v>59000</v>
      </c>
      <c r="D5" s="31">
        <v>71000</v>
      </c>
      <c r="E5" s="31">
        <v>83000</v>
      </c>
      <c r="F5" s="31">
        <v>83000</v>
      </c>
      <c r="G5" s="31">
        <v>71000</v>
      </c>
      <c r="H5" s="31">
        <v>83000</v>
      </c>
      <c r="I5" s="31">
        <v>59000</v>
      </c>
      <c r="J5" s="31">
        <v>71000</v>
      </c>
      <c r="K5" s="31">
        <v>53000</v>
      </c>
      <c r="L5" s="31">
        <v>83000</v>
      </c>
      <c r="M5" s="31">
        <v>71000</v>
      </c>
      <c r="N5" s="31">
        <v>71000</v>
      </c>
      <c r="O5" s="31">
        <v>83000</v>
      </c>
      <c r="P5" s="31">
        <v>59000</v>
      </c>
      <c r="Q5" s="31">
        <v>53000</v>
      </c>
      <c r="R5" s="31">
        <v>53000</v>
      </c>
      <c r="S5" s="31">
        <v>53000</v>
      </c>
      <c r="T5" s="24">
        <v>59000</v>
      </c>
      <c r="U5" s="25">
        <f>SUM(C5:T5)</f>
        <v>1218000</v>
      </c>
    </row>
    <row r="6" spans="1:21">
      <c r="A6" s="1" t="s">
        <v>1</v>
      </c>
      <c r="B6" s="20" t="s">
        <v>48</v>
      </c>
      <c r="C6" s="32">
        <v>0</v>
      </c>
      <c r="D6" s="33">
        <v>0</v>
      </c>
      <c r="E6" s="33">
        <v>30000</v>
      </c>
      <c r="F6" s="33">
        <v>30000</v>
      </c>
      <c r="G6" s="33">
        <v>15000</v>
      </c>
      <c r="H6" s="33">
        <v>15000</v>
      </c>
      <c r="I6" s="33">
        <v>0</v>
      </c>
      <c r="J6" s="33">
        <v>15000</v>
      </c>
      <c r="K6" s="33">
        <v>0</v>
      </c>
      <c r="L6" s="33">
        <v>0</v>
      </c>
      <c r="M6" s="33">
        <v>0</v>
      </c>
      <c r="N6" s="33">
        <v>0</v>
      </c>
      <c r="O6" s="33">
        <v>15000</v>
      </c>
      <c r="P6" s="33">
        <v>0</v>
      </c>
      <c r="Q6" s="33">
        <v>0</v>
      </c>
      <c r="R6" s="33">
        <v>0</v>
      </c>
      <c r="S6" s="33">
        <v>0</v>
      </c>
      <c r="T6" s="21">
        <v>0</v>
      </c>
      <c r="U6" s="22">
        <f t="shared" ref="U6:U21" si="0">SUM(C6:T6)</f>
        <v>120000</v>
      </c>
    </row>
    <row r="7" spans="1:21">
      <c r="A7" s="1" t="s">
        <v>1</v>
      </c>
      <c r="B7" s="20" t="s">
        <v>49</v>
      </c>
      <c r="C7" s="32">
        <v>0</v>
      </c>
      <c r="D7" s="33">
        <v>0</v>
      </c>
      <c r="E7" s="33">
        <v>500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21">
        <v>0</v>
      </c>
      <c r="U7" s="22">
        <f t="shared" si="0"/>
        <v>500</v>
      </c>
    </row>
    <row r="8" spans="1:21">
      <c r="A8" s="1" t="s">
        <v>1</v>
      </c>
      <c r="B8" s="7" t="s">
        <v>50</v>
      </c>
      <c r="C8" s="34">
        <v>15000</v>
      </c>
      <c r="D8" s="35">
        <v>15000</v>
      </c>
      <c r="E8" s="35">
        <v>15000</v>
      </c>
      <c r="F8" s="35">
        <v>15000</v>
      </c>
      <c r="G8" s="35">
        <v>15000</v>
      </c>
      <c r="H8" s="35">
        <v>15000</v>
      </c>
      <c r="I8" s="35">
        <v>15000</v>
      </c>
      <c r="J8" s="35">
        <v>15000</v>
      </c>
      <c r="K8" s="35">
        <v>15000</v>
      </c>
      <c r="L8" s="35">
        <v>15000</v>
      </c>
      <c r="M8" s="35">
        <v>15000</v>
      </c>
      <c r="N8" s="35">
        <v>15000</v>
      </c>
      <c r="O8" s="35">
        <v>15000</v>
      </c>
      <c r="P8" s="35">
        <v>15000</v>
      </c>
      <c r="Q8" s="35">
        <v>15000</v>
      </c>
      <c r="R8" s="35">
        <v>15000</v>
      </c>
      <c r="S8" s="35">
        <v>15000</v>
      </c>
      <c r="T8" s="8">
        <v>15000</v>
      </c>
      <c r="U8" s="9">
        <f t="shared" si="0"/>
        <v>270000</v>
      </c>
    </row>
    <row r="9" spans="1:21">
      <c r="A9" s="1" t="s">
        <v>1</v>
      </c>
      <c r="B9" s="14" t="s">
        <v>51</v>
      </c>
      <c r="C9" s="36">
        <v>74000</v>
      </c>
      <c r="D9" s="37">
        <v>86000</v>
      </c>
      <c r="E9" s="37">
        <v>128500</v>
      </c>
      <c r="F9" s="37">
        <v>128000</v>
      </c>
      <c r="G9" s="37">
        <v>101000</v>
      </c>
      <c r="H9" s="37">
        <v>113000</v>
      </c>
      <c r="I9" s="37">
        <v>74000</v>
      </c>
      <c r="J9" s="37">
        <v>101000</v>
      </c>
      <c r="K9" s="37">
        <v>68000</v>
      </c>
      <c r="L9" s="37">
        <v>98000</v>
      </c>
      <c r="M9" s="37">
        <v>86000</v>
      </c>
      <c r="N9" s="37">
        <v>86000</v>
      </c>
      <c r="O9" s="37">
        <v>113000</v>
      </c>
      <c r="P9" s="37">
        <v>74000</v>
      </c>
      <c r="Q9" s="37">
        <v>68000</v>
      </c>
      <c r="R9" s="37">
        <v>68000</v>
      </c>
      <c r="S9" s="37">
        <v>68000</v>
      </c>
      <c r="T9" s="15">
        <v>74000</v>
      </c>
      <c r="U9" s="16">
        <f t="shared" si="0"/>
        <v>1608500</v>
      </c>
    </row>
    <row r="10" spans="1:21">
      <c r="A10" s="1" t="s">
        <v>1</v>
      </c>
      <c r="B10" s="14" t="s">
        <v>52</v>
      </c>
      <c r="C10" s="36">
        <v>74000</v>
      </c>
      <c r="D10" s="37">
        <v>86000</v>
      </c>
      <c r="E10" s="37">
        <v>128500</v>
      </c>
      <c r="F10" s="37">
        <v>128000</v>
      </c>
      <c r="G10" s="37">
        <v>101000</v>
      </c>
      <c r="H10" s="37">
        <v>113000</v>
      </c>
      <c r="I10" s="37">
        <v>74000</v>
      </c>
      <c r="J10" s="37">
        <v>101000</v>
      </c>
      <c r="K10" s="37">
        <v>68000</v>
      </c>
      <c r="L10" s="37">
        <v>98000</v>
      </c>
      <c r="M10" s="37">
        <v>86000</v>
      </c>
      <c r="N10" s="37">
        <v>86000</v>
      </c>
      <c r="O10" s="37">
        <v>113000</v>
      </c>
      <c r="P10" s="37">
        <v>74000</v>
      </c>
      <c r="Q10" s="37">
        <v>68000</v>
      </c>
      <c r="R10" s="37">
        <v>68000</v>
      </c>
      <c r="S10" s="37">
        <v>68000</v>
      </c>
      <c r="T10" s="15">
        <v>74000</v>
      </c>
      <c r="U10" s="16">
        <f t="shared" si="0"/>
        <v>1608500</v>
      </c>
    </row>
    <row r="11" spans="1:21">
      <c r="A11" s="1" t="s">
        <v>1</v>
      </c>
      <c r="B11" s="17" t="s">
        <v>53</v>
      </c>
      <c r="C11" s="38">
        <v>3774</v>
      </c>
      <c r="D11" s="39">
        <v>4386</v>
      </c>
      <c r="E11" s="39">
        <v>6528</v>
      </c>
      <c r="F11" s="39">
        <v>6528</v>
      </c>
      <c r="G11" s="39">
        <v>5151</v>
      </c>
      <c r="H11" s="39">
        <v>5763</v>
      </c>
      <c r="I11" s="39">
        <v>3774</v>
      </c>
      <c r="J11" s="39">
        <v>5151</v>
      </c>
      <c r="K11" s="39">
        <v>3468</v>
      </c>
      <c r="L11" s="39">
        <v>4998</v>
      </c>
      <c r="M11" s="39">
        <v>4386</v>
      </c>
      <c r="N11" s="39">
        <v>4386</v>
      </c>
      <c r="O11" s="39">
        <v>5763</v>
      </c>
      <c r="P11" s="39">
        <v>3774</v>
      </c>
      <c r="Q11" s="39">
        <v>3468</v>
      </c>
      <c r="R11" s="39">
        <v>3468</v>
      </c>
      <c r="S11" s="39">
        <v>3468</v>
      </c>
      <c r="T11" s="18">
        <v>3774</v>
      </c>
      <c r="U11" s="19">
        <f t="shared" si="0"/>
        <v>82008</v>
      </c>
    </row>
    <row r="12" spans="1:21">
      <c r="A12" s="1" t="s">
        <v>1</v>
      </c>
      <c r="B12" s="20" t="s">
        <v>54</v>
      </c>
      <c r="C12" s="32">
        <v>666</v>
      </c>
      <c r="D12" s="33">
        <v>774</v>
      </c>
      <c r="E12" s="33">
        <v>1152</v>
      </c>
      <c r="F12" s="33">
        <v>1152</v>
      </c>
      <c r="G12" s="33">
        <v>0</v>
      </c>
      <c r="H12" s="33">
        <v>1017</v>
      </c>
      <c r="I12" s="33">
        <v>666</v>
      </c>
      <c r="J12" s="33">
        <v>909</v>
      </c>
      <c r="K12" s="33">
        <v>612</v>
      </c>
      <c r="L12" s="33">
        <v>882</v>
      </c>
      <c r="M12" s="33">
        <v>774</v>
      </c>
      <c r="N12" s="33">
        <v>774</v>
      </c>
      <c r="O12" s="33">
        <v>1017</v>
      </c>
      <c r="P12" s="33">
        <v>666</v>
      </c>
      <c r="Q12" s="33">
        <v>612</v>
      </c>
      <c r="R12" s="33">
        <v>612</v>
      </c>
      <c r="S12" s="33">
        <v>612</v>
      </c>
      <c r="T12" s="21">
        <v>666</v>
      </c>
      <c r="U12" s="22">
        <f t="shared" si="0"/>
        <v>13563</v>
      </c>
    </row>
    <row r="13" spans="1:21">
      <c r="A13" s="1" t="s">
        <v>1</v>
      </c>
      <c r="B13" s="20" t="s">
        <v>55</v>
      </c>
      <c r="C13" s="32">
        <v>6771</v>
      </c>
      <c r="D13" s="33">
        <v>7869</v>
      </c>
      <c r="E13" s="33">
        <v>11712</v>
      </c>
      <c r="F13" s="33">
        <v>11712</v>
      </c>
      <c r="G13" s="33">
        <v>9241</v>
      </c>
      <c r="H13" s="33">
        <v>10339</v>
      </c>
      <c r="I13" s="33">
        <v>6771</v>
      </c>
      <c r="J13" s="33">
        <v>9241</v>
      </c>
      <c r="K13" s="33">
        <v>6222</v>
      </c>
      <c r="L13" s="33">
        <v>8967</v>
      </c>
      <c r="M13" s="33">
        <v>7869</v>
      </c>
      <c r="N13" s="33">
        <v>7869</v>
      </c>
      <c r="O13" s="33">
        <v>10339</v>
      </c>
      <c r="P13" s="33">
        <v>6771</v>
      </c>
      <c r="Q13" s="33">
        <v>6222</v>
      </c>
      <c r="R13" s="33">
        <v>6222</v>
      </c>
      <c r="S13" s="33">
        <v>6222</v>
      </c>
      <c r="T13" s="21">
        <v>6771</v>
      </c>
      <c r="U13" s="22">
        <f t="shared" si="0"/>
        <v>147130</v>
      </c>
    </row>
    <row r="14" spans="1:21">
      <c r="A14" s="1" t="s">
        <v>1</v>
      </c>
      <c r="B14" s="7" t="s">
        <v>56</v>
      </c>
      <c r="C14" s="34">
        <v>444</v>
      </c>
      <c r="D14" s="35">
        <v>516</v>
      </c>
      <c r="E14" s="35">
        <v>771</v>
      </c>
      <c r="F14" s="35">
        <v>768</v>
      </c>
      <c r="G14" s="35">
        <v>606</v>
      </c>
      <c r="H14" s="35">
        <v>678</v>
      </c>
      <c r="I14" s="35">
        <v>444</v>
      </c>
      <c r="J14" s="35">
        <v>606</v>
      </c>
      <c r="K14" s="35">
        <v>408</v>
      </c>
      <c r="L14" s="35">
        <v>588</v>
      </c>
      <c r="M14" s="35">
        <v>516</v>
      </c>
      <c r="N14" s="35">
        <v>516</v>
      </c>
      <c r="O14" s="35">
        <v>678</v>
      </c>
      <c r="P14" s="35">
        <v>444</v>
      </c>
      <c r="Q14" s="35">
        <v>408</v>
      </c>
      <c r="R14" s="35">
        <v>408</v>
      </c>
      <c r="S14" s="35">
        <v>408</v>
      </c>
      <c r="T14" s="8">
        <v>444</v>
      </c>
      <c r="U14" s="9">
        <f t="shared" si="0"/>
        <v>9651</v>
      </c>
    </row>
    <row r="15" spans="1:21">
      <c r="A15" s="1" t="s">
        <v>1</v>
      </c>
      <c r="B15" s="14" t="s">
        <v>57</v>
      </c>
      <c r="C15" s="36">
        <v>62345</v>
      </c>
      <c r="D15" s="37">
        <v>72455</v>
      </c>
      <c r="E15" s="37">
        <v>108337</v>
      </c>
      <c r="F15" s="37">
        <v>107840</v>
      </c>
      <c r="G15" s="37">
        <v>86002</v>
      </c>
      <c r="H15" s="37">
        <v>95203</v>
      </c>
      <c r="I15" s="37">
        <v>62345</v>
      </c>
      <c r="J15" s="37">
        <v>85093</v>
      </c>
      <c r="K15" s="37">
        <v>57290</v>
      </c>
      <c r="L15" s="37">
        <v>82565</v>
      </c>
      <c r="M15" s="37">
        <v>72455</v>
      </c>
      <c r="N15" s="37">
        <v>72455</v>
      </c>
      <c r="O15" s="37">
        <v>95203</v>
      </c>
      <c r="P15" s="37">
        <v>62345</v>
      </c>
      <c r="Q15" s="37">
        <v>57290</v>
      </c>
      <c r="R15" s="37">
        <v>57290</v>
      </c>
      <c r="S15" s="37">
        <v>57290</v>
      </c>
      <c r="T15" s="15">
        <v>62345</v>
      </c>
      <c r="U15" s="16">
        <f t="shared" si="0"/>
        <v>1356148</v>
      </c>
    </row>
    <row r="16" spans="1:21">
      <c r="A16" s="1" t="s">
        <v>1</v>
      </c>
      <c r="B16" s="14" t="s">
        <v>58</v>
      </c>
      <c r="C16" s="36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15">
        <v>0</v>
      </c>
      <c r="U16" s="16">
        <f t="shared" si="0"/>
        <v>0</v>
      </c>
    </row>
    <row r="17" spans="1:21">
      <c r="A17" s="1" t="s">
        <v>1</v>
      </c>
      <c r="B17" s="14" t="s">
        <v>59</v>
      </c>
      <c r="C17" s="36">
        <v>11655</v>
      </c>
      <c r="D17" s="37">
        <v>13545</v>
      </c>
      <c r="E17" s="37">
        <v>20163</v>
      </c>
      <c r="F17" s="37">
        <v>20160</v>
      </c>
      <c r="G17" s="37">
        <v>14998</v>
      </c>
      <c r="H17" s="37">
        <v>17797</v>
      </c>
      <c r="I17" s="37">
        <v>11655</v>
      </c>
      <c r="J17" s="37">
        <v>15907</v>
      </c>
      <c r="K17" s="37">
        <v>10710</v>
      </c>
      <c r="L17" s="37">
        <v>15435</v>
      </c>
      <c r="M17" s="37">
        <v>13545</v>
      </c>
      <c r="N17" s="37">
        <v>13545</v>
      </c>
      <c r="O17" s="37">
        <v>17797</v>
      </c>
      <c r="P17" s="37">
        <v>11655</v>
      </c>
      <c r="Q17" s="37">
        <v>10710</v>
      </c>
      <c r="R17" s="37">
        <v>10710</v>
      </c>
      <c r="S17" s="37">
        <v>10710</v>
      </c>
      <c r="T17" s="15">
        <v>11655</v>
      </c>
      <c r="U17" s="16">
        <f t="shared" si="0"/>
        <v>252352</v>
      </c>
    </row>
    <row r="18" spans="1:21">
      <c r="A18" s="1" t="s">
        <v>1</v>
      </c>
      <c r="B18" s="14" t="s">
        <v>60</v>
      </c>
      <c r="C18" s="36">
        <v>62345</v>
      </c>
      <c r="D18" s="37">
        <v>72455</v>
      </c>
      <c r="E18" s="37">
        <v>108337</v>
      </c>
      <c r="F18" s="37">
        <v>107840</v>
      </c>
      <c r="G18" s="37">
        <v>86002</v>
      </c>
      <c r="H18" s="37">
        <v>95203</v>
      </c>
      <c r="I18" s="37">
        <v>62345</v>
      </c>
      <c r="J18" s="37">
        <v>85093</v>
      </c>
      <c r="K18" s="37">
        <v>57290</v>
      </c>
      <c r="L18" s="37">
        <v>82565</v>
      </c>
      <c r="M18" s="37">
        <v>72455</v>
      </c>
      <c r="N18" s="37">
        <v>72455</v>
      </c>
      <c r="O18" s="37">
        <v>95203</v>
      </c>
      <c r="P18" s="37">
        <v>62345</v>
      </c>
      <c r="Q18" s="37">
        <v>57290</v>
      </c>
      <c r="R18" s="37">
        <v>57290</v>
      </c>
      <c r="S18" s="37">
        <v>57290</v>
      </c>
      <c r="T18" s="15">
        <v>62345</v>
      </c>
      <c r="U18" s="16">
        <f t="shared" si="0"/>
        <v>1356148</v>
      </c>
    </row>
    <row r="19" spans="1:21">
      <c r="A19" s="1" t="s">
        <v>1</v>
      </c>
      <c r="B19" s="14" t="s">
        <v>61</v>
      </c>
      <c r="C19" s="36">
        <v>62345</v>
      </c>
      <c r="D19" s="37">
        <v>72455</v>
      </c>
      <c r="E19" s="37">
        <v>108337</v>
      </c>
      <c r="F19" s="37">
        <v>107840</v>
      </c>
      <c r="G19" s="37">
        <v>86002</v>
      </c>
      <c r="H19" s="37">
        <v>95203</v>
      </c>
      <c r="I19" s="37">
        <v>62345</v>
      </c>
      <c r="J19" s="37">
        <v>85093</v>
      </c>
      <c r="K19" s="37">
        <v>57290</v>
      </c>
      <c r="L19" s="37">
        <v>82565</v>
      </c>
      <c r="M19" s="37">
        <v>72455</v>
      </c>
      <c r="N19" s="37">
        <v>72455</v>
      </c>
      <c r="O19" s="37">
        <v>95203</v>
      </c>
      <c r="P19" s="37">
        <v>62345</v>
      </c>
      <c r="Q19" s="37">
        <v>57290</v>
      </c>
      <c r="R19" s="37">
        <v>57290</v>
      </c>
      <c r="S19" s="37">
        <v>57290</v>
      </c>
      <c r="T19" s="15">
        <v>62345</v>
      </c>
      <c r="U19" s="16">
        <f t="shared" si="0"/>
        <v>1356148</v>
      </c>
    </row>
    <row r="20" spans="1:21">
      <c r="A20" s="1" t="s">
        <v>1</v>
      </c>
      <c r="B20" s="14" t="s">
        <v>62</v>
      </c>
      <c r="C20" s="36">
        <v>1273</v>
      </c>
      <c r="D20" s="37">
        <v>4438</v>
      </c>
      <c r="E20" s="37">
        <v>6636</v>
      </c>
      <c r="F20" s="37">
        <v>8808</v>
      </c>
      <c r="G20" s="37">
        <v>1756</v>
      </c>
      <c r="H20" s="37">
        <v>7776</v>
      </c>
      <c r="I20" s="37">
        <v>2546</v>
      </c>
      <c r="J20" s="37">
        <v>3475</v>
      </c>
      <c r="K20" s="37">
        <v>2339</v>
      </c>
      <c r="L20" s="37">
        <v>6743</v>
      </c>
      <c r="M20" s="37">
        <v>4438</v>
      </c>
      <c r="N20" s="37">
        <v>5918</v>
      </c>
      <c r="O20" s="37">
        <v>0</v>
      </c>
      <c r="P20" s="37">
        <v>2546</v>
      </c>
      <c r="Q20" s="37">
        <v>2339</v>
      </c>
      <c r="R20" s="37">
        <v>1169</v>
      </c>
      <c r="S20" s="37">
        <v>3509</v>
      </c>
      <c r="T20" s="15">
        <v>2546</v>
      </c>
      <c r="U20" s="16">
        <f t="shared" si="0"/>
        <v>68255</v>
      </c>
    </row>
    <row r="21" spans="1:21">
      <c r="A21" s="1" t="s">
        <v>1</v>
      </c>
      <c r="B21" s="14" t="s">
        <v>63</v>
      </c>
      <c r="C21" s="36">
        <v>1273</v>
      </c>
      <c r="D21" s="37">
        <v>4438</v>
      </c>
      <c r="E21" s="37">
        <v>6636</v>
      </c>
      <c r="F21" s="37">
        <v>8808</v>
      </c>
      <c r="G21" s="37">
        <v>1756</v>
      </c>
      <c r="H21" s="37">
        <v>7776</v>
      </c>
      <c r="I21" s="37">
        <v>2546</v>
      </c>
      <c r="J21" s="37">
        <v>3475</v>
      </c>
      <c r="K21" s="37">
        <v>2339</v>
      </c>
      <c r="L21" s="37">
        <v>6743</v>
      </c>
      <c r="M21" s="37">
        <v>4438</v>
      </c>
      <c r="N21" s="37">
        <v>5918</v>
      </c>
      <c r="O21" s="37">
        <v>0</v>
      </c>
      <c r="P21" s="37">
        <v>2546</v>
      </c>
      <c r="Q21" s="37">
        <v>2339</v>
      </c>
      <c r="R21" s="37">
        <v>1169</v>
      </c>
      <c r="S21" s="37">
        <v>3509</v>
      </c>
      <c r="T21" s="15">
        <v>2546</v>
      </c>
      <c r="U21" s="16">
        <f t="shared" si="0"/>
        <v>68255</v>
      </c>
    </row>
    <row r="22" spans="1:21" ht="19.5" thickBot="1">
      <c r="A22" s="1" t="s">
        <v>1</v>
      </c>
      <c r="B22" s="10" t="s">
        <v>64</v>
      </c>
      <c r="C22" s="40">
        <v>60000</v>
      </c>
      <c r="D22" s="41">
        <v>30000</v>
      </c>
      <c r="E22" s="41">
        <v>60000</v>
      </c>
      <c r="F22" s="41">
        <v>30000</v>
      </c>
      <c r="G22" s="41">
        <v>30000</v>
      </c>
      <c r="H22" s="41">
        <v>30000</v>
      </c>
      <c r="I22" s="41">
        <v>30000</v>
      </c>
      <c r="J22" s="41">
        <v>60000</v>
      </c>
      <c r="K22" s="41">
        <v>30000</v>
      </c>
      <c r="L22" s="41">
        <v>30000</v>
      </c>
      <c r="M22" s="41">
        <v>30000</v>
      </c>
      <c r="N22" s="41">
        <v>30000</v>
      </c>
      <c r="O22" s="41">
        <v>150000</v>
      </c>
      <c r="P22" s="41">
        <v>30000</v>
      </c>
      <c r="Q22" s="41">
        <v>30000</v>
      </c>
      <c r="R22" s="41">
        <v>60000</v>
      </c>
      <c r="S22" s="41">
        <v>30000</v>
      </c>
      <c r="T22" s="11">
        <v>30000</v>
      </c>
      <c r="U22" s="12"/>
    </row>
  </sheetData>
  <phoneticPr fontId="3"/>
  <pageMargins left="0.11811023622047245" right="0.19685039370078741" top="0.35433070866141736" bottom="0.35433070866141736" header="0.11811023622047245" footer="0.11811023622047245"/>
  <pageSetup paperSize="12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2CB3-1752-48A4-AEEF-7F34187C8A29}">
  <sheetPr>
    <pageSetUpPr fitToPage="1"/>
  </sheetPr>
  <dimension ref="A1:H2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5.125" style="2" customWidth="1"/>
    <col min="2" max="2" width="13.25" style="2" bestFit="1" customWidth="1"/>
    <col min="3" max="8" width="14.375" style="2" customWidth="1"/>
    <col min="9" max="233" width="9" style="2"/>
    <col min="234" max="234" width="2.375" style="2" customWidth="1"/>
    <col min="235" max="235" width="13.25" style="2" bestFit="1" customWidth="1"/>
    <col min="236" max="239" width="11.125" style="2" bestFit="1" customWidth="1"/>
    <col min="240" max="240" width="13.25" style="2" bestFit="1" customWidth="1"/>
    <col min="241" max="241" width="11.125" style="2" bestFit="1" customWidth="1"/>
    <col min="242" max="242" width="9" style="2"/>
    <col min="243" max="243" width="11.125" style="2" bestFit="1" customWidth="1"/>
    <col min="244" max="244" width="9" style="2"/>
    <col min="245" max="259" width="11.125" style="2" bestFit="1" customWidth="1"/>
    <col min="260" max="260" width="9" style="2"/>
    <col min="261" max="261" width="11.125" style="2" bestFit="1" customWidth="1"/>
    <col min="262" max="262" width="9.625" style="2" bestFit="1" customWidth="1"/>
    <col min="263" max="489" width="9" style="2"/>
    <col min="490" max="490" width="2.375" style="2" customWidth="1"/>
    <col min="491" max="491" width="13.25" style="2" bestFit="1" customWidth="1"/>
    <col min="492" max="495" width="11.125" style="2" bestFit="1" customWidth="1"/>
    <col min="496" max="496" width="13.25" style="2" bestFit="1" customWidth="1"/>
    <col min="497" max="497" width="11.125" style="2" bestFit="1" customWidth="1"/>
    <col min="498" max="498" width="9" style="2"/>
    <col min="499" max="499" width="11.125" style="2" bestFit="1" customWidth="1"/>
    <col min="500" max="500" width="9" style="2"/>
    <col min="501" max="515" width="11.125" style="2" bestFit="1" customWidth="1"/>
    <col min="516" max="516" width="9" style="2"/>
    <col min="517" max="517" width="11.125" style="2" bestFit="1" customWidth="1"/>
    <col min="518" max="518" width="9.625" style="2" bestFit="1" customWidth="1"/>
    <col min="519" max="745" width="9" style="2"/>
    <col min="746" max="746" width="2.375" style="2" customWidth="1"/>
    <col min="747" max="747" width="13.25" style="2" bestFit="1" customWidth="1"/>
    <col min="748" max="751" width="11.125" style="2" bestFit="1" customWidth="1"/>
    <col min="752" max="752" width="13.25" style="2" bestFit="1" customWidth="1"/>
    <col min="753" max="753" width="11.125" style="2" bestFit="1" customWidth="1"/>
    <col min="754" max="754" width="9" style="2"/>
    <col min="755" max="755" width="11.125" style="2" bestFit="1" customWidth="1"/>
    <col min="756" max="756" width="9" style="2"/>
    <col min="757" max="771" width="11.125" style="2" bestFit="1" customWidth="1"/>
    <col min="772" max="772" width="9" style="2"/>
    <col min="773" max="773" width="11.125" style="2" bestFit="1" customWidth="1"/>
    <col min="774" max="774" width="9.625" style="2" bestFit="1" customWidth="1"/>
    <col min="775" max="1001" width="9" style="2"/>
    <col min="1002" max="1002" width="2.375" style="2" customWidth="1"/>
    <col min="1003" max="1003" width="13.25" style="2" bestFit="1" customWidth="1"/>
    <col min="1004" max="1007" width="11.125" style="2" bestFit="1" customWidth="1"/>
    <col min="1008" max="1008" width="13.25" style="2" bestFit="1" customWidth="1"/>
    <col min="1009" max="1009" width="11.125" style="2" bestFit="1" customWidth="1"/>
    <col min="1010" max="1010" width="9" style="2"/>
    <col min="1011" max="1011" width="11.125" style="2" bestFit="1" customWidth="1"/>
    <col min="1012" max="1012" width="9" style="2"/>
    <col min="1013" max="1027" width="11.125" style="2" bestFit="1" customWidth="1"/>
    <col min="1028" max="1028" width="9" style="2"/>
    <col min="1029" max="1029" width="11.125" style="2" bestFit="1" customWidth="1"/>
    <col min="1030" max="1030" width="9.625" style="2" bestFit="1" customWidth="1"/>
    <col min="1031" max="1257" width="9" style="2"/>
    <col min="1258" max="1258" width="2.375" style="2" customWidth="1"/>
    <col min="1259" max="1259" width="13.25" style="2" bestFit="1" customWidth="1"/>
    <col min="1260" max="1263" width="11.125" style="2" bestFit="1" customWidth="1"/>
    <col min="1264" max="1264" width="13.25" style="2" bestFit="1" customWidth="1"/>
    <col min="1265" max="1265" width="11.125" style="2" bestFit="1" customWidth="1"/>
    <col min="1266" max="1266" width="9" style="2"/>
    <col min="1267" max="1267" width="11.125" style="2" bestFit="1" customWidth="1"/>
    <col min="1268" max="1268" width="9" style="2"/>
    <col min="1269" max="1283" width="11.125" style="2" bestFit="1" customWidth="1"/>
    <col min="1284" max="1284" width="9" style="2"/>
    <col min="1285" max="1285" width="11.125" style="2" bestFit="1" customWidth="1"/>
    <col min="1286" max="1286" width="9.625" style="2" bestFit="1" customWidth="1"/>
    <col min="1287" max="1513" width="9" style="2"/>
    <col min="1514" max="1514" width="2.375" style="2" customWidth="1"/>
    <col min="1515" max="1515" width="13.25" style="2" bestFit="1" customWidth="1"/>
    <col min="1516" max="1519" width="11.125" style="2" bestFit="1" customWidth="1"/>
    <col min="1520" max="1520" width="13.25" style="2" bestFit="1" customWidth="1"/>
    <col min="1521" max="1521" width="11.125" style="2" bestFit="1" customWidth="1"/>
    <col min="1522" max="1522" width="9" style="2"/>
    <col min="1523" max="1523" width="11.125" style="2" bestFit="1" customWidth="1"/>
    <col min="1524" max="1524" width="9" style="2"/>
    <col min="1525" max="1539" width="11.125" style="2" bestFit="1" customWidth="1"/>
    <col min="1540" max="1540" width="9" style="2"/>
    <col min="1541" max="1541" width="11.125" style="2" bestFit="1" customWidth="1"/>
    <col min="1542" max="1542" width="9.625" style="2" bestFit="1" customWidth="1"/>
    <col min="1543" max="1769" width="9" style="2"/>
    <col min="1770" max="1770" width="2.375" style="2" customWidth="1"/>
    <col min="1771" max="1771" width="13.25" style="2" bestFit="1" customWidth="1"/>
    <col min="1772" max="1775" width="11.125" style="2" bestFit="1" customWidth="1"/>
    <col min="1776" max="1776" width="13.25" style="2" bestFit="1" customWidth="1"/>
    <col min="1777" max="1777" width="11.125" style="2" bestFit="1" customWidth="1"/>
    <col min="1778" max="1778" width="9" style="2"/>
    <col min="1779" max="1779" width="11.125" style="2" bestFit="1" customWidth="1"/>
    <col min="1780" max="1780" width="9" style="2"/>
    <col min="1781" max="1795" width="11.125" style="2" bestFit="1" customWidth="1"/>
    <col min="1796" max="1796" width="9" style="2"/>
    <col min="1797" max="1797" width="11.125" style="2" bestFit="1" customWidth="1"/>
    <col min="1798" max="1798" width="9.625" style="2" bestFit="1" customWidth="1"/>
    <col min="1799" max="2025" width="9" style="2"/>
    <col min="2026" max="2026" width="2.375" style="2" customWidth="1"/>
    <col min="2027" max="2027" width="13.25" style="2" bestFit="1" customWidth="1"/>
    <col min="2028" max="2031" width="11.125" style="2" bestFit="1" customWidth="1"/>
    <col min="2032" max="2032" width="13.25" style="2" bestFit="1" customWidth="1"/>
    <col min="2033" max="2033" width="11.125" style="2" bestFit="1" customWidth="1"/>
    <col min="2034" max="2034" width="9" style="2"/>
    <col min="2035" max="2035" width="11.125" style="2" bestFit="1" customWidth="1"/>
    <col min="2036" max="2036" width="9" style="2"/>
    <col min="2037" max="2051" width="11.125" style="2" bestFit="1" customWidth="1"/>
    <col min="2052" max="2052" width="9" style="2"/>
    <col min="2053" max="2053" width="11.125" style="2" bestFit="1" customWidth="1"/>
    <col min="2054" max="2054" width="9.625" style="2" bestFit="1" customWidth="1"/>
    <col min="2055" max="2281" width="9" style="2"/>
    <col min="2282" max="2282" width="2.375" style="2" customWidth="1"/>
    <col min="2283" max="2283" width="13.25" style="2" bestFit="1" customWidth="1"/>
    <col min="2284" max="2287" width="11.125" style="2" bestFit="1" customWidth="1"/>
    <col min="2288" max="2288" width="13.25" style="2" bestFit="1" customWidth="1"/>
    <col min="2289" max="2289" width="11.125" style="2" bestFit="1" customWidth="1"/>
    <col min="2290" max="2290" width="9" style="2"/>
    <col min="2291" max="2291" width="11.125" style="2" bestFit="1" customWidth="1"/>
    <col min="2292" max="2292" width="9" style="2"/>
    <col min="2293" max="2307" width="11.125" style="2" bestFit="1" customWidth="1"/>
    <col min="2308" max="2308" width="9" style="2"/>
    <col min="2309" max="2309" width="11.125" style="2" bestFit="1" customWidth="1"/>
    <col min="2310" max="2310" width="9.625" style="2" bestFit="1" customWidth="1"/>
    <col min="2311" max="2537" width="9" style="2"/>
    <col min="2538" max="2538" width="2.375" style="2" customWidth="1"/>
    <col min="2539" max="2539" width="13.25" style="2" bestFit="1" customWidth="1"/>
    <col min="2540" max="2543" width="11.125" style="2" bestFit="1" customWidth="1"/>
    <col min="2544" max="2544" width="13.25" style="2" bestFit="1" customWidth="1"/>
    <col min="2545" max="2545" width="11.125" style="2" bestFit="1" customWidth="1"/>
    <col min="2546" max="2546" width="9" style="2"/>
    <col min="2547" max="2547" width="11.125" style="2" bestFit="1" customWidth="1"/>
    <col min="2548" max="2548" width="9" style="2"/>
    <col min="2549" max="2563" width="11.125" style="2" bestFit="1" customWidth="1"/>
    <col min="2564" max="2564" width="9" style="2"/>
    <col min="2565" max="2565" width="11.125" style="2" bestFit="1" customWidth="1"/>
    <col min="2566" max="2566" width="9.625" style="2" bestFit="1" customWidth="1"/>
    <col min="2567" max="2793" width="9" style="2"/>
    <col min="2794" max="2794" width="2.375" style="2" customWidth="1"/>
    <col min="2795" max="2795" width="13.25" style="2" bestFit="1" customWidth="1"/>
    <col min="2796" max="2799" width="11.125" style="2" bestFit="1" customWidth="1"/>
    <col min="2800" max="2800" width="13.25" style="2" bestFit="1" customWidth="1"/>
    <col min="2801" max="2801" width="11.125" style="2" bestFit="1" customWidth="1"/>
    <col min="2802" max="2802" width="9" style="2"/>
    <col min="2803" max="2803" width="11.125" style="2" bestFit="1" customWidth="1"/>
    <col min="2804" max="2804" width="9" style="2"/>
    <col min="2805" max="2819" width="11.125" style="2" bestFit="1" customWidth="1"/>
    <col min="2820" max="2820" width="9" style="2"/>
    <col min="2821" max="2821" width="11.125" style="2" bestFit="1" customWidth="1"/>
    <col min="2822" max="2822" width="9.625" style="2" bestFit="1" customWidth="1"/>
    <col min="2823" max="3049" width="9" style="2"/>
    <col min="3050" max="3050" width="2.375" style="2" customWidth="1"/>
    <col min="3051" max="3051" width="13.25" style="2" bestFit="1" customWidth="1"/>
    <col min="3052" max="3055" width="11.125" style="2" bestFit="1" customWidth="1"/>
    <col min="3056" max="3056" width="13.25" style="2" bestFit="1" customWidth="1"/>
    <col min="3057" max="3057" width="11.125" style="2" bestFit="1" customWidth="1"/>
    <col min="3058" max="3058" width="9" style="2"/>
    <col min="3059" max="3059" width="11.125" style="2" bestFit="1" customWidth="1"/>
    <col min="3060" max="3060" width="9" style="2"/>
    <col min="3061" max="3075" width="11.125" style="2" bestFit="1" customWidth="1"/>
    <col min="3076" max="3076" width="9" style="2"/>
    <col min="3077" max="3077" width="11.125" style="2" bestFit="1" customWidth="1"/>
    <col min="3078" max="3078" width="9.625" style="2" bestFit="1" customWidth="1"/>
    <col min="3079" max="3305" width="9" style="2"/>
    <col min="3306" max="3306" width="2.375" style="2" customWidth="1"/>
    <col min="3307" max="3307" width="13.25" style="2" bestFit="1" customWidth="1"/>
    <col min="3308" max="3311" width="11.125" style="2" bestFit="1" customWidth="1"/>
    <col min="3312" max="3312" width="13.25" style="2" bestFit="1" customWidth="1"/>
    <col min="3313" max="3313" width="11.125" style="2" bestFit="1" customWidth="1"/>
    <col min="3314" max="3314" width="9" style="2"/>
    <col min="3315" max="3315" width="11.125" style="2" bestFit="1" customWidth="1"/>
    <col min="3316" max="3316" width="9" style="2"/>
    <col min="3317" max="3331" width="11.125" style="2" bestFit="1" customWidth="1"/>
    <col min="3332" max="3332" width="9" style="2"/>
    <col min="3333" max="3333" width="11.125" style="2" bestFit="1" customWidth="1"/>
    <col min="3334" max="3334" width="9.625" style="2" bestFit="1" customWidth="1"/>
    <col min="3335" max="3561" width="9" style="2"/>
    <col min="3562" max="3562" width="2.375" style="2" customWidth="1"/>
    <col min="3563" max="3563" width="13.25" style="2" bestFit="1" customWidth="1"/>
    <col min="3564" max="3567" width="11.125" style="2" bestFit="1" customWidth="1"/>
    <col min="3568" max="3568" width="13.25" style="2" bestFit="1" customWidth="1"/>
    <col min="3569" max="3569" width="11.125" style="2" bestFit="1" customWidth="1"/>
    <col min="3570" max="3570" width="9" style="2"/>
    <col min="3571" max="3571" width="11.125" style="2" bestFit="1" customWidth="1"/>
    <col min="3572" max="3572" width="9" style="2"/>
    <col min="3573" max="3587" width="11.125" style="2" bestFit="1" customWidth="1"/>
    <col min="3588" max="3588" width="9" style="2"/>
    <col min="3589" max="3589" width="11.125" style="2" bestFit="1" customWidth="1"/>
    <col min="3590" max="3590" width="9.625" style="2" bestFit="1" customWidth="1"/>
    <col min="3591" max="3817" width="9" style="2"/>
    <col min="3818" max="3818" width="2.375" style="2" customWidth="1"/>
    <col min="3819" max="3819" width="13.25" style="2" bestFit="1" customWidth="1"/>
    <col min="3820" max="3823" width="11.125" style="2" bestFit="1" customWidth="1"/>
    <col min="3824" max="3824" width="13.25" style="2" bestFit="1" customWidth="1"/>
    <col min="3825" max="3825" width="11.125" style="2" bestFit="1" customWidth="1"/>
    <col min="3826" max="3826" width="9" style="2"/>
    <col min="3827" max="3827" width="11.125" style="2" bestFit="1" customWidth="1"/>
    <col min="3828" max="3828" width="9" style="2"/>
    <col min="3829" max="3843" width="11.125" style="2" bestFit="1" customWidth="1"/>
    <col min="3844" max="3844" width="9" style="2"/>
    <col min="3845" max="3845" width="11.125" style="2" bestFit="1" customWidth="1"/>
    <col min="3846" max="3846" width="9.625" style="2" bestFit="1" customWidth="1"/>
    <col min="3847" max="4073" width="9" style="2"/>
    <col min="4074" max="4074" width="2.375" style="2" customWidth="1"/>
    <col min="4075" max="4075" width="13.25" style="2" bestFit="1" customWidth="1"/>
    <col min="4076" max="4079" width="11.125" style="2" bestFit="1" customWidth="1"/>
    <col min="4080" max="4080" width="13.25" style="2" bestFit="1" customWidth="1"/>
    <col min="4081" max="4081" width="11.125" style="2" bestFit="1" customWidth="1"/>
    <col min="4082" max="4082" width="9" style="2"/>
    <col min="4083" max="4083" width="11.125" style="2" bestFit="1" customWidth="1"/>
    <col min="4084" max="4084" width="9" style="2"/>
    <col min="4085" max="4099" width="11.125" style="2" bestFit="1" customWidth="1"/>
    <col min="4100" max="4100" width="9" style="2"/>
    <col min="4101" max="4101" width="11.125" style="2" bestFit="1" customWidth="1"/>
    <col min="4102" max="4102" width="9.625" style="2" bestFit="1" customWidth="1"/>
    <col min="4103" max="4329" width="9" style="2"/>
    <col min="4330" max="4330" width="2.375" style="2" customWidth="1"/>
    <col min="4331" max="4331" width="13.25" style="2" bestFit="1" customWidth="1"/>
    <col min="4332" max="4335" width="11.125" style="2" bestFit="1" customWidth="1"/>
    <col min="4336" max="4336" width="13.25" style="2" bestFit="1" customWidth="1"/>
    <col min="4337" max="4337" width="11.125" style="2" bestFit="1" customWidth="1"/>
    <col min="4338" max="4338" width="9" style="2"/>
    <col min="4339" max="4339" width="11.125" style="2" bestFit="1" customWidth="1"/>
    <col min="4340" max="4340" width="9" style="2"/>
    <col min="4341" max="4355" width="11.125" style="2" bestFit="1" customWidth="1"/>
    <col min="4356" max="4356" width="9" style="2"/>
    <col min="4357" max="4357" width="11.125" style="2" bestFit="1" customWidth="1"/>
    <col min="4358" max="4358" width="9.625" style="2" bestFit="1" customWidth="1"/>
    <col min="4359" max="4585" width="9" style="2"/>
    <col min="4586" max="4586" width="2.375" style="2" customWidth="1"/>
    <col min="4587" max="4587" width="13.25" style="2" bestFit="1" customWidth="1"/>
    <col min="4588" max="4591" width="11.125" style="2" bestFit="1" customWidth="1"/>
    <col min="4592" max="4592" width="13.25" style="2" bestFit="1" customWidth="1"/>
    <col min="4593" max="4593" width="11.125" style="2" bestFit="1" customWidth="1"/>
    <col min="4594" max="4594" width="9" style="2"/>
    <col min="4595" max="4595" width="11.125" style="2" bestFit="1" customWidth="1"/>
    <col min="4596" max="4596" width="9" style="2"/>
    <col min="4597" max="4611" width="11.125" style="2" bestFit="1" customWidth="1"/>
    <col min="4612" max="4612" width="9" style="2"/>
    <col min="4613" max="4613" width="11.125" style="2" bestFit="1" customWidth="1"/>
    <col min="4614" max="4614" width="9.625" style="2" bestFit="1" customWidth="1"/>
    <col min="4615" max="4841" width="9" style="2"/>
    <col min="4842" max="4842" width="2.375" style="2" customWidth="1"/>
    <col min="4843" max="4843" width="13.25" style="2" bestFit="1" customWidth="1"/>
    <col min="4844" max="4847" width="11.125" style="2" bestFit="1" customWidth="1"/>
    <col min="4848" max="4848" width="13.25" style="2" bestFit="1" customWidth="1"/>
    <col min="4849" max="4849" width="11.125" style="2" bestFit="1" customWidth="1"/>
    <col min="4850" max="4850" width="9" style="2"/>
    <col min="4851" max="4851" width="11.125" style="2" bestFit="1" customWidth="1"/>
    <col min="4852" max="4852" width="9" style="2"/>
    <col min="4853" max="4867" width="11.125" style="2" bestFit="1" customWidth="1"/>
    <col min="4868" max="4868" width="9" style="2"/>
    <col min="4869" max="4869" width="11.125" style="2" bestFit="1" customWidth="1"/>
    <col min="4870" max="4870" width="9.625" style="2" bestFit="1" customWidth="1"/>
    <col min="4871" max="5097" width="9" style="2"/>
    <col min="5098" max="5098" width="2.375" style="2" customWidth="1"/>
    <col min="5099" max="5099" width="13.25" style="2" bestFit="1" customWidth="1"/>
    <col min="5100" max="5103" width="11.125" style="2" bestFit="1" customWidth="1"/>
    <col min="5104" max="5104" width="13.25" style="2" bestFit="1" customWidth="1"/>
    <col min="5105" max="5105" width="11.125" style="2" bestFit="1" customWidth="1"/>
    <col min="5106" max="5106" width="9" style="2"/>
    <col min="5107" max="5107" width="11.125" style="2" bestFit="1" customWidth="1"/>
    <col min="5108" max="5108" width="9" style="2"/>
    <col min="5109" max="5123" width="11.125" style="2" bestFit="1" customWidth="1"/>
    <col min="5124" max="5124" width="9" style="2"/>
    <col min="5125" max="5125" width="11.125" style="2" bestFit="1" customWidth="1"/>
    <col min="5126" max="5126" width="9.625" style="2" bestFit="1" customWidth="1"/>
    <col min="5127" max="5353" width="9" style="2"/>
    <col min="5354" max="5354" width="2.375" style="2" customWidth="1"/>
    <col min="5355" max="5355" width="13.25" style="2" bestFit="1" customWidth="1"/>
    <col min="5356" max="5359" width="11.125" style="2" bestFit="1" customWidth="1"/>
    <col min="5360" max="5360" width="13.25" style="2" bestFit="1" customWidth="1"/>
    <col min="5361" max="5361" width="11.125" style="2" bestFit="1" customWidth="1"/>
    <col min="5362" max="5362" width="9" style="2"/>
    <col min="5363" max="5363" width="11.125" style="2" bestFit="1" customWidth="1"/>
    <col min="5364" max="5364" width="9" style="2"/>
    <col min="5365" max="5379" width="11.125" style="2" bestFit="1" customWidth="1"/>
    <col min="5380" max="5380" width="9" style="2"/>
    <col min="5381" max="5381" width="11.125" style="2" bestFit="1" customWidth="1"/>
    <col min="5382" max="5382" width="9.625" style="2" bestFit="1" customWidth="1"/>
    <col min="5383" max="5609" width="9" style="2"/>
    <col min="5610" max="5610" width="2.375" style="2" customWidth="1"/>
    <col min="5611" max="5611" width="13.25" style="2" bestFit="1" customWidth="1"/>
    <col min="5612" max="5615" width="11.125" style="2" bestFit="1" customWidth="1"/>
    <col min="5616" max="5616" width="13.25" style="2" bestFit="1" customWidth="1"/>
    <col min="5617" max="5617" width="11.125" style="2" bestFit="1" customWidth="1"/>
    <col min="5618" max="5618" width="9" style="2"/>
    <col min="5619" max="5619" width="11.125" style="2" bestFit="1" customWidth="1"/>
    <col min="5620" max="5620" width="9" style="2"/>
    <col min="5621" max="5635" width="11.125" style="2" bestFit="1" customWidth="1"/>
    <col min="5636" max="5636" width="9" style="2"/>
    <col min="5637" max="5637" width="11.125" style="2" bestFit="1" customWidth="1"/>
    <col min="5638" max="5638" width="9.625" style="2" bestFit="1" customWidth="1"/>
    <col min="5639" max="5865" width="9" style="2"/>
    <col min="5866" max="5866" width="2.375" style="2" customWidth="1"/>
    <col min="5867" max="5867" width="13.25" style="2" bestFit="1" customWidth="1"/>
    <col min="5868" max="5871" width="11.125" style="2" bestFit="1" customWidth="1"/>
    <col min="5872" max="5872" width="13.25" style="2" bestFit="1" customWidth="1"/>
    <col min="5873" max="5873" width="11.125" style="2" bestFit="1" customWidth="1"/>
    <col min="5874" max="5874" width="9" style="2"/>
    <col min="5875" max="5875" width="11.125" style="2" bestFit="1" customWidth="1"/>
    <col min="5876" max="5876" width="9" style="2"/>
    <col min="5877" max="5891" width="11.125" style="2" bestFit="1" customWidth="1"/>
    <col min="5892" max="5892" width="9" style="2"/>
    <col min="5893" max="5893" width="11.125" style="2" bestFit="1" customWidth="1"/>
    <col min="5894" max="5894" width="9.625" style="2" bestFit="1" customWidth="1"/>
    <col min="5895" max="6121" width="9" style="2"/>
    <col min="6122" max="6122" width="2.375" style="2" customWidth="1"/>
    <col min="6123" max="6123" width="13.25" style="2" bestFit="1" customWidth="1"/>
    <col min="6124" max="6127" width="11.125" style="2" bestFit="1" customWidth="1"/>
    <col min="6128" max="6128" width="13.25" style="2" bestFit="1" customWidth="1"/>
    <col min="6129" max="6129" width="11.125" style="2" bestFit="1" customWidth="1"/>
    <col min="6130" max="6130" width="9" style="2"/>
    <col min="6131" max="6131" width="11.125" style="2" bestFit="1" customWidth="1"/>
    <col min="6132" max="6132" width="9" style="2"/>
    <col min="6133" max="6147" width="11.125" style="2" bestFit="1" customWidth="1"/>
    <col min="6148" max="6148" width="9" style="2"/>
    <col min="6149" max="6149" width="11.125" style="2" bestFit="1" customWidth="1"/>
    <col min="6150" max="6150" width="9.625" style="2" bestFit="1" customWidth="1"/>
    <col min="6151" max="6377" width="9" style="2"/>
    <col min="6378" max="6378" width="2.375" style="2" customWidth="1"/>
    <col min="6379" max="6379" width="13.25" style="2" bestFit="1" customWidth="1"/>
    <col min="6380" max="6383" width="11.125" style="2" bestFit="1" customWidth="1"/>
    <col min="6384" max="6384" width="13.25" style="2" bestFit="1" customWidth="1"/>
    <col min="6385" max="6385" width="11.125" style="2" bestFit="1" customWidth="1"/>
    <col min="6386" max="6386" width="9" style="2"/>
    <col min="6387" max="6387" width="11.125" style="2" bestFit="1" customWidth="1"/>
    <col min="6388" max="6388" width="9" style="2"/>
    <col min="6389" max="6403" width="11.125" style="2" bestFit="1" customWidth="1"/>
    <col min="6404" max="6404" width="9" style="2"/>
    <col min="6405" max="6405" width="11.125" style="2" bestFit="1" customWidth="1"/>
    <col min="6406" max="6406" width="9.625" style="2" bestFit="1" customWidth="1"/>
    <col min="6407" max="6633" width="9" style="2"/>
    <col min="6634" max="6634" width="2.375" style="2" customWidth="1"/>
    <col min="6635" max="6635" width="13.25" style="2" bestFit="1" customWidth="1"/>
    <col min="6636" max="6639" width="11.125" style="2" bestFit="1" customWidth="1"/>
    <col min="6640" max="6640" width="13.25" style="2" bestFit="1" customWidth="1"/>
    <col min="6641" max="6641" width="11.125" style="2" bestFit="1" customWidth="1"/>
    <col min="6642" max="6642" width="9" style="2"/>
    <col min="6643" max="6643" width="11.125" style="2" bestFit="1" customWidth="1"/>
    <col min="6644" max="6644" width="9" style="2"/>
    <col min="6645" max="6659" width="11.125" style="2" bestFit="1" customWidth="1"/>
    <col min="6660" max="6660" width="9" style="2"/>
    <col min="6661" max="6661" width="11.125" style="2" bestFit="1" customWidth="1"/>
    <col min="6662" max="6662" width="9.625" style="2" bestFit="1" customWidth="1"/>
    <col min="6663" max="6889" width="9" style="2"/>
    <col min="6890" max="6890" width="2.375" style="2" customWidth="1"/>
    <col min="6891" max="6891" width="13.25" style="2" bestFit="1" customWidth="1"/>
    <col min="6892" max="6895" width="11.125" style="2" bestFit="1" customWidth="1"/>
    <col min="6896" max="6896" width="13.25" style="2" bestFit="1" customWidth="1"/>
    <col min="6897" max="6897" width="11.125" style="2" bestFit="1" customWidth="1"/>
    <col min="6898" max="6898" width="9" style="2"/>
    <col min="6899" max="6899" width="11.125" style="2" bestFit="1" customWidth="1"/>
    <col min="6900" max="6900" width="9" style="2"/>
    <col min="6901" max="6915" width="11.125" style="2" bestFit="1" customWidth="1"/>
    <col min="6916" max="6916" width="9" style="2"/>
    <col min="6917" max="6917" width="11.125" style="2" bestFit="1" customWidth="1"/>
    <col min="6918" max="6918" width="9.625" style="2" bestFit="1" customWidth="1"/>
    <col min="6919" max="7145" width="9" style="2"/>
    <col min="7146" max="7146" width="2.375" style="2" customWidth="1"/>
    <col min="7147" max="7147" width="13.25" style="2" bestFit="1" customWidth="1"/>
    <col min="7148" max="7151" width="11.125" style="2" bestFit="1" customWidth="1"/>
    <col min="7152" max="7152" width="13.25" style="2" bestFit="1" customWidth="1"/>
    <col min="7153" max="7153" width="11.125" style="2" bestFit="1" customWidth="1"/>
    <col min="7154" max="7154" width="9" style="2"/>
    <col min="7155" max="7155" width="11.125" style="2" bestFit="1" customWidth="1"/>
    <col min="7156" max="7156" width="9" style="2"/>
    <col min="7157" max="7171" width="11.125" style="2" bestFit="1" customWidth="1"/>
    <col min="7172" max="7172" width="9" style="2"/>
    <col min="7173" max="7173" width="11.125" style="2" bestFit="1" customWidth="1"/>
    <col min="7174" max="7174" width="9.625" style="2" bestFit="1" customWidth="1"/>
    <col min="7175" max="7401" width="9" style="2"/>
    <col min="7402" max="7402" width="2.375" style="2" customWidth="1"/>
    <col min="7403" max="7403" width="13.25" style="2" bestFit="1" customWidth="1"/>
    <col min="7404" max="7407" width="11.125" style="2" bestFit="1" customWidth="1"/>
    <col min="7408" max="7408" width="13.25" style="2" bestFit="1" customWidth="1"/>
    <col min="7409" max="7409" width="11.125" style="2" bestFit="1" customWidth="1"/>
    <col min="7410" max="7410" width="9" style="2"/>
    <col min="7411" max="7411" width="11.125" style="2" bestFit="1" customWidth="1"/>
    <col min="7412" max="7412" width="9" style="2"/>
    <col min="7413" max="7427" width="11.125" style="2" bestFit="1" customWidth="1"/>
    <col min="7428" max="7428" width="9" style="2"/>
    <col min="7429" max="7429" width="11.125" style="2" bestFit="1" customWidth="1"/>
    <col min="7430" max="7430" width="9.625" style="2" bestFit="1" customWidth="1"/>
    <col min="7431" max="7657" width="9" style="2"/>
    <col min="7658" max="7658" width="2.375" style="2" customWidth="1"/>
    <col min="7659" max="7659" width="13.25" style="2" bestFit="1" customWidth="1"/>
    <col min="7660" max="7663" width="11.125" style="2" bestFit="1" customWidth="1"/>
    <col min="7664" max="7664" width="13.25" style="2" bestFit="1" customWidth="1"/>
    <col min="7665" max="7665" width="11.125" style="2" bestFit="1" customWidth="1"/>
    <col min="7666" max="7666" width="9" style="2"/>
    <col min="7667" max="7667" width="11.125" style="2" bestFit="1" customWidth="1"/>
    <col min="7668" max="7668" width="9" style="2"/>
    <col min="7669" max="7683" width="11.125" style="2" bestFit="1" customWidth="1"/>
    <col min="7684" max="7684" width="9" style="2"/>
    <col min="7685" max="7685" width="11.125" style="2" bestFit="1" customWidth="1"/>
    <col min="7686" max="7686" width="9.625" style="2" bestFit="1" customWidth="1"/>
    <col min="7687" max="7913" width="9" style="2"/>
    <col min="7914" max="7914" width="2.375" style="2" customWidth="1"/>
    <col min="7915" max="7915" width="13.25" style="2" bestFit="1" customWidth="1"/>
    <col min="7916" max="7919" width="11.125" style="2" bestFit="1" customWidth="1"/>
    <col min="7920" max="7920" width="13.25" style="2" bestFit="1" customWidth="1"/>
    <col min="7921" max="7921" width="11.125" style="2" bestFit="1" customWidth="1"/>
    <col min="7922" max="7922" width="9" style="2"/>
    <col min="7923" max="7923" width="11.125" style="2" bestFit="1" customWidth="1"/>
    <col min="7924" max="7924" width="9" style="2"/>
    <col min="7925" max="7939" width="11.125" style="2" bestFit="1" customWidth="1"/>
    <col min="7940" max="7940" width="9" style="2"/>
    <col min="7941" max="7941" width="11.125" style="2" bestFit="1" customWidth="1"/>
    <col min="7942" max="7942" width="9.625" style="2" bestFit="1" customWidth="1"/>
    <col min="7943" max="8169" width="9" style="2"/>
    <col min="8170" max="8170" width="2.375" style="2" customWidth="1"/>
    <col min="8171" max="8171" width="13.25" style="2" bestFit="1" customWidth="1"/>
    <col min="8172" max="8175" width="11.125" style="2" bestFit="1" customWidth="1"/>
    <col min="8176" max="8176" width="13.25" style="2" bestFit="1" customWidth="1"/>
    <col min="8177" max="8177" width="11.125" style="2" bestFit="1" customWidth="1"/>
    <col min="8178" max="8178" width="9" style="2"/>
    <col min="8179" max="8179" width="11.125" style="2" bestFit="1" customWidth="1"/>
    <col min="8180" max="8180" width="9" style="2"/>
    <col min="8181" max="8195" width="11.125" style="2" bestFit="1" customWidth="1"/>
    <col min="8196" max="8196" width="9" style="2"/>
    <col min="8197" max="8197" width="11.125" style="2" bestFit="1" customWidth="1"/>
    <col min="8198" max="8198" width="9.625" style="2" bestFit="1" customWidth="1"/>
    <col min="8199" max="8425" width="9" style="2"/>
    <col min="8426" max="8426" width="2.375" style="2" customWidth="1"/>
    <col min="8427" max="8427" width="13.25" style="2" bestFit="1" customWidth="1"/>
    <col min="8428" max="8431" width="11.125" style="2" bestFit="1" customWidth="1"/>
    <col min="8432" max="8432" width="13.25" style="2" bestFit="1" customWidth="1"/>
    <col min="8433" max="8433" width="11.125" style="2" bestFit="1" customWidth="1"/>
    <col min="8434" max="8434" width="9" style="2"/>
    <col min="8435" max="8435" width="11.125" style="2" bestFit="1" customWidth="1"/>
    <col min="8436" max="8436" width="9" style="2"/>
    <col min="8437" max="8451" width="11.125" style="2" bestFit="1" customWidth="1"/>
    <col min="8452" max="8452" width="9" style="2"/>
    <col min="8453" max="8453" width="11.125" style="2" bestFit="1" customWidth="1"/>
    <col min="8454" max="8454" width="9.625" style="2" bestFit="1" customWidth="1"/>
    <col min="8455" max="8681" width="9" style="2"/>
    <col min="8682" max="8682" width="2.375" style="2" customWidth="1"/>
    <col min="8683" max="8683" width="13.25" style="2" bestFit="1" customWidth="1"/>
    <col min="8684" max="8687" width="11.125" style="2" bestFit="1" customWidth="1"/>
    <col min="8688" max="8688" width="13.25" style="2" bestFit="1" customWidth="1"/>
    <col min="8689" max="8689" width="11.125" style="2" bestFit="1" customWidth="1"/>
    <col min="8690" max="8690" width="9" style="2"/>
    <col min="8691" max="8691" width="11.125" style="2" bestFit="1" customWidth="1"/>
    <col min="8692" max="8692" width="9" style="2"/>
    <col min="8693" max="8707" width="11.125" style="2" bestFit="1" customWidth="1"/>
    <col min="8708" max="8708" width="9" style="2"/>
    <col min="8709" max="8709" width="11.125" style="2" bestFit="1" customWidth="1"/>
    <col min="8710" max="8710" width="9.625" style="2" bestFit="1" customWidth="1"/>
    <col min="8711" max="8937" width="9" style="2"/>
    <col min="8938" max="8938" width="2.375" style="2" customWidth="1"/>
    <col min="8939" max="8939" width="13.25" style="2" bestFit="1" customWidth="1"/>
    <col min="8940" max="8943" width="11.125" style="2" bestFit="1" customWidth="1"/>
    <col min="8944" max="8944" width="13.25" style="2" bestFit="1" customWidth="1"/>
    <col min="8945" max="8945" width="11.125" style="2" bestFit="1" customWidth="1"/>
    <col min="8946" max="8946" width="9" style="2"/>
    <col min="8947" max="8947" width="11.125" style="2" bestFit="1" customWidth="1"/>
    <col min="8948" max="8948" width="9" style="2"/>
    <col min="8949" max="8963" width="11.125" style="2" bestFit="1" customWidth="1"/>
    <col min="8964" max="8964" width="9" style="2"/>
    <col min="8965" max="8965" width="11.125" style="2" bestFit="1" customWidth="1"/>
    <col min="8966" max="8966" width="9.625" style="2" bestFit="1" customWidth="1"/>
    <col min="8967" max="9193" width="9" style="2"/>
    <col min="9194" max="9194" width="2.375" style="2" customWidth="1"/>
    <col min="9195" max="9195" width="13.25" style="2" bestFit="1" customWidth="1"/>
    <col min="9196" max="9199" width="11.125" style="2" bestFit="1" customWidth="1"/>
    <col min="9200" max="9200" width="13.25" style="2" bestFit="1" customWidth="1"/>
    <col min="9201" max="9201" width="11.125" style="2" bestFit="1" customWidth="1"/>
    <col min="9202" max="9202" width="9" style="2"/>
    <col min="9203" max="9203" width="11.125" style="2" bestFit="1" customWidth="1"/>
    <col min="9204" max="9204" width="9" style="2"/>
    <col min="9205" max="9219" width="11.125" style="2" bestFit="1" customWidth="1"/>
    <col min="9220" max="9220" width="9" style="2"/>
    <col min="9221" max="9221" width="11.125" style="2" bestFit="1" customWidth="1"/>
    <col min="9222" max="9222" width="9.625" style="2" bestFit="1" customWidth="1"/>
    <col min="9223" max="9449" width="9" style="2"/>
    <col min="9450" max="9450" width="2.375" style="2" customWidth="1"/>
    <col min="9451" max="9451" width="13.25" style="2" bestFit="1" customWidth="1"/>
    <col min="9452" max="9455" width="11.125" style="2" bestFit="1" customWidth="1"/>
    <col min="9456" max="9456" width="13.25" style="2" bestFit="1" customWidth="1"/>
    <col min="9457" max="9457" width="11.125" style="2" bestFit="1" customWidth="1"/>
    <col min="9458" max="9458" width="9" style="2"/>
    <col min="9459" max="9459" width="11.125" style="2" bestFit="1" customWidth="1"/>
    <col min="9460" max="9460" width="9" style="2"/>
    <col min="9461" max="9475" width="11.125" style="2" bestFit="1" customWidth="1"/>
    <col min="9476" max="9476" width="9" style="2"/>
    <col min="9477" max="9477" width="11.125" style="2" bestFit="1" customWidth="1"/>
    <col min="9478" max="9478" width="9.625" style="2" bestFit="1" customWidth="1"/>
    <col min="9479" max="9705" width="9" style="2"/>
    <col min="9706" max="9706" width="2.375" style="2" customWidth="1"/>
    <col min="9707" max="9707" width="13.25" style="2" bestFit="1" customWidth="1"/>
    <col min="9708" max="9711" width="11.125" style="2" bestFit="1" customWidth="1"/>
    <col min="9712" max="9712" width="13.25" style="2" bestFit="1" customWidth="1"/>
    <col min="9713" max="9713" width="11.125" style="2" bestFit="1" customWidth="1"/>
    <col min="9714" max="9714" width="9" style="2"/>
    <col min="9715" max="9715" width="11.125" style="2" bestFit="1" customWidth="1"/>
    <col min="9716" max="9716" width="9" style="2"/>
    <col min="9717" max="9731" width="11.125" style="2" bestFit="1" customWidth="1"/>
    <col min="9732" max="9732" width="9" style="2"/>
    <col min="9733" max="9733" width="11.125" style="2" bestFit="1" customWidth="1"/>
    <col min="9734" max="9734" width="9.625" style="2" bestFit="1" customWidth="1"/>
    <col min="9735" max="9961" width="9" style="2"/>
    <col min="9962" max="9962" width="2.375" style="2" customWidth="1"/>
    <col min="9963" max="9963" width="13.25" style="2" bestFit="1" customWidth="1"/>
    <col min="9964" max="9967" width="11.125" style="2" bestFit="1" customWidth="1"/>
    <col min="9968" max="9968" width="13.25" style="2" bestFit="1" customWidth="1"/>
    <col min="9969" max="9969" width="11.125" style="2" bestFit="1" customWidth="1"/>
    <col min="9970" max="9970" width="9" style="2"/>
    <col min="9971" max="9971" width="11.125" style="2" bestFit="1" customWidth="1"/>
    <col min="9972" max="9972" width="9" style="2"/>
    <col min="9973" max="9987" width="11.125" style="2" bestFit="1" customWidth="1"/>
    <col min="9988" max="9988" width="9" style="2"/>
    <col min="9989" max="9989" width="11.125" style="2" bestFit="1" customWidth="1"/>
    <col min="9990" max="9990" width="9.625" style="2" bestFit="1" customWidth="1"/>
    <col min="9991" max="10217" width="9" style="2"/>
    <col min="10218" max="10218" width="2.375" style="2" customWidth="1"/>
    <col min="10219" max="10219" width="13.25" style="2" bestFit="1" customWidth="1"/>
    <col min="10220" max="10223" width="11.125" style="2" bestFit="1" customWidth="1"/>
    <col min="10224" max="10224" width="13.25" style="2" bestFit="1" customWidth="1"/>
    <col min="10225" max="10225" width="11.125" style="2" bestFit="1" customWidth="1"/>
    <col min="10226" max="10226" width="9" style="2"/>
    <col min="10227" max="10227" width="11.125" style="2" bestFit="1" customWidth="1"/>
    <col min="10228" max="10228" width="9" style="2"/>
    <col min="10229" max="10243" width="11.125" style="2" bestFit="1" customWidth="1"/>
    <col min="10244" max="10244" width="9" style="2"/>
    <col min="10245" max="10245" width="11.125" style="2" bestFit="1" customWidth="1"/>
    <col min="10246" max="10246" width="9.625" style="2" bestFit="1" customWidth="1"/>
    <col min="10247" max="10473" width="9" style="2"/>
    <col min="10474" max="10474" width="2.375" style="2" customWidth="1"/>
    <col min="10475" max="10475" width="13.25" style="2" bestFit="1" customWidth="1"/>
    <col min="10476" max="10479" width="11.125" style="2" bestFit="1" customWidth="1"/>
    <col min="10480" max="10480" width="13.25" style="2" bestFit="1" customWidth="1"/>
    <col min="10481" max="10481" width="11.125" style="2" bestFit="1" customWidth="1"/>
    <col min="10482" max="10482" width="9" style="2"/>
    <col min="10483" max="10483" width="11.125" style="2" bestFit="1" customWidth="1"/>
    <col min="10484" max="10484" width="9" style="2"/>
    <col min="10485" max="10499" width="11.125" style="2" bestFit="1" customWidth="1"/>
    <col min="10500" max="10500" width="9" style="2"/>
    <col min="10501" max="10501" width="11.125" style="2" bestFit="1" customWidth="1"/>
    <col min="10502" max="10502" width="9.625" style="2" bestFit="1" customWidth="1"/>
    <col min="10503" max="10729" width="9" style="2"/>
    <col min="10730" max="10730" width="2.375" style="2" customWidth="1"/>
    <col min="10731" max="10731" width="13.25" style="2" bestFit="1" customWidth="1"/>
    <col min="10732" max="10735" width="11.125" style="2" bestFit="1" customWidth="1"/>
    <col min="10736" max="10736" width="13.25" style="2" bestFit="1" customWidth="1"/>
    <col min="10737" max="10737" width="11.125" style="2" bestFit="1" customWidth="1"/>
    <col min="10738" max="10738" width="9" style="2"/>
    <col min="10739" max="10739" width="11.125" style="2" bestFit="1" customWidth="1"/>
    <col min="10740" max="10740" width="9" style="2"/>
    <col min="10741" max="10755" width="11.125" style="2" bestFit="1" customWidth="1"/>
    <col min="10756" max="10756" width="9" style="2"/>
    <col min="10757" max="10757" width="11.125" style="2" bestFit="1" customWidth="1"/>
    <col min="10758" max="10758" width="9.625" style="2" bestFit="1" customWidth="1"/>
    <col min="10759" max="10985" width="9" style="2"/>
    <col min="10986" max="10986" width="2.375" style="2" customWidth="1"/>
    <col min="10987" max="10987" width="13.25" style="2" bestFit="1" customWidth="1"/>
    <col min="10988" max="10991" width="11.125" style="2" bestFit="1" customWidth="1"/>
    <col min="10992" max="10992" width="13.25" style="2" bestFit="1" customWidth="1"/>
    <col min="10993" max="10993" width="11.125" style="2" bestFit="1" customWidth="1"/>
    <col min="10994" max="10994" width="9" style="2"/>
    <col min="10995" max="10995" width="11.125" style="2" bestFit="1" customWidth="1"/>
    <col min="10996" max="10996" width="9" style="2"/>
    <col min="10997" max="11011" width="11.125" style="2" bestFit="1" customWidth="1"/>
    <col min="11012" max="11012" width="9" style="2"/>
    <col min="11013" max="11013" width="11.125" style="2" bestFit="1" customWidth="1"/>
    <col min="11014" max="11014" width="9.625" style="2" bestFit="1" customWidth="1"/>
    <col min="11015" max="11241" width="9" style="2"/>
    <col min="11242" max="11242" width="2.375" style="2" customWidth="1"/>
    <col min="11243" max="11243" width="13.25" style="2" bestFit="1" customWidth="1"/>
    <col min="11244" max="11247" width="11.125" style="2" bestFit="1" customWidth="1"/>
    <col min="11248" max="11248" width="13.25" style="2" bestFit="1" customWidth="1"/>
    <col min="11249" max="11249" width="11.125" style="2" bestFit="1" customWidth="1"/>
    <col min="11250" max="11250" width="9" style="2"/>
    <col min="11251" max="11251" width="11.125" style="2" bestFit="1" customWidth="1"/>
    <col min="11252" max="11252" width="9" style="2"/>
    <col min="11253" max="11267" width="11.125" style="2" bestFit="1" customWidth="1"/>
    <col min="11268" max="11268" width="9" style="2"/>
    <col min="11269" max="11269" width="11.125" style="2" bestFit="1" customWidth="1"/>
    <col min="11270" max="11270" width="9.625" style="2" bestFit="1" customWidth="1"/>
    <col min="11271" max="11497" width="9" style="2"/>
    <col min="11498" max="11498" width="2.375" style="2" customWidth="1"/>
    <col min="11499" max="11499" width="13.25" style="2" bestFit="1" customWidth="1"/>
    <col min="11500" max="11503" width="11.125" style="2" bestFit="1" customWidth="1"/>
    <col min="11504" max="11504" width="13.25" style="2" bestFit="1" customWidth="1"/>
    <col min="11505" max="11505" width="11.125" style="2" bestFit="1" customWidth="1"/>
    <col min="11506" max="11506" width="9" style="2"/>
    <col min="11507" max="11507" width="11.125" style="2" bestFit="1" customWidth="1"/>
    <col min="11508" max="11508" width="9" style="2"/>
    <col min="11509" max="11523" width="11.125" style="2" bestFit="1" customWidth="1"/>
    <col min="11524" max="11524" width="9" style="2"/>
    <col min="11525" max="11525" width="11.125" style="2" bestFit="1" customWidth="1"/>
    <col min="11526" max="11526" width="9.625" style="2" bestFit="1" customWidth="1"/>
    <col min="11527" max="11753" width="9" style="2"/>
    <col min="11754" max="11754" width="2.375" style="2" customWidth="1"/>
    <col min="11755" max="11755" width="13.25" style="2" bestFit="1" customWidth="1"/>
    <col min="11756" max="11759" width="11.125" style="2" bestFit="1" customWidth="1"/>
    <col min="11760" max="11760" width="13.25" style="2" bestFit="1" customWidth="1"/>
    <col min="11761" max="11761" width="11.125" style="2" bestFit="1" customWidth="1"/>
    <col min="11762" max="11762" width="9" style="2"/>
    <col min="11763" max="11763" width="11.125" style="2" bestFit="1" customWidth="1"/>
    <col min="11764" max="11764" width="9" style="2"/>
    <col min="11765" max="11779" width="11.125" style="2" bestFit="1" customWidth="1"/>
    <col min="11780" max="11780" width="9" style="2"/>
    <col min="11781" max="11781" width="11.125" style="2" bestFit="1" customWidth="1"/>
    <col min="11782" max="11782" width="9.625" style="2" bestFit="1" customWidth="1"/>
    <col min="11783" max="12009" width="9" style="2"/>
    <col min="12010" max="12010" width="2.375" style="2" customWidth="1"/>
    <col min="12011" max="12011" width="13.25" style="2" bestFit="1" customWidth="1"/>
    <col min="12012" max="12015" width="11.125" style="2" bestFit="1" customWidth="1"/>
    <col min="12016" max="12016" width="13.25" style="2" bestFit="1" customWidth="1"/>
    <col min="12017" max="12017" width="11.125" style="2" bestFit="1" customWidth="1"/>
    <col min="12018" max="12018" width="9" style="2"/>
    <col min="12019" max="12019" width="11.125" style="2" bestFit="1" customWidth="1"/>
    <col min="12020" max="12020" width="9" style="2"/>
    <col min="12021" max="12035" width="11.125" style="2" bestFit="1" customWidth="1"/>
    <col min="12036" max="12036" width="9" style="2"/>
    <col min="12037" max="12037" width="11.125" style="2" bestFit="1" customWidth="1"/>
    <col min="12038" max="12038" width="9.625" style="2" bestFit="1" customWidth="1"/>
    <col min="12039" max="12265" width="9" style="2"/>
    <col min="12266" max="12266" width="2.375" style="2" customWidth="1"/>
    <col min="12267" max="12267" width="13.25" style="2" bestFit="1" customWidth="1"/>
    <col min="12268" max="12271" width="11.125" style="2" bestFit="1" customWidth="1"/>
    <col min="12272" max="12272" width="13.25" style="2" bestFit="1" customWidth="1"/>
    <col min="12273" max="12273" width="11.125" style="2" bestFit="1" customWidth="1"/>
    <col min="12274" max="12274" width="9" style="2"/>
    <col min="12275" max="12275" width="11.125" style="2" bestFit="1" customWidth="1"/>
    <col min="12276" max="12276" width="9" style="2"/>
    <col min="12277" max="12291" width="11.125" style="2" bestFit="1" customWidth="1"/>
    <col min="12292" max="12292" width="9" style="2"/>
    <col min="12293" max="12293" width="11.125" style="2" bestFit="1" customWidth="1"/>
    <col min="12294" max="12294" width="9.625" style="2" bestFit="1" customWidth="1"/>
    <col min="12295" max="12521" width="9" style="2"/>
    <col min="12522" max="12522" width="2.375" style="2" customWidth="1"/>
    <col min="12523" max="12523" width="13.25" style="2" bestFit="1" customWidth="1"/>
    <col min="12524" max="12527" width="11.125" style="2" bestFit="1" customWidth="1"/>
    <col min="12528" max="12528" width="13.25" style="2" bestFit="1" customWidth="1"/>
    <col min="12529" max="12529" width="11.125" style="2" bestFit="1" customWidth="1"/>
    <col min="12530" max="12530" width="9" style="2"/>
    <col min="12531" max="12531" width="11.125" style="2" bestFit="1" customWidth="1"/>
    <col min="12532" max="12532" width="9" style="2"/>
    <col min="12533" max="12547" width="11.125" style="2" bestFit="1" customWidth="1"/>
    <col min="12548" max="12548" width="9" style="2"/>
    <col min="12549" max="12549" width="11.125" style="2" bestFit="1" customWidth="1"/>
    <col min="12550" max="12550" width="9.625" style="2" bestFit="1" customWidth="1"/>
    <col min="12551" max="12777" width="9" style="2"/>
    <col min="12778" max="12778" width="2.375" style="2" customWidth="1"/>
    <col min="12779" max="12779" width="13.25" style="2" bestFit="1" customWidth="1"/>
    <col min="12780" max="12783" width="11.125" style="2" bestFit="1" customWidth="1"/>
    <col min="12784" max="12784" width="13.25" style="2" bestFit="1" customWidth="1"/>
    <col min="12785" max="12785" width="11.125" style="2" bestFit="1" customWidth="1"/>
    <col min="12786" max="12786" width="9" style="2"/>
    <col min="12787" max="12787" width="11.125" style="2" bestFit="1" customWidth="1"/>
    <col min="12788" max="12788" width="9" style="2"/>
    <col min="12789" max="12803" width="11.125" style="2" bestFit="1" customWidth="1"/>
    <col min="12804" max="12804" width="9" style="2"/>
    <col min="12805" max="12805" width="11.125" style="2" bestFit="1" customWidth="1"/>
    <col min="12806" max="12806" width="9.625" style="2" bestFit="1" customWidth="1"/>
    <col min="12807" max="13033" width="9" style="2"/>
    <col min="13034" max="13034" width="2.375" style="2" customWidth="1"/>
    <col min="13035" max="13035" width="13.25" style="2" bestFit="1" customWidth="1"/>
    <col min="13036" max="13039" width="11.125" style="2" bestFit="1" customWidth="1"/>
    <col min="13040" max="13040" width="13.25" style="2" bestFit="1" customWidth="1"/>
    <col min="13041" max="13041" width="11.125" style="2" bestFit="1" customWidth="1"/>
    <col min="13042" max="13042" width="9" style="2"/>
    <col min="13043" max="13043" width="11.125" style="2" bestFit="1" customWidth="1"/>
    <col min="13044" max="13044" width="9" style="2"/>
    <col min="13045" max="13059" width="11.125" style="2" bestFit="1" customWidth="1"/>
    <col min="13060" max="13060" width="9" style="2"/>
    <col min="13061" max="13061" width="11.125" style="2" bestFit="1" customWidth="1"/>
    <col min="13062" max="13062" width="9.625" style="2" bestFit="1" customWidth="1"/>
    <col min="13063" max="13289" width="9" style="2"/>
    <col min="13290" max="13290" width="2.375" style="2" customWidth="1"/>
    <col min="13291" max="13291" width="13.25" style="2" bestFit="1" customWidth="1"/>
    <col min="13292" max="13295" width="11.125" style="2" bestFit="1" customWidth="1"/>
    <col min="13296" max="13296" width="13.25" style="2" bestFit="1" customWidth="1"/>
    <col min="13297" max="13297" width="11.125" style="2" bestFit="1" customWidth="1"/>
    <col min="13298" max="13298" width="9" style="2"/>
    <col min="13299" max="13299" width="11.125" style="2" bestFit="1" customWidth="1"/>
    <col min="13300" max="13300" width="9" style="2"/>
    <col min="13301" max="13315" width="11.125" style="2" bestFit="1" customWidth="1"/>
    <col min="13316" max="13316" width="9" style="2"/>
    <col min="13317" max="13317" width="11.125" style="2" bestFit="1" customWidth="1"/>
    <col min="13318" max="13318" width="9.625" style="2" bestFit="1" customWidth="1"/>
    <col min="13319" max="13545" width="9" style="2"/>
    <col min="13546" max="13546" width="2.375" style="2" customWidth="1"/>
    <col min="13547" max="13547" width="13.25" style="2" bestFit="1" customWidth="1"/>
    <col min="13548" max="13551" width="11.125" style="2" bestFit="1" customWidth="1"/>
    <col min="13552" max="13552" width="13.25" style="2" bestFit="1" customWidth="1"/>
    <col min="13553" max="13553" width="11.125" style="2" bestFit="1" customWidth="1"/>
    <col min="13554" max="13554" width="9" style="2"/>
    <col min="13555" max="13555" width="11.125" style="2" bestFit="1" customWidth="1"/>
    <col min="13556" max="13556" width="9" style="2"/>
    <col min="13557" max="13571" width="11.125" style="2" bestFit="1" customWidth="1"/>
    <col min="13572" max="13572" width="9" style="2"/>
    <col min="13573" max="13573" width="11.125" style="2" bestFit="1" customWidth="1"/>
    <col min="13574" max="13574" width="9.625" style="2" bestFit="1" customWidth="1"/>
    <col min="13575" max="13801" width="9" style="2"/>
    <col min="13802" max="13802" width="2.375" style="2" customWidth="1"/>
    <col min="13803" max="13803" width="13.25" style="2" bestFit="1" customWidth="1"/>
    <col min="13804" max="13807" width="11.125" style="2" bestFit="1" customWidth="1"/>
    <col min="13808" max="13808" width="13.25" style="2" bestFit="1" customWidth="1"/>
    <col min="13809" max="13809" width="11.125" style="2" bestFit="1" customWidth="1"/>
    <col min="13810" max="13810" width="9" style="2"/>
    <col min="13811" max="13811" width="11.125" style="2" bestFit="1" customWidth="1"/>
    <col min="13812" max="13812" width="9" style="2"/>
    <col min="13813" max="13827" width="11.125" style="2" bestFit="1" customWidth="1"/>
    <col min="13828" max="13828" width="9" style="2"/>
    <col min="13829" max="13829" width="11.125" style="2" bestFit="1" customWidth="1"/>
    <col min="13830" max="13830" width="9.625" style="2" bestFit="1" customWidth="1"/>
    <col min="13831" max="14057" width="9" style="2"/>
    <col min="14058" max="14058" width="2.375" style="2" customWidth="1"/>
    <col min="14059" max="14059" width="13.25" style="2" bestFit="1" customWidth="1"/>
    <col min="14060" max="14063" width="11.125" style="2" bestFit="1" customWidth="1"/>
    <col min="14064" max="14064" width="13.25" style="2" bestFit="1" customWidth="1"/>
    <col min="14065" max="14065" width="11.125" style="2" bestFit="1" customWidth="1"/>
    <col min="14066" max="14066" width="9" style="2"/>
    <col min="14067" max="14067" width="11.125" style="2" bestFit="1" customWidth="1"/>
    <col min="14068" max="14068" width="9" style="2"/>
    <col min="14069" max="14083" width="11.125" style="2" bestFit="1" customWidth="1"/>
    <col min="14084" max="14084" width="9" style="2"/>
    <col min="14085" max="14085" width="11.125" style="2" bestFit="1" customWidth="1"/>
    <col min="14086" max="14086" width="9.625" style="2" bestFit="1" customWidth="1"/>
    <col min="14087" max="14313" width="9" style="2"/>
    <col min="14314" max="14314" width="2.375" style="2" customWidth="1"/>
    <col min="14315" max="14315" width="13.25" style="2" bestFit="1" customWidth="1"/>
    <col min="14316" max="14319" width="11.125" style="2" bestFit="1" customWidth="1"/>
    <col min="14320" max="14320" width="13.25" style="2" bestFit="1" customWidth="1"/>
    <col min="14321" max="14321" width="11.125" style="2" bestFit="1" customWidth="1"/>
    <col min="14322" max="14322" width="9" style="2"/>
    <col min="14323" max="14323" width="11.125" style="2" bestFit="1" customWidth="1"/>
    <col min="14324" max="14324" width="9" style="2"/>
    <col min="14325" max="14339" width="11.125" style="2" bestFit="1" customWidth="1"/>
    <col min="14340" max="14340" width="9" style="2"/>
    <col min="14341" max="14341" width="11.125" style="2" bestFit="1" customWidth="1"/>
    <col min="14342" max="14342" width="9.625" style="2" bestFit="1" customWidth="1"/>
    <col min="14343" max="14569" width="9" style="2"/>
    <col min="14570" max="14570" width="2.375" style="2" customWidth="1"/>
    <col min="14571" max="14571" width="13.25" style="2" bestFit="1" customWidth="1"/>
    <col min="14572" max="14575" width="11.125" style="2" bestFit="1" customWidth="1"/>
    <col min="14576" max="14576" width="13.25" style="2" bestFit="1" customWidth="1"/>
    <col min="14577" max="14577" width="11.125" style="2" bestFit="1" customWidth="1"/>
    <col min="14578" max="14578" width="9" style="2"/>
    <col min="14579" max="14579" width="11.125" style="2" bestFit="1" customWidth="1"/>
    <col min="14580" max="14580" width="9" style="2"/>
    <col min="14581" max="14595" width="11.125" style="2" bestFit="1" customWidth="1"/>
    <col min="14596" max="14596" width="9" style="2"/>
    <col min="14597" max="14597" width="11.125" style="2" bestFit="1" customWidth="1"/>
    <col min="14598" max="14598" width="9.625" style="2" bestFit="1" customWidth="1"/>
    <col min="14599" max="14825" width="9" style="2"/>
    <col min="14826" max="14826" width="2.375" style="2" customWidth="1"/>
    <col min="14827" max="14827" width="13.25" style="2" bestFit="1" customWidth="1"/>
    <col min="14828" max="14831" width="11.125" style="2" bestFit="1" customWidth="1"/>
    <col min="14832" max="14832" width="13.25" style="2" bestFit="1" customWidth="1"/>
    <col min="14833" max="14833" width="11.125" style="2" bestFit="1" customWidth="1"/>
    <col min="14834" max="14834" width="9" style="2"/>
    <col min="14835" max="14835" width="11.125" style="2" bestFit="1" customWidth="1"/>
    <col min="14836" max="14836" width="9" style="2"/>
    <col min="14837" max="14851" width="11.125" style="2" bestFit="1" customWidth="1"/>
    <col min="14852" max="14852" width="9" style="2"/>
    <col min="14853" max="14853" width="11.125" style="2" bestFit="1" customWidth="1"/>
    <col min="14854" max="14854" width="9.625" style="2" bestFit="1" customWidth="1"/>
    <col min="14855" max="15081" width="9" style="2"/>
    <col min="15082" max="15082" width="2.375" style="2" customWidth="1"/>
    <col min="15083" max="15083" width="13.25" style="2" bestFit="1" customWidth="1"/>
    <col min="15084" max="15087" width="11.125" style="2" bestFit="1" customWidth="1"/>
    <col min="15088" max="15088" width="13.25" style="2" bestFit="1" customWidth="1"/>
    <col min="15089" max="15089" width="11.125" style="2" bestFit="1" customWidth="1"/>
    <col min="15090" max="15090" width="9" style="2"/>
    <col min="15091" max="15091" width="11.125" style="2" bestFit="1" customWidth="1"/>
    <col min="15092" max="15092" width="9" style="2"/>
    <col min="15093" max="15107" width="11.125" style="2" bestFit="1" customWidth="1"/>
    <col min="15108" max="15108" width="9" style="2"/>
    <col min="15109" max="15109" width="11.125" style="2" bestFit="1" customWidth="1"/>
    <col min="15110" max="15110" width="9.625" style="2" bestFit="1" customWidth="1"/>
    <col min="15111" max="15337" width="9" style="2"/>
    <col min="15338" max="15338" width="2.375" style="2" customWidth="1"/>
    <col min="15339" max="15339" width="13.25" style="2" bestFit="1" customWidth="1"/>
    <col min="15340" max="15343" width="11.125" style="2" bestFit="1" customWidth="1"/>
    <col min="15344" max="15344" width="13.25" style="2" bestFit="1" customWidth="1"/>
    <col min="15345" max="15345" width="11.125" style="2" bestFit="1" customWidth="1"/>
    <col min="15346" max="15346" width="9" style="2"/>
    <col min="15347" max="15347" width="11.125" style="2" bestFit="1" customWidth="1"/>
    <col min="15348" max="15348" width="9" style="2"/>
    <col min="15349" max="15363" width="11.125" style="2" bestFit="1" customWidth="1"/>
    <col min="15364" max="15364" width="9" style="2"/>
    <col min="15365" max="15365" width="11.125" style="2" bestFit="1" customWidth="1"/>
    <col min="15366" max="15366" width="9.625" style="2" bestFit="1" customWidth="1"/>
    <col min="15367" max="15593" width="9" style="2"/>
    <col min="15594" max="15594" width="2.375" style="2" customWidth="1"/>
    <col min="15595" max="15595" width="13.25" style="2" bestFit="1" customWidth="1"/>
    <col min="15596" max="15599" width="11.125" style="2" bestFit="1" customWidth="1"/>
    <col min="15600" max="15600" width="13.25" style="2" bestFit="1" customWidth="1"/>
    <col min="15601" max="15601" width="11.125" style="2" bestFit="1" customWidth="1"/>
    <col min="15602" max="15602" width="9" style="2"/>
    <col min="15603" max="15603" width="11.125" style="2" bestFit="1" customWidth="1"/>
    <col min="15604" max="15604" width="9" style="2"/>
    <col min="15605" max="15619" width="11.125" style="2" bestFit="1" customWidth="1"/>
    <col min="15620" max="15620" width="9" style="2"/>
    <col min="15621" max="15621" width="11.125" style="2" bestFit="1" customWidth="1"/>
    <col min="15622" max="15622" width="9.625" style="2" bestFit="1" customWidth="1"/>
    <col min="15623" max="15849" width="9" style="2"/>
    <col min="15850" max="15850" width="2.375" style="2" customWidth="1"/>
    <col min="15851" max="15851" width="13.25" style="2" bestFit="1" customWidth="1"/>
    <col min="15852" max="15855" width="11.125" style="2" bestFit="1" customWidth="1"/>
    <col min="15856" max="15856" width="13.25" style="2" bestFit="1" customWidth="1"/>
    <col min="15857" max="15857" width="11.125" style="2" bestFit="1" customWidth="1"/>
    <col min="15858" max="15858" width="9" style="2"/>
    <col min="15859" max="15859" width="11.125" style="2" bestFit="1" customWidth="1"/>
    <col min="15860" max="15860" width="9" style="2"/>
    <col min="15861" max="15875" width="11.125" style="2" bestFit="1" customWidth="1"/>
    <col min="15876" max="15876" width="9" style="2"/>
    <col min="15877" max="15877" width="11.125" style="2" bestFit="1" customWidth="1"/>
    <col min="15878" max="15878" width="9.625" style="2" bestFit="1" customWidth="1"/>
    <col min="15879" max="16105" width="9" style="2"/>
    <col min="16106" max="16106" width="2.375" style="2" customWidth="1"/>
    <col min="16107" max="16107" width="13.25" style="2" bestFit="1" customWidth="1"/>
    <col min="16108" max="16111" width="11.125" style="2" bestFit="1" customWidth="1"/>
    <col min="16112" max="16112" width="13.25" style="2" bestFit="1" customWidth="1"/>
    <col min="16113" max="16113" width="11.125" style="2" bestFit="1" customWidth="1"/>
    <col min="16114" max="16114" width="9" style="2"/>
    <col min="16115" max="16115" width="11.125" style="2" bestFit="1" customWidth="1"/>
    <col min="16116" max="16116" width="9" style="2"/>
    <col min="16117" max="16131" width="11.125" style="2" bestFit="1" customWidth="1"/>
    <col min="16132" max="16132" width="9" style="2"/>
    <col min="16133" max="16133" width="11.125" style="2" bestFit="1" customWidth="1"/>
    <col min="16134" max="16134" width="9.625" style="2" bestFit="1" customWidth="1"/>
    <col min="16135" max="16384" width="9" style="2"/>
  </cols>
  <sheetData>
    <row r="1" spans="1:8">
      <c r="A1" s="1" t="s">
        <v>0</v>
      </c>
    </row>
    <row r="2" spans="1:8" ht="19.5" thickBot="1">
      <c r="A2" s="1" t="s">
        <v>2</v>
      </c>
    </row>
    <row r="3" spans="1:8">
      <c r="B3" s="13"/>
      <c r="C3" s="42" t="s">
        <v>17</v>
      </c>
      <c r="D3" s="52" t="s">
        <v>5</v>
      </c>
      <c r="E3" s="50" t="s">
        <v>65</v>
      </c>
      <c r="F3" s="4" t="s">
        <v>6</v>
      </c>
      <c r="G3" s="50" t="s">
        <v>65</v>
      </c>
      <c r="H3" s="5" t="s">
        <v>46</v>
      </c>
    </row>
    <row r="4" spans="1:8" ht="19.5" thickBot="1">
      <c r="B4" s="6" t="s">
        <v>24</v>
      </c>
      <c r="C4" s="43" t="s">
        <v>39</v>
      </c>
      <c r="D4" s="53" t="s">
        <v>27</v>
      </c>
      <c r="E4" s="60" t="s">
        <v>67</v>
      </c>
      <c r="F4" s="3" t="s">
        <v>28</v>
      </c>
      <c r="G4" s="60" t="s">
        <v>68</v>
      </c>
      <c r="H4" s="6" t="s">
        <v>69</v>
      </c>
    </row>
    <row r="5" spans="1:8">
      <c r="A5" s="1" t="s">
        <v>1</v>
      </c>
      <c r="B5" s="23" t="s">
        <v>47</v>
      </c>
      <c r="C5" s="44">
        <v>365000</v>
      </c>
      <c r="D5" s="54">
        <v>103000</v>
      </c>
      <c r="E5" s="25">
        <f>SUM(C5:D5)</f>
        <v>468000</v>
      </c>
      <c r="F5" s="24">
        <v>385000</v>
      </c>
      <c r="G5" s="25">
        <f>SUM(F5)</f>
        <v>385000</v>
      </c>
      <c r="H5" s="25">
        <v>2071000</v>
      </c>
    </row>
    <row r="6" spans="1:8">
      <c r="A6" s="1" t="s">
        <v>1</v>
      </c>
      <c r="B6" s="20" t="s">
        <v>48</v>
      </c>
      <c r="C6" s="45">
        <v>0</v>
      </c>
      <c r="D6" s="55">
        <v>0</v>
      </c>
      <c r="E6" s="22">
        <f t="shared" ref="E6:E21" si="0">SUM(C6:D6)</f>
        <v>0</v>
      </c>
      <c r="F6" s="21">
        <v>0</v>
      </c>
      <c r="G6" s="22">
        <f t="shared" ref="G6:G21" si="1">SUM(F6)</f>
        <v>0</v>
      </c>
      <c r="H6" s="22">
        <v>120000</v>
      </c>
    </row>
    <row r="7" spans="1:8">
      <c r="A7" s="1" t="s">
        <v>1</v>
      </c>
      <c r="B7" s="20" t="s">
        <v>49</v>
      </c>
      <c r="C7" s="45">
        <v>0</v>
      </c>
      <c r="D7" s="55">
        <v>13000</v>
      </c>
      <c r="E7" s="22">
        <f t="shared" si="0"/>
        <v>13000</v>
      </c>
      <c r="F7" s="21">
        <v>0</v>
      </c>
      <c r="G7" s="22">
        <f t="shared" si="1"/>
        <v>0</v>
      </c>
      <c r="H7" s="22">
        <v>13500</v>
      </c>
    </row>
    <row r="8" spans="1:8">
      <c r="A8" s="1" t="s">
        <v>1</v>
      </c>
      <c r="B8" s="7" t="s">
        <v>50</v>
      </c>
      <c r="C8" s="46">
        <v>15000</v>
      </c>
      <c r="D8" s="56">
        <v>15000</v>
      </c>
      <c r="E8" s="9">
        <f t="shared" si="0"/>
        <v>30000</v>
      </c>
      <c r="F8" s="8">
        <v>15000</v>
      </c>
      <c r="G8" s="9">
        <f t="shared" si="1"/>
        <v>15000</v>
      </c>
      <c r="H8" s="9">
        <v>315000</v>
      </c>
    </row>
    <row r="9" spans="1:8">
      <c r="A9" s="1" t="s">
        <v>1</v>
      </c>
      <c r="B9" s="14" t="s">
        <v>51</v>
      </c>
      <c r="C9" s="47">
        <v>380000</v>
      </c>
      <c r="D9" s="57">
        <v>131000</v>
      </c>
      <c r="E9" s="16">
        <f t="shared" si="0"/>
        <v>511000</v>
      </c>
      <c r="F9" s="15">
        <v>400000</v>
      </c>
      <c r="G9" s="16">
        <f t="shared" si="1"/>
        <v>400000</v>
      </c>
      <c r="H9" s="16">
        <v>2519500</v>
      </c>
    </row>
    <row r="10" spans="1:8">
      <c r="A10" s="1" t="s">
        <v>1</v>
      </c>
      <c r="B10" s="14" t="s">
        <v>52</v>
      </c>
      <c r="C10" s="47">
        <v>380000</v>
      </c>
      <c r="D10" s="57">
        <v>131000</v>
      </c>
      <c r="E10" s="16">
        <f t="shared" si="0"/>
        <v>511000</v>
      </c>
      <c r="F10" s="15">
        <v>400000</v>
      </c>
      <c r="G10" s="16">
        <f t="shared" si="1"/>
        <v>400000</v>
      </c>
      <c r="H10" s="16">
        <v>2519500</v>
      </c>
    </row>
    <row r="11" spans="1:8">
      <c r="A11" s="1" t="s">
        <v>1</v>
      </c>
      <c r="B11" s="17" t="s">
        <v>53</v>
      </c>
      <c r="C11" s="48">
        <v>19380</v>
      </c>
      <c r="D11" s="58">
        <v>6681</v>
      </c>
      <c r="E11" s="19">
        <f t="shared" si="0"/>
        <v>26061</v>
      </c>
      <c r="F11" s="18">
        <v>20400</v>
      </c>
      <c r="G11" s="19">
        <f t="shared" si="1"/>
        <v>20400</v>
      </c>
      <c r="H11" s="19">
        <v>128469</v>
      </c>
    </row>
    <row r="12" spans="1:8">
      <c r="A12" s="1" t="s">
        <v>1</v>
      </c>
      <c r="B12" s="20" t="s">
        <v>54</v>
      </c>
      <c r="C12" s="45">
        <v>3420</v>
      </c>
      <c r="D12" s="55">
        <v>1179</v>
      </c>
      <c r="E12" s="22">
        <f t="shared" si="0"/>
        <v>4599</v>
      </c>
      <c r="F12" s="21">
        <v>3600</v>
      </c>
      <c r="G12" s="22">
        <f t="shared" si="1"/>
        <v>3600</v>
      </c>
      <c r="H12" s="22">
        <v>21762</v>
      </c>
    </row>
    <row r="13" spans="1:8">
      <c r="A13" s="1" t="s">
        <v>1</v>
      </c>
      <c r="B13" s="20" t="s">
        <v>55</v>
      </c>
      <c r="C13" s="45">
        <v>34770</v>
      </c>
      <c r="D13" s="55">
        <v>11986</v>
      </c>
      <c r="E13" s="22">
        <f t="shared" si="0"/>
        <v>46756</v>
      </c>
      <c r="F13" s="21">
        <v>36600</v>
      </c>
      <c r="G13" s="22">
        <f t="shared" si="1"/>
        <v>36600</v>
      </c>
      <c r="H13" s="22">
        <v>230486</v>
      </c>
    </row>
    <row r="14" spans="1:8">
      <c r="A14" s="1" t="s">
        <v>1</v>
      </c>
      <c r="B14" s="7" t="s">
        <v>56</v>
      </c>
      <c r="C14" s="46">
        <v>2280</v>
      </c>
      <c r="D14" s="56">
        <v>786</v>
      </c>
      <c r="E14" s="9">
        <f t="shared" si="0"/>
        <v>3066</v>
      </c>
      <c r="F14" s="8">
        <v>2400</v>
      </c>
      <c r="G14" s="9">
        <f t="shared" si="1"/>
        <v>2400</v>
      </c>
      <c r="H14" s="9">
        <v>15117</v>
      </c>
    </row>
    <row r="15" spans="1:8">
      <c r="A15" s="1" t="s">
        <v>1</v>
      </c>
      <c r="B15" s="14" t="s">
        <v>57</v>
      </c>
      <c r="C15" s="47">
        <v>320150</v>
      </c>
      <c r="D15" s="57">
        <v>110368</v>
      </c>
      <c r="E15" s="16">
        <f t="shared" si="0"/>
        <v>430518</v>
      </c>
      <c r="F15" s="15">
        <v>337000</v>
      </c>
      <c r="G15" s="16">
        <f t="shared" si="1"/>
        <v>337000</v>
      </c>
      <c r="H15" s="16">
        <v>2123666</v>
      </c>
    </row>
    <row r="16" spans="1:8">
      <c r="A16" s="1" t="s">
        <v>1</v>
      </c>
      <c r="B16" s="14" t="s">
        <v>58</v>
      </c>
      <c r="C16" s="47">
        <v>0</v>
      </c>
      <c r="D16" s="57">
        <v>0</v>
      </c>
      <c r="E16" s="16">
        <f t="shared" si="0"/>
        <v>0</v>
      </c>
      <c r="F16" s="15">
        <v>7956</v>
      </c>
      <c r="G16" s="16">
        <f t="shared" si="1"/>
        <v>7956</v>
      </c>
      <c r="H16" s="16">
        <v>7956</v>
      </c>
    </row>
    <row r="17" spans="1:8">
      <c r="A17" s="1" t="s">
        <v>1</v>
      </c>
      <c r="B17" s="14" t="s">
        <v>59</v>
      </c>
      <c r="C17" s="47">
        <v>59850</v>
      </c>
      <c r="D17" s="57">
        <v>20632</v>
      </c>
      <c r="E17" s="16">
        <f t="shared" si="0"/>
        <v>80482</v>
      </c>
      <c r="F17" s="15">
        <v>63000</v>
      </c>
      <c r="G17" s="16">
        <f t="shared" si="1"/>
        <v>63000</v>
      </c>
      <c r="H17" s="16">
        <v>395834</v>
      </c>
    </row>
    <row r="18" spans="1:8">
      <c r="A18" s="1" t="s">
        <v>1</v>
      </c>
      <c r="B18" s="14" t="s">
        <v>60</v>
      </c>
      <c r="C18" s="47">
        <v>320150</v>
      </c>
      <c r="D18" s="57">
        <v>110368</v>
      </c>
      <c r="E18" s="16">
        <f t="shared" si="0"/>
        <v>430518</v>
      </c>
      <c r="F18" s="15">
        <v>329044</v>
      </c>
      <c r="G18" s="16">
        <f t="shared" si="1"/>
        <v>329044</v>
      </c>
      <c r="H18" s="16">
        <v>2115710</v>
      </c>
    </row>
    <row r="19" spans="1:8">
      <c r="A19" s="1" t="s">
        <v>1</v>
      </c>
      <c r="B19" s="14" t="s">
        <v>61</v>
      </c>
      <c r="C19" s="47">
        <v>320150</v>
      </c>
      <c r="D19" s="57">
        <v>110368</v>
      </c>
      <c r="E19" s="16">
        <f t="shared" si="0"/>
        <v>430518</v>
      </c>
      <c r="F19" s="15">
        <v>329044</v>
      </c>
      <c r="G19" s="16">
        <f t="shared" si="1"/>
        <v>329044</v>
      </c>
      <c r="H19" s="16">
        <v>2115710</v>
      </c>
    </row>
    <row r="20" spans="1:8">
      <c r="A20" s="1" t="s">
        <v>1</v>
      </c>
      <c r="B20" s="14" t="s">
        <v>62</v>
      </c>
      <c r="C20" s="47">
        <v>26149</v>
      </c>
      <c r="D20" s="57">
        <v>6761</v>
      </c>
      <c r="E20" s="16">
        <f t="shared" si="0"/>
        <v>32910</v>
      </c>
      <c r="F20" s="15">
        <v>27526</v>
      </c>
      <c r="G20" s="16">
        <f t="shared" si="1"/>
        <v>27526</v>
      </c>
      <c r="H20" s="16">
        <v>128691</v>
      </c>
    </row>
    <row r="21" spans="1:8">
      <c r="A21" s="1" t="s">
        <v>1</v>
      </c>
      <c r="B21" s="14" t="s">
        <v>63</v>
      </c>
      <c r="C21" s="47">
        <v>26149</v>
      </c>
      <c r="D21" s="57">
        <v>6761</v>
      </c>
      <c r="E21" s="16">
        <f t="shared" si="0"/>
        <v>32910</v>
      </c>
      <c r="F21" s="15">
        <v>19570</v>
      </c>
      <c r="G21" s="16">
        <f t="shared" si="1"/>
        <v>19570</v>
      </c>
      <c r="H21" s="16">
        <v>120735</v>
      </c>
    </row>
    <row r="22" spans="1:8" ht="19.5" thickBot="1">
      <c r="A22" s="1" t="s">
        <v>1</v>
      </c>
      <c r="B22" s="10" t="s">
        <v>64</v>
      </c>
      <c r="C22" s="49">
        <v>90000</v>
      </c>
      <c r="D22" s="59">
        <v>60000</v>
      </c>
      <c r="E22" s="12"/>
      <c r="F22" s="11">
        <v>30000</v>
      </c>
      <c r="G22" s="12"/>
      <c r="H22" s="12"/>
    </row>
  </sheetData>
  <phoneticPr fontId="3"/>
  <pageMargins left="0.11811023622047245" right="0.19685039370078741" top="0.35433070866141736" bottom="0.35433070866141736" header="0.11811023622047245" footer="0.11811023622047245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夏季賞与 (2)</vt:lpstr>
      <vt:lpstr>夏季賞与 (3)</vt:lpstr>
      <vt:lpstr>夏季賞与 (4)</vt:lpstr>
      <vt:lpstr>'夏季賞与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2024-06-13T03:01:55Z</cp:lastPrinted>
  <dcterms:created xsi:type="dcterms:W3CDTF">2024-06-13T02:00:33Z</dcterms:created>
  <dcterms:modified xsi:type="dcterms:W3CDTF">2024-06-13T05:46:13Z</dcterms:modified>
</cp:coreProperties>
</file>