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夏季賞与\"/>
    </mc:Choice>
  </mc:AlternateContent>
  <xr:revisionPtr revIDLastSave="0" documentId="13_ncr:1_{8612EA93-896C-4752-BFA8-CC6091375F76}" xr6:coauthVersionLast="47" xr6:coauthVersionMax="47" xr10:uidLastSave="{00000000-0000-0000-0000-000000000000}"/>
  <bookViews>
    <workbookView xWindow="-120" yWindow="-120" windowWidth="20730" windowHeight="11160" xr2:uid="{6DFC315B-EA19-4754-9622-6B39228DF108}"/>
  </bookViews>
  <sheets>
    <sheet name="夏季賞与 (2)" sheetId="3" r:id="rId1"/>
  </sheets>
  <definedNames>
    <definedName name="_xlnm.Print_Area" localSheetId="0">'夏季賞与 (2)'!$A$1:$L$21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3" l="1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5" i="3"/>
  <c r="L5" i="3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5" i="3"/>
</calcChain>
</file>

<file path=xl/sharedStrings.xml><?xml version="1.0" encoding="utf-8"?>
<sst xmlns="http://schemas.openxmlformats.org/spreadsheetml/2006/main" count="56" uniqueCount="39">
  <si>
    <t>賞与支給控除一覧表</t>
    <phoneticPr fontId="4"/>
  </si>
  <si>
    <t/>
  </si>
  <si>
    <t>夏季賞与</t>
    <phoneticPr fontId="4"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</si>
  <si>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</si>
  <si>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</si>
  <si>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</si>
  <si>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</si>
  <si>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</si>
  <si>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</si>
  <si>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</si>
  <si>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</si>
  <si>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</si>
  <si>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</si>
  <si>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</si>
  <si>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</si>
  <si>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</si>
  <si>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</si>
  <si>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</si>
  <si>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</si>
  <si>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</si>
  <si>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</si>
  <si>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</si>
  <si>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</si>
  <si>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</si>
  <si>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</si>
  <si>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</si>
  <si>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</si>
  <si>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</si>
  <si>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</si>
  <si>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</si>
  <si>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</si>
  <si>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</si>
  <si>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</si>
  <si>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</si>
  <si>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(定額減税額)</t>
    <phoneticPr fontId="4"/>
  </si>
  <si>
    <t>(減税設定額)</t>
    <phoneticPr fontId="4"/>
  </si>
  <si>
    <t>小計</t>
    <rPh sb="0" eb="2">
      <t>ショウケイ</t>
    </rPh>
    <phoneticPr fontId="3"/>
  </si>
  <si>
    <t>１名</t>
    <rPh sb="1" eb="2">
      <t>メイ</t>
    </rPh>
    <phoneticPr fontId="3"/>
  </si>
  <si>
    <t>６名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</si>
</sst>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29" xfId="1" applyNumberFormat="1" applyFont="1" applyBorder="1"/>
    <xf numFmtId="49" fontId="2" fillId="0" borderId="13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0" fontId="2" fillId="0" borderId="13" xfId="1" applyFont="1" applyBorder="1"/>
  </cellXfs>
  <cellStyles count="2">
    <cellStyle name="標準" xfId="0" builtinId="0"/>
    <cellStyle name="標準 2" xfId="1" xr:uid="{0BB66316-9FA9-49FC-B6AC-E5134D4ECF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E4ED-1C0C-4A3B-A11B-3CEB9816BEB3}">
  <sheetPr>
    <pageSetUpPr fitToPage="1"/>
  </sheetPr>
  <dimension ref="A1:L2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375" style="2" customWidth="1"/>
    <col min="13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2" width="9" style="2"/>
    <col min="263" max="266" width="11.125" style="2" bestFit="1" customWidth="1"/>
    <col min="267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8" width="9" style="2"/>
    <col min="519" max="522" width="11.125" style="2" bestFit="1" customWidth="1"/>
    <col min="523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4" width="9" style="2"/>
    <col min="775" max="778" width="11.125" style="2" bestFit="1" customWidth="1"/>
    <col min="779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30" width="9" style="2"/>
    <col min="1031" max="1034" width="11.125" style="2" bestFit="1" customWidth="1"/>
    <col min="1035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6" width="9" style="2"/>
    <col min="1287" max="1290" width="11.125" style="2" bestFit="1" customWidth="1"/>
    <col min="1291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2" width="9" style="2"/>
    <col min="1543" max="1546" width="11.125" style="2" bestFit="1" customWidth="1"/>
    <col min="1547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8" width="9" style="2"/>
    <col min="1799" max="1802" width="11.125" style="2" bestFit="1" customWidth="1"/>
    <col min="1803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4" width="9" style="2"/>
    <col min="2055" max="2058" width="11.125" style="2" bestFit="1" customWidth="1"/>
    <col min="2059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10" width="9" style="2"/>
    <col min="2311" max="2314" width="11.125" style="2" bestFit="1" customWidth="1"/>
    <col min="2315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6" width="9" style="2"/>
    <col min="2567" max="2570" width="11.125" style="2" bestFit="1" customWidth="1"/>
    <col min="2571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2" width="9" style="2"/>
    <col min="2823" max="2826" width="11.125" style="2" bestFit="1" customWidth="1"/>
    <col min="2827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8" width="9" style="2"/>
    <col min="3079" max="3082" width="11.125" style="2" bestFit="1" customWidth="1"/>
    <col min="3083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4" width="9" style="2"/>
    <col min="3335" max="3338" width="11.125" style="2" bestFit="1" customWidth="1"/>
    <col min="3339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90" width="9" style="2"/>
    <col min="3591" max="3594" width="11.125" style="2" bestFit="1" customWidth="1"/>
    <col min="3595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6" width="9" style="2"/>
    <col min="3847" max="3850" width="11.125" style="2" bestFit="1" customWidth="1"/>
    <col min="3851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2" width="9" style="2"/>
    <col min="4103" max="4106" width="11.125" style="2" bestFit="1" customWidth="1"/>
    <col min="4107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8" width="9" style="2"/>
    <col min="4359" max="4362" width="11.125" style="2" bestFit="1" customWidth="1"/>
    <col min="4363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4" width="9" style="2"/>
    <col min="4615" max="4618" width="11.125" style="2" bestFit="1" customWidth="1"/>
    <col min="4619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70" width="9" style="2"/>
    <col min="4871" max="4874" width="11.125" style="2" bestFit="1" customWidth="1"/>
    <col min="4875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6" width="9" style="2"/>
    <col min="5127" max="5130" width="11.125" style="2" bestFit="1" customWidth="1"/>
    <col min="5131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2" width="9" style="2"/>
    <col min="5383" max="5386" width="11.125" style="2" bestFit="1" customWidth="1"/>
    <col min="5387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8" width="9" style="2"/>
    <col min="5639" max="5642" width="11.125" style="2" bestFit="1" customWidth="1"/>
    <col min="5643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4" width="9" style="2"/>
    <col min="5895" max="5898" width="11.125" style="2" bestFit="1" customWidth="1"/>
    <col min="5899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50" width="9" style="2"/>
    <col min="6151" max="6154" width="11.125" style="2" bestFit="1" customWidth="1"/>
    <col min="6155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6" width="9" style="2"/>
    <col min="6407" max="6410" width="11.125" style="2" bestFit="1" customWidth="1"/>
    <col min="6411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2" width="9" style="2"/>
    <col min="6663" max="6666" width="11.125" style="2" bestFit="1" customWidth="1"/>
    <col min="6667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8" width="9" style="2"/>
    <col min="6919" max="6922" width="11.125" style="2" bestFit="1" customWidth="1"/>
    <col min="6923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4" width="9" style="2"/>
    <col min="7175" max="7178" width="11.125" style="2" bestFit="1" customWidth="1"/>
    <col min="7179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30" width="9" style="2"/>
    <col min="7431" max="7434" width="11.125" style="2" bestFit="1" customWidth="1"/>
    <col min="7435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6" width="9" style="2"/>
    <col min="7687" max="7690" width="11.125" style="2" bestFit="1" customWidth="1"/>
    <col min="7691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2" width="9" style="2"/>
    <col min="7943" max="7946" width="11.125" style="2" bestFit="1" customWidth="1"/>
    <col min="7947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8" width="9" style="2"/>
    <col min="8199" max="8202" width="11.125" style="2" bestFit="1" customWidth="1"/>
    <col min="8203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4" width="9" style="2"/>
    <col min="8455" max="8458" width="11.125" style="2" bestFit="1" customWidth="1"/>
    <col min="8459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10" width="9" style="2"/>
    <col min="8711" max="8714" width="11.125" style="2" bestFit="1" customWidth="1"/>
    <col min="8715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6" width="9" style="2"/>
    <col min="8967" max="8970" width="11.125" style="2" bestFit="1" customWidth="1"/>
    <col min="8971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2" width="9" style="2"/>
    <col min="9223" max="9226" width="11.125" style="2" bestFit="1" customWidth="1"/>
    <col min="9227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8" width="9" style="2"/>
    <col min="9479" max="9482" width="11.125" style="2" bestFit="1" customWidth="1"/>
    <col min="9483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4" width="9" style="2"/>
    <col min="9735" max="9738" width="11.125" style="2" bestFit="1" customWidth="1"/>
    <col min="9739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90" width="9" style="2"/>
    <col min="9991" max="9994" width="11.125" style="2" bestFit="1" customWidth="1"/>
    <col min="9995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6" width="9" style="2"/>
    <col min="10247" max="10250" width="11.125" style="2" bestFit="1" customWidth="1"/>
    <col min="10251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2" width="9" style="2"/>
    <col min="10503" max="10506" width="11.125" style="2" bestFit="1" customWidth="1"/>
    <col min="10507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8" width="9" style="2"/>
    <col min="10759" max="10762" width="11.125" style="2" bestFit="1" customWidth="1"/>
    <col min="10763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4" width="9" style="2"/>
    <col min="11015" max="11018" width="11.125" style="2" bestFit="1" customWidth="1"/>
    <col min="11019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70" width="9" style="2"/>
    <col min="11271" max="11274" width="11.125" style="2" bestFit="1" customWidth="1"/>
    <col min="11275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6" width="9" style="2"/>
    <col min="11527" max="11530" width="11.125" style="2" bestFit="1" customWidth="1"/>
    <col min="11531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2" width="9" style="2"/>
    <col min="11783" max="11786" width="11.125" style="2" bestFit="1" customWidth="1"/>
    <col min="11787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8" width="9" style="2"/>
    <col min="12039" max="12042" width="11.125" style="2" bestFit="1" customWidth="1"/>
    <col min="12043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4" width="9" style="2"/>
    <col min="12295" max="12298" width="11.125" style="2" bestFit="1" customWidth="1"/>
    <col min="12299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50" width="9" style="2"/>
    <col min="12551" max="12554" width="11.125" style="2" bestFit="1" customWidth="1"/>
    <col min="12555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6" width="9" style="2"/>
    <col min="12807" max="12810" width="11.125" style="2" bestFit="1" customWidth="1"/>
    <col min="12811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2" width="9" style="2"/>
    <col min="13063" max="13066" width="11.125" style="2" bestFit="1" customWidth="1"/>
    <col min="13067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8" width="9" style="2"/>
    <col min="13319" max="13322" width="11.125" style="2" bestFit="1" customWidth="1"/>
    <col min="13323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4" width="9" style="2"/>
    <col min="13575" max="13578" width="11.125" style="2" bestFit="1" customWidth="1"/>
    <col min="13579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30" width="9" style="2"/>
    <col min="13831" max="13834" width="11.125" style="2" bestFit="1" customWidth="1"/>
    <col min="13835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6" width="9" style="2"/>
    <col min="14087" max="14090" width="11.125" style="2" bestFit="1" customWidth="1"/>
    <col min="14091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2" width="9" style="2"/>
    <col min="14343" max="14346" width="11.125" style="2" bestFit="1" customWidth="1"/>
    <col min="14347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8" width="9" style="2"/>
    <col min="14599" max="14602" width="11.125" style="2" bestFit="1" customWidth="1"/>
    <col min="14603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4" width="9" style="2"/>
    <col min="14855" max="14858" width="11.125" style="2" bestFit="1" customWidth="1"/>
    <col min="14859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10" width="9" style="2"/>
    <col min="15111" max="15114" width="11.125" style="2" bestFit="1" customWidth="1"/>
    <col min="15115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6" width="9" style="2"/>
    <col min="15367" max="15370" width="11.125" style="2" bestFit="1" customWidth="1"/>
    <col min="15371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2" width="9" style="2"/>
    <col min="15623" max="15626" width="11.125" style="2" bestFit="1" customWidth="1"/>
    <col min="15627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8" width="9" style="2"/>
    <col min="15879" max="15882" width="11.125" style="2" bestFit="1" customWidth="1"/>
    <col min="15883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4" width="9" style="2"/>
    <col min="16135" max="16138" width="11.125" style="2" bestFit="1" customWidth="1"/>
    <col min="16139" max="16384" width="9" style="2"/>
  </cols>
  <sheetData>
    <row r="1" spans="1:12">
      <c r="A1" s="1" t="s">
        <v>0</v>
      </c>
    </row>
    <row r="2" spans="1:12" ht="19.5" thickBot="1">
      <c r="A2" s="1" t="s">
        <v>2</v>
      </c>
    </row>
    <row r="3" spans="1:12">
      <c r="B3" s="24"/>
      <c r="C3" s="41" t="s">
        <v>5</v>
      </c>
      <c r="D3" s="49" t="s">
        <v>36</v>
      </c>
      <c r="E3" s="25" t="s">
        <v>3</v>
      </c>
      <c r="F3" s="26" t="s">
        <v>4</v>
      </c>
      <c r="G3" s="26" t="s">
        <v>6</v>
      </c>
      <c r="H3" s="26" t="s">
        <v>7</v>
      </c>
      <c r="I3" s="26" t="s">
        <v>8</v>
      </c>
      <c r="J3" s="4" t="s">
        <v>9</v>
      </c>
      <c r="K3" s="49" t="s">
        <v>36</v>
      </c>
      <c r="L3" s="51"/>
    </row>
    <row r="4" spans="1:12" ht="19.5" thickBot="1">
      <c r="B4" s="5" t="s">
        <v>10</v>
      </c>
      <c r="C4" s="42" t="s">
        <v>13</v>
      </c>
      <c r="D4" s="50" t="s">
        <v>37</v>
      </c>
      <c r="E4" s="27" t="s">
        <v>11</v>
      </c>
      <c r="F4" s="28" t="s">
        <v>12</v>
      </c>
      <c r="G4" s="28" t="s">
        <v>14</v>
      </c>
      <c r="H4" s="28" t="s">
        <v>15</v>
      </c>
      <c r="I4" s="28" t="s">
        <v>16</v>
      </c>
      <c r="J4" s="3" t="s">
        <v>17</v>
      </c>
      <c r="K4" s="50" t="s">
        <v>38</v>
      </c>
      <c r="L4" s="5" t="s">
        <v>18</v>
      </c>
    </row>
    <row r="5" spans="1:12">
      <c r="A5" s="1" t="s">
        <v>1</v>
      </c>
      <c r="B5" s="21" t="s">
        <v>19</v>
      </c>
      <c r="C5" s="43">
        <v>365000</v>
      </c>
      <c r="D5" s="23">
        <f>SUM(C5)</f>
        <v>365000</v>
      </c>
      <c r="E5" s="29">
        <v>59000</v>
      </c>
      <c r="F5" s="30">
        <v>83000</v>
      </c>
      <c r="G5" s="30">
        <v>59000</v>
      </c>
      <c r="H5" s="30">
        <v>59000</v>
      </c>
      <c r="I5" s="30">
        <v>59000</v>
      </c>
      <c r="J5" s="22">
        <v>53000</v>
      </c>
      <c r="K5" s="23">
        <f>SUM(E5:J5)</f>
        <v>372000</v>
      </c>
      <c r="L5" s="23">
        <f>SUM(K5,D5)</f>
        <v>737000</v>
      </c>
    </row>
    <row r="6" spans="1:12">
      <c r="A6" s="1" t="s">
        <v>1</v>
      </c>
      <c r="B6" s="18" t="s">
        <v>20</v>
      </c>
      <c r="C6" s="44">
        <v>0</v>
      </c>
      <c r="D6" s="20">
        <f t="shared" ref="D6:D20" si="0">SUM(C6)</f>
        <v>0</v>
      </c>
      <c r="E6" s="31">
        <v>0</v>
      </c>
      <c r="F6" s="32">
        <v>15000</v>
      </c>
      <c r="G6" s="32">
        <v>0</v>
      </c>
      <c r="H6" s="32">
        <v>0</v>
      </c>
      <c r="I6" s="32">
        <v>0</v>
      </c>
      <c r="J6" s="19">
        <v>0</v>
      </c>
      <c r="K6" s="20">
        <f t="shared" ref="K6:K20" si="1">SUM(E6:J6)</f>
        <v>15000</v>
      </c>
      <c r="L6" s="20">
        <f t="shared" ref="L6:L20" si="2">SUM(K6,D6)</f>
        <v>15000</v>
      </c>
    </row>
    <row r="7" spans="1:12">
      <c r="A7" s="1" t="s">
        <v>1</v>
      </c>
      <c r="B7" s="18" t="s">
        <v>21</v>
      </c>
      <c r="C7" s="44">
        <v>0</v>
      </c>
      <c r="D7" s="20">
        <f t="shared" si="0"/>
        <v>0</v>
      </c>
      <c r="E7" s="31">
        <v>6000</v>
      </c>
      <c r="F7" s="32">
        <v>0</v>
      </c>
      <c r="G7" s="32">
        <v>10000</v>
      </c>
      <c r="H7" s="32">
        <v>0</v>
      </c>
      <c r="I7" s="32">
        <v>0</v>
      </c>
      <c r="J7" s="19">
        <v>0</v>
      </c>
      <c r="K7" s="20">
        <f t="shared" si="1"/>
        <v>16000</v>
      </c>
      <c r="L7" s="20">
        <f t="shared" si="2"/>
        <v>16000</v>
      </c>
    </row>
    <row r="8" spans="1:12">
      <c r="A8" s="1" t="s">
        <v>1</v>
      </c>
      <c r="B8" s="6" t="s">
        <v>22</v>
      </c>
      <c r="C8" s="45">
        <v>15000</v>
      </c>
      <c r="D8" s="8">
        <f t="shared" si="0"/>
        <v>15000</v>
      </c>
      <c r="E8" s="33">
        <v>15000</v>
      </c>
      <c r="F8" s="34">
        <v>15000</v>
      </c>
      <c r="G8" s="34">
        <v>15000</v>
      </c>
      <c r="H8" s="34">
        <v>15000</v>
      </c>
      <c r="I8" s="34">
        <v>15000</v>
      </c>
      <c r="J8" s="7">
        <v>15000</v>
      </c>
      <c r="K8" s="8">
        <f t="shared" si="1"/>
        <v>90000</v>
      </c>
      <c r="L8" s="8">
        <f t="shared" si="2"/>
        <v>105000</v>
      </c>
    </row>
    <row r="9" spans="1:12">
      <c r="A9" s="1" t="s">
        <v>1</v>
      </c>
      <c r="B9" s="12" t="s">
        <v>23</v>
      </c>
      <c r="C9" s="46">
        <v>380000</v>
      </c>
      <c r="D9" s="14">
        <f t="shared" si="0"/>
        <v>380000</v>
      </c>
      <c r="E9" s="35">
        <v>80000</v>
      </c>
      <c r="F9" s="36">
        <v>113000</v>
      </c>
      <c r="G9" s="36">
        <v>84000</v>
      </c>
      <c r="H9" s="36">
        <v>74000</v>
      </c>
      <c r="I9" s="36">
        <v>74000</v>
      </c>
      <c r="J9" s="13">
        <v>68000</v>
      </c>
      <c r="K9" s="14">
        <f t="shared" si="1"/>
        <v>493000</v>
      </c>
      <c r="L9" s="14">
        <f t="shared" si="2"/>
        <v>873000</v>
      </c>
    </row>
    <row r="10" spans="1:12">
      <c r="A10" s="1" t="s">
        <v>1</v>
      </c>
      <c r="B10" s="12" t="s">
        <v>24</v>
      </c>
      <c r="C10" s="46">
        <v>380000</v>
      </c>
      <c r="D10" s="14">
        <f t="shared" si="0"/>
        <v>380000</v>
      </c>
      <c r="E10" s="35">
        <v>80000</v>
      </c>
      <c r="F10" s="36">
        <v>113000</v>
      </c>
      <c r="G10" s="36">
        <v>84000</v>
      </c>
      <c r="H10" s="36">
        <v>74000</v>
      </c>
      <c r="I10" s="36">
        <v>74000</v>
      </c>
      <c r="J10" s="13">
        <v>68000</v>
      </c>
      <c r="K10" s="14">
        <f t="shared" si="1"/>
        <v>493000</v>
      </c>
      <c r="L10" s="14">
        <f t="shared" si="2"/>
        <v>873000</v>
      </c>
    </row>
    <row r="11" spans="1:12">
      <c r="A11" s="1" t="s">
        <v>1</v>
      </c>
      <c r="B11" s="15" t="s">
        <v>25</v>
      </c>
      <c r="C11" s="47">
        <v>19380</v>
      </c>
      <c r="D11" s="17">
        <f t="shared" si="0"/>
        <v>19380</v>
      </c>
      <c r="E11" s="37">
        <v>4080</v>
      </c>
      <c r="F11" s="38">
        <v>5763</v>
      </c>
      <c r="G11" s="38">
        <v>4284</v>
      </c>
      <c r="H11" s="38">
        <v>3774</v>
      </c>
      <c r="I11" s="38">
        <v>3774</v>
      </c>
      <c r="J11" s="16">
        <v>3468</v>
      </c>
      <c r="K11" s="17">
        <f t="shared" si="1"/>
        <v>25143</v>
      </c>
      <c r="L11" s="17">
        <f t="shared" si="2"/>
        <v>44523</v>
      </c>
    </row>
    <row r="12" spans="1:12">
      <c r="A12" s="1" t="s">
        <v>1</v>
      </c>
      <c r="B12" s="18" t="s">
        <v>26</v>
      </c>
      <c r="C12" s="44">
        <v>3420</v>
      </c>
      <c r="D12" s="20">
        <f t="shared" si="0"/>
        <v>3420</v>
      </c>
      <c r="E12" s="31">
        <v>720</v>
      </c>
      <c r="F12" s="32">
        <v>1017</v>
      </c>
      <c r="G12" s="32">
        <v>756</v>
      </c>
      <c r="H12" s="32">
        <v>666</v>
      </c>
      <c r="I12" s="32">
        <v>666</v>
      </c>
      <c r="J12" s="19">
        <v>612</v>
      </c>
      <c r="K12" s="20">
        <f t="shared" si="1"/>
        <v>4437</v>
      </c>
      <c r="L12" s="20">
        <f t="shared" si="2"/>
        <v>7857</v>
      </c>
    </row>
    <row r="13" spans="1:12">
      <c r="A13" s="1" t="s">
        <v>1</v>
      </c>
      <c r="B13" s="18" t="s">
        <v>27</v>
      </c>
      <c r="C13" s="44">
        <v>34770</v>
      </c>
      <c r="D13" s="20">
        <f t="shared" si="0"/>
        <v>34770</v>
      </c>
      <c r="E13" s="31">
        <v>7320</v>
      </c>
      <c r="F13" s="32">
        <v>10339</v>
      </c>
      <c r="G13" s="32">
        <v>7686</v>
      </c>
      <c r="H13" s="32">
        <v>6771</v>
      </c>
      <c r="I13" s="32">
        <v>6771</v>
      </c>
      <c r="J13" s="19">
        <v>6222</v>
      </c>
      <c r="K13" s="20">
        <f t="shared" si="1"/>
        <v>45109</v>
      </c>
      <c r="L13" s="20">
        <f t="shared" si="2"/>
        <v>79879</v>
      </c>
    </row>
    <row r="14" spans="1:12">
      <c r="A14" s="1" t="s">
        <v>1</v>
      </c>
      <c r="B14" s="6" t="s">
        <v>28</v>
      </c>
      <c r="C14" s="45">
        <v>2280</v>
      </c>
      <c r="D14" s="8">
        <f t="shared" si="0"/>
        <v>2280</v>
      </c>
      <c r="E14" s="33">
        <v>480</v>
      </c>
      <c r="F14" s="34">
        <v>678</v>
      </c>
      <c r="G14" s="34">
        <v>504</v>
      </c>
      <c r="H14" s="34">
        <v>444</v>
      </c>
      <c r="I14" s="34">
        <v>444</v>
      </c>
      <c r="J14" s="7">
        <v>408</v>
      </c>
      <c r="K14" s="8">
        <f t="shared" si="1"/>
        <v>2958</v>
      </c>
      <c r="L14" s="8">
        <f t="shared" si="2"/>
        <v>5238</v>
      </c>
    </row>
    <row r="15" spans="1:12">
      <c r="A15" s="1" t="s">
        <v>1</v>
      </c>
      <c r="B15" s="12" t="s">
        <v>29</v>
      </c>
      <c r="C15" s="46">
        <v>320150</v>
      </c>
      <c r="D15" s="14">
        <f t="shared" si="0"/>
        <v>320150</v>
      </c>
      <c r="E15" s="35">
        <v>67400</v>
      </c>
      <c r="F15" s="36">
        <v>95203</v>
      </c>
      <c r="G15" s="36">
        <v>70770</v>
      </c>
      <c r="H15" s="36">
        <v>62345</v>
      </c>
      <c r="I15" s="36">
        <v>62345</v>
      </c>
      <c r="J15" s="13">
        <v>57290</v>
      </c>
      <c r="K15" s="14">
        <f t="shared" si="1"/>
        <v>415353</v>
      </c>
      <c r="L15" s="14">
        <f t="shared" si="2"/>
        <v>735503</v>
      </c>
    </row>
    <row r="16" spans="1:12">
      <c r="A16" s="1" t="s">
        <v>1</v>
      </c>
      <c r="B16" s="12" t="s">
        <v>30</v>
      </c>
      <c r="C16" s="46">
        <v>59850</v>
      </c>
      <c r="D16" s="14">
        <f t="shared" si="0"/>
        <v>59850</v>
      </c>
      <c r="E16" s="35">
        <v>12600</v>
      </c>
      <c r="F16" s="36">
        <v>17797</v>
      </c>
      <c r="G16" s="36">
        <v>13230</v>
      </c>
      <c r="H16" s="36">
        <v>11655</v>
      </c>
      <c r="I16" s="36">
        <v>11655</v>
      </c>
      <c r="J16" s="13">
        <v>10710</v>
      </c>
      <c r="K16" s="14">
        <f t="shared" si="1"/>
        <v>77647</v>
      </c>
      <c r="L16" s="14">
        <f t="shared" si="2"/>
        <v>137497</v>
      </c>
    </row>
    <row r="17" spans="1:12">
      <c r="A17" s="1" t="s">
        <v>1</v>
      </c>
      <c r="B17" s="12" t="s">
        <v>31</v>
      </c>
      <c r="C17" s="46">
        <v>320150</v>
      </c>
      <c r="D17" s="14">
        <f t="shared" si="0"/>
        <v>320150</v>
      </c>
      <c r="E17" s="35">
        <v>67400</v>
      </c>
      <c r="F17" s="36">
        <v>95203</v>
      </c>
      <c r="G17" s="36">
        <v>70770</v>
      </c>
      <c r="H17" s="36">
        <v>62345</v>
      </c>
      <c r="I17" s="36">
        <v>62345</v>
      </c>
      <c r="J17" s="13">
        <v>57290</v>
      </c>
      <c r="K17" s="14">
        <f t="shared" si="1"/>
        <v>415353</v>
      </c>
      <c r="L17" s="14">
        <f t="shared" si="2"/>
        <v>735503</v>
      </c>
    </row>
    <row r="18" spans="1:12">
      <c r="A18" s="1" t="s">
        <v>1</v>
      </c>
      <c r="B18" s="12" t="s">
        <v>32</v>
      </c>
      <c r="C18" s="46">
        <v>320150</v>
      </c>
      <c r="D18" s="14">
        <f t="shared" si="0"/>
        <v>320150</v>
      </c>
      <c r="E18" s="35">
        <v>67400</v>
      </c>
      <c r="F18" s="36">
        <v>95203</v>
      </c>
      <c r="G18" s="36">
        <v>70770</v>
      </c>
      <c r="H18" s="36">
        <v>62345</v>
      </c>
      <c r="I18" s="36">
        <v>62345</v>
      </c>
      <c r="J18" s="13">
        <v>57290</v>
      </c>
      <c r="K18" s="14">
        <f t="shared" si="1"/>
        <v>415353</v>
      </c>
      <c r="L18" s="14">
        <f t="shared" si="2"/>
        <v>735503</v>
      </c>
    </row>
    <row r="19" spans="1:12">
      <c r="A19" s="1" t="s">
        <v>1</v>
      </c>
      <c r="B19" s="12" t="s">
        <v>33</v>
      </c>
      <c r="C19" s="46">
        <v>19612</v>
      </c>
      <c r="D19" s="14">
        <f t="shared" si="0"/>
        <v>19612</v>
      </c>
      <c r="E19" s="35">
        <v>4128</v>
      </c>
      <c r="F19" s="36">
        <v>7776</v>
      </c>
      <c r="G19" s="36">
        <v>4335</v>
      </c>
      <c r="H19" s="36">
        <v>2546</v>
      </c>
      <c r="I19" s="36">
        <v>5092</v>
      </c>
      <c r="J19" s="13">
        <v>3509</v>
      </c>
      <c r="K19" s="14">
        <f t="shared" si="1"/>
        <v>27386</v>
      </c>
      <c r="L19" s="14">
        <f t="shared" si="2"/>
        <v>46998</v>
      </c>
    </row>
    <row r="20" spans="1:12">
      <c r="A20" s="1" t="s">
        <v>1</v>
      </c>
      <c r="B20" s="12" t="s">
        <v>34</v>
      </c>
      <c r="C20" s="46">
        <v>19612</v>
      </c>
      <c r="D20" s="14">
        <f t="shared" si="0"/>
        <v>19612</v>
      </c>
      <c r="E20" s="35">
        <v>4128</v>
      </c>
      <c r="F20" s="36">
        <v>7776</v>
      </c>
      <c r="G20" s="36">
        <v>4335</v>
      </c>
      <c r="H20" s="36">
        <v>2546</v>
      </c>
      <c r="I20" s="36">
        <v>5092</v>
      </c>
      <c r="J20" s="13">
        <v>3509</v>
      </c>
      <c r="K20" s="14">
        <f t="shared" si="1"/>
        <v>27386</v>
      </c>
      <c r="L20" s="14">
        <f t="shared" si="2"/>
        <v>46998</v>
      </c>
    </row>
    <row r="21" spans="1:12" ht="19.5" thickBot="1">
      <c r="A21" s="1" t="s">
        <v>1</v>
      </c>
      <c r="B21" s="9" t="s">
        <v>35</v>
      </c>
      <c r="C21" s="48">
        <v>90000</v>
      </c>
      <c r="D21" s="11"/>
      <c r="E21" s="39">
        <v>60000</v>
      </c>
      <c r="F21" s="40">
        <v>30000</v>
      </c>
      <c r="G21" s="40">
        <v>60000</v>
      </c>
      <c r="H21" s="40">
        <v>60000</v>
      </c>
      <c r="I21" s="40">
        <v>30000</v>
      </c>
      <c r="J21" s="10">
        <v>60000</v>
      </c>
      <c r="K21" s="11"/>
      <c r="L21" s="11"/>
    </row>
  </sheetData>
  <phoneticPr fontId="3"/>
  <pageMargins left="0.31496062992125984" right="0.31496062992125984" top="0.74803149606299213" bottom="0.55118110236220474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夏季賞与 (2)</vt:lpstr>
      <vt:lpstr>'夏季賞与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2024-06-14T06:47:08Z</cp:lastPrinted>
  <dcterms:created xsi:type="dcterms:W3CDTF">2024-06-14T01:51:04Z</dcterms:created>
  <dcterms:modified xsi:type="dcterms:W3CDTF">2024-06-14T06:48:48Z</dcterms:modified>
</cp:coreProperties>
</file>