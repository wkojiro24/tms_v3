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スクリーンショット\01給与計算関係\弥生給与明細\2024.夏季賞与\"/>
    </mc:Choice>
  </mc:AlternateContent>
  <xr:revisionPtr revIDLastSave="0" documentId="13_ncr:1_{521F6520-F7CC-4C04-9E30-69A1B8D76597}" xr6:coauthVersionLast="47" xr6:coauthVersionMax="47" xr10:uidLastSave="{00000000-0000-0000-0000-000000000000}"/>
  <bookViews>
    <workbookView xWindow="-120" yWindow="-120" windowWidth="20730" windowHeight="11160" xr2:uid="{259B385C-AF0F-4C29-9EFB-CC3F2320CAE3}"/>
  </bookViews>
  <sheets>
    <sheet name="夏季賞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2" l="1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5" i="2"/>
  <c r="J5" i="2" s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5" i="2"/>
</calcChain>
</file>

<file path=xl/sharedStrings.xml><?xml version="1.0" encoding="utf-8"?>
<sst xmlns="http://schemas.openxmlformats.org/spreadsheetml/2006/main" count="53" uniqueCount="36">
  <si>
    <t>賞与支給控除一覧表</t>
    <phoneticPr fontId="4"/>
  </si>
  <si>
    <t/>
  </si>
  <si>
    <t>夏季賞与</t>
    <phoneticPr fontId="4"/>
  </si>
  <si>
    <t>1049</t>
    <phoneticPr fontId="4"/>
  </si>
  <si>
    <t>1050</t>
    <phoneticPr fontId="4"/>
  </si>
  <si>
    <t>1078</t>
    <phoneticPr fontId="4"/>
  </si>
  <si>
    <t>1113</t>
    <phoneticPr fontId="4"/>
  </si>
  <si>
    <t>1114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</si>
  <si>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</si>
  <si>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</si>
  <si>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</si>
  <si>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</si>
  <si>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伊藤憲男</t>
    <phoneticPr fontId="4"/>
  </si>
  <si>
    <t>吉田亨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</si>
  <si>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</si>
  <si>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</si>
  <si>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</si>
  <si>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</si>
  <si>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</si>
  <si>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</si>
  <si>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</si>
  <si>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</si>
  <si>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</si>
  <si>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</si>
  <si>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</si>
  <si>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</si>
  <si>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</si>
  <si>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</si>
  <si>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</si>
  <si>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</si>
  <si>
    <t>(定額減税額)</t>
    <phoneticPr fontId="4"/>
  </si>
  <si>
    <t>(減税設定額)</t>
    <phoneticPr fontId="4"/>
  </si>
  <si>
    <t>小計</t>
    <rPh sb="0" eb="2">
      <t>ショウケイ</t>
    </rPh>
    <phoneticPr fontId="3"/>
  </si>
  <si>
    <t>１名</t>
    <rPh sb="1" eb="2">
      <t>メイ</t>
    </rPh>
    <phoneticPr fontId="3"/>
  </si>
  <si>
    <t>4名</t>
    <rPh sb="1" eb="2">
      <t>メイ</t>
    </rPh>
    <phoneticPr fontId="3"/>
  </si>
  <si>
    <t>５名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</si>
</sst>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0" xfId="1" applyFont="1" applyBorder="1"/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 applyBorder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5" xfId="1" applyNumberFormat="1" applyFont="1" applyBorder="1" applyAlignment="1">
      <alignment horizontal="left"/>
    </xf>
    <xf numFmtId="0" fontId="2" fillId="0" borderId="5" xfId="1" applyFont="1" applyBorder="1"/>
    <xf numFmtId="49" fontId="2" fillId="0" borderId="3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29" xfId="1" applyNumberFormat="1" applyFont="1" applyBorder="1"/>
  </cellXfs>
  <cellStyles count="2">
    <cellStyle name="標準" xfId="0" builtinId="0"/>
    <cellStyle name="標準 2" xfId="1" xr:uid="{963FFD76-626C-4E11-B5D2-6AA020DEAC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38D1-C1D6-4B3B-8F08-4480B909EDA2}">
  <dimension ref="A1:J21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H1" sqref="H1"/>
    </sheetView>
  </sheetViews>
  <sheetFormatPr defaultRowHeight="18.75"/>
  <cols>
    <col min="1" max="1" width="2.375" style="2" customWidth="1"/>
    <col min="2" max="2" width="13.25" style="2" bestFit="1" customWidth="1"/>
    <col min="3" max="10" width="12.875" style="2" customWidth="1"/>
    <col min="11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 bestFit="1"/>
    <col min="264" max="264" width="7.125" style="2" bestFit="1" customWidth="1"/>
    <col min="265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 bestFit="1"/>
    <col min="520" max="520" width="7.125" style="2" bestFit="1" customWidth="1"/>
    <col min="521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 bestFit="1"/>
    <col min="776" max="776" width="7.125" style="2" bestFit="1" customWidth="1"/>
    <col min="777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 bestFit="1"/>
    <col min="1032" max="1032" width="7.125" style="2" bestFit="1" customWidth="1"/>
    <col min="1033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 bestFit="1"/>
    <col min="1288" max="1288" width="7.125" style="2" bestFit="1" customWidth="1"/>
    <col min="1289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 bestFit="1"/>
    <col min="1544" max="1544" width="7.125" style="2" bestFit="1" customWidth="1"/>
    <col min="1545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 bestFit="1"/>
    <col min="1800" max="1800" width="7.125" style="2" bestFit="1" customWidth="1"/>
    <col min="1801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 bestFit="1"/>
    <col min="2056" max="2056" width="7.125" style="2" bestFit="1" customWidth="1"/>
    <col min="2057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 bestFit="1"/>
    <col min="2312" max="2312" width="7.125" style="2" bestFit="1" customWidth="1"/>
    <col min="2313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 bestFit="1"/>
    <col min="2568" max="2568" width="7.125" style="2" bestFit="1" customWidth="1"/>
    <col min="2569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 bestFit="1"/>
    <col min="2824" max="2824" width="7.125" style="2" bestFit="1" customWidth="1"/>
    <col min="2825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 bestFit="1"/>
    <col min="3080" max="3080" width="7.125" style="2" bestFit="1" customWidth="1"/>
    <col min="3081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 bestFit="1"/>
    <col min="3336" max="3336" width="7.125" style="2" bestFit="1" customWidth="1"/>
    <col min="3337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 bestFit="1"/>
    <col min="3592" max="3592" width="7.125" style="2" bestFit="1" customWidth="1"/>
    <col min="3593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 bestFit="1"/>
    <col min="3848" max="3848" width="7.125" style="2" bestFit="1" customWidth="1"/>
    <col min="3849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 bestFit="1"/>
    <col min="4104" max="4104" width="7.125" style="2" bestFit="1" customWidth="1"/>
    <col min="4105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 bestFit="1"/>
    <col min="4360" max="4360" width="7.125" style="2" bestFit="1" customWidth="1"/>
    <col min="4361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 bestFit="1"/>
    <col min="4616" max="4616" width="7.125" style="2" bestFit="1" customWidth="1"/>
    <col min="4617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 bestFit="1"/>
    <col min="4872" max="4872" width="7.125" style="2" bestFit="1" customWidth="1"/>
    <col min="4873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 bestFit="1"/>
    <col min="5128" max="5128" width="7.125" style="2" bestFit="1" customWidth="1"/>
    <col min="5129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 bestFit="1"/>
    <col min="5384" max="5384" width="7.125" style="2" bestFit="1" customWidth="1"/>
    <col min="5385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 bestFit="1"/>
    <col min="5640" max="5640" width="7.125" style="2" bestFit="1" customWidth="1"/>
    <col min="5641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 bestFit="1"/>
    <col min="5896" max="5896" width="7.125" style="2" bestFit="1" customWidth="1"/>
    <col min="5897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 bestFit="1"/>
    <col min="6152" max="6152" width="7.125" style="2" bestFit="1" customWidth="1"/>
    <col min="6153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 bestFit="1"/>
    <col min="6408" max="6408" width="7.125" style="2" bestFit="1" customWidth="1"/>
    <col min="6409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 bestFit="1"/>
    <col min="6664" max="6664" width="7.125" style="2" bestFit="1" customWidth="1"/>
    <col min="6665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 bestFit="1"/>
    <col min="6920" max="6920" width="7.125" style="2" bestFit="1" customWidth="1"/>
    <col min="6921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 bestFit="1"/>
    <col min="7176" max="7176" width="7.125" style="2" bestFit="1" customWidth="1"/>
    <col min="7177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 bestFit="1"/>
    <col min="7432" max="7432" width="7.125" style="2" bestFit="1" customWidth="1"/>
    <col min="7433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 bestFit="1"/>
    <col min="7688" max="7688" width="7.125" style="2" bestFit="1" customWidth="1"/>
    <col min="7689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 bestFit="1"/>
    <col min="7944" max="7944" width="7.125" style="2" bestFit="1" customWidth="1"/>
    <col min="7945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 bestFit="1"/>
    <col min="8200" max="8200" width="7.125" style="2" bestFit="1" customWidth="1"/>
    <col min="8201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 bestFit="1"/>
    <col min="8456" max="8456" width="7.125" style="2" bestFit="1" customWidth="1"/>
    <col min="8457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 bestFit="1"/>
    <col min="8712" max="8712" width="7.125" style="2" bestFit="1" customWidth="1"/>
    <col min="8713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 bestFit="1"/>
    <col min="8968" max="8968" width="7.125" style="2" bestFit="1" customWidth="1"/>
    <col min="8969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 bestFit="1"/>
    <col min="9224" max="9224" width="7.125" style="2" bestFit="1" customWidth="1"/>
    <col min="9225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 bestFit="1"/>
    <col min="9480" max="9480" width="7.125" style="2" bestFit="1" customWidth="1"/>
    <col min="9481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 bestFit="1"/>
    <col min="9736" max="9736" width="7.125" style="2" bestFit="1" customWidth="1"/>
    <col min="9737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 bestFit="1"/>
    <col min="9992" max="9992" width="7.125" style="2" bestFit="1" customWidth="1"/>
    <col min="9993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 bestFit="1"/>
    <col min="10248" max="10248" width="7.125" style="2" bestFit="1" customWidth="1"/>
    <col min="10249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 bestFit="1"/>
    <col min="10504" max="10504" width="7.125" style="2" bestFit="1" customWidth="1"/>
    <col min="10505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 bestFit="1"/>
    <col min="10760" max="10760" width="7.125" style="2" bestFit="1" customWidth="1"/>
    <col min="10761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 bestFit="1"/>
    <col min="11016" max="11016" width="7.125" style="2" bestFit="1" customWidth="1"/>
    <col min="11017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 bestFit="1"/>
    <col min="11272" max="11272" width="7.125" style="2" bestFit="1" customWidth="1"/>
    <col min="11273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 bestFit="1"/>
    <col min="11528" max="11528" width="7.125" style="2" bestFit="1" customWidth="1"/>
    <col min="11529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 bestFit="1"/>
    <col min="11784" max="11784" width="7.125" style="2" bestFit="1" customWidth="1"/>
    <col min="11785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 bestFit="1"/>
    <col min="12040" max="12040" width="7.125" style="2" bestFit="1" customWidth="1"/>
    <col min="12041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 bestFit="1"/>
    <col min="12296" max="12296" width="7.125" style="2" bestFit="1" customWidth="1"/>
    <col min="12297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 bestFit="1"/>
    <col min="12552" max="12552" width="7.125" style="2" bestFit="1" customWidth="1"/>
    <col min="12553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 bestFit="1"/>
    <col min="12808" max="12808" width="7.125" style="2" bestFit="1" customWidth="1"/>
    <col min="12809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 bestFit="1"/>
    <col min="13064" max="13064" width="7.125" style="2" bestFit="1" customWidth="1"/>
    <col min="13065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 bestFit="1"/>
    <col min="13320" max="13320" width="7.125" style="2" bestFit="1" customWidth="1"/>
    <col min="13321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 bestFit="1"/>
    <col min="13576" max="13576" width="7.125" style="2" bestFit="1" customWidth="1"/>
    <col min="13577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 bestFit="1"/>
    <col min="13832" max="13832" width="7.125" style="2" bestFit="1" customWidth="1"/>
    <col min="13833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 bestFit="1"/>
    <col min="14088" max="14088" width="7.125" style="2" bestFit="1" customWidth="1"/>
    <col min="14089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 bestFit="1"/>
    <col min="14344" max="14344" width="7.125" style="2" bestFit="1" customWidth="1"/>
    <col min="14345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 bestFit="1"/>
    <col min="14600" max="14600" width="7.125" style="2" bestFit="1" customWidth="1"/>
    <col min="14601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 bestFit="1"/>
    <col min="14856" max="14856" width="7.125" style="2" bestFit="1" customWidth="1"/>
    <col min="14857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 bestFit="1"/>
    <col min="15112" max="15112" width="7.125" style="2" bestFit="1" customWidth="1"/>
    <col min="15113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 bestFit="1"/>
    <col min="15368" max="15368" width="7.125" style="2" bestFit="1" customWidth="1"/>
    <col min="15369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 bestFit="1"/>
    <col min="15624" max="15624" width="7.125" style="2" bestFit="1" customWidth="1"/>
    <col min="15625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 bestFit="1"/>
    <col min="15880" max="15880" width="7.125" style="2" bestFit="1" customWidth="1"/>
    <col min="15881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 bestFit="1"/>
    <col min="16136" max="16136" width="7.125" style="2" bestFit="1" customWidth="1"/>
    <col min="16137" max="16384" width="9" style="2"/>
  </cols>
  <sheetData>
    <row r="1" spans="1:10">
      <c r="A1" s="1" t="s">
        <v>0</v>
      </c>
    </row>
    <row r="2" spans="1:10" ht="19.5" thickBot="1">
      <c r="A2" s="1" t="s">
        <v>2</v>
      </c>
    </row>
    <row r="3" spans="1:10">
      <c r="B3" s="13"/>
      <c r="C3" s="45" t="s">
        <v>5</v>
      </c>
      <c r="D3" s="42" t="s">
        <v>32</v>
      </c>
      <c r="E3" s="26" t="s">
        <v>3</v>
      </c>
      <c r="F3" s="27" t="s">
        <v>4</v>
      </c>
      <c r="G3" s="27" t="s">
        <v>6</v>
      </c>
      <c r="H3" s="5" t="s">
        <v>7</v>
      </c>
      <c r="I3" s="42" t="s">
        <v>32</v>
      </c>
      <c r="J3" s="43" t="s">
        <v>14</v>
      </c>
    </row>
    <row r="4" spans="1:10" ht="19.5" thickBot="1">
      <c r="A4" s="4"/>
      <c r="B4" s="6" t="s">
        <v>8</v>
      </c>
      <c r="C4" s="46" t="s">
        <v>11</v>
      </c>
      <c r="D4" s="44" t="s">
        <v>33</v>
      </c>
      <c r="E4" s="28" t="s">
        <v>9</v>
      </c>
      <c r="F4" s="29" t="s">
        <v>10</v>
      </c>
      <c r="G4" s="29" t="s">
        <v>12</v>
      </c>
      <c r="H4" s="3" t="s">
        <v>13</v>
      </c>
      <c r="I4" s="44" t="s">
        <v>34</v>
      </c>
      <c r="J4" s="6" t="s">
        <v>35</v>
      </c>
    </row>
    <row r="5" spans="1:10">
      <c r="A5" s="1" t="s">
        <v>1</v>
      </c>
      <c r="B5" s="23" t="s">
        <v>15</v>
      </c>
      <c r="C5" s="47">
        <v>365000</v>
      </c>
      <c r="D5" s="25">
        <f>SUM(C5)</f>
        <v>365000</v>
      </c>
      <c r="E5" s="30">
        <v>71000</v>
      </c>
      <c r="F5" s="31">
        <v>71000</v>
      </c>
      <c r="G5" s="31">
        <v>14333</v>
      </c>
      <c r="H5" s="24">
        <v>9833</v>
      </c>
      <c r="I5" s="25">
        <f>SUM(E5:H5)</f>
        <v>166166</v>
      </c>
      <c r="J5" s="25">
        <f>SUM(I5,D5)</f>
        <v>531166</v>
      </c>
    </row>
    <row r="6" spans="1:10">
      <c r="A6" s="1" t="s">
        <v>1</v>
      </c>
      <c r="B6" s="20" t="s">
        <v>16</v>
      </c>
      <c r="C6" s="48">
        <v>0</v>
      </c>
      <c r="D6" s="22">
        <f t="shared" ref="D6:D20" si="0">SUM(C6)</f>
        <v>0</v>
      </c>
      <c r="E6" s="32">
        <v>15000</v>
      </c>
      <c r="F6" s="33">
        <v>0</v>
      </c>
      <c r="G6" s="33">
        <v>0</v>
      </c>
      <c r="H6" s="21">
        <v>0</v>
      </c>
      <c r="I6" s="22">
        <f t="shared" ref="I6:I20" si="1">SUM(E6:H6)</f>
        <v>15000</v>
      </c>
      <c r="J6" s="22">
        <f t="shared" ref="J6:J20" si="2">SUM(I6,D6)</f>
        <v>15000</v>
      </c>
    </row>
    <row r="7" spans="1:10">
      <c r="A7" s="1" t="s">
        <v>1</v>
      </c>
      <c r="B7" s="20" t="s">
        <v>17</v>
      </c>
      <c r="C7" s="48">
        <v>0</v>
      </c>
      <c r="D7" s="22">
        <f t="shared" si="0"/>
        <v>0</v>
      </c>
      <c r="E7" s="32">
        <v>3000</v>
      </c>
      <c r="F7" s="33">
        <v>3000</v>
      </c>
      <c r="G7" s="33">
        <v>0</v>
      </c>
      <c r="H7" s="21">
        <v>500</v>
      </c>
      <c r="I7" s="22">
        <f t="shared" si="1"/>
        <v>6500</v>
      </c>
      <c r="J7" s="22">
        <f t="shared" si="2"/>
        <v>6500</v>
      </c>
    </row>
    <row r="8" spans="1:10">
      <c r="A8" s="1" t="s">
        <v>1</v>
      </c>
      <c r="B8" s="7" t="s">
        <v>18</v>
      </c>
      <c r="C8" s="49">
        <v>15000</v>
      </c>
      <c r="D8" s="9">
        <f t="shared" si="0"/>
        <v>15000</v>
      </c>
      <c r="E8" s="34">
        <v>15000</v>
      </c>
      <c r="F8" s="35">
        <v>15000</v>
      </c>
      <c r="G8" s="35">
        <v>5000</v>
      </c>
      <c r="H8" s="8">
        <v>2500</v>
      </c>
      <c r="I8" s="9">
        <f t="shared" si="1"/>
        <v>37500</v>
      </c>
      <c r="J8" s="9">
        <f t="shared" si="2"/>
        <v>52500</v>
      </c>
    </row>
    <row r="9" spans="1:10">
      <c r="A9" s="1" t="s">
        <v>1</v>
      </c>
      <c r="B9" s="14" t="s">
        <v>19</v>
      </c>
      <c r="C9" s="50">
        <v>380000</v>
      </c>
      <c r="D9" s="16">
        <f t="shared" si="0"/>
        <v>380000</v>
      </c>
      <c r="E9" s="36">
        <v>104000</v>
      </c>
      <c r="F9" s="37">
        <v>89000</v>
      </c>
      <c r="G9" s="37">
        <v>19333</v>
      </c>
      <c r="H9" s="15">
        <v>12833</v>
      </c>
      <c r="I9" s="16">
        <f t="shared" si="1"/>
        <v>225166</v>
      </c>
      <c r="J9" s="16">
        <f t="shared" si="2"/>
        <v>605166</v>
      </c>
    </row>
    <row r="10" spans="1:10">
      <c r="A10" s="1" t="s">
        <v>1</v>
      </c>
      <c r="B10" s="14" t="s">
        <v>20</v>
      </c>
      <c r="C10" s="50">
        <v>380000</v>
      </c>
      <c r="D10" s="16">
        <f t="shared" si="0"/>
        <v>380000</v>
      </c>
      <c r="E10" s="36">
        <v>104000</v>
      </c>
      <c r="F10" s="37">
        <v>89000</v>
      </c>
      <c r="G10" s="37">
        <v>19333</v>
      </c>
      <c r="H10" s="15">
        <v>12833</v>
      </c>
      <c r="I10" s="16">
        <f t="shared" si="1"/>
        <v>225166</v>
      </c>
      <c r="J10" s="16">
        <f t="shared" si="2"/>
        <v>605166</v>
      </c>
    </row>
    <row r="11" spans="1:10">
      <c r="A11" s="1" t="s">
        <v>1</v>
      </c>
      <c r="B11" s="17" t="s">
        <v>21</v>
      </c>
      <c r="C11" s="51">
        <v>19380</v>
      </c>
      <c r="D11" s="19">
        <f t="shared" si="0"/>
        <v>19380</v>
      </c>
      <c r="E11" s="38">
        <v>5304</v>
      </c>
      <c r="F11" s="39">
        <v>4539</v>
      </c>
      <c r="G11" s="39">
        <v>969</v>
      </c>
      <c r="H11" s="18">
        <v>612</v>
      </c>
      <c r="I11" s="19">
        <f t="shared" si="1"/>
        <v>11424</v>
      </c>
      <c r="J11" s="19">
        <f t="shared" si="2"/>
        <v>30804</v>
      </c>
    </row>
    <row r="12" spans="1:10">
      <c r="A12" s="1" t="s">
        <v>1</v>
      </c>
      <c r="B12" s="20" t="s">
        <v>22</v>
      </c>
      <c r="C12" s="48">
        <v>3420</v>
      </c>
      <c r="D12" s="22">
        <f t="shared" si="0"/>
        <v>3420</v>
      </c>
      <c r="E12" s="32">
        <v>0</v>
      </c>
      <c r="F12" s="33">
        <v>801</v>
      </c>
      <c r="G12" s="33">
        <v>171</v>
      </c>
      <c r="H12" s="21">
        <v>108</v>
      </c>
      <c r="I12" s="22">
        <f t="shared" si="1"/>
        <v>1080</v>
      </c>
      <c r="J12" s="22">
        <f t="shared" si="2"/>
        <v>4500</v>
      </c>
    </row>
    <row r="13" spans="1:10">
      <c r="A13" s="1" t="s">
        <v>1</v>
      </c>
      <c r="B13" s="20" t="s">
        <v>23</v>
      </c>
      <c r="C13" s="48">
        <v>34770</v>
      </c>
      <c r="D13" s="22">
        <f t="shared" si="0"/>
        <v>34770</v>
      </c>
      <c r="E13" s="32">
        <v>9516</v>
      </c>
      <c r="F13" s="33">
        <v>8143</v>
      </c>
      <c r="G13" s="33">
        <v>1738</v>
      </c>
      <c r="H13" s="21">
        <v>1098</v>
      </c>
      <c r="I13" s="22">
        <f t="shared" si="1"/>
        <v>20495</v>
      </c>
      <c r="J13" s="22">
        <f t="shared" si="2"/>
        <v>55265</v>
      </c>
    </row>
    <row r="14" spans="1:10">
      <c r="A14" s="1" t="s">
        <v>1</v>
      </c>
      <c r="B14" s="7" t="s">
        <v>24</v>
      </c>
      <c r="C14" s="49">
        <v>2280</v>
      </c>
      <c r="D14" s="9">
        <f t="shared" si="0"/>
        <v>2280</v>
      </c>
      <c r="E14" s="34">
        <v>624</v>
      </c>
      <c r="F14" s="35">
        <v>534</v>
      </c>
      <c r="G14" s="35">
        <v>116</v>
      </c>
      <c r="H14" s="8">
        <v>77</v>
      </c>
      <c r="I14" s="9">
        <f t="shared" si="1"/>
        <v>1351</v>
      </c>
      <c r="J14" s="9">
        <f t="shared" si="2"/>
        <v>3631</v>
      </c>
    </row>
    <row r="15" spans="1:10">
      <c r="A15" s="1" t="s">
        <v>1</v>
      </c>
      <c r="B15" s="14" t="s">
        <v>25</v>
      </c>
      <c r="C15" s="50">
        <v>320150</v>
      </c>
      <c r="D15" s="16">
        <f t="shared" si="0"/>
        <v>320150</v>
      </c>
      <c r="E15" s="36">
        <v>88556</v>
      </c>
      <c r="F15" s="37">
        <v>74983</v>
      </c>
      <c r="G15" s="37">
        <v>16339</v>
      </c>
      <c r="H15" s="15">
        <v>10938</v>
      </c>
      <c r="I15" s="16">
        <f t="shared" si="1"/>
        <v>190816</v>
      </c>
      <c r="J15" s="16">
        <f t="shared" si="2"/>
        <v>510966</v>
      </c>
    </row>
    <row r="16" spans="1:10">
      <c r="A16" s="1" t="s">
        <v>1</v>
      </c>
      <c r="B16" s="14" t="s">
        <v>26</v>
      </c>
      <c r="C16" s="50">
        <v>59850</v>
      </c>
      <c r="D16" s="16">
        <f t="shared" si="0"/>
        <v>59850</v>
      </c>
      <c r="E16" s="36">
        <v>15444</v>
      </c>
      <c r="F16" s="37">
        <v>14017</v>
      </c>
      <c r="G16" s="37">
        <v>2994</v>
      </c>
      <c r="H16" s="15">
        <v>1895</v>
      </c>
      <c r="I16" s="16">
        <f t="shared" si="1"/>
        <v>34350</v>
      </c>
      <c r="J16" s="16">
        <f t="shared" si="2"/>
        <v>94200</v>
      </c>
    </row>
    <row r="17" spans="1:10">
      <c r="A17" s="1" t="s">
        <v>1</v>
      </c>
      <c r="B17" s="14" t="s">
        <v>27</v>
      </c>
      <c r="C17" s="50">
        <v>320150</v>
      </c>
      <c r="D17" s="16">
        <f t="shared" si="0"/>
        <v>320150</v>
      </c>
      <c r="E17" s="36">
        <v>88556</v>
      </c>
      <c r="F17" s="37">
        <v>74983</v>
      </c>
      <c r="G17" s="37">
        <v>16339</v>
      </c>
      <c r="H17" s="15">
        <v>10938</v>
      </c>
      <c r="I17" s="16">
        <f t="shared" si="1"/>
        <v>190816</v>
      </c>
      <c r="J17" s="16">
        <f t="shared" si="2"/>
        <v>510966</v>
      </c>
    </row>
    <row r="18" spans="1:10">
      <c r="A18" s="1" t="s">
        <v>1</v>
      </c>
      <c r="B18" s="14" t="s">
        <v>28</v>
      </c>
      <c r="C18" s="50">
        <v>320150</v>
      </c>
      <c r="D18" s="16">
        <f t="shared" si="0"/>
        <v>320150</v>
      </c>
      <c r="E18" s="36">
        <v>88556</v>
      </c>
      <c r="F18" s="37">
        <v>74983</v>
      </c>
      <c r="G18" s="37">
        <v>16339</v>
      </c>
      <c r="H18" s="15">
        <v>10938</v>
      </c>
      <c r="I18" s="16">
        <f t="shared" si="1"/>
        <v>190816</v>
      </c>
      <c r="J18" s="16">
        <f t="shared" si="2"/>
        <v>510966</v>
      </c>
    </row>
    <row r="19" spans="1:10">
      <c r="A19" s="1" t="s">
        <v>1</v>
      </c>
      <c r="B19" s="14" t="s">
        <v>29</v>
      </c>
      <c r="C19" s="50">
        <v>26149</v>
      </c>
      <c r="D19" s="16">
        <f t="shared" si="0"/>
        <v>26149</v>
      </c>
      <c r="E19" s="36">
        <v>3616</v>
      </c>
      <c r="F19" s="37">
        <v>6124</v>
      </c>
      <c r="G19" s="37">
        <v>667</v>
      </c>
      <c r="H19" s="15">
        <v>1116</v>
      </c>
      <c r="I19" s="16">
        <f t="shared" si="1"/>
        <v>11523</v>
      </c>
      <c r="J19" s="16">
        <f t="shared" si="2"/>
        <v>37672</v>
      </c>
    </row>
    <row r="20" spans="1:10">
      <c r="A20" s="1" t="s">
        <v>1</v>
      </c>
      <c r="B20" s="14" t="s">
        <v>30</v>
      </c>
      <c r="C20" s="50">
        <v>26149</v>
      </c>
      <c r="D20" s="16">
        <f t="shared" si="0"/>
        <v>26149</v>
      </c>
      <c r="E20" s="36">
        <v>3616</v>
      </c>
      <c r="F20" s="37">
        <v>6124</v>
      </c>
      <c r="G20" s="37">
        <v>667</v>
      </c>
      <c r="H20" s="15">
        <v>1116</v>
      </c>
      <c r="I20" s="16">
        <f t="shared" si="1"/>
        <v>11523</v>
      </c>
      <c r="J20" s="16">
        <f t="shared" si="2"/>
        <v>37672</v>
      </c>
    </row>
    <row r="21" spans="1:10" ht="19.5" thickBot="1">
      <c r="A21" s="1" t="s">
        <v>1</v>
      </c>
      <c r="B21" s="10" t="s">
        <v>31</v>
      </c>
      <c r="C21" s="52">
        <v>60000</v>
      </c>
      <c r="D21" s="12"/>
      <c r="E21" s="40">
        <v>30000</v>
      </c>
      <c r="F21" s="41">
        <v>30000</v>
      </c>
      <c r="G21" s="41">
        <v>60000</v>
      </c>
      <c r="H21" s="11">
        <v>30000</v>
      </c>
      <c r="I21" s="12"/>
      <c r="J21" s="12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夏季賞与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2024-06-13T02:35:28Z</cp:lastPrinted>
  <dcterms:created xsi:type="dcterms:W3CDTF">2024-06-13T02:02:16Z</dcterms:created>
  <dcterms:modified xsi:type="dcterms:W3CDTF">2024-06-13T02:35:37Z</dcterms:modified>
</cp:coreProperties>
</file>