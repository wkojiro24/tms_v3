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夏季賞与\"/>
    </mc:Choice>
  </mc:AlternateContent>
  <xr:revisionPtr revIDLastSave="0" documentId="13_ncr:1_{EA2087D2-F02B-46B8-A519-31F7FD0C21EE}" xr6:coauthVersionLast="47" xr6:coauthVersionMax="47" xr10:uidLastSave="{00000000-0000-0000-0000-000000000000}"/>
  <bookViews>
    <workbookView xWindow="-120" yWindow="-120" windowWidth="20730" windowHeight="11160" xr2:uid="{7C8F9F41-3402-47A2-B966-689904DFE1BB}"/>
  </bookViews>
  <sheets>
    <sheet name="夏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5" i="3"/>
  <c r="K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5" i="3"/>
</calcChain>
</file>

<file path=xl/sharedStrings.xml><?xml version="1.0" encoding="utf-8"?>
<sst xmlns="http://schemas.openxmlformats.org/spreadsheetml/2006/main" count="55" uniqueCount="38">
  <si>
    <t>賞与支給控除一覧表</t>
    <phoneticPr fontId="4"/>
  </si>
  <si>
    <t/>
  </si>
  <si>
    <t>夏季賞与</t>
    <phoneticPr fontId="4"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</si>
  <si>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</si>
  <si>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</si>
  <si>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</si>
  <si>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</si>
  <si>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</si>
  <si>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</si>
  <si>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</si>
  <si>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</si>
  <si>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</si>
  <si>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</si>
  <si>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</si>
  <si>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</si>
  <si>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松井毎</t>
    <phoneticPr fontId="4"/>
  </si>
  <si>
    <t>合計</t>
    <phoneticPr fontId="4"/>
  </si>
  <si>
    <t>賞与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</si>
  <si>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</si>
  <si>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</si>
  <si>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</si>
  <si>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</si>
  <si>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</si>
  <si>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</si>
  <si>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</si>
  <si>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</si>
  <si>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</si>
  <si>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</si>
  <si>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</si>
  <si>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</si>
  <si>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</si>
  <si>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</si>
  <si>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</si>
  <si>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</si>
  <si>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</si>
  <si>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</si>
  <si>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5名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</si>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</sst>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2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0" fontId="2" fillId="0" borderId="28" xfId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0" fontId="2" fillId="0" borderId="3" xfId="1" applyFont="1" applyBorder="1"/>
    <xf numFmtId="49" fontId="2" fillId="0" borderId="28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FCDCF1BC-0DED-43FC-BD89-4F462608D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5BC6-B296-4121-941D-7CC2584CCD23}">
  <dimension ref="A1:K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7.125" style="2" bestFit="1" customWidth="1"/>
    <col min="266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7.125" style="2" bestFit="1" customWidth="1"/>
    <col min="522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7.1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7.1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7.1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7.1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7.1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7.1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7.1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7.1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7.1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7.1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7.1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7.1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7.1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7.1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7.1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7.1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7.1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7.1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7.1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7.1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7.1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7.1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7.1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7.1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7.1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7.1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7.1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7.1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7.1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7.1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7.1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7.1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7.1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7.1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7.1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7.1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7.1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7.1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7.1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7.1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7.1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7.1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7.1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7.1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7.1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7.1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7.1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7.1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7.1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7.1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7.1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7.1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7.1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7.1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7.1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7.1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7.1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7.1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7.1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7.1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7.125" style="2" bestFit="1" customWidth="1"/>
    <col min="16138" max="16384" width="9" style="2"/>
  </cols>
  <sheetData>
    <row r="1" spans="1:11">
      <c r="A1" s="1" t="s">
        <v>0</v>
      </c>
    </row>
    <row r="2" spans="1:11" ht="19.5" thickBot="1">
      <c r="A2" s="1" t="s">
        <v>2</v>
      </c>
    </row>
    <row r="3" spans="1:11">
      <c r="B3" s="7"/>
      <c r="C3" s="44" t="s">
        <v>4</v>
      </c>
      <c r="D3" s="41" t="s">
        <v>34</v>
      </c>
      <c r="E3" s="23" t="s">
        <v>3</v>
      </c>
      <c r="F3" s="24" t="s">
        <v>5</v>
      </c>
      <c r="G3" s="24" t="s">
        <v>6</v>
      </c>
      <c r="H3" s="24" t="s">
        <v>7</v>
      </c>
      <c r="I3" s="3" t="s">
        <v>8</v>
      </c>
      <c r="J3" s="41" t="s">
        <v>34</v>
      </c>
      <c r="K3" s="42" t="s">
        <v>16</v>
      </c>
    </row>
    <row r="4" spans="1:11">
      <c r="B4" s="37" t="s">
        <v>9</v>
      </c>
      <c r="C4" s="45" t="s">
        <v>11</v>
      </c>
      <c r="D4" s="43" t="s">
        <v>35</v>
      </c>
      <c r="E4" s="38" t="s">
        <v>10</v>
      </c>
      <c r="F4" s="39" t="s">
        <v>12</v>
      </c>
      <c r="G4" s="39" t="s">
        <v>13</v>
      </c>
      <c r="H4" s="39" t="s">
        <v>14</v>
      </c>
      <c r="I4" s="40" t="s">
        <v>15</v>
      </c>
      <c r="J4" s="43" t="s">
        <v>36</v>
      </c>
      <c r="K4" s="37" t="s">
        <v>37</v>
      </c>
    </row>
    <row r="5" spans="1:11">
      <c r="A5" s="1" t="s">
        <v>1</v>
      </c>
      <c r="B5" s="14" t="s">
        <v>17</v>
      </c>
      <c r="C5" s="46">
        <v>365000</v>
      </c>
      <c r="D5" s="16">
        <f>SUM(C5)</f>
        <v>365000</v>
      </c>
      <c r="E5" s="25">
        <v>59000</v>
      </c>
      <c r="F5" s="26">
        <v>71000</v>
      </c>
      <c r="G5" s="26">
        <v>71000</v>
      </c>
      <c r="H5" s="26">
        <v>53000</v>
      </c>
      <c r="I5" s="15">
        <v>9833</v>
      </c>
      <c r="J5" s="16">
        <f>SUM(E5:I5)</f>
        <v>263833</v>
      </c>
      <c r="K5" s="16">
        <f>SUM(J5,D5)</f>
        <v>628833</v>
      </c>
    </row>
    <row r="6" spans="1:11">
      <c r="A6" s="1" t="s">
        <v>1</v>
      </c>
      <c r="B6" s="17" t="s">
        <v>18</v>
      </c>
      <c r="C6" s="47">
        <v>0</v>
      </c>
      <c r="D6" s="19">
        <f t="shared" ref="D6:D20" si="0">SUM(C6)</f>
        <v>0</v>
      </c>
      <c r="E6" s="27">
        <v>6000</v>
      </c>
      <c r="F6" s="28">
        <v>0</v>
      </c>
      <c r="G6" s="28">
        <v>6000</v>
      </c>
      <c r="H6" s="28">
        <v>0</v>
      </c>
      <c r="I6" s="18">
        <v>0</v>
      </c>
      <c r="J6" s="19">
        <f t="shared" ref="J6:J20" si="1">SUM(E6:I6)</f>
        <v>12000</v>
      </c>
      <c r="K6" s="19">
        <f t="shared" ref="K6:K20" si="2">SUM(J6,D6)</f>
        <v>12000</v>
      </c>
    </row>
    <row r="7" spans="1:11">
      <c r="A7" s="1" t="s">
        <v>1</v>
      </c>
      <c r="B7" s="4" t="s">
        <v>19</v>
      </c>
      <c r="C7" s="48">
        <v>15000</v>
      </c>
      <c r="D7" s="6">
        <f t="shared" si="0"/>
        <v>15000</v>
      </c>
      <c r="E7" s="29">
        <v>15000</v>
      </c>
      <c r="F7" s="30">
        <v>15000</v>
      </c>
      <c r="G7" s="30">
        <v>15000</v>
      </c>
      <c r="H7" s="30">
        <v>15000</v>
      </c>
      <c r="I7" s="5">
        <v>2500</v>
      </c>
      <c r="J7" s="6">
        <f t="shared" si="1"/>
        <v>62500</v>
      </c>
      <c r="K7" s="6">
        <f t="shared" si="2"/>
        <v>77500</v>
      </c>
    </row>
    <row r="8" spans="1:11">
      <c r="A8" s="1" t="s">
        <v>1</v>
      </c>
      <c r="B8" s="8" t="s">
        <v>20</v>
      </c>
      <c r="C8" s="49">
        <v>380000</v>
      </c>
      <c r="D8" s="10">
        <f t="shared" si="0"/>
        <v>380000</v>
      </c>
      <c r="E8" s="31">
        <v>80000</v>
      </c>
      <c r="F8" s="32">
        <v>86000</v>
      </c>
      <c r="G8" s="32">
        <v>92000</v>
      </c>
      <c r="H8" s="32">
        <v>68000</v>
      </c>
      <c r="I8" s="9">
        <v>12333</v>
      </c>
      <c r="J8" s="10">
        <f t="shared" si="1"/>
        <v>338333</v>
      </c>
      <c r="K8" s="10">
        <f t="shared" si="2"/>
        <v>718333</v>
      </c>
    </row>
    <row r="9" spans="1:11">
      <c r="A9" s="1" t="s">
        <v>1</v>
      </c>
      <c r="B9" s="8" t="s">
        <v>21</v>
      </c>
      <c r="C9" s="49">
        <v>380000</v>
      </c>
      <c r="D9" s="10">
        <f t="shared" si="0"/>
        <v>380000</v>
      </c>
      <c r="E9" s="31">
        <v>80000</v>
      </c>
      <c r="F9" s="32">
        <v>86000</v>
      </c>
      <c r="G9" s="32">
        <v>92000</v>
      </c>
      <c r="H9" s="32">
        <v>68000</v>
      </c>
      <c r="I9" s="9">
        <v>12333</v>
      </c>
      <c r="J9" s="10">
        <f t="shared" si="1"/>
        <v>338333</v>
      </c>
      <c r="K9" s="10">
        <f t="shared" si="2"/>
        <v>718333</v>
      </c>
    </row>
    <row r="10" spans="1:11">
      <c r="A10" s="1" t="s">
        <v>1</v>
      </c>
      <c r="B10" s="20" t="s">
        <v>22</v>
      </c>
      <c r="C10" s="50">
        <v>19380</v>
      </c>
      <c r="D10" s="22">
        <f t="shared" si="0"/>
        <v>19380</v>
      </c>
      <c r="E10" s="33">
        <v>4080</v>
      </c>
      <c r="F10" s="34">
        <v>4386</v>
      </c>
      <c r="G10" s="34">
        <v>4692</v>
      </c>
      <c r="H10" s="34">
        <v>3468</v>
      </c>
      <c r="I10" s="21">
        <v>612</v>
      </c>
      <c r="J10" s="22">
        <f t="shared" si="1"/>
        <v>17238</v>
      </c>
      <c r="K10" s="22">
        <f t="shared" si="2"/>
        <v>36618</v>
      </c>
    </row>
    <row r="11" spans="1:11">
      <c r="A11" s="1" t="s">
        <v>1</v>
      </c>
      <c r="B11" s="17" t="s">
        <v>23</v>
      </c>
      <c r="C11" s="47">
        <v>3420</v>
      </c>
      <c r="D11" s="19">
        <f t="shared" si="0"/>
        <v>3420</v>
      </c>
      <c r="E11" s="27">
        <v>0</v>
      </c>
      <c r="F11" s="28">
        <v>774</v>
      </c>
      <c r="G11" s="28">
        <v>828</v>
      </c>
      <c r="H11" s="28">
        <v>612</v>
      </c>
      <c r="I11" s="18">
        <v>108</v>
      </c>
      <c r="J11" s="19">
        <f t="shared" si="1"/>
        <v>2322</v>
      </c>
      <c r="K11" s="19">
        <f t="shared" si="2"/>
        <v>5742</v>
      </c>
    </row>
    <row r="12" spans="1:11">
      <c r="A12" s="1" t="s">
        <v>1</v>
      </c>
      <c r="B12" s="17" t="s">
        <v>24</v>
      </c>
      <c r="C12" s="47">
        <v>34770</v>
      </c>
      <c r="D12" s="19">
        <f t="shared" si="0"/>
        <v>34770</v>
      </c>
      <c r="E12" s="27">
        <v>7320</v>
      </c>
      <c r="F12" s="28">
        <v>7869</v>
      </c>
      <c r="G12" s="28">
        <v>8418</v>
      </c>
      <c r="H12" s="28">
        <v>6222</v>
      </c>
      <c r="I12" s="18">
        <v>1098</v>
      </c>
      <c r="J12" s="19">
        <f t="shared" si="1"/>
        <v>30927</v>
      </c>
      <c r="K12" s="19">
        <f t="shared" si="2"/>
        <v>65697</v>
      </c>
    </row>
    <row r="13" spans="1:11">
      <c r="A13" s="1" t="s">
        <v>1</v>
      </c>
      <c r="B13" s="4" t="s">
        <v>25</v>
      </c>
      <c r="C13" s="48">
        <v>2280</v>
      </c>
      <c r="D13" s="6">
        <f t="shared" si="0"/>
        <v>2280</v>
      </c>
      <c r="E13" s="29">
        <v>480</v>
      </c>
      <c r="F13" s="30">
        <v>516</v>
      </c>
      <c r="G13" s="30">
        <v>552</v>
      </c>
      <c r="H13" s="30">
        <v>408</v>
      </c>
      <c r="I13" s="5">
        <v>74</v>
      </c>
      <c r="J13" s="6">
        <f t="shared" si="1"/>
        <v>2030</v>
      </c>
      <c r="K13" s="6">
        <f t="shared" si="2"/>
        <v>4310</v>
      </c>
    </row>
    <row r="14" spans="1:11">
      <c r="A14" s="1" t="s">
        <v>1</v>
      </c>
      <c r="B14" s="8" t="s">
        <v>26</v>
      </c>
      <c r="C14" s="49">
        <v>320150</v>
      </c>
      <c r="D14" s="10">
        <f t="shared" si="0"/>
        <v>320150</v>
      </c>
      <c r="E14" s="31">
        <v>68120</v>
      </c>
      <c r="F14" s="32">
        <v>72455</v>
      </c>
      <c r="G14" s="32">
        <v>77510</v>
      </c>
      <c r="H14" s="32">
        <v>57290</v>
      </c>
      <c r="I14" s="9">
        <v>10441</v>
      </c>
      <c r="J14" s="10">
        <f t="shared" si="1"/>
        <v>285816</v>
      </c>
      <c r="K14" s="10">
        <f t="shared" si="2"/>
        <v>605966</v>
      </c>
    </row>
    <row r="15" spans="1:11">
      <c r="A15" s="1" t="s">
        <v>1</v>
      </c>
      <c r="B15" s="4" t="s">
        <v>27</v>
      </c>
      <c r="C15" s="48">
        <v>5039</v>
      </c>
      <c r="D15" s="6">
        <f t="shared" si="0"/>
        <v>5039</v>
      </c>
      <c r="E15" s="29">
        <v>0</v>
      </c>
      <c r="F15" s="30">
        <v>0</v>
      </c>
      <c r="G15" s="30">
        <v>0</v>
      </c>
      <c r="H15" s="30">
        <v>0</v>
      </c>
      <c r="I15" s="5">
        <v>0</v>
      </c>
      <c r="J15" s="6">
        <f t="shared" si="1"/>
        <v>0</v>
      </c>
      <c r="K15" s="6">
        <f t="shared" si="2"/>
        <v>5039</v>
      </c>
    </row>
    <row r="16" spans="1:11">
      <c r="A16" s="1" t="s">
        <v>1</v>
      </c>
      <c r="B16" s="8" t="s">
        <v>28</v>
      </c>
      <c r="C16" s="49">
        <v>59850</v>
      </c>
      <c r="D16" s="10">
        <f t="shared" si="0"/>
        <v>59850</v>
      </c>
      <c r="E16" s="31">
        <v>11880</v>
      </c>
      <c r="F16" s="32">
        <v>13545</v>
      </c>
      <c r="G16" s="32">
        <v>14490</v>
      </c>
      <c r="H16" s="32">
        <v>10710</v>
      </c>
      <c r="I16" s="9">
        <v>1892</v>
      </c>
      <c r="J16" s="10">
        <f t="shared" si="1"/>
        <v>52517</v>
      </c>
      <c r="K16" s="10">
        <f t="shared" si="2"/>
        <v>112367</v>
      </c>
    </row>
    <row r="17" spans="1:11">
      <c r="A17" s="1" t="s">
        <v>1</v>
      </c>
      <c r="B17" s="8" t="s">
        <v>29</v>
      </c>
      <c r="C17" s="49">
        <v>315111</v>
      </c>
      <c r="D17" s="10">
        <f t="shared" si="0"/>
        <v>315111</v>
      </c>
      <c r="E17" s="31">
        <v>68120</v>
      </c>
      <c r="F17" s="32">
        <v>72455</v>
      </c>
      <c r="G17" s="32">
        <v>77510</v>
      </c>
      <c r="H17" s="32">
        <v>57290</v>
      </c>
      <c r="I17" s="9">
        <v>10441</v>
      </c>
      <c r="J17" s="10">
        <f t="shared" si="1"/>
        <v>285816</v>
      </c>
      <c r="K17" s="10">
        <f t="shared" si="2"/>
        <v>600927</v>
      </c>
    </row>
    <row r="18" spans="1:11">
      <c r="A18" s="1" t="s">
        <v>1</v>
      </c>
      <c r="B18" s="8" t="s">
        <v>30</v>
      </c>
      <c r="C18" s="49">
        <v>315111</v>
      </c>
      <c r="D18" s="10">
        <f t="shared" si="0"/>
        <v>315111</v>
      </c>
      <c r="E18" s="31">
        <v>68120</v>
      </c>
      <c r="F18" s="32">
        <v>72455</v>
      </c>
      <c r="G18" s="32">
        <v>77510</v>
      </c>
      <c r="H18" s="32">
        <v>57290</v>
      </c>
      <c r="I18" s="9">
        <v>10441</v>
      </c>
      <c r="J18" s="10">
        <f t="shared" si="1"/>
        <v>285816</v>
      </c>
      <c r="K18" s="10">
        <f t="shared" si="2"/>
        <v>600927</v>
      </c>
    </row>
    <row r="19" spans="1:11">
      <c r="A19" s="1" t="s">
        <v>1</v>
      </c>
      <c r="B19" s="8" t="s">
        <v>31</v>
      </c>
      <c r="C19" s="49">
        <v>26149</v>
      </c>
      <c r="D19" s="10">
        <f t="shared" si="0"/>
        <v>26149</v>
      </c>
      <c r="E19" s="31">
        <v>4173</v>
      </c>
      <c r="F19" s="32">
        <v>2959</v>
      </c>
      <c r="G19" s="32">
        <v>4748</v>
      </c>
      <c r="H19" s="32">
        <v>2339</v>
      </c>
      <c r="I19" s="9">
        <v>213</v>
      </c>
      <c r="J19" s="10">
        <f t="shared" si="1"/>
        <v>14432</v>
      </c>
      <c r="K19" s="10">
        <f t="shared" si="2"/>
        <v>40581</v>
      </c>
    </row>
    <row r="20" spans="1:11">
      <c r="A20" s="1" t="s">
        <v>1</v>
      </c>
      <c r="B20" s="8" t="s">
        <v>32</v>
      </c>
      <c r="C20" s="49">
        <v>21110</v>
      </c>
      <c r="D20" s="10">
        <f t="shared" si="0"/>
        <v>21110</v>
      </c>
      <c r="E20" s="31">
        <v>4173</v>
      </c>
      <c r="F20" s="32">
        <v>2959</v>
      </c>
      <c r="G20" s="32">
        <v>4748</v>
      </c>
      <c r="H20" s="32">
        <v>2339</v>
      </c>
      <c r="I20" s="9">
        <v>213</v>
      </c>
      <c r="J20" s="10">
        <f t="shared" si="1"/>
        <v>14432</v>
      </c>
      <c r="K20" s="10">
        <f t="shared" si="2"/>
        <v>35542</v>
      </c>
    </row>
    <row r="21" spans="1:11" ht="19.5" thickBot="1">
      <c r="A21" s="1" t="s">
        <v>1</v>
      </c>
      <c r="B21" s="11" t="s">
        <v>33</v>
      </c>
      <c r="C21" s="51">
        <v>30000</v>
      </c>
      <c r="D21" s="13"/>
      <c r="E21" s="35">
        <v>30000</v>
      </c>
      <c r="F21" s="36">
        <v>60000</v>
      </c>
      <c r="G21" s="36">
        <v>60000</v>
      </c>
      <c r="H21" s="36">
        <v>30000</v>
      </c>
      <c r="I21" s="12">
        <v>60000</v>
      </c>
      <c r="J21" s="13"/>
      <c r="K21" s="13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夏季賞与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2024-06-13T02:17:35Z</cp:lastPrinted>
  <dcterms:created xsi:type="dcterms:W3CDTF">2024-06-13T02:03:59Z</dcterms:created>
  <dcterms:modified xsi:type="dcterms:W3CDTF">2024-06-13T05:45:31Z</dcterms:modified>
</cp:coreProperties>
</file>