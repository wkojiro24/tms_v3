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54468E20-97C4-4CDE-96FF-4D6814047D8D}" xr6:coauthVersionLast="47" xr6:coauthVersionMax="47" xr10:uidLastSave="{00000000-0000-0000-0000-000000000000}"/>
  <bookViews>
    <workbookView xWindow="-120" yWindow="-120" windowWidth="20730" windowHeight="11160" activeTab="2" xr2:uid="{C3D8676E-3550-4B6C-B45A-4A2477824501}"/>
  </bookViews>
  <sheets>
    <sheet name="2024年 6月度給与 (2)" sheetId="3" r:id="rId1"/>
    <sheet name="2024年 6月度給与 (3)" sheetId="4" r:id="rId2"/>
    <sheet name="2024年 6月度給与 (4)" sheetId="5" r:id="rId3"/>
  </sheets>
  <definedNames>
    <definedName name="_xlnm.Print_Area" localSheetId="1">'2024年 6月度給与 (3)'!$A$1:$N$58</definedName>
    <definedName name="_xlnm.Print_Area" localSheetId="2">'2024年 6月度給与 (4)'!$A$1:$U$58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7" i="5" l="1"/>
  <c r="U56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M57" i="4"/>
  <c r="K57" i="4"/>
  <c r="M56" i="4"/>
  <c r="K56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F6" i="3"/>
  <c r="AG6" i="3" s="1"/>
  <c r="AF7" i="3"/>
  <c r="AG7" i="3" s="1"/>
  <c r="AF8" i="3"/>
  <c r="AG8" i="3" s="1"/>
  <c r="AF9" i="3"/>
  <c r="AF10" i="3"/>
  <c r="AG10" i="3" s="1"/>
  <c r="AF11" i="3"/>
  <c r="AG11" i="3" s="1"/>
  <c r="AF12" i="3"/>
  <c r="AG12" i="3" s="1"/>
  <c r="AF13" i="3"/>
  <c r="AF14" i="3"/>
  <c r="AG14" i="3" s="1"/>
  <c r="AF15" i="3"/>
  <c r="AG15" i="3" s="1"/>
  <c r="AF16" i="3"/>
  <c r="AG16" i="3" s="1"/>
  <c r="AF17" i="3"/>
  <c r="AF18" i="3"/>
  <c r="AG18" i="3" s="1"/>
  <c r="AF19" i="3"/>
  <c r="AG19" i="3" s="1"/>
  <c r="AF20" i="3"/>
  <c r="AG20" i="3" s="1"/>
  <c r="AF22" i="3"/>
  <c r="AF23" i="3"/>
  <c r="AG23" i="3" s="1"/>
  <c r="AF24" i="3"/>
  <c r="AG24" i="3" s="1"/>
  <c r="AF25" i="3"/>
  <c r="AG25" i="3" s="1"/>
  <c r="AF26" i="3"/>
  <c r="AF27" i="3"/>
  <c r="AG27" i="3" s="1"/>
  <c r="AF28" i="3"/>
  <c r="AG28" i="3" s="1"/>
  <c r="AF29" i="3"/>
  <c r="AG29" i="3" s="1"/>
  <c r="AF30" i="3"/>
  <c r="AF31" i="3"/>
  <c r="AG31" i="3" s="1"/>
  <c r="AF32" i="3"/>
  <c r="AG32" i="3" s="1"/>
  <c r="AF33" i="3"/>
  <c r="AG33" i="3" s="1"/>
  <c r="AF34" i="3"/>
  <c r="AF35" i="3"/>
  <c r="AG35" i="3" s="1"/>
  <c r="AF36" i="3"/>
  <c r="AG36" i="3" s="1"/>
  <c r="AF37" i="3"/>
  <c r="AG37" i="3" s="1"/>
  <c r="AF38" i="3"/>
  <c r="AF39" i="3"/>
  <c r="AG39" i="3" s="1"/>
  <c r="AF40" i="3"/>
  <c r="AG40" i="3" s="1"/>
  <c r="AF41" i="3"/>
  <c r="AG41" i="3" s="1"/>
  <c r="AF42" i="3"/>
  <c r="AF43" i="3"/>
  <c r="AG43" i="3" s="1"/>
  <c r="AF44" i="3"/>
  <c r="AG44" i="3" s="1"/>
  <c r="AF45" i="3"/>
  <c r="AG45" i="3" s="1"/>
  <c r="AF46" i="3"/>
  <c r="AF47" i="3"/>
  <c r="AG47" i="3" s="1"/>
  <c r="AF48" i="3"/>
  <c r="AG48" i="3" s="1"/>
  <c r="AF49" i="3"/>
  <c r="AG49" i="3" s="1"/>
  <c r="AF50" i="3"/>
  <c r="AF51" i="3"/>
  <c r="AG51" i="3" s="1"/>
  <c r="AF52" i="3"/>
  <c r="AG52" i="3" s="1"/>
  <c r="AF53" i="3"/>
  <c r="AG53" i="3" s="1"/>
  <c r="AF56" i="3"/>
  <c r="AF57" i="3"/>
  <c r="AG57" i="3" s="1"/>
  <c r="AF5" i="3"/>
  <c r="AG5" i="3" s="1"/>
  <c r="AD6" i="3"/>
  <c r="AD7" i="3"/>
  <c r="AD8" i="3"/>
  <c r="AD9" i="3"/>
  <c r="AG9" i="3" s="1"/>
  <c r="AD10" i="3"/>
  <c r="AD11" i="3"/>
  <c r="AD12" i="3"/>
  <c r="AD13" i="3"/>
  <c r="AG13" i="3" s="1"/>
  <c r="AD14" i="3"/>
  <c r="AD15" i="3"/>
  <c r="AD16" i="3"/>
  <c r="AD17" i="3"/>
  <c r="AG17" i="3" s="1"/>
  <c r="AD18" i="3"/>
  <c r="AD19" i="3"/>
  <c r="AD20" i="3"/>
  <c r="AD22" i="3"/>
  <c r="AG22" i="3" s="1"/>
  <c r="AD23" i="3"/>
  <c r="AD24" i="3"/>
  <c r="AD25" i="3"/>
  <c r="AD26" i="3"/>
  <c r="AG26" i="3" s="1"/>
  <c r="AD27" i="3"/>
  <c r="AD28" i="3"/>
  <c r="AD29" i="3"/>
  <c r="AD30" i="3"/>
  <c r="AG30" i="3" s="1"/>
  <c r="AD31" i="3"/>
  <c r="AD32" i="3"/>
  <c r="AD33" i="3"/>
  <c r="AD34" i="3"/>
  <c r="AG34" i="3" s="1"/>
  <c r="AD35" i="3"/>
  <c r="AD36" i="3"/>
  <c r="AD37" i="3"/>
  <c r="AD38" i="3"/>
  <c r="AG38" i="3" s="1"/>
  <c r="AD39" i="3"/>
  <c r="AD40" i="3"/>
  <c r="AD41" i="3"/>
  <c r="AD42" i="3"/>
  <c r="AG42" i="3" s="1"/>
  <c r="AD43" i="3"/>
  <c r="AD44" i="3"/>
  <c r="AD45" i="3"/>
  <c r="AD46" i="3"/>
  <c r="AG46" i="3" s="1"/>
  <c r="AD47" i="3"/>
  <c r="AD48" i="3"/>
  <c r="AD49" i="3"/>
  <c r="AD50" i="3"/>
  <c r="AG50" i="3" s="1"/>
  <c r="AD51" i="3"/>
  <c r="AD52" i="3"/>
  <c r="AD53" i="3"/>
  <c r="AD56" i="3"/>
  <c r="AG56" i="3" s="1"/>
  <c r="AD57" i="3"/>
  <c r="AD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6" i="3"/>
  <c r="U57" i="3"/>
  <c r="U5" i="3"/>
</calcChain>
</file>

<file path=xl/sharedStrings.xml><?xml version="1.0" encoding="utf-8"?>
<sst xmlns="http://schemas.openxmlformats.org/spreadsheetml/2006/main" count="511" uniqueCount="116">
  <si>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</si>
  <si>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</si>
  <si>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</si>
  <si>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</si>
  <si>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</si>
  <si>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</si>
  <si>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</si>
  <si>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</si>
  <si>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</si>
  <si>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</si>
  <si>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</si>
  <si>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</si>
  <si>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</si>
  <si>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</si>
  <si>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</si>
  <si>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</si>
  <si>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</si>
  <si>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</si>
  <si>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</si>
  <si>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</si>
  <si>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</si>
  <si>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</si>
  <si>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</si>
  <si>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</si>
  <si>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</si>
  <si>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</si>
  <si>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</si>
  <si>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</si>
  <si>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</si>
  <si>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</si>
  <si>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</si>
  <si>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</si>
  <si>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</si>
  <si>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</si>
  <si>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</si>
  <si>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</si>
  <si>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</si>
  <si>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</si>
  <si>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</si>
  <si>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</si>
  <si>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</si>
  <si>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</si>
  <si>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</si>
  <si>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</si>
  <si>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</si>
  <si>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</si>
  <si>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</si>
  <si>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</si>
  <si>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</si>
  <si>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</si>
  <si>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</si>
  <si>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</si>
  <si>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</si>
  <si>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</si>
  <si>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</si>
  <si>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</si>
  <si>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</si>
  <si>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</si>
  <si>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</si>
  <si>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</si>
  <si>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</si>
  <si>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</si>
  <si>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</si>
  <si>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</si>
  <si>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</si>
  <si>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</si>
  <si>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</si>
  <si>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</si>
  <si>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</si>
  <si>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</si>
  <si>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</si>
  <si>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</si>
  <si>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</si>
  <si>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</si>
  <si>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</si>
  <si>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</si>
  <si>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</si>
  <si>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</si>
  <si>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</si>
  <si>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</si>
  <si>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</si>
  <si>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</si>
  <si>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</si>
  <si>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</si>
  <si>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</si>
  <si>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</si>
  <si>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</si>
  <si>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</si>
  <si>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</si>
  <si>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</si>
  <si>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</si>
  <si>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</si>
  <si>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</si>
  <si>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</si>
  <si>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</si>
  <si>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</si>
  <si>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</si>
  <si>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</si>
  <si>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</si>
  <si>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</si>
  <si>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</si>
  <si>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</si>
  <si>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</si>
  <si>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</si>
  <si>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</si>
  <si>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</si>
  <si>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</si>
  <si>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</si>
  <si>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</si>
  <si>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6月度給与</t>
    <phoneticPr fontId="4"/>
  </si>
  <si>
    <t>下山田英治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</si>
  <si>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</si>
  <si>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</si>
  <si>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８名</t>
    <rPh sb="1" eb="2">
      <t>メイ</t>
    </rPh>
    <phoneticPr fontId="3"/>
  </si>
  <si>
    <t>1名</t>
    <rPh sb="1" eb="2">
      <t>メイ</t>
    </rPh>
    <phoneticPr fontId="3"/>
  </si>
  <si>
    <t>２７名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</si>
</sst>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177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177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DEB4B0F6-3F02-4DF3-A35D-8AFB315FE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7658-486C-4CC5-A90D-EAFDD350B146}">
  <dimension ref="A1:AG58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I1" sqref="AI1:AI1048576"/>
    </sheetView>
  </sheetViews>
  <sheetFormatPr defaultRowHeight="18.75"/>
  <cols>
    <col min="1" max="1" width="2.375" style="2" customWidth="1"/>
    <col min="2" max="2" width="13.25" style="2" bestFit="1" customWidth="1"/>
    <col min="3" max="33" width="10.875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9" width="11.125" style="2" bestFit="1" customWidth="1"/>
    <col min="280" max="280" width="9" style="2"/>
    <col min="281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5" width="11.125" style="2" bestFit="1" customWidth="1"/>
    <col min="536" max="536" width="9" style="2"/>
    <col min="537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1" width="11.125" style="2" bestFit="1" customWidth="1"/>
    <col min="792" max="792" width="9" style="2"/>
    <col min="793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7" width="11.125" style="2" bestFit="1" customWidth="1"/>
    <col min="1048" max="1048" width="9" style="2"/>
    <col min="1049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3" width="11.125" style="2" bestFit="1" customWidth="1"/>
    <col min="1304" max="1304" width="9" style="2"/>
    <col min="1305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9" width="11.125" style="2" bestFit="1" customWidth="1"/>
    <col min="1560" max="1560" width="9" style="2"/>
    <col min="1561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5" width="11.125" style="2" bestFit="1" customWidth="1"/>
    <col min="1816" max="1816" width="9" style="2"/>
    <col min="1817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1" width="11.125" style="2" bestFit="1" customWidth="1"/>
    <col min="2072" max="2072" width="9" style="2"/>
    <col min="2073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7" width="11.125" style="2" bestFit="1" customWidth="1"/>
    <col min="2328" max="2328" width="9" style="2"/>
    <col min="2329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3" width="11.125" style="2" bestFit="1" customWidth="1"/>
    <col min="2584" max="2584" width="9" style="2"/>
    <col min="2585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9" width="11.125" style="2" bestFit="1" customWidth="1"/>
    <col min="2840" max="2840" width="9" style="2"/>
    <col min="2841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5" width="11.125" style="2" bestFit="1" customWidth="1"/>
    <col min="3096" max="3096" width="9" style="2"/>
    <col min="3097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1" width="11.125" style="2" bestFit="1" customWidth="1"/>
    <col min="3352" max="3352" width="9" style="2"/>
    <col min="3353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7" width="11.125" style="2" bestFit="1" customWidth="1"/>
    <col min="3608" max="3608" width="9" style="2"/>
    <col min="3609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3" width="11.125" style="2" bestFit="1" customWidth="1"/>
    <col min="3864" max="3864" width="9" style="2"/>
    <col min="3865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9" width="11.125" style="2" bestFit="1" customWidth="1"/>
    <col min="4120" max="4120" width="9" style="2"/>
    <col min="4121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5" width="11.125" style="2" bestFit="1" customWidth="1"/>
    <col min="4376" max="4376" width="9" style="2"/>
    <col min="4377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1" width="11.125" style="2" bestFit="1" customWidth="1"/>
    <col min="4632" max="4632" width="9" style="2"/>
    <col min="4633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7" width="11.125" style="2" bestFit="1" customWidth="1"/>
    <col min="4888" max="4888" width="9" style="2"/>
    <col min="4889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3" width="11.125" style="2" bestFit="1" customWidth="1"/>
    <col min="5144" max="5144" width="9" style="2"/>
    <col min="5145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9" width="11.125" style="2" bestFit="1" customWidth="1"/>
    <col min="5400" max="5400" width="9" style="2"/>
    <col min="5401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5" width="11.125" style="2" bestFit="1" customWidth="1"/>
    <col min="5656" max="5656" width="9" style="2"/>
    <col min="5657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1" width="11.125" style="2" bestFit="1" customWidth="1"/>
    <col min="5912" max="5912" width="9" style="2"/>
    <col min="5913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7" width="11.125" style="2" bestFit="1" customWidth="1"/>
    <col min="6168" max="6168" width="9" style="2"/>
    <col min="6169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3" width="11.125" style="2" bestFit="1" customWidth="1"/>
    <col min="6424" max="6424" width="9" style="2"/>
    <col min="6425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9" width="11.125" style="2" bestFit="1" customWidth="1"/>
    <col min="6680" max="6680" width="9" style="2"/>
    <col min="6681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5" width="11.125" style="2" bestFit="1" customWidth="1"/>
    <col min="6936" max="6936" width="9" style="2"/>
    <col min="6937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1" width="11.125" style="2" bestFit="1" customWidth="1"/>
    <col min="7192" max="7192" width="9" style="2"/>
    <col min="7193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7" width="11.125" style="2" bestFit="1" customWidth="1"/>
    <col min="7448" max="7448" width="9" style="2"/>
    <col min="7449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3" width="11.125" style="2" bestFit="1" customWidth="1"/>
    <col min="7704" max="7704" width="9" style="2"/>
    <col min="7705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9" width="11.125" style="2" bestFit="1" customWidth="1"/>
    <col min="7960" max="7960" width="9" style="2"/>
    <col min="7961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5" width="11.125" style="2" bestFit="1" customWidth="1"/>
    <col min="8216" max="8216" width="9" style="2"/>
    <col min="8217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1" width="11.125" style="2" bestFit="1" customWidth="1"/>
    <col min="8472" max="8472" width="9" style="2"/>
    <col min="8473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7" width="11.125" style="2" bestFit="1" customWidth="1"/>
    <col min="8728" max="8728" width="9" style="2"/>
    <col min="8729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3" width="11.125" style="2" bestFit="1" customWidth="1"/>
    <col min="8984" max="8984" width="9" style="2"/>
    <col min="8985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9" width="11.125" style="2" bestFit="1" customWidth="1"/>
    <col min="9240" max="9240" width="9" style="2"/>
    <col min="9241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5" width="11.125" style="2" bestFit="1" customWidth="1"/>
    <col min="9496" max="9496" width="9" style="2"/>
    <col min="9497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1" width="11.125" style="2" bestFit="1" customWidth="1"/>
    <col min="9752" max="9752" width="9" style="2"/>
    <col min="9753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7" width="11.125" style="2" bestFit="1" customWidth="1"/>
    <col min="10008" max="10008" width="9" style="2"/>
    <col min="10009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3" width="11.125" style="2" bestFit="1" customWidth="1"/>
    <col min="10264" max="10264" width="9" style="2"/>
    <col min="10265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9" width="11.125" style="2" bestFit="1" customWidth="1"/>
    <col min="10520" max="10520" width="9" style="2"/>
    <col min="10521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5" width="11.125" style="2" bestFit="1" customWidth="1"/>
    <col min="10776" max="10776" width="9" style="2"/>
    <col min="10777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1" width="11.125" style="2" bestFit="1" customWidth="1"/>
    <col min="11032" max="11032" width="9" style="2"/>
    <col min="11033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7" width="11.125" style="2" bestFit="1" customWidth="1"/>
    <col min="11288" max="11288" width="9" style="2"/>
    <col min="11289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3" width="11.125" style="2" bestFit="1" customWidth="1"/>
    <col min="11544" max="11544" width="9" style="2"/>
    <col min="11545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9" width="11.125" style="2" bestFit="1" customWidth="1"/>
    <col min="11800" max="11800" width="9" style="2"/>
    <col min="11801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5" width="11.125" style="2" bestFit="1" customWidth="1"/>
    <col min="12056" max="12056" width="9" style="2"/>
    <col min="12057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1" width="11.125" style="2" bestFit="1" customWidth="1"/>
    <col min="12312" max="12312" width="9" style="2"/>
    <col min="12313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7" width="11.125" style="2" bestFit="1" customWidth="1"/>
    <col min="12568" max="12568" width="9" style="2"/>
    <col min="12569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3" width="11.125" style="2" bestFit="1" customWidth="1"/>
    <col min="12824" max="12824" width="9" style="2"/>
    <col min="12825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9" width="11.125" style="2" bestFit="1" customWidth="1"/>
    <col min="13080" max="13080" width="9" style="2"/>
    <col min="13081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5" width="11.125" style="2" bestFit="1" customWidth="1"/>
    <col min="13336" max="13336" width="9" style="2"/>
    <col min="13337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1" width="11.125" style="2" bestFit="1" customWidth="1"/>
    <col min="13592" max="13592" width="9" style="2"/>
    <col min="13593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7" width="11.125" style="2" bestFit="1" customWidth="1"/>
    <col min="13848" max="13848" width="9" style="2"/>
    <col min="13849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3" width="11.125" style="2" bestFit="1" customWidth="1"/>
    <col min="14104" max="14104" width="9" style="2"/>
    <col min="14105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9" width="11.125" style="2" bestFit="1" customWidth="1"/>
    <col min="14360" max="14360" width="9" style="2"/>
    <col min="14361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5" width="11.125" style="2" bestFit="1" customWidth="1"/>
    <col min="14616" max="14616" width="9" style="2"/>
    <col min="14617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1" width="11.125" style="2" bestFit="1" customWidth="1"/>
    <col min="14872" max="14872" width="9" style="2"/>
    <col min="14873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7" width="11.125" style="2" bestFit="1" customWidth="1"/>
    <col min="15128" max="15128" width="9" style="2"/>
    <col min="15129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3" width="11.125" style="2" bestFit="1" customWidth="1"/>
    <col min="15384" max="15384" width="9" style="2"/>
    <col min="15385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9" width="11.125" style="2" bestFit="1" customWidth="1"/>
    <col min="15640" max="15640" width="9" style="2"/>
    <col min="15641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5" width="11.125" style="2" bestFit="1" customWidth="1"/>
    <col min="15896" max="15896" width="9" style="2"/>
    <col min="15897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1" width="11.125" style="2" bestFit="1" customWidth="1"/>
    <col min="16152" max="16152" width="9" style="2"/>
    <col min="16153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 ht="19.5" thickBot="1">
      <c r="A2" s="1" t="s">
        <v>109</v>
      </c>
    </row>
    <row r="3" spans="1:33">
      <c r="B3" s="14"/>
      <c r="C3" s="36" t="s">
        <v>2</v>
      </c>
      <c r="D3" s="37" t="s">
        <v>3</v>
      </c>
      <c r="E3" s="37" t="s">
        <v>6</v>
      </c>
      <c r="F3" s="37" t="s">
        <v>7</v>
      </c>
      <c r="G3" s="37" t="s">
        <v>8</v>
      </c>
      <c r="H3" s="37" t="s">
        <v>9</v>
      </c>
      <c r="I3" s="37" t="s">
        <v>10</v>
      </c>
      <c r="J3" s="37" t="s">
        <v>11</v>
      </c>
      <c r="K3" s="37" t="s">
        <v>12</v>
      </c>
      <c r="L3" s="37" t="s">
        <v>13</v>
      </c>
      <c r="M3" s="37" t="s">
        <v>14</v>
      </c>
      <c r="N3" s="37" t="s">
        <v>15</v>
      </c>
      <c r="O3" s="37" t="s">
        <v>17</v>
      </c>
      <c r="P3" s="37" t="s">
        <v>18</v>
      </c>
      <c r="Q3" s="37" t="s">
        <v>19</v>
      </c>
      <c r="R3" s="37" t="s">
        <v>20</v>
      </c>
      <c r="S3" s="37" t="s">
        <v>21</v>
      </c>
      <c r="T3" s="63" t="s">
        <v>22</v>
      </c>
      <c r="U3" s="89" t="s">
        <v>111</v>
      </c>
      <c r="V3" s="76" t="s">
        <v>16</v>
      </c>
      <c r="W3" s="37" t="s">
        <v>4</v>
      </c>
      <c r="X3" s="37" t="s">
        <v>25</v>
      </c>
      <c r="Y3" s="37" t="s">
        <v>26</v>
      </c>
      <c r="Z3" s="37" t="s">
        <v>23</v>
      </c>
      <c r="AA3" s="37" t="s">
        <v>24</v>
      </c>
      <c r="AB3" s="37" t="s">
        <v>27</v>
      </c>
      <c r="AC3" s="4" t="s">
        <v>28</v>
      </c>
      <c r="AD3" s="89" t="s">
        <v>111</v>
      </c>
      <c r="AE3" s="91" t="s">
        <v>5</v>
      </c>
      <c r="AF3" s="89" t="s">
        <v>111</v>
      </c>
      <c r="AG3" s="92" t="s">
        <v>56</v>
      </c>
    </row>
    <row r="4" spans="1:33" ht="19.5" thickBot="1">
      <c r="B4" s="5" t="s">
        <v>29</v>
      </c>
      <c r="C4" s="38" t="s">
        <v>30</v>
      </c>
      <c r="D4" s="39" t="s">
        <v>31</v>
      </c>
      <c r="E4" s="39" t="s">
        <v>33</v>
      </c>
      <c r="F4" s="39" t="s">
        <v>34</v>
      </c>
      <c r="G4" s="39" t="s">
        <v>35</v>
      </c>
      <c r="H4" s="39" t="s">
        <v>36</v>
      </c>
      <c r="I4" s="39" t="s">
        <v>37</v>
      </c>
      <c r="J4" s="39" t="s">
        <v>38</v>
      </c>
      <c r="K4" s="39" t="s">
        <v>39</v>
      </c>
      <c r="L4" s="39" t="s">
        <v>40</v>
      </c>
      <c r="M4" s="39" t="s">
        <v>41</v>
      </c>
      <c r="N4" s="39" t="s">
        <v>42</v>
      </c>
      <c r="O4" s="39" t="s">
        <v>44</v>
      </c>
      <c r="P4" s="39" t="s">
        <v>45</v>
      </c>
      <c r="Q4" s="39" t="s">
        <v>46</v>
      </c>
      <c r="R4" s="39" t="s">
        <v>47</v>
      </c>
      <c r="S4" s="39" t="s">
        <v>48</v>
      </c>
      <c r="T4" s="64" t="s">
        <v>49</v>
      </c>
      <c r="U4" s="90" t="s">
        <v>112</v>
      </c>
      <c r="V4" s="77" t="s">
        <v>43</v>
      </c>
      <c r="W4" s="39" t="s">
        <v>110</v>
      </c>
      <c r="X4" s="39" t="s">
        <v>52</v>
      </c>
      <c r="Y4" s="39" t="s">
        <v>53</v>
      </c>
      <c r="Z4" s="39" t="s">
        <v>50</v>
      </c>
      <c r="AA4" s="39" t="s">
        <v>51</v>
      </c>
      <c r="AB4" s="39" t="s">
        <v>54</v>
      </c>
      <c r="AC4" s="3" t="s">
        <v>55</v>
      </c>
      <c r="AD4" s="90" t="s">
        <v>113</v>
      </c>
      <c r="AE4" s="90" t="s">
        <v>32</v>
      </c>
      <c r="AF4" s="90" t="s">
        <v>114</v>
      </c>
      <c r="AG4" s="5" t="s">
        <v>115</v>
      </c>
    </row>
    <row r="5" spans="1:33">
      <c r="A5" s="1" t="s">
        <v>1</v>
      </c>
      <c r="B5" s="22" t="s">
        <v>57</v>
      </c>
      <c r="C5" s="40">
        <v>19</v>
      </c>
      <c r="D5" s="41">
        <v>19</v>
      </c>
      <c r="E5" s="41">
        <v>20</v>
      </c>
      <c r="F5" s="41">
        <v>19</v>
      </c>
      <c r="G5" s="41">
        <v>17</v>
      </c>
      <c r="H5" s="41">
        <v>16</v>
      </c>
      <c r="I5" s="41">
        <v>20</v>
      </c>
      <c r="J5" s="41">
        <v>17</v>
      </c>
      <c r="K5" s="41">
        <v>19</v>
      </c>
      <c r="L5" s="41">
        <v>19</v>
      </c>
      <c r="M5" s="41">
        <v>12</v>
      </c>
      <c r="N5" s="41">
        <v>20</v>
      </c>
      <c r="O5" s="41">
        <v>19</v>
      </c>
      <c r="P5" s="41">
        <v>18</v>
      </c>
      <c r="Q5" s="41">
        <v>13</v>
      </c>
      <c r="R5" s="41">
        <v>15</v>
      </c>
      <c r="S5" s="41">
        <v>19</v>
      </c>
      <c r="T5" s="65">
        <v>20</v>
      </c>
      <c r="U5" s="24">
        <f>SUM(C5:T5)</f>
        <v>321</v>
      </c>
      <c r="V5" s="78">
        <v>18</v>
      </c>
      <c r="W5" s="41">
        <v>20</v>
      </c>
      <c r="X5" s="41">
        <v>13</v>
      </c>
      <c r="Y5" s="41">
        <v>16</v>
      </c>
      <c r="Z5" s="41">
        <v>10</v>
      </c>
      <c r="AA5" s="41">
        <v>10</v>
      </c>
      <c r="AB5" s="41">
        <v>9</v>
      </c>
      <c r="AC5" s="23">
        <v>19</v>
      </c>
      <c r="AD5" s="24">
        <f>SUM(V5:AC5)</f>
        <v>115</v>
      </c>
      <c r="AE5" s="24">
        <v>20</v>
      </c>
      <c r="AF5" s="24">
        <f>SUM(AE5)</f>
        <v>20</v>
      </c>
      <c r="AG5" s="24">
        <f>SUM(AF5,AD5,U5)</f>
        <v>456</v>
      </c>
    </row>
    <row r="6" spans="1:33">
      <c r="A6" s="1" t="s">
        <v>1</v>
      </c>
      <c r="B6" s="25" t="s">
        <v>58</v>
      </c>
      <c r="C6" s="42">
        <v>3</v>
      </c>
      <c r="D6" s="43">
        <v>3</v>
      </c>
      <c r="E6" s="43">
        <v>5</v>
      </c>
      <c r="F6" s="43">
        <v>1</v>
      </c>
      <c r="G6" s="43">
        <v>4</v>
      </c>
      <c r="H6" s="43">
        <v>5</v>
      </c>
      <c r="I6" s="43">
        <v>4</v>
      </c>
      <c r="J6" s="43">
        <v>4</v>
      </c>
      <c r="K6" s="43">
        <v>3</v>
      </c>
      <c r="L6" s="43">
        <v>5</v>
      </c>
      <c r="M6" s="43">
        <v>2</v>
      </c>
      <c r="N6" s="43">
        <v>5</v>
      </c>
      <c r="O6" s="43">
        <v>3</v>
      </c>
      <c r="P6" s="43">
        <v>2</v>
      </c>
      <c r="Q6" s="43">
        <v>3</v>
      </c>
      <c r="R6" s="43">
        <v>4</v>
      </c>
      <c r="S6" s="43">
        <v>2</v>
      </c>
      <c r="T6" s="66">
        <v>5</v>
      </c>
      <c r="U6" s="27">
        <f t="shared" ref="U6:U57" si="0">SUM(C6:T6)</f>
        <v>63</v>
      </c>
      <c r="V6" s="79">
        <v>0</v>
      </c>
      <c r="W6" s="43">
        <v>3</v>
      </c>
      <c r="X6" s="43">
        <v>0</v>
      </c>
      <c r="Y6" s="43">
        <v>0</v>
      </c>
      <c r="Z6" s="43">
        <v>0</v>
      </c>
      <c r="AA6" s="43">
        <v>0</v>
      </c>
      <c r="AB6" s="43">
        <v>0</v>
      </c>
      <c r="AC6" s="26">
        <v>0</v>
      </c>
      <c r="AD6" s="27">
        <f t="shared" ref="AD6:AD57" si="1">SUM(V6:AC6)</f>
        <v>3</v>
      </c>
      <c r="AE6" s="27">
        <v>0</v>
      </c>
      <c r="AF6" s="27">
        <f t="shared" ref="AF6:AF57" si="2">SUM(AE6)</f>
        <v>0</v>
      </c>
      <c r="AG6" s="27">
        <f t="shared" ref="AG6:AG57" si="3">SUM(AF6,AD6,U6)</f>
        <v>66</v>
      </c>
    </row>
    <row r="7" spans="1:33">
      <c r="A7" s="1" t="s">
        <v>1</v>
      </c>
      <c r="B7" s="25" t="s">
        <v>59</v>
      </c>
      <c r="C7" s="42">
        <v>3</v>
      </c>
      <c r="D7" s="43">
        <v>1</v>
      </c>
      <c r="E7" s="43">
        <v>0</v>
      </c>
      <c r="F7" s="43">
        <v>1</v>
      </c>
      <c r="G7" s="43">
        <v>3</v>
      </c>
      <c r="H7" s="43">
        <v>1</v>
      </c>
      <c r="I7" s="43">
        <v>1</v>
      </c>
      <c r="J7" s="43">
        <v>0</v>
      </c>
      <c r="K7" s="43">
        <v>2</v>
      </c>
      <c r="L7" s="43">
        <v>0</v>
      </c>
      <c r="M7" s="43">
        <v>4</v>
      </c>
      <c r="N7" s="43">
        <v>0</v>
      </c>
      <c r="O7" s="43">
        <v>2</v>
      </c>
      <c r="P7" s="43">
        <v>1</v>
      </c>
      <c r="Q7" s="43">
        <v>1</v>
      </c>
      <c r="R7" s="43">
        <v>4</v>
      </c>
      <c r="S7" s="43">
        <v>3</v>
      </c>
      <c r="T7" s="66">
        <v>0</v>
      </c>
      <c r="U7" s="27">
        <f t="shared" si="0"/>
        <v>27</v>
      </c>
      <c r="V7" s="79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26">
        <v>0</v>
      </c>
      <c r="AD7" s="27">
        <f t="shared" si="1"/>
        <v>0</v>
      </c>
      <c r="AE7" s="27">
        <v>0</v>
      </c>
      <c r="AF7" s="27">
        <f t="shared" si="2"/>
        <v>0</v>
      </c>
      <c r="AG7" s="27">
        <f t="shared" si="3"/>
        <v>27</v>
      </c>
    </row>
    <row r="8" spans="1:33">
      <c r="A8" s="1" t="s">
        <v>1</v>
      </c>
      <c r="B8" s="25" t="s">
        <v>60</v>
      </c>
      <c r="C8" s="42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4</v>
      </c>
      <c r="R8" s="43">
        <v>0</v>
      </c>
      <c r="S8" s="43">
        <v>0</v>
      </c>
      <c r="T8" s="66">
        <v>0</v>
      </c>
      <c r="U8" s="27">
        <f t="shared" si="0"/>
        <v>4</v>
      </c>
      <c r="V8" s="79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26">
        <v>0</v>
      </c>
      <c r="AD8" s="27">
        <f t="shared" si="1"/>
        <v>0</v>
      </c>
      <c r="AE8" s="27">
        <v>0</v>
      </c>
      <c r="AF8" s="27">
        <f t="shared" si="2"/>
        <v>0</v>
      </c>
      <c r="AG8" s="27">
        <f t="shared" si="3"/>
        <v>4</v>
      </c>
    </row>
    <row r="9" spans="1:33">
      <c r="A9" s="1" t="s">
        <v>1</v>
      </c>
      <c r="B9" s="25" t="s">
        <v>61</v>
      </c>
      <c r="C9" s="42">
        <v>1</v>
      </c>
      <c r="D9" s="43">
        <v>1</v>
      </c>
      <c r="E9" s="43">
        <v>0</v>
      </c>
      <c r="F9" s="43">
        <v>1</v>
      </c>
      <c r="G9" s="43">
        <v>3</v>
      </c>
      <c r="H9" s="43">
        <v>4</v>
      </c>
      <c r="I9" s="43">
        <v>0</v>
      </c>
      <c r="J9" s="43">
        <v>3</v>
      </c>
      <c r="K9" s="43">
        <v>1</v>
      </c>
      <c r="L9" s="43">
        <v>1</v>
      </c>
      <c r="M9" s="43">
        <v>8</v>
      </c>
      <c r="N9" s="43">
        <v>0</v>
      </c>
      <c r="O9" s="43">
        <v>1</v>
      </c>
      <c r="P9" s="43">
        <v>2</v>
      </c>
      <c r="Q9" s="43">
        <v>0</v>
      </c>
      <c r="R9" s="43">
        <v>5</v>
      </c>
      <c r="S9" s="43">
        <v>1</v>
      </c>
      <c r="T9" s="66">
        <v>0</v>
      </c>
      <c r="U9" s="27">
        <f t="shared" si="0"/>
        <v>32</v>
      </c>
      <c r="V9" s="79">
        <v>2</v>
      </c>
      <c r="W9" s="43">
        <v>0</v>
      </c>
      <c r="X9" s="43">
        <v>1</v>
      </c>
      <c r="Y9" s="43">
        <v>1</v>
      </c>
      <c r="Z9" s="43">
        <v>1</v>
      </c>
      <c r="AA9" s="43">
        <v>1</v>
      </c>
      <c r="AB9" s="43">
        <v>0</v>
      </c>
      <c r="AC9" s="26">
        <v>0</v>
      </c>
      <c r="AD9" s="27">
        <f t="shared" si="1"/>
        <v>6</v>
      </c>
      <c r="AE9" s="27">
        <v>0</v>
      </c>
      <c r="AF9" s="27">
        <f t="shared" si="2"/>
        <v>0</v>
      </c>
      <c r="AG9" s="27">
        <f t="shared" si="3"/>
        <v>38</v>
      </c>
    </row>
    <row r="10" spans="1:33">
      <c r="A10" s="1" t="s">
        <v>1</v>
      </c>
      <c r="B10" s="25" t="s">
        <v>62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3</v>
      </c>
      <c r="R10" s="43">
        <v>0</v>
      </c>
      <c r="S10" s="43">
        <v>0</v>
      </c>
      <c r="T10" s="66">
        <v>0</v>
      </c>
      <c r="U10" s="27">
        <f t="shared" si="0"/>
        <v>3</v>
      </c>
      <c r="V10" s="79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26">
        <v>0</v>
      </c>
      <c r="AD10" s="27">
        <f t="shared" si="1"/>
        <v>0</v>
      </c>
      <c r="AE10" s="27">
        <v>0</v>
      </c>
      <c r="AF10" s="27">
        <f t="shared" si="2"/>
        <v>0</v>
      </c>
      <c r="AG10" s="27">
        <f t="shared" si="3"/>
        <v>3</v>
      </c>
    </row>
    <row r="11" spans="1:33">
      <c r="A11" s="1" t="s">
        <v>1</v>
      </c>
      <c r="B11" s="25" t="s">
        <v>63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3</v>
      </c>
      <c r="R11" s="43">
        <v>0</v>
      </c>
      <c r="S11" s="43">
        <v>0</v>
      </c>
      <c r="T11" s="66">
        <v>0</v>
      </c>
      <c r="U11" s="27">
        <f t="shared" si="0"/>
        <v>3</v>
      </c>
      <c r="V11" s="79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26">
        <v>0</v>
      </c>
      <c r="AD11" s="27">
        <f t="shared" si="1"/>
        <v>0</v>
      </c>
      <c r="AE11" s="27">
        <v>0</v>
      </c>
      <c r="AF11" s="27">
        <f t="shared" si="2"/>
        <v>0</v>
      </c>
      <c r="AG11" s="27">
        <f t="shared" si="3"/>
        <v>3</v>
      </c>
    </row>
    <row r="12" spans="1:33">
      <c r="A12" s="1" t="s">
        <v>1</v>
      </c>
      <c r="B12" s="25" t="s">
        <v>64</v>
      </c>
      <c r="C12" s="44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67">
        <v>0</v>
      </c>
      <c r="U12" s="29">
        <f t="shared" si="0"/>
        <v>0</v>
      </c>
      <c r="V12" s="80">
        <v>0</v>
      </c>
      <c r="W12" s="45">
        <v>0</v>
      </c>
      <c r="X12" s="45">
        <v>3.3333333333333335</v>
      </c>
      <c r="Y12" s="45">
        <v>4.041666666666667</v>
      </c>
      <c r="Z12" s="45">
        <v>2.9583333333333335</v>
      </c>
      <c r="AA12" s="45">
        <v>2.9166666666666665</v>
      </c>
      <c r="AB12" s="45">
        <v>2.8333333333333335</v>
      </c>
      <c r="AC12" s="28">
        <v>3.9166666666666665</v>
      </c>
      <c r="AD12" s="29">
        <f t="shared" si="1"/>
        <v>20</v>
      </c>
      <c r="AE12" s="29">
        <v>0</v>
      </c>
      <c r="AF12" s="29">
        <f t="shared" si="2"/>
        <v>0</v>
      </c>
      <c r="AG12" s="29">
        <f t="shared" si="3"/>
        <v>20</v>
      </c>
    </row>
    <row r="13" spans="1:33">
      <c r="A13" s="1" t="s">
        <v>1</v>
      </c>
      <c r="B13" s="25" t="s">
        <v>65</v>
      </c>
      <c r="C13" s="44">
        <v>1.0416666666666667</v>
      </c>
      <c r="D13" s="45">
        <v>1.5416666666666665</v>
      </c>
      <c r="E13" s="45">
        <v>0.75</v>
      </c>
      <c r="F13" s="45">
        <v>2.8333333333333335</v>
      </c>
      <c r="G13" s="45">
        <v>1.4583333333333333</v>
      </c>
      <c r="H13" s="45">
        <v>2.5</v>
      </c>
      <c r="I13" s="45">
        <v>1.875</v>
      </c>
      <c r="J13" s="45">
        <v>1.5</v>
      </c>
      <c r="K13" s="45">
        <v>1.7916666666666665</v>
      </c>
      <c r="L13" s="45">
        <v>1.625</v>
      </c>
      <c r="M13" s="45">
        <v>2</v>
      </c>
      <c r="N13" s="45">
        <v>1.0416666666666667</v>
      </c>
      <c r="O13" s="45">
        <v>2.75</v>
      </c>
      <c r="P13" s="45">
        <v>1.4583333333333333</v>
      </c>
      <c r="Q13" s="45">
        <v>1.2083333333333333</v>
      </c>
      <c r="R13" s="45">
        <v>2.2083333333333335</v>
      </c>
      <c r="S13" s="45">
        <v>1.875</v>
      </c>
      <c r="T13" s="67">
        <v>0.70833333333333337</v>
      </c>
      <c r="U13" s="29">
        <f t="shared" si="0"/>
        <v>30.166666666666661</v>
      </c>
      <c r="V13" s="80">
        <v>0</v>
      </c>
      <c r="W13" s="45">
        <v>1</v>
      </c>
      <c r="X13" s="45">
        <v>0</v>
      </c>
      <c r="Y13" s="45">
        <v>0</v>
      </c>
      <c r="Z13" s="45">
        <v>0</v>
      </c>
      <c r="AA13" s="45">
        <v>0</v>
      </c>
      <c r="AB13" s="45">
        <v>4.1666666666666664E-2</v>
      </c>
      <c r="AC13" s="28">
        <v>0</v>
      </c>
      <c r="AD13" s="29">
        <f t="shared" si="1"/>
        <v>1.0416666666666667</v>
      </c>
      <c r="AE13" s="29">
        <v>0</v>
      </c>
      <c r="AF13" s="29">
        <f t="shared" si="2"/>
        <v>0</v>
      </c>
      <c r="AG13" s="29">
        <f t="shared" si="3"/>
        <v>31.208333333333329</v>
      </c>
    </row>
    <row r="14" spans="1:33">
      <c r="A14" s="1" t="s">
        <v>1</v>
      </c>
      <c r="B14" s="25" t="s">
        <v>66</v>
      </c>
      <c r="C14" s="44">
        <v>1.0416666666666667</v>
      </c>
      <c r="D14" s="45">
        <v>1</v>
      </c>
      <c r="E14" s="45">
        <v>1.5833333333333335</v>
      </c>
      <c r="F14" s="45">
        <v>0.45833333333333331</v>
      </c>
      <c r="G14" s="45">
        <v>1.7083333333333335</v>
      </c>
      <c r="H14" s="45">
        <v>1.9166666666666665</v>
      </c>
      <c r="I14" s="45">
        <v>1.2916666666666667</v>
      </c>
      <c r="J14" s="45">
        <v>1.625</v>
      </c>
      <c r="K14" s="45">
        <v>1.375</v>
      </c>
      <c r="L14" s="45">
        <v>2.2083333333333335</v>
      </c>
      <c r="M14" s="45">
        <v>0.91666666666666663</v>
      </c>
      <c r="N14" s="45">
        <v>1.5416666666666665</v>
      </c>
      <c r="O14" s="45">
        <v>1.1666666666666667</v>
      </c>
      <c r="P14" s="45">
        <v>0.95833333333333337</v>
      </c>
      <c r="Q14" s="45">
        <v>0</v>
      </c>
      <c r="R14" s="45">
        <v>1.4583333333333333</v>
      </c>
      <c r="S14" s="45">
        <v>0.75</v>
      </c>
      <c r="T14" s="67">
        <v>1.5833333333333335</v>
      </c>
      <c r="U14" s="29">
        <f t="shared" si="0"/>
        <v>22.583333333333332</v>
      </c>
      <c r="V14" s="80">
        <v>0</v>
      </c>
      <c r="W14" s="45">
        <v>1.0833333333333333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28">
        <v>0</v>
      </c>
      <c r="AD14" s="29">
        <f t="shared" si="1"/>
        <v>1.0833333333333333</v>
      </c>
      <c r="AE14" s="29">
        <v>0</v>
      </c>
      <c r="AF14" s="29">
        <f t="shared" si="2"/>
        <v>0</v>
      </c>
      <c r="AG14" s="29">
        <f t="shared" si="3"/>
        <v>23.666666666666664</v>
      </c>
    </row>
    <row r="15" spans="1:33">
      <c r="A15" s="1" t="s">
        <v>1</v>
      </c>
      <c r="B15" s="25" t="s">
        <v>67</v>
      </c>
      <c r="C15" s="44">
        <v>1</v>
      </c>
      <c r="D15" s="45">
        <v>0.29166666666666669</v>
      </c>
      <c r="E15" s="45">
        <v>0</v>
      </c>
      <c r="F15" s="45">
        <v>0.41666666666666669</v>
      </c>
      <c r="G15" s="45">
        <v>1.125</v>
      </c>
      <c r="H15" s="45">
        <v>0.29166666666666669</v>
      </c>
      <c r="I15" s="45">
        <v>0.33333333333333331</v>
      </c>
      <c r="J15" s="45">
        <v>0</v>
      </c>
      <c r="K15" s="45">
        <v>0.625</v>
      </c>
      <c r="L15" s="45">
        <v>0</v>
      </c>
      <c r="M15" s="45">
        <v>1.4583333333333333</v>
      </c>
      <c r="N15" s="45">
        <v>0</v>
      </c>
      <c r="O15" s="45">
        <v>0.83333333333333337</v>
      </c>
      <c r="P15" s="45">
        <v>0.41666666666666669</v>
      </c>
      <c r="Q15" s="45">
        <v>0</v>
      </c>
      <c r="R15" s="45">
        <v>1.125</v>
      </c>
      <c r="S15" s="45">
        <v>1.0416666666666667</v>
      </c>
      <c r="T15" s="67">
        <v>0</v>
      </c>
      <c r="U15" s="29">
        <f t="shared" si="0"/>
        <v>8.9583333333333339</v>
      </c>
      <c r="V15" s="80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28">
        <v>0</v>
      </c>
      <c r="AD15" s="29">
        <f t="shared" si="1"/>
        <v>0</v>
      </c>
      <c r="AE15" s="29">
        <v>0</v>
      </c>
      <c r="AF15" s="29">
        <f t="shared" si="2"/>
        <v>0</v>
      </c>
      <c r="AG15" s="29">
        <f t="shared" si="3"/>
        <v>8.9583333333333339</v>
      </c>
    </row>
    <row r="16" spans="1:33">
      <c r="A16" s="1" t="s">
        <v>1</v>
      </c>
      <c r="B16" s="25" t="s">
        <v>68</v>
      </c>
      <c r="C16" s="44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1.375</v>
      </c>
      <c r="R16" s="45">
        <v>0</v>
      </c>
      <c r="S16" s="45">
        <v>0</v>
      </c>
      <c r="T16" s="67">
        <v>0</v>
      </c>
      <c r="U16" s="29">
        <f t="shared" si="0"/>
        <v>1.375</v>
      </c>
      <c r="V16" s="80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28">
        <v>0</v>
      </c>
      <c r="AD16" s="29">
        <f t="shared" si="1"/>
        <v>0</v>
      </c>
      <c r="AE16" s="29">
        <v>0</v>
      </c>
      <c r="AF16" s="29">
        <f t="shared" si="2"/>
        <v>0</v>
      </c>
      <c r="AG16" s="29">
        <f t="shared" si="3"/>
        <v>1.375</v>
      </c>
    </row>
    <row r="17" spans="1:33">
      <c r="A17" s="1" t="s">
        <v>1</v>
      </c>
      <c r="B17" s="25" t="s">
        <v>69</v>
      </c>
      <c r="C17" s="44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0.41666666666666669</v>
      </c>
      <c r="R17" s="45">
        <v>0</v>
      </c>
      <c r="S17" s="45">
        <v>0</v>
      </c>
      <c r="T17" s="67">
        <v>0</v>
      </c>
      <c r="U17" s="29">
        <f t="shared" si="0"/>
        <v>0.41666666666666669</v>
      </c>
      <c r="V17" s="80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28">
        <v>0</v>
      </c>
      <c r="AD17" s="29">
        <f t="shared" si="1"/>
        <v>0</v>
      </c>
      <c r="AE17" s="29">
        <v>0</v>
      </c>
      <c r="AF17" s="29">
        <f t="shared" si="2"/>
        <v>0</v>
      </c>
      <c r="AG17" s="29">
        <f t="shared" si="3"/>
        <v>0.41666666666666669</v>
      </c>
    </row>
    <row r="18" spans="1:33">
      <c r="A18" s="1" t="s">
        <v>1</v>
      </c>
      <c r="B18" s="25" t="s">
        <v>70</v>
      </c>
      <c r="C18" s="44">
        <v>0</v>
      </c>
      <c r="D18" s="45">
        <v>0</v>
      </c>
      <c r="E18" s="45">
        <v>0</v>
      </c>
      <c r="F18" s="45">
        <v>0.45833333333333331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0.45833333333333331</v>
      </c>
      <c r="P18" s="45">
        <v>0</v>
      </c>
      <c r="Q18" s="45">
        <v>0</v>
      </c>
      <c r="R18" s="45">
        <v>0</v>
      </c>
      <c r="S18" s="45">
        <v>0</v>
      </c>
      <c r="T18" s="67">
        <v>0</v>
      </c>
      <c r="U18" s="29">
        <f t="shared" si="0"/>
        <v>0.91666666666666663</v>
      </c>
      <c r="V18" s="80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28">
        <v>0</v>
      </c>
      <c r="AD18" s="29">
        <f t="shared" si="1"/>
        <v>0</v>
      </c>
      <c r="AE18" s="29">
        <v>0</v>
      </c>
      <c r="AF18" s="29">
        <f t="shared" si="2"/>
        <v>0</v>
      </c>
      <c r="AG18" s="29">
        <f t="shared" si="3"/>
        <v>0.91666666666666663</v>
      </c>
    </row>
    <row r="19" spans="1:33">
      <c r="A19" s="1" t="s">
        <v>1</v>
      </c>
      <c r="B19" s="25" t="s">
        <v>71</v>
      </c>
      <c r="C19" s="44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67">
        <v>0</v>
      </c>
      <c r="U19" s="29">
        <f t="shared" si="0"/>
        <v>0</v>
      </c>
      <c r="V19" s="80">
        <v>0</v>
      </c>
      <c r="W19" s="45">
        <v>0</v>
      </c>
      <c r="X19" s="45">
        <v>0.25</v>
      </c>
      <c r="Y19" s="45">
        <v>0.29166666666666669</v>
      </c>
      <c r="Z19" s="45">
        <v>0.29166666666666669</v>
      </c>
      <c r="AA19" s="45">
        <v>0.29166666666666669</v>
      </c>
      <c r="AB19" s="45">
        <v>0</v>
      </c>
      <c r="AC19" s="28">
        <v>0</v>
      </c>
      <c r="AD19" s="29">
        <f t="shared" si="1"/>
        <v>1.1250000000000002</v>
      </c>
      <c r="AE19" s="29">
        <v>0</v>
      </c>
      <c r="AF19" s="29">
        <f t="shared" si="2"/>
        <v>0</v>
      </c>
      <c r="AG19" s="29">
        <f t="shared" si="3"/>
        <v>1.1250000000000002</v>
      </c>
    </row>
    <row r="20" spans="1:33">
      <c r="A20" s="1" t="s">
        <v>1</v>
      </c>
      <c r="B20" s="6" t="s">
        <v>72</v>
      </c>
      <c r="C20" s="46">
        <v>4.1666666666666664E-2</v>
      </c>
      <c r="D20" s="47">
        <v>0.125</v>
      </c>
      <c r="E20" s="47">
        <v>8.3333333333333329E-2</v>
      </c>
      <c r="F20" s="47">
        <v>1.0833333333333333</v>
      </c>
      <c r="G20" s="47">
        <v>0.16666666666666666</v>
      </c>
      <c r="H20" s="47">
        <v>0.58333333333333337</v>
      </c>
      <c r="I20" s="47">
        <v>0.125</v>
      </c>
      <c r="J20" s="47">
        <v>0.125</v>
      </c>
      <c r="K20" s="47">
        <v>0.125</v>
      </c>
      <c r="L20" s="47">
        <v>0.20833333333333334</v>
      </c>
      <c r="M20" s="47">
        <v>0.95833333333333337</v>
      </c>
      <c r="N20" s="47">
        <v>0.58333333333333337</v>
      </c>
      <c r="O20" s="47">
        <v>1.375</v>
      </c>
      <c r="P20" s="47">
        <v>0.5</v>
      </c>
      <c r="Q20" s="47">
        <v>0.45833333333333331</v>
      </c>
      <c r="R20" s="47">
        <v>1.0416666666666667</v>
      </c>
      <c r="S20" s="47">
        <v>0.33333333333333331</v>
      </c>
      <c r="T20" s="68">
        <v>8.3333333333333329E-2</v>
      </c>
      <c r="U20" s="8">
        <f t="shared" si="0"/>
        <v>8</v>
      </c>
      <c r="V20" s="81">
        <v>0</v>
      </c>
      <c r="W20" s="47">
        <v>0</v>
      </c>
      <c r="X20" s="47">
        <v>0</v>
      </c>
      <c r="Y20" s="47">
        <v>0</v>
      </c>
      <c r="Z20" s="47">
        <v>2.0833333333333335</v>
      </c>
      <c r="AA20" s="47">
        <v>2.0833333333333335</v>
      </c>
      <c r="AB20" s="47">
        <v>0.83333333333333337</v>
      </c>
      <c r="AC20" s="7">
        <v>1.25</v>
      </c>
      <c r="AD20" s="8">
        <f t="shared" si="1"/>
        <v>6.25</v>
      </c>
      <c r="AE20" s="8">
        <v>0</v>
      </c>
      <c r="AF20" s="8">
        <f t="shared" si="2"/>
        <v>0</v>
      </c>
      <c r="AG20" s="8">
        <f t="shared" si="3"/>
        <v>14.25</v>
      </c>
    </row>
    <row r="21" spans="1:33">
      <c r="A21" s="1" t="s">
        <v>1</v>
      </c>
      <c r="B21" s="15" t="s">
        <v>73</v>
      </c>
      <c r="C21" s="48">
        <v>19</v>
      </c>
      <c r="D21" s="49">
        <v>17</v>
      </c>
      <c r="E21" s="49">
        <v>34</v>
      </c>
      <c r="F21" s="49">
        <v>38</v>
      </c>
      <c r="G21" s="49">
        <v>27</v>
      </c>
      <c r="H21" s="49">
        <v>26</v>
      </c>
      <c r="I21" s="49">
        <v>21</v>
      </c>
      <c r="J21" s="49">
        <v>30</v>
      </c>
      <c r="K21" s="49">
        <v>26.5</v>
      </c>
      <c r="L21" s="49">
        <v>36</v>
      </c>
      <c r="M21" s="49">
        <v>12</v>
      </c>
      <c r="N21" s="49">
        <v>38</v>
      </c>
      <c r="O21" s="49">
        <v>19</v>
      </c>
      <c r="P21" s="49">
        <v>27.5</v>
      </c>
      <c r="Q21" s="49">
        <v>10</v>
      </c>
      <c r="R21" s="49">
        <v>6</v>
      </c>
      <c r="S21" s="49">
        <v>13</v>
      </c>
      <c r="T21" s="69">
        <v>18</v>
      </c>
      <c r="U21" s="17"/>
      <c r="V21" s="82">
        <v>19.5</v>
      </c>
      <c r="W21" s="49">
        <v>38</v>
      </c>
      <c r="X21" s="49">
        <v>20</v>
      </c>
      <c r="Y21" s="49">
        <v>20</v>
      </c>
      <c r="Z21" s="49">
        <v>5</v>
      </c>
      <c r="AA21" s="49">
        <v>5</v>
      </c>
      <c r="AB21" s="49">
        <v>4</v>
      </c>
      <c r="AC21" s="16">
        <v>26</v>
      </c>
      <c r="AD21" s="17"/>
      <c r="AE21" s="17">
        <v>37</v>
      </c>
      <c r="AF21" s="17"/>
      <c r="AG21" s="17"/>
    </row>
    <row r="22" spans="1:33">
      <c r="A22" s="1" t="s">
        <v>1</v>
      </c>
      <c r="B22" s="6" t="s">
        <v>74</v>
      </c>
      <c r="C22" s="50">
        <v>177000</v>
      </c>
      <c r="D22" s="51">
        <v>187000</v>
      </c>
      <c r="E22" s="51">
        <v>192000</v>
      </c>
      <c r="F22" s="51">
        <v>192000</v>
      </c>
      <c r="G22" s="51">
        <v>187000</v>
      </c>
      <c r="H22" s="51">
        <v>192000</v>
      </c>
      <c r="I22" s="51">
        <v>177000</v>
      </c>
      <c r="J22" s="51">
        <v>182000</v>
      </c>
      <c r="K22" s="51">
        <v>177000</v>
      </c>
      <c r="L22" s="51">
        <v>187000</v>
      </c>
      <c r="M22" s="51">
        <v>182000</v>
      </c>
      <c r="N22" s="51">
        <v>187000</v>
      </c>
      <c r="O22" s="51">
        <v>177000</v>
      </c>
      <c r="P22" s="51">
        <v>170000</v>
      </c>
      <c r="Q22" s="51">
        <v>170000</v>
      </c>
      <c r="R22" s="51">
        <v>170000</v>
      </c>
      <c r="S22" s="51">
        <v>170000</v>
      </c>
      <c r="T22" s="70">
        <v>170000</v>
      </c>
      <c r="U22" s="31">
        <f t="shared" si="0"/>
        <v>3246000</v>
      </c>
      <c r="V22" s="83">
        <v>365000</v>
      </c>
      <c r="W22" s="51">
        <v>270000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30">
        <v>0</v>
      </c>
      <c r="AD22" s="31">
        <f t="shared" si="1"/>
        <v>635000</v>
      </c>
      <c r="AE22" s="31">
        <v>385000</v>
      </c>
      <c r="AF22" s="31">
        <f t="shared" si="2"/>
        <v>385000</v>
      </c>
      <c r="AG22" s="31">
        <f t="shared" si="3"/>
        <v>4266000</v>
      </c>
    </row>
    <row r="23" spans="1:33">
      <c r="A23" s="1" t="s">
        <v>1</v>
      </c>
      <c r="B23" s="6" t="s">
        <v>75</v>
      </c>
      <c r="C23" s="52">
        <v>0</v>
      </c>
      <c r="D23" s="53">
        <v>0</v>
      </c>
      <c r="E23" s="53">
        <v>20000</v>
      </c>
      <c r="F23" s="53">
        <v>20000</v>
      </c>
      <c r="G23" s="53">
        <v>0</v>
      </c>
      <c r="H23" s="53">
        <v>0</v>
      </c>
      <c r="I23" s="53">
        <v>0</v>
      </c>
      <c r="J23" s="53">
        <v>5000</v>
      </c>
      <c r="K23" s="53">
        <v>0</v>
      </c>
      <c r="L23" s="53">
        <v>0</v>
      </c>
      <c r="M23" s="53">
        <v>0</v>
      </c>
      <c r="N23" s="53">
        <v>0</v>
      </c>
      <c r="O23" s="53">
        <v>5000</v>
      </c>
      <c r="P23" s="53">
        <v>0</v>
      </c>
      <c r="Q23" s="53">
        <v>0</v>
      </c>
      <c r="R23" s="53">
        <v>0</v>
      </c>
      <c r="S23" s="53">
        <v>0</v>
      </c>
      <c r="T23" s="71">
        <v>0</v>
      </c>
      <c r="U23" s="33">
        <f t="shared" si="0"/>
        <v>50000</v>
      </c>
      <c r="V23" s="84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32">
        <v>0</v>
      </c>
      <c r="AD23" s="33">
        <f t="shared" si="1"/>
        <v>0</v>
      </c>
      <c r="AE23" s="33">
        <v>0</v>
      </c>
      <c r="AF23" s="33">
        <f t="shared" si="2"/>
        <v>0</v>
      </c>
      <c r="AG23" s="33">
        <f t="shared" si="3"/>
        <v>50000</v>
      </c>
    </row>
    <row r="24" spans="1:33">
      <c r="A24" s="1" t="s">
        <v>1</v>
      </c>
      <c r="B24" s="6" t="s">
        <v>76</v>
      </c>
      <c r="C24" s="52">
        <v>0</v>
      </c>
      <c r="D24" s="53">
        <v>0</v>
      </c>
      <c r="E24" s="53">
        <v>0</v>
      </c>
      <c r="F24" s="53">
        <v>0</v>
      </c>
      <c r="G24" s="53">
        <v>3000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71">
        <v>0</v>
      </c>
      <c r="U24" s="33">
        <f t="shared" si="0"/>
        <v>3000</v>
      </c>
      <c r="V24" s="84">
        <v>0</v>
      </c>
      <c r="W24" s="53">
        <v>3000</v>
      </c>
      <c r="X24" s="53">
        <v>0</v>
      </c>
      <c r="Y24" s="53">
        <v>0</v>
      </c>
      <c r="Z24" s="53">
        <v>0</v>
      </c>
      <c r="AA24" s="53">
        <v>0</v>
      </c>
      <c r="AB24" s="53">
        <v>0</v>
      </c>
      <c r="AC24" s="32">
        <v>0</v>
      </c>
      <c r="AD24" s="33">
        <f t="shared" si="1"/>
        <v>3000</v>
      </c>
      <c r="AE24" s="33">
        <v>0</v>
      </c>
      <c r="AF24" s="33">
        <f t="shared" si="2"/>
        <v>0</v>
      </c>
      <c r="AG24" s="33">
        <f t="shared" si="3"/>
        <v>6000</v>
      </c>
    </row>
    <row r="25" spans="1:33">
      <c r="A25" s="1" t="s">
        <v>1</v>
      </c>
      <c r="B25" s="6" t="s">
        <v>77</v>
      </c>
      <c r="C25" s="52">
        <v>0</v>
      </c>
      <c r="D25" s="53">
        <v>5730</v>
      </c>
      <c r="E25" s="53">
        <v>0</v>
      </c>
      <c r="F25" s="53">
        <v>20113</v>
      </c>
      <c r="G25" s="53">
        <v>0</v>
      </c>
      <c r="H25" s="53">
        <v>18772</v>
      </c>
      <c r="I25" s="53">
        <v>4341</v>
      </c>
      <c r="J25" s="53">
        <v>0</v>
      </c>
      <c r="K25" s="53">
        <v>5427</v>
      </c>
      <c r="L25" s="53">
        <v>0</v>
      </c>
      <c r="M25" s="53">
        <v>0</v>
      </c>
      <c r="N25" s="53">
        <v>0</v>
      </c>
      <c r="O25" s="53">
        <v>9236</v>
      </c>
      <c r="P25" s="53">
        <v>5460</v>
      </c>
      <c r="Q25" s="53">
        <v>61016</v>
      </c>
      <c r="R25" s="53">
        <v>0</v>
      </c>
      <c r="S25" s="53">
        <v>0</v>
      </c>
      <c r="T25" s="71">
        <v>58258</v>
      </c>
      <c r="U25" s="33">
        <f t="shared" si="0"/>
        <v>188353</v>
      </c>
      <c r="V25" s="84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32">
        <v>0</v>
      </c>
      <c r="AD25" s="33">
        <f t="shared" si="1"/>
        <v>0</v>
      </c>
      <c r="AE25" s="33">
        <v>0</v>
      </c>
      <c r="AF25" s="33">
        <f t="shared" si="2"/>
        <v>0</v>
      </c>
      <c r="AG25" s="33">
        <f t="shared" si="3"/>
        <v>188353</v>
      </c>
    </row>
    <row r="26" spans="1:33">
      <c r="A26" s="1" t="s">
        <v>1</v>
      </c>
      <c r="B26" s="6" t="s">
        <v>78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71">
        <v>0</v>
      </c>
      <c r="U26" s="33">
        <f t="shared" si="0"/>
        <v>0</v>
      </c>
      <c r="V26" s="84">
        <v>0</v>
      </c>
      <c r="W26" s="53">
        <v>0</v>
      </c>
      <c r="X26" s="53">
        <v>78400</v>
      </c>
      <c r="Y26" s="53">
        <v>97000</v>
      </c>
      <c r="Z26" s="53">
        <v>65320</v>
      </c>
      <c r="AA26" s="53">
        <v>64400</v>
      </c>
      <c r="AB26" s="53">
        <v>62560</v>
      </c>
      <c r="AC26" s="32">
        <v>86480</v>
      </c>
      <c r="AD26" s="33">
        <f t="shared" si="1"/>
        <v>454160</v>
      </c>
      <c r="AE26" s="33">
        <v>0</v>
      </c>
      <c r="AF26" s="33">
        <f t="shared" si="2"/>
        <v>0</v>
      </c>
      <c r="AG26" s="33">
        <f t="shared" si="3"/>
        <v>454160</v>
      </c>
    </row>
    <row r="27" spans="1:33">
      <c r="A27" s="1" t="s">
        <v>1</v>
      </c>
      <c r="B27" s="6" t="s">
        <v>79</v>
      </c>
      <c r="C27" s="52">
        <v>3500</v>
      </c>
      <c r="D27" s="53">
        <v>1000</v>
      </c>
      <c r="E27" s="53">
        <v>3500</v>
      </c>
      <c r="F27" s="53">
        <v>3500</v>
      </c>
      <c r="G27" s="53">
        <v>1000</v>
      </c>
      <c r="H27" s="53">
        <v>3500</v>
      </c>
      <c r="I27" s="53">
        <v>3500</v>
      </c>
      <c r="J27" s="53">
        <v>3500</v>
      </c>
      <c r="K27" s="53">
        <v>3500</v>
      </c>
      <c r="L27" s="53">
        <v>3500</v>
      </c>
      <c r="M27" s="53">
        <v>3500</v>
      </c>
      <c r="N27" s="53">
        <v>3500</v>
      </c>
      <c r="O27" s="53">
        <v>3500</v>
      </c>
      <c r="P27" s="53">
        <v>3500</v>
      </c>
      <c r="Q27" s="53">
        <v>1000</v>
      </c>
      <c r="R27" s="53">
        <v>0</v>
      </c>
      <c r="S27" s="53">
        <v>1000</v>
      </c>
      <c r="T27" s="71">
        <v>1000</v>
      </c>
      <c r="U27" s="33">
        <f t="shared" si="0"/>
        <v>47000</v>
      </c>
      <c r="V27" s="84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32">
        <v>0</v>
      </c>
      <c r="AD27" s="33">
        <f t="shared" si="1"/>
        <v>0</v>
      </c>
      <c r="AE27" s="33">
        <v>0</v>
      </c>
      <c r="AF27" s="33">
        <f t="shared" si="2"/>
        <v>0</v>
      </c>
      <c r="AG27" s="33">
        <f t="shared" si="3"/>
        <v>47000</v>
      </c>
    </row>
    <row r="28" spans="1:33">
      <c r="A28" s="1" t="s">
        <v>1</v>
      </c>
      <c r="B28" s="6" t="s">
        <v>80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71">
        <v>0</v>
      </c>
      <c r="U28" s="33">
        <f t="shared" si="0"/>
        <v>0</v>
      </c>
      <c r="V28" s="84">
        <v>0</v>
      </c>
      <c r="W28" s="53">
        <v>0</v>
      </c>
      <c r="X28" s="53">
        <v>5880</v>
      </c>
      <c r="Y28" s="53">
        <v>7000</v>
      </c>
      <c r="Z28" s="53">
        <v>6440</v>
      </c>
      <c r="AA28" s="53">
        <v>6440</v>
      </c>
      <c r="AB28" s="53">
        <v>0</v>
      </c>
      <c r="AC28" s="32">
        <v>0</v>
      </c>
      <c r="AD28" s="33">
        <f t="shared" si="1"/>
        <v>25760</v>
      </c>
      <c r="AE28" s="33">
        <v>0</v>
      </c>
      <c r="AF28" s="33">
        <f t="shared" si="2"/>
        <v>0</v>
      </c>
      <c r="AG28" s="33">
        <f t="shared" si="3"/>
        <v>25760</v>
      </c>
    </row>
    <row r="29" spans="1:33">
      <c r="A29" s="1" t="s">
        <v>1</v>
      </c>
      <c r="B29" s="6" t="s">
        <v>81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4">
        <v>-24543</v>
      </c>
      <c r="R29" s="53">
        <v>0</v>
      </c>
      <c r="S29" s="53">
        <v>0</v>
      </c>
      <c r="T29" s="71">
        <v>0</v>
      </c>
      <c r="U29" s="34">
        <f t="shared" si="0"/>
        <v>-24543</v>
      </c>
      <c r="V29" s="84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32">
        <v>0</v>
      </c>
      <c r="AD29" s="33">
        <f t="shared" si="1"/>
        <v>0</v>
      </c>
      <c r="AE29" s="33">
        <v>0</v>
      </c>
      <c r="AF29" s="33">
        <f t="shared" si="2"/>
        <v>0</v>
      </c>
      <c r="AG29" s="33">
        <f t="shared" si="3"/>
        <v>-24543</v>
      </c>
    </row>
    <row r="30" spans="1:33">
      <c r="A30" s="1" t="s">
        <v>1</v>
      </c>
      <c r="B30" s="6" t="s">
        <v>65</v>
      </c>
      <c r="C30" s="52">
        <v>33775</v>
      </c>
      <c r="D30" s="53">
        <v>52096</v>
      </c>
      <c r="E30" s="53">
        <v>29034</v>
      </c>
      <c r="F30" s="53">
        <v>109684</v>
      </c>
      <c r="G30" s="53">
        <v>50050</v>
      </c>
      <c r="H30" s="53">
        <v>87840</v>
      </c>
      <c r="I30" s="53">
        <v>60795</v>
      </c>
      <c r="J30" s="53">
        <v>51336</v>
      </c>
      <c r="K30" s="53">
        <v>58093</v>
      </c>
      <c r="L30" s="53">
        <v>55614</v>
      </c>
      <c r="M30" s="53">
        <v>66672</v>
      </c>
      <c r="N30" s="53">
        <v>35650</v>
      </c>
      <c r="O30" s="53">
        <v>91674</v>
      </c>
      <c r="P30" s="53">
        <v>45465</v>
      </c>
      <c r="Q30" s="53">
        <v>37120</v>
      </c>
      <c r="R30" s="53">
        <v>67469</v>
      </c>
      <c r="S30" s="53">
        <v>57600</v>
      </c>
      <c r="T30" s="71">
        <v>21760</v>
      </c>
      <c r="U30" s="33">
        <f t="shared" si="0"/>
        <v>1011727</v>
      </c>
      <c r="V30" s="84">
        <v>0</v>
      </c>
      <c r="W30" s="53">
        <v>49056</v>
      </c>
      <c r="X30" s="53">
        <v>0</v>
      </c>
      <c r="Y30" s="53">
        <v>0</v>
      </c>
      <c r="Z30" s="53">
        <v>0</v>
      </c>
      <c r="AA30" s="53">
        <v>0</v>
      </c>
      <c r="AB30" s="53">
        <v>1150</v>
      </c>
      <c r="AC30" s="32">
        <v>0</v>
      </c>
      <c r="AD30" s="33">
        <f t="shared" si="1"/>
        <v>50206</v>
      </c>
      <c r="AE30" s="33">
        <v>0</v>
      </c>
      <c r="AF30" s="33">
        <f t="shared" si="2"/>
        <v>0</v>
      </c>
      <c r="AG30" s="33">
        <f t="shared" si="3"/>
        <v>1061933</v>
      </c>
    </row>
    <row r="31" spans="1:33">
      <c r="A31" s="1" t="s">
        <v>1</v>
      </c>
      <c r="B31" s="6" t="s">
        <v>82</v>
      </c>
      <c r="C31" s="52">
        <v>36475</v>
      </c>
      <c r="D31" s="53">
        <v>36480</v>
      </c>
      <c r="E31" s="53">
        <v>66196</v>
      </c>
      <c r="F31" s="53">
        <v>19162</v>
      </c>
      <c r="G31" s="53">
        <v>63304</v>
      </c>
      <c r="H31" s="53">
        <v>72726</v>
      </c>
      <c r="I31" s="53">
        <v>45229</v>
      </c>
      <c r="J31" s="53">
        <v>60060</v>
      </c>
      <c r="K31" s="53">
        <v>48147</v>
      </c>
      <c r="L31" s="53">
        <v>81620</v>
      </c>
      <c r="M31" s="53">
        <v>33000</v>
      </c>
      <c r="N31" s="53">
        <v>56980</v>
      </c>
      <c r="O31" s="53">
        <v>42000</v>
      </c>
      <c r="P31" s="53">
        <v>32269</v>
      </c>
      <c r="Q31" s="53">
        <v>0</v>
      </c>
      <c r="R31" s="53">
        <v>48090</v>
      </c>
      <c r="S31" s="53">
        <v>24876</v>
      </c>
      <c r="T31" s="71">
        <v>52516</v>
      </c>
      <c r="U31" s="33">
        <f t="shared" si="0"/>
        <v>819130</v>
      </c>
      <c r="V31" s="84">
        <v>0</v>
      </c>
      <c r="W31" s="53">
        <v>57382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32">
        <v>0</v>
      </c>
      <c r="AD31" s="33">
        <f t="shared" si="1"/>
        <v>57382</v>
      </c>
      <c r="AE31" s="33">
        <v>0</v>
      </c>
      <c r="AF31" s="33">
        <f t="shared" si="2"/>
        <v>0</v>
      </c>
      <c r="AG31" s="33">
        <f t="shared" si="3"/>
        <v>876512</v>
      </c>
    </row>
    <row r="32" spans="1:33">
      <c r="A32" s="1" t="s">
        <v>1</v>
      </c>
      <c r="B32" s="6" t="s">
        <v>83</v>
      </c>
      <c r="C32" s="52">
        <v>35016</v>
      </c>
      <c r="D32" s="53">
        <v>10640</v>
      </c>
      <c r="E32" s="53">
        <v>0</v>
      </c>
      <c r="F32" s="53">
        <v>17420</v>
      </c>
      <c r="G32" s="53">
        <v>41688</v>
      </c>
      <c r="H32" s="53">
        <v>11067</v>
      </c>
      <c r="I32" s="53">
        <v>11672</v>
      </c>
      <c r="J32" s="53">
        <v>0</v>
      </c>
      <c r="K32" s="53">
        <v>21885</v>
      </c>
      <c r="L32" s="53">
        <v>0</v>
      </c>
      <c r="M32" s="53">
        <v>52500</v>
      </c>
      <c r="N32" s="53">
        <v>0</v>
      </c>
      <c r="O32" s="53">
        <v>30000</v>
      </c>
      <c r="P32" s="53">
        <v>14030</v>
      </c>
      <c r="Q32" s="53">
        <v>0</v>
      </c>
      <c r="R32" s="53">
        <v>37098</v>
      </c>
      <c r="S32" s="53">
        <v>34550</v>
      </c>
      <c r="T32" s="71">
        <v>0</v>
      </c>
      <c r="U32" s="33">
        <f t="shared" si="0"/>
        <v>317566</v>
      </c>
      <c r="V32" s="84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32">
        <v>0</v>
      </c>
      <c r="AD32" s="33">
        <f t="shared" si="1"/>
        <v>0</v>
      </c>
      <c r="AE32" s="33">
        <v>0</v>
      </c>
      <c r="AF32" s="33">
        <f t="shared" si="2"/>
        <v>0</v>
      </c>
      <c r="AG32" s="33">
        <f t="shared" si="3"/>
        <v>317566</v>
      </c>
    </row>
    <row r="33" spans="1:33">
      <c r="A33" s="1" t="s">
        <v>1</v>
      </c>
      <c r="B33" s="6" t="s">
        <v>84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11814</v>
      </c>
      <c r="R33" s="53">
        <v>0</v>
      </c>
      <c r="S33" s="53">
        <v>0</v>
      </c>
      <c r="T33" s="71">
        <v>0</v>
      </c>
      <c r="U33" s="33">
        <f t="shared" si="0"/>
        <v>11814</v>
      </c>
      <c r="V33" s="84">
        <v>0</v>
      </c>
      <c r="W33" s="53">
        <v>0</v>
      </c>
      <c r="X33" s="53">
        <v>0</v>
      </c>
      <c r="Y33" s="53">
        <v>0</v>
      </c>
      <c r="Z33" s="53">
        <v>0</v>
      </c>
      <c r="AA33" s="53">
        <v>0</v>
      </c>
      <c r="AB33" s="53">
        <v>0</v>
      </c>
      <c r="AC33" s="32">
        <v>0</v>
      </c>
      <c r="AD33" s="33">
        <f t="shared" si="1"/>
        <v>0</v>
      </c>
      <c r="AE33" s="33">
        <v>0</v>
      </c>
      <c r="AF33" s="33">
        <f t="shared" si="2"/>
        <v>0</v>
      </c>
      <c r="AG33" s="33">
        <f t="shared" si="3"/>
        <v>11814</v>
      </c>
    </row>
    <row r="34" spans="1:33">
      <c r="A34" s="1" t="s">
        <v>1</v>
      </c>
      <c r="B34" s="6" t="s">
        <v>85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3580</v>
      </c>
      <c r="R34" s="53">
        <v>0</v>
      </c>
      <c r="S34" s="53">
        <v>0</v>
      </c>
      <c r="T34" s="71">
        <v>0</v>
      </c>
      <c r="U34" s="33">
        <f t="shared" si="0"/>
        <v>3580</v>
      </c>
      <c r="V34" s="84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0</v>
      </c>
      <c r="AB34" s="53">
        <v>0</v>
      </c>
      <c r="AC34" s="32">
        <v>0</v>
      </c>
      <c r="AD34" s="33">
        <f t="shared" si="1"/>
        <v>0</v>
      </c>
      <c r="AE34" s="33">
        <v>0</v>
      </c>
      <c r="AF34" s="33">
        <f t="shared" si="2"/>
        <v>0</v>
      </c>
      <c r="AG34" s="33">
        <f t="shared" si="3"/>
        <v>3580</v>
      </c>
    </row>
    <row r="35" spans="1:33">
      <c r="A35" s="1" t="s">
        <v>1</v>
      </c>
      <c r="B35" s="6" t="s">
        <v>70</v>
      </c>
      <c r="C35" s="52">
        <v>0</v>
      </c>
      <c r="D35" s="53">
        <v>0</v>
      </c>
      <c r="E35" s="53">
        <v>0</v>
      </c>
      <c r="F35" s="53">
        <v>3553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3058</v>
      </c>
      <c r="P35" s="53">
        <v>0</v>
      </c>
      <c r="Q35" s="53">
        <v>0</v>
      </c>
      <c r="R35" s="53">
        <v>0</v>
      </c>
      <c r="S35" s="53">
        <v>0</v>
      </c>
      <c r="T35" s="71">
        <v>0</v>
      </c>
      <c r="U35" s="33">
        <f t="shared" si="0"/>
        <v>6611</v>
      </c>
      <c r="V35" s="84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32">
        <v>0</v>
      </c>
      <c r="AD35" s="33">
        <f t="shared" si="1"/>
        <v>0</v>
      </c>
      <c r="AE35" s="33">
        <v>0</v>
      </c>
      <c r="AF35" s="33">
        <f t="shared" si="2"/>
        <v>0</v>
      </c>
      <c r="AG35" s="33">
        <f t="shared" si="3"/>
        <v>6611</v>
      </c>
    </row>
    <row r="36" spans="1:33">
      <c r="A36" s="1" t="s">
        <v>1</v>
      </c>
      <c r="B36" s="6" t="s">
        <v>86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24543</v>
      </c>
      <c r="R36" s="53">
        <v>0</v>
      </c>
      <c r="S36" s="53">
        <v>0</v>
      </c>
      <c r="T36" s="71">
        <v>0</v>
      </c>
      <c r="U36" s="33">
        <f t="shared" si="0"/>
        <v>24543</v>
      </c>
      <c r="V36" s="84">
        <v>0</v>
      </c>
      <c r="W36" s="53">
        <v>0</v>
      </c>
      <c r="X36" s="53">
        <v>0</v>
      </c>
      <c r="Y36" s="53">
        <v>0</v>
      </c>
      <c r="Z36" s="53">
        <v>0</v>
      </c>
      <c r="AA36" s="53">
        <v>0</v>
      </c>
      <c r="AB36" s="53">
        <v>0</v>
      </c>
      <c r="AC36" s="32">
        <v>0</v>
      </c>
      <c r="AD36" s="33">
        <f t="shared" si="1"/>
        <v>0</v>
      </c>
      <c r="AE36" s="33">
        <v>0</v>
      </c>
      <c r="AF36" s="33">
        <f t="shared" si="2"/>
        <v>0</v>
      </c>
      <c r="AG36" s="33">
        <f t="shared" si="3"/>
        <v>24543</v>
      </c>
    </row>
    <row r="37" spans="1:33">
      <c r="A37" s="1" t="s">
        <v>1</v>
      </c>
      <c r="B37" s="6" t="s">
        <v>72</v>
      </c>
      <c r="C37" s="55">
        <v>270</v>
      </c>
      <c r="D37" s="56">
        <v>846</v>
      </c>
      <c r="E37" s="56">
        <v>646</v>
      </c>
      <c r="F37" s="56">
        <v>8398</v>
      </c>
      <c r="G37" s="56">
        <v>1144</v>
      </c>
      <c r="H37" s="56">
        <v>4102</v>
      </c>
      <c r="I37" s="56">
        <v>810</v>
      </c>
      <c r="J37" s="56">
        <v>855</v>
      </c>
      <c r="K37" s="56">
        <v>810</v>
      </c>
      <c r="L37" s="56">
        <v>1425</v>
      </c>
      <c r="M37" s="56">
        <v>6394</v>
      </c>
      <c r="N37" s="56">
        <v>3990</v>
      </c>
      <c r="O37" s="56">
        <v>9174</v>
      </c>
      <c r="P37" s="56">
        <v>3120</v>
      </c>
      <c r="Q37" s="56">
        <v>2816</v>
      </c>
      <c r="R37" s="56">
        <v>6375</v>
      </c>
      <c r="S37" s="56">
        <v>2048</v>
      </c>
      <c r="T37" s="72">
        <v>512</v>
      </c>
      <c r="U37" s="10">
        <f t="shared" si="0"/>
        <v>53735</v>
      </c>
      <c r="V37" s="85">
        <v>0</v>
      </c>
      <c r="W37" s="56">
        <v>0</v>
      </c>
      <c r="X37" s="56">
        <v>0</v>
      </c>
      <c r="Y37" s="56">
        <v>0</v>
      </c>
      <c r="Z37" s="56">
        <v>11500</v>
      </c>
      <c r="AA37" s="56">
        <v>11500</v>
      </c>
      <c r="AB37" s="56">
        <v>4600</v>
      </c>
      <c r="AC37" s="9">
        <v>6900</v>
      </c>
      <c r="AD37" s="10">
        <f t="shared" si="1"/>
        <v>34500</v>
      </c>
      <c r="AE37" s="10">
        <v>0</v>
      </c>
      <c r="AF37" s="10">
        <f t="shared" si="2"/>
        <v>0</v>
      </c>
      <c r="AG37" s="10">
        <f t="shared" si="3"/>
        <v>88235</v>
      </c>
    </row>
    <row r="38" spans="1:33">
      <c r="A38" s="1" t="s">
        <v>1</v>
      </c>
      <c r="B38" s="15" t="s">
        <v>87</v>
      </c>
      <c r="C38" s="57">
        <v>286036</v>
      </c>
      <c r="D38" s="58">
        <v>293792</v>
      </c>
      <c r="E38" s="58">
        <v>311376</v>
      </c>
      <c r="F38" s="58">
        <v>393830</v>
      </c>
      <c r="G38" s="58">
        <v>347186</v>
      </c>
      <c r="H38" s="58">
        <v>390007</v>
      </c>
      <c r="I38" s="58">
        <v>303347</v>
      </c>
      <c r="J38" s="58">
        <v>302751</v>
      </c>
      <c r="K38" s="58">
        <v>314862</v>
      </c>
      <c r="L38" s="58">
        <v>329159</v>
      </c>
      <c r="M38" s="58">
        <v>344066</v>
      </c>
      <c r="N38" s="58">
        <v>287120</v>
      </c>
      <c r="O38" s="58">
        <v>370642</v>
      </c>
      <c r="P38" s="58">
        <v>273844</v>
      </c>
      <c r="Q38" s="58">
        <v>287346</v>
      </c>
      <c r="R38" s="58">
        <v>329032</v>
      </c>
      <c r="S38" s="58">
        <v>290074</v>
      </c>
      <c r="T38" s="73">
        <v>304046</v>
      </c>
      <c r="U38" s="19">
        <f t="shared" si="0"/>
        <v>5758516</v>
      </c>
      <c r="V38" s="86">
        <v>365000</v>
      </c>
      <c r="W38" s="58">
        <v>379438</v>
      </c>
      <c r="X38" s="58">
        <v>84280</v>
      </c>
      <c r="Y38" s="58">
        <v>104000</v>
      </c>
      <c r="Z38" s="58">
        <v>83260</v>
      </c>
      <c r="AA38" s="58">
        <v>82340</v>
      </c>
      <c r="AB38" s="58">
        <v>68310</v>
      </c>
      <c r="AC38" s="18">
        <v>93380</v>
      </c>
      <c r="AD38" s="19">
        <f t="shared" si="1"/>
        <v>1260008</v>
      </c>
      <c r="AE38" s="19">
        <v>385000</v>
      </c>
      <c r="AF38" s="19">
        <f t="shared" si="2"/>
        <v>385000</v>
      </c>
      <c r="AG38" s="19">
        <f t="shared" si="3"/>
        <v>7403524</v>
      </c>
    </row>
    <row r="39" spans="1:33">
      <c r="A39" s="1" t="s">
        <v>1</v>
      </c>
      <c r="B39" s="6" t="s">
        <v>88</v>
      </c>
      <c r="C39" s="55">
        <v>13493</v>
      </c>
      <c r="D39" s="56">
        <v>3104</v>
      </c>
      <c r="E39" s="56">
        <v>6072</v>
      </c>
      <c r="F39" s="56">
        <v>2834</v>
      </c>
      <c r="G39" s="56">
        <v>14896</v>
      </c>
      <c r="H39" s="56">
        <v>2375</v>
      </c>
      <c r="I39" s="56">
        <v>2699</v>
      </c>
      <c r="J39" s="56">
        <v>1134</v>
      </c>
      <c r="K39" s="56">
        <v>3239</v>
      </c>
      <c r="L39" s="56">
        <v>5182</v>
      </c>
      <c r="M39" s="56">
        <v>5289</v>
      </c>
      <c r="N39" s="56">
        <v>8096</v>
      </c>
      <c r="O39" s="56">
        <v>6477</v>
      </c>
      <c r="P39" s="56">
        <v>9634</v>
      </c>
      <c r="Q39" s="56">
        <v>5505</v>
      </c>
      <c r="R39" s="56">
        <v>9310</v>
      </c>
      <c r="S39" s="56">
        <v>8420</v>
      </c>
      <c r="T39" s="72">
        <v>2699</v>
      </c>
      <c r="U39" s="10">
        <f t="shared" si="0"/>
        <v>110458</v>
      </c>
      <c r="V39" s="85">
        <v>3077</v>
      </c>
      <c r="W39" s="56">
        <v>5586</v>
      </c>
      <c r="X39" s="56">
        <v>2807</v>
      </c>
      <c r="Y39" s="56">
        <v>2159</v>
      </c>
      <c r="Z39" s="56">
        <v>3239</v>
      </c>
      <c r="AA39" s="56">
        <v>4318</v>
      </c>
      <c r="AB39" s="56">
        <v>3158</v>
      </c>
      <c r="AC39" s="9">
        <v>7178</v>
      </c>
      <c r="AD39" s="10">
        <f t="shared" si="1"/>
        <v>31522</v>
      </c>
      <c r="AE39" s="10">
        <v>7016</v>
      </c>
      <c r="AF39" s="10">
        <f t="shared" si="2"/>
        <v>7016</v>
      </c>
      <c r="AG39" s="10">
        <f t="shared" si="3"/>
        <v>148996</v>
      </c>
    </row>
    <row r="40" spans="1:33">
      <c r="A40" s="1" t="s">
        <v>1</v>
      </c>
      <c r="B40" s="6" t="s">
        <v>89</v>
      </c>
      <c r="C40" s="55">
        <v>13493</v>
      </c>
      <c r="D40" s="56">
        <v>3104</v>
      </c>
      <c r="E40" s="56">
        <v>6072</v>
      </c>
      <c r="F40" s="56">
        <v>2834</v>
      </c>
      <c r="G40" s="56">
        <v>14896</v>
      </c>
      <c r="H40" s="56">
        <v>2375</v>
      </c>
      <c r="I40" s="56">
        <v>2699</v>
      </c>
      <c r="J40" s="56">
        <v>1134</v>
      </c>
      <c r="K40" s="56">
        <v>3239</v>
      </c>
      <c r="L40" s="56">
        <v>5182</v>
      </c>
      <c r="M40" s="56">
        <v>5289</v>
      </c>
      <c r="N40" s="56">
        <v>8096</v>
      </c>
      <c r="O40" s="56">
        <v>6477</v>
      </c>
      <c r="P40" s="56">
        <v>9634</v>
      </c>
      <c r="Q40" s="56">
        <v>5505</v>
      </c>
      <c r="R40" s="56">
        <v>9310</v>
      </c>
      <c r="S40" s="56">
        <v>8420</v>
      </c>
      <c r="T40" s="72">
        <v>2699</v>
      </c>
      <c r="U40" s="10">
        <f t="shared" si="0"/>
        <v>110458</v>
      </c>
      <c r="V40" s="85">
        <v>3077</v>
      </c>
      <c r="W40" s="56">
        <v>5586</v>
      </c>
      <c r="X40" s="56">
        <v>2807</v>
      </c>
      <c r="Y40" s="56">
        <v>2159</v>
      </c>
      <c r="Z40" s="56">
        <v>3239</v>
      </c>
      <c r="AA40" s="56">
        <v>4318</v>
      </c>
      <c r="AB40" s="56">
        <v>3158</v>
      </c>
      <c r="AC40" s="9">
        <v>7178</v>
      </c>
      <c r="AD40" s="10">
        <f t="shared" si="1"/>
        <v>31522</v>
      </c>
      <c r="AE40" s="10">
        <v>7016</v>
      </c>
      <c r="AF40" s="10">
        <f t="shared" si="2"/>
        <v>7016</v>
      </c>
      <c r="AG40" s="10">
        <f t="shared" si="3"/>
        <v>148996</v>
      </c>
    </row>
    <row r="41" spans="1:33">
      <c r="A41" s="1" t="s">
        <v>1</v>
      </c>
      <c r="B41" s="15" t="s">
        <v>90</v>
      </c>
      <c r="C41" s="57">
        <v>299529</v>
      </c>
      <c r="D41" s="58">
        <v>296896</v>
      </c>
      <c r="E41" s="58">
        <v>317448</v>
      </c>
      <c r="F41" s="58">
        <v>396664</v>
      </c>
      <c r="G41" s="58">
        <v>362082</v>
      </c>
      <c r="H41" s="58">
        <v>392382</v>
      </c>
      <c r="I41" s="58">
        <v>306046</v>
      </c>
      <c r="J41" s="58">
        <v>303885</v>
      </c>
      <c r="K41" s="58">
        <v>318101</v>
      </c>
      <c r="L41" s="58">
        <v>334341</v>
      </c>
      <c r="M41" s="58">
        <v>349355</v>
      </c>
      <c r="N41" s="58">
        <v>295216</v>
      </c>
      <c r="O41" s="58">
        <v>377119</v>
      </c>
      <c r="P41" s="58">
        <v>283478</v>
      </c>
      <c r="Q41" s="58">
        <v>292851</v>
      </c>
      <c r="R41" s="58">
        <v>338342</v>
      </c>
      <c r="S41" s="58">
        <v>298494</v>
      </c>
      <c r="T41" s="73">
        <v>306745</v>
      </c>
      <c r="U41" s="19">
        <f t="shared" si="0"/>
        <v>5868974</v>
      </c>
      <c r="V41" s="86">
        <v>368077</v>
      </c>
      <c r="W41" s="58">
        <v>385024</v>
      </c>
      <c r="X41" s="58">
        <v>87087</v>
      </c>
      <c r="Y41" s="58">
        <v>106159</v>
      </c>
      <c r="Z41" s="58">
        <v>86499</v>
      </c>
      <c r="AA41" s="58">
        <v>86658</v>
      </c>
      <c r="AB41" s="58">
        <v>71468</v>
      </c>
      <c r="AC41" s="18">
        <v>100558</v>
      </c>
      <c r="AD41" s="19">
        <f t="shared" si="1"/>
        <v>1291530</v>
      </c>
      <c r="AE41" s="19">
        <v>392016</v>
      </c>
      <c r="AF41" s="19">
        <f t="shared" si="2"/>
        <v>392016</v>
      </c>
      <c r="AG41" s="19">
        <f t="shared" si="3"/>
        <v>7552520</v>
      </c>
    </row>
    <row r="42" spans="1:33">
      <c r="A42" s="1" t="s">
        <v>1</v>
      </c>
      <c r="B42" s="35" t="s">
        <v>91</v>
      </c>
      <c r="C42" s="50">
        <v>15300</v>
      </c>
      <c r="D42" s="51">
        <v>16320</v>
      </c>
      <c r="E42" s="51">
        <v>19380</v>
      </c>
      <c r="F42" s="51">
        <v>20910</v>
      </c>
      <c r="G42" s="51">
        <v>17340</v>
      </c>
      <c r="H42" s="51">
        <v>19380</v>
      </c>
      <c r="I42" s="51">
        <v>16320</v>
      </c>
      <c r="J42" s="51">
        <v>16320</v>
      </c>
      <c r="K42" s="51">
        <v>16320</v>
      </c>
      <c r="L42" s="51">
        <v>18360</v>
      </c>
      <c r="M42" s="51">
        <v>16320</v>
      </c>
      <c r="N42" s="51">
        <v>16320</v>
      </c>
      <c r="O42" s="51">
        <v>17340</v>
      </c>
      <c r="P42" s="51">
        <v>14280</v>
      </c>
      <c r="Q42" s="51">
        <v>14280</v>
      </c>
      <c r="R42" s="51">
        <v>16320</v>
      </c>
      <c r="S42" s="51">
        <v>14280</v>
      </c>
      <c r="T42" s="70">
        <v>15300</v>
      </c>
      <c r="U42" s="31">
        <f t="shared" si="0"/>
        <v>300390</v>
      </c>
      <c r="V42" s="83">
        <v>18360</v>
      </c>
      <c r="W42" s="51">
        <v>19380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30">
        <v>0</v>
      </c>
      <c r="AD42" s="31">
        <f t="shared" si="1"/>
        <v>37740</v>
      </c>
      <c r="AE42" s="31">
        <v>19380</v>
      </c>
      <c r="AF42" s="31">
        <f t="shared" si="2"/>
        <v>19380</v>
      </c>
      <c r="AG42" s="31">
        <f t="shared" si="3"/>
        <v>357510</v>
      </c>
    </row>
    <row r="43" spans="1:33">
      <c r="A43" s="1" t="s">
        <v>1</v>
      </c>
      <c r="B43" s="25" t="s">
        <v>92</v>
      </c>
      <c r="C43" s="52">
        <v>2700</v>
      </c>
      <c r="D43" s="53">
        <v>2880</v>
      </c>
      <c r="E43" s="53">
        <v>3420</v>
      </c>
      <c r="F43" s="53">
        <v>3690</v>
      </c>
      <c r="G43" s="53">
        <v>0</v>
      </c>
      <c r="H43" s="53">
        <v>3420</v>
      </c>
      <c r="I43" s="53">
        <v>2880</v>
      </c>
      <c r="J43" s="53">
        <v>2880</v>
      </c>
      <c r="K43" s="53">
        <v>2880</v>
      </c>
      <c r="L43" s="53">
        <v>3240</v>
      </c>
      <c r="M43" s="53">
        <v>2880</v>
      </c>
      <c r="N43" s="53">
        <v>2880</v>
      </c>
      <c r="O43" s="53">
        <v>3060</v>
      </c>
      <c r="P43" s="53">
        <v>2520</v>
      </c>
      <c r="Q43" s="53">
        <v>2520</v>
      </c>
      <c r="R43" s="53">
        <v>2880</v>
      </c>
      <c r="S43" s="53">
        <v>2520</v>
      </c>
      <c r="T43" s="71">
        <v>2700</v>
      </c>
      <c r="U43" s="33">
        <f t="shared" si="0"/>
        <v>49950</v>
      </c>
      <c r="V43" s="84">
        <v>3240</v>
      </c>
      <c r="W43" s="53">
        <v>3420</v>
      </c>
      <c r="X43" s="53">
        <v>0</v>
      </c>
      <c r="Y43" s="53">
        <v>0</v>
      </c>
      <c r="Z43" s="53">
        <v>0</v>
      </c>
      <c r="AA43" s="53">
        <v>0</v>
      </c>
      <c r="AB43" s="53">
        <v>0</v>
      </c>
      <c r="AC43" s="32">
        <v>0</v>
      </c>
      <c r="AD43" s="33">
        <f t="shared" si="1"/>
        <v>6660</v>
      </c>
      <c r="AE43" s="33">
        <v>3420</v>
      </c>
      <c r="AF43" s="33">
        <f t="shared" si="2"/>
        <v>3420</v>
      </c>
      <c r="AG43" s="33">
        <f t="shared" si="3"/>
        <v>60030</v>
      </c>
    </row>
    <row r="44" spans="1:33">
      <c r="A44" s="1" t="s">
        <v>1</v>
      </c>
      <c r="B44" s="25" t="s">
        <v>93</v>
      </c>
      <c r="C44" s="52">
        <v>27450</v>
      </c>
      <c r="D44" s="53">
        <v>29280</v>
      </c>
      <c r="E44" s="53">
        <v>34770</v>
      </c>
      <c r="F44" s="53">
        <v>37515</v>
      </c>
      <c r="G44" s="53">
        <v>31110</v>
      </c>
      <c r="H44" s="53">
        <v>34770</v>
      </c>
      <c r="I44" s="53">
        <v>29280</v>
      </c>
      <c r="J44" s="53">
        <v>29280</v>
      </c>
      <c r="K44" s="53">
        <v>29280</v>
      </c>
      <c r="L44" s="53">
        <v>32940</v>
      </c>
      <c r="M44" s="53">
        <v>29280</v>
      </c>
      <c r="N44" s="53">
        <v>29280</v>
      </c>
      <c r="O44" s="53">
        <v>31110</v>
      </c>
      <c r="P44" s="53">
        <v>25620</v>
      </c>
      <c r="Q44" s="53">
        <v>25620</v>
      </c>
      <c r="R44" s="53">
        <v>29280</v>
      </c>
      <c r="S44" s="53">
        <v>25620</v>
      </c>
      <c r="T44" s="71">
        <v>27450</v>
      </c>
      <c r="U44" s="33">
        <f t="shared" si="0"/>
        <v>538935</v>
      </c>
      <c r="V44" s="84">
        <v>32940</v>
      </c>
      <c r="W44" s="53">
        <v>34770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32">
        <v>0</v>
      </c>
      <c r="AD44" s="33">
        <f t="shared" si="1"/>
        <v>67710</v>
      </c>
      <c r="AE44" s="33">
        <v>34770</v>
      </c>
      <c r="AF44" s="33">
        <f t="shared" si="2"/>
        <v>34770</v>
      </c>
      <c r="AG44" s="33">
        <f t="shared" si="3"/>
        <v>641415</v>
      </c>
    </row>
    <row r="45" spans="1:33">
      <c r="A45" s="1" t="s">
        <v>1</v>
      </c>
      <c r="B45" s="6" t="s">
        <v>94</v>
      </c>
      <c r="C45" s="55">
        <v>1797</v>
      </c>
      <c r="D45" s="56">
        <v>1781</v>
      </c>
      <c r="E45" s="56">
        <v>1905</v>
      </c>
      <c r="F45" s="56">
        <v>2380</v>
      </c>
      <c r="G45" s="56">
        <v>2172</v>
      </c>
      <c r="H45" s="56">
        <v>2354</v>
      </c>
      <c r="I45" s="56">
        <v>1836</v>
      </c>
      <c r="J45" s="56">
        <v>1823</v>
      </c>
      <c r="K45" s="56">
        <v>1909</v>
      </c>
      <c r="L45" s="56">
        <v>2006</v>
      </c>
      <c r="M45" s="56">
        <v>2096</v>
      </c>
      <c r="N45" s="56">
        <v>1771</v>
      </c>
      <c r="O45" s="56">
        <v>2263</v>
      </c>
      <c r="P45" s="56">
        <v>1701</v>
      </c>
      <c r="Q45" s="56">
        <v>1757</v>
      </c>
      <c r="R45" s="56">
        <v>2030</v>
      </c>
      <c r="S45" s="56">
        <v>1791</v>
      </c>
      <c r="T45" s="72">
        <v>1840</v>
      </c>
      <c r="U45" s="10">
        <f t="shared" si="0"/>
        <v>35212</v>
      </c>
      <c r="V45" s="85">
        <v>2208</v>
      </c>
      <c r="W45" s="56">
        <v>2310</v>
      </c>
      <c r="X45" s="56">
        <v>523</v>
      </c>
      <c r="Y45" s="56">
        <v>637</v>
      </c>
      <c r="Z45" s="56">
        <v>0</v>
      </c>
      <c r="AA45" s="56">
        <v>0</v>
      </c>
      <c r="AB45" s="56">
        <v>0</v>
      </c>
      <c r="AC45" s="9">
        <v>603</v>
      </c>
      <c r="AD45" s="10">
        <f t="shared" si="1"/>
        <v>6281</v>
      </c>
      <c r="AE45" s="10">
        <v>2352</v>
      </c>
      <c r="AF45" s="10">
        <f t="shared" si="2"/>
        <v>2352</v>
      </c>
      <c r="AG45" s="10">
        <f t="shared" si="3"/>
        <v>43845</v>
      </c>
    </row>
    <row r="46" spans="1:33">
      <c r="A46" s="1" t="s">
        <v>1</v>
      </c>
      <c r="B46" s="15" t="s">
        <v>95</v>
      </c>
      <c r="C46" s="57">
        <v>47247</v>
      </c>
      <c r="D46" s="58">
        <v>50261</v>
      </c>
      <c r="E46" s="58">
        <v>59475</v>
      </c>
      <c r="F46" s="58">
        <v>64495</v>
      </c>
      <c r="G46" s="58">
        <v>50622</v>
      </c>
      <c r="H46" s="58">
        <v>59924</v>
      </c>
      <c r="I46" s="58">
        <v>50316</v>
      </c>
      <c r="J46" s="58">
        <v>50303</v>
      </c>
      <c r="K46" s="58">
        <v>50389</v>
      </c>
      <c r="L46" s="58">
        <v>56546</v>
      </c>
      <c r="M46" s="58">
        <v>50576</v>
      </c>
      <c r="N46" s="58">
        <v>50251</v>
      </c>
      <c r="O46" s="58">
        <v>53773</v>
      </c>
      <c r="P46" s="58">
        <v>44121</v>
      </c>
      <c r="Q46" s="58">
        <v>44177</v>
      </c>
      <c r="R46" s="58">
        <v>50510</v>
      </c>
      <c r="S46" s="58">
        <v>44211</v>
      </c>
      <c r="T46" s="73">
        <v>47290</v>
      </c>
      <c r="U46" s="19">
        <f t="shared" si="0"/>
        <v>924487</v>
      </c>
      <c r="V46" s="86">
        <v>56748</v>
      </c>
      <c r="W46" s="58">
        <v>59880</v>
      </c>
      <c r="X46" s="58">
        <v>523</v>
      </c>
      <c r="Y46" s="58">
        <v>637</v>
      </c>
      <c r="Z46" s="58">
        <v>0</v>
      </c>
      <c r="AA46" s="58">
        <v>0</v>
      </c>
      <c r="AB46" s="58">
        <v>0</v>
      </c>
      <c r="AC46" s="18">
        <v>603</v>
      </c>
      <c r="AD46" s="19">
        <f t="shared" si="1"/>
        <v>118391</v>
      </c>
      <c r="AE46" s="19">
        <v>59922</v>
      </c>
      <c r="AF46" s="19">
        <f t="shared" si="2"/>
        <v>59922</v>
      </c>
      <c r="AG46" s="19">
        <f t="shared" si="3"/>
        <v>1102800</v>
      </c>
    </row>
    <row r="47" spans="1:33">
      <c r="A47" s="1" t="s">
        <v>1</v>
      </c>
      <c r="B47" s="35" t="s">
        <v>96</v>
      </c>
      <c r="C47" s="50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70">
        <v>0</v>
      </c>
      <c r="U47" s="31">
        <f t="shared" si="0"/>
        <v>0</v>
      </c>
      <c r="V47" s="83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30">
        <v>0</v>
      </c>
      <c r="AD47" s="31">
        <f t="shared" si="1"/>
        <v>0</v>
      </c>
      <c r="AE47" s="31">
        <v>10430</v>
      </c>
      <c r="AF47" s="31">
        <f t="shared" si="2"/>
        <v>10430</v>
      </c>
      <c r="AG47" s="31">
        <f t="shared" si="3"/>
        <v>10430</v>
      </c>
    </row>
    <row r="48" spans="1:33">
      <c r="A48" s="1" t="s">
        <v>1</v>
      </c>
      <c r="B48" s="25" t="s">
        <v>97</v>
      </c>
      <c r="C48" s="52">
        <v>1300</v>
      </c>
      <c r="D48" s="53">
        <v>1300</v>
      </c>
      <c r="E48" s="53">
        <v>1300</v>
      </c>
      <c r="F48" s="53">
        <v>0</v>
      </c>
      <c r="G48" s="53">
        <v>1300</v>
      </c>
      <c r="H48" s="53">
        <v>1300</v>
      </c>
      <c r="I48" s="53">
        <v>1300</v>
      </c>
      <c r="J48" s="53">
        <v>1300</v>
      </c>
      <c r="K48" s="53">
        <v>1300</v>
      </c>
      <c r="L48" s="53">
        <v>1300</v>
      </c>
      <c r="M48" s="53">
        <v>0</v>
      </c>
      <c r="N48" s="53">
        <v>1300</v>
      </c>
      <c r="O48" s="53">
        <v>1300</v>
      </c>
      <c r="P48" s="53">
        <v>1300</v>
      </c>
      <c r="Q48" s="53">
        <v>1300</v>
      </c>
      <c r="R48" s="53">
        <v>1300</v>
      </c>
      <c r="S48" s="53">
        <v>1300</v>
      </c>
      <c r="T48" s="71">
        <v>0</v>
      </c>
      <c r="U48" s="33">
        <f t="shared" si="0"/>
        <v>19500</v>
      </c>
      <c r="V48" s="84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  <c r="AC48" s="32">
        <v>0</v>
      </c>
      <c r="AD48" s="33">
        <f t="shared" si="1"/>
        <v>0</v>
      </c>
      <c r="AE48" s="33">
        <v>0</v>
      </c>
      <c r="AF48" s="33">
        <f t="shared" si="2"/>
        <v>0</v>
      </c>
      <c r="AG48" s="33">
        <f t="shared" si="3"/>
        <v>19500</v>
      </c>
    </row>
    <row r="49" spans="1:33">
      <c r="A49" s="1" t="s">
        <v>1</v>
      </c>
      <c r="B49" s="6" t="s">
        <v>98</v>
      </c>
      <c r="C49" s="55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72">
        <v>0</v>
      </c>
      <c r="U49" s="10">
        <f t="shared" si="0"/>
        <v>0</v>
      </c>
      <c r="V49" s="85">
        <v>0</v>
      </c>
      <c r="W49" s="56">
        <v>0</v>
      </c>
      <c r="X49" s="56">
        <v>0</v>
      </c>
      <c r="Y49" s="56">
        <v>0</v>
      </c>
      <c r="Z49" s="56">
        <v>6000</v>
      </c>
      <c r="AA49" s="56">
        <v>6000</v>
      </c>
      <c r="AB49" s="56">
        <v>0</v>
      </c>
      <c r="AC49" s="9">
        <v>0</v>
      </c>
      <c r="AD49" s="10">
        <f t="shared" si="1"/>
        <v>12000</v>
      </c>
      <c r="AE49" s="10">
        <v>0</v>
      </c>
      <c r="AF49" s="10">
        <f t="shared" si="2"/>
        <v>0</v>
      </c>
      <c r="AG49" s="10">
        <f t="shared" si="3"/>
        <v>12000</v>
      </c>
    </row>
    <row r="50" spans="1:33">
      <c r="A50" s="1" t="s">
        <v>1</v>
      </c>
      <c r="B50" s="15" t="s">
        <v>99</v>
      </c>
      <c r="C50" s="57">
        <v>48547</v>
      </c>
      <c r="D50" s="58">
        <v>51561</v>
      </c>
      <c r="E50" s="58">
        <v>60775</v>
      </c>
      <c r="F50" s="58">
        <v>64495</v>
      </c>
      <c r="G50" s="58">
        <v>51922</v>
      </c>
      <c r="H50" s="58">
        <v>61224</v>
      </c>
      <c r="I50" s="58">
        <v>51616</v>
      </c>
      <c r="J50" s="58">
        <v>51603</v>
      </c>
      <c r="K50" s="58">
        <v>51689</v>
      </c>
      <c r="L50" s="58">
        <v>57846</v>
      </c>
      <c r="M50" s="58">
        <v>50576</v>
      </c>
      <c r="N50" s="58">
        <v>51551</v>
      </c>
      <c r="O50" s="58">
        <v>55073</v>
      </c>
      <c r="P50" s="58">
        <v>45421</v>
      </c>
      <c r="Q50" s="58">
        <v>45477</v>
      </c>
      <c r="R50" s="58">
        <v>51810</v>
      </c>
      <c r="S50" s="58">
        <v>45511</v>
      </c>
      <c r="T50" s="73">
        <v>47290</v>
      </c>
      <c r="U50" s="19">
        <f t="shared" si="0"/>
        <v>943987</v>
      </c>
      <c r="V50" s="86">
        <v>56748</v>
      </c>
      <c r="W50" s="58">
        <v>59880</v>
      </c>
      <c r="X50" s="58">
        <v>523</v>
      </c>
      <c r="Y50" s="58">
        <v>637</v>
      </c>
      <c r="Z50" s="58">
        <v>6000</v>
      </c>
      <c r="AA50" s="58">
        <v>6000</v>
      </c>
      <c r="AB50" s="58">
        <v>0</v>
      </c>
      <c r="AC50" s="18">
        <v>603</v>
      </c>
      <c r="AD50" s="19">
        <f t="shared" si="1"/>
        <v>130391</v>
      </c>
      <c r="AE50" s="19">
        <v>70352</v>
      </c>
      <c r="AF50" s="19">
        <f t="shared" si="2"/>
        <v>70352</v>
      </c>
      <c r="AG50" s="19">
        <f t="shared" si="3"/>
        <v>1144730</v>
      </c>
    </row>
    <row r="51" spans="1:33">
      <c r="A51" s="1" t="s">
        <v>1</v>
      </c>
      <c r="B51" s="15" t="s">
        <v>100</v>
      </c>
      <c r="C51" s="57">
        <v>238789</v>
      </c>
      <c r="D51" s="58">
        <v>243531</v>
      </c>
      <c r="E51" s="58">
        <v>251901</v>
      </c>
      <c r="F51" s="58">
        <v>329335</v>
      </c>
      <c r="G51" s="58">
        <v>296564</v>
      </c>
      <c r="H51" s="58">
        <v>330083</v>
      </c>
      <c r="I51" s="58">
        <v>253031</v>
      </c>
      <c r="J51" s="58">
        <v>252448</v>
      </c>
      <c r="K51" s="58">
        <v>264473</v>
      </c>
      <c r="L51" s="58">
        <v>272613</v>
      </c>
      <c r="M51" s="58">
        <v>293490</v>
      </c>
      <c r="N51" s="58">
        <v>236869</v>
      </c>
      <c r="O51" s="58">
        <v>316869</v>
      </c>
      <c r="P51" s="58">
        <v>229723</v>
      </c>
      <c r="Q51" s="58">
        <v>243169</v>
      </c>
      <c r="R51" s="58">
        <v>278522</v>
      </c>
      <c r="S51" s="58">
        <v>245863</v>
      </c>
      <c r="T51" s="73">
        <v>256756</v>
      </c>
      <c r="U51" s="19">
        <f t="shared" si="0"/>
        <v>4834029</v>
      </c>
      <c r="V51" s="86">
        <v>308252</v>
      </c>
      <c r="W51" s="58">
        <v>319558</v>
      </c>
      <c r="X51" s="58">
        <v>83757</v>
      </c>
      <c r="Y51" s="58">
        <v>103363</v>
      </c>
      <c r="Z51" s="58">
        <v>83260</v>
      </c>
      <c r="AA51" s="58">
        <v>82340</v>
      </c>
      <c r="AB51" s="58">
        <v>68310</v>
      </c>
      <c r="AC51" s="18">
        <v>92777</v>
      </c>
      <c r="AD51" s="19">
        <f t="shared" si="1"/>
        <v>1141617</v>
      </c>
      <c r="AE51" s="19">
        <v>325078</v>
      </c>
      <c r="AF51" s="19">
        <f t="shared" si="2"/>
        <v>325078</v>
      </c>
      <c r="AG51" s="19">
        <f t="shared" si="3"/>
        <v>6300724</v>
      </c>
    </row>
    <row r="52" spans="1:33">
      <c r="A52" s="1" t="s">
        <v>1</v>
      </c>
      <c r="B52" s="15" t="s">
        <v>101</v>
      </c>
      <c r="C52" s="57">
        <v>250982</v>
      </c>
      <c r="D52" s="58">
        <v>245335</v>
      </c>
      <c r="E52" s="58">
        <v>256673</v>
      </c>
      <c r="F52" s="58">
        <v>332169</v>
      </c>
      <c r="G52" s="58">
        <v>310160</v>
      </c>
      <c r="H52" s="58">
        <v>331158</v>
      </c>
      <c r="I52" s="58">
        <v>254430</v>
      </c>
      <c r="J52" s="58">
        <v>252282</v>
      </c>
      <c r="K52" s="58">
        <v>266412</v>
      </c>
      <c r="L52" s="58">
        <v>276495</v>
      </c>
      <c r="M52" s="58">
        <v>298779</v>
      </c>
      <c r="N52" s="58">
        <v>243665</v>
      </c>
      <c r="O52" s="58">
        <v>322046</v>
      </c>
      <c r="P52" s="58">
        <v>238057</v>
      </c>
      <c r="Q52" s="58">
        <v>247374</v>
      </c>
      <c r="R52" s="58">
        <v>286532</v>
      </c>
      <c r="S52" s="58">
        <v>252983</v>
      </c>
      <c r="T52" s="73">
        <v>259455</v>
      </c>
      <c r="U52" s="19">
        <f t="shared" si="0"/>
        <v>4924987</v>
      </c>
      <c r="V52" s="86">
        <v>311329</v>
      </c>
      <c r="W52" s="58">
        <v>325144</v>
      </c>
      <c r="X52" s="58">
        <v>86564</v>
      </c>
      <c r="Y52" s="58">
        <v>105522</v>
      </c>
      <c r="Z52" s="58">
        <v>80499</v>
      </c>
      <c r="AA52" s="58">
        <v>80658</v>
      </c>
      <c r="AB52" s="58">
        <v>71468</v>
      </c>
      <c r="AC52" s="18">
        <v>99955</v>
      </c>
      <c r="AD52" s="19">
        <f t="shared" si="1"/>
        <v>1161139</v>
      </c>
      <c r="AE52" s="19">
        <v>321664</v>
      </c>
      <c r="AF52" s="19">
        <f t="shared" si="2"/>
        <v>321664</v>
      </c>
      <c r="AG52" s="19">
        <f t="shared" si="3"/>
        <v>6407790</v>
      </c>
    </row>
    <row r="53" spans="1:33">
      <c r="A53" s="1" t="s">
        <v>1</v>
      </c>
      <c r="B53" s="15" t="s">
        <v>102</v>
      </c>
      <c r="C53" s="57">
        <v>250982</v>
      </c>
      <c r="D53" s="58">
        <v>245335</v>
      </c>
      <c r="E53" s="58">
        <v>256673</v>
      </c>
      <c r="F53" s="58">
        <v>332169</v>
      </c>
      <c r="G53" s="58">
        <v>310160</v>
      </c>
      <c r="H53" s="58">
        <v>331158</v>
      </c>
      <c r="I53" s="58">
        <v>254430</v>
      </c>
      <c r="J53" s="58">
        <v>252282</v>
      </c>
      <c r="K53" s="58">
        <v>266412</v>
      </c>
      <c r="L53" s="58">
        <v>276495</v>
      </c>
      <c r="M53" s="58">
        <v>298779</v>
      </c>
      <c r="N53" s="58">
        <v>243665</v>
      </c>
      <c r="O53" s="58">
        <v>322046</v>
      </c>
      <c r="P53" s="58">
        <v>238057</v>
      </c>
      <c r="Q53" s="58">
        <v>247374</v>
      </c>
      <c r="R53" s="58">
        <v>286532</v>
      </c>
      <c r="S53" s="58">
        <v>252983</v>
      </c>
      <c r="T53" s="73">
        <v>259455</v>
      </c>
      <c r="U53" s="19">
        <f t="shared" si="0"/>
        <v>4924987</v>
      </c>
      <c r="V53" s="86">
        <v>311329</v>
      </c>
      <c r="W53" s="58">
        <v>325144</v>
      </c>
      <c r="X53" s="58">
        <v>86564</v>
      </c>
      <c r="Y53" s="58">
        <v>105522</v>
      </c>
      <c r="Z53" s="58">
        <v>80499</v>
      </c>
      <c r="AA53" s="58">
        <v>80658</v>
      </c>
      <c r="AB53" s="58">
        <v>71468</v>
      </c>
      <c r="AC53" s="18">
        <v>99955</v>
      </c>
      <c r="AD53" s="19">
        <f t="shared" si="1"/>
        <v>1161139</v>
      </c>
      <c r="AE53" s="19">
        <v>321664</v>
      </c>
      <c r="AF53" s="19">
        <f t="shared" si="2"/>
        <v>321664</v>
      </c>
      <c r="AG53" s="19">
        <f t="shared" si="3"/>
        <v>6407790</v>
      </c>
    </row>
    <row r="54" spans="1:33">
      <c r="A54" s="1" t="s">
        <v>1</v>
      </c>
      <c r="B54" s="15" t="s">
        <v>103</v>
      </c>
      <c r="C54" s="57">
        <v>1</v>
      </c>
      <c r="D54" s="58">
        <v>0</v>
      </c>
      <c r="E54" s="58">
        <v>1</v>
      </c>
      <c r="F54" s="58">
        <v>0</v>
      </c>
      <c r="G54" s="58">
        <v>1</v>
      </c>
      <c r="H54" s="58">
        <v>0</v>
      </c>
      <c r="I54" s="58">
        <v>0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4</v>
      </c>
      <c r="P54" s="58">
        <v>0</v>
      </c>
      <c r="Q54" s="58">
        <v>0</v>
      </c>
      <c r="R54" s="58">
        <v>1</v>
      </c>
      <c r="S54" s="58">
        <v>0</v>
      </c>
      <c r="T54" s="73">
        <v>0</v>
      </c>
      <c r="U54" s="19"/>
      <c r="V54" s="86">
        <v>0</v>
      </c>
      <c r="W54" s="58">
        <v>1</v>
      </c>
      <c r="X54" s="58">
        <v>0</v>
      </c>
      <c r="Y54" s="58">
        <v>0</v>
      </c>
      <c r="Z54" s="58">
        <v>1</v>
      </c>
      <c r="AA54" s="58">
        <v>1</v>
      </c>
      <c r="AB54" s="58">
        <v>1</v>
      </c>
      <c r="AC54" s="18">
        <v>1</v>
      </c>
      <c r="AD54" s="19"/>
      <c r="AE54" s="19">
        <v>0</v>
      </c>
      <c r="AF54" s="19"/>
      <c r="AG54" s="19"/>
    </row>
    <row r="55" spans="1:33">
      <c r="A55" s="1" t="s">
        <v>1</v>
      </c>
      <c r="B55" s="15" t="s">
        <v>104</v>
      </c>
      <c r="C55" s="59" t="s">
        <v>105</v>
      </c>
      <c r="D55" s="60" t="s">
        <v>105</v>
      </c>
      <c r="E55" s="60" t="s">
        <v>105</v>
      </c>
      <c r="F55" s="60" t="s">
        <v>105</v>
      </c>
      <c r="G55" s="60" t="s">
        <v>105</v>
      </c>
      <c r="H55" s="60" t="s">
        <v>105</v>
      </c>
      <c r="I55" s="60" t="s">
        <v>105</v>
      </c>
      <c r="J55" s="60" t="s">
        <v>105</v>
      </c>
      <c r="K55" s="60" t="s">
        <v>105</v>
      </c>
      <c r="L55" s="60" t="s">
        <v>105</v>
      </c>
      <c r="M55" s="60" t="s">
        <v>105</v>
      </c>
      <c r="N55" s="60" t="s">
        <v>105</v>
      </c>
      <c r="O55" s="60" t="s">
        <v>105</v>
      </c>
      <c r="P55" s="60" t="s">
        <v>105</v>
      </c>
      <c r="Q55" s="60" t="s">
        <v>105</v>
      </c>
      <c r="R55" s="60" t="s">
        <v>105</v>
      </c>
      <c r="S55" s="60" t="s">
        <v>105</v>
      </c>
      <c r="T55" s="74" t="s">
        <v>105</v>
      </c>
      <c r="U55" s="21"/>
      <c r="V55" s="87" t="s">
        <v>105</v>
      </c>
      <c r="W55" s="60" t="s">
        <v>105</v>
      </c>
      <c r="X55" s="60" t="s">
        <v>105</v>
      </c>
      <c r="Y55" s="60" t="s">
        <v>105</v>
      </c>
      <c r="Z55" s="60" t="s">
        <v>105</v>
      </c>
      <c r="AA55" s="60" t="s">
        <v>105</v>
      </c>
      <c r="AB55" s="60" t="s">
        <v>105</v>
      </c>
      <c r="AC55" s="20" t="s">
        <v>105</v>
      </c>
      <c r="AD55" s="21"/>
      <c r="AE55" s="21" t="s">
        <v>105</v>
      </c>
      <c r="AF55" s="21"/>
      <c r="AG55" s="21"/>
    </row>
    <row r="56" spans="1:33">
      <c r="A56" s="1" t="s">
        <v>1</v>
      </c>
      <c r="B56" s="15" t="s">
        <v>106</v>
      </c>
      <c r="C56" s="57">
        <v>4530</v>
      </c>
      <c r="D56" s="58">
        <v>6320</v>
      </c>
      <c r="E56" s="58">
        <v>5000</v>
      </c>
      <c r="F56" s="58">
        <v>10780</v>
      </c>
      <c r="G56" s="58">
        <v>6600</v>
      </c>
      <c r="H56" s="58">
        <v>10840</v>
      </c>
      <c r="I56" s="58">
        <v>6660</v>
      </c>
      <c r="J56" s="58">
        <v>5020</v>
      </c>
      <c r="K56" s="58">
        <v>7070</v>
      </c>
      <c r="L56" s="58">
        <v>7360</v>
      </c>
      <c r="M56" s="58">
        <v>8110</v>
      </c>
      <c r="N56" s="58">
        <v>6080</v>
      </c>
      <c r="O56" s="58">
        <v>2560</v>
      </c>
      <c r="P56" s="58">
        <v>5830</v>
      </c>
      <c r="Q56" s="58">
        <v>6310</v>
      </c>
      <c r="R56" s="58">
        <v>5950</v>
      </c>
      <c r="S56" s="58">
        <v>6400</v>
      </c>
      <c r="T56" s="73">
        <v>6790</v>
      </c>
      <c r="U56" s="19">
        <f t="shared" si="0"/>
        <v>118210</v>
      </c>
      <c r="V56" s="86">
        <v>9050</v>
      </c>
      <c r="W56" s="58">
        <v>7520</v>
      </c>
      <c r="X56" s="58">
        <v>0</v>
      </c>
      <c r="Y56" s="58">
        <v>890</v>
      </c>
      <c r="Z56" s="58">
        <v>0</v>
      </c>
      <c r="AA56" s="58">
        <v>0</v>
      </c>
      <c r="AB56" s="58">
        <v>0</v>
      </c>
      <c r="AC56" s="18">
        <v>0</v>
      </c>
      <c r="AD56" s="19">
        <f t="shared" si="1"/>
        <v>17460</v>
      </c>
      <c r="AE56" s="19">
        <v>10430</v>
      </c>
      <c r="AF56" s="19">
        <f t="shared" si="2"/>
        <v>10430</v>
      </c>
      <c r="AG56" s="19">
        <f t="shared" si="3"/>
        <v>146100</v>
      </c>
    </row>
    <row r="57" spans="1:33">
      <c r="A57" s="1" t="s">
        <v>1</v>
      </c>
      <c r="B57" s="15" t="s">
        <v>107</v>
      </c>
      <c r="C57" s="57">
        <v>4530</v>
      </c>
      <c r="D57" s="58">
        <v>6320</v>
      </c>
      <c r="E57" s="58">
        <v>5000</v>
      </c>
      <c r="F57" s="58">
        <v>10780</v>
      </c>
      <c r="G57" s="58">
        <v>6600</v>
      </c>
      <c r="H57" s="58">
        <v>10840</v>
      </c>
      <c r="I57" s="58">
        <v>6660</v>
      </c>
      <c r="J57" s="58">
        <v>5020</v>
      </c>
      <c r="K57" s="58">
        <v>7070</v>
      </c>
      <c r="L57" s="58">
        <v>7360</v>
      </c>
      <c r="M57" s="58">
        <v>8110</v>
      </c>
      <c r="N57" s="58">
        <v>6080</v>
      </c>
      <c r="O57" s="58">
        <v>2560</v>
      </c>
      <c r="P57" s="58">
        <v>5830</v>
      </c>
      <c r="Q57" s="58">
        <v>6310</v>
      </c>
      <c r="R57" s="58">
        <v>5950</v>
      </c>
      <c r="S57" s="58">
        <v>6400</v>
      </c>
      <c r="T57" s="73">
        <v>6790</v>
      </c>
      <c r="U57" s="19">
        <f t="shared" si="0"/>
        <v>118210</v>
      </c>
      <c r="V57" s="86">
        <v>9050</v>
      </c>
      <c r="W57" s="58">
        <v>7520</v>
      </c>
      <c r="X57" s="58">
        <v>0</v>
      </c>
      <c r="Y57" s="58">
        <v>890</v>
      </c>
      <c r="Z57" s="58">
        <v>0</v>
      </c>
      <c r="AA57" s="58">
        <v>0</v>
      </c>
      <c r="AB57" s="58">
        <v>0</v>
      </c>
      <c r="AC57" s="18">
        <v>0</v>
      </c>
      <c r="AD57" s="19">
        <f t="shared" si="1"/>
        <v>17460</v>
      </c>
      <c r="AE57" s="19">
        <v>0</v>
      </c>
      <c r="AF57" s="19">
        <f t="shared" si="2"/>
        <v>0</v>
      </c>
      <c r="AG57" s="19">
        <f t="shared" si="3"/>
        <v>135670</v>
      </c>
    </row>
    <row r="58" spans="1:33" ht="19.5" thickBot="1">
      <c r="A58" s="1" t="s">
        <v>1</v>
      </c>
      <c r="B58" s="11" t="s">
        <v>108</v>
      </c>
      <c r="C58" s="61">
        <v>60000</v>
      </c>
      <c r="D58" s="62">
        <v>30000</v>
      </c>
      <c r="E58" s="62">
        <v>60000</v>
      </c>
      <c r="F58" s="62">
        <v>30000</v>
      </c>
      <c r="G58" s="62">
        <v>30000</v>
      </c>
      <c r="H58" s="62">
        <v>30000</v>
      </c>
      <c r="I58" s="62">
        <v>30000</v>
      </c>
      <c r="J58" s="62">
        <v>60000</v>
      </c>
      <c r="K58" s="62">
        <v>30000</v>
      </c>
      <c r="L58" s="62">
        <v>30000</v>
      </c>
      <c r="M58" s="62">
        <v>30000</v>
      </c>
      <c r="N58" s="62">
        <v>30000</v>
      </c>
      <c r="O58" s="62">
        <v>150000</v>
      </c>
      <c r="P58" s="62">
        <v>30000</v>
      </c>
      <c r="Q58" s="62">
        <v>30000</v>
      </c>
      <c r="R58" s="62">
        <v>60000</v>
      </c>
      <c r="S58" s="62">
        <v>30000</v>
      </c>
      <c r="T58" s="75">
        <v>30000</v>
      </c>
      <c r="U58" s="13"/>
      <c r="V58" s="88">
        <v>90000</v>
      </c>
      <c r="W58" s="62">
        <v>60000</v>
      </c>
      <c r="X58" s="62">
        <v>0</v>
      </c>
      <c r="Y58" s="62">
        <v>30000</v>
      </c>
      <c r="Z58" s="62">
        <v>60000</v>
      </c>
      <c r="AA58" s="62">
        <v>60000</v>
      </c>
      <c r="AB58" s="62">
        <v>60000</v>
      </c>
      <c r="AC58" s="12">
        <v>60000</v>
      </c>
      <c r="AD58" s="13"/>
      <c r="AE58" s="13">
        <v>30000</v>
      </c>
      <c r="AF58" s="13"/>
      <c r="AG58" s="13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C93A-5CE2-448C-B2EA-4233EFAA2566}">
  <sheetPr>
    <pageSetUpPr fitToPage="1"/>
  </sheetPr>
  <dimension ref="A1:N58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0.875" style="2" customWidth="1"/>
    <col min="15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109</v>
      </c>
    </row>
    <row r="3" spans="1:14">
      <c r="B3" s="14"/>
      <c r="C3" s="76" t="s">
        <v>16</v>
      </c>
      <c r="D3" s="37" t="s">
        <v>4</v>
      </c>
      <c r="E3" s="37" t="s">
        <v>25</v>
      </c>
      <c r="F3" s="37" t="s">
        <v>26</v>
      </c>
      <c r="G3" s="37" t="s">
        <v>23</v>
      </c>
      <c r="H3" s="37" t="s">
        <v>24</v>
      </c>
      <c r="I3" s="37" t="s">
        <v>27</v>
      </c>
      <c r="J3" s="4" t="s">
        <v>28</v>
      </c>
      <c r="K3" s="89" t="s">
        <v>111</v>
      </c>
      <c r="L3" s="91" t="s">
        <v>5</v>
      </c>
      <c r="M3" s="89" t="s">
        <v>111</v>
      </c>
      <c r="N3" s="92" t="s">
        <v>56</v>
      </c>
    </row>
    <row r="4" spans="1:14" ht="19.5" thickBot="1">
      <c r="B4" s="5" t="s">
        <v>29</v>
      </c>
      <c r="C4" s="77" t="s">
        <v>43</v>
      </c>
      <c r="D4" s="39" t="s">
        <v>110</v>
      </c>
      <c r="E4" s="39" t="s">
        <v>52</v>
      </c>
      <c r="F4" s="39" t="s">
        <v>53</v>
      </c>
      <c r="G4" s="39" t="s">
        <v>50</v>
      </c>
      <c r="H4" s="39" t="s">
        <v>51</v>
      </c>
      <c r="I4" s="39" t="s">
        <v>54</v>
      </c>
      <c r="J4" s="3" t="s">
        <v>55</v>
      </c>
      <c r="K4" s="90" t="s">
        <v>113</v>
      </c>
      <c r="L4" s="90" t="s">
        <v>32</v>
      </c>
      <c r="M4" s="90" t="s">
        <v>114</v>
      </c>
      <c r="N4" s="5" t="s">
        <v>115</v>
      </c>
    </row>
    <row r="5" spans="1:14">
      <c r="A5" s="1" t="s">
        <v>1</v>
      </c>
      <c r="B5" s="22" t="s">
        <v>57</v>
      </c>
      <c r="C5" s="78">
        <v>18</v>
      </c>
      <c r="D5" s="41">
        <v>20</v>
      </c>
      <c r="E5" s="41">
        <v>13</v>
      </c>
      <c r="F5" s="41">
        <v>16</v>
      </c>
      <c r="G5" s="41">
        <v>10</v>
      </c>
      <c r="H5" s="41">
        <v>10</v>
      </c>
      <c r="I5" s="41">
        <v>9</v>
      </c>
      <c r="J5" s="23">
        <v>19</v>
      </c>
      <c r="K5" s="24">
        <f>SUM(C5:J5)</f>
        <v>115</v>
      </c>
      <c r="L5" s="24">
        <v>20</v>
      </c>
      <c r="M5" s="24">
        <f>SUM(L5)</f>
        <v>20</v>
      </c>
      <c r="N5" s="24">
        <v>456</v>
      </c>
    </row>
    <row r="6" spans="1:14">
      <c r="A6" s="1" t="s">
        <v>1</v>
      </c>
      <c r="B6" s="25" t="s">
        <v>58</v>
      </c>
      <c r="C6" s="79">
        <v>0</v>
      </c>
      <c r="D6" s="43">
        <v>3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26">
        <v>0</v>
      </c>
      <c r="K6" s="27">
        <f t="shared" ref="K6:K57" si="0">SUM(C6:J6)</f>
        <v>3</v>
      </c>
      <c r="L6" s="27">
        <v>0</v>
      </c>
      <c r="M6" s="27">
        <f t="shared" ref="M6:M57" si="1">SUM(L6)</f>
        <v>0</v>
      </c>
      <c r="N6" s="27">
        <v>66</v>
      </c>
    </row>
    <row r="7" spans="1:14">
      <c r="A7" s="1" t="s">
        <v>1</v>
      </c>
      <c r="B7" s="25" t="s">
        <v>59</v>
      </c>
      <c r="C7" s="79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26">
        <v>0</v>
      </c>
      <c r="K7" s="27">
        <f t="shared" si="0"/>
        <v>0</v>
      </c>
      <c r="L7" s="27">
        <v>0</v>
      </c>
      <c r="M7" s="27">
        <f t="shared" si="1"/>
        <v>0</v>
      </c>
      <c r="N7" s="27">
        <v>27</v>
      </c>
    </row>
    <row r="8" spans="1:14">
      <c r="A8" s="1" t="s">
        <v>1</v>
      </c>
      <c r="B8" s="25" t="s">
        <v>60</v>
      </c>
      <c r="C8" s="79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26">
        <v>0</v>
      </c>
      <c r="K8" s="27">
        <f t="shared" si="0"/>
        <v>0</v>
      </c>
      <c r="L8" s="27">
        <v>0</v>
      </c>
      <c r="M8" s="27">
        <f t="shared" si="1"/>
        <v>0</v>
      </c>
      <c r="N8" s="27">
        <v>4</v>
      </c>
    </row>
    <row r="9" spans="1:14">
      <c r="A9" s="1" t="s">
        <v>1</v>
      </c>
      <c r="B9" s="25" t="s">
        <v>61</v>
      </c>
      <c r="C9" s="79">
        <v>2</v>
      </c>
      <c r="D9" s="43">
        <v>0</v>
      </c>
      <c r="E9" s="43">
        <v>1</v>
      </c>
      <c r="F9" s="43">
        <v>1</v>
      </c>
      <c r="G9" s="43">
        <v>1</v>
      </c>
      <c r="H9" s="43">
        <v>1</v>
      </c>
      <c r="I9" s="43">
        <v>0</v>
      </c>
      <c r="J9" s="26">
        <v>0</v>
      </c>
      <c r="K9" s="27">
        <f t="shared" si="0"/>
        <v>6</v>
      </c>
      <c r="L9" s="27">
        <v>0</v>
      </c>
      <c r="M9" s="27">
        <f t="shared" si="1"/>
        <v>0</v>
      </c>
      <c r="N9" s="27">
        <v>38</v>
      </c>
    </row>
    <row r="10" spans="1:14">
      <c r="A10" s="1" t="s">
        <v>1</v>
      </c>
      <c r="B10" s="25" t="s">
        <v>62</v>
      </c>
      <c r="C10" s="79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26">
        <v>0</v>
      </c>
      <c r="K10" s="27">
        <f t="shared" si="0"/>
        <v>0</v>
      </c>
      <c r="L10" s="27">
        <v>0</v>
      </c>
      <c r="M10" s="27">
        <f t="shared" si="1"/>
        <v>0</v>
      </c>
      <c r="N10" s="27">
        <v>3</v>
      </c>
    </row>
    <row r="11" spans="1:14">
      <c r="A11" s="1" t="s">
        <v>1</v>
      </c>
      <c r="B11" s="25" t="s">
        <v>63</v>
      </c>
      <c r="C11" s="79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26">
        <v>0</v>
      </c>
      <c r="K11" s="27">
        <f t="shared" si="0"/>
        <v>0</v>
      </c>
      <c r="L11" s="27">
        <v>0</v>
      </c>
      <c r="M11" s="27">
        <f t="shared" si="1"/>
        <v>0</v>
      </c>
      <c r="N11" s="27">
        <v>3</v>
      </c>
    </row>
    <row r="12" spans="1:14">
      <c r="A12" s="1" t="s">
        <v>1</v>
      </c>
      <c r="B12" s="25" t="s">
        <v>64</v>
      </c>
      <c r="C12" s="80">
        <v>0</v>
      </c>
      <c r="D12" s="45">
        <v>0</v>
      </c>
      <c r="E12" s="45">
        <v>3.3333333333333335</v>
      </c>
      <c r="F12" s="45">
        <v>4.041666666666667</v>
      </c>
      <c r="G12" s="45">
        <v>2.9583333333333335</v>
      </c>
      <c r="H12" s="45">
        <v>2.9166666666666665</v>
      </c>
      <c r="I12" s="45">
        <v>2.8333333333333335</v>
      </c>
      <c r="J12" s="28">
        <v>3.9166666666666665</v>
      </c>
      <c r="K12" s="29">
        <f t="shared" si="0"/>
        <v>20</v>
      </c>
      <c r="L12" s="29">
        <v>0</v>
      </c>
      <c r="M12" s="29">
        <f t="shared" si="1"/>
        <v>0</v>
      </c>
      <c r="N12" s="29">
        <v>20</v>
      </c>
    </row>
    <row r="13" spans="1:14">
      <c r="A13" s="1" t="s">
        <v>1</v>
      </c>
      <c r="B13" s="25" t="s">
        <v>65</v>
      </c>
      <c r="C13" s="80">
        <v>0</v>
      </c>
      <c r="D13" s="45">
        <v>1</v>
      </c>
      <c r="E13" s="45">
        <v>0</v>
      </c>
      <c r="F13" s="45">
        <v>0</v>
      </c>
      <c r="G13" s="45">
        <v>0</v>
      </c>
      <c r="H13" s="45">
        <v>0</v>
      </c>
      <c r="I13" s="45">
        <v>4.1666666666666664E-2</v>
      </c>
      <c r="J13" s="28">
        <v>0</v>
      </c>
      <c r="K13" s="29">
        <f t="shared" si="0"/>
        <v>1.0416666666666667</v>
      </c>
      <c r="L13" s="29">
        <v>0</v>
      </c>
      <c r="M13" s="29">
        <f t="shared" si="1"/>
        <v>0</v>
      </c>
      <c r="N13" s="29">
        <v>31.208333333333329</v>
      </c>
    </row>
    <row r="14" spans="1:14">
      <c r="A14" s="1" t="s">
        <v>1</v>
      </c>
      <c r="B14" s="25" t="s">
        <v>66</v>
      </c>
      <c r="C14" s="80">
        <v>0</v>
      </c>
      <c r="D14" s="45">
        <v>1.0833333333333333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28">
        <v>0</v>
      </c>
      <c r="K14" s="29">
        <f t="shared" si="0"/>
        <v>1.0833333333333333</v>
      </c>
      <c r="L14" s="29">
        <v>0</v>
      </c>
      <c r="M14" s="29">
        <f t="shared" si="1"/>
        <v>0</v>
      </c>
      <c r="N14" s="29">
        <v>23.666666666666664</v>
      </c>
    </row>
    <row r="15" spans="1:14">
      <c r="A15" s="1" t="s">
        <v>1</v>
      </c>
      <c r="B15" s="25" t="s">
        <v>67</v>
      </c>
      <c r="C15" s="80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28">
        <v>0</v>
      </c>
      <c r="K15" s="29">
        <f t="shared" si="0"/>
        <v>0</v>
      </c>
      <c r="L15" s="29">
        <v>0</v>
      </c>
      <c r="M15" s="29">
        <f t="shared" si="1"/>
        <v>0</v>
      </c>
      <c r="N15" s="29">
        <v>8.9583333333333339</v>
      </c>
    </row>
    <row r="16" spans="1:14">
      <c r="A16" s="1" t="s">
        <v>1</v>
      </c>
      <c r="B16" s="25" t="s">
        <v>68</v>
      </c>
      <c r="C16" s="80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28">
        <v>0</v>
      </c>
      <c r="K16" s="29">
        <f t="shared" si="0"/>
        <v>0</v>
      </c>
      <c r="L16" s="29">
        <v>0</v>
      </c>
      <c r="M16" s="29">
        <f t="shared" si="1"/>
        <v>0</v>
      </c>
      <c r="N16" s="29">
        <v>1.375</v>
      </c>
    </row>
    <row r="17" spans="1:14">
      <c r="A17" s="1" t="s">
        <v>1</v>
      </c>
      <c r="B17" s="25" t="s">
        <v>69</v>
      </c>
      <c r="C17" s="80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28">
        <v>0</v>
      </c>
      <c r="K17" s="29">
        <f t="shared" si="0"/>
        <v>0</v>
      </c>
      <c r="L17" s="29">
        <v>0</v>
      </c>
      <c r="M17" s="29">
        <f t="shared" si="1"/>
        <v>0</v>
      </c>
      <c r="N17" s="29">
        <v>0.41666666666666669</v>
      </c>
    </row>
    <row r="18" spans="1:14">
      <c r="A18" s="1" t="s">
        <v>1</v>
      </c>
      <c r="B18" s="25" t="s">
        <v>70</v>
      </c>
      <c r="C18" s="80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28">
        <v>0</v>
      </c>
      <c r="K18" s="29">
        <f t="shared" si="0"/>
        <v>0</v>
      </c>
      <c r="L18" s="29">
        <v>0</v>
      </c>
      <c r="M18" s="29">
        <f t="shared" si="1"/>
        <v>0</v>
      </c>
      <c r="N18" s="29">
        <v>0.91666666666666663</v>
      </c>
    </row>
    <row r="19" spans="1:14">
      <c r="A19" s="1" t="s">
        <v>1</v>
      </c>
      <c r="B19" s="25" t="s">
        <v>71</v>
      </c>
      <c r="C19" s="80">
        <v>0</v>
      </c>
      <c r="D19" s="45">
        <v>0</v>
      </c>
      <c r="E19" s="45">
        <v>0.25</v>
      </c>
      <c r="F19" s="45">
        <v>0.29166666666666669</v>
      </c>
      <c r="G19" s="45">
        <v>0.29166666666666669</v>
      </c>
      <c r="H19" s="45">
        <v>0.29166666666666669</v>
      </c>
      <c r="I19" s="45">
        <v>0</v>
      </c>
      <c r="J19" s="28">
        <v>0</v>
      </c>
      <c r="K19" s="29">
        <f t="shared" si="0"/>
        <v>1.1250000000000002</v>
      </c>
      <c r="L19" s="29">
        <v>0</v>
      </c>
      <c r="M19" s="29">
        <f t="shared" si="1"/>
        <v>0</v>
      </c>
      <c r="N19" s="29">
        <v>1.1250000000000002</v>
      </c>
    </row>
    <row r="20" spans="1:14">
      <c r="A20" s="1" t="s">
        <v>1</v>
      </c>
      <c r="B20" s="6" t="s">
        <v>72</v>
      </c>
      <c r="C20" s="81">
        <v>0</v>
      </c>
      <c r="D20" s="47">
        <v>0</v>
      </c>
      <c r="E20" s="47">
        <v>0</v>
      </c>
      <c r="F20" s="47">
        <v>0</v>
      </c>
      <c r="G20" s="47">
        <v>2.0833333333333335</v>
      </c>
      <c r="H20" s="47">
        <v>2.0833333333333335</v>
      </c>
      <c r="I20" s="47">
        <v>0.83333333333333337</v>
      </c>
      <c r="J20" s="7">
        <v>1.25</v>
      </c>
      <c r="K20" s="8">
        <f t="shared" si="0"/>
        <v>6.25</v>
      </c>
      <c r="L20" s="8">
        <v>0</v>
      </c>
      <c r="M20" s="8">
        <f t="shared" si="1"/>
        <v>0</v>
      </c>
      <c r="N20" s="8">
        <v>14.25</v>
      </c>
    </row>
    <row r="21" spans="1:14">
      <c r="A21" s="1" t="s">
        <v>1</v>
      </c>
      <c r="B21" s="15" t="s">
        <v>73</v>
      </c>
      <c r="C21" s="82">
        <v>19.5</v>
      </c>
      <c r="D21" s="49">
        <v>38</v>
      </c>
      <c r="E21" s="49">
        <v>20</v>
      </c>
      <c r="F21" s="49">
        <v>20</v>
      </c>
      <c r="G21" s="49">
        <v>5</v>
      </c>
      <c r="H21" s="49">
        <v>5</v>
      </c>
      <c r="I21" s="49">
        <v>4</v>
      </c>
      <c r="J21" s="16">
        <v>26</v>
      </c>
      <c r="K21" s="17"/>
      <c r="L21" s="17">
        <v>37</v>
      </c>
      <c r="M21" s="17"/>
      <c r="N21" s="17"/>
    </row>
    <row r="22" spans="1:14">
      <c r="A22" s="1" t="s">
        <v>1</v>
      </c>
      <c r="B22" s="6" t="s">
        <v>74</v>
      </c>
      <c r="C22" s="83">
        <v>365000</v>
      </c>
      <c r="D22" s="51">
        <v>270000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30">
        <v>0</v>
      </c>
      <c r="K22" s="31">
        <f t="shared" si="0"/>
        <v>635000</v>
      </c>
      <c r="L22" s="31">
        <v>385000</v>
      </c>
      <c r="M22" s="31">
        <f t="shared" si="1"/>
        <v>385000</v>
      </c>
      <c r="N22" s="31">
        <v>4266000</v>
      </c>
    </row>
    <row r="23" spans="1:14">
      <c r="A23" s="1" t="s">
        <v>1</v>
      </c>
      <c r="B23" s="6" t="s">
        <v>75</v>
      </c>
      <c r="C23" s="84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32">
        <v>0</v>
      </c>
      <c r="K23" s="33">
        <f t="shared" si="0"/>
        <v>0</v>
      </c>
      <c r="L23" s="33">
        <v>0</v>
      </c>
      <c r="M23" s="33">
        <f t="shared" si="1"/>
        <v>0</v>
      </c>
      <c r="N23" s="33">
        <v>50000</v>
      </c>
    </row>
    <row r="24" spans="1:14">
      <c r="A24" s="1" t="s">
        <v>1</v>
      </c>
      <c r="B24" s="6" t="s">
        <v>76</v>
      </c>
      <c r="C24" s="84">
        <v>0</v>
      </c>
      <c r="D24" s="53">
        <v>3000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32">
        <v>0</v>
      </c>
      <c r="K24" s="33">
        <f t="shared" si="0"/>
        <v>3000</v>
      </c>
      <c r="L24" s="33">
        <v>0</v>
      </c>
      <c r="M24" s="33">
        <f t="shared" si="1"/>
        <v>0</v>
      </c>
      <c r="N24" s="33">
        <v>6000</v>
      </c>
    </row>
    <row r="25" spans="1:14">
      <c r="A25" s="1" t="s">
        <v>1</v>
      </c>
      <c r="B25" s="6" t="s">
        <v>77</v>
      </c>
      <c r="C25" s="84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32">
        <v>0</v>
      </c>
      <c r="K25" s="33">
        <f t="shared" si="0"/>
        <v>0</v>
      </c>
      <c r="L25" s="33">
        <v>0</v>
      </c>
      <c r="M25" s="33">
        <f t="shared" si="1"/>
        <v>0</v>
      </c>
      <c r="N25" s="33">
        <v>188353</v>
      </c>
    </row>
    <row r="26" spans="1:14">
      <c r="A26" s="1" t="s">
        <v>1</v>
      </c>
      <c r="B26" s="6" t="s">
        <v>78</v>
      </c>
      <c r="C26" s="84">
        <v>0</v>
      </c>
      <c r="D26" s="53">
        <v>0</v>
      </c>
      <c r="E26" s="53">
        <v>78400</v>
      </c>
      <c r="F26" s="53">
        <v>97000</v>
      </c>
      <c r="G26" s="53">
        <v>65320</v>
      </c>
      <c r="H26" s="53">
        <v>64400</v>
      </c>
      <c r="I26" s="53">
        <v>62560</v>
      </c>
      <c r="J26" s="32">
        <v>86480</v>
      </c>
      <c r="K26" s="33">
        <f t="shared" si="0"/>
        <v>454160</v>
      </c>
      <c r="L26" s="33">
        <v>0</v>
      </c>
      <c r="M26" s="33">
        <f t="shared" si="1"/>
        <v>0</v>
      </c>
      <c r="N26" s="33">
        <v>454160</v>
      </c>
    </row>
    <row r="27" spans="1:14">
      <c r="A27" s="1" t="s">
        <v>1</v>
      </c>
      <c r="B27" s="6" t="s">
        <v>79</v>
      </c>
      <c r="C27" s="84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32">
        <v>0</v>
      </c>
      <c r="K27" s="33">
        <f t="shared" si="0"/>
        <v>0</v>
      </c>
      <c r="L27" s="33">
        <v>0</v>
      </c>
      <c r="M27" s="33">
        <f t="shared" si="1"/>
        <v>0</v>
      </c>
      <c r="N27" s="33">
        <v>47000</v>
      </c>
    </row>
    <row r="28" spans="1:14">
      <c r="A28" s="1" t="s">
        <v>1</v>
      </c>
      <c r="B28" s="6" t="s">
        <v>80</v>
      </c>
      <c r="C28" s="84">
        <v>0</v>
      </c>
      <c r="D28" s="53">
        <v>0</v>
      </c>
      <c r="E28" s="53">
        <v>5880</v>
      </c>
      <c r="F28" s="53">
        <v>7000</v>
      </c>
      <c r="G28" s="53">
        <v>6440</v>
      </c>
      <c r="H28" s="53">
        <v>6440</v>
      </c>
      <c r="I28" s="53">
        <v>0</v>
      </c>
      <c r="J28" s="32">
        <v>0</v>
      </c>
      <c r="K28" s="33">
        <f t="shared" si="0"/>
        <v>25760</v>
      </c>
      <c r="L28" s="33">
        <v>0</v>
      </c>
      <c r="M28" s="33">
        <f t="shared" si="1"/>
        <v>0</v>
      </c>
      <c r="N28" s="33">
        <v>25760</v>
      </c>
    </row>
    <row r="29" spans="1:14">
      <c r="A29" s="1" t="s">
        <v>1</v>
      </c>
      <c r="B29" s="6" t="s">
        <v>81</v>
      </c>
      <c r="C29" s="84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32">
        <v>0</v>
      </c>
      <c r="K29" s="33">
        <f t="shared" si="0"/>
        <v>0</v>
      </c>
      <c r="L29" s="33">
        <v>0</v>
      </c>
      <c r="M29" s="33">
        <f t="shared" si="1"/>
        <v>0</v>
      </c>
      <c r="N29" s="34">
        <v>-24543</v>
      </c>
    </row>
    <row r="30" spans="1:14">
      <c r="A30" s="1" t="s">
        <v>1</v>
      </c>
      <c r="B30" s="6" t="s">
        <v>65</v>
      </c>
      <c r="C30" s="84">
        <v>0</v>
      </c>
      <c r="D30" s="53">
        <v>49056</v>
      </c>
      <c r="E30" s="53">
        <v>0</v>
      </c>
      <c r="F30" s="53">
        <v>0</v>
      </c>
      <c r="G30" s="53">
        <v>0</v>
      </c>
      <c r="H30" s="53">
        <v>0</v>
      </c>
      <c r="I30" s="53">
        <v>1150</v>
      </c>
      <c r="J30" s="32">
        <v>0</v>
      </c>
      <c r="K30" s="33">
        <f t="shared" si="0"/>
        <v>50206</v>
      </c>
      <c r="L30" s="33">
        <v>0</v>
      </c>
      <c r="M30" s="33">
        <f t="shared" si="1"/>
        <v>0</v>
      </c>
      <c r="N30" s="33">
        <v>1061933</v>
      </c>
    </row>
    <row r="31" spans="1:14">
      <c r="A31" s="1" t="s">
        <v>1</v>
      </c>
      <c r="B31" s="6" t="s">
        <v>82</v>
      </c>
      <c r="C31" s="84">
        <v>0</v>
      </c>
      <c r="D31" s="53">
        <v>57382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32">
        <v>0</v>
      </c>
      <c r="K31" s="33">
        <f t="shared" si="0"/>
        <v>57382</v>
      </c>
      <c r="L31" s="33">
        <v>0</v>
      </c>
      <c r="M31" s="33">
        <f t="shared" si="1"/>
        <v>0</v>
      </c>
      <c r="N31" s="33">
        <v>876512</v>
      </c>
    </row>
    <row r="32" spans="1:14">
      <c r="A32" s="1" t="s">
        <v>1</v>
      </c>
      <c r="B32" s="6" t="s">
        <v>83</v>
      </c>
      <c r="C32" s="84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32">
        <v>0</v>
      </c>
      <c r="K32" s="33">
        <f t="shared" si="0"/>
        <v>0</v>
      </c>
      <c r="L32" s="33">
        <v>0</v>
      </c>
      <c r="M32" s="33">
        <f t="shared" si="1"/>
        <v>0</v>
      </c>
      <c r="N32" s="33">
        <v>317566</v>
      </c>
    </row>
    <row r="33" spans="1:14">
      <c r="A33" s="1" t="s">
        <v>1</v>
      </c>
      <c r="B33" s="6" t="s">
        <v>84</v>
      </c>
      <c r="C33" s="84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32">
        <v>0</v>
      </c>
      <c r="K33" s="33">
        <f t="shared" si="0"/>
        <v>0</v>
      </c>
      <c r="L33" s="33">
        <v>0</v>
      </c>
      <c r="M33" s="33">
        <f t="shared" si="1"/>
        <v>0</v>
      </c>
      <c r="N33" s="33">
        <v>11814</v>
      </c>
    </row>
    <row r="34" spans="1:14">
      <c r="A34" s="1" t="s">
        <v>1</v>
      </c>
      <c r="B34" s="6" t="s">
        <v>85</v>
      </c>
      <c r="C34" s="84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32">
        <v>0</v>
      </c>
      <c r="K34" s="33">
        <f t="shared" si="0"/>
        <v>0</v>
      </c>
      <c r="L34" s="33">
        <v>0</v>
      </c>
      <c r="M34" s="33">
        <f t="shared" si="1"/>
        <v>0</v>
      </c>
      <c r="N34" s="33">
        <v>3580</v>
      </c>
    </row>
    <row r="35" spans="1:14">
      <c r="A35" s="1" t="s">
        <v>1</v>
      </c>
      <c r="B35" s="6" t="s">
        <v>70</v>
      </c>
      <c r="C35" s="84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32">
        <v>0</v>
      </c>
      <c r="K35" s="33">
        <f t="shared" si="0"/>
        <v>0</v>
      </c>
      <c r="L35" s="33">
        <v>0</v>
      </c>
      <c r="M35" s="33">
        <f t="shared" si="1"/>
        <v>0</v>
      </c>
      <c r="N35" s="33">
        <v>6611</v>
      </c>
    </row>
    <row r="36" spans="1:14">
      <c r="A36" s="1" t="s">
        <v>1</v>
      </c>
      <c r="B36" s="6" t="s">
        <v>86</v>
      </c>
      <c r="C36" s="84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32">
        <v>0</v>
      </c>
      <c r="K36" s="33">
        <f t="shared" si="0"/>
        <v>0</v>
      </c>
      <c r="L36" s="33">
        <v>0</v>
      </c>
      <c r="M36" s="33">
        <f t="shared" si="1"/>
        <v>0</v>
      </c>
      <c r="N36" s="33">
        <v>24543</v>
      </c>
    </row>
    <row r="37" spans="1:14">
      <c r="A37" s="1" t="s">
        <v>1</v>
      </c>
      <c r="B37" s="6" t="s">
        <v>72</v>
      </c>
      <c r="C37" s="85">
        <v>0</v>
      </c>
      <c r="D37" s="56">
        <v>0</v>
      </c>
      <c r="E37" s="56">
        <v>0</v>
      </c>
      <c r="F37" s="56">
        <v>0</v>
      </c>
      <c r="G37" s="56">
        <v>11500</v>
      </c>
      <c r="H37" s="56">
        <v>11500</v>
      </c>
      <c r="I37" s="56">
        <v>4600</v>
      </c>
      <c r="J37" s="9">
        <v>6900</v>
      </c>
      <c r="K37" s="10">
        <f t="shared" si="0"/>
        <v>34500</v>
      </c>
      <c r="L37" s="10">
        <v>0</v>
      </c>
      <c r="M37" s="10">
        <f t="shared" si="1"/>
        <v>0</v>
      </c>
      <c r="N37" s="10">
        <v>88235</v>
      </c>
    </row>
    <row r="38" spans="1:14">
      <c r="A38" s="1" t="s">
        <v>1</v>
      </c>
      <c r="B38" s="15" t="s">
        <v>87</v>
      </c>
      <c r="C38" s="86">
        <v>365000</v>
      </c>
      <c r="D38" s="58">
        <v>379438</v>
      </c>
      <c r="E38" s="58">
        <v>84280</v>
      </c>
      <c r="F38" s="58">
        <v>104000</v>
      </c>
      <c r="G38" s="58">
        <v>83260</v>
      </c>
      <c r="H38" s="58">
        <v>82340</v>
      </c>
      <c r="I38" s="58">
        <v>68310</v>
      </c>
      <c r="J38" s="18">
        <v>93380</v>
      </c>
      <c r="K38" s="19">
        <f t="shared" si="0"/>
        <v>1260008</v>
      </c>
      <c r="L38" s="19">
        <v>385000</v>
      </c>
      <c r="M38" s="19">
        <f t="shared" si="1"/>
        <v>385000</v>
      </c>
      <c r="N38" s="19">
        <v>7403524</v>
      </c>
    </row>
    <row r="39" spans="1:14">
      <c r="A39" s="1" t="s">
        <v>1</v>
      </c>
      <c r="B39" s="6" t="s">
        <v>88</v>
      </c>
      <c r="C39" s="85">
        <v>3077</v>
      </c>
      <c r="D39" s="56">
        <v>5586</v>
      </c>
      <c r="E39" s="56">
        <v>2807</v>
      </c>
      <c r="F39" s="56">
        <v>2159</v>
      </c>
      <c r="G39" s="56">
        <v>3239</v>
      </c>
      <c r="H39" s="56">
        <v>4318</v>
      </c>
      <c r="I39" s="56">
        <v>3158</v>
      </c>
      <c r="J39" s="9">
        <v>7178</v>
      </c>
      <c r="K39" s="10">
        <f t="shared" si="0"/>
        <v>31522</v>
      </c>
      <c r="L39" s="10">
        <v>7016</v>
      </c>
      <c r="M39" s="10">
        <f t="shared" si="1"/>
        <v>7016</v>
      </c>
      <c r="N39" s="10">
        <v>148996</v>
      </c>
    </row>
    <row r="40" spans="1:14">
      <c r="A40" s="1" t="s">
        <v>1</v>
      </c>
      <c r="B40" s="6" t="s">
        <v>89</v>
      </c>
      <c r="C40" s="85">
        <v>3077</v>
      </c>
      <c r="D40" s="56">
        <v>5586</v>
      </c>
      <c r="E40" s="56">
        <v>2807</v>
      </c>
      <c r="F40" s="56">
        <v>2159</v>
      </c>
      <c r="G40" s="56">
        <v>3239</v>
      </c>
      <c r="H40" s="56">
        <v>4318</v>
      </c>
      <c r="I40" s="56">
        <v>3158</v>
      </c>
      <c r="J40" s="9">
        <v>7178</v>
      </c>
      <c r="K40" s="10">
        <f t="shared" si="0"/>
        <v>31522</v>
      </c>
      <c r="L40" s="10">
        <v>7016</v>
      </c>
      <c r="M40" s="10">
        <f t="shared" si="1"/>
        <v>7016</v>
      </c>
      <c r="N40" s="10">
        <v>148996</v>
      </c>
    </row>
    <row r="41" spans="1:14">
      <c r="A41" s="1" t="s">
        <v>1</v>
      </c>
      <c r="B41" s="15" t="s">
        <v>90</v>
      </c>
      <c r="C41" s="86">
        <v>368077</v>
      </c>
      <c r="D41" s="58">
        <v>385024</v>
      </c>
      <c r="E41" s="58">
        <v>87087</v>
      </c>
      <c r="F41" s="58">
        <v>106159</v>
      </c>
      <c r="G41" s="58">
        <v>86499</v>
      </c>
      <c r="H41" s="58">
        <v>86658</v>
      </c>
      <c r="I41" s="58">
        <v>71468</v>
      </c>
      <c r="J41" s="18">
        <v>100558</v>
      </c>
      <c r="K41" s="19">
        <f t="shared" si="0"/>
        <v>1291530</v>
      </c>
      <c r="L41" s="19">
        <v>392016</v>
      </c>
      <c r="M41" s="19">
        <f t="shared" si="1"/>
        <v>392016</v>
      </c>
      <c r="N41" s="19">
        <v>7552520</v>
      </c>
    </row>
    <row r="42" spans="1:14">
      <c r="A42" s="1" t="s">
        <v>1</v>
      </c>
      <c r="B42" s="35" t="s">
        <v>91</v>
      </c>
      <c r="C42" s="83">
        <v>18360</v>
      </c>
      <c r="D42" s="51">
        <v>19380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30">
        <v>0</v>
      </c>
      <c r="K42" s="31">
        <f t="shared" si="0"/>
        <v>37740</v>
      </c>
      <c r="L42" s="31">
        <v>19380</v>
      </c>
      <c r="M42" s="31">
        <f t="shared" si="1"/>
        <v>19380</v>
      </c>
      <c r="N42" s="31">
        <v>357510</v>
      </c>
    </row>
    <row r="43" spans="1:14">
      <c r="A43" s="1" t="s">
        <v>1</v>
      </c>
      <c r="B43" s="25" t="s">
        <v>92</v>
      </c>
      <c r="C43" s="84">
        <v>3240</v>
      </c>
      <c r="D43" s="53">
        <v>3420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32">
        <v>0</v>
      </c>
      <c r="K43" s="33">
        <f t="shared" si="0"/>
        <v>6660</v>
      </c>
      <c r="L43" s="33">
        <v>3420</v>
      </c>
      <c r="M43" s="33">
        <f t="shared" si="1"/>
        <v>3420</v>
      </c>
      <c r="N43" s="33">
        <v>60030</v>
      </c>
    </row>
    <row r="44" spans="1:14">
      <c r="A44" s="1" t="s">
        <v>1</v>
      </c>
      <c r="B44" s="25" t="s">
        <v>93</v>
      </c>
      <c r="C44" s="84">
        <v>32940</v>
      </c>
      <c r="D44" s="53">
        <v>34770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32">
        <v>0</v>
      </c>
      <c r="K44" s="33">
        <f t="shared" si="0"/>
        <v>67710</v>
      </c>
      <c r="L44" s="33">
        <v>34770</v>
      </c>
      <c r="M44" s="33">
        <f t="shared" si="1"/>
        <v>34770</v>
      </c>
      <c r="N44" s="33">
        <v>641415</v>
      </c>
    </row>
    <row r="45" spans="1:14">
      <c r="A45" s="1" t="s">
        <v>1</v>
      </c>
      <c r="B45" s="6" t="s">
        <v>94</v>
      </c>
      <c r="C45" s="85">
        <v>2208</v>
      </c>
      <c r="D45" s="56">
        <v>2310</v>
      </c>
      <c r="E45" s="56">
        <v>523</v>
      </c>
      <c r="F45" s="56">
        <v>637</v>
      </c>
      <c r="G45" s="56">
        <v>0</v>
      </c>
      <c r="H45" s="56">
        <v>0</v>
      </c>
      <c r="I45" s="56">
        <v>0</v>
      </c>
      <c r="J45" s="9">
        <v>603</v>
      </c>
      <c r="K45" s="10">
        <f t="shared" si="0"/>
        <v>6281</v>
      </c>
      <c r="L45" s="10">
        <v>2352</v>
      </c>
      <c r="M45" s="10">
        <f t="shared" si="1"/>
        <v>2352</v>
      </c>
      <c r="N45" s="10">
        <v>43845</v>
      </c>
    </row>
    <row r="46" spans="1:14">
      <c r="A46" s="1" t="s">
        <v>1</v>
      </c>
      <c r="B46" s="15" t="s">
        <v>95</v>
      </c>
      <c r="C46" s="86">
        <v>56748</v>
      </c>
      <c r="D46" s="58">
        <v>59880</v>
      </c>
      <c r="E46" s="58">
        <v>523</v>
      </c>
      <c r="F46" s="58">
        <v>637</v>
      </c>
      <c r="G46" s="58">
        <v>0</v>
      </c>
      <c r="H46" s="58">
        <v>0</v>
      </c>
      <c r="I46" s="58">
        <v>0</v>
      </c>
      <c r="J46" s="18">
        <v>603</v>
      </c>
      <c r="K46" s="19">
        <f t="shared" si="0"/>
        <v>118391</v>
      </c>
      <c r="L46" s="19">
        <v>59922</v>
      </c>
      <c r="M46" s="19">
        <f t="shared" si="1"/>
        <v>59922</v>
      </c>
      <c r="N46" s="19">
        <v>1102800</v>
      </c>
    </row>
    <row r="47" spans="1:14">
      <c r="A47" s="1" t="s">
        <v>1</v>
      </c>
      <c r="B47" s="35" t="s">
        <v>96</v>
      </c>
      <c r="C47" s="83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30">
        <v>0</v>
      </c>
      <c r="K47" s="31">
        <f t="shared" si="0"/>
        <v>0</v>
      </c>
      <c r="L47" s="31">
        <v>10430</v>
      </c>
      <c r="M47" s="31">
        <f t="shared" si="1"/>
        <v>10430</v>
      </c>
      <c r="N47" s="31">
        <v>10430</v>
      </c>
    </row>
    <row r="48" spans="1:14">
      <c r="A48" s="1" t="s">
        <v>1</v>
      </c>
      <c r="B48" s="25" t="s">
        <v>97</v>
      </c>
      <c r="C48" s="84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32">
        <v>0</v>
      </c>
      <c r="K48" s="33">
        <f t="shared" si="0"/>
        <v>0</v>
      </c>
      <c r="L48" s="33">
        <v>0</v>
      </c>
      <c r="M48" s="33">
        <f t="shared" si="1"/>
        <v>0</v>
      </c>
      <c r="N48" s="33">
        <v>19500</v>
      </c>
    </row>
    <row r="49" spans="1:14">
      <c r="A49" s="1" t="s">
        <v>1</v>
      </c>
      <c r="B49" s="6" t="s">
        <v>98</v>
      </c>
      <c r="C49" s="85">
        <v>0</v>
      </c>
      <c r="D49" s="56">
        <v>0</v>
      </c>
      <c r="E49" s="56">
        <v>0</v>
      </c>
      <c r="F49" s="56">
        <v>0</v>
      </c>
      <c r="G49" s="56">
        <v>6000</v>
      </c>
      <c r="H49" s="56">
        <v>6000</v>
      </c>
      <c r="I49" s="56">
        <v>0</v>
      </c>
      <c r="J49" s="9">
        <v>0</v>
      </c>
      <c r="K49" s="10">
        <f t="shared" si="0"/>
        <v>12000</v>
      </c>
      <c r="L49" s="10">
        <v>0</v>
      </c>
      <c r="M49" s="10">
        <f t="shared" si="1"/>
        <v>0</v>
      </c>
      <c r="N49" s="10">
        <v>12000</v>
      </c>
    </row>
    <row r="50" spans="1:14">
      <c r="A50" s="1" t="s">
        <v>1</v>
      </c>
      <c r="B50" s="15" t="s">
        <v>99</v>
      </c>
      <c r="C50" s="86">
        <v>56748</v>
      </c>
      <c r="D50" s="58">
        <v>59880</v>
      </c>
      <c r="E50" s="58">
        <v>523</v>
      </c>
      <c r="F50" s="58">
        <v>637</v>
      </c>
      <c r="G50" s="58">
        <v>6000</v>
      </c>
      <c r="H50" s="58">
        <v>6000</v>
      </c>
      <c r="I50" s="58">
        <v>0</v>
      </c>
      <c r="J50" s="18">
        <v>603</v>
      </c>
      <c r="K50" s="19">
        <f t="shared" si="0"/>
        <v>130391</v>
      </c>
      <c r="L50" s="19">
        <v>70352</v>
      </c>
      <c r="M50" s="19">
        <f t="shared" si="1"/>
        <v>70352</v>
      </c>
      <c r="N50" s="19">
        <v>1144730</v>
      </c>
    </row>
    <row r="51" spans="1:14">
      <c r="A51" s="1" t="s">
        <v>1</v>
      </c>
      <c r="B51" s="15" t="s">
        <v>100</v>
      </c>
      <c r="C51" s="86">
        <v>308252</v>
      </c>
      <c r="D51" s="58">
        <v>319558</v>
      </c>
      <c r="E51" s="58">
        <v>83757</v>
      </c>
      <c r="F51" s="58">
        <v>103363</v>
      </c>
      <c r="G51" s="58">
        <v>83260</v>
      </c>
      <c r="H51" s="58">
        <v>82340</v>
      </c>
      <c r="I51" s="58">
        <v>68310</v>
      </c>
      <c r="J51" s="18">
        <v>92777</v>
      </c>
      <c r="K51" s="19">
        <f t="shared" si="0"/>
        <v>1141617</v>
      </c>
      <c r="L51" s="19">
        <v>325078</v>
      </c>
      <c r="M51" s="19">
        <f t="shared" si="1"/>
        <v>325078</v>
      </c>
      <c r="N51" s="19">
        <v>6300724</v>
      </c>
    </row>
    <row r="52" spans="1:14">
      <c r="A52" s="1" t="s">
        <v>1</v>
      </c>
      <c r="B52" s="15" t="s">
        <v>101</v>
      </c>
      <c r="C52" s="86">
        <v>311329</v>
      </c>
      <c r="D52" s="58">
        <v>325144</v>
      </c>
      <c r="E52" s="58">
        <v>86564</v>
      </c>
      <c r="F52" s="58">
        <v>105522</v>
      </c>
      <c r="G52" s="58">
        <v>80499</v>
      </c>
      <c r="H52" s="58">
        <v>80658</v>
      </c>
      <c r="I52" s="58">
        <v>71468</v>
      </c>
      <c r="J52" s="18">
        <v>99955</v>
      </c>
      <c r="K52" s="19">
        <f t="shared" si="0"/>
        <v>1161139</v>
      </c>
      <c r="L52" s="19">
        <v>321664</v>
      </c>
      <c r="M52" s="19">
        <f t="shared" si="1"/>
        <v>321664</v>
      </c>
      <c r="N52" s="19">
        <v>6407790</v>
      </c>
    </row>
    <row r="53" spans="1:14">
      <c r="A53" s="1" t="s">
        <v>1</v>
      </c>
      <c r="B53" s="15" t="s">
        <v>102</v>
      </c>
      <c r="C53" s="86">
        <v>311329</v>
      </c>
      <c r="D53" s="58">
        <v>325144</v>
      </c>
      <c r="E53" s="58">
        <v>86564</v>
      </c>
      <c r="F53" s="58">
        <v>105522</v>
      </c>
      <c r="G53" s="58">
        <v>80499</v>
      </c>
      <c r="H53" s="58">
        <v>80658</v>
      </c>
      <c r="I53" s="58">
        <v>71468</v>
      </c>
      <c r="J53" s="18">
        <v>99955</v>
      </c>
      <c r="K53" s="19">
        <f t="shared" si="0"/>
        <v>1161139</v>
      </c>
      <c r="L53" s="19">
        <v>321664</v>
      </c>
      <c r="M53" s="19">
        <f t="shared" si="1"/>
        <v>321664</v>
      </c>
      <c r="N53" s="19">
        <v>6407790</v>
      </c>
    </row>
    <row r="54" spans="1:14">
      <c r="A54" s="1" t="s">
        <v>1</v>
      </c>
      <c r="B54" s="15" t="s">
        <v>103</v>
      </c>
      <c r="C54" s="86">
        <v>0</v>
      </c>
      <c r="D54" s="58">
        <v>1</v>
      </c>
      <c r="E54" s="58">
        <v>0</v>
      </c>
      <c r="F54" s="58">
        <v>0</v>
      </c>
      <c r="G54" s="58">
        <v>1</v>
      </c>
      <c r="H54" s="58">
        <v>1</v>
      </c>
      <c r="I54" s="58">
        <v>1</v>
      </c>
      <c r="J54" s="18">
        <v>1</v>
      </c>
      <c r="K54" s="19"/>
      <c r="L54" s="19">
        <v>0</v>
      </c>
      <c r="M54" s="19"/>
      <c r="N54" s="19"/>
    </row>
    <row r="55" spans="1:14">
      <c r="A55" s="1" t="s">
        <v>1</v>
      </c>
      <c r="B55" s="15" t="s">
        <v>104</v>
      </c>
      <c r="C55" s="87" t="s">
        <v>105</v>
      </c>
      <c r="D55" s="60" t="s">
        <v>105</v>
      </c>
      <c r="E55" s="60" t="s">
        <v>105</v>
      </c>
      <c r="F55" s="60" t="s">
        <v>105</v>
      </c>
      <c r="G55" s="60" t="s">
        <v>105</v>
      </c>
      <c r="H55" s="60" t="s">
        <v>105</v>
      </c>
      <c r="I55" s="60" t="s">
        <v>105</v>
      </c>
      <c r="J55" s="20" t="s">
        <v>105</v>
      </c>
      <c r="K55" s="21"/>
      <c r="L55" s="21" t="s">
        <v>105</v>
      </c>
      <c r="M55" s="21"/>
      <c r="N55" s="21"/>
    </row>
    <row r="56" spans="1:14">
      <c r="A56" s="1" t="s">
        <v>1</v>
      </c>
      <c r="B56" s="15" t="s">
        <v>106</v>
      </c>
      <c r="C56" s="86">
        <v>9050</v>
      </c>
      <c r="D56" s="58">
        <v>7520</v>
      </c>
      <c r="E56" s="58">
        <v>0</v>
      </c>
      <c r="F56" s="58">
        <v>890</v>
      </c>
      <c r="G56" s="58">
        <v>0</v>
      </c>
      <c r="H56" s="58">
        <v>0</v>
      </c>
      <c r="I56" s="58">
        <v>0</v>
      </c>
      <c r="J56" s="18">
        <v>0</v>
      </c>
      <c r="K56" s="19">
        <f t="shared" si="0"/>
        <v>17460</v>
      </c>
      <c r="L56" s="19">
        <v>10430</v>
      </c>
      <c r="M56" s="19">
        <f t="shared" si="1"/>
        <v>10430</v>
      </c>
      <c r="N56" s="19">
        <v>146100</v>
      </c>
    </row>
    <row r="57" spans="1:14">
      <c r="A57" s="1" t="s">
        <v>1</v>
      </c>
      <c r="B57" s="15" t="s">
        <v>107</v>
      </c>
      <c r="C57" s="86">
        <v>9050</v>
      </c>
      <c r="D57" s="58">
        <v>7520</v>
      </c>
      <c r="E57" s="58">
        <v>0</v>
      </c>
      <c r="F57" s="58">
        <v>890</v>
      </c>
      <c r="G57" s="58">
        <v>0</v>
      </c>
      <c r="H57" s="58">
        <v>0</v>
      </c>
      <c r="I57" s="58">
        <v>0</v>
      </c>
      <c r="J57" s="18">
        <v>0</v>
      </c>
      <c r="K57" s="19">
        <f t="shared" si="0"/>
        <v>17460</v>
      </c>
      <c r="L57" s="19">
        <v>0</v>
      </c>
      <c r="M57" s="19">
        <f t="shared" si="1"/>
        <v>0</v>
      </c>
      <c r="N57" s="19">
        <v>135670</v>
      </c>
    </row>
    <row r="58" spans="1:14" ht="19.5" thickBot="1">
      <c r="A58" s="1" t="s">
        <v>1</v>
      </c>
      <c r="B58" s="11" t="s">
        <v>108</v>
      </c>
      <c r="C58" s="88">
        <v>90000</v>
      </c>
      <c r="D58" s="62">
        <v>60000</v>
      </c>
      <c r="E58" s="62">
        <v>0</v>
      </c>
      <c r="F58" s="62">
        <v>30000</v>
      </c>
      <c r="G58" s="62">
        <v>60000</v>
      </c>
      <c r="H58" s="62">
        <v>60000</v>
      </c>
      <c r="I58" s="62">
        <v>60000</v>
      </c>
      <c r="J58" s="12">
        <v>60000</v>
      </c>
      <c r="K58" s="13"/>
      <c r="L58" s="13">
        <v>30000</v>
      </c>
      <c r="M58" s="13"/>
      <c r="N58" s="13"/>
    </row>
  </sheetData>
  <phoneticPr fontId="3"/>
  <pageMargins left="0.19685039370078741" right="0.31496062992125984" top="0.15748031496062992" bottom="0.15748031496062992" header="0.11811023622047245" footer="0.11811023622047245"/>
  <pageSetup paperSize="12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01C9-DE36-4F33-848D-C4AF7DD0E62E}">
  <sheetPr>
    <pageSetUpPr fitToPage="1"/>
  </sheetPr>
  <dimension ref="A1:U58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1" width="10.875" style="2" customWidth="1"/>
    <col min="22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109</v>
      </c>
    </row>
    <row r="3" spans="1:21">
      <c r="B3" s="14"/>
      <c r="C3" s="36" t="s">
        <v>2</v>
      </c>
      <c r="D3" s="37" t="s">
        <v>3</v>
      </c>
      <c r="E3" s="37" t="s">
        <v>6</v>
      </c>
      <c r="F3" s="37" t="s">
        <v>7</v>
      </c>
      <c r="G3" s="37" t="s">
        <v>8</v>
      </c>
      <c r="H3" s="37" t="s">
        <v>9</v>
      </c>
      <c r="I3" s="37" t="s">
        <v>10</v>
      </c>
      <c r="J3" s="37" t="s">
        <v>11</v>
      </c>
      <c r="K3" s="37" t="s">
        <v>12</v>
      </c>
      <c r="L3" s="37" t="s">
        <v>13</v>
      </c>
      <c r="M3" s="37" t="s">
        <v>14</v>
      </c>
      <c r="N3" s="37" t="s">
        <v>15</v>
      </c>
      <c r="O3" s="37" t="s">
        <v>17</v>
      </c>
      <c r="P3" s="37" t="s">
        <v>18</v>
      </c>
      <c r="Q3" s="37" t="s">
        <v>19</v>
      </c>
      <c r="R3" s="37" t="s">
        <v>20</v>
      </c>
      <c r="S3" s="37" t="s">
        <v>21</v>
      </c>
      <c r="T3" s="63" t="s">
        <v>22</v>
      </c>
      <c r="U3" s="89" t="s">
        <v>111</v>
      </c>
    </row>
    <row r="4" spans="1:21" ht="19.5" thickBot="1">
      <c r="B4" s="5" t="s">
        <v>29</v>
      </c>
      <c r="C4" s="38" t="s">
        <v>30</v>
      </c>
      <c r="D4" s="39" t="s">
        <v>31</v>
      </c>
      <c r="E4" s="39" t="s">
        <v>33</v>
      </c>
      <c r="F4" s="39" t="s">
        <v>34</v>
      </c>
      <c r="G4" s="39" t="s">
        <v>35</v>
      </c>
      <c r="H4" s="39" t="s">
        <v>36</v>
      </c>
      <c r="I4" s="39" t="s">
        <v>37</v>
      </c>
      <c r="J4" s="39" t="s">
        <v>38</v>
      </c>
      <c r="K4" s="39" t="s">
        <v>39</v>
      </c>
      <c r="L4" s="39" t="s">
        <v>40</v>
      </c>
      <c r="M4" s="39" t="s">
        <v>41</v>
      </c>
      <c r="N4" s="39" t="s">
        <v>42</v>
      </c>
      <c r="O4" s="39" t="s">
        <v>44</v>
      </c>
      <c r="P4" s="39" t="s">
        <v>45</v>
      </c>
      <c r="Q4" s="39" t="s">
        <v>46</v>
      </c>
      <c r="R4" s="39" t="s">
        <v>47</v>
      </c>
      <c r="S4" s="39" t="s">
        <v>48</v>
      </c>
      <c r="T4" s="64" t="s">
        <v>49</v>
      </c>
      <c r="U4" s="90" t="s">
        <v>112</v>
      </c>
    </row>
    <row r="5" spans="1:21">
      <c r="A5" s="1" t="s">
        <v>1</v>
      </c>
      <c r="B5" s="22" t="s">
        <v>57</v>
      </c>
      <c r="C5" s="40">
        <v>19</v>
      </c>
      <c r="D5" s="41">
        <v>19</v>
      </c>
      <c r="E5" s="41">
        <v>20</v>
      </c>
      <c r="F5" s="41">
        <v>19</v>
      </c>
      <c r="G5" s="41">
        <v>17</v>
      </c>
      <c r="H5" s="41">
        <v>16</v>
      </c>
      <c r="I5" s="41">
        <v>20</v>
      </c>
      <c r="J5" s="41">
        <v>17</v>
      </c>
      <c r="K5" s="41">
        <v>19</v>
      </c>
      <c r="L5" s="41">
        <v>19</v>
      </c>
      <c r="M5" s="41">
        <v>12</v>
      </c>
      <c r="N5" s="41">
        <v>20</v>
      </c>
      <c r="O5" s="41">
        <v>19</v>
      </c>
      <c r="P5" s="41">
        <v>18</v>
      </c>
      <c r="Q5" s="41">
        <v>13</v>
      </c>
      <c r="R5" s="41">
        <v>15</v>
      </c>
      <c r="S5" s="41">
        <v>19</v>
      </c>
      <c r="T5" s="65">
        <v>20</v>
      </c>
      <c r="U5" s="24">
        <f>SUM(C5:T5)</f>
        <v>321</v>
      </c>
    </row>
    <row r="6" spans="1:21">
      <c r="A6" s="1" t="s">
        <v>1</v>
      </c>
      <c r="B6" s="25" t="s">
        <v>58</v>
      </c>
      <c r="C6" s="42">
        <v>3</v>
      </c>
      <c r="D6" s="43">
        <v>3</v>
      </c>
      <c r="E6" s="43">
        <v>5</v>
      </c>
      <c r="F6" s="43">
        <v>1</v>
      </c>
      <c r="G6" s="43">
        <v>4</v>
      </c>
      <c r="H6" s="43">
        <v>5</v>
      </c>
      <c r="I6" s="43">
        <v>4</v>
      </c>
      <c r="J6" s="43">
        <v>4</v>
      </c>
      <c r="K6" s="43">
        <v>3</v>
      </c>
      <c r="L6" s="43">
        <v>5</v>
      </c>
      <c r="M6" s="43">
        <v>2</v>
      </c>
      <c r="N6" s="43">
        <v>5</v>
      </c>
      <c r="O6" s="43">
        <v>3</v>
      </c>
      <c r="P6" s="43">
        <v>2</v>
      </c>
      <c r="Q6" s="43">
        <v>3</v>
      </c>
      <c r="R6" s="43">
        <v>4</v>
      </c>
      <c r="S6" s="43">
        <v>2</v>
      </c>
      <c r="T6" s="66">
        <v>5</v>
      </c>
      <c r="U6" s="27">
        <f t="shared" ref="U6:U57" si="0">SUM(C6:T6)</f>
        <v>63</v>
      </c>
    </row>
    <row r="7" spans="1:21">
      <c r="A7" s="1" t="s">
        <v>1</v>
      </c>
      <c r="B7" s="25" t="s">
        <v>59</v>
      </c>
      <c r="C7" s="42">
        <v>3</v>
      </c>
      <c r="D7" s="43">
        <v>1</v>
      </c>
      <c r="E7" s="43">
        <v>0</v>
      </c>
      <c r="F7" s="43">
        <v>1</v>
      </c>
      <c r="G7" s="43">
        <v>3</v>
      </c>
      <c r="H7" s="43">
        <v>1</v>
      </c>
      <c r="I7" s="43">
        <v>1</v>
      </c>
      <c r="J7" s="43">
        <v>0</v>
      </c>
      <c r="K7" s="43">
        <v>2</v>
      </c>
      <c r="L7" s="43">
        <v>0</v>
      </c>
      <c r="M7" s="43">
        <v>4</v>
      </c>
      <c r="N7" s="43">
        <v>0</v>
      </c>
      <c r="O7" s="43">
        <v>2</v>
      </c>
      <c r="P7" s="43">
        <v>1</v>
      </c>
      <c r="Q7" s="43">
        <v>1</v>
      </c>
      <c r="R7" s="43">
        <v>4</v>
      </c>
      <c r="S7" s="43">
        <v>3</v>
      </c>
      <c r="T7" s="66">
        <v>0</v>
      </c>
      <c r="U7" s="27">
        <f t="shared" si="0"/>
        <v>27</v>
      </c>
    </row>
    <row r="8" spans="1:21">
      <c r="A8" s="1" t="s">
        <v>1</v>
      </c>
      <c r="B8" s="25" t="s">
        <v>60</v>
      </c>
      <c r="C8" s="42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4</v>
      </c>
      <c r="R8" s="43">
        <v>0</v>
      </c>
      <c r="S8" s="43">
        <v>0</v>
      </c>
      <c r="T8" s="66">
        <v>0</v>
      </c>
      <c r="U8" s="27">
        <f t="shared" si="0"/>
        <v>4</v>
      </c>
    </row>
    <row r="9" spans="1:21">
      <c r="A9" s="1" t="s">
        <v>1</v>
      </c>
      <c r="B9" s="25" t="s">
        <v>61</v>
      </c>
      <c r="C9" s="42">
        <v>1</v>
      </c>
      <c r="D9" s="43">
        <v>1</v>
      </c>
      <c r="E9" s="43">
        <v>0</v>
      </c>
      <c r="F9" s="43">
        <v>1</v>
      </c>
      <c r="G9" s="43">
        <v>3</v>
      </c>
      <c r="H9" s="43">
        <v>4</v>
      </c>
      <c r="I9" s="43">
        <v>0</v>
      </c>
      <c r="J9" s="43">
        <v>3</v>
      </c>
      <c r="K9" s="43">
        <v>1</v>
      </c>
      <c r="L9" s="43">
        <v>1</v>
      </c>
      <c r="M9" s="43">
        <v>8</v>
      </c>
      <c r="N9" s="43">
        <v>0</v>
      </c>
      <c r="O9" s="43">
        <v>1</v>
      </c>
      <c r="P9" s="43">
        <v>2</v>
      </c>
      <c r="Q9" s="43">
        <v>0</v>
      </c>
      <c r="R9" s="43">
        <v>5</v>
      </c>
      <c r="S9" s="43">
        <v>1</v>
      </c>
      <c r="T9" s="66">
        <v>0</v>
      </c>
      <c r="U9" s="27">
        <f t="shared" si="0"/>
        <v>32</v>
      </c>
    </row>
    <row r="10" spans="1:21">
      <c r="A10" s="1" t="s">
        <v>1</v>
      </c>
      <c r="B10" s="25" t="s">
        <v>62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3</v>
      </c>
      <c r="R10" s="43">
        <v>0</v>
      </c>
      <c r="S10" s="43">
        <v>0</v>
      </c>
      <c r="T10" s="66">
        <v>0</v>
      </c>
      <c r="U10" s="27">
        <f t="shared" si="0"/>
        <v>3</v>
      </c>
    </row>
    <row r="11" spans="1:21">
      <c r="A11" s="1" t="s">
        <v>1</v>
      </c>
      <c r="B11" s="25" t="s">
        <v>63</v>
      </c>
      <c r="C11" s="42">
        <v>0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3</v>
      </c>
      <c r="R11" s="43">
        <v>0</v>
      </c>
      <c r="S11" s="43">
        <v>0</v>
      </c>
      <c r="T11" s="66">
        <v>0</v>
      </c>
      <c r="U11" s="27">
        <f t="shared" si="0"/>
        <v>3</v>
      </c>
    </row>
    <row r="12" spans="1:21">
      <c r="A12" s="1" t="s">
        <v>1</v>
      </c>
      <c r="B12" s="25" t="s">
        <v>64</v>
      </c>
      <c r="C12" s="44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67">
        <v>0</v>
      </c>
      <c r="U12" s="29">
        <f t="shared" si="0"/>
        <v>0</v>
      </c>
    </row>
    <row r="13" spans="1:21">
      <c r="A13" s="1" t="s">
        <v>1</v>
      </c>
      <c r="B13" s="25" t="s">
        <v>65</v>
      </c>
      <c r="C13" s="44">
        <v>1.0416666666666667</v>
      </c>
      <c r="D13" s="45">
        <v>1.5416666666666665</v>
      </c>
      <c r="E13" s="45">
        <v>0.75</v>
      </c>
      <c r="F13" s="45">
        <v>2.8333333333333335</v>
      </c>
      <c r="G13" s="45">
        <v>1.4583333333333333</v>
      </c>
      <c r="H13" s="45">
        <v>2.5</v>
      </c>
      <c r="I13" s="45">
        <v>1.875</v>
      </c>
      <c r="J13" s="45">
        <v>1.5</v>
      </c>
      <c r="K13" s="45">
        <v>1.7916666666666665</v>
      </c>
      <c r="L13" s="45">
        <v>1.625</v>
      </c>
      <c r="M13" s="45">
        <v>2</v>
      </c>
      <c r="N13" s="45">
        <v>1.0416666666666667</v>
      </c>
      <c r="O13" s="45">
        <v>2.75</v>
      </c>
      <c r="P13" s="45">
        <v>1.4583333333333333</v>
      </c>
      <c r="Q13" s="45">
        <v>1.2083333333333333</v>
      </c>
      <c r="R13" s="45">
        <v>2.2083333333333335</v>
      </c>
      <c r="S13" s="45">
        <v>1.875</v>
      </c>
      <c r="T13" s="67">
        <v>0.70833333333333337</v>
      </c>
      <c r="U13" s="29">
        <f t="shared" si="0"/>
        <v>30.166666666666661</v>
      </c>
    </row>
    <row r="14" spans="1:21">
      <c r="A14" s="1" t="s">
        <v>1</v>
      </c>
      <c r="B14" s="25" t="s">
        <v>66</v>
      </c>
      <c r="C14" s="44">
        <v>1.0416666666666667</v>
      </c>
      <c r="D14" s="45">
        <v>1</v>
      </c>
      <c r="E14" s="45">
        <v>1.5833333333333335</v>
      </c>
      <c r="F14" s="45">
        <v>0.45833333333333331</v>
      </c>
      <c r="G14" s="45">
        <v>1.7083333333333335</v>
      </c>
      <c r="H14" s="45">
        <v>1.9166666666666665</v>
      </c>
      <c r="I14" s="45">
        <v>1.2916666666666667</v>
      </c>
      <c r="J14" s="45">
        <v>1.625</v>
      </c>
      <c r="K14" s="45">
        <v>1.375</v>
      </c>
      <c r="L14" s="45">
        <v>2.2083333333333335</v>
      </c>
      <c r="M14" s="45">
        <v>0.91666666666666663</v>
      </c>
      <c r="N14" s="45">
        <v>1.5416666666666665</v>
      </c>
      <c r="O14" s="45">
        <v>1.1666666666666667</v>
      </c>
      <c r="P14" s="45">
        <v>0.95833333333333337</v>
      </c>
      <c r="Q14" s="45">
        <v>0</v>
      </c>
      <c r="R14" s="45">
        <v>1.4583333333333333</v>
      </c>
      <c r="S14" s="45">
        <v>0.75</v>
      </c>
      <c r="T14" s="67">
        <v>1.5833333333333335</v>
      </c>
      <c r="U14" s="29">
        <f t="shared" si="0"/>
        <v>22.583333333333332</v>
      </c>
    </row>
    <row r="15" spans="1:21">
      <c r="A15" s="1" t="s">
        <v>1</v>
      </c>
      <c r="B15" s="25" t="s">
        <v>67</v>
      </c>
      <c r="C15" s="44">
        <v>1</v>
      </c>
      <c r="D15" s="45">
        <v>0.29166666666666669</v>
      </c>
      <c r="E15" s="45">
        <v>0</v>
      </c>
      <c r="F15" s="45">
        <v>0.41666666666666669</v>
      </c>
      <c r="G15" s="45">
        <v>1.125</v>
      </c>
      <c r="H15" s="45">
        <v>0.29166666666666669</v>
      </c>
      <c r="I15" s="45">
        <v>0.33333333333333331</v>
      </c>
      <c r="J15" s="45">
        <v>0</v>
      </c>
      <c r="K15" s="45">
        <v>0.625</v>
      </c>
      <c r="L15" s="45">
        <v>0</v>
      </c>
      <c r="M15" s="45">
        <v>1.4583333333333333</v>
      </c>
      <c r="N15" s="45">
        <v>0</v>
      </c>
      <c r="O15" s="45">
        <v>0.83333333333333337</v>
      </c>
      <c r="P15" s="45">
        <v>0.41666666666666669</v>
      </c>
      <c r="Q15" s="45">
        <v>0</v>
      </c>
      <c r="R15" s="45">
        <v>1.125</v>
      </c>
      <c r="S15" s="45">
        <v>1.0416666666666667</v>
      </c>
      <c r="T15" s="67">
        <v>0</v>
      </c>
      <c r="U15" s="29">
        <f t="shared" si="0"/>
        <v>8.9583333333333339</v>
      </c>
    </row>
    <row r="16" spans="1:21">
      <c r="A16" s="1" t="s">
        <v>1</v>
      </c>
      <c r="B16" s="25" t="s">
        <v>68</v>
      </c>
      <c r="C16" s="44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1.375</v>
      </c>
      <c r="R16" s="45">
        <v>0</v>
      </c>
      <c r="S16" s="45">
        <v>0</v>
      </c>
      <c r="T16" s="67">
        <v>0</v>
      </c>
      <c r="U16" s="29">
        <f t="shared" si="0"/>
        <v>1.375</v>
      </c>
    </row>
    <row r="17" spans="1:21">
      <c r="A17" s="1" t="s">
        <v>1</v>
      </c>
      <c r="B17" s="25" t="s">
        <v>69</v>
      </c>
      <c r="C17" s="44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0.41666666666666669</v>
      </c>
      <c r="R17" s="45">
        <v>0</v>
      </c>
      <c r="S17" s="45">
        <v>0</v>
      </c>
      <c r="T17" s="67">
        <v>0</v>
      </c>
      <c r="U17" s="29">
        <f t="shared" si="0"/>
        <v>0.41666666666666669</v>
      </c>
    </row>
    <row r="18" spans="1:21">
      <c r="A18" s="1" t="s">
        <v>1</v>
      </c>
      <c r="B18" s="25" t="s">
        <v>70</v>
      </c>
      <c r="C18" s="44">
        <v>0</v>
      </c>
      <c r="D18" s="45">
        <v>0</v>
      </c>
      <c r="E18" s="45">
        <v>0</v>
      </c>
      <c r="F18" s="45">
        <v>0.45833333333333331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0.45833333333333331</v>
      </c>
      <c r="P18" s="45">
        <v>0</v>
      </c>
      <c r="Q18" s="45">
        <v>0</v>
      </c>
      <c r="R18" s="45">
        <v>0</v>
      </c>
      <c r="S18" s="45">
        <v>0</v>
      </c>
      <c r="T18" s="67">
        <v>0</v>
      </c>
      <c r="U18" s="29">
        <f t="shared" si="0"/>
        <v>0.91666666666666663</v>
      </c>
    </row>
    <row r="19" spans="1:21">
      <c r="A19" s="1" t="s">
        <v>1</v>
      </c>
      <c r="B19" s="25" t="s">
        <v>71</v>
      </c>
      <c r="C19" s="44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67">
        <v>0</v>
      </c>
      <c r="U19" s="29">
        <f t="shared" si="0"/>
        <v>0</v>
      </c>
    </row>
    <row r="20" spans="1:21">
      <c r="A20" s="1" t="s">
        <v>1</v>
      </c>
      <c r="B20" s="6" t="s">
        <v>72</v>
      </c>
      <c r="C20" s="46">
        <v>4.1666666666666664E-2</v>
      </c>
      <c r="D20" s="47">
        <v>0.125</v>
      </c>
      <c r="E20" s="47">
        <v>8.3333333333333329E-2</v>
      </c>
      <c r="F20" s="47">
        <v>1.0833333333333333</v>
      </c>
      <c r="G20" s="47">
        <v>0.16666666666666666</v>
      </c>
      <c r="H20" s="47">
        <v>0.58333333333333337</v>
      </c>
      <c r="I20" s="47">
        <v>0.125</v>
      </c>
      <c r="J20" s="47">
        <v>0.125</v>
      </c>
      <c r="K20" s="47">
        <v>0.125</v>
      </c>
      <c r="L20" s="47">
        <v>0.20833333333333334</v>
      </c>
      <c r="M20" s="47">
        <v>0.95833333333333337</v>
      </c>
      <c r="N20" s="47">
        <v>0.58333333333333337</v>
      </c>
      <c r="O20" s="47">
        <v>1.375</v>
      </c>
      <c r="P20" s="47">
        <v>0.5</v>
      </c>
      <c r="Q20" s="47">
        <v>0.45833333333333331</v>
      </c>
      <c r="R20" s="47">
        <v>1.0416666666666667</v>
      </c>
      <c r="S20" s="47">
        <v>0.33333333333333331</v>
      </c>
      <c r="T20" s="68">
        <v>8.3333333333333329E-2</v>
      </c>
      <c r="U20" s="8">
        <f t="shared" si="0"/>
        <v>8</v>
      </c>
    </row>
    <row r="21" spans="1:21">
      <c r="A21" s="1" t="s">
        <v>1</v>
      </c>
      <c r="B21" s="15" t="s">
        <v>73</v>
      </c>
      <c r="C21" s="48">
        <v>19</v>
      </c>
      <c r="D21" s="49">
        <v>17</v>
      </c>
      <c r="E21" s="49">
        <v>34</v>
      </c>
      <c r="F21" s="49">
        <v>38</v>
      </c>
      <c r="G21" s="49">
        <v>27</v>
      </c>
      <c r="H21" s="49">
        <v>26</v>
      </c>
      <c r="I21" s="49">
        <v>21</v>
      </c>
      <c r="J21" s="49">
        <v>30</v>
      </c>
      <c r="K21" s="49">
        <v>26.5</v>
      </c>
      <c r="L21" s="49">
        <v>36</v>
      </c>
      <c r="M21" s="49">
        <v>12</v>
      </c>
      <c r="N21" s="49">
        <v>38</v>
      </c>
      <c r="O21" s="49">
        <v>19</v>
      </c>
      <c r="P21" s="49">
        <v>27.5</v>
      </c>
      <c r="Q21" s="49">
        <v>10</v>
      </c>
      <c r="R21" s="49">
        <v>6</v>
      </c>
      <c r="S21" s="49">
        <v>13</v>
      </c>
      <c r="T21" s="69">
        <v>18</v>
      </c>
      <c r="U21" s="17"/>
    </row>
    <row r="22" spans="1:21">
      <c r="A22" s="1" t="s">
        <v>1</v>
      </c>
      <c r="B22" s="6" t="s">
        <v>74</v>
      </c>
      <c r="C22" s="50">
        <v>177000</v>
      </c>
      <c r="D22" s="51">
        <v>187000</v>
      </c>
      <c r="E22" s="51">
        <v>192000</v>
      </c>
      <c r="F22" s="51">
        <v>192000</v>
      </c>
      <c r="G22" s="51">
        <v>187000</v>
      </c>
      <c r="H22" s="51">
        <v>192000</v>
      </c>
      <c r="I22" s="51">
        <v>177000</v>
      </c>
      <c r="J22" s="51">
        <v>182000</v>
      </c>
      <c r="K22" s="51">
        <v>177000</v>
      </c>
      <c r="L22" s="51">
        <v>187000</v>
      </c>
      <c r="M22" s="51">
        <v>182000</v>
      </c>
      <c r="N22" s="51">
        <v>187000</v>
      </c>
      <c r="O22" s="51">
        <v>177000</v>
      </c>
      <c r="P22" s="51">
        <v>170000</v>
      </c>
      <c r="Q22" s="51">
        <v>170000</v>
      </c>
      <c r="R22" s="51">
        <v>170000</v>
      </c>
      <c r="S22" s="51">
        <v>170000</v>
      </c>
      <c r="T22" s="70">
        <v>170000</v>
      </c>
      <c r="U22" s="31">
        <f t="shared" si="0"/>
        <v>3246000</v>
      </c>
    </row>
    <row r="23" spans="1:21">
      <c r="A23" s="1" t="s">
        <v>1</v>
      </c>
      <c r="B23" s="6" t="s">
        <v>75</v>
      </c>
      <c r="C23" s="52">
        <v>0</v>
      </c>
      <c r="D23" s="53">
        <v>0</v>
      </c>
      <c r="E23" s="53">
        <v>20000</v>
      </c>
      <c r="F23" s="53">
        <v>20000</v>
      </c>
      <c r="G23" s="53">
        <v>0</v>
      </c>
      <c r="H23" s="53">
        <v>0</v>
      </c>
      <c r="I23" s="53">
        <v>0</v>
      </c>
      <c r="J23" s="53">
        <v>5000</v>
      </c>
      <c r="K23" s="53">
        <v>0</v>
      </c>
      <c r="L23" s="53">
        <v>0</v>
      </c>
      <c r="M23" s="53">
        <v>0</v>
      </c>
      <c r="N23" s="53">
        <v>0</v>
      </c>
      <c r="O23" s="53">
        <v>5000</v>
      </c>
      <c r="P23" s="53">
        <v>0</v>
      </c>
      <c r="Q23" s="53">
        <v>0</v>
      </c>
      <c r="R23" s="53">
        <v>0</v>
      </c>
      <c r="S23" s="53">
        <v>0</v>
      </c>
      <c r="T23" s="71">
        <v>0</v>
      </c>
      <c r="U23" s="33">
        <f t="shared" si="0"/>
        <v>50000</v>
      </c>
    </row>
    <row r="24" spans="1:21">
      <c r="A24" s="1" t="s">
        <v>1</v>
      </c>
      <c r="B24" s="6" t="s">
        <v>76</v>
      </c>
      <c r="C24" s="52">
        <v>0</v>
      </c>
      <c r="D24" s="53">
        <v>0</v>
      </c>
      <c r="E24" s="53">
        <v>0</v>
      </c>
      <c r="F24" s="53">
        <v>0</v>
      </c>
      <c r="G24" s="53">
        <v>3000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71">
        <v>0</v>
      </c>
      <c r="U24" s="33">
        <f t="shared" si="0"/>
        <v>3000</v>
      </c>
    </row>
    <row r="25" spans="1:21">
      <c r="A25" s="1" t="s">
        <v>1</v>
      </c>
      <c r="B25" s="6" t="s">
        <v>77</v>
      </c>
      <c r="C25" s="52">
        <v>0</v>
      </c>
      <c r="D25" s="53">
        <v>5730</v>
      </c>
      <c r="E25" s="53">
        <v>0</v>
      </c>
      <c r="F25" s="53">
        <v>20113</v>
      </c>
      <c r="G25" s="53">
        <v>0</v>
      </c>
      <c r="H25" s="53">
        <v>18772</v>
      </c>
      <c r="I25" s="53">
        <v>4341</v>
      </c>
      <c r="J25" s="53">
        <v>0</v>
      </c>
      <c r="K25" s="53">
        <v>5427</v>
      </c>
      <c r="L25" s="53">
        <v>0</v>
      </c>
      <c r="M25" s="53">
        <v>0</v>
      </c>
      <c r="N25" s="53">
        <v>0</v>
      </c>
      <c r="O25" s="53">
        <v>9236</v>
      </c>
      <c r="P25" s="53">
        <v>5460</v>
      </c>
      <c r="Q25" s="53">
        <v>61016</v>
      </c>
      <c r="R25" s="53">
        <v>0</v>
      </c>
      <c r="S25" s="53">
        <v>0</v>
      </c>
      <c r="T25" s="71">
        <v>58258</v>
      </c>
      <c r="U25" s="33">
        <f t="shared" si="0"/>
        <v>188353</v>
      </c>
    </row>
    <row r="26" spans="1:21">
      <c r="A26" s="1" t="s">
        <v>1</v>
      </c>
      <c r="B26" s="6" t="s">
        <v>78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71">
        <v>0</v>
      </c>
      <c r="U26" s="33">
        <f t="shared" si="0"/>
        <v>0</v>
      </c>
    </row>
    <row r="27" spans="1:21">
      <c r="A27" s="1" t="s">
        <v>1</v>
      </c>
      <c r="B27" s="6" t="s">
        <v>79</v>
      </c>
      <c r="C27" s="52">
        <v>3500</v>
      </c>
      <c r="D27" s="53">
        <v>1000</v>
      </c>
      <c r="E27" s="53">
        <v>3500</v>
      </c>
      <c r="F27" s="53">
        <v>3500</v>
      </c>
      <c r="G27" s="53">
        <v>1000</v>
      </c>
      <c r="H27" s="53">
        <v>3500</v>
      </c>
      <c r="I27" s="53">
        <v>3500</v>
      </c>
      <c r="J27" s="53">
        <v>3500</v>
      </c>
      <c r="K27" s="53">
        <v>3500</v>
      </c>
      <c r="L27" s="53">
        <v>3500</v>
      </c>
      <c r="M27" s="53">
        <v>3500</v>
      </c>
      <c r="N27" s="53">
        <v>3500</v>
      </c>
      <c r="O27" s="53">
        <v>3500</v>
      </c>
      <c r="P27" s="53">
        <v>3500</v>
      </c>
      <c r="Q27" s="53">
        <v>1000</v>
      </c>
      <c r="R27" s="53">
        <v>0</v>
      </c>
      <c r="S27" s="53">
        <v>1000</v>
      </c>
      <c r="T27" s="71">
        <v>1000</v>
      </c>
      <c r="U27" s="33">
        <f t="shared" si="0"/>
        <v>47000</v>
      </c>
    </row>
    <row r="28" spans="1:21">
      <c r="A28" s="1" t="s">
        <v>1</v>
      </c>
      <c r="B28" s="6" t="s">
        <v>80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71">
        <v>0</v>
      </c>
      <c r="U28" s="33">
        <f t="shared" si="0"/>
        <v>0</v>
      </c>
    </row>
    <row r="29" spans="1:21">
      <c r="A29" s="1" t="s">
        <v>1</v>
      </c>
      <c r="B29" s="6" t="s">
        <v>81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4">
        <v>-24543</v>
      </c>
      <c r="R29" s="53">
        <v>0</v>
      </c>
      <c r="S29" s="53">
        <v>0</v>
      </c>
      <c r="T29" s="71">
        <v>0</v>
      </c>
      <c r="U29" s="34">
        <f t="shared" si="0"/>
        <v>-24543</v>
      </c>
    </row>
    <row r="30" spans="1:21">
      <c r="A30" s="1" t="s">
        <v>1</v>
      </c>
      <c r="B30" s="6" t="s">
        <v>65</v>
      </c>
      <c r="C30" s="52">
        <v>33775</v>
      </c>
      <c r="D30" s="53">
        <v>52096</v>
      </c>
      <c r="E30" s="53">
        <v>29034</v>
      </c>
      <c r="F30" s="53">
        <v>109684</v>
      </c>
      <c r="G30" s="53">
        <v>50050</v>
      </c>
      <c r="H30" s="53">
        <v>87840</v>
      </c>
      <c r="I30" s="53">
        <v>60795</v>
      </c>
      <c r="J30" s="53">
        <v>51336</v>
      </c>
      <c r="K30" s="53">
        <v>58093</v>
      </c>
      <c r="L30" s="53">
        <v>55614</v>
      </c>
      <c r="M30" s="53">
        <v>66672</v>
      </c>
      <c r="N30" s="53">
        <v>35650</v>
      </c>
      <c r="O30" s="53">
        <v>91674</v>
      </c>
      <c r="P30" s="53">
        <v>45465</v>
      </c>
      <c r="Q30" s="53">
        <v>37120</v>
      </c>
      <c r="R30" s="53">
        <v>67469</v>
      </c>
      <c r="S30" s="53">
        <v>57600</v>
      </c>
      <c r="T30" s="71">
        <v>21760</v>
      </c>
      <c r="U30" s="33">
        <f t="shared" si="0"/>
        <v>1011727</v>
      </c>
    </row>
    <row r="31" spans="1:21">
      <c r="A31" s="1" t="s">
        <v>1</v>
      </c>
      <c r="B31" s="6" t="s">
        <v>82</v>
      </c>
      <c r="C31" s="52">
        <v>36475</v>
      </c>
      <c r="D31" s="53">
        <v>36480</v>
      </c>
      <c r="E31" s="53">
        <v>66196</v>
      </c>
      <c r="F31" s="53">
        <v>19162</v>
      </c>
      <c r="G31" s="53">
        <v>63304</v>
      </c>
      <c r="H31" s="53">
        <v>72726</v>
      </c>
      <c r="I31" s="53">
        <v>45229</v>
      </c>
      <c r="J31" s="53">
        <v>60060</v>
      </c>
      <c r="K31" s="53">
        <v>48147</v>
      </c>
      <c r="L31" s="53">
        <v>81620</v>
      </c>
      <c r="M31" s="53">
        <v>33000</v>
      </c>
      <c r="N31" s="53">
        <v>56980</v>
      </c>
      <c r="O31" s="53">
        <v>42000</v>
      </c>
      <c r="P31" s="53">
        <v>32269</v>
      </c>
      <c r="Q31" s="53">
        <v>0</v>
      </c>
      <c r="R31" s="53">
        <v>48090</v>
      </c>
      <c r="S31" s="53">
        <v>24876</v>
      </c>
      <c r="T31" s="71">
        <v>52516</v>
      </c>
      <c r="U31" s="33">
        <f t="shared" si="0"/>
        <v>819130</v>
      </c>
    </row>
    <row r="32" spans="1:21">
      <c r="A32" s="1" t="s">
        <v>1</v>
      </c>
      <c r="B32" s="6" t="s">
        <v>83</v>
      </c>
      <c r="C32" s="52">
        <v>35016</v>
      </c>
      <c r="D32" s="53">
        <v>10640</v>
      </c>
      <c r="E32" s="53">
        <v>0</v>
      </c>
      <c r="F32" s="53">
        <v>17420</v>
      </c>
      <c r="G32" s="53">
        <v>41688</v>
      </c>
      <c r="H32" s="53">
        <v>11067</v>
      </c>
      <c r="I32" s="53">
        <v>11672</v>
      </c>
      <c r="J32" s="53">
        <v>0</v>
      </c>
      <c r="K32" s="53">
        <v>21885</v>
      </c>
      <c r="L32" s="53">
        <v>0</v>
      </c>
      <c r="M32" s="53">
        <v>52500</v>
      </c>
      <c r="N32" s="53">
        <v>0</v>
      </c>
      <c r="O32" s="53">
        <v>30000</v>
      </c>
      <c r="P32" s="53">
        <v>14030</v>
      </c>
      <c r="Q32" s="53">
        <v>0</v>
      </c>
      <c r="R32" s="53">
        <v>37098</v>
      </c>
      <c r="S32" s="53">
        <v>34550</v>
      </c>
      <c r="T32" s="71">
        <v>0</v>
      </c>
      <c r="U32" s="33">
        <f t="shared" si="0"/>
        <v>317566</v>
      </c>
    </row>
    <row r="33" spans="1:21">
      <c r="A33" s="1" t="s">
        <v>1</v>
      </c>
      <c r="B33" s="6" t="s">
        <v>84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11814</v>
      </c>
      <c r="R33" s="53">
        <v>0</v>
      </c>
      <c r="S33" s="53">
        <v>0</v>
      </c>
      <c r="T33" s="71">
        <v>0</v>
      </c>
      <c r="U33" s="33">
        <f t="shared" si="0"/>
        <v>11814</v>
      </c>
    </row>
    <row r="34" spans="1:21">
      <c r="A34" s="1" t="s">
        <v>1</v>
      </c>
      <c r="B34" s="6" t="s">
        <v>85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3580</v>
      </c>
      <c r="R34" s="53">
        <v>0</v>
      </c>
      <c r="S34" s="53">
        <v>0</v>
      </c>
      <c r="T34" s="71">
        <v>0</v>
      </c>
      <c r="U34" s="33">
        <f t="shared" si="0"/>
        <v>3580</v>
      </c>
    </row>
    <row r="35" spans="1:21">
      <c r="A35" s="1" t="s">
        <v>1</v>
      </c>
      <c r="B35" s="6" t="s">
        <v>70</v>
      </c>
      <c r="C35" s="52">
        <v>0</v>
      </c>
      <c r="D35" s="53">
        <v>0</v>
      </c>
      <c r="E35" s="53">
        <v>0</v>
      </c>
      <c r="F35" s="53">
        <v>3553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3058</v>
      </c>
      <c r="P35" s="53">
        <v>0</v>
      </c>
      <c r="Q35" s="53">
        <v>0</v>
      </c>
      <c r="R35" s="53">
        <v>0</v>
      </c>
      <c r="S35" s="53">
        <v>0</v>
      </c>
      <c r="T35" s="71">
        <v>0</v>
      </c>
      <c r="U35" s="33">
        <f t="shared" si="0"/>
        <v>6611</v>
      </c>
    </row>
    <row r="36" spans="1:21">
      <c r="A36" s="1" t="s">
        <v>1</v>
      </c>
      <c r="B36" s="6" t="s">
        <v>86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24543</v>
      </c>
      <c r="R36" s="53">
        <v>0</v>
      </c>
      <c r="S36" s="53">
        <v>0</v>
      </c>
      <c r="T36" s="71">
        <v>0</v>
      </c>
      <c r="U36" s="33">
        <f t="shared" si="0"/>
        <v>24543</v>
      </c>
    </row>
    <row r="37" spans="1:21">
      <c r="A37" s="1" t="s">
        <v>1</v>
      </c>
      <c r="B37" s="6" t="s">
        <v>72</v>
      </c>
      <c r="C37" s="55">
        <v>270</v>
      </c>
      <c r="D37" s="56">
        <v>846</v>
      </c>
      <c r="E37" s="56">
        <v>646</v>
      </c>
      <c r="F37" s="56">
        <v>8398</v>
      </c>
      <c r="G37" s="56">
        <v>1144</v>
      </c>
      <c r="H37" s="56">
        <v>4102</v>
      </c>
      <c r="I37" s="56">
        <v>810</v>
      </c>
      <c r="J37" s="56">
        <v>855</v>
      </c>
      <c r="K37" s="56">
        <v>810</v>
      </c>
      <c r="L37" s="56">
        <v>1425</v>
      </c>
      <c r="M37" s="56">
        <v>6394</v>
      </c>
      <c r="N37" s="56">
        <v>3990</v>
      </c>
      <c r="O37" s="56">
        <v>9174</v>
      </c>
      <c r="P37" s="56">
        <v>3120</v>
      </c>
      <c r="Q37" s="56">
        <v>2816</v>
      </c>
      <c r="R37" s="56">
        <v>6375</v>
      </c>
      <c r="S37" s="56">
        <v>2048</v>
      </c>
      <c r="T37" s="72">
        <v>512</v>
      </c>
      <c r="U37" s="10">
        <f t="shared" si="0"/>
        <v>53735</v>
      </c>
    </row>
    <row r="38" spans="1:21">
      <c r="A38" s="1" t="s">
        <v>1</v>
      </c>
      <c r="B38" s="15" t="s">
        <v>87</v>
      </c>
      <c r="C38" s="57">
        <v>286036</v>
      </c>
      <c r="D38" s="58">
        <v>293792</v>
      </c>
      <c r="E38" s="58">
        <v>311376</v>
      </c>
      <c r="F38" s="58">
        <v>393830</v>
      </c>
      <c r="G38" s="58">
        <v>347186</v>
      </c>
      <c r="H38" s="58">
        <v>390007</v>
      </c>
      <c r="I38" s="58">
        <v>303347</v>
      </c>
      <c r="J38" s="58">
        <v>302751</v>
      </c>
      <c r="K38" s="58">
        <v>314862</v>
      </c>
      <c r="L38" s="58">
        <v>329159</v>
      </c>
      <c r="M38" s="58">
        <v>344066</v>
      </c>
      <c r="N38" s="58">
        <v>287120</v>
      </c>
      <c r="O38" s="58">
        <v>370642</v>
      </c>
      <c r="P38" s="58">
        <v>273844</v>
      </c>
      <c r="Q38" s="58">
        <v>287346</v>
      </c>
      <c r="R38" s="58">
        <v>329032</v>
      </c>
      <c r="S38" s="58">
        <v>290074</v>
      </c>
      <c r="T38" s="73">
        <v>304046</v>
      </c>
      <c r="U38" s="19">
        <f t="shared" si="0"/>
        <v>5758516</v>
      </c>
    </row>
    <row r="39" spans="1:21">
      <c r="A39" s="1" t="s">
        <v>1</v>
      </c>
      <c r="B39" s="6" t="s">
        <v>88</v>
      </c>
      <c r="C39" s="55">
        <v>13493</v>
      </c>
      <c r="D39" s="56">
        <v>3104</v>
      </c>
      <c r="E39" s="56">
        <v>6072</v>
      </c>
      <c r="F39" s="56">
        <v>2834</v>
      </c>
      <c r="G39" s="56">
        <v>14896</v>
      </c>
      <c r="H39" s="56">
        <v>2375</v>
      </c>
      <c r="I39" s="56">
        <v>2699</v>
      </c>
      <c r="J39" s="56">
        <v>1134</v>
      </c>
      <c r="K39" s="56">
        <v>3239</v>
      </c>
      <c r="L39" s="56">
        <v>5182</v>
      </c>
      <c r="M39" s="56">
        <v>5289</v>
      </c>
      <c r="N39" s="56">
        <v>8096</v>
      </c>
      <c r="O39" s="56">
        <v>6477</v>
      </c>
      <c r="P39" s="56">
        <v>9634</v>
      </c>
      <c r="Q39" s="56">
        <v>5505</v>
      </c>
      <c r="R39" s="56">
        <v>9310</v>
      </c>
      <c r="S39" s="56">
        <v>8420</v>
      </c>
      <c r="T39" s="72">
        <v>2699</v>
      </c>
      <c r="U39" s="10">
        <f t="shared" si="0"/>
        <v>110458</v>
      </c>
    </row>
    <row r="40" spans="1:21">
      <c r="A40" s="1" t="s">
        <v>1</v>
      </c>
      <c r="B40" s="6" t="s">
        <v>89</v>
      </c>
      <c r="C40" s="55">
        <v>13493</v>
      </c>
      <c r="D40" s="56">
        <v>3104</v>
      </c>
      <c r="E40" s="56">
        <v>6072</v>
      </c>
      <c r="F40" s="56">
        <v>2834</v>
      </c>
      <c r="G40" s="56">
        <v>14896</v>
      </c>
      <c r="H40" s="56">
        <v>2375</v>
      </c>
      <c r="I40" s="56">
        <v>2699</v>
      </c>
      <c r="J40" s="56">
        <v>1134</v>
      </c>
      <c r="K40" s="56">
        <v>3239</v>
      </c>
      <c r="L40" s="56">
        <v>5182</v>
      </c>
      <c r="M40" s="56">
        <v>5289</v>
      </c>
      <c r="N40" s="56">
        <v>8096</v>
      </c>
      <c r="O40" s="56">
        <v>6477</v>
      </c>
      <c r="P40" s="56">
        <v>9634</v>
      </c>
      <c r="Q40" s="56">
        <v>5505</v>
      </c>
      <c r="R40" s="56">
        <v>9310</v>
      </c>
      <c r="S40" s="56">
        <v>8420</v>
      </c>
      <c r="T40" s="72">
        <v>2699</v>
      </c>
      <c r="U40" s="10">
        <f t="shared" si="0"/>
        <v>110458</v>
      </c>
    </row>
    <row r="41" spans="1:21">
      <c r="A41" s="1" t="s">
        <v>1</v>
      </c>
      <c r="B41" s="15" t="s">
        <v>90</v>
      </c>
      <c r="C41" s="57">
        <v>299529</v>
      </c>
      <c r="D41" s="58">
        <v>296896</v>
      </c>
      <c r="E41" s="58">
        <v>317448</v>
      </c>
      <c r="F41" s="58">
        <v>396664</v>
      </c>
      <c r="G41" s="58">
        <v>362082</v>
      </c>
      <c r="H41" s="58">
        <v>392382</v>
      </c>
      <c r="I41" s="58">
        <v>306046</v>
      </c>
      <c r="J41" s="58">
        <v>303885</v>
      </c>
      <c r="K41" s="58">
        <v>318101</v>
      </c>
      <c r="L41" s="58">
        <v>334341</v>
      </c>
      <c r="M41" s="58">
        <v>349355</v>
      </c>
      <c r="N41" s="58">
        <v>295216</v>
      </c>
      <c r="O41" s="58">
        <v>377119</v>
      </c>
      <c r="P41" s="58">
        <v>283478</v>
      </c>
      <c r="Q41" s="58">
        <v>292851</v>
      </c>
      <c r="R41" s="58">
        <v>338342</v>
      </c>
      <c r="S41" s="58">
        <v>298494</v>
      </c>
      <c r="T41" s="73">
        <v>306745</v>
      </c>
      <c r="U41" s="19">
        <f t="shared" si="0"/>
        <v>5868974</v>
      </c>
    </row>
    <row r="42" spans="1:21">
      <c r="A42" s="1" t="s">
        <v>1</v>
      </c>
      <c r="B42" s="35" t="s">
        <v>91</v>
      </c>
      <c r="C42" s="50">
        <v>15300</v>
      </c>
      <c r="D42" s="51">
        <v>16320</v>
      </c>
      <c r="E42" s="51">
        <v>19380</v>
      </c>
      <c r="F42" s="51">
        <v>20910</v>
      </c>
      <c r="G42" s="51">
        <v>17340</v>
      </c>
      <c r="H42" s="51">
        <v>19380</v>
      </c>
      <c r="I42" s="51">
        <v>16320</v>
      </c>
      <c r="J42" s="51">
        <v>16320</v>
      </c>
      <c r="K42" s="51">
        <v>16320</v>
      </c>
      <c r="L42" s="51">
        <v>18360</v>
      </c>
      <c r="M42" s="51">
        <v>16320</v>
      </c>
      <c r="N42" s="51">
        <v>16320</v>
      </c>
      <c r="O42" s="51">
        <v>17340</v>
      </c>
      <c r="P42" s="51">
        <v>14280</v>
      </c>
      <c r="Q42" s="51">
        <v>14280</v>
      </c>
      <c r="R42" s="51">
        <v>16320</v>
      </c>
      <c r="S42" s="51">
        <v>14280</v>
      </c>
      <c r="T42" s="70">
        <v>15300</v>
      </c>
      <c r="U42" s="31">
        <f t="shared" si="0"/>
        <v>300390</v>
      </c>
    </row>
    <row r="43" spans="1:21">
      <c r="A43" s="1" t="s">
        <v>1</v>
      </c>
      <c r="B43" s="25" t="s">
        <v>92</v>
      </c>
      <c r="C43" s="52">
        <v>2700</v>
      </c>
      <c r="D43" s="53">
        <v>2880</v>
      </c>
      <c r="E43" s="53">
        <v>3420</v>
      </c>
      <c r="F43" s="53">
        <v>3690</v>
      </c>
      <c r="G43" s="53">
        <v>0</v>
      </c>
      <c r="H43" s="53">
        <v>3420</v>
      </c>
      <c r="I43" s="53">
        <v>2880</v>
      </c>
      <c r="J43" s="53">
        <v>2880</v>
      </c>
      <c r="K43" s="53">
        <v>2880</v>
      </c>
      <c r="L43" s="53">
        <v>3240</v>
      </c>
      <c r="M43" s="53">
        <v>2880</v>
      </c>
      <c r="N43" s="53">
        <v>2880</v>
      </c>
      <c r="O43" s="53">
        <v>3060</v>
      </c>
      <c r="P43" s="53">
        <v>2520</v>
      </c>
      <c r="Q43" s="53">
        <v>2520</v>
      </c>
      <c r="R43" s="53">
        <v>2880</v>
      </c>
      <c r="S43" s="53">
        <v>2520</v>
      </c>
      <c r="T43" s="71">
        <v>2700</v>
      </c>
      <c r="U43" s="33">
        <f t="shared" si="0"/>
        <v>49950</v>
      </c>
    </row>
    <row r="44" spans="1:21">
      <c r="A44" s="1" t="s">
        <v>1</v>
      </c>
      <c r="B44" s="25" t="s">
        <v>93</v>
      </c>
      <c r="C44" s="52">
        <v>27450</v>
      </c>
      <c r="D44" s="53">
        <v>29280</v>
      </c>
      <c r="E44" s="53">
        <v>34770</v>
      </c>
      <c r="F44" s="53">
        <v>37515</v>
      </c>
      <c r="G44" s="53">
        <v>31110</v>
      </c>
      <c r="H44" s="53">
        <v>34770</v>
      </c>
      <c r="I44" s="53">
        <v>29280</v>
      </c>
      <c r="J44" s="53">
        <v>29280</v>
      </c>
      <c r="K44" s="53">
        <v>29280</v>
      </c>
      <c r="L44" s="53">
        <v>32940</v>
      </c>
      <c r="M44" s="53">
        <v>29280</v>
      </c>
      <c r="N44" s="53">
        <v>29280</v>
      </c>
      <c r="O44" s="53">
        <v>31110</v>
      </c>
      <c r="P44" s="53">
        <v>25620</v>
      </c>
      <c r="Q44" s="53">
        <v>25620</v>
      </c>
      <c r="R44" s="53">
        <v>29280</v>
      </c>
      <c r="S44" s="53">
        <v>25620</v>
      </c>
      <c r="T44" s="71">
        <v>27450</v>
      </c>
      <c r="U44" s="33">
        <f t="shared" si="0"/>
        <v>538935</v>
      </c>
    </row>
    <row r="45" spans="1:21">
      <c r="A45" s="1" t="s">
        <v>1</v>
      </c>
      <c r="B45" s="6" t="s">
        <v>94</v>
      </c>
      <c r="C45" s="55">
        <v>1797</v>
      </c>
      <c r="D45" s="56">
        <v>1781</v>
      </c>
      <c r="E45" s="56">
        <v>1905</v>
      </c>
      <c r="F45" s="56">
        <v>2380</v>
      </c>
      <c r="G45" s="56">
        <v>2172</v>
      </c>
      <c r="H45" s="56">
        <v>2354</v>
      </c>
      <c r="I45" s="56">
        <v>1836</v>
      </c>
      <c r="J45" s="56">
        <v>1823</v>
      </c>
      <c r="K45" s="56">
        <v>1909</v>
      </c>
      <c r="L45" s="56">
        <v>2006</v>
      </c>
      <c r="M45" s="56">
        <v>2096</v>
      </c>
      <c r="N45" s="56">
        <v>1771</v>
      </c>
      <c r="O45" s="56">
        <v>2263</v>
      </c>
      <c r="P45" s="56">
        <v>1701</v>
      </c>
      <c r="Q45" s="56">
        <v>1757</v>
      </c>
      <c r="R45" s="56">
        <v>2030</v>
      </c>
      <c r="S45" s="56">
        <v>1791</v>
      </c>
      <c r="T45" s="72">
        <v>1840</v>
      </c>
      <c r="U45" s="10">
        <f t="shared" si="0"/>
        <v>35212</v>
      </c>
    </row>
    <row r="46" spans="1:21">
      <c r="A46" s="1" t="s">
        <v>1</v>
      </c>
      <c r="B46" s="15" t="s">
        <v>95</v>
      </c>
      <c r="C46" s="57">
        <v>47247</v>
      </c>
      <c r="D46" s="58">
        <v>50261</v>
      </c>
      <c r="E46" s="58">
        <v>59475</v>
      </c>
      <c r="F46" s="58">
        <v>64495</v>
      </c>
      <c r="G46" s="58">
        <v>50622</v>
      </c>
      <c r="H46" s="58">
        <v>59924</v>
      </c>
      <c r="I46" s="58">
        <v>50316</v>
      </c>
      <c r="J46" s="58">
        <v>50303</v>
      </c>
      <c r="K46" s="58">
        <v>50389</v>
      </c>
      <c r="L46" s="58">
        <v>56546</v>
      </c>
      <c r="M46" s="58">
        <v>50576</v>
      </c>
      <c r="N46" s="58">
        <v>50251</v>
      </c>
      <c r="O46" s="58">
        <v>53773</v>
      </c>
      <c r="P46" s="58">
        <v>44121</v>
      </c>
      <c r="Q46" s="58">
        <v>44177</v>
      </c>
      <c r="R46" s="58">
        <v>50510</v>
      </c>
      <c r="S46" s="58">
        <v>44211</v>
      </c>
      <c r="T46" s="73">
        <v>47290</v>
      </c>
      <c r="U46" s="19">
        <f t="shared" si="0"/>
        <v>924487</v>
      </c>
    </row>
    <row r="47" spans="1:21">
      <c r="A47" s="1" t="s">
        <v>1</v>
      </c>
      <c r="B47" s="35" t="s">
        <v>96</v>
      </c>
      <c r="C47" s="50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70">
        <v>0</v>
      </c>
      <c r="U47" s="31">
        <f t="shared" si="0"/>
        <v>0</v>
      </c>
    </row>
    <row r="48" spans="1:21">
      <c r="A48" s="1" t="s">
        <v>1</v>
      </c>
      <c r="B48" s="25" t="s">
        <v>97</v>
      </c>
      <c r="C48" s="52">
        <v>1300</v>
      </c>
      <c r="D48" s="53">
        <v>1300</v>
      </c>
      <c r="E48" s="53">
        <v>1300</v>
      </c>
      <c r="F48" s="53">
        <v>0</v>
      </c>
      <c r="G48" s="53">
        <v>1300</v>
      </c>
      <c r="H48" s="53">
        <v>1300</v>
      </c>
      <c r="I48" s="53">
        <v>1300</v>
      </c>
      <c r="J48" s="53">
        <v>1300</v>
      </c>
      <c r="K48" s="53">
        <v>1300</v>
      </c>
      <c r="L48" s="53">
        <v>1300</v>
      </c>
      <c r="M48" s="53">
        <v>0</v>
      </c>
      <c r="N48" s="53">
        <v>1300</v>
      </c>
      <c r="O48" s="53">
        <v>1300</v>
      </c>
      <c r="P48" s="53">
        <v>1300</v>
      </c>
      <c r="Q48" s="53">
        <v>1300</v>
      </c>
      <c r="R48" s="53">
        <v>1300</v>
      </c>
      <c r="S48" s="53">
        <v>1300</v>
      </c>
      <c r="T48" s="71">
        <v>0</v>
      </c>
      <c r="U48" s="33">
        <f t="shared" si="0"/>
        <v>19500</v>
      </c>
    </row>
    <row r="49" spans="1:21">
      <c r="A49" s="1" t="s">
        <v>1</v>
      </c>
      <c r="B49" s="6" t="s">
        <v>98</v>
      </c>
      <c r="C49" s="55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72">
        <v>0</v>
      </c>
      <c r="U49" s="10">
        <f t="shared" si="0"/>
        <v>0</v>
      </c>
    </row>
    <row r="50" spans="1:21">
      <c r="A50" s="1" t="s">
        <v>1</v>
      </c>
      <c r="B50" s="15" t="s">
        <v>99</v>
      </c>
      <c r="C50" s="57">
        <v>48547</v>
      </c>
      <c r="D50" s="58">
        <v>51561</v>
      </c>
      <c r="E50" s="58">
        <v>60775</v>
      </c>
      <c r="F50" s="58">
        <v>64495</v>
      </c>
      <c r="G50" s="58">
        <v>51922</v>
      </c>
      <c r="H50" s="58">
        <v>61224</v>
      </c>
      <c r="I50" s="58">
        <v>51616</v>
      </c>
      <c r="J50" s="58">
        <v>51603</v>
      </c>
      <c r="K50" s="58">
        <v>51689</v>
      </c>
      <c r="L50" s="58">
        <v>57846</v>
      </c>
      <c r="M50" s="58">
        <v>50576</v>
      </c>
      <c r="N50" s="58">
        <v>51551</v>
      </c>
      <c r="O50" s="58">
        <v>55073</v>
      </c>
      <c r="P50" s="58">
        <v>45421</v>
      </c>
      <c r="Q50" s="58">
        <v>45477</v>
      </c>
      <c r="R50" s="58">
        <v>51810</v>
      </c>
      <c r="S50" s="58">
        <v>45511</v>
      </c>
      <c r="T50" s="73">
        <v>47290</v>
      </c>
      <c r="U50" s="19">
        <f t="shared" si="0"/>
        <v>943987</v>
      </c>
    </row>
    <row r="51" spans="1:21">
      <c r="A51" s="1" t="s">
        <v>1</v>
      </c>
      <c r="B51" s="15" t="s">
        <v>100</v>
      </c>
      <c r="C51" s="57">
        <v>238789</v>
      </c>
      <c r="D51" s="58">
        <v>243531</v>
      </c>
      <c r="E51" s="58">
        <v>251901</v>
      </c>
      <c r="F51" s="58">
        <v>329335</v>
      </c>
      <c r="G51" s="58">
        <v>296564</v>
      </c>
      <c r="H51" s="58">
        <v>330083</v>
      </c>
      <c r="I51" s="58">
        <v>253031</v>
      </c>
      <c r="J51" s="58">
        <v>252448</v>
      </c>
      <c r="K51" s="58">
        <v>264473</v>
      </c>
      <c r="L51" s="58">
        <v>272613</v>
      </c>
      <c r="M51" s="58">
        <v>293490</v>
      </c>
      <c r="N51" s="58">
        <v>236869</v>
      </c>
      <c r="O51" s="58">
        <v>316869</v>
      </c>
      <c r="P51" s="58">
        <v>229723</v>
      </c>
      <c r="Q51" s="58">
        <v>243169</v>
      </c>
      <c r="R51" s="58">
        <v>278522</v>
      </c>
      <c r="S51" s="58">
        <v>245863</v>
      </c>
      <c r="T51" s="73">
        <v>256756</v>
      </c>
      <c r="U51" s="19">
        <f t="shared" si="0"/>
        <v>4834029</v>
      </c>
    </row>
    <row r="52" spans="1:21">
      <c r="A52" s="1" t="s">
        <v>1</v>
      </c>
      <c r="B52" s="15" t="s">
        <v>101</v>
      </c>
      <c r="C52" s="57">
        <v>250982</v>
      </c>
      <c r="D52" s="58">
        <v>245335</v>
      </c>
      <c r="E52" s="58">
        <v>256673</v>
      </c>
      <c r="F52" s="58">
        <v>332169</v>
      </c>
      <c r="G52" s="58">
        <v>310160</v>
      </c>
      <c r="H52" s="58">
        <v>331158</v>
      </c>
      <c r="I52" s="58">
        <v>254430</v>
      </c>
      <c r="J52" s="58">
        <v>252282</v>
      </c>
      <c r="K52" s="58">
        <v>266412</v>
      </c>
      <c r="L52" s="58">
        <v>276495</v>
      </c>
      <c r="M52" s="58">
        <v>298779</v>
      </c>
      <c r="N52" s="58">
        <v>243665</v>
      </c>
      <c r="O52" s="58">
        <v>322046</v>
      </c>
      <c r="P52" s="58">
        <v>238057</v>
      </c>
      <c r="Q52" s="58">
        <v>247374</v>
      </c>
      <c r="R52" s="58">
        <v>286532</v>
      </c>
      <c r="S52" s="58">
        <v>252983</v>
      </c>
      <c r="T52" s="73">
        <v>259455</v>
      </c>
      <c r="U52" s="19">
        <f t="shared" si="0"/>
        <v>4924987</v>
      </c>
    </row>
    <row r="53" spans="1:21">
      <c r="A53" s="1" t="s">
        <v>1</v>
      </c>
      <c r="B53" s="15" t="s">
        <v>102</v>
      </c>
      <c r="C53" s="57">
        <v>250982</v>
      </c>
      <c r="D53" s="58">
        <v>245335</v>
      </c>
      <c r="E53" s="58">
        <v>256673</v>
      </c>
      <c r="F53" s="58">
        <v>332169</v>
      </c>
      <c r="G53" s="58">
        <v>310160</v>
      </c>
      <c r="H53" s="58">
        <v>331158</v>
      </c>
      <c r="I53" s="58">
        <v>254430</v>
      </c>
      <c r="J53" s="58">
        <v>252282</v>
      </c>
      <c r="K53" s="58">
        <v>266412</v>
      </c>
      <c r="L53" s="58">
        <v>276495</v>
      </c>
      <c r="M53" s="58">
        <v>298779</v>
      </c>
      <c r="N53" s="58">
        <v>243665</v>
      </c>
      <c r="O53" s="58">
        <v>322046</v>
      </c>
      <c r="P53" s="58">
        <v>238057</v>
      </c>
      <c r="Q53" s="58">
        <v>247374</v>
      </c>
      <c r="R53" s="58">
        <v>286532</v>
      </c>
      <c r="S53" s="58">
        <v>252983</v>
      </c>
      <c r="T53" s="73">
        <v>259455</v>
      </c>
      <c r="U53" s="19">
        <f t="shared" si="0"/>
        <v>4924987</v>
      </c>
    </row>
    <row r="54" spans="1:21">
      <c r="A54" s="1" t="s">
        <v>1</v>
      </c>
      <c r="B54" s="15" t="s">
        <v>103</v>
      </c>
      <c r="C54" s="57">
        <v>1</v>
      </c>
      <c r="D54" s="58">
        <v>0</v>
      </c>
      <c r="E54" s="58">
        <v>1</v>
      </c>
      <c r="F54" s="58">
        <v>0</v>
      </c>
      <c r="G54" s="58">
        <v>1</v>
      </c>
      <c r="H54" s="58">
        <v>0</v>
      </c>
      <c r="I54" s="58">
        <v>0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4</v>
      </c>
      <c r="P54" s="58">
        <v>0</v>
      </c>
      <c r="Q54" s="58">
        <v>0</v>
      </c>
      <c r="R54" s="58">
        <v>1</v>
      </c>
      <c r="S54" s="58">
        <v>0</v>
      </c>
      <c r="T54" s="73">
        <v>0</v>
      </c>
      <c r="U54" s="19"/>
    </row>
    <row r="55" spans="1:21">
      <c r="A55" s="1" t="s">
        <v>1</v>
      </c>
      <c r="B55" s="15" t="s">
        <v>104</v>
      </c>
      <c r="C55" s="59" t="s">
        <v>105</v>
      </c>
      <c r="D55" s="60" t="s">
        <v>105</v>
      </c>
      <c r="E55" s="60" t="s">
        <v>105</v>
      </c>
      <c r="F55" s="60" t="s">
        <v>105</v>
      </c>
      <c r="G55" s="60" t="s">
        <v>105</v>
      </c>
      <c r="H55" s="60" t="s">
        <v>105</v>
      </c>
      <c r="I55" s="60" t="s">
        <v>105</v>
      </c>
      <c r="J55" s="60" t="s">
        <v>105</v>
      </c>
      <c r="K55" s="60" t="s">
        <v>105</v>
      </c>
      <c r="L55" s="60" t="s">
        <v>105</v>
      </c>
      <c r="M55" s="60" t="s">
        <v>105</v>
      </c>
      <c r="N55" s="60" t="s">
        <v>105</v>
      </c>
      <c r="O55" s="60" t="s">
        <v>105</v>
      </c>
      <c r="P55" s="60" t="s">
        <v>105</v>
      </c>
      <c r="Q55" s="60" t="s">
        <v>105</v>
      </c>
      <c r="R55" s="60" t="s">
        <v>105</v>
      </c>
      <c r="S55" s="60" t="s">
        <v>105</v>
      </c>
      <c r="T55" s="74" t="s">
        <v>105</v>
      </c>
      <c r="U55" s="21"/>
    </row>
    <row r="56" spans="1:21">
      <c r="A56" s="1" t="s">
        <v>1</v>
      </c>
      <c r="B56" s="15" t="s">
        <v>106</v>
      </c>
      <c r="C56" s="57">
        <v>4530</v>
      </c>
      <c r="D56" s="58">
        <v>6320</v>
      </c>
      <c r="E56" s="58">
        <v>5000</v>
      </c>
      <c r="F56" s="58">
        <v>10780</v>
      </c>
      <c r="G56" s="58">
        <v>6600</v>
      </c>
      <c r="H56" s="58">
        <v>10840</v>
      </c>
      <c r="I56" s="58">
        <v>6660</v>
      </c>
      <c r="J56" s="58">
        <v>5020</v>
      </c>
      <c r="K56" s="58">
        <v>7070</v>
      </c>
      <c r="L56" s="58">
        <v>7360</v>
      </c>
      <c r="M56" s="58">
        <v>8110</v>
      </c>
      <c r="N56" s="58">
        <v>6080</v>
      </c>
      <c r="O56" s="58">
        <v>2560</v>
      </c>
      <c r="P56" s="58">
        <v>5830</v>
      </c>
      <c r="Q56" s="58">
        <v>6310</v>
      </c>
      <c r="R56" s="58">
        <v>5950</v>
      </c>
      <c r="S56" s="58">
        <v>6400</v>
      </c>
      <c r="T56" s="73">
        <v>6790</v>
      </c>
      <c r="U56" s="19">
        <f t="shared" si="0"/>
        <v>118210</v>
      </c>
    </row>
    <row r="57" spans="1:21">
      <c r="A57" s="1" t="s">
        <v>1</v>
      </c>
      <c r="B57" s="15" t="s">
        <v>107</v>
      </c>
      <c r="C57" s="57">
        <v>4530</v>
      </c>
      <c r="D57" s="58">
        <v>6320</v>
      </c>
      <c r="E57" s="58">
        <v>5000</v>
      </c>
      <c r="F57" s="58">
        <v>10780</v>
      </c>
      <c r="G57" s="58">
        <v>6600</v>
      </c>
      <c r="H57" s="58">
        <v>10840</v>
      </c>
      <c r="I57" s="58">
        <v>6660</v>
      </c>
      <c r="J57" s="58">
        <v>5020</v>
      </c>
      <c r="K57" s="58">
        <v>7070</v>
      </c>
      <c r="L57" s="58">
        <v>7360</v>
      </c>
      <c r="M57" s="58">
        <v>8110</v>
      </c>
      <c r="N57" s="58">
        <v>6080</v>
      </c>
      <c r="O57" s="58">
        <v>2560</v>
      </c>
      <c r="P57" s="58">
        <v>5830</v>
      </c>
      <c r="Q57" s="58">
        <v>6310</v>
      </c>
      <c r="R57" s="58">
        <v>5950</v>
      </c>
      <c r="S57" s="58">
        <v>6400</v>
      </c>
      <c r="T57" s="73">
        <v>6790</v>
      </c>
      <c r="U57" s="19">
        <f t="shared" si="0"/>
        <v>118210</v>
      </c>
    </row>
    <row r="58" spans="1:21" ht="19.5" thickBot="1">
      <c r="A58" s="1" t="s">
        <v>1</v>
      </c>
      <c r="B58" s="11" t="s">
        <v>108</v>
      </c>
      <c r="C58" s="61">
        <v>60000</v>
      </c>
      <c r="D58" s="62">
        <v>30000</v>
      </c>
      <c r="E58" s="62">
        <v>60000</v>
      </c>
      <c r="F58" s="62">
        <v>30000</v>
      </c>
      <c r="G58" s="62">
        <v>30000</v>
      </c>
      <c r="H58" s="62">
        <v>30000</v>
      </c>
      <c r="I58" s="62">
        <v>30000</v>
      </c>
      <c r="J58" s="62">
        <v>60000</v>
      </c>
      <c r="K58" s="62">
        <v>30000</v>
      </c>
      <c r="L58" s="62">
        <v>30000</v>
      </c>
      <c r="M58" s="62">
        <v>30000</v>
      </c>
      <c r="N58" s="62">
        <v>30000</v>
      </c>
      <c r="O58" s="62">
        <v>150000</v>
      </c>
      <c r="P58" s="62">
        <v>30000</v>
      </c>
      <c r="Q58" s="62">
        <v>30000</v>
      </c>
      <c r="R58" s="62">
        <v>60000</v>
      </c>
      <c r="S58" s="62">
        <v>30000</v>
      </c>
      <c r="T58" s="75">
        <v>30000</v>
      </c>
      <c r="U58" s="13"/>
    </row>
  </sheetData>
  <phoneticPr fontId="3"/>
  <pageMargins left="0.11811023622047245" right="0.11811023622047245" top="0.15748031496062992" bottom="0.15748031496062992" header="0.11811023622047245" footer="0.11811023622047245"/>
  <pageSetup paperSize="12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 6月度給与 (2)</vt:lpstr>
      <vt:lpstr>2024年 6月度給与 (3)</vt:lpstr>
      <vt:lpstr>2024年 6月度給与 (4)</vt:lpstr>
      <vt:lpstr>'2024年 6月度給与 (3)'!Print_Area</vt:lpstr>
      <vt:lpstr>'2024年 6月度給与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2024-07-09T01:37:45Z</cp:lastPrinted>
  <dcterms:created xsi:type="dcterms:W3CDTF">2024-07-06T02:06:15Z</dcterms:created>
  <dcterms:modified xsi:type="dcterms:W3CDTF">2024-07-09T01:39:38Z</dcterms:modified>
</cp:coreProperties>
</file>