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6\"/>
    </mc:Choice>
  </mc:AlternateContent>
  <xr:revisionPtr revIDLastSave="0" documentId="13_ncr:1_{EA89189C-06DB-42A8-968C-B88B9643938D}" xr6:coauthVersionLast="47" xr6:coauthVersionMax="47" xr10:uidLastSave="{00000000-0000-0000-0000-000000000000}"/>
  <bookViews>
    <workbookView xWindow="-120" yWindow="-120" windowWidth="20730" windowHeight="11160" xr2:uid="{610E9893-B833-4EB3-8BC7-E9BF7C68A4AC}"/>
  </bookViews>
  <sheets>
    <sheet name="2024年 6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3" l="1"/>
  <c r="L18" i="3"/>
  <c r="L22" i="3"/>
  <c r="L26" i="3"/>
  <c r="L30" i="3"/>
  <c r="L34" i="3"/>
  <c r="K12" i="3"/>
  <c r="L12" i="3" s="1"/>
  <c r="K13" i="3"/>
  <c r="L13" i="3" s="1"/>
  <c r="K14" i="3"/>
  <c r="K15" i="3"/>
  <c r="L15" i="3" s="1"/>
  <c r="K16" i="3"/>
  <c r="L16" i="3" s="1"/>
  <c r="K17" i="3"/>
  <c r="L17" i="3" s="1"/>
  <c r="K18" i="3"/>
  <c r="K19" i="3"/>
  <c r="L19" i="3" s="1"/>
  <c r="K20" i="3"/>
  <c r="L20" i="3" s="1"/>
  <c r="K21" i="3"/>
  <c r="L21" i="3" s="1"/>
  <c r="K22" i="3"/>
  <c r="K23" i="3"/>
  <c r="L23" i="3" s="1"/>
  <c r="K24" i="3"/>
  <c r="L24" i="3" s="1"/>
  <c r="K25" i="3"/>
  <c r="L25" i="3" s="1"/>
  <c r="K26" i="3"/>
  <c r="K27" i="3"/>
  <c r="L27" i="3" s="1"/>
  <c r="K28" i="3"/>
  <c r="L28" i="3" s="1"/>
  <c r="K29" i="3"/>
  <c r="L29" i="3" s="1"/>
  <c r="K30" i="3"/>
  <c r="K31" i="3"/>
  <c r="L31" i="3" s="1"/>
  <c r="K32" i="3"/>
  <c r="L32" i="3" s="1"/>
  <c r="K33" i="3"/>
  <c r="L33" i="3" s="1"/>
  <c r="K34" i="3"/>
  <c r="K35" i="3"/>
  <c r="L35" i="3" s="1"/>
  <c r="K36" i="3"/>
  <c r="L36" i="3" s="1"/>
  <c r="K11" i="3"/>
  <c r="L11" i="3" s="1"/>
  <c r="K6" i="3"/>
  <c r="L6" i="3" s="1"/>
  <c r="K7" i="3"/>
  <c r="L7" i="3" s="1"/>
  <c r="K8" i="3"/>
  <c r="L8" i="3" s="1"/>
  <c r="K9" i="3"/>
  <c r="K5" i="3"/>
  <c r="L5" i="3" s="1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11" i="3"/>
  <c r="G6" i="3"/>
  <c r="G7" i="3"/>
  <c r="G8" i="3"/>
  <c r="G9" i="3"/>
  <c r="L9" i="3" s="1"/>
  <c r="G5" i="3"/>
</calcChain>
</file>

<file path=xl/sharedStrings.xml><?xml version="1.0" encoding="utf-8"?>
<sst xmlns="http://schemas.openxmlformats.org/spreadsheetml/2006/main" count="96" uniqueCount="56">
  <si>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</si>
  <si>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</si>
  <si>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</si>
  <si>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</si>
  <si>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</si>
  <si>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</si>
  <si>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</si>
  <si>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</si>
  <si>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</si>
  <si>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</si>
  <si>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裕子</t>
    <phoneticPr fontId="4"/>
  </si>
  <si>
    <t>若林　英司</t>
    <phoneticPr fontId="4"/>
  </si>
  <si>
    <t>深沢　道夫</t>
    <phoneticPr fontId="4"/>
  </si>
  <si>
    <t>渋谷　晶子</t>
    <phoneticPr fontId="4"/>
  </si>
  <si>
    <t>平日出勤日数</t>
    <phoneticPr fontId="4"/>
  </si>
  <si>
    <t>有休日数</t>
    <phoneticPr fontId="4"/>
  </si>
  <si>
    <t>就労時間</t>
    <phoneticPr fontId="4"/>
  </si>
  <si>
    <t>所定内残業</t>
    <phoneticPr fontId="4"/>
  </si>
  <si>
    <t>有給休暇時間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</si>
  <si>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</si>
  <si>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</si>
  <si>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</si>
  <si>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</si>
  <si>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</si>
  <si>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</si>
  <si>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</si>
  <si>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</si>
  <si>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</si>
  <si>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</si>
  <si>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</si>
  <si>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</si>
  <si>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</si>
  <si>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</si>
  <si>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</si>
  <si>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</si>
  <si>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</si>
  <si>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</si>
  <si>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</si>
  <si>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</si>
  <si>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</si>
  <si>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</si>
  <si>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</si>
  <si>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</si>
  <si>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甲欄</t>
    <phoneticPr fontId="4"/>
  </si>
  <si>
    <t>乙欄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</si>
  <si>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</si>
  <si>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</si>
  <si>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</si>
  <si>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6月度給与</t>
    <phoneticPr fontId="4"/>
  </si>
  <si>
    <t>浅田恵美子</t>
    <phoneticPr fontId="4"/>
  </si>
  <si>
    <t>若林孝次郎</t>
    <phoneticPr fontId="4"/>
  </si>
  <si>
    <t>若林権太郎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</si>
  <si>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</si>
  <si>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</si>
  <si>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７名</t>
    <rPh sb="1" eb="2">
      <t>メイ</t>
    </rPh>
    <phoneticPr fontId="4"/>
  </si>
  <si>
    <t>3名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</si>
</sst>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24" xfId="1" applyNumberFormat="1" applyFont="1" applyBorder="1" applyAlignment="1">
      <alignment horizontal="left"/>
    </xf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4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28" xfId="1" applyNumberFormat="1" applyFont="1" applyBorder="1" applyAlignment="1">
      <alignment horizontal="left"/>
    </xf>
    <xf numFmtId="176" fontId="2" fillId="0" borderId="29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176" fontId="2" fillId="0" borderId="28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2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39" xfId="1" applyNumberFormat="1" applyFont="1" applyBorder="1"/>
    <xf numFmtId="3" fontId="2" fillId="0" borderId="43" xfId="1" applyNumberFormat="1" applyFont="1" applyBorder="1"/>
    <xf numFmtId="3" fontId="2" fillId="0" borderId="41" xfId="1" applyNumberFormat="1" applyFont="1" applyBorder="1"/>
    <xf numFmtId="3" fontId="2" fillId="0" borderId="44" xfId="1" applyNumberFormat="1" applyFont="1" applyBorder="1"/>
    <xf numFmtId="49" fontId="2" fillId="0" borderId="41" xfId="1" applyNumberFormat="1" applyFont="1" applyBorder="1"/>
    <xf numFmtId="3" fontId="2" fillId="0" borderId="37" xfId="1" applyNumberFormat="1" applyFont="1" applyBorder="1"/>
    <xf numFmtId="49" fontId="2" fillId="0" borderId="45" xfId="1" applyNumberFormat="1" applyFont="1" applyBorder="1" applyAlignment="1">
      <alignment horizontal="center"/>
    </xf>
    <xf numFmtId="49" fontId="2" fillId="0" borderId="46" xfId="1" applyNumberFormat="1" applyFont="1" applyBorder="1" applyAlignment="1">
      <alignment horizontal="center"/>
    </xf>
    <xf numFmtId="2" fontId="2" fillId="0" borderId="47" xfId="1" applyNumberFormat="1" applyFont="1" applyBorder="1"/>
    <xf numFmtId="2" fontId="2" fillId="0" borderId="48" xfId="1" applyNumberFormat="1" applyFont="1" applyBorder="1"/>
    <xf numFmtId="176" fontId="2" fillId="0" borderId="48" xfId="1" applyNumberFormat="1" applyFont="1" applyBorder="1"/>
    <xf numFmtId="176" fontId="2" fillId="0" borderId="49" xfId="1" applyNumberFormat="1" applyFont="1" applyBorder="1"/>
    <xf numFmtId="2" fontId="2" fillId="0" borderId="50" xfId="1" applyNumberFormat="1" applyFont="1" applyBorder="1"/>
    <xf numFmtId="3" fontId="2" fillId="0" borderId="51" xfId="1" applyNumberFormat="1" applyFont="1" applyBorder="1"/>
    <xf numFmtId="3" fontId="2" fillId="0" borderId="48" xfId="1" applyNumberFormat="1" applyFont="1" applyBorder="1"/>
    <xf numFmtId="3" fontId="2" fillId="0" borderId="52" xfId="1" applyNumberFormat="1" applyFont="1" applyBorder="1"/>
    <xf numFmtId="3" fontId="2" fillId="0" borderId="50" xfId="1" applyNumberFormat="1" applyFont="1" applyBorder="1"/>
    <xf numFmtId="3" fontId="2" fillId="0" borderId="53" xfId="1" applyNumberFormat="1" applyFont="1" applyBorder="1"/>
    <xf numFmtId="49" fontId="2" fillId="0" borderId="50" xfId="1" applyNumberFormat="1" applyFont="1" applyBorder="1"/>
    <xf numFmtId="3" fontId="2" fillId="0" borderId="46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7B12F844-61A4-4E1B-AC50-917B11D754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B19F-95E1-4B7A-8CCB-8557FD4AD176}">
  <sheetPr>
    <pageSetUpPr fitToPage="1"/>
  </sheetPr>
  <dimension ref="A1:L3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37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48</v>
      </c>
    </row>
    <row r="3" spans="1:12">
      <c r="B3" s="12"/>
      <c r="C3" s="24" t="s">
        <v>2</v>
      </c>
      <c r="D3" s="25" t="s">
        <v>3</v>
      </c>
      <c r="E3" s="25" t="s">
        <v>4</v>
      </c>
      <c r="F3" s="67" t="s">
        <v>5</v>
      </c>
      <c r="G3" s="95" t="s">
        <v>52</v>
      </c>
      <c r="H3" s="81" t="s">
        <v>7</v>
      </c>
      <c r="I3" s="25" t="s">
        <v>6</v>
      </c>
      <c r="J3" s="4" t="s">
        <v>8</v>
      </c>
      <c r="K3" s="95" t="s">
        <v>52</v>
      </c>
      <c r="L3" s="97" t="s">
        <v>52</v>
      </c>
    </row>
    <row r="4" spans="1:12" ht="19.5" thickBot="1">
      <c r="B4" s="5" t="s">
        <v>9</v>
      </c>
      <c r="C4" s="26" t="s">
        <v>51</v>
      </c>
      <c r="D4" s="27" t="s">
        <v>50</v>
      </c>
      <c r="E4" s="27" t="s">
        <v>10</v>
      </c>
      <c r="F4" s="68" t="s">
        <v>11</v>
      </c>
      <c r="G4" s="96" t="s">
        <v>53</v>
      </c>
      <c r="H4" s="82" t="s">
        <v>49</v>
      </c>
      <c r="I4" s="27" t="s">
        <v>12</v>
      </c>
      <c r="J4" s="3" t="s">
        <v>13</v>
      </c>
      <c r="K4" s="96" t="s">
        <v>55</v>
      </c>
      <c r="L4" s="5" t="s">
        <v>54</v>
      </c>
    </row>
    <row r="5" spans="1:12">
      <c r="A5" s="1" t="s">
        <v>1</v>
      </c>
      <c r="B5" s="40" t="s">
        <v>14</v>
      </c>
      <c r="C5" s="41">
        <v>0</v>
      </c>
      <c r="D5" s="42">
        <v>0</v>
      </c>
      <c r="E5" s="42">
        <v>0</v>
      </c>
      <c r="F5" s="69">
        <v>0</v>
      </c>
      <c r="G5" s="44">
        <f>SUM(C5:F5)</f>
        <v>0</v>
      </c>
      <c r="H5" s="83">
        <v>19</v>
      </c>
      <c r="I5" s="42">
        <v>20</v>
      </c>
      <c r="J5" s="43">
        <v>16</v>
      </c>
      <c r="K5" s="44">
        <f>SUM(H5:J5)</f>
        <v>55</v>
      </c>
      <c r="L5" s="44">
        <f>SUM(K5,G5)</f>
        <v>55</v>
      </c>
    </row>
    <row r="6" spans="1:12">
      <c r="A6" s="1" t="s">
        <v>1</v>
      </c>
      <c r="B6" s="19" t="s">
        <v>15</v>
      </c>
      <c r="C6" s="45">
        <v>0</v>
      </c>
      <c r="D6" s="46">
        <v>0</v>
      </c>
      <c r="E6" s="46">
        <v>0</v>
      </c>
      <c r="F6" s="70">
        <v>0</v>
      </c>
      <c r="G6" s="48">
        <f t="shared" ref="G6:G9" si="0">SUM(C6:F6)</f>
        <v>0</v>
      </c>
      <c r="H6" s="84">
        <v>1</v>
      </c>
      <c r="I6" s="46">
        <v>0</v>
      </c>
      <c r="J6" s="47">
        <v>1</v>
      </c>
      <c r="K6" s="48">
        <f t="shared" ref="K6:K9" si="1">SUM(H6:J6)</f>
        <v>2</v>
      </c>
      <c r="L6" s="48">
        <f t="shared" ref="L6:L36" si="2">SUM(K6,G6)</f>
        <v>2</v>
      </c>
    </row>
    <row r="7" spans="1:12">
      <c r="A7" s="1" t="s">
        <v>1</v>
      </c>
      <c r="B7" s="19" t="s">
        <v>16</v>
      </c>
      <c r="C7" s="49">
        <v>0</v>
      </c>
      <c r="D7" s="50">
        <v>0</v>
      </c>
      <c r="E7" s="50">
        <v>0</v>
      </c>
      <c r="F7" s="71">
        <v>0</v>
      </c>
      <c r="G7" s="52">
        <f t="shared" si="0"/>
        <v>0</v>
      </c>
      <c r="H7" s="85">
        <v>0</v>
      </c>
      <c r="I7" s="50">
        <v>0</v>
      </c>
      <c r="J7" s="51">
        <v>3.4166666666666665</v>
      </c>
      <c r="K7" s="52">
        <f t="shared" si="1"/>
        <v>3.4166666666666665</v>
      </c>
      <c r="L7" s="52">
        <f t="shared" si="2"/>
        <v>3.4166666666666665</v>
      </c>
    </row>
    <row r="8" spans="1:12">
      <c r="A8" s="1" t="s">
        <v>1</v>
      </c>
      <c r="B8" s="19" t="s">
        <v>17</v>
      </c>
      <c r="C8" s="49">
        <v>0</v>
      </c>
      <c r="D8" s="50">
        <v>0</v>
      </c>
      <c r="E8" s="50">
        <v>0</v>
      </c>
      <c r="F8" s="71">
        <v>0</v>
      </c>
      <c r="G8" s="52">
        <f t="shared" si="0"/>
        <v>0</v>
      </c>
      <c r="H8" s="85">
        <v>0</v>
      </c>
      <c r="I8" s="50">
        <v>0.125</v>
      </c>
      <c r="J8" s="51">
        <v>0</v>
      </c>
      <c r="K8" s="52">
        <f t="shared" si="1"/>
        <v>0.125</v>
      </c>
      <c r="L8" s="52">
        <f t="shared" si="2"/>
        <v>0.125</v>
      </c>
    </row>
    <row r="9" spans="1:12">
      <c r="A9" s="1" t="s">
        <v>1</v>
      </c>
      <c r="B9" s="53" t="s">
        <v>18</v>
      </c>
      <c r="C9" s="54">
        <v>0</v>
      </c>
      <c r="D9" s="55">
        <v>0</v>
      </c>
      <c r="E9" s="55">
        <v>0</v>
      </c>
      <c r="F9" s="72">
        <v>0</v>
      </c>
      <c r="G9" s="57">
        <f t="shared" si="0"/>
        <v>0</v>
      </c>
      <c r="H9" s="86">
        <v>0</v>
      </c>
      <c r="I9" s="55">
        <v>0</v>
      </c>
      <c r="J9" s="56">
        <v>0.20833333333333334</v>
      </c>
      <c r="K9" s="57">
        <f t="shared" si="1"/>
        <v>0.20833333333333334</v>
      </c>
      <c r="L9" s="57">
        <f t="shared" si="2"/>
        <v>0.20833333333333334</v>
      </c>
    </row>
    <row r="10" spans="1:12">
      <c r="A10" s="1" t="s">
        <v>1</v>
      </c>
      <c r="B10" s="13" t="s">
        <v>19</v>
      </c>
      <c r="C10" s="63">
        <v>0</v>
      </c>
      <c r="D10" s="64">
        <v>0</v>
      </c>
      <c r="E10" s="64">
        <v>0</v>
      </c>
      <c r="F10" s="73">
        <v>0</v>
      </c>
      <c r="G10" s="66"/>
      <c r="H10" s="87">
        <v>38</v>
      </c>
      <c r="I10" s="64">
        <v>38</v>
      </c>
      <c r="J10" s="65">
        <v>39</v>
      </c>
      <c r="K10" s="66"/>
      <c r="L10" s="66"/>
    </row>
    <row r="11" spans="1:12">
      <c r="A11" s="1" t="s">
        <v>1</v>
      </c>
      <c r="B11" s="58" t="s">
        <v>20</v>
      </c>
      <c r="C11" s="59">
        <v>0</v>
      </c>
      <c r="D11" s="60">
        <v>0</v>
      </c>
      <c r="E11" s="60">
        <v>0</v>
      </c>
      <c r="F11" s="74">
        <v>0</v>
      </c>
      <c r="G11" s="62">
        <f>SUM(C11:F11)</f>
        <v>0</v>
      </c>
      <c r="H11" s="88">
        <v>375000</v>
      </c>
      <c r="I11" s="60">
        <v>300000</v>
      </c>
      <c r="J11" s="61">
        <v>0</v>
      </c>
      <c r="K11" s="62">
        <f>SUM(H11:J11)</f>
        <v>675000</v>
      </c>
      <c r="L11" s="62">
        <f t="shared" si="2"/>
        <v>675000</v>
      </c>
    </row>
    <row r="12" spans="1:12">
      <c r="A12" s="1" t="s">
        <v>1</v>
      </c>
      <c r="B12" s="19" t="s">
        <v>21</v>
      </c>
      <c r="C12" s="34">
        <v>0</v>
      </c>
      <c r="D12" s="35">
        <v>0</v>
      </c>
      <c r="E12" s="35">
        <v>0</v>
      </c>
      <c r="F12" s="75">
        <v>0</v>
      </c>
      <c r="G12" s="21">
        <f t="shared" ref="G12:G36" si="3">SUM(C12:F12)</f>
        <v>0</v>
      </c>
      <c r="H12" s="89">
        <v>0</v>
      </c>
      <c r="I12" s="35">
        <v>3000</v>
      </c>
      <c r="J12" s="20">
        <v>0</v>
      </c>
      <c r="K12" s="21">
        <f t="shared" ref="K12:K36" si="4">SUM(H12:J12)</f>
        <v>3000</v>
      </c>
      <c r="L12" s="21">
        <f t="shared" si="2"/>
        <v>3000</v>
      </c>
    </row>
    <row r="13" spans="1:12">
      <c r="A13" s="1" t="s">
        <v>1</v>
      </c>
      <c r="B13" s="19" t="s">
        <v>22</v>
      </c>
      <c r="C13" s="34">
        <v>0</v>
      </c>
      <c r="D13" s="35">
        <v>0</v>
      </c>
      <c r="E13" s="35">
        <v>0</v>
      </c>
      <c r="F13" s="75">
        <v>0</v>
      </c>
      <c r="G13" s="21">
        <f t="shared" si="3"/>
        <v>0</v>
      </c>
      <c r="H13" s="89">
        <v>50000</v>
      </c>
      <c r="I13" s="35">
        <v>50000</v>
      </c>
      <c r="J13" s="20">
        <v>0</v>
      </c>
      <c r="K13" s="21">
        <f t="shared" si="4"/>
        <v>100000</v>
      </c>
      <c r="L13" s="21">
        <f t="shared" si="2"/>
        <v>100000</v>
      </c>
    </row>
    <row r="14" spans="1:12">
      <c r="A14" s="1" t="s">
        <v>1</v>
      </c>
      <c r="B14" s="19" t="s">
        <v>23</v>
      </c>
      <c r="C14" s="34">
        <v>0</v>
      </c>
      <c r="D14" s="35">
        <v>0</v>
      </c>
      <c r="E14" s="35">
        <v>0</v>
      </c>
      <c r="F14" s="75">
        <v>0</v>
      </c>
      <c r="G14" s="21">
        <f t="shared" si="3"/>
        <v>0</v>
      </c>
      <c r="H14" s="89">
        <v>0</v>
      </c>
      <c r="I14" s="35">
        <v>0</v>
      </c>
      <c r="J14" s="20">
        <v>101680</v>
      </c>
      <c r="K14" s="21">
        <f t="shared" si="4"/>
        <v>101680</v>
      </c>
      <c r="L14" s="21">
        <f t="shared" si="2"/>
        <v>101680</v>
      </c>
    </row>
    <row r="15" spans="1:12">
      <c r="A15" s="1" t="s">
        <v>1</v>
      </c>
      <c r="B15" s="19" t="s">
        <v>24</v>
      </c>
      <c r="C15" s="34">
        <v>1190000</v>
      </c>
      <c r="D15" s="35">
        <v>590000</v>
      </c>
      <c r="E15" s="35">
        <v>100000</v>
      </c>
      <c r="F15" s="75">
        <v>260000</v>
      </c>
      <c r="G15" s="21">
        <f t="shared" si="3"/>
        <v>2140000</v>
      </c>
      <c r="H15" s="89">
        <v>0</v>
      </c>
      <c r="I15" s="35">
        <v>0</v>
      </c>
      <c r="J15" s="20">
        <v>0</v>
      </c>
      <c r="K15" s="21">
        <f t="shared" si="4"/>
        <v>0</v>
      </c>
      <c r="L15" s="21">
        <f t="shared" si="2"/>
        <v>2140000</v>
      </c>
    </row>
    <row r="16" spans="1:12">
      <c r="A16" s="1" t="s">
        <v>1</v>
      </c>
      <c r="B16" s="19" t="s">
        <v>25</v>
      </c>
      <c r="C16" s="34">
        <v>0</v>
      </c>
      <c r="D16" s="35">
        <v>0</v>
      </c>
      <c r="E16" s="35">
        <v>0</v>
      </c>
      <c r="F16" s="75">
        <v>0</v>
      </c>
      <c r="G16" s="21">
        <f t="shared" si="3"/>
        <v>0</v>
      </c>
      <c r="H16" s="89">
        <v>0</v>
      </c>
      <c r="I16" s="35">
        <v>0</v>
      </c>
      <c r="J16" s="20">
        <v>6200</v>
      </c>
      <c r="K16" s="21">
        <f t="shared" si="4"/>
        <v>6200</v>
      </c>
      <c r="L16" s="21">
        <f t="shared" si="2"/>
        <v>6200</v>
      </c>
    </row>
    <row r="17" spans="1:12">
      <c r="A17" s="1" t="s">
        <v>1</v>
      </c>
      <c r="B17" s="6" t="s">
        <v>17</v>
      </c>
      <c r="C17" s="28">
        <v>0</v>
      </c>
      <c r="D17" s="29">
        <v>0</v>
      </c>
      <c r="E17" s="29">
        <v>0</v>
      </c>
      <c r="F17" s="76">
        <v>0</v>
      </c>
      <c r="G17" s="8">
        <f t="shared" si="3"/>
        <v>0</v>
      </c>
      <c r="H17" s="90">
        <v>0</v>
      </c>
      <c r="I17" s="29">
        <v>7458</v>
      </c>
      <c r="J17" s="7">
        <v>0</v>
      </c>
      <c r="K17" s="8">
        <f t="shared" si="4"/>
        <v>7458</v>
      </c>
      <c r="L17" s="8">
        <f t="shared" si="2"/>
        <v>7458</v>
      </c>
    </row>
    <row r="18" spans="1:12">
      <c r="A18" s="1" t="s">
        <v>1</v>
      </c>
      <c r="B18" s="13" t="s">
        <v>26</v>
      </c>
      <c r="C18" s="30">
        <v>1190000</v>
      </c>
      <c r="D18" s="31">
        <v>590000</v>
      </c>
      <c r="E18" s="31">
        <v>100000</v>
      </c>
      <c r="F18" s="77">
        <v>260000</v>
      </c>
      <c r="G18" s="15">
        <f t="shared" si="3"/>
        <v>2140000</v>
      </c>
      <c r="H18" s="91">
        <v>425000</v>
      </c>
      <c r="I18" s="31">
        <v>360458</v>
      </c>
      <c r="J18" s="14">
        <v>107880</v>
      </c>
      <c r="K18" s="15">
        <f t="shared" si="4"/>
        <v>893338</v>
      </c>
      <c r="L18" s="15">
        <f t="shared" si="2"/>
        <v>3033338</v>
      </c>
    </row>
    <row r="19" spans="1:12">
      <c r="A19" s="1" t="s">
        <v>1</v>
      </c>
      <c r="B19" s="16" t="s">
        <v>27</v>
      </c>
      <c r="C19" s="32">
        <v>0</v>
      </c>
      <c r="D19" s="33">
        <v>0</v>
      </c>
      <c r="E19" s="33">
        <v>0</v>
      </c>
      <c r="F19" s="78">
        <v>0</v>
      </c>
      <c r="G19" s="18">
        <f t="shared" si="3"/>
        <v>0</v>
      </c>
      <c r="H19" s="92">
        <v>9680</v>
      </c>
      <c r="I19" s="33">
        <v>1673</v>
      </c>
      <c r="J19" s="17">
        <v>0</v>
      </c>
      <c r="K19" s="18">
        <f t="shared" si="4"/>
        <v>11353</v>
      </c>
      <c r="L19" s="18">
        <f t="shared" si="2"/>
        <v>11353</v>
      </c>
    </row>
    <row r="20" spans="1:12">
      <c r="A20" s="1" t="s">
        <v>1</v>
      </c>
      <c r="B20" s="6" t="s">
        <v>28</v>
      </c>
      <c r="C20" s="28">
        <v>0</v>
      </c>
      <c r="D20" s="29">
        <v>0</v>
      </c>
      <c r="E20" s="29">
        <v>0</v>
      </c>
      <c r="F20" s="76">
        <v>0</v>
      </c>
      <c r="G20" s="8">
        <f t="shared" si="3"/>
        <v>0</v>
      </c>
      <c r="H20" s="90">
        <v>9680</v>
      </c>
      <c r="I20" s="29">
        <v>1673</v>
      </c>
      <c r="J20" s="7">
        <v>0</v>
      </c>
      <c r="K20" s="8">
        <f t="shared" si="4"/>
        <v>11353</v>
      </c>
      <c r="L20" s="8">
        <f t="shared" si="2"/>
        <v>11353</v>
      </c>
    </row>
    <row r="21" spans="1:12">
      <c r="A21" s="1" t="s">
        <v>1</v>
      </c>
      <c r="B21" s="13" t="s">
        <v>29</v>
      </c>
      <c r="C21" s="30">
        <v>1190000</v>
      </c>
      <c r="D21" s="31">
        <v>590000</v>
      </c>
      <c r="E21" s="31">
        <v>100000</v>
      </c>
      <c r="F21" s="77">
        <v>260000</v>
      </c>
      <c r="G21" s="15">
        <f t="shared" si="3"/>
        <v>2140000</v>
      </c>
      <c r="H21" s="91">
        <v>434680</v>
      </c>
      <c r="I21" s="31">
        <v>362131</v>
      </c>
      <c r="J21" s="14">
        <v>107880</v>
      </c>
      <c r="K21" s="15">
        <f t="shared" si="4"/>
        <v>904691</v>
      </c>
      <c r="L21" s="15">
        <f t="shared" si="2"/>
        <v>3044691</v>
      </c>
    </row>
    <row r="22" spans="1:12">
      <c r="A22" s="1" t="s">
        <v>1</v>
      </c>
      <c r="B22" s="16" t="s">
        <v>30</v>
      </c>
      <c r="C22" s="32">
        <v>61710</v>
      </c>
      <c r="D22" s="33">
        <v>0</v>
      </c>
      <c r="E22" s="33">
        <v>0</v>
      </c>
      <c r="F22" s="78">
        <v>0</v>
      </c>
      <c r="G22" s="18">
        <f t="shared" si="3"/>
        <v>61710</v>
      </c>
      <c r="H22" s="92">
        <v>22440</v>
      </c>
      <c r="I22" s="33">
        <v>20910</v>
      </c>
      <c r="J22" s="17">
        <v>0</v>
      </c>
      <c r="K22" s="18">
        <f t="shared" si="4"/>
        <v>43350</v>
      </c>
      <c r="L22" s="18">
        <f t="shared" si="2"/>
        <v>105060</v>
      </c>
    </row>
    <row r="23" spans="1:12">
      <c r="A23" s="1" t="s">
        <v>1</v>
      </c>
      <c r="B23" s="19" t="s">
        <v>31</v>
      </c>
      <c r="C23" s="34">
        <v>10890</v>
      </c>
      <c r="D23" s="35">
        <v>0</v>
      </c>
      <c r="E23" s="35">
        <v>0</v>
      </c>
      <c r="F23" s="75">
        <v>0</v>
      </c>
      <c r="G23" s="21">
        <f t="shared" si="3"/>
        <v>10890</v>
      </c>
      <c r="H23" s="89">
        <v>3960</v>
      </c>
      <c r="I23" s="35">
        <v>3690</v>
      </c>
      <c r="J23" s="20">
        <v>0</v>
      </c>
      <c r="K23" s="21">
        <f t="shared" si="4"/>
        <v>7650</v>
      </c>
      <c r="L23" s="21">
        <f t="shared" si="2"/>
        <v>18540</v>
      </c>
    </row>
    <row r="24" spans="1:12">
      <c r="A24" s="1" t="s">
        <v>1</v>
      </c>
      <c r="B24" s="19" t="s">
        <v>32</v>
      </c>
      <c r="C24" s="34">
        <v>59475</v>
      </c>
      <c r="D24" s="35">
        <v>0</v>
      </c>
      <c r="E24" s="35">
        <v>0</v>
      </c>
      <c r="F24" s="75">
        <v>0</v>
      </c>
      <c r="G24" s="21">
        <f t="shared" si="3"/>
        <v>59475</v>
      </c>
      <c r="H24" s="89">
        <v>40260</v>
      </c>
      <c r="I24" s="35">
        <v>37515</v>
      </c>
      <c r="J24" s="20">
        <v>0</v>
      </c>
      <c r="K24" s="21">
        <f t="shared" si="4"/>
        <v>77775</v>
      </c>
      <c r="L24" s="21">
        <f t="shared" si="2"/>
        <v>137250</v>
      </c>
    </row>
    <row r="25" spans="1:12">
      <c r="A25" s="1" t="s">
        <v>1</v>
      </c>
      <c r="B25" s="6" t="s">
        <v>33</v>
      </c>
      <c r="C25" s="28">
        <v>0</v>
      </c>
      <c r="D25" s="29">
        <v>0</v>
      </c>
      <c r="E25" s="29">
        <v>0</v>
      </c>
      <c r="F25" s="76">
        <v>0</v>
      </c>
      <c r="G25" s="8">
        <f t="shared" si="3"/>
        <v>0</v>
      </c>
      <c r="H25" s="90">
        <v>2608</v>
      </c>
      <c r="I25" s="29">
        <v>2173</v>
      </c>
      <c r="J25" s="7">
        <v>647</v>
      </c>
      <c r="K25" s="8">
        <f t="shared" si="4"/>
        <v>5428</v>
      </c>
      <c r="L25" s="8">
        <f t="shared" si="2"/>
        <v>5428</v>
      </c>
    </row>
    <row r="26" spans="1:12">
      <c r="A26" s="1" t="s">
        <v>1</v>
      </c>
      <c r="B26" s="13" t="s">
        <v>34</v>
      </c>
      <c r="C26" s="30">
        <v>132075</v>
      </c>
      <c r="D26" s="31">
        <v>0</v>
      </c>
      <c r="E26" s="31">
        <v>0</v>
      </c>
      <c r="F26" s="77">
        <v>0</v>
      </c>
      <c r="G26" s="15">
        <f t="shared" si="3"/>
        <v>132075</v>
      </c>
      <c r="H26" s="91">
        <v>69268</v>
      </c>
      <c r="I26" s="31">
        <v>64288</v>
      </c>
      <c r="J26" s="14">
        <v>647</v>
      </c>
      <c r="K26" s="15">
        <f t="shared" si="4"/>
        <v>134203</v>
      </c>
      <c r="L26" s="15">
        <f t="shared" si="2"/>
        <v>266278</v>
      </c>
    </row>
    <row r="27" spans="1:12">
      <c r="A27" s="1" t="s">
        <v>1</v>
      </c>
      <c r="B27" s="16" t="s">
        <v>35</v>
      </c>
      <c r="C27" s="32">
        <v>157530</v>
      </c>
      <c r="D27" s="33">
        <v>191900</v>
      </c>
      <c r="E27" s="33">
        <v>0</v>
      </c>
      <c r="F27" s="78">
        <v>40400</v>
      </c>
      <c r="G27" s="18">
        <f t="shared" si="3"/>
        <v>389830</v>
      </c>
      <c r="H27" s="92">
        <v>12930</v>
      </c>
      <c r="I27" s="33">
        <v>0</v>
      </c>
      <c r="J27" s="17">
        <v>0</v>
      </c>
      <c r="K27" s="18">
        <f t="shared" si="4"/>
        <v>12930</v>
      </c>
      <c r="L27" s="18">
        <f t="shared" si="2"/>
        <v>402760</v>
      </c>
    </row>
    <row r="28" spans="1:12">
      <c r="A28" s="1" t="s">
        <v>1</v>
      </c>
      <c r="B28" s="6" t="s">
        <v>36</v>
      </c>
      <c r="C28" s="28">
        <v>1140</v>
      </c>
      <c r="D28" s="29">
        <v>0</v>
      </c>
      <c r="E28" s="29">
        <v>0</v>
      </c>
      <c r="F28" s="76">
        <v>0</v>
      </c>
      <c r="G28" s="8">
        <f t="shared" si="3"/>
        <v>1140</v>
      </c>
      <c r="H28" s="90">
        <v>0</v>
      </c>
      <c r="I28" s="29">
        <v>0</v>
      </c>
      <c r="J28" s="7">
        <v>0</v>
      </c>
      <c r="K28" s="8">
        <f t="shared" si="4"/>
        <v>0</v>
      </c>
      <c r="L28" s="8">
        <f t="shared" si="2"/>
        <v>1140</v>
      </c>
    </row>
    <row r="29" spans="1:12">
      <c r="A29" s="1" t="s">
        <v>1</v>
      </c>
      <c r="B29" s="13" t="s">
        <v>37</v>
      </c>
      <c r="C29" s="30">
        <v>290745</v>
      </c>
      <c r="D29" s="31">
        <v>191900</v>
      </c>
      <c r="E29" s="31">
        <v>0</v>
      </c>
      <c r="F29" s="77">
        <v>40400</v>
      </c>
      <c r="G29" s="15">
        <f t="shared" si="3"/>
        <v>523045</v>
      </c>
      <c r="H29" s="91">
        <v>82198</v>
      </c>
      <c r="I29" s="31">
        <v>64288</v>
      </c>
      <c r="J29" s="14">
        <v>647</v>
      </c>
      <c r="K29" s="15">
        <f t="shared" si="4"/>
        <v>147133</v>
      </c>
      <c r="L29" s="15">
        <f t="shared" si="2"/>
        <v>670178</v>
      </c>
    </row>
    <row r="30" spans="1:12">
      <c r="A30" s="1" t="s">
        <v>1</v>
      </c>
      <c r="B30" s="13" t="s">
        <v>38</v>
      </c>
      <c r="C30" s="30">
        <v>1057925</v>
      </c>
      <c r="D30" s="31">
        <v>590000</v>
      </c>
      <c r="E30" s="31">
        <v>100000</v>
      </c>
      <c r="F30" s="77">
        <v>260000</v>
      </c>
      <c r="G30" s="15">
        <f t="shared" si="3"/>
        <v>2007925</v>
      </c>
      <c r="H30" s="91">
        <v>355732</v>
      </c>
      <c r="I30" s="31">
        <v>296170</v>
      </c>
      <c r="J30" s="14">
        <v>107233</v>
      </c>
      <c r="K30" s="15">
        <f t="shared" si="4"/>
        <v>759135</v>
      </c>
      <c r="L30" s="15">
        <f t="shared" si="2"/>
        <v>2767060</v>
      </c>
    </row>
    <row r="31" spans="1:12">
      <c r="A31" s="1" t="s">
        <v>1</v>
      </c>
      <c r="B31" s="13" t="s">
        <v>39</v>
      </c>
      <c r="C31" s="30">
        <v>899255</v>
      </c>
      <c r="D31" s="31">
        <v>398100</v>
      </c>
      <c r="E31" s="31">
        <v>100000</v>
      </c>
      <c r="F31" s="77">
        <v>219600</v>
      </c>
      <c r="G31" s="15">
        <f t="shared" si="3"/>
        <v>1616955</v>
      </c>
      <c r="H31" s="91">
        <v>352482</v>
      </c>
      <c r="I31" s="31">
        <v>297843</v>
      </c>
      <c r="J31" s="14">
        <v>107233</v>
      </c>
      <c r="K31" s="15">
        <f t="shared" si="4"/>
        <v>757558</v>
      </c>
      <c r="L31" s="15">
        <f t="shared" si="2"/>
        <v>2374513</v>
      </c>
    </row>
    <row r="32" spans="1:12">
      <c r="A32" s="1" t="s">
        <v>1</v>
      </c>
      <c r="B32" s="13" t="s">
        <v>40</v>
      </c>
      <c r="C32" s="30">
        <v>0</v>
      </c>
      <c r="D32" s="31">
        <v>0</v>
      </c>
      <c r="E32" s="31">
        <v>100000</v>
      </c>
      <c r="F32" s="77">
        <v>0</v>
      </c>
      <c r="G32" s="15">
        <f t="shared" si="3"/>
        <v>100000</v>
      </c>
      <c r="H32" s="91">
        <v>0</v>
      </c>
      <c r="I32" s="31">
        <v>0</v>
      </c>
      <c r="J32" s="14">
        <v>0</v>
      </c>
      <c r="K32" s="15">
        <f t="shared" si="4"/>
        <v>0</v>
      </c>
      <c r="L32" s="15">
        <f t="shared" si="2"/>
        <v>100000</v>
      </c>
    </row>
    <row r="33" spans="1:12">
      <c r="A33" s="1" t="s">
        <v>1</v>
      </c>
      <c r="B33" s="13" t="s">
        <v>41</v>
      </c>
      <c r="C33" s="30">
        <v>899255</v>
      </c>
      <c r="D33" s="31">
        <v>398100</v>
      </c>
      <c r="E33" s="31">
        <v>0</v>
      </c>
      <c r="F33" s="77">
        <v>219600</v>
      </c>
      <c r="G33" s="15">
        <f t="shared" si="3"/>
        <v>1516955</v>
      </c>
      <c r="H33" s="91">
        <v>352482</v>
      </c>
      <c r="I33" s="31">
        <v>297843</v>
      </c>
      <c r="J33" s="14">
        <v>107233</v>
      </c>
      <c r="K33" s="15">
        <f t="shared" si="4"/>
        <v>757558</v>
      </c>
      <c r="L33" s="15">
        <f t="shared" si="2"/>
        <v>2274513</v>
      </c>
    </row>
    <row r="34" spans="1:12">
      <c r="A34" s="1" t="s">
        <v>1</v>
      </c>
      <c r="B34" s="13" t="s">
        <v>42</v>
      </c>
      <c r="C34" s="36" t="s">
        <v>43</v>
      </c>
      <c r="D34" s="37" t="s">
        <v>44</v>
      </c>
      <c r="E34" s="37" t="s">
        <v>43</v>
      </c>
      <c r="F34" s="79" t="s">
        <v>44</v>
      </c>
      <c r="G34" s="23">
        <f t="shared" si="3"/>
        <v>0</v>
      </c>
      <c r="H34" s="93" t="s">
        <v>43</v>
      </c>
      <c r="I34" s="37" t="s">
        <v>43</v>
      </c>
      <c r="J34" s="22" t="s">
        <v>43</v>
      </c>
      <c r="K34" s="23">
        <f t="shared" si="4"/>
        <v>0</v>
      </c>
      <c r="L34" s="23">
        <f t="shared" si="2"/>
        <v>0</v>
      </c>
    </row>
    <row r="35" spans="1:12">
      <c r="A35" s="1" t="s">
        <v>1</v>
      </c>
      <c r="B35" s="13" t="s">
        <v>45</v>
      </c>
      <c r="C35" s="30">
        <v>157530</v>
      </c>
      <c r="D35" s="31">
        <v>191900</v>
      </c>
      <c r="E35" s="31">
        <v>720</v>
      </c>
      <c r="F35" s="77">
        <v>40400</v>
      </c>
      <c r="G35" s="15">
        <f t="shared" si="3"/>
        <v>390550</v>
      </c>
      <c r="H35" s="91">
        <v>12930</v>
      </c>
      <c r="I35" s="31">
        <v>8200</v>
      </c>
      <c r="J35" s="14">
        <v>1090</v>
      </c>
      <c r="K35" s="15">
        <f t="shared" si="4"/>
        <v>22220</v>
      </c>
      <c r="L35" s="15">
        <f t="shared" si="2"/>
        <v>412770</v>
      </c>
    </row>
    <row r="36" spans="1:12">
      <c r="A36" s="1" t="s">
        <v>1</v>
      </c>
      <c r="B36" s="13" t="s">
        <v>46</v>
      </c>
      <c r="C36" s="30">
        <v>0</v>
      </c>
      <c r="D36" s="31">
        <v>0</v>
      </c>
      <c r="E36" s="31">
        <v>720</v>
      </c>
      <c r="F36" s="77">
        <v>0</v>
      </c>
      <c r="G36" s="15">
        <f t="shared" si="3"/>
        <v>720</v>
      </c>
      <c r="H36" s="91">
        <v>0</v>
      </c>
      <c r="I36" s="31">
        <v>8200</v>
      </c>
      <c r="J36" s="14">
        <v>1090</v>
      </c>
      <c r="K36" s="15">
        <f t="shared" si="4"/>
        <v>9290</v>
      </c>
      <c r="L36" s="15">
        <f t="shared" si="2"/>
        <v>10010</v>
      </c>
    </row>
    <row r="37" spans="1:12" ht="19.5" thickBot="1">
      <c r="A37" s="1" t="s">
        <v>1</v>
      </c>
      <c r="B37" s="9" t="s">
        <v>47</v>
      </c>
      <c r="C37" s="38">
        <v>30000</v>
      </c>
      <c r="D37" s="39">
        <v>0</v>
      </c>
      <c r="E37" s="39">
        <v>30000</v>
      </c>
      <c r="F37" s="80">
        <v>0</v>
      </c>
      <c r="G37" s="11"/>
      <c r="H37" s="94">
        <v>30000</v>
      </c>
      <c r="I37" s="39">
        <v>30000</v>
      </c>
      <c r="J37" s="10">
        <v>30000</v>
      </c>
      <c r="K37" s="11"/>
      <c r="L37" s="11"/>
    </row>
  </sheetData>
  <phoneticPr fontId="4"/>
  <pageMargins left="0.51181102362204722" right="0.51181102362204722" top="0.55118110236220474" bottom="0.55118110236220474" header="0.31496062992125984" footer="0.31496062992125984"/>
  <pageSetup paperSize="12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6月度給与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2024-07-06T04:55:25Z</cp:lastPrinted>
  <dcterms:created xsi:type="dcterms:W3CDTF">2024-07-06T02:12:24Z</dcterms:created>
  <dcterms:modified xsi:type="dcterms:W3CDTF">2024-07-08T07:54:42Z</dcterms:modified>
</cp:coreProperties>
</file>