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43CADE0B-B28B-4759-954D-F0883E733816}" xr6:coauthVersionLast="47" xr6:coauthVersionMax="47" xr10:uidLastSave="{00000000-0000-0000-0000-000000000000}"/>
  <bookViews>
    <workbookView xWindow="-120" yWindow="-120" windowWidth="20730" windowHeight="11160" xr2:uid="{B3EB9C5B-F3FF-4D7F-AB4F-3C954A17159B}"/>
  </bookViews>
  <sheets>
    <sheet name="2024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3" l="1"/>
  <c r="K22" i="3"/>
  <c r="K26" i="3"/>
  <c r="K30" i="3"/>
  <c r="K34" i="3"/>
  <c r="K38" i="3"/>
  <c r="K42" i="3"/>
  <c r="J16" i="3"/>
  <c r="K16" i="3" s="1"/>
  <c r="J17" i="3"/>
  <c r="K17" i="3" s="1"/>
  <c r="J18" i="3"/>
  <c r="J19" i="3"/>
  <c r="K19" i="3" s="1"/>
  <c r="J20" i="3"/>
  <c r="K20" i="3" s="1"/>
  <c r="J21" i="3"/>
  <c r="K21" i="3" s="1"/>
  <c r="J22" i="3"/>
  <c r="J23" i="3"/>
  <c r="K23" i="3" s="1"/>
  <c r="J24" i="3"/>
  <c r="K24" i="3" s="1"/>
  <c r="J25" i="3"/>
  <c r="K25" i="3" s="1"/>
  <c r="J26" i="3"/>
  <c r="J27" i="3"/>
  <c r="K27" i="3" s="1"/>
  <c r="J28" i="3"/>
  <c r="K28" i="3" s="1"/>
  <c r="J29" i="3"/>
  <c r="K29" i="3" s="1"/>
  <c r="J30" i="3"/>
  <c r="J31" i="3"/>
  <c r="K31" i="3" s="1"/>
  <c r="J32" i="3"/>
  <c r="K32" i="3" s="1"/>
  <c r="J33" i="3"/>
  <c r="K33" i="3" s="1"/>
  <c r="J34" i="3"/>
  <c r="J35" i="3"/>
  <c r="K35" i="3" s="1"/>
  <c r="J36" i="3"/>
  <c r="K36" i="3" s="1"/>
  <c r="J37" i="3"/>
  <c r="K37" i="3" s="1"/>
  <c r="J38" i="3"/>
  <c r="J39" i="3"/>
  <c r="K39" i="3" s="1"/>
  <c r="J42" i="3"/>
  <c r="J43" i="3"/>
  <c r="K43" i="3" s="1"/>
  <c r="J15" i="3"/>
  <c r="K15" i="3" s="1"/>
  <c r="J6" i="3"/>
  <c r="K6" i="3" s="1"/>
  <c r="J7" i="3"/>
  <c r="K7" i="3" s="1"/>
  <c r="J8" i="3"/>
  <c r="K8" i="3" s="1"/>
  <c r="J9" i="3"/>
  <c r="J10" i="3"/>
  <c r="K10" i="3" s="1"/>
  <c r="J11" i="3"/>
  <c r="K11" i="3" s="1"/>
  <c r="J12" i="3"/>
  <c r="K12" i="3" s="1"/>
  <c r="J13" i="3"/>
  <c r="J5" i="3"/>
  <c r="K5" i="3" s="1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2" i="3"/>
  <c r="E43" i="3"/>
  <c r="E15" i="3"/>
  <c r="E6" i="3"/>
  <c r="E7" i="3"/>
  <c r="E8" i="3"/>
  <c r="E9" i="3"/>
  <c r="K9" i="3" s="1"/>
  <c r="E10" i="3"/>
  <c r="E11" i="3"/>
  <c r="E12" i="3"/>
  <c r="E13" i="3"/>
  <c r="K13" i="3" s="1"/>
  <c r="E5" i="3"/>
</calcChain>
</file>

<file path=xl/sharedStrings.xml><?xml version="1.0" encoding="utf-8"?>
<sst xmlns="http://schemas.openxmlformats.org/spreadsheetml/2006/main" count="107" uniqueCount="60">
  <si>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</si>
  <si>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</si>
  <si>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</si>
  <si>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</si>
  <si>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</si>
  <si>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</si>
  <si>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</si>
  <si>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1116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</si>
  <si>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</si>
  <si>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</si>
  <si>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</si>
  <si>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</si>
  <si>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</si>
  <si>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鎌田奈穂子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</si>
  <si>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</si>
  <si>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</si>
  <si>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</si>
  <si>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</si>
  <si>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</si>
  <si>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</si>
  <si>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</si>
  <si>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</si>
  <si>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</si>
  <si>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</si>
  <si>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</si>
  <si>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</si>
  <si>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</si>
  <si>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</si>
  <si>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</si>
  <si>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</si>
  <si>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</si>
  <si>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</si>
  <si>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</si>
  <si>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</si>
  <si>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</si>
  <si>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</si>
  <si>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</si>
  <si>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</si>
  <si>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</si>
  <si>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</si>
  <si>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</si>
  <si>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</si>
  <si>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</si>
  <si>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</si>
  <si>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</si>
  <si>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</si>
  <si>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</si>
  <si>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</si>
  <si>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</si>
  <si>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</si>
  <si>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</si>
  <si>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</si>
  <si>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</si>
  <si>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</si>
  <si>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6月度給与</t>
    <phoneticPr fontId="4"/>
  </si>
  <si>
    <t>吉田  亨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</si>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</sst>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5" xfId="1" applyNumberFormat="1" applyFont="1" applyBorder="1"/>
    <xf numFmtId="49" fontId="2" fillId="0" borderId="17" xfId="1" applyNumberFormat="1" applyFont="1" applyBorder="1" applyAlignment="1">
      <alignment horizontal="left"/>
    </xf>
    <xf numFmtId="176" fontId="2" fillId="0" borderId="18" xfId="1" applyNumberFormat="1" applyFont="1" applyBorder="1"/>
    <xf numFmtId="176" fontId="2" fillId="0" borderId="17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27" xfId="1" applyNumberFormat="1" applyFont="1" applyBorder="1"/>
    <xf numFmtId="49" fontId="2" fillId="0" borderId="2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176" fontId="2" fillId="0" borderId="38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37" xfId="1" applyNumberFormat="1" applyFont="1" applyBorder="1"/>
    <xf numFmtId="3" fontId="2" fillId="0" borderId="41" xfId="1" applyNumberFormat="1" applyFont="1" applyBorder="1"/>
    <xf numFmtId="3" fontId="2" fillId="0" borderId="39" xfId="1" applyNumberFormat="1" applyFont="1" applyBorder="1"/>
    <xf numFmtId="3" fontId="2" fillId="0" borderId="42" xfId="1" applyNumberFormat="1" applyFont="1" applyBorder="1"/>
    <xf numFmtId="49" fontId="2" fillId="0" borderId="39" xfId="1" applyNumberFormat="1" applyFont="1" applyBorder="1"/>
    <xf numFmtId="3" fontId="2" fillId="0" borderId="35" xfId="1" applyNumberFormat="1" applyFont="1" applyBorder="1"/>
    <xf numFmtId="49" fontId="2" fillId="0" borderId="6" xfId="1" applyNumberFormat="1" applyFont="1" applyBorder="1" applyAlignment="1">
      <alignment horizontal="left"/>
    </xf>
    <xf numFmtId="0" fontId="2" fillId="0" borderId="6" xfId="1" applyFont="1" applyBorder="1"/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5EF4BA86-5611-41C7-AF2B-F234A6CC5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A82A-4733-49C1-B1A0-5E071D36C34B}">
  <sheetPr>
    <pageSetUpPr fitToPage="1"/>
  </sheetPr>
  <dimension ref="A1:K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3.625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54</v>
      </c>
    </row>
    <row r="3" spans="1:11">
      <c r="B3" s="12"/>
      <c r="C3" s="4" t="s">
        <v>4</v>
      </c>
      <c r="D3" s="4" t="s">
        <v>7</v>
      </c>
      <c r="E3" s="79" t="s">
        <v>56</v>
      </c>
      <c r="F3" s="65" t="s">
        <v>2</v>
      </c>
      <c r="G3" s="4" t="s">
        <v>3</v>
      </c>
      <c r="H3" s="4" t="s">
        <v>5</v>
      </c>
      <c r="I3" s="4" t="s">
        <v>6</v>
      </c>
      <c r="J3" s="79" t="s">
        <v>56</v>
      </c>
      <c r="K3" s="80" t="s">
        <v>14</v>
      </c>
    </row>
    <row r="4" spans="1:11" ht="19.5" thickBot="1">
      <c r="B4" s="5" t="s">
        <v>8</v>
      </c>
      <c r="C4" s="40" t="s">
        <v>11</v>
      </c>
      <c r="D4" s="3" t="s">
        <v>13</v>
      </c>
      <c r="E4" s="81" t="s">
        <v>57</v>
      </c>
      <c r="F4" s="39" t="s">
        <v>9</v>
      </c>
      <c r="G4" s="40" t="s">
        <v>10</v>
      </c>
      <c r="H4" s="40" t="s">
        <v>12</v>
      </c>
      <c r="I4" s="66" t="s">
        <v>55</v>
      </c>
      <c r="J4" s="81" t="s">
        <v>58</v>
      </c>
      <c r="K4" s="5" t="s">
        <v>59</v>
      </c>
    </row>
    <row r="5" spans="1:11">
      <c r="A5" s="1" t="s">
        <v>1</v>
      </c>
      <c r="B5" s="31" t="s">
        <v>15</v>
      </c>
      <c r="C5" s="42">
        <v>20</v>
      </c>
      <c r="D5" s="32">
        <v>9</v>
      </c>
      <c r="E5" s="33">
        <f>SUM(C5:D5)</f>
        <v>29</v>
      </c>
      <c r="F5" s="41">
        <v>20</v>
      </c>
      <c r="G5" s="42">
        <v>20</v>
      </c>
      <c r="H5" s="42">
        <v>20</v>
      </c>
      <c r="I5" s="67">
        <v>19</v>
      </c>
      <c r="J5" s="33">
        <f>SUM(F5:I5)</f>
        <v>79</v>
      </c>
      <c r="K5" s="33">
        <f>SUM(J5,E5)</f>
        <v>108</v>
      </c>
    </row>
    <row r="6" spans="1:11">
      <c r="A6" s="1" t="s">
        <v>1</v>
      </c>
      <c r="B6" s="23" t="s">
        <v>16</v>
      </c>
      <c r="C6" s="44">
        <v>0</v>
      </c>
      <c r="D6" s="28">
        <v>0</v>
      </c>
      <c r="E6" s="29">
        <f t="shared" ref="E6:E13" si="0">SUM(C6:D6)</f>
        <v>0</v>
      </c>
      <c r="F6" s="43">
        <v>1</v>
      </c>
      <c r="G6" s="44">
        <v>0</v>
      </c>
      <c r="H6" s="44">
        <v>0</v>
      </c>
      <c r="I6" s="68">
        <v>0</v>
      </c>
      <c r="J6" s="29">
        <f t="shared" ref="J6:J13" si="1">SUM(F6:I6)</f>
        <v>1</v>
      </c>
      <c r="K6" s="29">
        <f t="shared" ref="K6:K43" si="2">SUM(J6,E6)</f>
        <v>1</v>
      </c>
    </row>
    <row r="7" spans="1:11">
      <c r="A7" s="1" t="s">
        <v>1</v>
      </c>
      <c r="B7" s="23" t="s">
        <v>17</v>
      </c>
      <c r="C7" s="44">
        <v>0</v>
      </c>
      <c r="D7" s="28">
        <v>0</v>
      </c>
      <c r="E7" s="29">
        <f t="shared" si="0"/>
        <v>0</v>
      </c>
      <c r="F7" s="43">
        <v>0</v>
      </c>
      <c r="G7" s="44">
        <v>1</v>
      </c>
      <c r="H7" s="44">
        <v>0</v>
      </c>
      <c r="I7" s="68">
        <v>0</v>
      </c>
      <c r="J7" s="29">
        <f t="shared" si="1"/>
        <v>1</v>
      </c>
      <c r="K7" s="29">
        <f t="shared" si="2"/>
        <v>1</v>
      </c>
    </row>
    <row r="8" spans="1:11">
      <c r="A8" s="1" t="s">
        <v>1</v>
      </c>
      <c r="B8" s="23" t="s">
        <v>18</v>
      </c>
      <c r="C8" s="44">
        <v>0</v>
      </c>
      <c r="D8" s="28">
        <v>0</v>
      </c>
      <c r="E8" s="29">
        <f t="shared" si="0"/>
        <v>0</v>
      </c>
      <c r="F8" s="43">
        <v>0</v>
      </c>
      <c r="G8" s="44">
        <v>0</v>
      </c>
      <c r="H8" s="44">
        <v>0</v>
      </c>
      <c r="I8" s="68">
        <v>1</v>
      </c>
      <c r="J8" s="29">
        <f t="shared" si="1"/>
        <v>1</v>
      </c>
      <c r="K8" s="29">
        <f t="shared" si="2"/>
        <v>1</v>
      </c>
    </row>
    <row r="9" spans="1:11">
      <c r="A9" s="1" t="s">
        <v>1</v>
      </c>
      <c r="B9" s="23" t="s">
        <v>19</v>
      </c>
      <c r="C9" s="46">
        <v>0</v>
      </c>
      <c r="D9" s="26">
        <v>1.8333333333333335</v>
      </c>
      <c r="E9" s="27">
        <f t="shared" si="0"/>
        <v>1.8333333333333335</v>
      </c>
      <c r="F9" s="45">
        <v>0</v>
      </c>
      <c r="G9" s="46">
        <v>0</v>
      </c>
      <c r="H9" s="46">
        <v>0</v>
      </c>
      <c r="I9" s="69">
        <v>0</v>
      </c>
      <c r="J9" s="27">
        <f t="shared" si="1"/>
        <v>0</v>
      </c>
      <c r="K9" s="27">
        <f t="shared" si="2"/>
        <v>1.8333333333333335</v>
      </c>
    </row>
    <row r="10" spans="1:11">
      <c r="A10" s="1" t="s">
        <v>1</v>
      </c>
      <c r="B10" s="23" t="s">
        <v>20</v>
      </c>
      <c r="C10" s="46">
        <v>0</v>
      </c>
      <c r="D10" s="26">
        <v>0</v>
      </c>
      <c r="E10" s="27">
        <f t="shared" si="0"/>
        <v>0</v>
      </c>
      <c r="F10" s="45">
        <v>1.75</v>
      </c>
      <c r="G10" s="46">
        <v>2.0416666666666665</v>
      </c>
      <c r="H10" s="46">
        <v>1.875</v>
      </c>
      <c r="I10" s="69">
        <v>1.75</v>
      </c>
      <c r="J10" s="27">
        <f t="shared" si="1"/>
        <v>7.4166666666666661</v>
      </c>
      <c r="K10" s="27">
        <f t="shared" si="2"/>
        <v>7.4166666666666661</v>
      </c>
    </row>
    <row r="11" spans="1:11">
      <c r="A11" s="1" t="s">
        <v>1</v>
      </c>
      <c r="B11" s="23" t="s">
        <v>21</v>
      </c>
      <c r="C11" s="46">
        <v>0</v>
      </c>
      <c r="D11" s="26">
        <v>0</v>
      </c>
      <c r="E11" s="27">
        <f t="shared" si="0"/>
        <v>0</v>
      </c>
      <c r="F11" s="45">
        <v>0.125</v>
      </c>
      <c r="G11" s="46">
        <v>0</v>
      </c>
      <c r="H11" s="46">
        <v>0</v>
      </c>
      <c r="I11" s="69">
        <v>0</v>
      </c>
      <c r="J11" s="27">
        <f t="shared" si="1"/>
        <v>0.125</v>
      </c>
      <c r="K11" s="27">
        <f t="shared" si="2"/>
        <v>0.125</v>
      </c>
    </row>
    <row r="12" spans="1:11">
      <c r="A12" s="1" t="s">
        <v>1</v>
      </c>
      <c r="B12" s="23" t="s">
        <v>22</v>
      </c>
      <c r="C12" s="46">
        <v>0</v>
      </c>
      <c r="D12" s="26">
        <v>0</v>
      </c>
      <c r="E12" s="27">
        <f t="shared" si="0"/>
        <v>0</v>
      </c>
      <c r="F12" s="45">
        <v>0</v>
      </c>
      <c r="G12" s="46">
        <v>0.125</v>
      </c>
      <c r="H12" s="46">
        <v>0</v>
      </c>
      <c r="I12" s="69">
        <v>0</v>
      </c>
      <c r="J12" s="27">
        <f t="shared" si="1"/>
        <v>0.125</v>
      </c>
      <c r="K12" s="27">
        <f t="shared" si="2"/>
        <v>0.125</v>
      </c>
    </row>
    <row r="13" spans="1:11">
      <c r="A13" s="1" t="s">
        <v>1</v>
      </c>
      <c r="B13" s="34" t="s">
        <v>23</v>
      </c>
      <c r="C13" s="48">
        <v>0.125</v>
      </c>
      <c r="D13" s="35">
        <v>0</v>
      </c>
      <c r="E13" s="36">
        <f t="shared" si="0"/>
        <v>0.125</v>
      </c>
      <c r="F13" s="47">
        <v>0.375</v>
      </c>
      <c r="G13" s="48">
        <v>0.29166666666666669</v>
      </c>
      <c r="H13" s="48">
        <v>0.25</v>
      </c>
      <c r="I13" s="70">
        <v>0.125</v>
      </c>
      <c r="J13" s="36">
        <f t="shared" si="1"/>
        <v>1.0416666666666667</v>
      </c>
      <c r="K13" s="36">
        <f t="shared" si="2"/>
        <v>1.1666666666666667</v>
      </c>
    </row>
    <row r="14" spans="1:11">
      <c r="A14" s="1" t="s">
        <v>1</v>
      </c>
      <c r="B14" s="13" t="s">
        <v>24</v>
      </c>
      <c r="C14" s="50">
        <v>38</v>
      </c>
      <c r="D14" s="14">
        <v>0</v>
      </c>
      <c r="E14" s="15"/>
      <c r="F14" s="49">
        <v>33</v>
      </c>
      <c r="G14" s="50">
        <v>38</v>
      </c>
      <c r="H14" s="50">
        <v>13</v>
      </c>
      <c r="I14" s="71">
        <v>12</v>
      </c>
      <c r="J14" s="15"/>
      <c r="K14" s="15"/>
    </row>
    <row r="15" spans="1:11">
      <c r="A15" s="1" t="s">
        <v>1</v>
      </c>
      <c r="B15" s="30" t="s">
        <v>25</v>
      </c>
      <c r="C15" s="52">
        <v>365000</v>
      </c>
      <c r="D15" s="37">
        <v>0</v>
      </c>
      <c r="E15" s="38">
        <f>SUM(C15:D15)</f>
        <v>365000</v>
      </c>
      <c r="F15" s="51">
        <v>182000</v>
      </c>
      <c r="G15" s="52">
        <v>187000</v>
      </c>
      <c r="H15" s="52">
        <v>170000</v>
      </c>
      <c r="I15" s="72">
        <v>187000</v>
      </c>
      <c r="J15" s="38">
        <f>SUM(F15:I15)</f>
        <v>726000</v>
      </c>
      <c r="K15" s="38">
        <f t="shared" si="2"/>
        <v>1091000</v>
      </c>
    </row>
    <row r="16" spans="1:11">
      <c r="A16" s="1" t="s">
        <v>1</v>
      </c>
      <c r="B16" s="23" t="s">
        <v>26</v>
      </c>
      <c r="C16" s="54">
        <v>0</v>
      </c>
      <c r="D16" s="24">
        <v>0</v>
      </c>
      <c r="E16" s="25">
        <f t="shared" ref="E16:E43" si="3">SUM(C16:D16)</f>
        <v>0</v>
      </c>
      <c r="F16" s="53">
        <v>5000</v>
      </c>
      <c r="G16" s="54">
        <v>0</v>
      </c>
      <c r="H16" s="54">
        <v>0</v>
      </c>
      <c r="I16" s="73">
        <v>0</v>
      </c>
      <c r="J16" s="25">
        <f t="shared" ref="J16:J43" si="4">SUM(F16:I16)</f>
        <v>5000</v>
      </c>
      <c r="K16" s="25">
        <f t="shared" si="2"/>
        <v>5000</v>
      </c>
    </row>
    <row r="17" spans="1:11">
      <c r="A17" s="1" t="s">
        <v>1</v>
      </c>
      <c r="B17" s="23" t="s">
        <v>27</v>
      </c>
      <c r="C17" s="54">
        <v>0</v>
      </c>
      <c r="D17" s="24">
        <v>0</v>
      </c>
      <c r="E17" s="25">
        <f t="shared" si="3"/>
        <v>0</v>
      </c>
      <c r="F17" s="53">
        <v>3000</v>
      </c>
      <c r="G17" s="54">
        <v>3000</v>
      </c>
      <c r="H17" s="54">
        <v>0</v>
      </c>
      <c r="I17" s="73">
        <v>15000</v>
      </c>
      <c r="J17" s="25">
        <f t="shared" si="4"/>
        <v>21000</v>
      </c>
      <c r="K17" s="25">
        <f t="shared" si="2"/>
        <v>21000</v>
      </c>
    </row>
    <row r="18" spans="1:11">
      <c r="A18" s="1" t="s">
        <v>1</v>
      </c>
      <c r="B18" s="23" t="s">
        <v>28</v>
      </c>
      <c r="C18" s="54">
        <v>50000</v>
      </c>
      <c r="D18" s="24">
        <v>0</v>
      </c>
      <c r="E18" s="25">
        <f t="shared" si="3"/>
        <v>50000</v>
      </c>
      <c r="F18" s="53">
        <v>50000</v>
      </c>
      <c r="G18" s="54">
        <v>50000</v>
      </c>
      <c r="H18" s="54">
        <v>50000</v>
      </c>
      <c r="I18" s="73">
        <v>50000</v>
      </c>
      <c r="J18" s="25">
        <f t="shared" si="4"/>
        <v>200000</v>
      </c>
      <c r="K18" s="25">
        <f t="shared" si="2"/>
        <v>250000</v>
      </c>
    </row>
    <row r="19" spans="1:11">
      <c r="A19" s="1" t="s">
        <v>1</v>
      </c>
      <c r="B19" s="23" t="s">
        <v>29</v>
      </c>
      <c r="C19" s="54">
        <v>0</v>
      </c>
      <c r="D19" s="24">
        <v>0</v>
      </c>
      <c r="E19" s="25">
        <f t="shared" si="3"/>
        <v>0</v>
      </c>
      <c r="F19" s="53">
        <v>0</v>
      </c>
      <c r="G19" s="54">
        <v>0</v>
      </c>
      <c r="H19" s="54">
        <v>0</v>
      </c>
      <c r="I19" s="73">
        <v>59522</v>
      </c>
      <c r="J19" s="25">
        <f t="shared" si="4"/>
        <v>59522</v>
      </c>
      <c r="K19" s="25">
        <f t="shared" si="2"/>
        <v>59522</v>
      </c>
    </row>
    <row r="20" spans="1:11">
      <c r="A20" s="1" t="s">
        <v>1</v>
      </c>
      <c r="B20" s="23" t="s">
        <v>30</v>
      </c>
      <c r="C20" s="54">
        <v>0</v>
      </c>
      <c r="D20" s="24">
        <v>49280</v>
      </c>
      <c r="E20" s="25">
        <f t="shared" si="3"/>
        <v>49280</v>
      </c>
      <c r="F20" s="53">
        <v>0</v>
      </c>
      <c r="G20" s="54">
        <v>0</v>
      </c>
      <c r="H20" s="54">
        <v>0</v>
      </c>
      <c r="I20" s="73">
        <v>0</v>
      </c>
      <c r="J20" s="25">
        <f t="shared" si="4"/>
        <v>0</v>
      </c>
      <c r="K20" s="25">
        <f t="shared" si="2"/>
        <v>49280</v>
      </c>
    </row>
    <row r="21" spans="1:11">
      <c r="A21" s="1" t="s">
        <v>1</v>
      </c>
      <c r="B21" s="23" t="s">
        <v>31</v>
      </c>
      <c r="C21" s="54">
        <v>0</v>
      </c>
      <c r="D21" s="24">
        <v>0</v>
      </c>
      <c r="E21" s="25">
        <f t="shared" si="3"/>
        <v>0</v>
      </c>
      <c r="F21" s="53">
        <v>3500</v>
      </c>
      <c r="G21" s="54">
        <v>3500</v>
      </c>
      <c r="H21" s="54">
        <v>0</v>
      </c>
      <c r="I21" s="73">
        <v>0</v>
      </c>
      <c r="J21" s="25">
        <f t="shared" si="4"/>
        <v>7000</v>
      </c>
      <c r="K21" s="25">
        <f t="shared" si="2"/>
        <v>7000</v>
      </c>
    </row>
    <row r="22" spans="1:11">
      <c r="A22" s="1" t="s">
        <v>1</v>
      </c>
      <c r="B22" s="23" t="s">
        <v>32</v>
      </c>
      <c r="C22" s="54">
        <v>0</v>
      </c>
      <c r="D22" s="24">
        <v>0</v>
      </c>
      <c r="E22" s="25">
        <f t="shared" si="3"/>
        <v>0</v>
      </c>
      <c r="F22" s="53">
        <v>0</v>
      </c>
      <c r="G22" s="54">
        <v>13000</v>
      </c>
      <c r="H22" s="54">
        <v>0</v>
      </c>
      <c r="I22" s="73">
        <v>13000</v>
      </c>
      <c r="J22" s="25">
        <f t="shared" si="4"/>
        <v>26000</v>
      </c>
      <c r="K22" s="25">
        <f t="shared" si="2"/>
        <v>26000</v>
      </c>
    </row>
    <row r="23" spans="1:11">
      <c r="A23" s="1" t="s">
        <v>1</v>
      </c>
      <c r="B23" s="23" t="s">
        <v>20</v>
      </c>
      <c r="C23" s="54">
        <v>0</v>
      </c>
      <c r="D23" s="24">
        <v>0</v>
      </c>
      <c r="E23" s="25">
        <f t="shared" si="3"/>
        <v>0</v>
      </c>
      <c r="F23" s="53">
        <v>76566</v>
      </c>
      <c r="G23" s="54">
        <v>94080</v>
      </c>
      <c r="H23" s="54">
        <v>74070</v>
      </c>
      <c r="I23" s="73">
        <v>83328</v>
      </c>
      <c r="J23" s="25">
        <f t="shared" si="4"/>
        <v>328044</v>
      </c>
      <c r="K23" s="25">
        <f t="shared" si="2"/>
        <v>328044</v>
      </c>
    </row>
    <row r="24" spans="1:11">
      <c r="A24" s="1" t="s">
        <v>1</v>
      </c>
      <c r="B24" s="23" t="s">
        <v>33</v>
      </c>
      <c r="C24" s="54">
        <v>0</v>
      </c>
      <c r="D24" s="24">
        <v>0</v>
      </c>
      <c r="E24" s="25">
        <f t="shared" si="3"/>
        <v>0</v>
      </c>
      <c r="F24" s="53">
        <v>5904</v>
      </c>
      <c r="G24" s="54">
        <v>0</v>
      </c>
      <c r="H24" s="54">
        <v>0</v>
      </c>
      <c r="I24" s="73">
        <v>0</v>
      </c>
      <c r="J24" s="25">
        <f t="shared" si="4"/>
        <v>5904</v>
      </c>
      <c r="K24" s="25">
        <f t="shared" si="2"/>
        <v>5904</v>
      </c>
    </row>
    <row r="25" spans="1:11">
      <c r="A25" s="1" t="s">
        <v>1</v>
      </c>
      <c r="B25" s="23" t="s">
        <v>34</v>
      </c>
      <c r="C25" s="54">
        <v>0</v>
      </c>
      <c r="D25" s="24">
        <v>0</v>
      </c>
      <c r="E25" s="25">
        <f t="shared" si="3"/>
        <v>0</v>
      </c>
      <c r="F25" s="53">
        <v>0</v>
      </c>
      <c r="G25" s="54">
        <v>6222</v>
      </c>
      <c r="H25" s="54">
        <v>0</v>
      </c>
      <c r="I25" s="73">
        <v>0</v>
      </c>
      <c r="J25" s="25">
        <f t="shared" si="4"/>
        <v>6222</v>
      </c>
      <c r="K25" s="25">
        <f t="shared" si="2"/>
        <v>6222</v>
      </c>
    </row>
    <row r="26" spans="1:11">
      <c r="A26" s="1" t="s">
        <v>1</v>
      </c>
      <c r="B26" s="6" t="s">
        <v>23</v>
      </c>
      <c r="C26" s="56">
        <v>1863</v>
      </c>
      <c r="D26" s="7">
        <v>0</v>
      </c>
      <c r="E26" s="8">
        <f t="shared" si="3"/>
        <v>1863</v>
      </c>
      <c r="F26" s="55">
        <v>3285</v>
      </c>
      <c r="G26" s="56">
        <v>2688</v>
      </c>
      <c r="H26" s="56">
        <v>1974</v>
      </c>
      <c r="I26" s="74">
        <v>1191</v>
      </c>
      <c r="J26" s="8">
        <f t="shared" si="4"/>
        <v>9138</v>
      </c>
      <c r="K26" s="8">
        <f t="shared" si="2"/>
        <v>11001</v>
      </c>
    </row>
    <row r="27" spans="1:11">
      <c r="A27" s="1" t="s">
        <v>1</v>
      </c>
      <c r="B27" s="13" t="s">
        <v>35</v>
      </c>
      <c r="C27" s="58">
        <v>416863</v>
      </c>
      <c r="D27" s="16">
        <v>49280</v>
      </c>
      <c r="E27" s="17">
        <f t="shared" si="3"/>
        <v>466143</v>
      </c>
      <c r="F27" s="57">
        <v>329255</v>
      </c>
      <c r="G27" s="58">
        <v>359490</v>
      </c>
      <c r="H27" s="58">
        <v>296044</v>
      </c>
      <c r="I27" s="75">
        <v>409041</v>
      </c>
      <c r="J27" s="17">
        <f t="shared" si="4"/>
        <v>1393830</v>
      </c>
      <c r="K27" s="17">
        <f t="shared" si="2"/>
        <v>1859973</v>
      </c>
    </row>
    <row r="28" spans="1:11">
      <c r="A28" s="1" t="s">
        <v>1</v>
      </c>
      <c r="B28" s="20" t="s">
        <v>36</v>
      </c>
      <c r="C28" s="60">
        <v>9781</v>
      </c>
      <c r="D28" s="21">
        <v>0</v>
      </c>
      <c r="E28" s="22">
        <f t="shared" si="3"/>
        <v>9781</v>
      </c>
      <c r="F28" s="59">
        <v>6487</v>
      </c>
      <c r="G28" s="60">
        <v>1545</v>
      </c>
      <c r="H28" s="60">
        <v>9781</v>
      </c>
      <c r="I28" s="76">
        <v>7825</v>
      </c>
      <c r="J28" s="22">
        <f t="shared" si="4"/>
        <v>25638</v>
      </c>
      <c r="K28" s="22">
        <f t="shared" si="2"/>
        <v>35419</v>
      </c>
    </row>
    <row r="29" spans="1:11">
      <c r="A29" s="1" t="s">
        <v>1</v>
      </c>
      <c r="B29" s="6" t="s">
        <v>37</v>
      </c>
      <c r="C29" s="56">
        <v>9781</v>
      </c>
      <c r="D29" s="7">
        <v>0</v>
      </c>
      <c r="E29" s="8">
        <f t="shared" si="3"/>
        <v>9781</v>
      </c>
      <c r="F29" s="55">
        <v>6487</v>
      </c>
      <c r="G29" s="56">
        <v>1545</v>
      </c>
      <c r="H29" s="56">
        <v>9781</v>
      </c>
      <c r="I29" s="74">
        <v>7825</v>
      </c>
      <c r="J29" s="8">
        <f t="shared" si="4"/>
        <v>25638</v>
      </c>
      <c r="K29" s="8">
        <f t="shared" si="2"/>
        <v>35419</v>
      </c>
    </row>
    <row r="30" spans="1:11">
      <c r="A30" s="1" t="s">
        <v>1</v>
      </c>
      <c r="B30" s="13" t="s">
        <v>38</v>
      </c>
      <c r="C30" s="58">
        <v>426644</v>
      </c>
      <c r="D30" s="16">
        <v>49280</v>
      </c>
      <c r="E30" s="17">
        <f t="shared" si="3"/>
        <v>475924</v>
      </c>
      <c r="F30" s="57">
        <v>335742</v>
      </c>
      <c r="G30" s="58">
        <v>361035</v>
      </c>
      <c r="H30" s="58">
        <v>305825</v>
      </c>
      <c r="I30" s="75">
        <v>416866</v>
      </c>
      <c r="J30" s="17">
        <f t="shared" si="4"/>
        <v>1419468</v>
      </c>
      <c r="K30" s="17">
        <f t="shared" si="2"/>
        <v>1895392</v>
      </c>
    </row>
    <row r="31" spans="1:11">
      <c r="A31" s="1" t="s">
        <v>1</v>
      </c>
      <c r="B31" s="20" t="s">
        <v>39</v>
      </c>
      <c r="C31" s="60">
        <v>20910</v>
      </c>
      <c r="D31" s="21">
        <v>0</v>
      </c>
      <c r="E31" s="22">
        <f t="shared" si="3"/>
        <v>20910</v>
      </c>
      <c r="F31" s="59">
        <v>18360</v>
      </c>
      <c r="G31" s="60">
        <v>20910</v>
      </c>
      <c r="H31" s="60">
        <v>15300</v>
      </c>
      <c r="I31" s="76">
        <v>19380</v>
      </c>
      <c r="J31" s="22">
        <f t="shared" si="4"/>
        <v>73950</v>
      </c>
      <c r="K31" s="22">
        <f t="shared" si="2"/>
        <v>94860</v>
      </c>
    </row>
    <row r="32" spans="1:11">
      <c r="A32" s="1" t="s">
        <v>1</v>
      </c>
      <c r="B32" s="23" t="s">
        <v>40</v>
      </c>
      <c r="C32" s="54">
        <v>3690</v>
      </c>
      <c r="D32" s="24">
        <v>0</v>
      </c>
      <c r="E32" s="25">
        <f t="shared" si="3"/>
        <v>3690</v>
      </c>
      <c r="F32" s="53">
        <v>0</v>
      </c>
      <c r="G32" s="54">
        <v>3690</v>
      </c>
      <c r="H32" s="54">
        <v>2700</v>
      </c>
      <c r="I32" s="73">
        <v>3420</v>
      </c>
      <c r="J32" s="25">
        <f t="shared" si="4"/>
        <v>9810</v>
      </c>
      <c r="K32" s="25">
        <f t="shared" si="2"/>
        <v>13500</v>
      </c>
    </row>
    <row r="33" spans="1:11">
      <c r="A33" s="1" t="s">
        <v>1</v>
      </c>
      <c r="B33" s="23" t="s">
        <v>41</v>
      </c>
      <c r="C33" s="54">
        <v>37515</v>
      </c>
      <c r="D33" s="24">
        <v>0</v>
      </c>
      <c r="E33" s="25">
        <f t="shared" si="3"/>
        <v>37515</v>
      </c>
      <c r="F33" s="53">
        <v>32940</v>
      </c>
      <c r="G33" s="54">
        <v>37515</v>
      </c>
      <c r="H33" s="54">
        <v>27450</v>
      </c>
      <c r="I33" s="73">
        <v>34770</v>
      </c>
      <c r="J33" s="25">
        <f t="shared" si="4"/>
        <v>132675</v>
      </c>
      <c r="K33" s="25">
        <f t="shared" si="2"/>
        <v>170190</v>
      </c>
    </row>
    <row r="34" spans="1:11">
      <c r="A34" s="1" t="s">
        <v>1</v>
      </c>
      <c r="B34" s="6" t="s">
        <v>42</v>
      </c>
      <c r="C34" s="56">
        <v>2560</v>
      </c>
      <c r="D34" s="7">
        <v>0</v>
      </c>
      <c r="E34" s="8">
        <f t="shared" si="3"/>
        <v>2560</v>
      </c>
      <c r="F34" s="55">
        <v>2014</v>
      </c>
      <c r="G34" s="56">
        <v>2166</v>
      </c>
      <c r="H34" s="56">
        <v>1835</v>
      </c>
      <c r="I34" s="74">
        <v>2501</v>
      </c>
      <c r="J34" s="8">
        <f t="shared" si="4"/>
        <v>8516</v>
      </c>
      <c r="K34" s="8">
        <f t="shared" si="2"/>
        <v>11076</v>
      </c>
    </row>
    <row r="35" spans="1:11">
      <c r="A35" s="1" t="s">
        <v>1</v>
      </c>
      <c r="B35" s="13" t="s">
        <v>43</v>
      </c>
      <c r="C35" s="58">
        <v>64675</v>
      </c>
      <c r="D35" s="16">
        <v>0</v>
      </c>
      <c r="E35" s="17">
        <f t="shared" si="3"/>
        <v>64675</v>
      </c>
      <c r="F35" s="57">
        <v>53314</v>
      </c>
      <c r="G35" s="58">
        <v>64281</v>
      </c>
      <c r="H35" s="58">
        <v>47285</v>
      </c>
      <c r="I35" s="75">
        <v>60071</v>
      </c>
      <c r="J35" s="17">
        <f t="shared" si="4"/>
        <v>224951</v>
      </c>
      <c r="K35" s="17">
        <f t="shared" si="2"/>
        <v>289626</v>
      </c>
    </row>
    <row r="36" spans="1:11">
      <c r="A36" s="1" t="s">
        <v>1</v>
      </c>
      <c r="B36" s="13" t="s">
        <v>44</v>
      </c>
      <c r="C36" s="58">
        <v>64675</v>
      </c>
      <c r="D36" s="16">
        <v>0</v>
      </c>
      <c r="E36" s="17">
        <f t="shared" si="3"/>
        <v>64675</v>
      </c>
      <c r="F36" s="57">
        <v>53314</v>
      </c>
      <c r="G36" s="58">
        <v>64281</v>
      </c>
      <c r="H36" s="58">
        <v>47285</v>
      </c>
      <c r="I36" s="75">
        <v>60071</v>
      </c>
      <c r="J36" s="17">
        <f t="shared" si="4"/>
        <v>224951</v>
      </c>
      <c r="K36" s="17">
        <f t="shared" si="2"/>
        <v>289626</v>
      </c>
    </row>
    <row r="37" spans="1:11">
      <c r="A37" s="1" t="s">
        <v>1</v>
      </c>
      <c r="B37" s="13" t="s">
        <v>45</v>
      </c>
      <c r="C37" s="58">
        <v>352188</v>
      </c>
      <c r="D37" s="16">
        <v>49280</v>
      </c>
      <c r="E37" s="17">
        <f t="shared" si="3"/>
        <v>401468</v>
      </c>
      <c r="F37" s="57">
        <v>275941</v>
      </c>
      <c r="G37" s="58">
        <v>295209</v>
      </c>
      <c r="H37" s="58">
        <v>248759</v>
      </c>
      <c r="I37" s="75">
        <v>348970</v>
      </c>
      <c r="J37" s="17">
        <f t="shared" si="4"/>
        <v>1168879</v>
      </c>
      <c r="K37" s="17">
        <f t="shared" si="2"/>
        <v>1570347</v>
      </c>
    </row>
    <row r="38" spans="1:11">
      <c r="A38" s="1" t="s">
        <v>1</v>
      </c>
      <c r="B38" s="13" t="s">
        <v>46</v>
      </c>
      <c r="C38" s="58">
        <v>361969</v>
      </c>
      <c r="D38" s="16">
        <v>49280</v>
      </c>
      <c r="E38" s="17">
        <f t="shared" si="3"/>
        <v>411249</v>
      </c>
      <c r="F38" s="57">
        <v>282428</v>
      </c>
      <c r="G38" s="58">
        <v>296754</v>
      </c>
      <c r="H38" s="58">
        <v>258540</v>
      </c>
      <c r="I38" s="75">
        <v>356795</v>
      </c>
      <c r="J38" s="17">
        <f t="shared" si="4"/>
        <v>1194517</v>
      </c>
      <c r="K38" s="17">
        <f t="shared" si="2"/>
        <v>1605766</v>
      </c>
    </row>
    <row r="39" spans="1:11">
      <c r="A39" s="1" t="s">
        <v>1</v>
      </c>
      <c r="B39" s="13" t="s">
        <v>47</v>
      </c>
      <c r="C39" s="58">
        <v>361969</v>
      </c>
      <c r="D39" s="16">
        <v>49280</v>
      </c>
      <c r="E39" s="17">
        <f t="shared" si="3"/>
        <v>411249</v>
      </c>
      <c r="F39" s="57">
        <v>282428</v>
      </c>
      <c r="G39" s="58">
        <v>296754</v>
      </c>
      <c r="H39" s="58">
        <v>258540</v>
      </c>
      <c r="I39" s="75">
        <v>356795</v>
      </c>
      <c r="J39" s="17">
        <f t="shared" si="4"/>
        <v>1194517</v>
      </c>
      <c r="K39" s="17">
        <f t="shared" si="2"/>
        <v>1605766</v>
      </c>
    </row>
    <row r="40" spans="1:11">
      <c r="A40" s="1" t="s">
        <v>1</v>
      </c>
      <c r="B40" s="13" t="s">
        <v>48</v>
      </c>
      <c r="C40" s="58">
        <v>1</v>
      </c>
      <c r="D40" s="16">
        <v>0</v>
      </c>
      <c r="E40" s="17">
        <f t="shared" si="3"/>
        <v>1</v>
      </c>
      <c r="F40" s="57">
        <v>1</v>
      </c>
      <c r="G40" s="58">
        <v>0</v>
      </c>
      <c r="H40" s="58">
        <v>1</v>
      </c>
      <c r="I40" s="75">
        <v>0</v>
      </c>
      <c r="J40" s="17"/>
      <c r="K40" s="17"/>
    </row>
    <row r="41" spans="1:11">
      <c r="A41" s="1" t="s">
        <v>1</v>
      </c>
      <c r="B41" s="13" t="s">
        <v>49</v>
      </c>
      <c r="C41" s="62" t="s">
        <v>50</v>
      </c>
      <c r="D41" s="18" t="s">
        <v>50</v>
      </c>
      <c r="E41" s="19"/>
      <c r="F41" s="61" t="s">
        <v>50</v>
      </c>
      <c r="G41" s="62" t="s">
        <v>50</v>
      </c>
      <c r="H41" s="62" t="s">
        <v>50</v>
      </c>
      <c r="I41" s="77" t="s">
        <v>50</v>
      </c>
      <c r="J41" s="19"/>
      <c r="K41" s="19"/>
    </row>
    <row r="42" spans="1:11">
      <c r="A42" s="1" t="s">
        <v>1</v>
      </c>
      <c r="B42" s="13" t="s">
        <v>51</v>
      </c>
      <c r="C42" s="58">
        <v>9410</v>
      </c>
      <c r="D42" s="16">
        <v>0</v>
      </c>
      <c r="E42" s="17">
        <f t="shared" si="3"/>
        <v>9410</v>
      </c>
      <c r="F42" s="57">
        <v>5860</v>
      </c>
      <c r="G42" s="58">
        <v>8170</v>
      </c>
      <c r="H42" s="58">
        <v>4890</v>
      </c>
      <c r="I42" s="75">
        <v>12380</v>
      </c>
      <c r="J42" s="17">
        <f t="shared" si="4"/>
        <v>31300</v>
      </c>
      <c r="K42" s="17">
        <f t="shared" si="2"/>
        <v>40710</v>
      </c>
    </row>
    <row r="43" spans="1:11">
      <c r="A43" s="1" t="s">
        <v>1</v>
      </c>
      <c r="B43" s="13" t="s">
        <v>52</v>
      </c>
      <c r="C43" s="58">
        <v>9410</v>
      </c>
      <c r="D43" s="16">
        <v>0</v>
      </c>
      <c r="E43" s="17">
        <f t="shared" si="3"/>
        <v>9410</v>
      </c>
      <c r="F43" s="57">
        <v>5860</v>
      </c>
      <c r="G43" s="58">
        <v>8170</v>
      </c>
      <c r="H43" s="58">
        <v>4890</v>
      </c>
      <c r="I43" s="75">
        <v>12380</v>
      </c>
      <c r="J43" s="17">
        <f t="shared" si="4"/>
        <v>31300</v>
      </c>
      <c r="K43" s="17">
        <f t="shared" si="2"/>
        <v>40710</v>
      </c>
    </row>
    <row r="44" spans="1:11" ht="19.5" thickBot="1">
      <c r="A44" s="1" t="s">
        <v>1</v>
      </c>
      <c r="B44" s="9" t="s">
        <v>53</v>
      </c>
      <c r="C44" s="64">
        <v>60000</v>
      </c>
      <c r="D44" s="10"/>
      <c r="E44" s="11"/>
      <c r="F44" s="63">
        <v>30000</v>
      </c>
      <c r="G44" s="64">
        <v>30000</v>
      </c>
      <c r="H44" s="64">
        <v>60000</v>
      </c>
      <c r="I44" s="78">
        <v>30000</v>
      </c>
      <c r="J44" s="11"/>
      <c r="K44" s="11"/>
    </row>
  </sheetData>
  <phoneticPr fontId="4"/>
  <pageMargins left="0.31496062992125984" right="0.31496062992125984" top="0.35433070866141736" bottom="0.35433070866141736" header="0.31496062992125984" footer="0.31496062992125984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2024-07-06T04:19:30Z</cp:lastPrinted>
  <dcterms:created xsi:type="dcterms:W3CDTF">2024-07-06T02:14:13Z</dcterms:created>
  <dcterms:modified xsi:type="dcterms:W3CDTF">2024-07-09T01:35:33Z</dcterms:modified>
</cp:coreProperties>
</file>