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E1DFB4BD-3518-47E6-8502-2A9CD975EAC3}" xr6:coauthVersionLast="47" xr6:coauthVersionMax="47" xr10:uidLastSave="{00000000-0000-0000-0000-000000000000}"/>
  <bookViews>
    <workbookView xWindow="-120" yWindow="-120" windowWidth="20730" windowHeight="11040" activeTab="1" xr2:uid="{5357FC74-C0FC-4612-8DD1-6646E11C33E9}"/>
  </bookViews>
  <sheets>
    <sheet name="2024年10月度給与 (2)" sheetId="3" r:id="rId1"/>
    <sheet name="2024年10月度給与 (3)" sheetId="4" r:id="rId2"/>
    <sheet name="2024年10月度給与 (4)" sheetId="5" r:id="rId3"/>
  </sheets>
  <definedNames>
    <definedName name="_xlnm.Print_Area" localSheetId="1">'2024年10月度給与 (3)'!$A$1:$N$59</definedName>
    <definedName name="_xlnm.Print_Area" localSheetId="2">'2024年10月度給与 (4)'!$A$1:$R$59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8" i="5" l="1"/>
  <c r="R57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M59" i="4"/>
  <c r="M58" i="4"/>
  <c r="K58" i="4"/>
  <c r="M57" i="4"/>
  <c r="K57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A58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7" i="3"/>
  <c r="R58" i="3"/>
  <c r="R5" i="3"/>
  <c r="AC6" i="3"/>
  <c r="AD6" i="3" s="1"/>
  <c r="AC7" i="3"/>
  <c r="AD7" i="3" s="1"/>
  <c r="AC8" i="3"/>
  <c r="AD8" i="3" s="1"/>
  <c r="AC9" i="3"/>
  <c r="AD9" i="3" s="1"/>
  <c r="AC10" i="3"/>
  <c r="AD10" i="3" s="1"/>
  <c r="AC11" i="3"/>
  <c r="AD11" i="3" s="1"/>
  <c r="AC12" i="3"/>
  <c r="AD12" i="3" s="1"/>
  <c r="AC13" i="3"/>
  <c r="AD13" i="3" s="1"/>
  <c r="AC14" i="3"/>
  <c r="AD14" i="3" s="1"/>
  <c r="AC15" i="3"/>
  <c r="AD15" i="3" s="1"/>
  <c r="AC16" i="3"/>
  <c r="AD16" i="3" s="1"/>
  <c r="AC17" i="3"/>
  <c r="AD17" i="3" s="1"/>
  <c r="AC18" i="3"/>
  <c r="AD18" i="3" s="1"/>
  <c r="AC19" i="3"/>
  <c r="AD19" i="3" s="1"/>
  <c r="AC21" i="3"/>
  <c r="AD21" i="3" s="1"/>
  <c r="AC22" i="3"/>
  <c r="AD22" i="3" s="1"/>
  <c r="AC23" i="3"/>
  <c r="AD23" i="3" s="1"/>
  <c r="AC24" i="3"/>
  <c r="AD24" i="3" s="1"/>
  <c r="AC25" i="3"/>
  <c r="AD25" i="3" s="1"/>
  <c r="AC26" i="3"/>
  <c r="AD26" i="3" s="1"/>
  <c r="AC27" i="3"/>
  <c r="AD27" i="3" s="1"/>
  <c r="AC28" i="3"/>
  <c r="AD28" i="3" s="1"/>
  <c r="AC29" i="3"/>
  <c r="AD29" i="3" s="1"/>
  <c r="AC30" i="3"/>
  <c r="AD30" i="3" s="1"/>
  <c r="AC31" i="3"/>
  <c r="AD31" i="3" s="1"/>
  <c r="AC32" i="3"/>
  <c r="AD32" i="3" s="1"/>
  <c r="AC33" i="3"/>
  <c r="AD33" i="3" s="1"/>
  <c r="AC34" i="3"/>
  <c r="AD34" i="3" s="1"/>
  <c r="AC35" i="3"/>
  <c r="AD35" i="3" s="1"/>
  <c r="AC36" i="3"/>
  <c r="AD36" i="3" s="1"/>
  <c r="AC37" i="3"/>
  <c r="AD37" i="3" s="1"/>
  <c r="AC38" i="3"/>
  <c r="AD38" i="3" s="1"/>
  <c r="AC39" i="3"/>
  <c r="AD39" i="3" s="1"/>
  <c r="AC40" i="3"/>
  <c r="AD40" i="3" s="1"/>
  <c r="AC41" i="3"/>
  <c r="AD41" i="3" s="1"/>
  <c r="AC42" i="3"/>
  <c r="AD42" i="3" s="1"/>
  <c r="AC43" i="3"/>
  <c r="AD43" i="3" s="1"/>
  <c r="AC44" i="3"/>
  <c r="AD44" i="3" s="1"/>
  <c r="AC45" i="3"/>
  <c r="AD45" i="3" s="1"/>
  <c r="AC46" i="3"/>
  <c r="AD46" i="3" s="1"/>
  <c r="AC47" i="3"/>
  <c r="AD47" i="3" s="1"/>
  <c r="AC48" i="3"/>
  <c r="AD48" i="3" s="1"/>
  <c r="AC49" i="3"/>
  <c r="AD49" i="3" s="1"/>
  <c r="AC50" i="3"/>
  <c r="AD50" i="3" s="1"/>
  <c r="AC51" i="3"/>
  <c r="AD51" i="3" s="1"/>
  <c r="AC52" i="3"/>
  <c r="AD52" i="3" s="1"/>
  <c r="AC53" i="3"/>
  <c r="AD53" i="3" s="1"/>
  <c r="AC54" i="3"/>
  <c r="AD54" i="3" s="1"/>
  <c r="AC57" i="3"/>
  <c r="AD57" i="3" s="1"/>
  <c r="AC58" i="3"/>
  <c r="AD58" i="3" s="1"/>
  <c r="AC59" i="3"/>
  <c r="AC5" i="3"/>
  <c r="AD5" i="3" s="1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7" i="3"/>
  <c r="AA5" i="3"/>
</calcChain>
</file>

<file path=xl/sharedStrings.xml><?xml version="1.0" encoding="utf-8"?>
<sst xmlns="http://schemas.openxmlformats.org/spreadsheetml/2006/main" count="499" uniqueCount="112">
  <si>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</si>
  <si>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</si>
  <si>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</si>
  <si>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</si>
  <si>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</si>
  <si>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</si>
  <si>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</si>
  <si>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</si>
  <si>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</si>
  <si>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</si>
  <si>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</si>
  <si>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</si>
  <si>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</si>
  <si>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</si>
  <si>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</si>
  <si>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</si>
  <si>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</si>
  <si>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</si>
  <si>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</si>
  <si>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</si>
  <si>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</si>
  <si>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</si>
  <si>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</si>
  <si>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</si>
  <si>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</si>
  <si>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</si>
  <si>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</si>
  <si>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</si>
  <si>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</si>
  <si>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</si>
  <si>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</si>
  <si>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</si>
  <si>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</si>
  <si>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</si>
  <si>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</si>
  <si>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</si>
  <si>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</si>
  <si>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</si>
  <si>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</si>
  <si>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</si>
  <si>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</si>
  <si>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</si>
  <si>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</si>
  <si>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</si>
  <si>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</si>
  <si>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</si>
  <si>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</si>
  <si>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</si>
  <si>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</si>
  <si>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小沼康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</si>
  <si>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</si>
  <si>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</si>
  <si>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</si>
  <si>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</si>
  <si>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</si>
  <si>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</si>
  <si>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</si>
  <si>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</si>
  <si>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</si>
  <si>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</si>
  <si>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</si>
  <si>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</si>
  <si>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</si>
  <si>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</si>
  <si>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</si>
  <si>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</si>
  <si>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</si>
  <si>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</si>
  <si>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</si>
  <si>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</si>
  <si>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</si>
  <si>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</si>
  <si>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</si>
  <si>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</si>
  <si>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</si>
  <si>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</si>
  <si>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</si>
  <si>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</si>
  <si>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</si>
  <si>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</si>
  <si>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</si>
  <si>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</si>
  <si>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</si>
  <si>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</si>
  <si>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</si>
  <si>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</si>
  <si>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</si>
  <si>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</si>
  <si>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</si>
  <si>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</si>
  <si>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</si>
  <si>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</si>
  <si>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</si>
  <si>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</si>
  <si>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</si>
  <si>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</si>
  <si>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</si>
  <si>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</si>
  <si>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</si>
  <si>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</si>
  <si>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</si>
  <si>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</si>
  <si>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</si>
  <si>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</si>
  <si>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</si>
  <si>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下山田英治</t>
    <phoneticPr fontId="4"/>
  </si>
  <si>
    <t>小計</t>
    <rPh sb="0" eb="2">
      <t>ショウケイ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</si>
  <si>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</si>
  <si>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</si>
  <si>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小計</t>
    <rPh sb="0" eb="2">
      <t>ショウケイ</t>
    </rPh>
    <phoneticPr fontId="4"/>
  </si>
  <si>
    <t>15名</t>
    <rPh sb="2" eb="3">
      <t>メイ</t>
    </rPh>
    <phoneticPr fontId="4"/>
  </si>
  <si>
    <t>小沼  康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</si>
</sst>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3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77" fontId="2" fillId="0" borderId="21" xfId="1" applyNumberFormat="1" applyFont="1" applyBorder="1"/>
    <xf numFmtId="177" fontId="2" fillId="0" borderId="10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4" xfId="1" applyNumberFormat="1" applyFont="1" applyBorder="1"/>
    <xf numFmtId="3" fontId="2" fillId="0" borderId="30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</cellXfs>
  <cellStyles count="2">
    <cellStyle name="標準" xfId="0" builtinId="0"/>
    <cellStyle name="標準 2" xfId="1" xr:uid="{27D0C402-18EC-49DF-9484-B7BC98495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E4B9-98A0-4BE8-A49A-76683ADC8396}">
  <dimension ref="A1:AD59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30" width="11.5" style="2" customWidth="1"/>
    <col min="3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76" width="11.125" style="2" bestFit="1" customWidth="1"/>
    <col min="277" max="277" width="9" style="2"/>
    <col min="278" max="283" width="11.125" style="2" bestFit="1" customWidth="1"/>
    <col min="284" max="284" width="8" style="2" bestFit="1" customWidth="1"/>
    <col min="285" max="285" width="9.625" style="2" bestFit="1" customWidth="1"/>
    <col min="28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32" width="11.125" style="2" bestFit="1" customWidth="1"/>
    <col min="533" max="533" width="9" style="2"/>
    <col min="534" max="539" width="11.125" style="2" bestFit="1" customWidth="1"/>
    <col min="540" max="540" width="8" style="2" bestFit="1" customWidth="1"/>
    <col min="541" max="541" width="9.625" style="2" bestFit="1" customWidth="1"/>
    <col min="54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88" width="11.125" style="2" bestFit="1" customWidth="1"/>
    <col min="789" max="789" width="9" style="2"/>
    <col min="790" max="795" width="11.125" style="2" bestFit="1" customWidth="1"/>
    <col min="796" max="796" width="8" style="2" bestFit="1" customWidth="1"/>
    <col min="797" max="797" width="9.625" style="2" bestFit="1" customWidth="1"/>
    <col min="79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44" width="11.125" style="2" bestFit="1" customWidth="1"/>
    <col min="1045" max="1045" width="9" style="2"/>
    <col min="1046" max="1051" width="11.125" style="2" bestFit="1" customWidth="1"/>
    <col min="1052" max="1052" width="8" style="2" bestFit="1" customWidth="1"/>
    <col min="1053" max="1053" width="9.625" style="2" bestFit="1" customWidth="1"/>
    <col min="105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300" width="11.125" style="2" bestFit="1" customWidth="1"/>
    <col min="1301" max="1301" width="9" style="2"/>
    <col min="1302" max="1307" width="11.125" style="2" bestFit="1" customWidth="1"/>
    <col min="1308" max="1308" width="8" style="2" bestFit="1" customWidth="1"/>
    <col min="1309" max="1309" width="9.625" style="2" bestFit="1" customWidth="1"/>
    <col min="131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56" width="11.125" style="2" bestFit="1" customWidth="1"/>
    <col min="1557" max="1557" width="9" style="2"/>
    <col min="1558" max="1563" width="11.125" style="2" bestFit="1" customWidth="1"/>
    <col min="1564" max="1564" width="8" style="2" bestFit="1" customWidth="1"/>
    <col min="1565" max="1565" width="9.625" style="2" bestFit="1" customWidth="1"/>
    <col min="156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12" width="11.125" style="2" bestFit="1" customWidth="1"/>
    <col min="1813" max="1813" width="9" style="2"/>
    <col min="1814" max="1819" width="11.125" style="2" bestFit="1" customWidth="1"/>
    <col min="1820" max="1820" width="8" style="2" bestFit="1" customWidth="1"/>
    <col min="1821" max="1821" width="9.625" style="2" bestFit="1" customWidth="1"/>
    <col min="182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68" width="11.125" style="2" bestFit="1" customWidth="1"/>
    <col min="2069" max="2069" width="9" style="2"/>
    <col min="2070" max="2075" width="11.125" style="2" bestFit="1" customWidth="1"/>
    <col min="2076" max="2076" width="8" style="2" bestFit="1" customWidth="1"/>
    <col min="2077" max="2077" width="9.625" style="2" bestFit="1" customWidth="1"/>
    <col min="207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24" width="11.125" style="2" bestFit="1" customWidth="1"/>
    <col min="2325" max="2325" width="9" style="2"/>
    <col min="2326" max="2331" width="11.125" style="2" bestFit="1" customWidth="1"/>
    <col min="2332" max="2332" width="8" style="2" bestFit="1" customWidth="1"/>
    <col min="2333" max="2333" width="9.625" style="2" bestFit="1" customWidth="1"/>
    <col min="233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80" width="11.125" style="2" bestFit="1" customWidth="1"/>
    <col min="2581" max="2581" width="9" style="2"/>
    <col min="2582" max="2587" width="11.125" style="2" bestFit="1" customWidth="1"/>
    <col min="2588" max="2588" width="8" style="2" bestFit="1" customWidth="1"/>
    <col min="2589" max="2589" width="9.625" style="2" bestFit="1" customWidth="1"/>
    <col min="259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36" width="11.125" style="2" bestFit="1" customWidth="1"/>
    <col min="2837" max="2837" width="9" style="2"/>
    <col min="2838" max="2843" width="11.125" style="2" bestFit="1" customWidth="1"/>
    <col min="2844" max="2844" width="8" style="2" bestFit="1" customWidth="1"/>
    <col min="2845" max="2845" width="9.625" style="2" bestFit="1" customWidth="1"/>
    <col min="284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92" width="11.125" style="2" bestFit="1" customWidth="1"/>
    <col min="3093" max="3093" width="9" style="2"/>
    <col min="3094" max="3099" width="11.125" style="2" bestFit="1" customWidth="1"/>
    <col min="3100" max="3100" width="8" style="2" bestFit="1" customWidth="1"/>
    <col min="3101" max="3101" width="9.625" style="2" bestFit="1" customWidth="1"/>
    <col min="310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48" width="11.125" style="2" bestFit="1" customWidth="1"/>
    <col min="3349" max="3349" width="9" style="2"/>
    <col min="3350" max="3355" width="11.125" style="2" bestFit="1" customWidth="1"/>
    <col min="3356" max="3356" width="8" style="2" bestFit="1" customWidth="1"/>
    <col min="3357" max="3357" width="9.625" style="2" bestFit="1" customWidth="1"/>
    <col min="335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604" width="11.125" style="2" bestFit="1" customWidth="1"/>
    <col min="3605" max="3605" width="9" style="2"/>
    <col min="3606" max="3611" width="11.125" style="2" bestFit="1" customWidth="1"/>
    <col min="3612" max="3612" width="8" style="2" bestFit="1" customWidth="1"/>
    <col min="3613" max="3613" width="9.625" style="2" bestFit="1" customWidth="1"/>
    <col min="361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60" width="11.125" style="2" bestFit="1" customWidth="1"/>
    <col min="3861" max="3861" width="9" style="2"/>
    <col min="3862" max="3867" width="11.125" style="2" bestFit="1" customWidth="1"/>
    <col min="3868" max="3868" width="8" style="2" bestFit="1" customWidth="1"/>
    <col min="3869" max="3869" width="9.625" style="2" bestFit="1" customWidth="1"/>
    <col min="387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16" width="11.125" style="2" bestFit="1" customWidth="1"/>
    <col min="4117" max="4117" width="9" style="2"/>
    <col min="4118" max="4123" width="11.125" style="2" bestFit="1" customWidth="1"/>
    <col min="4124" max="4124" width="8" style="2" bestFit="1" customWidth="1"/>
    <col min="4125" max="4125" width="9.625" style="2" bestFit="1" customWidth="1"/>
    <col min="412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72" width="11.125" style="2" bestFit="1" customWidth="1"/>
    <col min="4373" max="4373" width="9" style="2"/>
    <col min="4374" max="4379" width="11.125" style="2" bestFit="1" customWidth="1"/>
    <col min="4380" max="4380" width="8" style="2" bestFit="1" customWidth="1"/>
    <col min="4381" max="4381" width="9.625" style="2" bestFit="1" customWidth="1"/>
    <col min="438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28" width="11.125" style="2" bestFit="1" customWidth="1"/>
    <col min="4629" max="4629" width="9" style="2"/>
    <col min="4630" max="4635" width="11.125" style="2" bestFit="1" customWidth="1"/>
    <col min="4636" max="4636" width="8" style="2" bestFit="1" customWidth="1"/>
    <col min="4637" max="4637" width="9.625" style="2" bestFit="1" customWidth="1"/>
    <col min="463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84" width="11.125" style="2" bestFit="1" customWidth="1"/>
    <col min="4885" max="4885" width="9" style="2"/>
    <col min="4886" max="4891" width="11.125" style="2" bestFit="1" customWidth="1"/>
    <col min="4892" max="4892" width="8" style="2" bestFit="1" customWidth="1"/>
    <col min="4893" max="4893" width="9.625" style="2" bestFit="1" customWidth="1"/>
    <col min="489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40" width="11.125" style="2" bestFit="1" customWidth="1"/>
    <col min="5141" max="5141" width="9" style="2"/>
    <col min="5142" max="5147" width="11.125" style="2" bestFit="1" customWidth="1"/>
    <col min="5148" max="5148" width="8" style="2" bestFit="1" customWidth="1"/>
    <col min="5149" max="5149" width="9.625" style="2" bestFit="1" customWidth="1"/>
    <col min="515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96" width="11.125" style="2" bestFit="1" customWidth="1"/>
    <col min="5397" max="5397" width="9" style="2"/>
    <col min="5398" max="5403" width="11.125" style="2" bestFit="1" customWidth="1"/>
    <col min="5404" max="5404" width="8" style="2" bestFit="1" customWidth="1"/>
    <col min="5405" max="5405" width="9.625" style="2" bestFit="1" customWidth="1"/>
    <col min="540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52" width="11.125" style="2" bestFit="1" customWidth="1"/>
    <col min="5653" max="5653" width="9" style="2"/>
    <col min="5654" max="5659" width="11.125" style="2" bestFit="1" customWidth="1"/>
    <col min="5660" max="5660" width="8" style="2" bestFit="1" customWidth="1"/>
    <col min="5661" max="5661" width="9.625" style="2" bestFit="1" customWidth="1"/>
    <col min="566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908" width="11.125" style="2" bestFit="1" customWidth="1"/>
    <col min="5909" max="5909" width="9" style="2"/>
    <col min="5910" max="5915" width="11.125" style="2" bestFit="1" customWidth="1"/>
    <col min="5916" max="5916" width="8" style="2" bestFit="1" customWidth="1"/>
    <col min="5917" max="5917" width="9.625" style="2" bestFit="1" customWidth="1"/>
    <col min="591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64" width="11.125" style="2" bestFit="1" customWidth="1"/>
    <col min="6165" max="6165" width="9" style="2"/>
    <col min="6166" max="6171" width="11.125" style="2" bestFit="1" customWidth="1"/>
    <col min="6172" max="6172" width="8" style="2" bestFit="1" customWidth="1"/>
    <col min="6173" max="6173" width="9.625" style="2" bestFit="1" customWidth="1"/>
    <col min="617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20" width="11.125" style="2" bestFit="1" customWidth="1"/>
    <col min="6421" max="6421" width="9" style="2"/>
    <col min="6422" max="6427" width="11.125" style="2" bestFit="1" customWidth="1"/>
    <col min="6428" max="6428" width="8" style="2" bestFit="1" customWidth="1"/>
    <col min="6429" max="6429" width="9.625" style="2" bestFit="1" customWidth="1"/>
    <col min="643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76" width="11.125" style="2" bestFit="1" customWidth="1"/>
    <col min="6677" max="6677" width="9" style="2"/>
    <col min="6678" max="6683" width="11.125" style="2" bestFit="1" customWidth="1"/>
    <col min="6684" max="6684" width="8" style="2" bestFit="1" customWidth="1"/>
    <col min="6685" max="6685" width="9.625" style="2" bestFit="1" customWidth="1"/>
    <col min="668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32" width="11.125" style="2" bestFit="1" customWidth="1"/>
    <col min="6933" max="6933" width="9" style="2"/>
    <col min="6934" max="6939" width="11.125" style="2" bestFit="1" customWidth="1"/>
    <col min="6940" max="6940" width="8" style="2" bestFit="1" customWidth="1"/>
    <col min="6941" max="6941" width="9.625" style="2" bestFit="1" customWidth="1"/>
    <col min="694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88" width="11.125" style="2" bestFit="1" customWidth="1"/>
    <col min="7189" max="7189" width="9" style="2"/>
    <col min="7190" max="7195" width="11.125" style="2" bestFit="1" customWidth="1"/>
    <col min="7196" max="7196" width="8" style="2" bestFit="1" customWidth="1"/>
    <col min="7197" max="7197" width="9.625" style="2" bestFit="1" customWidth="1"/>
    <col min="719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44" width="11.125" style="2" bestFit="1" customWidth="1"/>
    <col min="7445" max="7445" width="9" style="2"/>
    <col min="7446" max="7451" width="11.125" style="2" bestFit="1" customWidth="1"/>
    <col min="7452" max="7452" width="8" style="2" bestFit="1" customWidth="1"/>
    <col min="7453" max="7453" width="9.625" style="2" bestFit="1" customWidth="1"/>
    <col min="745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700" width="11.125" style="2" bestFit="1" customWidth="1"/>
    <col min="7701" max="7701" width="9" style="2"/>
    <col min="7702" max="7707" width="11.125" style="2" bestFit="1" customWidth="1"/>
    <col min="7708" max="7708" width="8" style="2" bestFit="1" customWidth="1"/>
    <col min="7709" max="7709" width="9.625" style="2" bestFit="1" customWidth="1"/>
    <col min="771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56" width="11.125" style="2" bestFit="1" customWidth="1"/>
    <col min="7957" max="7957" width="9" style="2"/>
    <col min="7958" max="7963" width="11.125" style="2" bestFit="1" customWidth="1"/>
    <col min="7964" max="7964" width="8" style="2" bestFit="1" customWidth="1"/>
    <col min="7965" max="7965" width="9.625" style="2" bestFit="1" customWidth="1"/>
    <col min="796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12" width="11.125" style="2" bestFit="1" customWidth="1"/>
    <col min="8213" max="8213" width="9" style="2"/>
    <col min="8214" max="8219" width="11.125" style="2" bestFit="1" customWidth="1"/>
    <col min="8220" max="8220" width="8" style="2" bestFit="1" customWidth="1"/>
    <col min="8221" max="8221" width="9.625" style="2" bestFit="1" customWidth="1"/>
    <col min="822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68" width="11.125" style="2" bestFit="1" customWidth="1"/>
    <col min="8469" max="8469" width="9" style="2"/>
    <col min="8470" max="8475" width="11.125" style="2" bestFit="1" customWidth="1"/>
    <col min="8476" max="8476" width="8" style="2" bestFit="1" customWidth="1"/>
    <col min="8477" max="8477" width="9.625" style="2" bestFit="1" customWidth="1"/>
    <col min="847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24" width="11.125" style="2" bestFit="1" customWidth="1"/>
    <col min="8725" max="8725" width="9" style="2"/>
    <col min="8726" max="8731" width="11.125" style="2" bestFit="1" customWidth="1"/>
    <col min="8732" max="8732" width="8" style="2" bestFit="1" customWidth="1"/>
    <col min="8733" max="8733" width="9.625" style="2" bestFit="1" customWidth="1"/>
    <col min="873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80" width="11.125" style="2" bestFit="1" customWidth="1"/>
    <col min="8981" max="8981" width="9" style="2"/>
    <col min="8982" max="8987" width="11.125" style="2" bestFit="1" customWidth="1"/>
    <col min="8988" max="8988" width="8" style="2" bestFit="1" customWidth="1"/>
    <col min="8989" max="8989" width="9.625" style="2" bestFit="1" customWidth="1"/>
    <col min="899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36" width="11.125" style="2" bestFit="1" customWidth="1"/>
    <col min="9237" max="9237" width="9" style="2"/>
    <col min="9238" max="9243" width="11.125" style="2" bestFit="1" customWidth="1"/>
    <col min="9244" max="9244" width="8" style="2" bestFit="1" customWidth="1"/>
    <col min="9245" max="9245" width="9.625" style="2" bestFit="1" customWidth="1"/>
    <col min="924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92" width="11.125" style="2" bestFit="1" customWidth="1"/>
    <col min="9493" max="9493" width="9" style="2"/>
    <col min="9494" max="9499" width="11.125" style="2" bestFit="1" customWidth="1"/>
    <col min="9500" max="9500" width="8" style="2" bestFit="1" customWidth="1"/>
    <col min="9501" max="9501" width="9.625" style="2" bestFit="1" customWidth="1"/>
    <col min="950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48" width="11.125" style="2" bestFit="1" customWidth="1"/>
    <col min="9749" max="9749" width="9" style="2"/>
    <col min="9750" max="9755" width="11.125" style="2" bestFit="1" customWidth="1"/>
    <col min="9756" max="9756" width="8" style="2" bestFit="1" customWidth="1"/>
    <col min="9757" max="9757" width="9.625" style="2" bestFit="1" customWidth="1"/>
    <col min="975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10004" width="11.125" style="2" bestFit="1" customWidth="1"/>
    <col min="10005" max="10005" width="9" style="2"/>
    <col min="10006" max="10011" width="11.125" style="2" bestFit="1" customWidth="1"/>
    <col min="10012" max="10012" width="8" style="2" bestFit="1" customWidth="1"/>
    <col min="10013" max="10013" width="9.625" style="2" bestFit="1" customWidth="1"/>
    <col min="1001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60" width="11.125" style="2" bestFit="1" customWidth="1"/>
    <col min="10261" max="10261" width="9" style="2"/>
    <col min="10262" max="10267" width="11.125" style="2" bestFit="1" customWidth="1"/>
    <col min="10268" max="10268" width="8" style="2" bestFit="1" customWidth="1"/>
    <col min="10269" max="10269" width="9.625" style="2" bestFit="1" customWidth="1"/>
    <col min="1027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16" width="11.125" style="2" bestFit="1" customWidth="1"/>
    <col min="10517" max="10517" width="9" style="2"/>
    <col min="10518" max="10523" width="11.125" style="2" bestFit="1" customWidth="1"/>
    <col min="10524" max="10524" width="8" style="2" bestFit="1" customWidth="1"/>
    <col min="10525" max="10525" width="9.625" style="2" bestFit="1" customWidth="1"/>
    <col min="1052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72" width="11.125" style="2" bestFit="1" customWidth="1"/>
    <col min="10773" max="10773" width="9" style="2"/>
    <col min="10774" max="10779" width="11.125" style="2" bestFit="1" customWidth="1"/>
    <col min="10780" max="10780" width="8" style="2" bestFit="1" customWidth="1"/>
    <col min="10781" max="10781" width="9.625" style="2" bestFit="1" customWidth="1"/>
    <col min="1078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28" width="11.125" style="2" bestFit="1" customWidth="1"/>
    <col min="11029" max="11029" width="9" style="2"/>
    <col min="11030" max="11035" width="11.125" style="2" bestFit="1" customWidth="1"/>
    <col min="11036" max="11036" width="8" style="2" bestFit="1" customWidth="1"/>
    <col min="11037" max="11037" width="9.625" style="2" bestFit="1" customWidth="1"/>
    <col min="1103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84" width="11.125" style="2" bestFit="1" customWidth="1"/>
    <col min="11285" max="11285" width="9" style="2"/>
    <col min="11286" max="11291" width="11.125" style="2" bestFit="1" customWidth="1"/>
    <col min="11292" max="11292" width="8" style="2" bestFit="1" customWidth="1"/>
    <col min="11293" max="11293" width="9.625" style="2" bestFit="1" customWidth="1"/>
    <col min="1129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40" width="11.125" style="2" bestFit="1" customWidth="1"/>
    <col min="11541" max="11541" width="9" style="2"/>
    <col min="11542" max="11547" width="11.125" style="2" bestFit="1" customWidth="1"/>
    <col min="11548" max="11548" width="8" style="2" bestFit="1" customWidth="1"/>
    <col min="11549" max="11549" width="9.625" style="2" bestFit="1" customWidth="1"/>
    <col min="1155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96" width="11.125" style="2" bestFit="1" customWidth="1"/>
    <col min="11797" max="11797" width="9" style="2"/>
    <col min="11798" max="11803" width="11.125" style="2" bestFit="1" customWidth="1"/>
    <col min="11804" max="11804" width="8" style="2" bestFit="1" customWidth="1"/>
    <col min="11805" max="11805" width="9.625" style="2" bestFit="1" customWidth="1"/>
    <col min="1180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52" width="11.125" style="2" bestFit="1" customWidth="1"/>
    <col min="12053" max="12053" width="9" style="2"/>
    <col min="12054" max="12059" width="11.125" style="2" bestFit="1" customWidth="1"/>
    <col min="12060" max="12060" width="8" style="2" bestFit="1" customWidth="1"/>
    <col min="12061" max="12061" width="9.625" style="2" bestFit="1" customWidth="1"/>
    <col min="1206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308" width="11.125" style="2" bestFit="1" customWidth="1"/>
    <col min="12309" max="12309" width="9" style="2"/>
    <col min="12310" max="12315" width="11.125" style="2" bestFit="1" customWidth="1"/>
    <col min="12316" max="12316" width="8" style="2" bestFit="1" customWidth="1"/>
    <col min="12317" max="12317" width="9.625" style="2" bestFit="1" customWidth="1"/>
    <col min="1231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64" width="11.125" style="2" bestFit="1" customWidth="1"/>
    <col min="12565" max="12565" width="9" style="2"/>
    <col min="12566" max="12571" width="11.125" style="2" bestFit="1" customWidth="1"/>
    <col min="12572" max="12572" width="8" style="2" bestFit="1" customWidth="1"/>
    <col min="12573" max="12573" width="9.625" style="2" bestFit="1" customWidth="1"/>
    <col min="1257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20" width="11.125" style="2" bestFit="1" customWidth="1"/>
    <col min="12821" max="12821" width="9" style="2"/>
    <col min="12822" max="12827" width="11.125" style="2" bestFit="1" customWidth="1"/>
    <col min="12828" max="12828" width="8" style="2" bestFit="1" customWidth="1"/>
    <col min="12829" max="12829" width="9.625" style="2" bestFit="1" customWidth="1"/>
    <col min="1283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76" width="11.125" style="2" bestFit="1" customWidth="1"/>
    <col min="13077" max="13077" width="9" style="2"/>
    <col min="13078" max="13083" width="11.125" style="2" bestFit="1" customWidth="1"/>
    <col min="13084" max="13084" width="8" style="2" bestFit="1" customWidth="1"/>
    <col min="13085" max="13085" width="9.625" style="2" bestFit="1" customWidth="1"/>
    <col min="1308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32" width="11.125" style="2" bestFit="1" customWidth="1"/>
    <col min="13333" max="13333" width="9" style="2"/>
    <col min="13334" max="13339" width="11.125" style="2" bestFit="1" customWidth="1"/>
    <col min="13340" max="13340" width="8" style="2" bestFit="1" customWidth="1"/>
    <col min="13341" max="13341" width="9.625" style="2" bestFit="1" customWidth="1"/>
    <col min="1334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88" width="11.125" style="2" bestFit="1" customWidth="1"/>
    <col min="13589" max="13589" width="9" style="2"/>
    <col min="13590" max="13595" width="11.125" style="2" bestFit="1" customWidth="1"/>
    <col min="13596" max="13596" width="8" style="2" bestFit="1" customWidth="1"/>
    <col min="13597" max="13597" width="9.625" style="2" bestFit="1" customWidth="1"/>
    <col min="1359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44" width="11.125" style="2" bestFit="1" customWidth="1"/>
    <col min="13845" max="13845" width="9" style="2"/>
    <col min="13846" max="13851" width="11.125" style="2" bestFit="1" customWidth="1"/>
    <col min="13852" max="13852" width="8" style="2" bestFit="1" customWidth="1"/>
    <col min="13853" max="13853" width="9.625" style="2" bestFit="1" customWidth="1"/>
    <col min="1385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100" width="11.125" style="2" bestFit="1" customWidth="1"/>
    <col min="14101" max="14101" width="9" style="2"/>
    <col min="14102" max="14107" width="11.125" style="2" bestFit="1" customWidth="1"/>
    <col min="14108" max="14108" width="8" style="2" bestFit="1" customWidth="1"/>
    <col min="14109" max="14109" width="9.625" style="2" bestFit="1" customWidth="1"/>
    <col min="1411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56" width="11.125" style="2" bestFit="1" customWidth="1"/>
    <col min="14357" max="14357" width="9" style="2"/>
    <col min="14358" max="14363" width="11.125" style="2" bestFit="1" customWidth="1"/>
    <col min="14364" max="14364" width="8" style="2" bestFit="1" customWidth="1"/>
    <col min="14365" max="14365" width="9.625" style="2" bestFit="1" customWidth="1"/>
    <col min="1436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12" width="11.125" style="2" bestFit="1" customWidth="1"/>
    <col min="14613" max="14613" width="9" style="2"/>
    <col min="14614" max="14619" width="11.125" style="2" bestFit="1" customWidth="1"/>
    <col min="14620" max="14620" width="8" style="2" bestFit="1" customWidth="1"/>
    <col min="14621" max="14621" width="9.625" style="2" bestFit="1" customWidth="1"/>
    <col min="1462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68" width="11.125" style="2" bestFit="1" customWidth="1"/>
    <col min="14869" max="14869" width="9" style="2"/>
    <col min="14870" max="14875" width="11.125" style="2" bestFit="1" customWidth="1"/>
    <col min="14876" max="14876" width="8" style="2" bestFit="1" customWidth="1"/>
    <col min="14877" max="14877" width="9.625" style="2" bestFit="1" customWidth="1"/>
    <col min="1487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24" width="11.125" style="2" bestFit="1" customWidth="1"/>
    <col min="15125" max="15125" width="9" style="2"/>
    <col min="15126" max="15131" width="11.125" style="2" bestFit="1" customWidth="1"/>
    <col min="15132" max="15132" width="8" style="2" bestFit="1" customWidth="1"/>
    <col min="15133" max="15133" width="9.625" style="2" bestFit="1" customWidth="1"/>
    <col min="1513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80" width="11.125" style="2" bestFit="1" customWidth="1"/>
    <col min="15381" max="15381" width="9" style="2"/>
    <col min="15382" max="15387" width="11.125" style="2" bestFit="1" customWidth="1"/>
    <col min="15388" max="15388" width="8" style="2" bestFit="1" customWidth="1"/>
    <col min="15389" max="15389" width="9.625" style="2" bestFit="1" customWidth="1"/>
    <col min="1539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36" width="11.125" style="2" bestFit="1" customWidth="1"/>
    <col min="15637" max="15637" width="9" style="2"/>
    <col min="15638" max="15643" width="11.125" style="2" bestFit="1" customWidth="1"/>
    <col min="15644" max="15644" width="8" style="2" bestFit="1" customWidth="1"/>
    <col min="15645" max="15645" width="9.625" style="2" bestFit="1" customWidth="1"/>
    <col min="1564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92" width="11.125" style="2" bestFit="1" customWidth="1"/>
    <col min="15893" max="15893" width="9" style="2"/>
    <col min="15894" max="15899" width="11.125" style="2" bestFit="1" customWidth="1"/>
    <col min="15900" max="15900" width="8" style="2" bestFit="1" customWidth="1"/>
    <col min="15901" max="15901" width="9.625" style="2" bestFit="1" customWidth="1"/>
    <col min="1590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48" width="11.125" style="2" bestFit="1" customWidth="1"/>
    <col min="16149" max="16149" width="9" style="2"/>
    <col min="16150" max="16155" width="11.125" style="2" bestFit="1" customWidth="1"/>
    <col min="16156" max="16156" width="8" style="2" bestFit="1" customWidth="1"/>
    <col min="16157" max="16157" width="9.625" style="2" bestFit="1" customWidth="1"/>
    <col min="16158" max="16384" width="9" style="2"/>
  </cols>
  <sheetData>
    <row r="1" spans="1:30">
      <c r="A1" s="1" t="s">
        <v>0</v>
      </c>
    </row>
    <row r="2" spans="1:30" ht="19.5" thickBot="1">
      <c r="A2" s="1" t="s">
        <v>104</v>
      </c>
    </row>
    <row r="3" spans="1:30">
      <c r="B3" s="13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15</v>
      </c>
      <c r="N3" s="35" t="s">
        <v>16</v>
      </c>
      <c r="O3" s="35" t="s">
        <v>17</v>
      </c>
      <c r="P3" s="35" t="s">
        <v>18</v>
      </c>
      <c r="Q3" s="67" t="s">
        <v>19</v>
      </c>
      <c r="R3" s="61" t="s">
        <v>109</v>
      </c>
      <c r="S3" s="80" t="s">
        <v>14</v>
      </c>
      <c r="T3" s="35" t="s">
        <v>4</v>
      </c>
      <c r="U3" s="35" t="s">
        <v>21</v>
      </c>
      <c r="V3" s="35" t="s">
        <v>22</v>
      </c>
      <c r="W3" s="35" t="s">
        <v>20</v>
      </c>
      <c r="X3" s="35" t="s">
        <v>23</v>
      </c>
      <c r="Y3" s="35" t="s">
        <v>24</v>
      </c>
      <c r="Z3" s="60" t="s">
        <v>25</v>
      </c>
      <c r="AA3" s="61" t="s">
        <v>106</v>
      </c>
      <c r="AB3" s="61" t="s">
        <v>5</v>
      </c>
      <c r="AC3" s="61" t="s">
        <v>106</v>
      </c>
      <c r="AD3" s="64" t="s">
        <v>50</v>
      </c>
    </row>
    <row r="4" spans="1:30" ht="19.5" thickBot="1">
      <c r="B4" s="4" t="s">
        <v>26</v>
      </c>
      <c r="C4" s="36" t="s">
        <v>27</v>
      </c>
      <c r="D4" s="37" t="s">
        <v>28</v>
      </c>
      <c r="E4" s="37" t="s">
        <v>30</v>
      </c>
      <c r="F4" s="37" t="s">
        <v>31</v>
      </c>
      <c r="G4" s="37" t="s">
        <v>32</v>
      </c>
      <c r="H4" s="37" t="s">
        <v>33</v>
      </c>
      <c r="I4" s="37" t="s">
        <v>34</v>
      </c>
      <c r="J4" s="37" t="s">
        <v>35</v>
      </c>
      <c r="K4" s="37" t="s">
        <v>36</v>
      </c>
      <c r="L4" s="37" t="s">
        <v>37</v>
      </c>
      <c r="M4" s="37" t="s">
        <v>39</v>
      </c>
      <c r="N4" s="37" t="s">
        <v>40</v>
      </c>
      <c r="O4" s="37" t="s">
        <v>41</v>
      </c>
      <c r="P4" s="37" t="s">
        <v>42</v>
      </c>
      <c r="Q4" s="68" t="s">
        <v>43</v>
      </c>
      <c r="R4" s="62" t="s">
        <v>110</v>
      </c>
      <c r="S4" s="81" t="s">
        <v>38</v>
      </c>
      <c r="T4" s="37" t="s">
        <v>105</v>
      </c>
      <c r="U4" s="37" t="s">
        <v>45</v>
      </c>
      <c r="V4" s="37" t="s">
        <v>46</v>
      </c>
      <c r="W4" s="37" t="s">
        <v>44</v>
      </c>
      <c r="X4" s="37" t="s">
        <v>47</v>
      </c>
      <c r="Y4" s="37" t="s">
        <v>48</v>
      </c>
      <c r="Z4" s="3" t="s">
        <v>49</v>
      </c>
      <c r="AA4" s="62" t="s">
        <v>107</v>
      </c>
      <c r="AB4" s="63" t="s">
        <v>29</v>
      </c>
      <c r="AC4" s="62" t="s">
        <v>108</v>
      </c>
      <c r="AD4" s="4" t="s">
        <v>50</v>
      </c>
    </row>
    <row r="5" spans="1:30">
      <c r="A5" s="1" t="s">
        <v>1</v>
      </c>
      <c r="B5" s="27" t="s">
        <v>51</v>
      </c>
      <c r="C5" s="38">
        <v>21</v>
      </c>
      <c r="D5" s="39">
        <v>20</v>
      </c>
      <c r="E5" s="39">
        <v>21</v>
      </c>
      <c r="F5" s="39">
        <v>20</v>
      </c>
      <c r="G5" s="39">
        <v>11</v>
      </c>
      <c r="H5" s="39">
        <v>22</v>
      </c>
      <c r="I5" s="39">
        <v>22</v>
      </c>
      <c r="J5" s="39">
        <v>22</v>
      </c>
      <c r="K5" s="39">
        <v>19</v>
      </c>
      <c r="L5" s="39">
        <v>20</v>
      </c>
      <c r="M5" s="39">
        <v>23</v>
      </c>
      <c r="N5" s="39">
        <v>23</v>
      </c>
      <c r="O5" s="39">
        <v>21</v>
      </c>
      <c r="P5" s="39">
        <v>22</v>
      </c>
      <c r="Q5" s="69">
        <v>23</v>
      </c>
      <c r="R5" s="29">
        <f>SUM(C5:Q5)</f>
        <v>310</v>
      </c>
      <c r="S5" s="82">
        <v>23</v>
      </c>
      <c r="T5" s="39">
        <v>22</v>
      </c>
      <c r="U5" s="39">
        <v>13</v>
      </c>
      <c r="V5" s="39">
        <v>16</v>
      </c>
      <c r="W5" s="39">
        <v>10</v>
      </c>
      <c r="X5" s="39">
        <v>9</v>
      </c>
      <c r="Y5" s="39">
        <v>16</v>
      </c>
      <c r="Z5" s="28">
        <v>23</v>
      </c>
      <c r="AA5" s="29">
        <f>SUM(S5:Z5)</f>
        <v>132</v>
      </c>
      <c r="AB5" s="29">
        <v>22</v>
      </c>
      <c r="AC5" s="29">
        <f>SUM(AB5)</f>
        <v>22</v>
      </c>
      <c r="AD5" s="29">
        <f>SUM(AC5,AA5,R5)</f>
        <v>464</v>
      </c>
    </row>
    <row r="6" spans="1:30">
      <c r="A6" s="1" t="s">
        <v>1</v>
      </c>
      <c r="B6" s="22" t="s">
        <v>52</v>
      </c>
      <c r="C6" s="40">
        <v>2</v>
      </c>
      <c r="D6" s="41">
        <v>4</v>
      </c>
      <c r="E6" s="41">
        <v>3</v>
      </c>
      <c r="F6" s="41">
        <v>1</v>
      </c>
      <c r="G6" s="41">
        <v>2</v>
      </c>
      <c r="H6" s="41">
        <v>2</v>
      </c>
      <c r="I6" s="41">
        <v>3</v>
      </c>
      <c r="J6" s="41">
        <v>2</v>
      </c>
      <c r="K6" s="41">
        <v>3</v>
      </c>
      <c r="L6" s="41">
        <v>4</v>
      </c>
      <c r="M6" s="41">
        <v>3</v>
      </c>
      <c r="N6" s="41">
        <v>1</v>
      </c>
      <c r="O6" s="41">
        <v>2</v>
      </c>
      <c r="P6" s="41">
        <v>1</v>
      </c>
      <c r="Q6" s="70">
        <v>3</v>
      </c>
      <c r="R6" s="31">
        <f t="shared" ref="R6:R58" si="0">SUM(C6:Q6)</f>
        <v>36</v>
      </c>
      <c r="S6" s="83">
        <v>0</v>
      </c>
      <c r="T6" s="41">
        <v>3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30">
        <v>0</v>
      </c>
      <c r="AA6" s="31">
        <f t="shared" ref="AA6:AA58" si="1">SUM(S6:Z6)</f>
        <v>3</v>
      </c>
      <c r="AB6" s="31">
        <v>0</v>
      </c>
      <c r="AC6" s="31">
        <f t="shared" ref="AC6:AC59" si="2">SUM(AB6)</f>
        <v>0</v>
      </c>
      <c r="AD6" s="31">
        <f t="shared" ref="AD6:AD58" si="3">SUM(AC6,AA6,R6)</f>
        <v>39</v>
      </c>
    </row>
    <row r="7" spans="1:30">
      <c r="A7" s="1" t="s">
        <v>1</v>
      </c>
      <c r="B7" s="22" t="s">
        <v>53</v>
      </c>
      <c r="C7" s="40">
        <v>2</v>
      </c>
      <c r="D7" s="41">
        <v>2</v>
      </c>
      <c r="E7" s="41">
        <v>1</v>
      </c>
      <c r="F7" s="41">
        <v>4</v>
      </c>
      <c r="G7" s="41">
        <v>0</v>
      </c>
      <c r="H7" s="41">
        <v>3</v>
      </c>
      <c r="I7" s="41">
        <v>1</v>
      </c>
      <c r="J7" s="41">
        <v>2</v>
      </c>
      <c r="K7" s="41">
        <v>4</v>
      </c>
      <c r="L7" s="41">
        <v>2</v>
      </c>
      <c r="M7" s="41">
        <v>1</v>
      </c>
      <c r="N7" s="41">
        <v>1</v>
      </c>
      <c r="O7" s="41">
        <v>3</v>
      </c>
      <c r="P7" s="41">
        <v>3</v>
      </c>
      <c r="Q7" s="70">
        <v>1</v>
      </c>
      <c r="R7" s="31">
        <f t="shared" si="0"/>
        <v>30</v>
      </c>
      <c r="S7" s="83">
        <v>0</v>
      </c>
      <c r="T7" s="41">
        <v>1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30">
        <v>0</v>
      </c>
      <c r="AA7" s="31">
        <f t="shared" si="1"/>
        <v>1</v>
      </c>
      <c r="AB7" s="31">
        <v>0</v>
      </c>
      <c r="AC7" s="31">
        <f t="shared" si="2"/>
        <v>0</v>
      </c>
      <c r="AD7" s="31">
        <f t="shared" si="3"/>
        <v>31</v>
      </c>
    </row>
    <row r="8" spans="1:30">
      <c r="A8" s="1" t="s">
        <v>1</v>
      </c>
      <c r="B8" s="22" t="s">
        <v>54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3</v>
      </c>
      <c r="L8" s="41">
        <v>1</v>
      </c>
      <c r="M8" s="41">
        <v>0</v>
      </c>
      <c r="N8" s="41">
        <v>0</v>
      </c>
      <c r="O8" s="41">
        <v>1</v>
      </c>
      <c r="P8" s="41">
        <v>0</v>
      </c>
      <c r="Q8" s="70">
        <v>0</v>
      </c>
      <c r="R8" s="31">
        <f t="shared" si="0"/>
        <v>5</v>
      </c>
      <c r="S8" s="83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30">
        <v>0</v>
      </c>
      <c r="AA8" s="31">
        <f t="shared" si="1"/>
        <v>0</v>
      </c>
      <c r="AB8" s="31">
        <v>0</v>
      </c>
      <c r="AC8" s="31">
        <f t="shared" si="2"/>
        <v>0</v>
      </c>
      <c r="AD8" s="31">
        <f t="shared" si="3"/>
        <v>5</v>
      </c>
    </row>
    <row r="9" spans="1:30">
      <c r="A9" s="1" t="s">
        <v>1</v>
      </c>
      <c r="B9" s="22" t="s">
        <v>55</v>
      </c>
      <c r="C9" s="40">
        <v>2</v>
      </c>
      <c r="D9" s="41">
        <v>3</v>
      </c>
      <c r="E9" s="41">
        <v>2</v>
      </c>
      <c r="F9" s="41">
        <v>3</v>
      </c>
      <c r="G9" s="41">
        <v>0</v>
      </c>
      <c r="H9" s="41">
        <v>1</v>
      </c>
      <c r="I9" s="41">
        <v>1</v>
      </c>
      <c r="J9" s="41">
        <v>1</v>
      </c>
      <c r="K9" s="41">
        <v>1</v>
      </c>
      <c r="L9" s="41">
        <v>2</v>
      </c>
      <c r="M9" s="41">
        <v>0</v>
      </c>
      <c r="N9" s="41">
        <v>0</v>
      </c>
      <c r="O9" s="41">
        <v>1</v>
      </c>
      <c r="P9" s="41">
        <v>1</v>
      </c>
      <c r="Q9" s="70">
        <v>0</v>
      </c>
      <c r="R9" s="31">
        <f t="shared" si="0"/>
        <v>18</v>
      </c>
      <c r="S9" s="83">
        <v>0</v>
      </c>
      <c r="T9" s="41">
        <v>1</v>
      </c>
      <c r="U9" s="41">
        <v>2</v>
      </c>
      <c r="V9" s="41">
        <v>0</v>
      </c>
      <c r="W9" s="41">
        <v>1</v>
      </c>
      <c r="X9" s="41">
        <v>0</v>
      </c>
      <c r="Y9" s="41">
        <v>0</v>
      </c>
      <c r="Z9" s="30">
        <v>0</v>
      </c>
      <c r="AA9" s="31">
        <f t="shared" si="1"/>
        <v>4</v>
      </c>
      <c r="AB9" s="31">
        <v>1</v>
      </c>
      <c r="AC9" s="31">
        <f t="shared" si="2"/>
        <v>1</v>
      </c>
      <c r="AD9" s="31">
        <f t="shared" si="3"/>
        <v>23</v>
      </c>
    </row>
    <row r="10" spans="1:30">
      <c r="A10" s="1" t="s">
        <v>1</v>
      </c>
      <c r="B10" s="22" t="s">
        <v>56</v>
      </c>
      <c r="C10" s="40">
        <v>0</v>
      </c>
      <c r="D10" s="41">
        <v>0</v>
      </c>
      <c r="E10" s="41">
        <v>0</v>
      </c>
      <c r="F10" s="41">
        <v>0</v>
      </c>
      <c r="G10" s="41">
        <v>12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70">
        <v>0</v>
      </c>
      <c r="R10" s="31">
        <f t="shared" si="0"/>
        <v>12</v>
      </c>
      <c r="S10" s="83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30">
        <v>0</v>
      </c>
      <c r="AA10" s="31">
        <f t="shared" si="1"/>
        <v>0</v>
      </c>
      <c r="AB10" s="31">
        <v>0</v>
      </c>
      <c r="AC10" s="31">
        <f t="shared" si="2"/>
        <v>0</v>
      </c>
      <c r="AD10" s="31">
        <f t="shared" si="3"/>
        <v>12</v>
      </c>
    </row>
    <row r="11" spans="1:30">
      <c r="A11" s="1" t="s">
        <v>1</v>
      </c>
      <c r="B11" s="22" t="s">
        <v>57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71">
        <v>0</v>
      </c>
      <c r="R11" s="33">
        <f t="shared" si="0"/>
        <v>0</v>
      </c>
      <c r="S11" s="84">
        <v>0</v>
      </c>
      <c r="T11" s="43">
        <v>0</v>
      </c>
      <c r="U11" s="43">
        <v>3.2916666666666665</v>
      </c>
      <c r="V11" s="43">
        <v>4.166666666666667</v>
      </c>
      <c r="W11" s="43">
        <v>2.9583333333333335</v>
      </c>
      <c r="X11" s="43">
        <v>2.7916666666666665</v>
      </c>
      <c r="Y11" s="43">
        <v>4.666666666666667</v>
      </c>
      <c r="Z11" s="32">
        <v>5.333333333333333</v>
      </c>
      <c r="AA11" s="33">
        <f t="shared" si="1"/>
        <v>23.208333333333332</v>
      </c>
      <c r="AB11" s="33">
        <v>0</v>
      </c>
      <c r="AC11" s="33">
        <f t="shared" si="2"/>
        <v>0</v>
      </c>
      <c r="AD11" s="33">
        <f t="shared" si="3"/>
        <v>23.208333333333332</v>
      </c>
    </row>
    <row r="12" spans="1:30">
      <c r="A12" s="1" t="s">
        <v>1</v>
      </c>
      <c r="B12" s="22" t="s">
        <v>58</v>
      </c>
      <c r="C12" s="42">
        <v>0.875</v>
      </c>
      <c r="D12" s="43">
        <v>1.2916666666666667</v>
      </c>
      <c r="E12" s="43">
        <v>2.0833333333333335</v>
      </c>
      <c r="F12" s="43">
        <v>1.9166666666666665</v>
      </c>
      <c r="G12" s="43">
        <v>1.5</v>
      </c>
      <c r="H12" s="43">
        <v>1.7916666666666665</v>
      </c>
      <c r="I12" s="43">
        <v>1.4166666666666667</v>
      </c>
      <c r="J12" s="43">
        <v>1.875</v>
      </c>
      <c r="K12" s="43">
        <v>2.0416666666666665</v>
      </c>
      <c r="L12" s="43">
        <v>1.125</v>
      </c>
      <c r="M12" s="43">
        <v>1.375</v>
      </c>
      <c r="N12" s="43">
        <v>1.2916666666666667</v>
      </c>
      <c r="O12" s="43">
        <v>3</v>
      </c>
      <c r="P12" s="43">
        <v>1.7916666666666665</v>
      </c>
      <c r="Q12" s="71">
        <v>0.54166666666666663</v>
      </c>
      <c r="R12" s="33">
        <f t="shared" si="0"/>
        <v>23.916666666666668</v>
      </c>
      <c r="S12" s="84">
        <v>0</v>
      </c>
      <c r="T12" s="43">
        <v>1.0833333333333333</v>
      </c>
      <c r="U12" s="43">
        <v>0</v>
      </c>
      <c r="V12" s="43">
        <v>0</v>
      </c>
      <c r="W12" s="43">
        <v>0</v>
      </c>
      <c r="X12" s="43">
        <v>4.1666666666666664E-2</v>
      </c>
      <c r="Y12" s="43">
        <v>0</v>
      </c>
      <c r="Z12" s="32">
        <v>0.25</v>
      </c>
      <c r="AA12" s="33">
        <f t="shared" si="1"/>
        <v>1.375</v>
      </c>
      <c r="AB12" s="33">
        <v>0</v>
      </c>
      <c r="AC12" s="33">
        <f t="shared" si="2"/>
        <v>0</v>
      </c>
      <c r="AD12" s="33">
        <f t="shared" si="3"/>
        <v>25.291666666666668</v>
      </c>
    </row>
    <row r="13" spans="1:30">
      <c r="A13" s="1" t="s">
        <v>1</v>
      </c>
      <c r="B13" s="22" t="s">
        <v>59</v>
      </c>
      <c r="C13" s="42">
        <v>0.45833333333333331</v>
      </c>
      <c r="D13" s="43">
        <v>1.375</v>
      </c>
      <c r="E13" s="43">
        <v>1.4166666666666667</v>
      </c>
      <c r="F13" s="43">
        <v>0.20833333333333334</v>
      </c>
      <c r="G13" s="43">
        <v>0.70833333333333337</v>
      </c>
      <c r="H13" s="43">
        <v>0.875</v>
      </c>
      <c r="I13" s="43">
        <v>1.0416666666666667</v>
      </c>
      <c r="J13" s="43">
        <v>0.58333333333333337</v>
      </c>
      <c r="K13" s="43">
        <v>0</v>
      </c>
      <c r="L13" s="43">
        <v>1.2916666666666667</v>
      </c>
      <c r="M13" s="43">
        <v>0.875</v>
      </c>
      <c r="N13" s="43">
        <v>0.125</v>
      </c>
      <c r="O13" s="43">
        <v>0.625</v>
      </c>
      <c r="P13" s="43">
        <v>0.125</v>
      </c>
      <c r="Q13" s="71">
        <v>0.875</v>
      </c>
      <c r="R13" s="33">
        <f t="shared" si="0"/>
        <v>10.583333333333334</v>
      </c>
      <c r="S13" s="84">
        <v>0</v>
      </c>
      <c r="T13" s="43">
        <v>0.75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32">
        <v>0</v>
      </c>
      <c r="AA13" s="33">
        <f t="shared" si="1"/>
        <v>0.75</v>
      </c>
      <c r="AB13" s="33">
        <v>0</v>
      </c>
      <c r="AC13" s="33">
        <f t="shared" si="2"/>
        <v>0</v>
      </c>
      <c r="AD13" s="33">
        <f t="shared" si="3"/>
        <v>11.333333333333334</v>
      </c>
    </row>
    <row r="14" spans="1:30">
      <c r="A14" s="1" t="s">
        <v>1</v>
      </c>
      <c r="B14" s="22" t="s">
        <v>60</v>
      </c>
      <c r="C14" s="42">
        <v>0.79166666666666663</v>
      </c>
      <c r="D14" s="43">
        <v>0.875</v>
      </c>
      <c r="E14" s="43">
        <v>0.45833333333333331</v>
      </c>
      <c r="F14" s="43">
        <v>1.3333333333333333</v>
      </c>
      <c r="G14" s="43">
        <v>0</v>
      </c>
      <c r="H14" s="43">
        <v>0.75</v>
      </c>
      <c r="I14" s="43">
        <v>0.29166666666666669</v>
      </c>
      <c r="J14" s="43">
        <v>0.83333333333333337</v>
      </c>
      <c r="K14" s="43">
        <v>1.25</v>
      </c>
      <c r="L14" s="43">
        <v>0.875</v>
      </c>
      <c r="M14" s="43">
        <v>0.29166666666666669</v>
      </c>
      <c r="N14" s="43">
        <v>0.41666666666666669</v>
      </c>
      <c r="O14" s="43">
        <v>0.79166666666666663</v>
      </c>
      <c r="P14" s="43">
        <v>0.95833333333333337</v>
      </c>
      <c r="Q14" s="71">
        <v>0.33333333333333331</v>
      </c>
      <c r="R14" s="33">
        <f t="shared" si="0"/>
        <v>10.25</v>
      </c>
      <c r="S14" s="84">
        <v>0</v>
      </c>
      <c r="T14" s="43">
        <v>4.1666666666666664E-2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32">
        <v>0</v>
      </c>
      <c r="AA14" s="33">
        <f t="shared" si="1"/>
        <v>4.1666666666666664E-2</v>
      </c>
      <c r="AB14" s="33">
        <v>0</v>
      </c>
      <c r="AC14" s="33">
        <f t="shared" si="2"/>
        <v>0</v>
      </c>
      <c r="AD14" s="33">
        <f t="shared" si="3"/>
        <v>10.291666666666666</v>
      </c>
    </row>
    <row r="15" spans="1:30">
      <c r="A15" s="1" t="s">
        <v>1</v>
      </c>
      <c r="B15" s="22" t="s">
        <v>61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0.75</v>
      </c>
      <c r="L15" s="43">
        <v>0.16666666666666666</v>
      </c>
      <c r="M15" s="43">
        <v>0</v>
      </c>
      <c r="N15" s="43">
        <v>0</v>
      </c>
      <c r="O15" s="43">
        <v>0</v>
      </c>
      <c r="P15" s="43">
        <v>0</v>
      </c>
      <c r="Q15" s="71">
        <v>0</v>
      </c>
      <c r="R15" s="33">
        <f t="shared" si="0"/>
        <v>0.91666666666666663</v>
      </c>
      <c r="S15" s="84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32">
        <v>0</v>
      </c>
      <c r="AA15" s="33">
        <f t="shared" si="1"/>
        <v>0</v>
      </c>
      <c r="AB15" s="33">
        <v>0</v>
      </c>
      <c r="AC15" s="33">
        <f t="shared" si="2"/>
        <v>0</v>
      </c>
      <c r="AD15" s="33">
        <f t="shared" si="3"/>
        <v>0.91666666666666663</v>
      </c>
    </row>
    <row r="16" spans="1:30">
      <c r="A16" s="1" t="s">
        <v>1</v>
      </c>
      <c r="B16" s="22" t="s">
        <v>62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0.45833333333333331</v>
      </c>
      <c r="P16" s="43">
        <v>0</v>
      </c>
      <c r="Q16" s="71">
        <v>0</v>
      </c>
      <c r="R16" s="33">
        <f t="shared" si="0"/>
        <v>0.45833333333333331</v>
      </c>
      <c r="S16" s="84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32">
        <v>0</v>
      </c>
      <c r="AA16" s="33">
        <f t="shared" si="1"/>
        <v>0</v>
      </c>
      <c r="AB16" s="33">
        <v>0</v>
      </c>
      <c r="AC16" s="33">
        <f t="shared" si="2"/>
        <v>0</v>
      </c>
      <c r="AD16" s="33">
        <f t="shared" si="3"/>
        <v>0.45833333333333331</v>
      </c>
    </row>
    <row r="17" spans="1:30">
      <c r="A17" s="1" t="s">
        <v>1</v>
      </c>
      <c r="B17" s="22" t="s">
        <v>63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0.875</v>
      </c>
      <c r="P17" s="43">
        <v>0</v>
      </c>
      <c r="Q17" s="71">
        <v>0</v>
      </c>
      <c r="R17" s="33">
        <f t="shared" si="0"/>
        <v>0.875</v>
      </c>
      <c r="S17" s="84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32">
        <v>0</v>
      </c>
      <c r="AA17" s="33">
        <f t="shared" si="1"/>
        <v>0</v>
      </c>
      <c r="AB17" s="33">
        <v>0</v>
      </c>
      <c r="AC17" s="33">
        <f t="shared" si="2"/>
        <v>0</v>
      </c>
      <c r="AD17" s="33">
        <f t="shared" si="3"/>
        <v>0.875</v>
      </c>
    </row>
    <row r="18" spans="1:30">
      <c r="A18" s="1" t="s">
        <v>1</v>
      </c>
      <c r="B18" s="22" t="s">
        <v>64</v>
      </c>
      <c r="C18" s="42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71">
        <v>0</v>
      </c>
      <c r="R18" s="33">
        <f t="shared" si="0"/>
        <v>0</v>
      </c>
      <c r="S18" s="84">
        <v>0</v>
      </c>
      <c r="T18" s="43">
        <v>0</v>
      </c>
      <c r="U18" s="43">
        <v>0.5</v>
      </c>
      <c r="V18" s="43">
        <v>0</v>
      </c>
      <c r="W18" s="43">
        <v>0.29166666666666669</v>
      </c>
      <c r="X18" s="43">
        <v>0</v>
      </c>
      <c r="Y18" s="43">
        <v>0</v>
      </c>
      <c r="Z18" s="32">
        <v>0</v>
      </c>
      <c r="AA18" s="33">
        <f t="shared" si="1"/>
        <v>0.79166666666666674</v>
      </c>
      <c r="AB18" s="33">
        <v>0</v>
      </c>
      <c r="AC18" s="33">
        <f t="shared" si="2"/>
        <v>0</v>
      </c>
      <c r="AD18" s="33">
        <f t="shared" si="3"/>
        <v>0.79166666666666674</v>
      </c>
    </row>
    <row r="19" spans="1:30">
      <c r="A19" s="1" t="s">
        <v>1</v>
      </c>
      <c r="B19" s="5" t="s">
        <v>65</v>
      </c>
      <c r="C19" s="44">
        <v>0.20833333333333334</v>
      </c>
      <c r="D19" s="45">
        <v>0.125</v>
      </c>
      <c r="E19" s="45">
        <v>0.54166666666666663</v>
      </c>
      <c r="F19" s="45">
        <v>0.625</v>
      </c>
      <c r="G19" s="45">
        <v>0.70833333333333337</v>
      </c>
      <c r="H19" s="45">
        <v>0.45833333333333331</v>
      </c>
      <c r="I19" s="45">
        <v>0.125</v>
      </c>
      <c r="J19" s="45">
        <v>0.33333333333333331</v>
      </c>
      <c r="K19" s="45">
        <v>1.625</v>
      </c>
      <c r="L19" s="45">
        <v>1.4166666666666667</v>
      </c>
      <c r="M19" s="45">
        <v>0.45833333333333331</v>
      </c>
      <c r="N19" s="45">
        <v>0.20833333333333334</v>
      </c>
      <c r="O19" s="45">
        <v>1.4583333333333333</v>
      </c>
      <c r="P19" s="45">
        <v>0.29166666666666669</v>
      </c>
      <c r="Q19" s="72">
        <v>8.3333333333333329E-2</v>
      </c>
      <c r="R19" s="7">
        <f t="shared" si="0"/>
        <v>8.6666666666666661</v>
      </c>
      <c r="S19" s="85">
        <v>0.16666666666666666</v>
      </c>
      <c r="T19" s="45">
        <v>0</v>
      </c>
      <c r="U19" s="45">
        <v>0</v>
      </c>
      <c r="V19" s="45">
        <v>0</v>
      </c>
      <c r="W19" s="45">
        <v>2.0833333333333335</v>
      </c>
      <c r="X19" s="45">
        <v>1.0416666666666667</v>
      </c>
      <c r="Y19" s="45">
        <v>3.3333333333333335</v>
      </c>
      <c r="Z19" s="6">
        <v>0.20833333333333334</v>
      </c>
      <c r="AA19" s="7">
        <f t="shared" si="1"/>
        <v>6.833333333333333</v>
      </c>
      <c r="AB19" s="7">
        <v>0</v>
      </c>
      <c r="AC19" s="7">
        <f t="shared" si="2"/>
        <v>0</v>
      </c>
      <c r="AD19" s="7">
        <f t="shared" si="3"/>
        <v>15.5</v>
      </c>
    </row>
    <row r="20" spans="1:30">
      <c r="A20" s="1" t="s">
        <v>1</v>
      </c>
      <c r="B20" s="14" t="s">
        <v>66</v>
      </c>
      <c r="C20" s="46">
        <v>7</v>
      </c>
      <c r="D20" s="47">
        <v>5</v>
      </c>
      <c r="E20" s="47">
        <v>21.5</v>
      </c>
      <c r="F20" s="47">
        <v>24</v>
      </c>
      <c r="G20" s="47">
        <v>19</v>
      </c>
      <c r="H20" s="47">
        <v>11</v>
      </c>
      <c r="I20" s="47">
        <v>23</v>
      </c>
      <c r="J20" s="47">
        <v>17.5</v>
      </c>
      <c r="K20" s="47">
        <v>26</v>
      </c>
      <c r="L20" s="47">
        <v>31</v>
      </c>
      <c r="M20" s="47">
        <v>14</v>
      </c>
      <c r="N20" s="47">
        <v>21.5</v>
      </c>
      <c r="O20" s="47">
        <v>3</v>
      </c>
      <c r="P20" s="47">
        <v>6</v>
      </c>
      <c r="Q20" s="73">
        <v>14</v>
      </c>
      <c r="R20" s="16">
        <f t="shared" si="0"/>
        <v>243.5</v>
      </c>
      <c r="S20" s="86">
        <v>14.5</v>
      </c>
      <c r="T20" s="47">
        <v>33.5</v>
      </c>
      <c r="U20" s="47">
        <v>12</v>
      </c>
      <c r="V20" s="47">
        <v>18</v>
      </c>
      <c r="W20" s="47">
        <v>1</v>
      </c>
      <c r="X20" s="47">
        <v>4</v>
      </c>
      <c r="Y20" s="47">
        <v>26</v>
      </c>
      <c r="Z20" s="15">
        <v>0</v>
      </c>
      <c r="AA20" s="16"/>
      <c r="AB20" s="47">
        <v>33</v>
      </c>
      <c r="AC20" s="16"/>
      <c r="AD20" s="16"/>
    </row>
    <row r="21" spans="1:30">
      <c r="A21" s="1" t="s">
        <v>1</v>
      </c>
      <c r="B21" s="19" t="s">
        <v>67</v>
      </c>
      <c r="C21" s="52">
        <v>182000</v>
      </c>
      <c r="D21" s="53">
        <v>192000</v>
      </c>
      <c r="E21" s="53">
        <v>197000</v>
      </c>
      <c r="F21" s="53">
        <v>197000</v>
      </c>
      <c r="G21" s="53">
        <v>197000</v>
      </c>
      <c r="H21" s="53">
        <v>182000</v>
      </c>
      <c r="I21" s="53">
        <v>187000</v>
      </c>
      <c r="J21" s="53">
        <v>182000</v>
      </c>
      <c r="K21" s="53">
        <v>197000</v>
      </c>
      <c r="L21" s="53">
        <v>192000</v>
      </c>
      <c r="M21" s="53">
        <v>192000</v>
      </c>
      <c r="N21" s="53">
        <v>182000</v>
      </c>
      <c r="O21" s="53">
        <v>175000</v>
      </c>
      <c r="P21" s="53">
        <v>175000</v>
      </c>
      <c r="Q21" s="74">
        <v>180000</v>
      </c>
      <c r="R21" s="21">
        <f t="shared" si="0"/>
        <v>2809000</v>
      </c>
      <c r="S21" s="87">
        <v>370000</v>
      </c>
      <c r="T21" s="53">
        <v>285000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20">
        <v>0</v>
      </c>
      <c r="AA21" s="21">
        <f t="shared" si="1"/>
        <v>655000</v>
      </c>
      <c r="AB21" s="21">
        <v>390000</v>
      </c>
      <c r="AC21" s="21">
        <f t="shared" si="2"/>
        <v>390000</v>
      </c>
      <c r="AD21" s="21">
        <f t="shared" si="3"/>
        <v>3854000</v>
      </c>
    </row>
    <row r="22" spans="1:30">
      <c r="A22" s="1" t="s">
        <v>1</v>
      </c>
      <c r="B22" s="22" t="s">
        <v>68</v>
      </c>
      <c r="C22" s="54">
        <v>0</v>
      </c>
      <c r="D22" s="55">
        <v>0</v>
      </c>
      <c r="E22" s="55">
        <v>20000</v>
      </c>
      <c r="F22" s="55">
        <v>20000</v>
      </c>
      <c r="G22" s="55">
        <v>0</v>
      </c>
      <c r="H22" s="55">
        <v>0</v>
      </c>
      <c r="I22" s="55">
        <v>5000</v>
      </c>
      <c r="J22" s="55">
        <v>0</v>
      </c>
      <c r="K22" s="55">
        <v>0</v>
      </c>
      <c r="L22" s="55">
        <v>0</v>
      </c>
      <c r="M22" s="55">
        <v>5000</v>
      </c>
      <c r="N22" s="55">
        <v>0</v>
      </c>
      <c r="O22" s="55">
        <v>0</v>
      </c>
      <c r="P22" s="55">
        <v>0</v>
      </c>
      <c r="Q22" s="75">
        <v>0</v>
      </c>
      <c r="R22" s="24">
        <f t="shared" si="0"/>
        <v>50000</v>
      </c>
      <c r="S22" s="88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23">
        <v>0</v>
      </c>
      <c r="AA22" s="24">
        <f t="shared" si="1"/>
        <v>0</v>
      </c>
      <c r="AB22" s="24">
        <v>0</v>
      </c>
      <c r="AC22" s="24">
        <f t="shared" si="2"/>
        <v>0</v>
      </c>
      <c r="AD22" s="24">
        <f t="shared" si="3"/>
        <v>50000</v>
      </c>
    </row>
    <row r="23" spans="1:30">
      <c r="A23" s="1" t="s">
        <v>1</v>
      </c>
      <c r="B23" s="22" t="s">
        <v>69</v>
      </c>
      <c r="C23" s="54">
        <v>0</v>
      </c>
      <c r="D23" s="55">
        <v>0</v>
      </c>
      <c r="E23" s="55">
        <v>3000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75">
        <v>0</v>
      </c>
      <c r="R23" s="24">
        <f t="shared" si="0"/>
        <v>3000</v>
      </c>
      <c r="S23" s="88">
        <v>0</v>
      </c>
      <c r="T23" s="55">
        <v>3000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23">
        <v>0</v>
      </c>
      <c r="AA23" s="24">
        <f t="shared" si="1"/>
        <v>3000</v>
      </c>
      <c r="AB23" s="24">
        <v>0</v>
      </c>
      <c r="AC23" s="24">
        <f t="shared" si="2"/>
        <v>0</v>
      </c>
      <c r="AD23" s="24">
        <f t="shared" si="3"/>
        <v>6000</v>
      </c>
    </row>
    <row r="24" spans="1:30">
      <c r="A24" s="1" t="s">
        <v>1</v>
      </c>
      <c r="B24" s="22" t="s">
        <v>70</v>
      </c>
      <c r="C24" s="54">
        <v>0</v>
      </c>
      <c r="D24" s="55">
        <v>0</v>
      </c>
      <c r="E24" s="55">
        <v>0</v>
      </c>
      <c r="F24" s="55">
        <v>11091</v>
      </c>
      <c r="G24" s="55">
        <v>10018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66340</v>
      </c>
      <c r="N24" s="55">
        <v>24284</v>
      </c>
      <c r="O24" s="55">
        <v>0</v>
      </c>
      <c r="P24" s="55">
        <v>0</v>
      </c>
      <c r="Q24" s="75">
        <v>55721</v>
      </c>
      <c r="R24" s="24">
        <f t="shared" si="0"/>
        <v>167454</v>
      </c>
      <c r="S24" s="88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23">
        <v>0</v>
      </c>
      <c r="AA24" s="24">
        <f t="shared" si="1"/>
        <v>0</v>
      </c>
      <c r="AB24" s="24">
        <v>0</v>
      </c>
      <c r="AC24" s="24">
        <f t="shared" si="2"/>
        <v>0</v>
      </c>
      <c r="AD24" s="24">
        <f t="shared" si="3"/>
        <v>167454</v>
      </c>
    </row>
    <row r="25" spans="1:30">
      <c r="A25" s="1" t="s">
        <v>1</v>
      </c>
      <c r="B25" s="22" t="s">
        <v>71</v>
      </c>
      <c r="C25" s="54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75">
        <v>0</v>
      </c>
      <c r="R25" s="24">
        <f t="shared" si="0"/>
        <v>0</v>
      </c>
      <c r="S25" s="88">
        <v>0</v>
      </c>
      <c r="T25" s="55">
        <v>1000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23">
        <v>0</v>
      </c>
      <c r="AA25" s="24">
        <f t="shared" si="1"/>
        <v>1000</v>
      </c>
      <c r="AB25" s="24">
        <v>0</v>
      </c>
      <c r="AC25" s="24">
        <f t="shared" si="2"/>
        <v>0</v>
      </c>
      <c r="AD25" s="24">
        <f t="shared" si="3"/>
        <v>1000</v>
      </c>
    </row>
    <row r="26" spans="1:30">
      <c r="A26" s="1" t="s">
        <v>1</v>
      </c>
      <c r="B26" s="22" t="s">
        <v>72</v>
      </c>
      <c r="C26" s="54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75">
        <v>0</v>
      </c>
      <c r="R26" s="24">
        <f t="shared" si="0"/>
        <v>0</v>
      </c>
      <c r="S26" s="88">
        <v>0</v>
      </c>
      <c r="T26" s="55">
        <v>0</v>
      </c>
      <c r="U26" s="55">
        <v>81765</v>
      </c>
      <c r="V26" s="55">
        <v>107000</v>
      </c>
      <c r="W26" s="55">
        <v>69225</v>
      </c>
      <c r="X26" s="55">
        <v>65325</v>
      </c>
      <c r="Y26" s="55">
        <v>109200</v>
      </c>
      <c r="Z26" s="23">
        <v>124800</v>
      </c>
      <c r="AA26" s="24">
        <f t="shared" si="1"/>
        <v>557315</v>
      </c>
      <c r="AB26" s="24">
        <v>0</v>
      </c>
      <c r="AC26" s="24">
        <f t="shared" si="2"/>
        <v>0</v>
      </c>
      <c r="AD26" s="24">
        <f t="shared" si="3"/>
        <v>557315</v>
      </c>
    </row>
    <row r="27" spans="1:30">
      <c r="A27" s="1" t="s">
        <v>1</v>
      </c>
      <c r="B27" s="22" t="s">
        <v>73</v>
      </c>
      <c r="C27" s="54">
        <v>30800</v>
      </c>
      <c r="D27" s="55">
        <v>0</v>
      </c>
      <c r="E27" s="55">
        <v>25600</v>
      </c>
      <c r="F27" s="55">
        <v>26200</v>
      </c>
      <c r="G27" s="55">
        <v>28600</v>
      </c>
      <c r="H27" s="55">
        <v>14900</v>
      </c>
      <c r="I27" s="55">
        <v>28000</v>
      </c>
      <c r="J27" s="55">
        <v>14500</v>
      </c>
      <c r="K27" s="55">
        <v>30000</v>
      </c>
      <c r="L27" s="55">
        <v>30400</v>
      </c>
      <c r="M27" s="55">
        <v>17800</v>
      </c>
      <c r="N27" s="55">
        <v>26800</v>
      </c>
      <c r="O27" s="55">
        <v>0</v>
      </c>
      <c r="P27" s="55">
        <v>29800</v>
      </c>
      <c r="Q27" s="75">
        <v>29600</v>
      </c>
      <c r="R27" s="24">
        <f t="shared" si="0"/>
        <v>333000</v>
      </c>
      <c r="S27" s="88">
        <v>0</v>
      </c>
      <c r="T27" s="55">
        <v>28000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23">
        <v>0</v>
      </c>
      <c r="AA27" s="24">
        <f t="shared" si="1"/>
        <v>28000</v>
      </c>
      <c r="AB27" s="24">
        <v>0</v>
      </c>
      <c r="AC27" s="24">
        <f t="shared" si="2"/>
        <v>0</v>
      </c>
      <c r="AD27" s="24">
        <f t="shared" si="3"/>
        <v>361000</v>
      </c>
    </row>
    <row r="28" spans="1:30">
      <c r="A28" s="1" t="s">
        <v>1</v>
      </c>
      <c r="B28" s="22" t="s">
        <v>74</v>
      </c>
      <c r="C28" s="54">
        <v>3500</v>
      </c>
      <c r="D28" s="55">
        <v>1000</v>
      </c>
      <c r="E28" s="55">
        <v>3500</v>
      </c>
      <c r="F28" s="55">
        <v>3500</v>
      </c>
      <c r="G28" s="55">
        <v>3500</v>
      </c>
      <c r="H28" s="55">
        <v>3500</v>
      </c>
      <c r="I28" s="55">
        <v>3500</v>
      </c>
      <c r="J28" s="55">
        <v>3500</v>
      </c>
      <c r="K28" s="55">
        <v>3500</v>
      </c>
      <c r="L28" s="55">
        <v>3500</v>
      </c>
      <c r="M28" s="55">
        <v>3500</v>
      </c>
      <c r="N28" s="55">
        <v>3500</v>
      </c>
      <c r="O28" s="55">
        <v>0</v>
      </c>
      <c r="P28" s="55">
        <v>2000</v>
      </c>
      <c r="Q28" s="75">
        <v>2000</v>
      </c>
      <c r="R28" s="24">
        <f t="shared" si="0"/>
        <v>43500</v>
      </c>
      <c r="S28" s="88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23">
        <v>0</v>
      </c>
      <c r="AA28" s="24">
        <f t="shared" si="1"/>
        <v>0</v>
      </c>
      <c r="AB28" s="24">
        <v>0</v>
      </c>
      <c r="AC28" s="24">
        <f t="shared" si="2"/>
        <v>0</v>
      </c>
      <c r="AD28" s="24">
        <f t="shared" si="3"/>
        <v>43500</v>
      </c>
    </row>
    <row r="29" spans="1:30">
      <c r="A29" s="1" t="s">
        <v>1</v>
      </c>
      <c r="B29" s="22" t="s">
        <v>75</v>
      </c>
      <c r="C29" s="54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75">
        <v>0</v>
      </c>
      <c r="R29" s="24">
        <f t="shared" si="0"/>
        <v>0</v>
      </c>
      <c r="S29" s="88">
        <v>0</v>
      </c>
      <c r="T29" s="55">
        <v>0</v>
      </c>
      <c r="U29" s="55">
        <v>12420</v>
      </c>
      <c r="V29" s="55">
        <v>0</v>
      </c>
      <c r="W29" s="55">
        <v>6825</v>
      </c>
      <c r="X29" s="55">
        <v>0</v>
      </c>
      <c r="Y29" s="55">
        <v>0</v>
      </c>
      <c r="Z29" s="23">
        <v>0</v>
      </c>
      <c r="AA29" s="24">
        <f t="shared" si="1"/>
        <v>19245</v>
      </c>
      <c r="AB29" s="24">
        <v>0</v>
      </c>
      <c r="AC29" s="24">
        <f t="shared" si="2"/>
        <v>0</v>
      </c>
      <c r="AD29" s="24">
        <f t="shared" si="3"/>
        <v>19245</v>
      </c>
    </row>
    <row r="30" spans="1:30">
      <c r="A30" s="1" t="s">
        <v>1</v>
      </c>
      <c r="B30" s="22" t="s">
        <v>76</v>
      </c>
      <c r="C30" s="54">
        <v>0</v>
      </c>
      <c r="D30" s="55">
        <v>0</v>
      </c>
      <c r="E30" s="55">
        <v>0</v>
      </c>
      <c r="F30" s="55">
        <v>0</v>
      </c>
      <c r="G30" s="65">
        <v>-115116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75">
        <v>0</v>
      </c>
      <c r="R30" s="66">
        <f t="shared" si="0"/>
        <v>-115116</v>
      </c>
      <c r="S30" s="88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23">
        <v>0</v>
      </c>
      <c r="AA30" s="24">
        <f t="shared" si="1"/>
        <v>0</v>
      </c>
      <c r="AB30" s="24">
        <v>0</v>
      </c>
      <c r="AC30" s="24">
        <f t="shared" si="2"/>
        <v>0</v>
      </c>
      <c r="AD30" s="66">
        <f t="shared" si="3"/>
        <v>-115116</v>
      </c>
    </row>
    <row r="31" spans="1:30">
      <c r="A31" s="1" t="s">
        <v>1</v>
      </c>
      <c r="B31" s="22" t="s">
        <v>58</v>
      </c>
      <c r="C31" s="54">
        <v>29169</v>
      </c>
      <c r="D31" s="55">
        <v>44795</v>
      </c>
      <c r="E31" s="55">
        <v>83650</v>
      </c>
      <c r="F31" s="55">
        <v>75900</v>
      </c>
      <c r="G31" s="55">
        <v>54036</v>
      </c>
      <c r="H31" s="55">
        <v>59727</v>
      </c>
      <c r="I31" s="55">
        <v>49776</v>
      </c>
      <c r="J31" s="55">
        <v>62505</v>
      </c>
      <c r="K31" s="55">
        <v>73549</v>
      </c>
      <c r="L31" s="55">
        <v>39528</v>
      </c>
      <c r="M31" s="55">
        <v>49533</v>
      </c>
      <c r="N31" s="55">
        <v>43059</v>
      </c>
      <c r="O31" s="55">
        <v>94320</v>
      </c>
      <c r="P31" s="55">
        <v>56975</v>
      </c>
      <c r="Q31" s="75">
        <v>17719</v>
      </c>
      <c r="R31" s="24">
        <f t="shared" si="0"/>
        <v>834241</v>
      </c>
      <c r="S31" s="88">
        <v>0</v>
      </c>
      <c r="T31" s="55">
        <v>56056</v>
      </c>
      <c r="U31" s="55">
        <v>0</v>
      </c>
      <c r="V31" s="55">
        <v>0</v>
      </c>
      <c r="W31" s="55">
        <v>0</v>
      </c>
      <c r="X31" s="55">
        <v>1219</v>
      </c>
      <c r="Y31" s="55">
        <v>0</v>
      </c>
      <c r="Z31" s="23">
        <v>7314</v>
      </c>
      <c r="AA31" s="24">
        <f t="shared" si="1"/>
        <v>64589</v>
      </c>
      <c r="AB31" s="24">
        <v>0</v>
      </c>
      <c r="AC31" s="24">
        <f t="shared" si="2"/>
        <v>0</v>
      </c>
      <c r="AD31" s="24">
        <f t="shared" si="3"/>
        <v>898830</v>
      </c>
    </row>
    <row r="32" spans="1:30">
      <c r="A32" s="1" t="s">
        <v>1</v>
      </c>
      <c r="B32" s="22" t="s">
        <v>77</v>
      </c>
      <c r="C32" s="54">
        <v>16500</v>
      </c>
      <c r="D32" s="55">
        <v>51513</v>
      </c>
      <c r="E32" s="55">
        <v>61404</v>
      </c>
      <c r="F32" s="55">
        <v>8910</v>
      </c>
      <c r="G32" s="55">
        <v>27557</v>
      </c>
      <c r="H32" s="55">
        <v>31500</v>
      </c>
      <c r="I32" s="55">
        <v>39525</v>
      </c>
      <c r="J32" s="55">
        <v>21000</v>
      </c>
      <c r="K32" s="55">
        <v>0</v>
      </c>
      <c r="L32" s="55">
        <v>49011</v>
      </c>
      <c r="M32" s="55">
        <v>34041</v>
      </c>
      <c r="N32" s="55">
        <v>4500</v>
      </c>
      <c r="O32" s="55">
        <v>21225</v>
      </c>
      <c r="P32" s="55">
        <v>4293</v>
      </c>
      <c r="Q32" s="75">
        <v>30912</v>
      </c>
      <c r="R32" s="24">
        <f t="shared" si="0"/>
        <v>401891</v>
      </c>
      <c r="S32" s="88">
        <v>0</v>
      </c>
      <c r="T32" s="55">
        <v>41922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23">
        <v>0</v>
      </c>
      <c r="AA32" s="24">
        <f t="shared" si="1"/>
        <v>41922</v>
      </c>
      <c r="AB32" s="24">
        <v>0</v>
      </c>
      <c r="AC32" s="24">
        <f t="shared" si="2"/>
        <v>0</v>
      </c>
      <c r="AD32" s="24">
        <f t="shared" si="3"/>
        <v>443813</v>
      </c>
    </row>
    <row r="33" spans="1:30">
      <c r="A33" s="1" t="s">
        <v>1</v>
      </c>
      <c r="B33" s="22" t="s">
        <v>78</v>
      </c>
      <c r="C33" s="54">
        <v>28500</v>
      </c>
      <c r="D33" s="55">
        <v>32781</v>
      </c>
      <c r="E33" s="55">
        <v>19866</v>
      </c>
      <c r="F33" s="55">
        <v>57024</v>
      </c>
      <c r="G33" s="55">
        <v>0</v>
      </c>
      <c r="H33" s="55">
        <v>27000</v>
      </c>
      <c r="I33" s="55">
        <v>11067</v>
      </c>
      <c r="J33" s="55">
        <v>30000</v>
      </c>
      <c r="K33" s="55">
        <v>48630</v>
      </c>
      <c r="L33" s="55">
        <v>33201</v>
      </c>
      <c r="M33" s="55">
        <v>11347</v>
      </c>
      <c r="N33" s="55">
        <v>15000</v>
      </c>
      <c r="O33" s="55">
        <v>26885</v>
      </c>
      <c r="P33" s="55">
        <v>32913</v>
      </c>
      <c r="Q33" s="75">
        <v>11776</v>
      </c>
      <c r="R33" s="24">
        <f t="shared" si="0"/>
        <v>385990</v>
      </c>
      <c r="S33" s="88">
        <v>0</v>
      </c>
      <c r="T33" s="55">
        <v>2329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23">
        <v>0</v>
      </c>
      <c r="AA33" s="24">
        <f t="shared" si="1"/>
        <v>2329</v>
      </c>
      <c r="AB33" s="24">
        <v>0</v>
      </c>
      <c r="AC33" s="24">
        <f t="shared" si="2"/>
        <v>0</v>
      </c>
      <c r="AD33" s="24">
        <f t="shared" si="3"/>
        <v>388319</v>
      </c>
    </row>
    <row r="34" spans="1:30">
      <c r="A34" s="1" t="s">
        <v>1</v>
      </c>
      <c r="B34" s="22" t="s">
        <v>79</v>
      </c>
      <c r="C34" s="54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7560</v>
      </c>
      <c r="L34" s="55">
        <v>1640</v>
      </c>
      <c r="M34" s="55">
        <v>0</v>
      </c>
      <c r="N34" s="55">
        <v>0</v>
      </c>
      <c r="O34" s="55">
        <v>0</v>
      </c>
      <c r="P34" s="55">
        <v>0</v>
      </c>
      <c r="Q34" s="75">
        <v>0</v>
      </c>
      <c r="R34" s="24">
        <f t="shared" si="0"/>
        <v>9200</v>
      </c>
      <c r="S34" s="88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23">
        <v>0</v>
      </c>
      <c r="AA34" s="24">
        <f t="shared" si="1"/>
        <v>0</v>
      </c>
      <c r="AB34" s="24">
        <v>0</v>
      </c>
      <c r="AC34" s="24">
        <f t="shared" si="2"/>
        <v>0</v>
      </c>
      <c r="AD34" s="24">
        <f t="shared" si="3"/>
        <v>9200</v>
      </c>
    </row>
    <row r="35" spans="1:30">
      <c r="A35" s="1" t="s">
        <v>1</v>
      </c>
      <c r="B35" s="22" t="s">
        <v>80</v>
      </c>
      <c r="C35" s="54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4037</v>
      </c>
      <c r="P35" s="55">
        <v>0</v>
      </c>
      <c r="Q35" s="75">
        <v>0</v>
      </c>
      <c r="R35" s="24">
        <f t="shared" si="0"/>
        <v>4037</v>
      </c>
      <c r="S35" s="88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23">
        <v>0</v>
      </c>
      <c r="AA35" s="24">
        <f t="shared" si="1"/>
        <v>0</v>
      </c>
      <c r="AB35" s="24">
        <v>0</v>
      </c>
      <c r="AC35" s="24">
        <f t="shared" si="2"/>
        <v>0</v>
      </c>
      <c r="AD35" s="24">
        <f t="shared" si="3"/>
        <v>4037</v>
      </c>
    </row>
    <row r="36" spans="1:30">
      <c r="A36" s="1" t="s">
        <v>1</v>
      </c>
      <c r="B36" s="22" t="s">
        <v>63</v>
      </c>
      <c r="C36" s="54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5502</v>
      </c>
      <c r="P36" s="55">
        <v>0</v>
      </c>
      <c r="Q36" s="75">
        <v>0</v>
      </c>
      <c r="R36" s="24">
        <f t="shared" si="0"/>
        <v>5502</v>
      </c>
      <c r="S36" s="88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23">
        <v>0</v>
      </c>
      <c r="AA36" s="24">
        <f t="shared" si="1"/>
        <v>0</v>
      </c>
      <c r="AB36" s="24">
        <v>0</v>
      </c>
      <c r="AC36" s="24">
        <f t="shared" si="2"/>
        <v>0</v>
      </c>
      <c r="AD36" s="24">
        <f t="shared" si="3"/>
        <v>5502</v>
      </c>
    </row>
    <row r="37" spans="1:30">
      <c r="A37" s="1" t="s">
        <v>1</v>
      </c>
      <c r="B37" s="5" t="s">
        <v>65</v>
      </c>
      <c r="C37" s="48">
        <v>1390</v>
      </c>
      <c r="D37" s="49">
        <v>867</v>
      </c>
      <c r="E37" s="49">
        <v>4355</v>
      </c>
      <c r="F37" s="49">
        <v>4950</v>
      </c>
      <c r="G37" s="49">
        <v>5100</v>
      </c>
      <c r="H37" s="49">
        <v>3058</v>
      </c>
      <c r="I37" s="49">
        <v>879</v>
      </c>
      <c r="J37" s="49">
        <v>2224</v>
      </c>
      <c r="K37" s="49">
        <v>11700</v>
      </c>
      <c r="L37" s="49">
        <v>9962</v>
      </c>
      <c r="M37" s="49">
        <v>3300</v>
      </c>
      <c r="N37" s="49">
        <v>1390</v>
      </c>
      <c r="O37" s="49">
        <v>9170</v>
      </c>
      <c r="P37" s="49">
        <v>1855</v>
      </c>
      <c r="Q37" s="76">
        <v>546</v>
      </c>
      <c r="R37" s="9">
        <f t="shared" si="0"/>
        <v>60746</v>
      </c>
      <c r="S37" s="89">
        <v>2216</v>
      </c>
      <c r="T37" s="49">
        <v>0</v>
      </c>
      <c r="U37" s="49">
        <v>0</v>
      </c>
      <c r="V37" s="49">
        <v>0</v>
      </c>
      <c r="W37" s="49">
        <v>12200</v>
      </c>
      <c r="X37" s="49">
        <v>6100</v>
      </c>
      <c r="Y37" s="49">
        <v>19520</v>
      </c>
      <c r="Z37" s="8">
        <v>1220</v>
      </c>
      <c r="AA37" s="9">
        <f t="shared" si="1"/>
        <v>41256</v>
      </c>
      <c r="AB37" s="9">
        <v>0</v>
      </c>
      <c r="AC37" s="9">
        <f t="shared" si="2"/>
        <v>0</v>
      </c>
      <c r="AD37" s="9">
        <f t="shared" si="3"/>
        <v>102002</v>
      </c>
    </row>
    <row r="38" spans="1:30">
      <c r="A38" s="1" t="s">
        <v>1</v>
      </c>
      <c r="B38" s="14" t="s">
        <v>81</v>
      </c>
      <c r="C38" s="50">
        <v>291859</v>
      </c>
      <c r="D38" s="51">
        <v>322956</v>
      </c>
      <c r="E38" s="51">
        <v>418375</v>
      </c>
      <c r="F38" s="51">
        <v>404575</v>
      </c>
      <c r="G38" s="51">
        <v>210695</v>
      </c>
      <c r="H38" s="51">
        <v>321685</v>
      </c>
      <c r="I38" s="51">
        <v>324747</v>
      </c>
      <c r="J38" s="51">
        <v>315729</v>
      </c>
      <c r="K38" s="51">
        <v>371939</v>
      </c>
      <c r="L38" s="51">
        <v>359242</v>
      </c>
      <c r="M38" s="51">
        <v>382861</v>
      </c>
      <c r="N38" s="51">
        <v>300533</v>
      </c>
      <c r="O38" s="51">
        <v>336139</v>
      </c>
      <c r="P38" s="51">
        <v>302836</v>
      </c>
      <c r="Q38" s="77">
        <v>328274</v>
      </c>
      <c r="R38" s="18">
        <f t="shared" si="0"/>
        <v>4992445</v>
      </c>
      <c r="S38" s="90">
        <v>372216</v>
      </c>
      <c r="T38" s="51">
        <v>417307</v>
      </c>
      <c r="U38" s="51">
        <v>94185</v>
      </c>
      <c r="V38" s="51">
        <v>107000</v>
      </c>
      <c r="W38" s="51">
        <v>88250</v>
      </c>
      <c r="X38" s="51">
        <v>72644</v>
      </c>
      <c r="Y38" s="51">
        <v>128720</v>
      </c>
      <c r="Z38" s="17">
        <v>133334</v>
      </c>
      <c r="AA38" s="18">
        <f t="shared" si="1"/>
        <v>1413656</v>
      </c>
      <c r="AB38" s="18">
        <v>390000</v>
      </c>
      <c r="AC38" s="18">
        <f t="shared" si="2"/>
        <v>390000</v>
      </c>
      <c r="AD38" s="18">
        <f t="shared" si="3"/>
        <v>6796101</v>
      </c>
    </row>
    <row r="39" spans="1:30">
      <c r="A39" s="1" t="s">
        <v>1</v>
      </c>
      <c r="B39" s="19" t="s">
        <v>82</v>
      </c>
      <c r="C39" s="52">
        <v>13508</v>
      </c>
      <c r="D39" s="53">
        <v>3512</v>
      </c>
      <c r="E39" s="53">
        <v>6079</v>
      </c>
      <c r="F39" s="53">
        <v>3377</v>
      </c>
      <c r="G39" s="53">
        <v>1405</v>
      </c>
      <c r="H39" s="53">
        <v>2918</v>
      </c>
      <c r="I39" s="53">
        <v>1405</v>
      </c>
      <c r="J39" s="53">
        <v>3512</v>
      </c>
      <c r="K39" s="53">
        <v>5620</v>
      </c>
      <c r="L39" s="53">
        <v>8429</v>
      </c>
      <c r="M39" s="53">
        <v>7295</v>
      </c>
      <c r="N39" s="53">
        <v>11482</v>
      </c>
      <c r="O39" s="53">
        <v>9132</v>
      </c>
      <c r="P39" s="53">
        <v>9132</v>
      </c>
      <c r="Q39" s="74">
        <v>2918</v>
      </c>
      <c r="R39" s="21">
        <f t="shared" si="0"/>
        <v>89724</v>
      </c>
      <c r="S39" s="87">
        <v>4053</v>
      </c>
      <c r="T39" s="53">
        <v>6322</v>
      </c>
      <c r="U39" s="53">
        <v>2810</v>
      </c>
      <c r="V39" s="53">
        <v>2162</v>
      </c>
      <c r="W39" s="53">
        <v>4323</v>
      </c>
      <c r="X39" s="53">
        <v>3161</v>
      </c>
      <c r="Y39" s="53">
        <v>6052</v>
      </c>
      <c r="Z39" s="20">
        <v>14292</v>
      </c>
      <c r="AA39" s="21">
        <f t="shared" si="1"/>
        <v>43175</v>
      </c>
      <c r="AB39" s="21">
        <v>7376</v>
      </c>
      <c r="AC39" s="21">
        <f t="shared" si="2"/>
        <v>7376</v>
      </c>
      <c r="AD39" s="21">
        <f t="shared" si="3"/>
        <v>140275</v>
      </c>
    </row>
    <row r="40" spans="1:30">
      <c r="A40" s="1" t="s">
        <v>1</v>
      </c>
      <c r="B40" s="5" t="s">
        <v>83</v>
      </c>
      <c r="C40" s="48">
        <v>13508</v>
      </c>
      <c r="D40" s="49">
        <v>3512</v>
      </c>
      <c r="E40" s="49">
        <v>6079</v>
      </c>
      <c r="F40" s="49">
        <v>3377</v>
      </c>
      <c r="G40" s="49">
        <v>1405</v>
      </c>
      <c r="H40" s="49">
        <v>2918</v>
      </c>
      <c r="I40" s="49">
        <v>1405</v>
      </c>
      <c r="J40" s="49">
        <v>3512</v>
      </c>
      <c r="K40" s="49">
        <v>5620</v>
      </c>
      <c r="L40" s="49">
        <v>8429</v>
      </c>
      <c r="M40" s="49">
        <v>7295</v>
      </c>
      <c r="N40" s="49">
        <v>11482</v>
      </c>
      <c r="O40" s="49">
        <v>9132</v>
      </c>
      <c r="P40" s="49">
        <v>9132</v>
      </c>
      <c r="Q40" s="76">
        <v>2918</v>
      </c>
      <c r="R40" s="9">
        <f t="shared" si="0"/>
        <v>89724</v>
      </c>
      <c r="S40" s="89">
        <v>4053</v>
      </c>
      <c r="T40" s="49">
        <v>6322</v>
      </c>
      <c r="U40" s="49">
        <v>2810</v>
      </c>
      <c r="V40" s="49">
        <v>2162</v>
      </c>
      <c r="W40" s="49">
        <v>4323</v>
      </c>
      <c r="X40" s="49">
        <v>3161</v>
      </c>
      <c r="Y40" s="49">
        <v>6052</v>
      </c>
      <c r="Z40" s="8">
        <v>14292</v>
      </c>
      <c r="AA40" s="9">
        <f t="shared" si="1"/>
        <v>43175</v>
      </c>
      <c r="AB40" s="9">
        <v>7376</v>
      </c>
      <c r="AC40" s="9">
        <f t="shared" si="2"/>
        <v>7376</v>
      </c>
      <c r="AD40" s="9">
        <f t="shared" si="3"/>
        <v>140275</v>
      </c>
    </row>
    <row r="41" spans="1:30">
      <c r="A41" s="1" t="s">
        <v>1</v>
      </c>
      <c r="B41" s="14" t="s">
        <v>84</v>
      </c>
      <c r="C41" s="50">
        <v>305367</v>
      </c>
      <c r="D41" s="51">
        <v>326468</v>
      </c>
      <c r="E41" s="51">
        <v>424454</v>
      </c>
      <c r="F41" s="51">
        <v>407952</v>
      </c>
      <c r="G41" s="51">
        <v>212100</v>
      </c>
      <c r="H41" s="51">
        <v>324603</v>
      </c>
      <c r="I41" s="51">
        <v>326152</v>
      </c>
      <c r="J41" s="51">
        <v>319241</v>
      </c>
      <c r="K41" s="51">
        <v>377559</v>
      </c>
      <c r="L41" s="51">
        <v>367671</v>
      </c>
      <c r="M41" s="51">
        <v>390156</v>
      </c>
      <c r="N41" s="51">
        <v>312015</v>
      </c>
      <c r="O41" s="51">
        <v>345271</v>
      </c>
      <c r="P41" s="51">
        <v>311968</v>
      </c>
      <c r="Q41" s="77">
        <v>331192</v>
      </c>
      <c r="R41" s="18">
        <f t="shared" si="0"/>
        <v>5082169</v>
      </c>
      <c r="S41" s="90">
        <v>376269</v>
      </c>
      <c r="T41" s="51">
        <v>423629</v>
      </c>
      <c r="U41" s="51">
        <v>96995</v>
      </c>
      <c r="V41" s="51">
        <v>109162</v>
      </c>
      <c r="W41" s="51">
        <v>92573</v>
      </c>
      <c r="X41" s="51">
        <v>75805</v>
      </c>
      <c r="Y41" s="51">
        <v>134772</v>
      </c>
      <c r="Z41" s="17">
        <v>147626</v>
      </c>
      <c r="AA41" s="18">
        <f t="shared" si="1"/>
        <v>1456831</v>
      </c>
      <c r="AB41" s="18">
        <v>397376</v>
      </c>
      <c r="AC41" s="18">
        <f t="shared" si="2"/>
        <v>397376</v>
      </c>
      <c r="AD41" s="18">
        <f t="shared" si="3"/>
        <v>6936376</v>
      </c>
    </row>
    <row r="42" spans="1:30">
      <c r="A42" s="1" t="s">
        <v>1</v>
      </c>
      <c r="B42" s="19" t="s">
        <v>85</v>
      </c>
      <c r="C42" s="52">
        <v>15300</v>
      </c>
      <c r="D42" s="53">
        <v>16320</v>
      </c>
      <c r="E42" s="53">
        <v>19380</v>
      </c>
      <c r="F42" s="53">
        <v>19380</v>
      </c>
      <c r="G42" s="53">
        <v>19380</v>
      </c>
      <c r="H42" s="53">
        <v>16320</v>
      </c>
      <c r="I42" s="53">
        <v>15300</v>
      </c>
      <c r="J42" s="53">
        <v>15300</v>
      </c>
      <c r="K42" s="53">
        <v>19380</v>
      </c>
      <c r="L42" s="53">
        <v>18360</v>
      </c>
      <c r="M42" s="53">
        <v>17340</v>
      </c>
      <c r="N42" s="53">
        <v>15300</v>
      </c>
      <c r="O42" s="53">
        <v>16320</v>
      </c>
      <c r="P42" s="53">
        <v>14280</v>
      </c>
      <c r="Q42" s="74">
        <v>14280</v>
      </c>
      <c r="R42" s="21">
        <f t="shared" si="0"/>
        <v>251940</v>
      </c>
      <c r="S42" s="87">
        <v>18360</v>
      </c>
      <c r="T42" s="53">
        <v>18360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20">
        <v>6834</v>
      </c>
      <c r="AA42" s="21">
        <f t="shared" si="1"/>
        <v>43554</v>
      </c>
      <c r="AB42" s="21">
        <v>19380</v>
      </c>
      <c r="AC42" s="21">
        <f t="shared" si="2"/>
        <v>19380</v>
      </c>
      <c r="AD42" s="21">
        <f t="shared" si="3"/>
        <v>314874</v>
      </c>
    </row>
    <row r="43" spans="1:30">
      <c r="A43" s="1" t="s">
        <v>1</v>
      </c>
      <c r="B43" s="22" t="s">
        <v>86</v>
      </c>
      <c r="C43" s="54">
        <v>2700</v>
      </c>
      <c r="D43" s="55">
        <v>2880</v>
      </c>
      <c r="E43" s="55">
        <v>3420</v>
      </c>
      <c r="F43" s="55">
        <v>3420</v>
      </c>
      <c r="G43" s="55">
        <v>3420</v>
      </c>
      <c r="H43" s="55">
        <v>2880</v>
      </c>
      <c r="I43" s="55">
        <v>2700</v>
      </c>
      <c r="J43" s="55">
        <v>2700</v>
      </c>
      <c r="K43" s="55">
        <v>3420</v>
      </c>
      <c r="L43" s="55">
        <v>3240</v>
      </c>
      <c r="M43" s="55">
        <v>3060</v>
      </c>
      <c r="N43" s="55">
        <v>2700</v>
      </c>
      <c r="O43" s="55">
        <v>2880</v>
      </c>
      <c r="P43" s="55">
        <v>2520</v>
      </c>
      <c r="Q43" s="75">
        <v>2520</v>
      </c>
      <c r="R43" s="24">
        <f t="shared" si="0"/>
        <v>44460</v>
      </c>
      <c r="S43" s="88">
        <v>3240</v>
      </c>
      <c r="T43" s="55">
        <v>3240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  <c r="Z43" s="23">
        <v>0</v>
      </c>
      <c r="AA43" s="24">
        <f t="shared" si="1"/>
        <v>6480</v>
      </c>
      <c r="AB43" s="24">
        <v>3420</v>
      </c>
      <c r="AC43" s="24">
        <f t="shared" si="2"/>
        <v>3420</v>
      </c>
      <c r="AD43" s="24">
        <f t="shared" si="3"/>
        <v>54360</v>
      </c>
    </row>
    <row r="44" spans="1:30">
      <c r="A44" s="1" t="s">
        <v>1</v>
      </c>
      <c r="B44" s="22" t="s">
        <v>87</v>
      </c>
      <c r="C44" s="54">
        <v>27450</v>
      </c>
      <c r="D44" s="55">
        <v>29280</v>
      </c>
      <c r="E44" s="55">
        <v>34770</v>
      </c>
      <c r="F44" s="55">
        <v>34770</v>
      </c>
      <c r="G44" s="55">
        <v>34770</v>
      </c>
      <c r="H44" s="55">
        <v>29280</v>
      </c>
      <c r="I44" s="55">
        <v>27450</v>
      </c>
      <c r="J44" s="55">
        <v>27450</v>
      </c>
      <c r="K44" s="55">
        <v>34770</v>
      </c>
      <c r="L44" s="55">
        <v>32940</v>
      </c>
      <c r="M44" s="55">
        <v>31110</v>
      </c>
      <c r="N44" s="55">
        <v>27450</v>
      </c>
      <c r="O44" s="55">
        <v>29280</v>
      </c>
      <c r="P44" s="55">
        <v>25620</v>
      </c>
      <c r="Q44" s="75">
        <v>25620</v>
      </c>
      <c r="R44" s="24">
        <f t="shared" si="0"/>
        <v>452010</v>
      </c>
      <c r="S44" s="88">
        <v>32940</v>
      </c>
      <c r="T44" s="55">
        <v>32940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  <c r="Z44" s="23">
        <v>12261</v>
      </c>
      <c r="AA44" s="24">
        <f t="shared" si="1"/>
        <v>78141</v>
      </c>
      <c r="AB44" s="24">
        <v>34770</v>
      </c>
      <c r="AC44" s="24">
        <f t="shared" si="2"/>
        <v>34770</v>
      </c>
      <c r="AD44" s="24">
        <f t="shared" si="3"/>
        <v>564921</v>
      </c>
    </row>
    <row r="45" spans="1:30">
      <c r="A45" s="1" t="s">
        <v>1</v>
      </c>
      <c r="B45" s="5" t="s">
        <v>88</v>
      </c>
      <c r="C45" s="48">
        <v>1832</v>
      </c>
      <c r="D45" s="49">
        <v>1959</v>
      </c>
      <c r="E45" s="49">
        <v>2547</v>
      </c>
      <c r="F45" s="49">
        <v>2448</v>
      </c>
      <c r="G45" s="49">
        <v>1273</v>
      </c>
      <c r="H45" s="49">
        <v>1948</v>
      </c>
      <c r="I45" s="49">
        <v>1957</v>
      </c>
      <c r="J45" s="49">
        <v>1915</v>
      </c>
      <c r="K45" s="49">
        <v>2265</v>
      </c>
      <c r="L45" s="49">
        <v>2206</v>
      </c>
      <c r="M45" s="49">
        <v>2341</v>
      </c>
      <c r="N45" s="49">
        <v>1872</v>
      </c>
      <c r="O45" s="49">
        <v>2072</v>
      </c>
      <c r="P45" s="49">
        <v>1872</v>
      </c>
      <c r="Q45" s="76">
        <v>1987</v>
      </c>
      <c r="R45" s="9">
        <f t="shared" si="0"/>
        <v>30494</v>
      </c>
      <c r="S45" s="89">
        <v>2258</v>
      </c>
      <c r="T45" s="49">
        <v>2542</v>
      </c>
      <c r="U45" s="49">
        <v>582</v>
      </c>
      <c r="V45" s="49">
        <v>655</v>
      </c>
      <c r="W45" s="49">
        <v>0</v>
      </c>
      <c r="X45" s="49">
        <v>0</v>
      </c>
      <c r="Y45" s="49">
        <v>809</v>
      </c>
      <c r="Z45" s="8">
        <v>886</v>
      </c>
      <c r="AA45" s="9">
        <f t="shared" si="1"/>
        <v>7732</v>
      </c>
      <c r="AB45" s="9">
        <v>2384</v>
      </c>
      <c r="AC45" s="9">
        <f t="shared" si="2"/>
        <v>2384</v>
      </c>
      <c r="AD45" s="9">
        <f t="shared" si="3"/>
        <v>40610</v>
      </c>
    </row>
    <row r="46" spans="1:30">
      <c r="A46" s="1" t="s">
        <v>1</v>
      </c>
      <c r="B46" s="14" t="s">
        <v>89</v>
      </c>
      <c r="C46" s="50">
        <v>47282</v>
      </c>
      <c r="D46" s="51">
        <v>50439</v>
      </c>
      <c r="E46" s="51">
        <v>60117</v>
      </c>
      <c r="F46" s="51">
        <v>60018</v>
      </c>
      <c r="G46" s="51">
        <v>58843</v>
      </c>
      <c r="H46" s="51">
        <v>50428</v>
      </c>
      <c r="I46" s="51">
        <v>47407</v>
      </c>
      <c r="J46" s="51">
        <v>47365</v>
      </c>
      <c r="K46" s="51">
        <v>59835</v>
      </c>
      <c r="L46" s="51">
        <v>56746</v>
      </c>
      <c r="M46" s="51">
        <v>53851</v>
      </c>
      <c r="N46" s="51">
        <v>47322</v>
      </c>
      <c r="O46" s="51">
        <v>50552</v>
      </c>
      <c r="P46" s="51">
        <v>44292</v>
      </c>
      <c r="Q46" s="77">
        <v>44407</v>
      </c>
      <c r="R46" s="18">
        <f t="shared" si="0"/>
        <v>778904</v>
      </c>
      <c r="S46" s="90">
        <v>56798</v>
      </c>
      <c r="T46" s="51">
        <v>57082</v>
      </c>
      <c r="U46" s="51">
        <v>582</v>
      </c>
      <c r="V46" s="51">
        <v>655</v>
      </c>
      <c r="W46" s="51">
        <v>0</v>
      </c>
      <c r="X46" s="51">
        <v>0</v>
      </c>
      <c r="Y46" s="51">
        <v>809</v>
      </c>
      <c r="Z46" s="17">
        <v>19981</v>
      </c>
      <c r="AA46" s="18">
        <f t="shared" si="1"/>
        <v>135907</v>
      </c>
      <c r="AB46" s="18">
        <v>59954</v>
      </c>
      <c r="AC46" s="18">
        <f t="shared" si="2"/>
        <v>59954</v>
      </c>
      <c r="AD46" s="18">
        <f t="shared" si="3"/>
        <v>974765</v>
      </c>
    </row>
    <row r="47" spans="1:30">
      <c r="A47" s="1" t="s">
        <v>1</v>
      </c>
      <c r="B47" s="19" t="s">
        <v>90</v>
      </c>
      <c r="C47" s="52">
        <v>0</v>
      </c>
      <c r="D47" s="53">
        <v>7360</v>
      </c>
      <c r="E47" s="53">
        <v>0</v>
      </c>
      <c r="F47" s="53">
        <v>12020</v>
      </c>
      <c r="G47" s="53">
        <v>3040</v>
      </c>
      <c r="H47" s="53">
        <v>7310</v>
      </c>
      <c r="I47" s="53">
        <v>0</v>
      </c>
      <c r="J47" s="53">
        <v>7210</v>
      </c>
      <c r="K47" s="53">
        <v>9370</v>
      </c>
      <c r="L47" s="53">
        <v>8580</v>
      </c>
      <c r="M47" s="53">
        <v>0</v>
      </c>
      <c r="N47" s="53">
        <v>6670</v>
      </c>
      <c r="O47" s="53">
        <v>0</v>
      </c>
      <c r="P47" s="53">
        <v>6860</v>
      </c>
      <c r="Q47" s="74">
        <v>7760</v>
      </c>
      <c r="R47" s="21">
        <f t="shared" si="0"/>
        <v>76180</v>
      </c>
      <c r="S47" s="87">
        <v>0</v>
      </c>
      <c r="T47" s="53">
        <v>0</v>
      </c>
      <c r="U47" s="53">
        <v>400</v>
      </c>
      <c r="V47" s="53">
        <v>0</v>
      </c>
      <c r="W47" s="53">
        <v>0</v>
      </c>
      <c r="X47" s="53">
        <v>0</v>
      </c>
      <c r="Y47" s="53">
        <v>0</v>
      </c>
      <c r="Z47" s="20">
        <v>1400</v>
      </c>
      <c r="AA47" s="21">
        <f t="shared" si="1"/>
        <v>1800</v>
      </c>
      <c r="AB47" s="21">
        <v>10830</v>
      </c>
      <c r="AC47" s="21">
        <f t="shared" si="2"/>
        <v>10830</v>
      </c>
      <c r="AD47" s="21">
        <f t="shared" si="3"/>
        <v>88810</v>
      </c>
    </row>
    <row r="48" spans="1:30">
      <c r="A48" s="1" t="s">
        <v>1</v>
      </c>
      <c r="B48" s="22" t="s">
        <v>91</v>
      </c>
      <c r="C48" s="54">
        <v>1300</v>
      </c>
      <c r="D48" s="55">
        <v>1300</v>
      </c>
      <c r="E48" s="55">
        <v>1300</v>
      </c>
      <c r="F48" s="55">
        <v>0</v>
      </c>
      <c r="G48" s="55">
        <v>1300</v>
      </c>
      <c r="H48" s="55">
        <v>1300</v>
      </c>
      <c r="I48" s="55">
        <v>1300</v>
      </c>
      <c r="J48" s="55">
        <v>1300</v>
      </c>
      <c r="K48" s="55">
        <v>1300</v>
      </c>
      <c r="L48" s="55">
        <v>1300</v>
      </c>
      <c r="M48" s="55">
        <v>1300</v>
      </c>
      <c r="N48" s="55">
        <v>1300</v>
      </c>
      <c r="O48" s="55">
        <v>1300</v>
      </c>
      <c r="P48" s="55">
        <v>1300</v>
      </c>
      <c r="Q48" s="75">
        <v>0</v>
      </c>
      <c r="R48" s="24">
        <f t="shared" si="0"/>
        <v>16900</v>
      </c>
      <c r="S48" s="88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23">
        <v>0</v>
      </c>
      <c r="AA48" s="24">
        <f t="shared" si="1"/>
        <v>0</v>
      </c>
      <c r="AB48" s="24">
        <v>0</v>
      </c>
      <c r="AC48" s="24">
        <f t="shared" si="2"/>
        <v>0</v>
      </c>
      <c r="AD48" s="24">
        <f t="shared" si="3"/>
        <v>16900</v>
      </c>
    </row>
    <row r="49" spans="1:30">
      <c r="A49" s="1" t="s">
        <v>1</v>
      </c>
      <c r="B49" s="22" t="s">
        <v>92</v>
      </c>
      <c r="C49" s="54">
        <v>6700</v>
      </c>
      <c r="D49" s="55">
        <v>15100</v>
      </c>
      <c r="E49" s="55">
        <v>18200</v>
      </c>
      <c r="F49" s="55">
        <v>20200</v>
      </c>
      <c r="G49" s="55">
        <v>19000</v>
      </c>
      <c r="H49" s="55">
        <v>13900</v>
      </c>
      <c r="I49" s="55">
        <v>9200</v>
      </c>
      <c r="J49" s="55">
        <v>13900</v>
      </c>
      <c r="K49" s="55">
        <v>16500</v>
      </c>
      <c r="L49" s="55">
        <v>14300</v>
      </c>
      <c r="M49" s="55">
        <v>1900</v>
      </c>
      <c r="N49" s="55">
        <v>0</v>
      </c>
      <c r="O49" s="55">
        <v>12900</v>
      </c>
      <c r="P49" s="55">
        <v>10500</v>
      </c>
      <c r="Q49" s="75">
        <v>5300</v>
      </c>
      <c r="R49" s="24">
        <f t="shared" si="0"/>
        <v>177600</v>
      </c>
      <c r="S49" s="88">
        <v>18600</v>
      </c>
      <c r="T49" s="55">
        <v>17000</v>
      </c>
      <c r="U49" s="55">
        <v>0</v>
      </c>
      <c r="V49" s="55">
        <v>0</v>
      </c>
      <c r="W49" s="55">
        <v>0</v>
      </c>
      <c r="X49" s="55">
        <v>0</v>
      </c>
      <c r="Y49" s="55">
        <v>2700</v>
      </c>
      <c r="Z49" s="23">
        <v>10700</v>
      </c>
      <c r="AA49" s="24">
        <f t="shared" si="1"/>
        <v>49000</v>
      </c>
      <c r="AB49" s="24">
        <v>21700</v>
      </c>
      <c r="AC49" s="24">
        <f t="shared" si="2"/>
        <v>21700</v>
      </c>
      <c r="AD49" s="24">
        <f t="shared" si="3"/>
        <v>248300</v>
      </c>
    </row>
    <row r="50" spans="1:30">
      <c r="A50" s="1" t="s">
        <v>1</v>
      </c>
      <c r="B50" s="5" t="s">
        <v>93</v>
      </c>
      <c r="C50" s="48">
        <v>30800</v>
      </c>
      <c r="D50" s="49">
        <v>0</v>
      </c>
      <c r="E50" s="49">
        <v>25600</v>
      </c>
      <c r="F50" s="49">
        <v>26200</v>
      </c>
      <c r="G50" s="49">
        <v>28600</v>
      </c>
      <c r="H50" s="49">
        <v>14900</v>
      </c>
      <c r="I50" s="49">
        <v>28000</v>
      </c>
      <c r="J50" s="49">
        <v>14500</v>
      </c>
      <c r="K50" s="49">
        <v>30000</v>
      </c>
      <c r="L50" s="49">
        <v>30400</v>
      </c>
      <c r="M50" s="49">
        <v>17800</v>
      </c>
      <c r="N50" s="49">
        <v>26800</v>
      </c>
      <c r="O50" s="49">
        <v>0</v>
      </c>
      <c r="P50" s="49">
        <v>29800</v>
      </c>
      <c r="Q50" s="76">
        <v>29600</v>
      </c>
      <c r="R50" s="9">
        <f t="shared" si="0"/>
        <v>333000</v>
      </c>
      <c r="S50" s="89">
        <v>0</v>
      </c>
      <c r="T50" s="49">
        <v>28000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8">
        <v>0</v>
      </c>
      <c r="AA50" s="9">
        <f t="shared" si="1"/>
        <v>28000</v>
      </c>
      <c r="AB50" s="9">
        <v>0</v>
      </c>
      <c r="AC50" s="9">
        <f t="shared" si="2"/>
        <v>0</v>
      </c>
      <c r="AD50" s="9">
        <f t="shared" si="3"/>
        <v>361000</v>
      </c>
    </row>
    <row r="51" spans="1:30">
      <c r="A51" s="1" t="s">
        <v>1</v>
      </c>
      <c r="B51" s="14" t="s">
        <v>94</v>
      </c>
      <c r="C51" s="50">
        <v>86082</v>
      </c>
      <c r="D51" s="51">
        <v>74199</v>
      </c>
      <c r="E51" s="51">
        <v>105217</v>
      </c>
      <c r="F51" s="51">
        <v>118438</v>
      </c>
      <c r="G51" s="51">
        <v>110783</v>
      </c>
      <c r="H51" s="51">
        <v>87838</v>
      </c>
      <c r="I51" s="51">
        <v>85907</v>
      </c>
      <c r="J51" s="51">
        <v>84275</v>
      </c>
      <c r="K51" s="51">
        <v>117005</v>
      </c>
      <c r="L51" s="51">
        <v>111326</v>
      </c>
      <c r="M51" s="51">
        <v>74851</v>
      </c>
      <c r="N51" s="51">
        <v>82092</v>
      </c>
      <c r="O51" s="51">
        <v>64752</v>
      </c>
      <c r="P51" s="51">
        <v>92752</v>
      </c>
      <c r="Q51" s="77">
        <v>87067</v>
      </c>
      <c r="R51" s="18">
        <f t="shared" si="0"/>
        <v>1382584</v>
      </c>
      <c r="S51" s="90">
        <v>75398</v>
      </c>
      <c r="T51" s="51">
        <v>102082</v>
      </c>
      <c r="U51" s="51">
        <v>982</v>
      </c>
      <c r="V51" s="51">
        <v>655</v>
      </c>
      <c r="W51" s="51">
        <v>0</v>
      </c>
      <c r="X51" s="51">
        <v>0</v>
      </c>
      <c r="Y51" s="51">
        <v>3509</v>
      </c>
      <c r="Z51" s="17">
        <v>32081</v>
      </c>
      <c r="AA51" s="18">
        <f t="shared" si="1"/>
        <v>214707</v>
      </c>
      <c r="AB51" s="18">
        <v>92484</v>
      </c>
      <c r="AC51" s="18">
        <f t="shared" si="2"/>
        <v>92484</v>
      </c>
      <c r="AD51" s="18">
        <f t="shared" si="3"/>
        <v>1689775</v>
      </c>
    </row>
    <row r="52" spans="1:30">
      <c r="A52" s="1" t="s">
        <v>1</v>
      </c>
      <c r="B52" s="14" t="s">
        <v>95</v>
      </c>
      <c r="C52" s="50">
        <v>244577</v>
      </c>
      <c r="D52" s="51">
        <v>272517</v>
      </c>
      <c r="E52" s="51">
        <v>358258</v>
      </c>
      <c r="F52" s="51">
        <v>344557</v>
      </c>
      <c r="G52" s="51">
        <v>151852</v>
      </c>
      <c r="H52" s="51">
        <v>271257</v>
      </c>
      <c r="I52" s="51">
        <v>277340</v>
      </c>
      <c r="J52" s="51">
        <v>268364</v>
      </c>
      <c r="K52" s="51">
        <v>312104</v>
      </c>
      <c r="L52" s="51">
        <v>302496</v>
      </c>
      <c r="M52" s="51">
        <v>329010</v>
      </c>
      <c r="N52" s="51">
        <v>253211</v>
      </c>
      <c r="O52" s="51">
        <v>285587</v>
      </c>
      <c r="P52" s="51">
        <v>258544</v>
      </c>
      <c r="Q52" s="77">
        <v>283867</v>
      </c>
      <c r="R52" s="18">
        <f t="shared" si="0"/>
        <v>4213541</v>
      </c>
      <c r="S52" s="90">
        <v>315418</v>
      </c>
      <c r="T52" s="51">
        <v>360225</v>
      </c>
      <c r="U52" s="51">
        <v>93603</v>
      </c>
      <c r="V52" s="51">
        <v>106345</v>
      </c>
      <c r="W52" s="51">
        <v>88250</v>
      </c>
      <c r="X52" s="51">
        <v>72644</v>
      </c>
      <c r="Y52" s="51">
        <v>127911</v>
      </c>
      <c r="Z52" s="17">
        <v>113353</v>
      </c>
      <c r="AA52" s="18">
        <f t="shared" si="1"/>
        <v>1277749</v>
      </c>
      <c r="AB52" s="18">
        <v>330046</v>
      </c>
      <c r="AC52" s="18">
        <f t="shared" si="2"/>
        <v>330046</v>
      </c>
      <c r="AD52" s="18">
        <f t="shared" si="3"/>
        <v>5821336</v>
      </c>
    </row>
    <row r="53" spans="1:30">
      <c r="A53" s="1" t="s">
        <v>1</v>
      </c>
      <c r="B53" s="14" t="s">
        <v>96</v>
      </c>
      <c r="C53" s="50">
        <v>219285</v>
      </c>
      <c r="D53" s="51">
        <v>252269</v>
      </c>
      <c r="E53" s="51">
        <v>319237</v>
      </c>
      <c r="F53" s="51">
        <v>289514</v>
      </c>
      <c r="G53" s="51">
        <v>101317</v>
      </c>
      <c r="H53" s="51">
        <v>236765</v>
      </c>
      <c r="I53" s="51">
        <v>240245</v>
      </c>
      <c r="J53" s="51">
        <v>234966</v>
      </c>
      <c r="K53" s="51">
        <v>260554</v>
      </c>
      <c r="L53" s="51">
        <v>256345</v>
      </c>
      <c r="M53" s="51">
        <v>315305</v>
      </c>
      <c r="N53" s="51">
        <v>229923</v>
      </c>
      <c r="O53" s="51">
        <v>280519</v>
      </c>
      <c r="P53" s="51">
        <v>219216</v>
      </c>
      <c r="Q53" s="77">
        <v>244125</v>
      </c>
      <c r="R53" s="18">
        <f t="shared" si="0"/>
        <v>3699585</v>
      </c>
      <c r="S53" s="90">
        <v>300871</v>
      </c>
      <c r="T53" s="51">
        <v>321547</v>
      </c>
      <c r="U53" s="51">
        <v>96013</v>
      </c>
      <c r="V53" s="51">
        <v>108507</v>
      </c>
      <c r="W53" s="51">
        <v>92573</v>
      </c>
      <c r="X53" s="51">
        <v>75805</v>
      </c>
      <c r="Y53" s="51">
        <v>131263</v>
      </c>
      <c r="Z53" s="17">
        <v>115545</v>
      </c>
      <c r="AA53" s="18">
        <f t="shared" si="1"/>
        <v>1242124</v>
      </c>
      <c r="AB53" s="18">
        <v>304892</v>
      </c>
      <c r="AC53" s="18">
        <f t="shared" si="2"/>
        <v>304892</v>
      </c>
      <c r="AD53" s="18">
        <f t="shared" si="3"/>
        <v>5246601</v>
      </c>
    </row>
    <row r="54" spans="1:30">
      <c r="A54" s="1" t="s">
        <v>1</v>
      </c>
      <c r="B54" s="14" t="s">
        <v>97</v>
      </c>
      <c r="C54" s="50">
        <v>219285</v>
      </c>
      <c r="D54" s="51">
        <v>252269</v>
      </c>
      <c r="E54" s="51">
        <v>319237</v>
      </c>
      <c r="F54" s="51">
        <v>289514</v>
      </c>
      <c r="G54" s="51">
        <v>101317</v>
      </c>
      <c r="H54" s="51">
        <v>236765</v>
      </c>
      <c r="I54" s="51">
        <v>240245</v>
      </c>
      <c r="J54" s="51">
        <v>234966</v>
      </c>
      <c r="K54" s="51">
        <v>260554</v>
      </c>
      <c r="L54" s="51">
        <v>256345</v>
      </c>
      <c r="M54" s="51">
        <v>315305</v>
      </c>
      <c r="N54" s="51">
        <v>229923</v>
      </c>
      <c r="O54" s="51">
        <v>280519</v>
      </c>
      <c r="P54" s="51">
        <v>219216</v>
      </c>
      <c r="Q54" s="77">
        <v>244125</v>
      </c>
      <c r="R54" s="18">
        <f t="shared" si="0"/>
        <v>3699585</v>
      </c>
      <c r="S54" s="90">
        <v>300871</v>
      </c>
      <c r="T54" s="51">
        <v>321547</v>
      </c>
      <c r="U54" s="51">
        <v>96013</v>
      </c>
      <c r="V54" s="51">
        <v>108507</v>
      </c>
      <c r="W54" s="51">
        <v>92573</v>
      </c>
      <c r="X54" s="51">
        <v>75805</v>
      </c>
      <c r="Y54" s="51">
        <v>131263</v>
      </c>
      <c r="Z54" s="17">
        <v>115545</v>
      </c>
      <c r="AA54" s="18">
        <f t="shared" si="1"/>
        <v>1242124</v>
      </c>
      <c r="AB54" s="18">
        <v>304892</v>
      </c>
      <c r="AC54" s="18">
        <f t="shared" si="2"/>
        <v>304892</v>
      </c>
      <c r="AD54" s="18">
        <f t="shared" si="3"/>
        <v>5246601</v>
      </c>
    </row>
    <row r="55" spans="1:30">
      <c r="A55" s="1" t="s">
        <v>1</v>
      </c>
      <c r="B55" s="14" t="s">
        <v>98</v>
      </c>
      <c r="C55" s="50">
        <v>1</v>
      </c>
      <c r="D55" s="51">
        <v>0</v>
      </c>
      <c r="E55" s="51">
        <v>1</v>
      </c>
      <c r="F55" s="51">
        <v>0</v>
      </c>
      <c r="G55" s="51">
        <v>0</v>
      </c>
      <c r="H55" s="51">
        <v>0</v>
      </c>
      <c r="I55" s="51">
        <v>1</v>
      </c>
      <c r="J55" s="51">
        <v>0</v>
      </c>
      <c r="K55" s="51">
        <v>0</v>
      </c>
      <c r="L55" s="51">
        <v>0</v>
      </c>
      <c r="M55" s="51">
        <v>4</v>
      </c>
      <c r="N55" s="51">
        <v>0</v>
      </c>
      <c r="O55" s="51">
        <v>1</v>
      </c>
      <c r="P55" s="51">
        <v>0</v>
      </c>
      <c r="Q55" s="77">
        <v>0</v>
      </c>
      <c r="R55" s="18"/>
      <c r="S55" s="90">
        <v>0</v>
      </c>
      <c r="T55" s="51">
        <v>1</v>
      </c>
      <c r="U55" s="51">
        <v>0</v>
      </c>
      <c r="V55" s="51">
        <v>0</v>
      </c>
      <c r="W55" s="51">
        <v>1</v>
      </c>
      <c r="X55" s="51">
        <v>1</v>
      </c>
      <c r="Y55" s="51">
        <v>1</v>
      </c>
      <c r="Z55" s="17">
        <v>0</v>
      </c>
      <c r="AA55" s="18"/>
      <c r="AB55" s="18">
        <v>0</v>
      </c>
      <c r="AC55" s="18"/>
      <c r="AD55" s="18"/>
    </row>
    <row r="56" spans="1:30">
      <c r="A56" s="1" t="s">
        <v>1</v>
      </c>
      <c r="B56" s="14" t="s">
        <v>99</v>
      </c>
      <c r="C56" s="56" t="s">
        <v>100</v>
      </c>
      <c r="D56" s="57" t="s">
        <v>100</v>
      </c>
      <c r="E56" s="57" t="s">
        <v>100</v>
      </c>
      <c r="F56" s="57" t="s">
        <v>100</v>
      </c>
      <c r="G56" s="57" t="s">
        <v>100</v>
      </c>
      <c r="H56" s="57" t="s">
        <v>100</v>
      </c>
      <c r="I56" s="57" t="s">
        <v>100</v>
      </c>
      <c r="J56" s="57" t="s">
        <v>100</v>
      </c>
      <c r="K56" s="57" t="s">
        <v>100</v>
      </c>
      <c r="L56" s="57" t="s">
        <v>100</v>
      </c>
      <c r="M56" s="57" t="s">
        <v>100</v>
      </c>
      <c r="N56" s="57" t="s">
        <v>100</v>
      </c>
      <c r="O56" s="57" t="s">
        <v>100</v>
      </c>
      <c r="P56" s="57" t="s">
        <v>100</v>
      </c>
      <c r="Q56" s="78" t="s">
        <v>100</v>
      </c>
      <c r="R56" s="26"/>
      <c r="S56" s="91" t="s">
        <v>100</v>
      </c>
      <c r="T56" s="57" t="s">
        <v>100</v>
      </c>
      <c r="U56" s="57" t="s">
        <v>100</v>
      </c>
      <c r="V56" s="57" t="s">
        <v>100</v>
      </c>
      <c r="W56" s="57" t="s">
        <v>100</v>
      </c>
      <c r="X56" s="57" t="s">
        <v>100</v>
      </c>
      <c r="Y56" s="57" t="s">
        <v>100</v>
      </c>
      <c r="Z56" s="25" t="s">
        <v>100</v>
      </c>
      <c r="AA56" s="26"/>
      <c r="AB56" s="26" t="s">
        <v>100</v>
      </c>
      <c r="AC56" s="26"/>
      <c r="AD56" s="26"/>
    </row>
    <row r="57" spans="1:30">
      <c r="A57" s="1" t="s">
        <v>1</v>
      </c>
      <c r="B57" s="14" t="s">
        <v>101</v>
      </c>
      <c r="C57" s="50">
        <v>4740</v>
      </c>
      <c r="D57" s="51">
        <v>7360</v>
      </c>
      <c r="E57" s="51">
        <v>9910</v>
      </c>
      <c r="F57" s="51">
        <v>12020</v>
      </c>
      <c r="G57" s="51">
        <v>3040</v>
      </c>
      <c r="H57" s="51">
        <v>7310</v>
      </c>
      <c r="I57" s="51">
        <v>5910</v>
      </c>
      <c r="J57" s="51">
        <v>7210</v>
      </c>
      <c r="K57" s="51">
        <v>9370</v>
      </c>
      <c r="L57" s="51">
        <v>8580</v>
      </c>
      <c r="M57" s="51">
        <v>3060</v>
      </c>
      <c r="N57" s="51">
        <v>6670</v>
      </c>
      <c r="O57" s="51">
        <v>6210</v>
      </c>
      <c r="P57" s="51">
        <v>6860</v>
      </c>
      <c r="Q57" s="77">
        <v>7760</v>
      </c>
      <c r="R57" s="18">
        <f t="shared" si="0"/>
        <v>106010</v>
      </c>
      <c r="S57" s="90">
        <v>9640</v>
      </c>
      <c r="T57" s="51">
        <v>10070</v>
      </c>
      <c r="U57" s="51">
        <v>400</v>
      </c>
      <c r="V57" s="51">
        <v>1050</v>
      </c>
      <c r="W57" s="51">
        <v>0</v>
      </c>
      <c r="X57" s="51">
        <v>0</v>
      </c>
      <c r="Y57" s="51">
        <v>530</v>
      </c>
      <c r="Z57" s="17">
        <v>1400</v>
      </c>
      <c r="AA57" s="18">
        <f t="shared" si="1"/>
        <v>23090</v>
      </c>
      <c r="AB57" s="18">
        <v>10830</v>
      </c>
      <c r="AC57" s="18">
        <f t="shared" si="2"/>
        <v>10830</v>
      </c>
      <c r="AD57" s="18">
        <f t="shared" si="3"/>
        <v>139930</v>
      </c>
    </row>
    <row r="58" spans="1:30">
      <c r="A58" s="1" t="s">
        <v>1</v>
      </c>
      <c r="B58" s="14" t="s">
        <v>102</v>
      </c>
      <c r="C58" s="50">
        <v>4740</v>
      </c>
      <c r="D58" s="51">
        <v>0</v>
      </c>
      <c r="E58" s="51">
        <v>9910</v>
      </c>
      <c r="F58" s="51">
        <v>0</v>
      </c>
      <c r="G58" s="51">
        <v>0</v>
      </c>
      <c r="H58" s="51">
        <v>0</v>
      </c>
      <c r="I58" s="51">
        <v>5910</v>
      </c>
      <c r="J58" s="51">
        <v>0</v>
      </c>
      <c r="K58" s="51">
        <v>0</v>
      </c>
      <c r="L58" s="51">
        <v>0</v>
      </c>
      <c r="M58" s="51">
        <v>3060</v>
      </c>
      <c r="N58" s="51">
        <v>0</v>
      </c>
      <c r="O58" s="51">
        <v>6210</v>
      </c>
      <c r="P58" s="51">
        <v>0</v>
      </c>
      <c r="Q58" s="77">
        <v>0</v>
      </c>
      <c r="R58" s="18">
        <f t="shared" si="0"/>
        <v>29830</v>
      </c>
      <c r="S58" s="90">
        <v>9640</v>
      </c>
      <c r="T58" s="51">
        <v>10070</v>
      </c>
      <c r="U58" s="51">
        <v>0</v>
      </c>
      <c r="V58" s="51">
        <v>1050</v>
      </c>
      <c r="W58" s="51">
        <v>0</v>
      </c>
      <c r="X58" s="51">
        <v>0</v>
      </c>
      <c r="Y58" s="51">
        <v>530</v>
      </c>
      <c r="Z58" s="17">
        <v>0</v>
      </c>
      <c r="AA58" s="18">
        <f t="shared" si="1"/>
        <v>21290</v>
      </c>
      <c r="AB58" s="18">
        <v>0</v>
      </c>
      <c r="AC58" s="18">
        <f t="shared" si="2"/>
        <v>0</v>
      </c>
      <c r="AD58" s="18">
        <f t="shared" si="3"/>
        <v>51120</v>
      </c>
    </row>
    <row r="59" spans="1:30" ht="19.5" thickBot="1">
      <c r="A59" s="1" t="s">
        <v>1</v>
      </c>
      <c r="B59" s="10" t="s">
        <v>103</v>
      </c>
      <c r="C59" s="58">
        <v>60000</v>
      </c>
      <c r="D59" s="59">
        <v>30000</v>
      </c>
      <c r="E59" s="59">
        <v>60000</v>
      </c>
      <c r="F59" s="59">
        <v>30000</v>
      </c>
      <c r="G59" s="59">
        <v>30000</v>
      </c>
      <c r="H59" s="59">
        <v>30000</v>
      </c>
      <c r="I59" s="59">
        <v>60000</v>
      </c>
      <c r="J59" s="59">
        <v>30000</v>
      </c>
      <c r="K59" s="59">
        <v>30000</v>
      </c>
      <c r="L59" s="59">
        <v>30000</v>
      </c>
      <c r="M59" s="59">
        <v>150000</v>
      </c>
      <c r="N59" s="59">
        <v>30000</v>
      </c>
      <c r="O59" s="59">
        <v>60000</v>
      </c>
      <c r="P59" s="59">
        <v>30000</v>
      </c>
      <c r="Q59" s="79">
        <v>30000</v>
      </c>
      <c r="R59" s="12"/>
      <c r="S59" s="92">
        <v>90000</v>
      </c>
      <c r="T59" s="59">
        <v>60000</v>
      </c>
      <c r="U59" s="59">
        <v>0</v>
      </c>
      <c r="V59" s="59">
        <v>30000</v>
      </c>
      <c r="W59" s="59">
        <v>60000</v>
      </c>
      <c r="X59" s="59">
        <v>60000</v>
      </c>
      <c r="Y59" s="59">
        <v>60000</v>
      </c>
      <c r="Z59" s="11">
        <v>0</v>
      </c>
      <c r="AA59" s="12"/>
      <c r="AB59" s="12">
        <v>30000</v>
      </c>
      <c r="AC59" s="12">
        <f t="shared" si="2"/>
        <v>30000</v>
      </c>
      <c r="AD59" s="12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5AC3-1093-49BF-921F-47164B7E0949}">
  <sheetPr>
    <pageSetUpPr fitToPage="1"/>
  </sheetPr>
  <dimension ref="A1:N5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J5" sqref="J5"/>
    </sheetView>
  </sheetViews>
  <sheetFormatPr defaultRowHeight="18.75"/>
  <cols>
    <col min="1" max="1" width="2.375" style="2" customWidth="1"/>
    <col min="2" max="2" width="13.25" style="2" bestFit="1" customWidth="1"/>
    <col min="3" max="14" width="11.75" style="2" customWidth="1"/>
    <col min="15" max="242" width="9" style="2"/>
    <col min="243" max="243" width="2.375" style="2" customWidth="1"/>
    <col min="244" max="244" width="13.25" style="2" bestFit="1" customWidth="1"/>
    <col min="245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7" width="11.125" style="2" bestFit="1" customWidth="1"/>
    <col min="268" max="268" width="8" style="2" bestFit="1" customWidth="1"/>
    <col min="269" max="269" width="9.625" style="2" bestFit="1" customWidth="1"/>
    <col min="270" max="498" width="9" style="2"/>
    <col min="499" max="499" width="2.375" style="2" customWidth="1"/>
    <col min="500" max="500" width="13.25" style="2" bestFit="1" customWidth="1"/>
    <col min="501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23" width="11.125" style="2" bestFit="1" customWidth="1"/>
    <col min="524" max="524" width="8" style="2" bestFit="1" customWidth="1"/>
    <col min="525" max="525" width="9.625" style="2" bestFit="1" customWidth="1"/>
    <col min="526" max="754" width="9" style="2"/>
    <col min="755" max="755" width="2.375" style="2" customWidth="1"/>
    <col min="756" max="756" width="13.25" style="2" bestFit="1" customWidth="1"/>
    <col min="757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79" width="11.125" style="2" bestFit="1" customWidth="1"/>
    <col min="780" max="780" width="8" style="2" bestFit="1" customWidth="1"/>
    <col min="781" max="781" width="9.625" style="2" bestFit="1" customWidth="1"/>
    <col min="782" max="1010" width="9" style="2"/>
    <col min="1011" max="1011" width="2.375" style="2" customWidth="1"/>
    <col min="1012" max="1012" width="13.25" style="2" bestFit="1" customWidth="1"/>
    <col min="1013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5" width="11.125" style="2" bestFit="1" customWidth="1"/>
    <col min="1036" max="1036" width="8" style="2" bestFit="1" customWidth="1"/>
    <col min="1037" max="1037" width="9.625" style="2" bestFit="1" customWidth="1"/>
    <col min="1038" max="1266" width="9" style="2"/>
    <col min="1267" max="1267" width="2.375" style="2" customWidth="1"/>
    <col min="1268" max="1268" width="13.25" style="2" bestFit="1" customWidth="1"/>
    <col min="1269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91" width="11.125" style="2" bestFit="1" customWidth="1"/>
    <col min="1292" max="1292" width="8" style="2" bestFit="1" customWidth="1"/>
    <col min="1293" max="1293" width="9.625" style="2" bestFit="1" customWidth="1"/>
    <col min="1294" max="1522" width="9" style="2"/>
    <col min="1523" max="1523" width="2.375" style="2" customWidth="1"/>
    <col min="1524" max="1524" width="13.25" style="2" bestFit="1" customWidth="1"/>
    <col min="1525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7" width="11.125" style="2" bestFit="1" customWidth="1"/>
    <col min="1548" max="1548" width="8" style="2" bestFit="1" customWidth="1"/>
    <col min="1549" max="1549" width="9.625" style="2" bestFit="1" customWidth="1"/>
    <col min="1550" max="1778" width="9" style="2"/>
    <col min="1779" max="1779" width="2.375" style="2" customWidth="1"/>
    <col min="1780" max="1780" width="13.25" style="2" bestFit="1" customWidth="1"/>
    <col min="1781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803" width="11.125" style="2" bestFit="1" customWidth="1"/>
    <col min="1804" max="1804" width="8" style="2" bestFit="1" customWidth="1"/>
    <col min="1805" max="1805" width="9.625" style="2" bestFit="1" customWidth="1"/>
    <col min="1806" max="2034" width="9" style="2"/>
    <col min="2035" max="2035" width="2.375" style="2" customWidth="1"/>
    <col min="2036" max="2036" width="13.25" style="2" bestFit="1" customWidth="1"/>
    <col min="2037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59" width="11.125" style="2" bestFit="1" customWidth="1"/>
    <col min="2060" max="2060" width="8" style="2" bestFit="1" customWidth="1"/>
    <col min="2061" max="2061" width="9.625" style="2" bestFit="1" customWidth="1"/>
    <col min="2062" max="2290" width="9" style="2"/>
    <col min="2291" max="2291" width="2.375" style="2" customWidth="1"/>
    <col min="2292" max="2292" width="13.25" style="2" bestFit="1" customWidth="1"/>
    <col min="2293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5" width="11.125" style="2" bestFit="1" customWidth="1"/>
    <col min="2316" max="2316" width="8" style="2" bestFit="1" customWidth="1"/>
    <col min="2317" max="2317" width="9.625" style="2" bestFit="1" customWidth="1"/>
    <col min="2318" max="2546" width="9" style="2"/>
    <col min="2547" max="2547" width="2.375" style="2" customWidth="1"/>
    <col min="2548" max="2548" width="13.25" style="2" bestFit="1" customWidth="1"/>
    <col min="2549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71" width="11.125" style="2" bestFit="1" customWidth="1"/>
    <col min="2572" max="2572" width="8" style="2" bestFit="1" customWidth="1"/>
    <col min="2573" max="2573" width="9.625" style="2" bestFit="1" customWidth="1"/>
    <col min="2574" max="2802" width="9" style="2"/>
    <col min="2803" max="2803" width="2.375" style="2" customWidth="1"/>
    <col min="2804" max="2804" width="13.25" style="2" bestFit="1" customWidth="1"/>
    <col min="2805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7" width="11.125" style="2" bestFit="1" customWidth="1"/>
    <col min="2828" max="2828" width="8" style="2" bestFit="1" customWidth="1"/>
    <col min="2829" max="2829" width="9.625" style="2" bestFit="1" customWidth="1"/>
    <col min="2830" max="3058" width="9" style="2"/>
    <col min="3059" max="3059" width="2.375" style="2" customWidth="1"/>
    <col min="3060" max="3060" width="13.25" style="2" bestFit="1" customWidth="1"/>
    <col min="3061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83" width="11.125" style="2" bestFit="1" customWidth="1"/>
    <col min="3084" max="3084" width="8" style="2" bestFit="1" customWidth="1"/>
    <col min="3085" max="3085" width="9.625" style="2" bestFit="1" customWidth="1"/>
    <col min="3086" max="3314" width="9" style="2"/>
    <col min="3315" max="3315" width="2.375" style="2" customWidth="1"/>
    <col min="3316" max="3316" width="13.25" style="2" bestFit="1" customWidth="1"/>
    <col min="3317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39" width="11.125" style="2" bestFit="1" customWidth="1"/>
    <col min="3340" max="3340" width="8" style="2" bestFit="1" customWidth="1"/>
    <col min="3341" max="3341" width="9.625" style="2" bestFit="1" customWidth="1"/>
    <col min="3342" max="3570" width="9" style="2"/>
    <col min="3571" max="3571" width="2.375" style="2" customWidth="1"/>
    <col min="3572" max="3572" width="13.25" style="2" bestFit="1" customWidth="1"/>
    <col min="3573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5" width="11.125" style="2" bestFit="1" customWidth="1"/>
    <col min="3596" max="3596" width="8" style="2" bestFit="1" customWidth="1"/>
    <col min="3597" max="3597" width="9.625" style="2" bestFit="1" customWidth="1"/>
    <col min="3598" max="3826" width="9" style="2"/>
    <col min="3827" max="3827" width="2.375" style="2" customWidth="1"/>
    <col min="3828" max="3828" width="13.25" style="2" bestFit="1" customWidth="1"/>
    <col min="3829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51" width="11.125" style="2" bestFit="1" customWidth="1"/>
    <col min="3852" max="3852" width="8" style="2" bestFit="1" customWidth="1"/>
    <col min="3853" max="3853" width="9.625" style="2" bestFit="1" customWidth="1"/>
    <col min="3854" max="4082" width="9" style="2"/>
    <col min="4083" max="4083" width="2.375" style="2" customWidth="1"/>
    <col min="4084" max="4084" width="13.25" style="2" bestFit="1" customWidth="1"/>
    <col min="4085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7" width="11.125" style="2" bestFit="1" customWidth="1"/>
    <col min="4108" max="4108" width="8" style="2" bestFit="1" customWidth="1"/>
    <col min="4109" max="4109" width="9.625" style="2" bestFit="1" customWidth="1"/>
    <col min="4110" max="4338" width="9" style="2"/>
    <col min="4339" max="4339" width="2.375" style="2" customWidth="1"/>
    <col min="4340" max="4340" width="13.25" style="2" bestFit="1" customWidth="1"/>
    <col min="4341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63" width="11.125" style="2" bestFit="1" customWidth="1"/>
    <col min="4364" max="4364" width="8" style="2" bestFit="1" customWidth="1"/>
    <col min="4365" max="4365" width="9.625" style="2" bestFit="1" customWidth="1"/>
    <col min="4366" max="4594" width="9" style="2"/>
    <col min="4595" max="4595" width="2.375" style="2" customWidth="1"/>
    <col min="4596" max="4596" width="13.25" style="2" bestFit="1" customWidth="1"/>
    <col min="4597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19" width="11.125" style="2" bestFit="1" customWidth="1"/>
    <col min="4620" max="4620" width="8" style="2" bestFit="1" customWidth="1"/>
    <col min="4621" max="4621" width="9.625" style="2" bestFit="1" customWidth="1"/>
    <col min="4622" max="4850" width="9" style="2"/>
    <col min="4851" max="4851" width="2.375" style="2" customWidth="1"/>
    <col min="4852" max="4852" width="13.25" style="2" bestFit="1" customWidth="1"/>
    <col min="4853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5" width="11.125" style="2" bestFit="1" customWidth="1"/>
    <col min="4876" max="4876" width="8" style="2" bestFit="1" customWidth="1"/>
    <col min="4877" max="4877" width="9.625" style="2" bestFit="1" customWidth="1"/>
    <col min="4878" max="5106" width="9" style="2"/>
    <col min="5107" max="5107" width="2.375" style="2" customWidth="1"/>
    <col min="5108" max="5108" width="13.25" style="2" bestFit="1" customWidth="1"/>
    <col min="5109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31" width="11.125" style="2" bestFit="1" customWidth="1"/>
    <col min="5132" max="5132" width="8" style="2" bestFit="1" customWidth="1"/>
    <col min="5133" max="5133" width="9.625" style="2" bestFit="1" customWidth="1"/>
    <col min="5134" max="5362" width="9" style="2"/>
    <col min="5363" max="5363" width="2.375" style="2" customWidth="1"/>
    <col min="5364" max="5364" width="13.25" style="2" bestFit="1" customWidth="1"/>
    <col min="5365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7" width="11.125" style="2" bestFit="1" customWidth="1"/>
    <col min="5388" max="5388" width="8" style="2" bestFit="1" customWidth="1"/>
    <col min="5389" max="5389" width="9.625" style="2" bestFit="1" customWidth="1"/>
    <col min="5390" max="5618" width="9" style="2"/>
    <col min="5619" max="5619" width="2.375" style="2" customWidth="1"/>
    <col min="5620" max="5620" width="13.25" style="2" bestFit="1" customWidth="1"/>
    <col min="5621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43" width="11.125" style="2" bestFit="1" customWidth="1"/>
    <col min="5644" max="5644" width="8" style="2" bestFit="1" customWidth="1"/>
    <col min="5645" max="5645" width="9.625" style="2" bestFit="1" customWidth="1"/>
    <col min="5646" max="5874" width="9" style="2"/>
    <col min="5875" max="5875" width="2.375" style="2" customWidth="1"/>
    <col min="5876" max="5876" width="13.25" style="2" bestFit="1" customWidth="1"/>
    <col min="5877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899" width="11.125" style="2" bestFit="1" customWidth="1"/>
    <col min="5900" max="5900" width="8" style="2" bestFit="1" customWidth="1"/>
    <col min="5901" max="5901" width="9.625" style="2" bestFit="1" customWidth="1"/>
    <col min="5902" max="6130" width="9" style="2"/>
    <col min="6131" max="6131" width="2.375" style="2" customWidth="1"/>
    <col min="6132" max="6132" width="13.25" style="2" bestFit="1" customWidth="1"/>
    <col min="6133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5" width="11.125" style="2" bestFit="1" customWidth="1"/>
    <col min="6156" max="6156" width="8" style="2" bestFit="1" customWidth="1"/>
    <col min="6157" max="6157" width="9.625" style="2" bestFit="1" customWidth="1"/>
    <col min="6158" max="6386" width="9" style="2"/>
    <col min="6387" max="6387" width="2.375" style="2" customWidth="1"/>
    <col min="6388" max="6388" width="13.25" style="2" bestFit="1" customWidth="1"/>
    <col min="6389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11" width="11.125" style="2" bestFit="1" customWidth="1"/>
    <col min="6412" max="6412" width="8" style="2" bestFit="1" customWidth="1"/>
    <col min="6413" max="6413" width="9.625" style="2" bestFit="1" customWidth="1"/>
    <col min="6414" max="6642" width="9" style="2"/>
    <col min="6643" max="6643" width="2.375" style="2" customWidth="1"/>
    <col min="6644" max="6644" width="13.25" style="2" bestFit="1" customWidth="1"/>
    <col min="6645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7" width="11.125" style="2" bestFit="1" customWidth="1"/>
    <col min="6668" max="6668" width="8" style="2" bestFit="1" customWidth="1"/>
    <col min="6669" max="6669" width="9.625" style="2" bestFit="1" customWidth="1"/>
    <col min="6670" max="6898" width="9" style="2"/>
    <col min="6899" max="6899" width="2.375" style="2" customWidth="1"/>
    <col min="6900" max="6900" width="13.25" style="2" bestFit="1" customWidth="1"/>
    <col min="6901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23" width="11.125" style="2" bestFit="1" customWidth="1"/>
    <col min="6924" max="6924" width="8" style="2" bestFit="1" customWidth="1"/>
    <col min="6925" max="6925" width="9.625" style="2" bestFit="1" customWidth="1"/>
    <col min="6926" max="7154" width="9" style="2"/>
    <col min="7155" max="7155" width="2.375" style="2" customWidth="1"/>
    <col min="7156" max="7156" width="13.25" style="2" bestFit="1" customWidth="1"/>
    <col min="7157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79" width="11.125" style="2" bestFit="1" customWidth="1"/>
    <col min="7180" max="7180" width="8" style="2" bestFit="1" customWidth="1"/>
    <col min="7181" max="7181" width="9.625" style="2" bestFit="1" customWidth="1"/>
    <col min="7182" max="7410" width="9" style="2"/>
    <col min="7411" max="7411" width="2.375" style="2" customWidth="1"/>
    <col min="7412" max="7412" width="13.25" style="2" bestFit="1" customWidth="1"/>
    <col min="7413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5" width="11.125" style="2" bestFit="1" customWidth="1"/>
    <col min="7436" max="7436" width="8" style="2" bestFit="1" customWidth="1"/>
    <col min="7437" max="7437" width="9.625" style="2" bestFit="1" customWidth="1"/>
    <col min="7438" max="7666" width="9" style="2"/>
    <col min="7667" max="7667" width="2.375" style="2" customWidth="1"/>
    <col min="7668" max="7668" width="13.25" style="2" bestFit="1" customWidth="1"/>
    <col min="7669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91" width="11.125" style="2" bestFit="1" customWidth="1"/>
    <col min="7692" max="7692" width="8" style="2" bestFit="1" customWidth="1"/>
    <col min="7693" max="7693" width="9.625" style="2" bestFit="1" customWidth="1"/>
    <col min="7694" max="7922" width="9" style="2"/>
    <col min="7923" max="7923" width="2.375" style="2" customWidth="1"/>
    <col min="7924" max="7924" width="13.25" style="2" bestFit="1" customWidth="1"/>
    <col min="7925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7" width="11.125" style="2" bestFit="1" customWidth="1"/>
    <col min="7948" max="7948" width="8" style="2" bestFit="1" customWidth="1"/>
    <col min="7949" max="7949" width="9.625" style="2" bestFit="1" customWidth="1"/>
    <col min="7950" max="8178" width="9" style="2"/>
    <col min="8179" max="8179" width="2.375" style="2" customWidth="1"/>
    <col min="8180" max="8180" width="13.25" style="2" bestFit="1" customWidth="1"/>
    <col min="8181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203" width="11.125" style="2" bestFit="1" customWidth="1"/>
    <col min="8204" max="8204" width="8" style="2" bestFit="1" customWidth="1"/>
    <col min="8205" max="8205" width="9.625" style="2" bestFit="1" customWidth="1"/>
    <col min="8206" max="8434" width="9" style="2"/>
    <col min="8435" max="8435" width="2.375" style="2" customWidth="1"/>
    <col min="8436" max="8436" width="13.25" style="2" bestFit="1" customWidth="1"/>
    <col min="8437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59" width="11.125" style="2" bestFit="1" customWidth="1"/>
    <col min="8460" max="8460" width="8" style="2" bestFit="1" customWidth="1"/>
    <col min="8461" max="8461" width="9.625" style="2" bestFit="1" customWidth="1"/>
    <col min="8462" max="8690" width="9" style="2"/>
    <col min="8691" max="8691" width="2.375" style="2" customWidth="1"/>
    <col min="8692" max="8692" width="13.25" style="2" bestFit="1" customWidth="1"/>
    <col min="8693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5" width="11.125" style="2" bestFit="1" customWidth="1"/>
    <col min="8716" max="8716" width="8" style="2" bestFit="1" customWidth="1"/>
    <col min="8717" max="8717" width="9.625" style="2" bestFit="1" customWidth="1"/>
    <col min="8718" max="8946" width="9" style="2"/>
    <col min="8947" max="8947" width="2.375" style="2" customWidth="1"/>
    <col min="8948" max="8948" width="13.25" style="2" bestFit="1" customWidth="1"/>
    <col min="8949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71" width="11.125" style="2" bestFit="1" customWidth="1"/>
    <col min="8972" max="8972" width="8" style="2" bestFit="1" customWidth="1"/>
    <col min="8973" max="8973" width="9.625" style="2" bestFit="1" customWidth="1"/>
    <col min="8974" max="9202" width="9" style="2"/>
    <col min="9203" max="9203" width="2.375" style="2" customWidth="1"/>
    <col min="9204" max="9204" width="13.25" style="2" bestFit="1" customWidth="1"/>
    <col min="9205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7" width="11.125" style="2" bestFit="1" customWidth="1"/>
    <col min="9228" max="9228" width="8" style="2" bestFit="1" customWidth="1"/>
    <col min="9229" max="9229" width="9.625" style="2" bestFit="1" customWidth="1"/>
    <col min="9230" max="9458" width="9" style="2"/>
    <col min="9459" max="9459" width="2.375" style="2" customWidth="1"/>
    <col min="9460" max="9460" width="13.25" style="2" bestFit="1" customWidth="1"/>
    <col min="9461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83" width="11.125" style="2" bestFit="1" customWidth="1"/>
    <col min="9484" max="9484" width="8" style="2" bestFit="1" customWidth="1"/>
    <col min="9485" max="9485" width="9.625" style="2" bestFit="1" customWidth="1"/>
    <col min="9486" max="9714" width="9" style="2"/>
    <col min="9715" max="9715" width="2.375" style="2" customWidth="1"/>
    <col min="9716" max="9716" width="13.25" style="2" bestFit="1" customWidth="1"/>
    <col min="9717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39" width="11.125" style="2" bestFit="1" customWidth="1"/>
    <col min="9740" max="9740" width="8" style="2" bestFit="1" customWidth="1"/>
    <col min="9741" max="9741" width="9.625" style="2" bestFit="1" customWidth="1"/>
    <col min="9742" max="9970" width="9" style="2"/>
    <col min="9971" max="9971" width="2.375" style="2" customWidth="1"/>
    <col min="9972" max="9972" width="13.25" style="2" bestFit="1" customWidth="1"/>
    <col min="9973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5" width="11.125" style="2" bestFit="1" customWidth="1"/>
    <col min="9996" max="9996" width="8" style="2" bestFit="1" customWidth="1"/>
    <col min="9997" max="9997" width="9.625" style="2" bestFit="1" customWidth="1"/>
    <col min="9998" max="10226" width="9" style="2"/>
    <col min="10227" max="10227" width="2.375" style="2" customWidth="1"/>
    <col min="10228" max="10228" width="13.25" style="2" bestFit="1" customWidth="1"/>
    <col min="10229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51" width="11.125" style="2" bestFit="1" customWidth="1"/>
    <col min="10252" max="10252" width="8" style="2" bestFit="1" customWidth="1"/>
    <col min="10253" max="10253" width="9.625" style="2" bestFit="1" customWidth="1"/>
    <col min="10254" max="10482" width="9" style="2"/>
    <col min="10483" max="10483" width="2.375" style="2" customWidth="1"/>
    <col min="10484" max="10484" width="13.25" style="2" bestFit="1" customWidth="1"/>
    <col min="10485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7" width="11.125" style="2" bestFit="1" customWidth="1"/>
    <col min="10508" max="10508" width="8" style="2" bestFit="1" customWidth="1"/>
    <col min="10509" max="10509" width="9.625" style="2" bestFit="1" customWidth="1"/>
    <col min="10510" max="10738" width="9" style="2"/>
    <col min="10739" max="10739" width="2.375" style="2" customWidth="1"/>
    <col min="10740" max="10740" width="13.25" style="2" bestFit="1" customWidth="1"/>
    <col min="10741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63" width="11.125" style="2" bestFit="1" customWidth="1"/>
    <col min="10764" max="10764" width="8" style="2" bestFit="1" customWidth="1"/>
    <col min="10765" max="10765" width="9.625" style="2" bestFit="1" customWidth="1"/>
    <col min="10766" max="10994" width="9" style="2"/>
    <col min="10995" max="10995" width="2.375" style="2" customWidth="1"/>
    <col min="10996" max="10996" width="13.25" style="2" bestFit="1" customWidth="1"/>
    <col min="10997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19" width="11.125" style="2" bestFit="1" customWidth="1"/>
    <col min="11020" max="11020" width="8" style="2" bestFit="1" customWidth="1"/>
    <col min="11021" max="11021" width="9.625" style="2" bestFit="1" customWidth="1"/>
    <col min="11022" max="11250" width="9" style="2"/>
    <col min="11251" max="11251" width="2.375" style="2" customWidth="1"/>
    <col min="11252" max="11252" width="13.25" style="2" bestFit="1" customWidth="1"/>
    <col min="11253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5" width="11.125" style="2" bestFit="1" customWidth="1"/>
    <col min="11276" max="11276" width="8" style="2" bestFit="1" customWidth="1"/>
    <col min="11277" max="11277" width="9.625" style="2" bestFit="1" customWidth="1"/>
    <col min="11278" max="11506" width="9" style="2"/>
    <col min="11507" max="11507" width="2.375" style="2" customWidth="1"/>
    <col min="11508" max="11508" width="13.25" style="2" bestFit="1" customWidth="1"/>
    <col min="11509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31" width="11.125" style="2" bestFit="1" customWidth="1"/>
    <col min="11532" max="11532" width="8" style="2" bestFit="1" customWidth="1"/>
    <col min="11533" max="11533" width="9.625" style="2" bestFit="1" customWidth="1"/>
    <col min="11534" max="11762" width="9" style="2"/>
    <col min="11763" max="11763" width="2.375" style="2" customWidth="1"/>
    <col min="11764" max="11764" width="13.25" style="2" bestFit="1" customWidth="1"/>
    <col min="11765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7" width="11.125" style="2" bestFit="1" customWidth="1"/>
    <col min="11788" max="11788" width="8" style="2" bestFit="1" customWidth="1"/>
    <col min="11789" max="11789" width="9.625" style="2" bestFit="1" customWidth="1"/>
    <col min="11790" max="12018" width="9" style="2"/>
    <col min="12019" max="12019" width="2.375" style="2" customWidth="1"/>
    <col min="12020" max="12020" width="13.25" style="2" bestFit="1" customWidth="1"/>
    <col min="12021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43" width="11.125" style="2" bestFit="1" customWidth="1"/>
    <col min="12044" max="12044" width="8" style="2" bestFit="1" customWidth="1"/>
    <col min="12045" max="12045" width="9.625" style="2" bestFit="1" customWidth="1"/>
    <col min="12046" max="12274" width="9" style="2"/>
    <col min="12275" max="12275" width="2.375" style="2" customWidth="1"/>
    <col min="12276" max="12276" width="13.25" style="2" bestFit="1" customWidth="1"/>
    <col min="12277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299" width="11.125" style="2" bestFit="1" customWidth="1"/>
    <col min="12300" max="12300" width="8" style="2" bestFit="1" customWidth="1"/>
    <col min="12301" max="12301" width="9.625" style="2" bestFit="1" customWidth="1"/>
    <col min="12302" max="12530" width="9" style="2"/>
    <col min="12531" max="12531" width="2.375" style="2" customWidth="1"/>
    <col min="12532" max="12532" width="13.25" style="2" bestFit="1" customWidth="1"/>
    <col min="12533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5" width="11.125" style="2" bestFit="1" customWidth="1"/>
    <col min="12556" max="12556" width="8" style="2" bestFit="1" customWidth="1"/>
    <col min="12557" max="12557" width="9.625" style="2" bestFit="1" customWidth="1"/>
    <col min="12558" max="12786" width="9" style="2"/>
    <col min="12787" max="12787" width="2.375" style="2" customWidth="1"/>
    <col min="12788" max="12788" width="13.25" style="2" bestFit="1" customWidth="1"/>
    <col min="12789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11" width="11.125" style="2" bestFit="1" customWidth="1"/>
    <col min="12812" max="12812" width="8" style="2" bestFit="1" customWidth="1"/>
    <col min="12813" max="12813" width="9.625" style="2" bestFit="1" customWidth="1"/>
    <col min="12814" max="13042" width="9" style="2"/>
    <col min="13043" max="13043" width="2.375" style="2" customWidth="1"/>
    <col min="13044" max="13044" width="13.25" style="2" bestFit="1" customWidth="1"/>
    <col min="13045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7" width="11.125" style="2" bestFit="1" customWidth="1"/>
    <col min="13068" max="13068" width="8" style="2" bestFit="1" customWidth="1"/>
    <col min="13069" max="13069" width="9.625" style="2" bestFit="1" customWidth="1"/>
    <col min="13070" max="13298" width="9" style="2"/>
    <col min="13299" max="13299" width="2.375" style="2" customWidth="1"/>
    <col min="13300" max="13300" width="13.25" style="2" bestFit="1" customWidth="1"/>
    <col min="13301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23" width="11.125" style="2" bestFit="1" customWidth="1"/>
    <col min="13324" max="13324" width="8" style="2" bestFit="1" customWidth="1"/>
    <col min="13325" max="13325" width="9.625" style="2" bestFit="1" customWidth="1"/>
    <col min="13326" max="13554" width="9" style="2"/>
    <col min="13555" max="13555" width="2.375" style="2" customWidth="1"/>
    <col min="13556" max="13556" width="13.25" style="2" bestFit="1" customWidth="1"/>
    <col min="13557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79" width="11.125" style="2" bestFit="1" customWidth="1"/>
    <col min="13580" max="13580" width="8" style="2" bestFit="1" customWidth="1"/>
    <col min="13581" max="13581" width="9.625" style="2" bestFit="1" customWidth="1"/>
    <col min="13582" max="13810" width="9" style="2"/>
    <col min="13811" max="13811" width="2.375" style="2" customWidth="1"/>
    <col min="13812" max="13812" width="13.25" style="2" bestFit="1" customWidth="1"/>
    <col min="13813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5" width="11.125" style="2" bestFit="1" customWidth="1"/>
    <col min="13836" max="13836" width="8" style="2" bestFit="1" customWidth="1"/>
    <col min="13837" max="13837" width="9.625" style="2" bestFit="1" customWidth="1"/>
    <col min="13838" max="14066" width="9" style="2"/>
    <col min="14067" max="14067" width="2.375" style="2" customWidth="1"/>
    <col min="14068" max="14068" width="13.25" style="2" bestFit="1" customWidth="1"/>
    <col min="14069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91" width="11.125" style="2" bestFit="1" customWidth="1"/>
    <col min="14092" max="14092" width="8" style="2" bestFit="1" customWidth="1"/>
    <col min="14093" max="14093" width="9.625" style="2" bestFit="1" customWidth="1"/>
    <col min="14094" max="14322" width="9" style="2"/>
    <col min="14323" max="14323" width="2.375" style="2" customWidth="1"/>
    <col min="14324" max="14324" width="13.25" style="2" bestFit="1" customWidth="1"/>
    <col min="14325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7" width="11.125" style="2" bestFit="1" customWidth="1"/>
    <col min="14348" max="14348" width="8" style="2" bestFit="1" customWidth="1"/>
    <col min="14349" max="14349" width="9.625" style="2" bestFit="1" customWidth="1"/>
    <col min="14350" max="14578" width="9" style="2"/>
    <col min="14579" max="14579" width="2.375" style="2" customWidth="1"/>
    <col min="14580" max="14580" width="13.25" style="2" bestFit="1" customWidth="1"/>
    <col min="14581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603" width="11.125" style="2" bestFit="1" customWidth="1"/>
    <col min="14604" max="14604" width="8" style="2" bestFit="1" customWidth="1"/>
    <col min="14605" max="14605" width="9.625" style="2" bestFit="1" customWidth="1"/>
    <col min="14606" max="14834" width="9" style="2"/>
    <col min="14835" max="14835" width="2.375" style="2" customWidth="1"/>
    <col min="14836" max="14836" width="13.25" style="2" bestFit="1" customWidth="1"/>
    <col min="14837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59" width="11.125" style="2" bestFit="1" customWidth="1"/>
    <col min="14860" max="14860" width="8" style="2" bestFit="1" customWidth="1"/>
    <col min="14861" max="14861" width="9.625" style="2" bestFit="1" customWidth="1"/>
    <col min="14862" max="15090" width="9" style="2"/>
    <col min="15091" max="15091" width="2.375" style="2" customWidth="1"/>
    <col min="15092" max="15092" width="13.25" style="2" bestFit="1" customWidth="1"/>
    <col min="15093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5" width="11.125" style="2" bestFit="1" customWidth="1"/>
    <col min="15116" max="15116" width="8" style="2" bestFit="1" customWidth="1"/>
    <col min="15117" max="15117" width="9.625" style="2" bestFit="1" customWidth="1"/>
    <col min="15118" max="15346" width="9" style="2"/>
    <col min="15347" max="15347" width="2.375" style="2" customWidth="1"/>
    <col min="15348" max="15348" width="13.25" style="2" bestFit="1" customWidth="1"/>
    <col min="15349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71" width="11.125" style="2" bestFit="1" customWidth="1"/>
    <col min="15372" max="15372" width="8" style="2" bestFit="1" customWidth="1"/>
    <col min="15373" max="15373" width="9.625" style="2" bestFit="1" customWidth="1"/>
    <col min="15374" max="15602" width="9" style="2"/>
    <col min="15603" max="15603" width="2.375" style="2" customWidth="1"/>
    <col min="15604" max="15604" width="13.25" style="2" bestFit="1" customWidth="1"/>
    <col min="15605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7" width="11.125" style="2" bestFit="1" customWidth="1"/>
    <col min="15628" max="15628" width="8" style="2" bestFit="1" customWidth="1"/>
    <col min="15629" max="15629" width="9.625" style="2" bestFit="1" customWidth="1"/>
    <col min="15630" max="15858" width="9" style="2"/>
    <col min="15859" max="15859" width="2.375" style="2" customWidth="1"/>
    <col min="15860" max="15860" width="13.25" style="2" bestFit="1" customWidth="1"/>
    <col min="15861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83" width="11.125" style="2" bestFit="1" customWidth="1"/>
    <col min="15884" max="15884" width="8" style="2" bestFit="1" customWidth="1"/>
    <col min="15885" max="15885" width="9.625" style="2" bestFit="1" customWidth="1"/>
    <col min="15886" max="16114" width="9" style="2"/>
    <col min="16115" max="16115" width="2.375" style="2" customWidth="1"/>
    <col min="16116" max="16116" width="13.25" style="2" bestFit="1" customWidth="1"/>
    <col min="16117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39" width="11.125" style="2" bestFit="1" customWidth="1"/>
    <col min="16140" max="16140" width="8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104</v>
      </c>
    </row>
    <row r="3" spans="1:14">
      <c r="B3" s="13"/>
      <c r="C3" s="80" t="s">
        <v>14</v>
      </c>
      <c r="D3" s="35" t="s">
        <v>4</v>
      </c>
      <c r="E3" s="35" t="s">
        <v>21</v>
      </c>
      <c r="F3" s="35" t="s">
        <v>22</v>
      </c>
      <c r="G3" s="35" t="s">
        <v>20</v>
      </c>
      <c r="H3" s="35" t="s">
        <v>23</v>
      </c>
      <c r="I3" s="35" t="s">
        <v>24</v>
      </c>
      <c r="J3" s="60" t="s">
        <v>25</v>
      </c>
      <c r="K3" s="61" t="s">
        <v>106</v>
      </c>
      <c r="L3" s="61" t="s">
        <v>5</v>
      </c>
      <c r="M3" s="61" t="s">
        <v>106</v>
      </c>
      <c r="N3" s="64" t="s">
        <v>50</v>
      </c>
    </row>
    <row r="4" spans="1:14" ht="19.5" thickBot="1">
      <c r="B4" s="4" t="s">
        <v>26</v>
      </c>
      <c r="C4" s="81" t="s">
        <v>38</v>
      </c>
      <c r="D4" s="37" t="s">
        <v>105</v>
      </c>
      <c r="E4" s="37" t="s">
        <v>45</v>
      </c>
      <c r="F4" s="37" t="s">
        <v>46</v>
      </c>
      <c r="G4" s="37" t="s">
        <v>44</v>
      </c>
      <c r="H4" s="37" t="s">
        <v>47</v>
      </c>
      <c r="I4" s="37" t="s">
        <v>48</v>
      </c>
      <c r="J4" s="3" t="s">
        <v>111</v>
      </c>
      <c r="K4" s="62" t="s">
        <v>107</v>
      </c>
      <c r="L4" s="63" t="s">
        <v>29</v>
      </c>
      <c r="M4" s="62" t="s">
        <v>108</v>
      </c>
      <c r="N4" s="4" t="s">
        <v>50</v>
      </c>
    </row>
    <row r="5" spans="1:14">
      <c r="A5" s="1" t="s">
        <v>1</v>
      </c>
      <c r="B5" s="27" t="s">
        <v>51</v>
      </c>
      <c r="C5" s="82">
        <v>23</v>
      </c>
      <c r="D5" s="39">
        <v>22</v>
      </c>
      <c r="E5" s="39">
        <v>13</v>
      </c>
      <c r="F5" s="39">
        <v>16</v>
      </c>
      <c r="G5" s="39">
        <v>10</v>
      </c>
      <c r="H5" s="39">
        <v>9</v>
      </c>
      <c r="I5" s="39">
        <v>16</v>
      </c>
      <c r="J5" s="28">
        <v>23</v>
      </c>
      <c r="K5" s="29">
        <f>SUM(C5:J5)</f>
        <v>132</v>
      </c>
      <c r="L5" s="29">
        <v>22</v>
      </c>
      <c r="M5" s="29">
        <f>SUM(L5)</f>
        <v>22</v>
      </c>
      <c r="N5" s="29">
        <v>464</v>
      </c>
    </row>
    <row r="6" spans="1:14">
      <c r="A6" s="1" t="s">
        <v>1</v>
      </c>
      <c r="B6" s="22" t="s">
        <v>52</v>
      </c>
      <c r="C6" s="83">
        <v>0</v>
      </c>
      <c r="D6" s="41">
        <v>3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30">
        <v>0</v>
      </c>
      <c r="K6" s="31">
        <f t="shared" ref="K6:K58" si="0">SUM(C6:J6)</f>
        <v>3</v>
      </c>
      <c r="L6" s="31">
        <v>0</v>
      </c>
      <c r="M6" s="31">
        <f t="shared" ref="M6:M59" si="1">SUM(L6)</f>
        <v>0</v>
      </c>
      <c r="N6" s="31">
        <v>39</v>
      </c>
    </row>
    <row r="7" spans="1:14">
      <c r="A7" s="1" t="s">
        <v>1</v>
      </c>
      <c r="B7" s="22" t="s">
        <v>53</v>
      </c>
      <c r="C7" s="83">
        <v>0</v>
      </c>
      <c r="D7" s="41">
        <v>1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30">
        <v>0</v>
      </c>
      <c r="K7" s="31">
        <f t="shared" si="0"/>
        <v>1</v>
      </c>
      <c r="L7" s="31">
        <v>0</v>
      </c>
      <c r="M7" s="31">
        <f t="shared" si="1"/>
        <v>0</v>
      </c>
      <c r="N7" s="31">
        <v>31</v>
      </c>
    </row>
    <row r="8" spans="1:14">
      <c r="A8" s="1" t="s">
        <v>1</v>
      </c>
      <c r="B8" s="22" t="s">
        <v>54</v>
      </c>
      <c r="C8" s="83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30">
        <v>0</v>
      </c>
      <c r="K8" s="31">
        <f t="shared" si="0"/>
        <v>0</v>
      </c>
      <c r="L8" s="31">
        <v>0</v>
      </c>
      <c r="M8" s="31">
        <f t="shared" si="1"/>
        <v>0</v>
      </c>
      <c r="N8" s="31">
        <v>5</v>
      </c>
    </row>
    <row r="9" spans="1:14">
      <c r="A9" s="1" t="s">
        <v>1</v>
      </c>
      <c r="B9" s="22" t="s">
        <v>55</v>
      </c>
      <c r="C9" s="83">
        <v>0</v>
      </c>
      <c r="D9" s="41">
        <v>1</v>
      </c>
      <c r="E9" s="41">
        <v>2</v>
      </c>
      <c r="F9" s="41">
        <v>0</v>
      </c>
      <c r="G9" s="41">
        <v>1</v>
      </c>
      <c r="H9" s="41">
        <v>0</v>
      </c>
      <c r="I9" s="41">
        <v>0</v>
      </c>
      <c r="J9" s="30">
        <v>0</v>
      </c>
      <c r="K9" s="31">
        <f t="shared" si="0"/>
        <v>4</v>
      </c>
      <c r="L9" s="31">
        <v>1</v>
      </c>
      <c r="M9" s="31">
        <f t="shared" si="1"/>
        <v>1</v>
      </c>
      <c r="N9" s="31">
        <v>23</v>
      </c>
    </row>
    <row r="10" spans="1:14">
      <c r="A10" s="1" t="s">
        <v>1</v>
      </c>
      <c r="B10" s="22" t="s">
        <v>56</v>
      </c>
      <c r="C10" s="83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30">
        <v>0</v>
      </c>
      <c r="K10" s="31">
        <f t="shared" si="0"/>
        <v>0</v>
      </c>
      <c r="L10" s="31">
        <v>0</v>
      </c>
      <c r="M10" s="31">
        <f t="shared" si="1"/>
        <v>0</v>
      </c>
      <c r="N10" s="31">
        <v>12</v>
      </c>
    </row>
    <row r="11" spans="1:14">
      <c r="A11" s="1" t="s">
        <v>1</v>
      </c>
      <c r="B11" s="22" t="s">
        <v>57</v>
      </c>
      <c r="C11" s="84">
        <v>0</v>
      </c>
      <c r="D11" s="43">
        <v>0</v>
      </c>
      <c r="E11" s="43">
        <v>3.2916666666666665</v>
      </c>
      <c r="F11" s="43">
        <v>4.166666666666667</v>
      </c>
      <c r="G11" s="43">
        <v>2.9583333333333335</v>
      </c>
      <c r="H11" s="43">
        <v>2.7916666666666665</v>
      </c>
      <c r="I11" s="43">
        <v>4.666666666666667</v>
      </c>
      <c r="J11" s="32">
        <v>5.333333333333333</v>
      </c>
      <c r="K11" s="33">
        <f t="shared" si="0"/>
        <v>23.208333333333332</v>
      </c>
      <c r="L11" s="33">
        <v>0</v>
      </c>
      <c r="M11" s="33">
        <f t="shared" si="1"/>
        <v>0</v>
      </c>
      <c r="N11" s="33">
        <v>23.208333333333332</v>
      </c>
    </row>
    <row r="12" spans="1:14">
      <c r="A12" s="1" t="s">
        <v>1</v>
      </c>
      <c r="B12" s="22" t="s">
        <v>58</v>
      </c>
      <c r="C12" s="84">
        <v>0</v>
      </c>
      <c r="D12" s="43">
        <v>1.0833333333333333</v>
      </c>
      <c r="E12" s="43">
        <v>0</v>
      </c>
      <c r="F12" s="43">
        <v>0</v>
      </c>
      <c r="G12" s="43">
        <v>0</v>
      </c>
      <c r="H12" s="43">
        <v>4.1666666666666664E-2</v>
      </c>
      <c r="I12" s="43">
        <v>0</v>
      </c>
      <c r="J12" s="32">
        <v>0.25</v>
      </c>
      <c r="K12" s="33">
        <f t="shared" si="0"/>
        <v>1.375</v>
      </c>
      <c r="L12" s="33">
        <v>0</v>
      </c>
      <c r="M12" s="33">
        <f t="shared" si="1"/>
        <v>0</v>
      </c>
      <c r="N12" s="33">
        <v>25.291666666666668</v>
      </c>
    </row>
    <row r="13" spans="1:14">
      <c r="A13" s="1" t="s">
        <v>1</v>
      </c>
      <c r="B13" s="22" t="s">
        <v>59</v>
      </c>
      <c r="C13" s="84">
        <v>0</v>
      </c>
      <c r="D13" s="43">
        <v>0.75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32">
        <v>0</v>
      </c>
      <c r="K13" s="33">
        <f t="shared" si="0"/>
        <v>0.75</v>
      </c>
      <c r="L13" s="33">
        <v>0</v>
      </c>
      <c r="M13" s="33">
        <f t="shared" si="1"/>
        <v>0</v>
      </c>
      <c r="N13" s="33">
        <v>11.333333333333334</v>
      </c>
    </row>
    <row r="14" spans="1:14">
      <c r="A14" s="1" t="s">
        <v>1</v>
      </c>
      <c r="B14" s="22" t="s">
        <v>60</v>
      </c>
      <c r="C14" s="84">
        <v>0</v>
      </c>
      <c r="D14" s="43">
        <v>4.1666666666666664E-2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32">
        <v>0</v>
      </c>
      <c r="K14" s="33">
        <f t="shared" si="0"/>
        <v>4.1666666666666664E-2</v>
      </c>
      <c r="L14" s="33">
        <v>0</v>
      </c>
      <c r="M14" s="33">
        <f t="shared" si="1"/>
        <v>0</v>
      </c>
      <c r="N14" s="33">
        <v>10.291666666666666</v>
      </c>
    </row>
    <row r="15" spans="1:14">
      <c r="A15" s="1" t="s">
        <v>1</v>
      </c>
      <c r="B15" s="22" t="s">
        <v>61</v>
      </c>
      <c r="C15" s="84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32">
        <v>0</v>
      </c>
      <c r="K15" s="33">
        <f t="shared" si="0"/>
        <v>0</v>
      </c>
      <c r="L15" s="33">
        <v>0</v>
      </c>
      <c r="M15" s="33">
        <f t="shared" si="1"/>
        <v>0</v>
      </c>
      <c r="N15" s="33">
        <v>0.91666666666666663</v>
      </c>
    </row>
    <row r="16" spans="1:14">
      <c r="A16" s="1" t="s">
        <v>1</v>
      </c>
      <c r="B16" s="22" t="s">
        <v>62</v>
      </c>
      <c r="C16" s="84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32">
        <v>0</v>
      </c>
      <c r="K16" s="33">
        <f t="shared" si="0"/>
        <v>0</v>
      </c>
      <c r="L16" s="33">
        <v>0</v>
      </c>
      <c r="M16" s="33">
        <f t="shared" si="1"/>
        <v>0</v>
      </c>
      <c r="N16" s="33">
        <v>0.45833333333333331</v>
      </c>
    </row>
    <row r="17" spans="1:14">
      <c r="A17" s="1" t="s">
        <v>1</v>
      </c>
      <c r="B17" s="22" t="s">
        <v>63</v>
      </c>
      <c r="C17" s="84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32">
        <v>0</v>
      </c>
      <c r="K17" s="33">
        <f t="shared" si="0"/>
        <v>0</v>
      </c>
      <c r="L17" s="33">
        <v>0</v>
      </c>
      <c r="M17" s="33">
        <f t="shared" si="1"/>
        <v>0</v>
      </c>
      <c r="N17" s="33">
        <v>0.875</v>
      </c>
    </row>
    <row r="18" spans="1:14">
      <c r="A18" s="1" t="s">
        <v>1</v>
      </c>
      <c r="B18" s="22" t="s">
        <v>64</v>
      </c>
      <c r="C18" s="84">
        <v>0</v>
      </c>
      <c r="D18" s="43">
        <v>0</v>
      </c>
      <c r="E18" s="43">
        <v>0.5</v>
      </c>
      <c r="F18" s="43">
        <v>0</v>
      </c>
      <c r="G18" s="43">
        <v>0.29166666666666669</v>
      </c>
      <c r="H18" s="43">
        <v>0</v>
      </c>
      <c r="I18" s="43">
        <v>0</v>
      </c>
      <c r="J18" s="32">
        <v>0</v>
      </c>
      <c r="K18" s="33">
        <f t="shared" si="0"/>
        <v>0.79166666666666674</v>
      </c>
      <c r="L18" s="33">
        <v>0</v>
      </c>
      <c r="M18" s="33">
        <f t="shared" si="1"/>
        <v>0</v>
      </c>
      <c r="N18" s="33">
        <v>0.79166666666666663</v>
      </c>
    </row>
    <row r="19" spans="1:14">
      <c r="A19" s="1" t="s">
        <v>1</v>
      </c>
      <c r="B19" s="5" t="s">
        <v>65</v>
      </c>
      <c r="C19" s="85">
        <v>0.16666666666666666</v>
      </c>
      <c r="D19" s="45">
        <v>0</v>
      </c>
      <c r="E19" s="45">
        <v>0</v>
      </c>
      <c r="F19" s="45">
        <v>0</v>
      </c>
      <c r="G19" s="45">
        <v>2.0833333333333335</v>
      </c>
      <c r="H19" s="45">
        <v>1.0416666666666667</v>
      </c>
      <c r="I19" s="45">
        <v>3.3333333333333335</v>
      </c>
      <c r="J19" s="6">
        <v>0.20833333333333334</v>
      </c>
      <c r="K19" s="7">
        <f t="shared" si="0"/>
        <v>6.833333333333333</v>
      </c>
      <c r="L19" s="7">
        <v>0</v>
      </c>
      <c r="M19" s="7">
        <f t="shared" si="1"/>
        <v>0</v>
      </c>
      <c r="N19" s="7">
        <v>15.5</v>
      </c>
    </row>
    <row r="20" spans="1:14">
      <c r="A20" s="1" t="s">
        <v>1</v>
      </c>
      <c r="B20" s="14" t="s">
        <v>66</v>
      </c>
      <c r="C20" s="86">
        <v>14.5</v>
      </c>
      <c r="D20" s="47">
        <v>33.5</v>
      </c>
      <c r="E20" s="47">
        <v>12</v>
      </c>
      <c r="F20" s="47">
        <v>18</v>
      </c>
      <c r="G20" s="47">
        <v>1</v>
      </c>
      <c r="H20" s="47">
        <v>4</v>
      </c>
      <c r="I20" s="47">
        <v>26</v>
      </c>
      <c r="J20" s="15">
        <v>0</v>
      </c>
      <c r="K20" s="16"/>
      <c r="L20" s="47">
        <v>33</v>
      </c>
      <c r="M20" s="16"/>
      <c r="N20" s="16"/>
    </row>
    <row r="21" spans="1:14">
      <c r="A21" s="1" t="s">
        <v>1</v>
      </c>
      <c r="B21" s="19" t="s">
        <v>67</v>
      </c>
      <c r="C21" s="87">
        <v>370000</v>
      </c>
      <c r="D21" s="53">
        <v>285000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20">
        <v>0</v>
      </c>
      <c r="K21" s="21">
        <f t="shared" si="0"/>
        <v>655000</v>
      </c>
      <c r="L21" s="21">
        <v>390000</v>
      </c>
      <c r="M21" s="21">
        <f t="shared" si="1"/>
        <v>390000</v>
      </c>
      <c r="N21" s="21">
        <v>3854000</v>
      </c>
    </row>
    <row r="22" spans="1:14">
      <c r="A22" s="1" t="s">
        <v>1</v>
      </c>
      <c r="B22" s="22" t="s">
        <v>68</v>
      </c>
      <c r="C22" s="88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23">
        <v>0</v>
      </c>
      <c r="K22" s="24">
        <f t="shared" si="0"/>
        <v>0</v>
      </c>
      <c r="L22" s="24">
        <v>0</v>
      </c>
      <c r="M22" s="24">
        <f t="shared" si="1"/>
        <v>0</v>
      </c>
      <c r="N22" s="24">
        <v>50000</v>
      </c>
    </row>
    <row r="23" spans="1:14">
      <c r="A23" s="1" t="s">
        <v>1</v>
      </c>
      <c r="B23" s="22" t="s">
        <v>69</v>
      </c>
      <c r="C23" s="88">
        <v>0</v>
      </c>
      <c r="D23" s="55">
        <v>3000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23">
        <v>0</v>
      </c>
      <c r="K23" s="24">
        <f t="shared" si="0"/>
        <v>3000</v>
      </c>
      <c r="L23" s="24">
        <v>0</v>
      </c>
      <c r="M23" s="24">
        <f t="shared" si="1"/>
        <v>0</v>
      </c>
      <c r="N23" s="24">
        <v>6000</v>
      </c>
    </row>
    <row r="24" spans="1:14">
      <c r="A24" s="1" t="s">
        <v>1</v>
      </c>
      <c r="B24" s="22" t="s">
        <v>70</v>
      </c>
      <c r="C24" s="88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23">
        <v>0</v>
      </c>
      <c r="K24" s="24">
        <f t="shared" si="0"/>
        <v>0</v>
      </c>
      <c r="L24" s="24">
        <v>0</v>
      </c>
      <c r="M24" s="24">
        <f t="shared" si="1"/>
        <v>0</v>
      </c>
      <c r="N24" s="24">
        <v>167454</v>
      </c>
    </row>
    <row r="25" spans="1:14">
      <c r="A25" s="1" t="s">
        <v>1</v>
      </c>
      <c r="B25" s="22" t="s">
        <v>71</v>
      </c>
      <c r="C25" s="88">
        <v>0</v>
      </c>
      <c r="D25" s="55">
        <v>1000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23">
        <v>0</v>
      </c>
      <c r="K25" s="24">
        <f t="shared" si="0"/>
        <v>1000</v>
      </c>
      <c r="L25" s="24">
        <v>0</v>
      </c>
      <c r="M25" s="24">
        <f t="shared" si="1"/>
        <v>0</v>
      </c>
      <c r="N25" s="24">
        <v>1000</v>
      </c>
    </row>
    <row r="26" spans="1:14">
      <c r="A26" s="1" t="s">
        <v>1</v>
      </c>
      <c r="B26" s="22" t="s">
        <v>72</v>
      </c>
      <c r="C26" s="88">
        <v>0</v>
      </c>
      <c r="D26" s="55">
        <v>0</v>
      </c>
      <c r="E26" s="55">
        <v>81765</v>
      </c>
      <c r="F26" s="55">
        <v>107000</v>
      </c>
      <c r="G26" s="55">
        <v>69225</v>
      </c>
      <c r="H26" s="55">
        <v>65325</v>
      </c>
      <c r="I26" s="55">
        <v>109200</v>
      </c>
      <c r="J26" s="23">
        <v>124800</v>
      </c>
      <c r="K26" s="24">
        <f t="shared" si="0"/>
        <v>557315</v>
      </c>
      <c r="L26" s="24">
        <v>0</v>
      </c>
      <c r="M26" s="24">
        <f t="shared" si="1"/>
        <v>0</v>
      </c>
      <c r="N26" s="24">
        <v>557315</v>
      </c>
    </row>
    <row r="27" spans="1:14">
      <c r="A27" s="1" t="s">
        <v>1</v>
      </c>
      <c r="B27" s="22" t="s">
        <v>73</v>
      </c>
      <c r="C27" s="88">
        <v>0</v>
      </c>
      <c r="D27" s="55">
        <v>28000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23">
        <v>0</v>
      </c>
      <c r="K27" s="24">
        <f t="shared" si="0"/>
        <v>28000</v>
      </c>
      <c r="L27" s="24">
        <v>0</v>
      </c>
      <c r="M27" s="24">
        <f t="shared" si="1"/>
        <v>0</v>
      </c>
      <c r="N27" s="24">
        <v>361000</v>
      </c>
    </row>
    <row r="28" spans="1:14">
      <c r="A28" s="1" t="s">
        <v>1</v>
      </c>
      <c r="B28" s="22" t="s">
        <v>74</v>
      </c>
      <c r="C28" s="88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23">
        <v>0</v>
      </c>
      <c r="K28" s="24">
        <f t="shared" si="0"/>
        <v>0</v>
      </c>
      <c r="L28" s="24">
        <v>0</v>
      </c>
      <c r="M28" s="24">
        <f t="shared" si="1"/>
        <v>0</v>
      </c>
      <c r="N28" s="24">
        <v>43500</v>
      </c>
    </row>
    <row r="29" spans="1:14">
      <c r="A29" s="1" t="s">
        <v>1</v>
      </c>
      <c r="B29" s="22" t="s">
        <v>75</v>
      </c>
      <c r="C29" s="88">
        <v>0</v>
      </c>
      <c r="D29" s="55">
        <v>0</v>
      </c>
      <c r="E29" s="55">
        <v>12420</v>
      </c>
      <c r="F29" s="55">
        <v>0</v>
      </c>
      <c r="G29" s="55">
        <v>6825</v>
      </c>
      <c r="H29" s="55">
        <v>0</v>
      </c>
      <c r="I29" s="55">
        <v>0</v>
      </c>
      <c r="J29" s="23">
        <v>0</v>
      </c>
      <c r="K29" s="24">
        <f t="shared" si="0"/>
        <v>19245</v>
      </c>
      <c r="L29" s="24">
        <v>0</v>
      </c>
      <c r="M29" s="24">
        <f t="shared" si="1"/>
        <v>0</v>
      </c>
      <c r="N29" s="24">
        <v>19245</v>
      </c>
    </row>
    <row r="30" spans="1:14">
      <c r="A30" s="1" t="s">
        <v>1</v>
      </c>
      <c r="B30" s="22" t="s">
        <v>76</v>
      </c>
      <c r="C30" s="88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23">
        <v>0</v>
      </c>
      <c r="K30" s="24">
        <f t="shared" si="0"/>
        <v>0</v>
      </c>
      <c r="L30" s="24">
        <v>0</v>
      </c>
      <c r="M30" s="24">
        <f t="shared" si="1"/>
        <v>0</v>
      </c>
      <c r="N30" s="66">
        <v>-115116</v>
      </c>
    </row>
    <row r="31" spans="1:14">
      <c r="A31" s="1" t="s">
        <v>1</v>
      </c>
      <c r="B31" s="22" t="s">
        <v>58</v>
      </c>
      <c r="C31" s="88">
        <v>0</v>
      </c>
      <c r="D31" s="55">
        <v>56056</v>
      </c>
      <c r="E31" s="55">
        <v>0</v>
      </c>
      <c r="F31" s="55">
        <v>0</v>
      </c>
      <c r="G31" s="55">
        <v>0</v>
      </c>
      <c r="H31" s="55">
        <v>1219</v>
      </c>
      <c r="I31" s="55">
        <v>0</v>
      </c>
      <c r="J31" s="23">
        <v>7314</v>
      </c>
      <c r="K31" s="24">
        <f t="shared" si="0"/>
        <v>64589</v>
      </c>
      <c r="L31" s="24">
        <v>0</v>
      </c>
      <c r="M31" s="24">
        <f t="shared" si="1"/>
        <v>0</v>
      </c>
      <c r="N31" s="24">
        <v>898830</v>
      </c>
    </row>
    <row r="32" spans="1:14">
      <c r="A32" s="1" t="s">
        <v>1</v>
      </c>
      <c r="B32" s="22" t="s">
        <v>77</v>
      </c>
      <c r="C32" s="88">
        <v>0</v>
      </c>
      <c r="D32" s="55">
        <v>41922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23">
        <v>0</v>
      </c>
      <c r="K32" s="24">
        <f t="shared" si="0"/>
        <v>41922</v>
      </c>
      <c r="L32" s="24">
        <v>0</v>
      </c>
      <c r="M32" s="24">
        <f t="shared" si="1"/>
        <v>0</v>
      </c>
      <c r="N32" s="24">
        <v>443813</v>
      </c>
    </row>
    <row r="33" spans="1:14">
      <c r="A33" s="1" t="s">
        <v>1</v>
      </c>
      <c r="B33" s="22" t="s">
        <v>78</v>
      </c>
      <c r="C33" s="88">
        <v>0</v>
      </c>
      <c r="D33" s="55">
        <v>2329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23">
        <v>0</v>
      </c>
      <c r="K33" s="24">
        <f t="shared" si="0"/>
        <v>2329</v>
      </c>
      <c r="L33" s="24">
        <v>0</v>
      </c>
      <c r="M33" s="24">
        <f t="shared" si="1"/>
        <v>0</v>
      </c>
      <c r="N33" s="24">
        <v>388319</v>
      </c>
    </row>
    <row r="34" spans="1:14">
      <c r="A34" s="1" t="s">
        <v>1</v>
      </c>
      <c r="B34" s="22" t="s">
        <v>79</v>
      </c>
      <c r="C34" s="88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23">
        <v>0</v>
      </c>
      <c r="K34" s="24">
        <f t="shared" si="0"/>
        <v>0</v>
      </c>
      <c r="L34" s="24">
        <v>0</v>
      </c>
      <c r="M34" s="24">
        <f t="shared" si="1"/>
        <v>0</v>
      </c>
      <c r="N34" s="24">
        <v>9200</v>
      </c>
    </row>
    <row r="35" spans="1:14">
      <c r="A35" s="1" t="s">
        <v>1</v>
      </c>
      <c r="B35" s="22" t="s">
        <v>80</v>
      </c>
      <c r="C35" s="88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23">
        <v>0</v>
      </c>
      <c r="K35" s="24">
        <f t="shared" si="0"/>
        <v>0</v>
      </c>
      <c r="L35" s="24">
        <v>0</v>
      </c>
      <c r="M35" s="24">
        <f t="shared" si="1"/>
        <v>0</v>
      </c>
      <c r="N35" s="24">
        <v>4037</v>
      </c>
    </row>
    <row r="36" spans="1:14">
      <c r="A36" s="1" t="s">
        <v>1</v>
      </c>
      <c r="B36" s="22" t="s">
        <v>63</v>
      </c>
      <c r="C36" s="88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23">
        <v>0</v>
      </c>
      <c r="K36" s="24">
        <f t="shared" si="0"/>
        <v>0</v>
      </c>
      <c r="L36" s="24">
        <v>0</v>
      </c>
      <c r="M36" s="24">
        <f t="shared" si="1"/>
        <v>0</v>
      </c>
      <c r="N36" s="24">
        <v>5502</v>
      </c>
    </row>
    <row r="37" spans="1:14">
      <c r="A37" s="1" t="s">
        <v>1</v>
      </c>
      <c r="B37" s="5" t="s">
        <v>65</v>
      </c>
      <c r="C37" s="89">
        <v>2216</v>
      </c>
      <c r="D37" s="49">
        <v>0</v>
      </c>
      <c r="E37" s="49">
        <v>0</v>
      </c>
      <c r="F37" s="49">
        <v>0</v>
      </c>
      <c r="G37" s="49">
        <v>12200</v>
      </c>
      <c r="H37" s="49">
        <v>6100</v>
      </c>
      <c r="I37" s="49">
        <v>19520</v>
      </c>
      <c r="J37" s="8">
        <v>1220</v>
      </c>
      <c r="K37" s="9">
        <f t="shared" si="0"/>
        <v>41256</v>
      </c>
      <c r="L37" s="9">
        <v>0</v>
      </c>
      <c r="M37" s="9">
        <f t="shared" si="1"/>
        <v>0</v>
      </c>
      <c r="N37" s="9">
        <v>102002</v>
      </c>
    </row>
    <row r="38" spans="1:14">
      <c r="A38" s="1" t="s">
        <v>1</v>
      </c>
      <c r="B38" s="14" t="s">
        <v>81</v>
      </c>
      <c r="C38" s="90">
        <v>372216</v>
      </c>
      <c r="D38" s="51">
        <v>417307</v>
      </c>
      <c r="E38" s="51">
        <v>94185</v>
      </c>
      <c r="F38" s="51">
        <v>107000</v>
      </c>
      <c r="G38" s="51">
        <v>88250</v>
      </c>
      <c r="H38" s="51">
        <v>72644</v>
      </c>
      <c r="I38" s="51">
        <v>128720</v>
      </c>
      <c r="J38" s="17">
        <v>133334</v>
      </c>
      <c r="K38" s="18">
        <f t="shared" si="0"/>
        <v>1413656</v>
      </c>
      <c r="L38" s="18">
        <v>390000</v>
      </c>
      <c r="M38" s="18">
        <f t="shared" si="1"/>
        <v>390000</v>
      </c>
      <c r="N38" s="18">
        <v>6796101</v>
      </c>
    </row>
    <row r="39" spans="1:14">
      <c r="A39" s="1" t="s">
        <v>1</v>
      </c>
      <c r="B39" s="19" t="s">
        <v>82</v>
      </c>
      <c r="C39" s="87">
        <v>4053</v>
      </c>
      <c r="D39" s="53">
        <v>6322</v>
      </c>
      <c r="E39" s="53">
        <v>2810</v>
      </c>
      <c r="F39" s="53">
        <v>2162</v>
      </c>
      <c r="G39" s="53">
        <v>4323</v>
      </c>
      <c r="H39" s="53">
        <v>3161</v>
      </c>
      <c r="I39" s="53">
        <v>6052</v>
      </c>
      <c r="J39" s="20">
        <v>14292</v>
      </c>
      <c r="K39" s="21">
        <f t="shared" si="0"/>
        <v>43175</v>
      </c>
      <c r="L39" s="21">
        <v>7376</v>
      </c>
      <c r="M39" s="21">
        <f t="shared" si="1"/>
        <v>7376</v>
      </c>
      <c r="N39" s="21">
        <v>140275</v>
      </c>
    </row>
    <row r="40" spans="1:14">
      <c r="A40" s="1" t="s">
        <v>1</v>
      </c>
      <c r="B40" s="5" t="s">
        <v>83</v>
      </c>
      <c r="C40" s="89">
        <v>4053</v>
      </c>
      <c r="D40" s="49">
        <v>6322</v>
      </c>
      <c r="E40" s="49">
        <v>2810</v>
      </c>
      <c r="F40" s="49">
        <v>2162</v>
      </c>
      <c r="G40" s="49">
        <v>4323</v>
      </c>
      <c r="H40" s="49">
        <v>3161</v>
      </c>
      <c r="I40" s="49">
        <v>6052</v>
      </c>
      <c r="J40" s="8">
        <v>14292</v>
      </c>
      <c r="K40" s="9">
        <f t="shared" si="0"/>
        <v>43175</v>
      </c>
      <c r="L40" s="9">
        <v>7376</v>
      </c>
      <c r="M40" s="9">
        <f t="shared" si="1"/>
        <v>7376</v>
      </c>
      <c r="N40" s="9">
        <v>140275</v>
      </c>
    </row>
    <row r="41" spans="1:14">
      <c r="A41" s="1" t="s">
        <v>1</v>
      </c>
      <c r="B41" s="14" t="s">
        <v>84</v>
      </c>
      <c r="C41" s="90">
        <v>376269</v>
      </c>
      <c r="D41" s="51">
        <v>423629</v>
      </c>
      <c r="E41" s="51">
        <v>96995</v>
      </c>
      <c r="F41" s="51">
        <v>109162</v>
      </c>
      <c r="G41" s="51">
        <v>92573</v>
      </c>
      <c r="H41" s="51">
        <v>75805</v>
      </c>
      <c r="I41" s="51">
        <v>134772</v>
      </c>
      <c r="J41" s="17">
        <v>147626</v>
      </c>
      <c r="K41" s="18">
        <f t="shared" si="0"/>
        <v>1456831</v>
      </c>
      <c r="L41" s="18">
        <v>397376</v>
      </c>
      <c r="M41" s="18">
        <f t="shared" si="1"/>
        <v>397376</v>
      </c>
      <c r="N41" s="18">
        <v>6936376</v>
      </c>
    </row>
    <row r="42" spans="1:14">
      <c r="A42" s="1" t="s">
        <v>1</v>
      </c>
      <c r="B42" s="19" t="s">
        <v>85</v>
      </c>
      <c r="C42" s="87">
        <v>18360</v>
      </c>
      <c r="D42" s="53">
        <v>18360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20">
        <v>6834</v>
      </c>
      <c r="K42" s="21">
        <f t="shared" si="0"/>
        <v>43554</v>
      </c>
      <c r="L42" s="21">
        <v>19380</v>
      </c>
      <c r="M42" s="21">
        <f t="shared" si="1"/>
        <v>19380</v>
      </c>
      <c r="N42" s="21">
        <v>314874</v>
      </c>
    </row>
    <row r="43" spans="1:14">
      <c r="A43" s="1" t="s">
        <v>1</v>
      </c>
      <c r="B43" s="22" t="s">
        <v>86</v>
      </c>
      <c r="C43" s="88">
        <v>3240</v>
      </c>
      <c r="D43" s="55">
        <v>3240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23">
        <v>0</v>
      </c>
      <c r="K43" s="24">
        <f t="shared" si="0"/>
        <v>6480</v>
      </c>
      <c r="L43" s="24">
        <v>3420</v>
      </c>
      <c r="M43" s="24">
        <f t="shared" si="1"/>
        <v>3420</v>
      </c>
      <c r="N43" s="24">
        <v>54360</v>
      </c>
    </row>
    <row r="44" spans="1:14">
      <c r="A44" s="1" t="s">
        <v>1</v>
      </c>
      <c r="B44" s="22" t="s">
        <v>87</v>
      </c>
      <c r="C44" s="88">
        <v>32940</v>
      </c>
      <c r="D44" s="55">
        <v>32940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23">
        <v>12261</v>
      </c>
      <c r="K44" s="24">
        <f t="shared" si="0"/>
        <v>78141</v>
      </c>
      <c r="L44" s="24">
        <v>34770</v>
      </c>
      <c r="M44" s="24">
        <f t="shared" si="1"/>
        <v>34770</v>
      </c>
      <c r="N44" s="24">
        <v>564921</v>
      </c>
    </row>
    <row r="45" spans="1:14">
      <c r="A45" s="1" t="s">
        <v>1</v>
      </c>
      <c r="B45" s="5" t="s">
        <v>88</v>
      </c>
      <c r="C45" s="89">
        <v>2258</v>
      </c>
      <c r="D45" s="49">
        <v>2542</v>
      </c>
      <c r="E45" s="49">
        <v>582</v>
      </c>
      <c r="F45" s="49">
        <v>655</v>
      </c>
      <c r="G45" s="49">
        <v>0</v>
      </c>
      <c r="H45" s="49">
        <v>0</v>
      </c>
      <c r="I45" s="49">
        <v>809</v>
      </c>
      <c r="J45" s="8">
        <v>886</v>
      </c>
      <c r="K45" s="9">
        <f t="shared" si="0"/>
        <v>7732</v>
      </c>
      <c r="L45" s="9">
        <v>2384</v>
      </c>
      <c r="M45" s="9">
        <f t="shared" si="1"/>
        <v>2384</v>
      </c>
      <c r="N45" s="9">
        <v>40610</v>
      </c>
    </row>
    <row r="46" spans="1:14">
      <c r="A46" s="1" t="s">
        <v>1</v>
      </c>
      <c r="B46" s="14" t="s">
        <v>89</v>
      </c>
      <c r="C46" s="90">
        <v>56798</v>
      </c>
      <c r="D46" s="51">
        <v>57082</v>
      </c>
      <c r="E46" s="51">
        <v>582</v>
      </c>
      <c r="F46" s="51">
        <v>655</v>
      </c>
      <c r="G46" s="51">
        <v>0</v>
      </c>
      <c r="H46" s="51">
        <v>0</v>
      </c>
      <c r="I46" s="51">
        <v>809</v>
      </c>
      <c r="J46" s="17">
        <v>19981</v>
      </c>
      <c r="K46" s="18">
        <f t="shared" si="0"/>
        <v>135907</v>
      </c>
      <c r="L46" s="18">
        <v>59954</v>
      </c>
      <c r="M46" s="18">
        <f t="shared" si="1"/>
        <v>59954</v>
      </c>
      <c r="N46" s="18">
        <v>974765</v>
      </c>
    </row>
    <row r="47" spans="1:14">
      <c r="A47" s="1" t="s">
        <v>1</v>
      </c>
      <c r="B47" s="19" t="s">
        <v>90</v>
      </c>
      <c r="C47" s="87">
        <v>0</v>
      </c>
      <c r="D47" s="53">
        <v>0</v>
      </c>
      <c r="E47" s="53">
        <v>400</v>
      </c>
      <c r="F47" s="53">
        <v>0</v>
      </c>
      <c r="G47" s="53">
        <v>0</v>
      </c>
      <c r="H47" s="53">
        <v>0</v>
      </c>
      <c r="I47" s="53">
        <v>0</v>
      </c>
      <c r="J47" s="20">
        <v>1400</v>
      </c>
      <c r="K47" s="21">
        <f t="shared" si="0"/>
        <v>1800</v>
      </c>
      <c r="L47" s="21">
        <v>10830</v>
      </c>
      <c r="M47" s="21">
        <f t="shared" si="1"/>
        <v>10830</v>
      </c>
      <c r="N47" s="21">
        <v>88810</v>
      </c>
    </row>
    <row r="48" spans="1:14">
      <c r="A48" s="1" t="s">
        <v>1</v>
      </c>
      <c r="B48" s="22" t="s">
        <v>91</v>
      </c>
      <c r="C48" s="88">
        <v>0</v>
      </c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23">
        <v>0</v>
      </c>
      <c r="K48" s="24">
        <f t="shared" si="0"/>
        <v>0</v>
      </c>
      <c r="L48" s="24">
        <v>0</v>
      </c>
      <c r="M48" s="24">
        <f t="shared" si="1"/>
        <v>0</v>
      </c>
      <c r="N48" s="24">
        <v>16900</v>
      </c>
    </row>
    <row r="49" spans="1:14">
      <c r="A49" s="1" t="s">
        <v>1</v>
      </c>
      <c r="B49" s="22" t="s">
        <v>92</v>
      </c>
      <c r="C49" s="88">
        <v>18600</v>
      </c>
      <c r="D49" s="55">
        <v>17000</v>
      </c>
      <c r="E49" s="55">
        <v>0</v>
      </c>
      <c r="F49" s="55">
        <v>0</v>
      </c>
      <c r="G49" s="55">
        <v>0</v>
      </c>
      <c r="H49" s="55">
        <v>0</v>
      </c>
      <c r="I49" s="55">
        <v>2700</v>
      </c>
      <c r="J49" s="23">
        <v>10700</v>
      </c>
      <c r="K49" s="24">
        <f t="shared" si="0"/>
        <v>49000</v>
      </c>
      <c r="L49" s="24">
        <v>21700</v>
      </c>
      <c r="M49" s="24">
        <f t="shared" si="1"/>
        <v>21700</v>
      </c>
      <c r="N49" s="24">
        <v>248300</v>
      </c>
    </row>
    <row r="50" spans="1:14">
      <c r="A50" s="1" t="s">
        <v>1</v>
      </c>
      <c r="B50" s="5" t="s">
        <v>93</v>
      </c>
      <c r="C50" s="89">
        <v>0</v>
      </c>
      <c r="D50" s="49">
        <v>28000</v>
      </c>
      <c r="E50" s="49">
        <v>0</v>
      </c>
      <c r="F50" s="49">
        <v>0</v>
      </c>
      <c r="G50" s="49">
        <v>0</v>
      </c>
      <c r="H50" s="49">
        <v>0</v>
      </c>
      <c r="I50" s="49">
        <v>0</v>
      </c>
      <c r="J50" s="8">
        <v>0</v>
      </c>
      <c r="K50" s="9">
        <f t="shared" si="0"/>
        <v>28000</v>
      </c>
      <c r="L50" s="9">
        <v>0</v>
      </c>
      <c r="M50" s="9">
        <f t="shared" si="1"/>
        <v>0</v>
      </c>
      <c r="N50" s="9">
        <v>361000</v>
      </c>
    </row>
    <row r="51" spans="1:14">
      <c r="A51" s="1" t="s">
        <v>1</v>
      </c>
      <c r="B51" s="14" t="s">
        <v>94</v>
      </c>
      <c r="C51" s="90">
        <v>75398</v>
      </c>
      <c r="D51" s="51">
        <v>102082</v>
      </c>
      <c r="E51" s="51">
        <v>982</v>
      </c>
      <c r="F51" s="51">
        <v>655</v>
      </c>
      <c r="G51" s="51">
        <v>0</v>
      </c>
      <c r="H51" s="51">
        <v>0</v>
      </c>
      <c r="I51" s="51">
        <v>3509</v>
      </c>
      <c r="J51" s="17">
        <v>32081</v>
      </c>
      <c r="K51" s="18">
        <f t="shared" si="0"/>
        <v>214707</v>
      </c>
      <c r="L51" s="18">
        <v>92484</v>
      </c>
      <c r="M51" s="18">
        <f t="shared" si="1"/>
        <v>92484</v>
      </c>
      <c r="N51" s="18">
        <v>1689775</v>
      </c>
    </row>
    <row r="52" spans="1:14">
      <c r="A52" s="1" t="s">
        <v>1</v>
      </c>
      <c r="B52" s="14" t="s">
        <v>95</v>
      </c>
      <c r="C52" s="90">
        <v>315418</v>
      </c>
      <c r="D52" s="51">
        <v>360225</v>
      </c>
      <c r="E52" s="51">
        <v>93603</v>
      </c>
      <c r="F52" s="51">
        <v>106345</v>
      </c>
      <c r="G52" s="51">
        <v>88250</v>
      </c>
      <c r="H52" s="51">
        <v>72644</v>
      </c>
      <c r="I52" s="51">
        <v>127911</v>
      </c>
      <c r="J52" s="17">
        <v>113353</v>
      </c>
      <c r="K52" s="18">
        <f t="shared" si="0"/>
        <v>1277749</v>
      </c>
      <c r="L52" s="18">
        <v>330046</v>
      </c>
      <c r="M52" s="18">
        <f t="shared" si="1"/>
        <v>330046</v>
      </c>
      <c r="N52" s="18">
        <v>5821336</v>
      </c>
    </row>
    <row r="53" spans="1:14">
      <c r="A53" s="1" t="s">
        <v>1</v>
      </c>
      <c r="B53" s="14" t="s">
        <v>96</v>
      </c>
      <c r="C53" s="90">
        <v>300871</v>
      </c>
      <c r="D53" s="51">
        <v>321547</v>
      </c>
      <c r="E53" s="51">
        <v>96013</v>
      </c>
      <c r="F53" s="51">
        <v>108507</v>
      </c>
      <c r="G53" s="51">
        <v>92573</v>
      </c>
      <c r="H53" s="51">
        <v>75805</v>
      </c>
      <c r="I53" s="51">
        <v>131263</v>
      </c>
      <c r="J53" s="17">
        <v>115545</v>
      </c>
      <c r="K53" s="18">
        <f t="shared" si="0"/>
        <v>1242124</v>
      </c>
      <c r="L53" s="18">
        <v>304892</v>
      </c>
      <c r="M53" s="18">
        <f t="shared" si="1"/>
        <v>304892</v>
      </c>
      <c r="N53" s="18">
        <v>5246601</v>
      </c>
    </row>
    <row r="54" spans="1:14">
      <c r="A54" s="1" t="s">
        <v>1</v>
      </c>
      <c r="B54" s="14" t="s">
        <v>97</v>
      </c>
      <c r="C54" s="90">
        <v>300871</v>
      </c>
      <c r="D54" s="51">
        <v>321547</v>
      </c>
      <c r="E54" s="51">
        <v>96013</v>
      </c>
      <c r="F54" s="51">
        <v>108507</v>
      </c>
      <c r="G54" s="51">
        <v>92573</v>
      </c>
      <c r="H54" s="51">
        <v>75805</v>
      </c>
      <c r="I54" s="51">
        <v>131263</v>
      </c>
      <c r="J54" s="17">
        <v>115545</v>
      </c>
      <c r="K54" s="18">
        <f t="shared" si="0"/>
        <v>1242124</v>
      </c>
      <c r="L54" s="18">
        <v>304892</v>
      </c>
      <c r="M54" s="18">
        <f t="shared" si="1"/>
        <v>304892</v>
      </c>
      <c r="N54" s="18">
        <v>5246601</v>
      </c>
    </row>
    <row r="55" spans="1:14">
      <c r="A55" s="1" t="s">
        <v>1</v>
      </c>
      <c r="B55" s="14" t="s">
        <v>98</v>
      </c>
      <c r="C55" s="90">
        <v>0</v>
      </c>
      <c r="D55" s="51">
        <v>1</v>
      </c>
      <c r="E55" s="51">
        <v>0</v>
      </c>
      <c r="F55" s="51">
        <v>0</v>
      </c>
      <c r="G55" s="51">
        <v>1</v>
      </c>
      <c r="H55" s="51">
        <v>1</v>
      </c>
      <c r="I55" s="51">
        <v>1</v>
      </c>
      <c r="J55" s="17">
        <v>0</v>
      </c>
      <c r="K55" s="18"/>
      <c r="L55" s="18">
        <v>0</v>
      </c>
      <c r="M55" s="18"/>
      <c r="N55" s="18"/>
    </row>
    <row r="56" spans="1:14">
      <c r="A56" s="1" t="s">
        <v>1</v>
      </c>
      <c r="B56" s="14" t="s">
        <v>99</v>
      </c>
      <c r="C56" s="91" t="s">
        <v>100</v>
      </c>
      <c r="D56" s="57" t="s">
        <v>100</v>
      </c>
      <c r="E56" s="57" t="s">
        <v>100</v>
      </c>
      <c r="F56" s="57" t="s">
        <v>100</v>
      </c>
      <c r="G56" s="57" t="s">
        <v>100</v>
      </c>
      <c r="H56" s="57" t="s">
        <v>100</v>
      </c>
      <c r="I56" s="57" t="s">
        <v>100</v>
      </c>
      <c r="J56" s="25" t="s">
        <v>100</v>
      </c>
      <c r="K56" s="26"/>
      <c r="L56" s="26" t="s">
        <v>100</v>
      </c>
      <c r="M56" s="26"/>
      <c r="N56" s="26"/>
    </row>
    <row r="57" spans="1:14">
      <c r="A57" s="1" t="s">
        <v>1</v>
      </c>
      <c r="B57" s="14" t="s">
        <v>101</v>
      </c>
      <c r="C57" s="90">
        <v>9640</v>
      </c>
      <c r="D57" s="51">
        <v>10070</v>
      </c>
      <c r="E57" s="51">
        <v>400</v>
      </c>
      <c r="F57" s="51">
        <v>1050</v>
      </c>
      <c r="G57" s="51">
        <v>0</v>
      </c>
      <c r="H57" s="51">
        <v>0</v>
      </c>
      <c r="I57" s="51">
        <v>530</v>
      </c>
      <c r="J57" s="17">
        <v>1400</v>
      </c>
      <c r="K57" s="18">
        <f t="shared" si="0"/>
        <v>23090</v>
      </c>
      <c r="L57" s="18">
        <v>10830</v>
      </c>
      <c r="M57" s="18">
        <f t="shared" si="1"/>
        <v>10830</v>
      </c>
      <c r="N57" s="18">
        <v>139930</v>
      </c>
    </row>
    <row r="58" spans="1:14">
      <c r="A58" s="1" t="s">
        <v>1</v>
      </c>
      <c r="B58" s="14" t="s">
        <v>102</v>
      </c>
      <c r="C58" s="90">
        <v>9640</v>
      </c>
      <c r="D58" s="51">
        <v>10070</v>
      </c>
      <c r="E58" s="51">
        <v>0</v>
      </c>
      <c r="F58" s="51">
        <v>1050</v>
      </c>
      <c r="G58" s="51">
        <v>0</v>
      </c>
      <c r="H58" s="51">
        <v>0</v>
      </c>
      <c r="I58" s="51">
        <v>530</v>
      </c>
      <c r="J58" s="17">
        <v>0</v>
      </c>
      <c r="K58" s="18">
        <f t="shared" si="0"/>
        <v>21290</v>
      </c>
      <c r="L58" s="18">
        <v>0</v>
      </c>
      <c r="M58" s="18">
        <f t="shared" si="1"/>
        <v>0</v>
      </c>
      <c r="N58" s="18">
        <v>51120</v>
      </c>
    </row>
    <row r="59" spans="1:14" ht="19.5" thickBot="1">
      <c r="A59" s="1" t="s">
        <v>1</v>
      </c>
      <c r="B59" s="10" t="s">
        <v>103</v>
      </c>
      <c r="C59" s="92">
        <v>90000</v>
      </c>
      <c r="D59" s="59">
        <v>60000</v>
      </c>
      <c r="E59" s="59">
        <v>0</v>
      </c>
      <c r="F59" s="59">
        <v>30000</v>
      </c>
      <c r="G59" s="59">
        <v>60000</v>
      </c>
      <c r="H59" s="59">
        <v>60000</v>
      </c>
      <c r="I59" s="59">
        <v>60000</v>
      </c>
      <c r="J59" s="11">
        <v>0</v>
      </c>
      <c r="K59" s="12"/>
      <c r="L59" s="12">
        <v>30000</v>
      </c>
      <c r="M59" s="12">
        <f t="shared" si="1"/>
        <v>30000</v>
      </c>
      <c r="N59" s="12"/>
    </row>
  </sheetData>
  <phoneticPr fontId="3"/>
  <pageMargins left="0.11811023622047245" right="0.31496062992125984" top="0.35433070866141736" bottom="0.15748031496062992" header="0.11811023622047245" footer="0.11811023622047245"/>
  <pageSetup paperSize="12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56C5-0DB4-4119-889E-C214348B0C6F}">
  <sheetPr>
    <pageSetUpPr fitToPage="1"/>
  </sheetPr>
  <dimension ref="A1:R59"/>
  <sheetViews>
    <sheetView workbookViewId="0">
      <pane xSplit="2" ySplit="4" topLeftCell="I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8" width="11.5" style="2" customWidth="1"/>
    <col min="19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70" width="11.125" style="2" bestFit="1" customWidth="1"/>
    <col min="271" max="271" width="8" style="2" bestFit="1" customWidth="1"/>
    <col min="272" max="272" width="9.625" style="2" bestFit="1" customWidth="1"/>
    <col min="273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6" width="11.125" style="2" bestFit="1" customWidth="1"/>
    <col min="527" max="527" width="8" style="2" bestFit="1" customWidth="1"/>
    <col min="528" max="528" width="9.625" style="2" bestFit="1" customWidth="1"/>
    <col min="529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82" width="11.125" style="2" bestFit="1" customWidth="1"/>
    <col min="783" max="783" width="8" style="2" bestFit="1" customWidth="1"/>
    <col min="784" max="784" width="9.625" style="2" bestFit="1" customWidth="1"/>
    <col min="785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8" width="11.125" style="2" bestFit="1" customWidth="1"/>
    <col min="1039" max="1039" width="8" style="2" bestFit="1" customWidth="1"/>
    <col min="1040" max="1040" width="9.625" style="2" bestFit="1" customWidth="1"/>
    <col min="1041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4" width="11.125" style="2" bestFit="1" customWidth="1"/>
    <col min="1295" max="1295" width="8" style="2" bestFit="1" customWidth="1"/>
    <col min="1296" max="1296" width="9.625" style="2" bestFit="1" customWidth="1"/>
    <col min="1297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50" width="11.125" style="2" bestFit="1" customWidth="1"/>
    <col min="1551" max="1551" width="8" style="2" bestFit="1" customWidth="1"/>
    <col min="1552" max="1552" width="9.625" style="2" bestFit="1" customWidth="1"/>
    <col min="1553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6" width="11.125" style="2" bestFit="1" customWidth="1"/>
    <col min="1807" max="1807" width="8" style="2" bestFit="1" customWidth="1"/>
    <col min="1808" max="1808" width="9.625" style="2" bestFit="1" customWidth="1"/>
    <col min="1809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62" width="11.125" style="2" bestFit="1" customWidth="1"/>
    <col min="2063" max="2063" width="8" style="2" bestFit="1" customWidth="1"/>
    <col min="2064" max="2064" width="9.625" style="2" bestFit="1" customWidth="1"/>
    <col min="2065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8" width="11.125" style="2" bestFit="1" customWidth="1"/>
    <col min="2319" max="2319" width="8" style="2" bestFit="1" customWidth="1"/>
    <col min="2320" max="2320" width="9.625" style="2" bestFit="1" customWidth="1"/>
    <col min="2321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4" width="11.125" style="2" bestFit="1" customWidth="1"/>
    <col min="2575" max="2575" width="8" style="2" bestFit="1" customWidth="1"/>
    <col min="2576" max="2576" width="9.625" style="2" bestFit="1" customWidth="1"/>
    <col min="2577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30" width="11.125" style="2" bestFit="1" customWidth="1"/>
    <col min="2831" max="2831" width="8" style="2" bestFit="1" customWidth="1"/>
    <col min="2832" max="2832" width="9.625" style="2" bestFit="1" customWidth="1"/>
    <col min="2833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6" width="11.125" style="2" bestFit="1" customWidth="1"/>
    <col min="3087" max="3087" width="8" style="2" bestFit="1" customWidth="1"/>
    <col min="3088" max="3088" width="9.625" style="2" bestFit="1" customWidth="1"/>
    <col min="3089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42" width="11.125" style="2" bestFit="1" customWidth="1"/>
    <col min="3343" max="3343" width="8" style="2" bestFit="1" customWidth="1"/>
    <col min="3344" max="3344" width="9.625" style="2" bestFit="1" customWidth="1"/>
    <col min="3345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8" width="11.125" style="2" bestFit="1" customWidth="1"/>
    <col min="3599" max="3599" width="8" style="2" bestFit="1" customWidth="1"/>
    <col min="3600" max="3600" width="9.625" style="2" bestFit="1" customWidth="1"/>
    <col min="3601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4" width="11.125" style="2" bestFit="1" customWidth="1"/>
    <col min="3855" max="3855" width="8" style="2" bestFit="1" customWidth="1"/>
    <col min="3856" max="3856" width="9.625" style="2" bestFit="1" customWidth="1"/>
    <col min="3857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10" width="11.125" style="2" bestFit="1" customWidth="1"/>
    <col min="4111" max="4111" width="8" style="2" bestFit="1" customWidth="1"/>
    <col min="4112" max="4112" width="9.625" style="2" bestFit="1" customWidth="1"/>
    <col min="4113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6" width="11.125" style="2" bestFit="1" customWidth="1"/>
    <col min="4367" max="4367" width="8" style="2" bestFit="1" customWidth="1"/>
    <col min="4368" max="4368" width="9.625" style="2" bestFit="1" customWidth="1"/>
    <col min="4369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22" width="11.125" style="2" bestFit="1" customWidth="1"/>
    <col min="4623" max="4623" width="8" style="2" bestFit="1" customWidth="1"/>
    <col min="4624" max="4624" width="9.625" style="2" bestFit="1" customWidth="1"/>
    <col min="4625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8" width="11.125" style="2" bestFit="1" customWidth="1"/>
    <col min="4879" max="4879" width="8" style="2" bestFit="1" customWidth="1"/>
    <col min="4880" max="4880" width="9.625" style="2" bestFit="1" customWidth="1"/>
    <col min="4881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4" width="11.125" style="2" bestFit="1" customWidth="1"/>
    <col min="5135" max="5135" width="8" style="2" bestFit="1" customWidth="1"/>
    <col min="5136" max="5136" width="9.625" style="2" bestFit="1" customWidth="1"/>
    <col min="5137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90" width="11.125" style="2" bestFit="1" customWidth="1"/>
    <col min="5391" max="5391" width="8" style="2" bestFit="1" customWidth="1"/>
    <col min="5392" max="5392" width="9.625" style="2" bestFit="1" customWidth="1"/>
    <col min="5393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6" width="11.125" style="2" bestFit="1" customWidth="1"/>
    <col min="5647" max="5647" width="8" style="2" bestFit="1" customWidth="1"/>
    <col min="5648" max="5648" width="9.625" style="2" bestFit="1" customWidth="1"/>
    <col min="5649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902" width="11.125" style="2" bestFit="1" customWidth="1"/>
    <col min="5903" max="5903" width="8" style="2" bestFit="1" customWidth="1"/>
    <col min="5904" max="5904" width="9.625" style="2" bestFit="1" customWidth="1"/>
    <col min="5905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8" width="11.125" style="2" bestFit="1" customWidth="1"/>
    <col min="6159" max="6159" width="8" style="2" bestFit="1" customWidth="1"/>
    <col min="6160" max="6160" width="9.625" style="2" bestFit="1" customWidth="1"/>
    <col min="6161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4" width="11.125" style="2" bestFit="1" customWidth="1"/>
    <col min="6415" max="6415" width="8" style="2" bestFit="1" customWidth="1"/>
    <col min="6416" max="6416" width="9.625" style="2" bestFit="1" customWidth="1"/>
    <col min="6417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70" width="11.125" style="2" bestFit="1" customWidth="1"/>
    <col min="6671" max="6671" width="8" style="2" bestFit="1" customWidth="1"/>
    <col min="6672" max="6672" width="9.625" style="2" bestFit="1" customWidth="1"/>
    <col min="6673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6" width="11.125" style="2" bestFit="1" customWidth="1"/>
    <col min="6927" max="6927" width="8" style="2" bestFit="1" customWidth="1"/>
    <col min="6928" max="6928" width="9.625" style="2" bestFit="1" customWidth="1"/>
    <col min="6929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82" width="11.125" style="2" bestFit="1" customWidth="1"/>
    <col min="7183" max="7183" width="8" style="2" bestFit="1" customWidth="1"/>
    <col min="7184" max="7184" width="9.625" style="2" bestFit="1" customWidth="1"/>
    <col min="7185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8" width="11.125" style="2" bestFit="1" customWidth="1"/>
    <col min="7439" max="7439" width="8" style="2" bestFit="1" customWidth="1"/>
    <col min="7440" max="7440" width="9.625" style="2" bestFit="1" customWidth="1"/>
    <col min="7441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4" width="11.125" style="2" bestFit="1" customWidth="1"/>
    <col min="7695" max="7695" width="8" style="2" bestFit="1" customWidth="1"/>
    <col min="7696" max="7696" width="9.625" style="2" bestFit="1" customWidth="1"/>
    <col min="7697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50" width="11.125" style="2" bestFit="1" customWidth="1"/>
    <col min="7951" max="7951" width="8" style="2" bestFit="1" customWidth="1"/>
    <col min="7952" max="7952" width="9.625" style="2" bestFit="1" customWidth="1"/>
    <col min="7953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6" width="11.125" style="2" bestFit="1" customWidth="1"/>
    <col min="8207" max="8207" width="8" style="2" bestFit="1" customWidth="1"/>
    <col min="8208" max="8208" width="9.625" style="2" bestFit="1" customWidth="1"/>
    <col min="8209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62" width="11.125" style="2" bestFit="1" customWidth="1"/>
    <col min="8463" max="8463" width="8" style="2" bestFit="1" customWidth="1"/>
    <col min="8464" max="8464" width="9.625" style="2" bestFit="1" customWidth="1"/>
    <col min="8465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8" width="11.125" style="2" bestFit="1" customWidth="1"/>
    <col min="8719" max="8719" width="8" style="2" bestFit="1" customWidth="1"/>
    <col min="8720" max="8720" width="9.625" style="2" bestFit="1" customWidth="1"/>
    <col min="8721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4" width="11.125" style="2" bestFit="1" customWidth="1"/>
    <col min="8975" max="8975" width="8" style="2" bestFit="1" customWidth="1"/>
    <col min="8976" max="8976" width="9.625" style="2" bestFit="1" customWidth="1"/>
    <col min="8977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30" width="11.125" style="2" bestFit="1" customWidth="1"/>
    <col min="9231" max="9231" width="8" style="2" bestFit="1" customWidth="1"/>
    <col min="9232" max="9232" width="9.625" style="2" bestFit="1" customWidth="1"/>
    <col min="9233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6" width="11.125" style="2" bestFit="1" customWidth="1"/>
    <col min="9487" max="9487" width="8" style="2" bestFit="1" customWidth="1"/>
    <col min="9488" max="9488" width="9.625" style="2" bestFit="1" customWidth="1"/>
    <col min="9489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42" width="11.125" style="2" bestFit="1" customWidth="1"/>
    <col min="9743" max="9743" width="8" style="2" bestFit="1" customWidth="1"/>
    <col min="9744" max="9744" width="9.625" style="2" bestFit="1" customWidth="1"/>
    <col min="9745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8" width="11.125" style="2" bestFit="1" customWidth="1"/>
    <col min="9999" max="9999" width="8" style="2" bestFit="1" customWidth="1"/>
    <col min="10000" max="10000" width="9.625" style="2" bestFit="1" customWidth="1"/>
    <col min="10001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4" width="11.125" style="2" bestFit="1" customWidth="1"/>
    <col min="10255" max="10255" width="8" style="2" bestFit="1" customWidth="1"/>
    <col min="10256" max="10256" width="9.625" style="2" bestFit="1" customWidth="1"/>
    <col min="10257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10" width="11.125" style="2" bestFit="1" customWidth="1"/>
    <col min="10511" max="10511" width="8" style="2" bestFit="1" customWidth="1"/>
    <col min="10512" max="10512" width="9.625" style="2" bestFit="1" customWidth="1"/>
    <col min="10513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6" width="11.125" style="2" bestFit="1" customWidth="1"/>
    <col min="10767" max="10767" width="8" style="2" bestFit="1" customWidth="1"/>
    <col min="10768" max="10768" width="9.625" style="2" bestFit="1" customWidth="1"/>
    <col min="10769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22" width="11.125" style="2" bestFit="1" customWidth="1"/>
    <col min="11023" max="11023" width="8" style="2" bestFit="1" customWidth="1"/>
    <col min="11024" max="11024" width="9.625" style="2" bestFit="1" customWidth="1"/>
    <col min="11025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8" width="11.125" style="2" bestFit="1" customWidth="1"/>
    <col min="11279" max="11279" width="8" style="2" bestFit="1" customWidth="1"/>
    <col min="11280" max="11280" width="9.625" style="2" bestFit="1" customWidth="1"/>
    <col min="11281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4" width="11.125" style="2" bestFit="1" customWidth="1"/>
    <col min="11535" max="11535" width="8" style="2" bestFit="1" customWidth="1"/>
    <col min="11536" max="11536" width="9.625" style="2" bestFit="1" customWidth="1"/>
    <col min="11537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90" width="11.125" style="2" bestFit="1" customWidth="1"/>
    <col min="11791" max="11791" width="8" style="2" bestFit="1" customWidth="1"/>
    <col min="11792" max="11792" width="9.625" style="2" bestFit="1" customWidth="1"/>
    <col min="11793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6" width="11.125" style="2" bestFit="1" customWidth="1"/>
    <col min="12047" max="12047" width="8" style="2" bestFit="1" customWidth="1"/>
    <col min="12048" max="12048" width="9.625" style="2" bestFit="1" customWidth="1"/>
    <col min="12049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302" width="11.125" style="2" bestFit="1" customWidth="1"/>
    <col min="12303" max="12303" width="8" style="2" bestFit="1" customWidth="1"/>
    <col min="12304" max="12304" width="9.625" style="2" bestFit="1" customWidth="1"/>
    <col min="12305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8" width="11.125" style="2" bestFit="1" customWidth="1"/>
    <col min="12559" max="12559" width="8" style="2" bestFit="1" customWidth="1"/>
    <col min="12560" max="12560" width="9.625" style="2" bestFit="1" customWidth="1"/>
    <col min="12561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4" width="11.125" style="2" bestFit="1" customWidth="1"/>
    <col min="12815" max="12815" width="8" style="2" bestFit="1" customWidth="1"/>
    <col min="12816" max="12816" width="9.625" style="2" bestFit="1" customWidth="1"/>
    <col min="12817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70" width="11.125" style="2" bestFit="1" customWidth="1"/>
    <col min="13071" max="13071" width="8" style="2" bestFit="1" customWidth="1"/>
    <col min="13072" max="13072" width="9.625" style="2" bestFit="1" customWidth="1"/>
    <col min="13073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6" width="11.125" style="2" bestFit="1" customWidth="1"/>
    <col min="13327" max="13327" width="8" style="2" bestFit="1" customWidth="1"/>
    <col min="13328" max="13328" width="9.625" style="2" bestFit="1" customWidth="1"/>
    <col min="13329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82" width="11.125" style="2" bestFit="1" customWidth="1"/>
    <col min="13583" max="13583" width="8" style="2" bestFit="1" customWidth="1"/>
    <col min="13584" max="13584" width="9.625" style="2" bestFit="1" customWidth="1"/>
    <col min="13585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8" width="11.125" style="2" bestFit="1" customWidth="1"/>
    <col min="13839" max="13839" width="8" style="2" bestFit="1" customWidth="1"/>
    <col min="13840" max="13840" width="9.625" style="2" bestFit="1" customWidth="1"/>
    <col min="13841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4" width="11.125" style="2" bestFit="1" customWidth="1"/>
    <col min="14095" max="14095" width="8" style="2" bestFit="1" customWidth="1"/>
    <col min="14096" max="14096" width="9.625" style="2" bestFit="1" customWidth="1"/>
    <col min="14097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50" width="11.125" style="2" bestFit="1" customWidth="1"/>
    <col min="14351" max="14351" width="8" style="2" bestFit="1" customWidth="1"/>
    <col min="14352" max="14352" width="9.625" style="2" bestFit="1" customWidth="1"/>
    <col min="14353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6" width="11.125" style="2" bestFit="1" customWidth="1"/>
    <col min="14607" max="14607" width="8" style="2" bestFit="1" customWidth="1"/>
    <col min="14608" max="14608" width="9.625" style="2" bestFit="1" customWidth="1"/>
    <col min="14609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62" width="11.125" style="2" bestFit="1" customWidth="1"/>
    <col min="14863" max="14863" width="8" style="2" bestFit="1" customWidth="1"/>
    <col min="14864" max="14864" width="9.625" style="2" bestFit="1" customWidth="1"/>
    <col min="14865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8" width="11.125" style="2" bestFit="1" customWidth="1"/>
    <col min="15119" max="15119" width="8" style="2" bestFit="1" customWidth="1"/>
    <col min="15120" max="15120" width="9.625" style="2" bestFit="1" customWidth="1"/>
    <col min="15121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4" width="11.125" style="2" bestFit="1" customWidth="1"/>
    <col min="15375" max="15375" width="8" style="2" bestFit="1" customWidth="1"/>
    <col min="15376" max="15376" width="9.625" style="2" bestFit="1" customWidth="1"/>
    <col min="15377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30" width="11.125" style="2" bestFit="1" customWidth="1"/>
    <col min="15631" max="15631" width="8" style="2" bestFit="1" customWidth="1"/>
    <col min="15632" max="15632" width="9.625" style="2" bestFit="1" customWidth="1"/>
    <col min="15633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6" width="11.125" style="2" bestFit="1" customWidth="1"/>
    <col min="15887" max="15887" width="8" style="2" bestFit="1" customWidth="1"/>
    <col min="15888" max="15888" width="9.625" style="2" bestFit="1" customWidth="1"/>
    <col min="15889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42" width="11.125" style="2" bestFit="1" customWidth="1"/>
    <col min="16143" max="16143" width="8" style="2" bestFit="1" customWidth="1"/>
    <col min="16144" max="16144" width="9.625" style="2" bestFit="1" customWidth="1"/>
    <col min="16145" max="16384" width="9" style="2"/>
  </cols>
  <sheetData>
    <row r="1" spans="1:18">
      <c r="A1" s="1" t="s">
        <v>0</v>
      </c>
    </row>
    <row r="2" spans="1:18" ht="19.5" thickBot="1">
      <c r="A2" s="1" t="s">
        <v>104</v>
      </c>
    </row>
    <row r="3" spans="1:18">
      <c r="B3" s="13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15</v>
      </c>
      <c r="N3" s="35" t="s">
        <v>16</v>
      </c>
      <c r="O3" s="35" t="s">
        <v>17</v>
      </c>
      <c r="P3" s="35" t="s">
        <v>18</v>
      </c>
      <c r="Q3" s="67" t="s">
        <v>19</v>
      </c>
      <c r="R3" s="61" t="s">
        <v>109</v>
      </c>
    </row>
    <row r="4" spans="1:18" ht="19.5" thickBot="1">
      <c r="B4" s="4" t="s">
        <v>26</v>
      </c>
      <c r="C4" s="36" t="s">
        <v>27</v>
      </c>
      <c r="D4" s="37" t="s">
        <v>28</v>
      </c>
      <c r="E4" s="37" t="s">
        <v>30</v>
      </c>
      <c r="F4" s="37" t="s">
        <v>31</v>
      </c>
      <c r="G4" s="37" t="s">
        <v>32</v>
      </c>
      <c r="H4" s="37" t="s">
        <v>33</v>
      </c>
      <c r="I4" s="37" t="s">
        <v>34</v>
      </c>
      <c r="J4" s="37" t="s">
        <v>35</v>
      </c>
      <c r="K4" s="37" t="s">
        <v>36</v>
      </c>
      <c r="L4" s="37" t="s">
        <v>37</v>
      </c>
      <c r="M4" s="37" t="s">
        <v>39</v>
      </c>
      <c r="N4" s="37" t="s">
        <v>40</v>
      </c>
      <c r="O4" s="37" t="s">
        <v>41</v>
      </c>
      <c r="P4" s="37" t="s">
        <v>42</v>
      </c>
      <c r="Q4" s="68" t="s">
        <v>43</v>
      </c>
      <c r="R4" s="62" t="s">
        <v>110</v>
      </c>
    </row>
    <row r="5" spans="1:18">
      <c r="A5" s="1" t="s">
        <v>1</v>
      </c>
      <c r="B5" s="27" t="s">
        <v>51</v>
      </c>
      <c r="C5" s="38">
        <v>21</v>
      </c>
      <c r="D5" s="39">
        <v>20</v>
      </c>
      <c r="E5" s="39">
        <v>21</v>
      </c>
      <c r="F5" s="39">
        <v>20</v>
      </c>
      <c r="G5" s="39">
        <v>11</v>
      </c>
      <c r="H5" s="39">
        <v>22</v>
      </c>
      <c r="I5" s="39">
        <v>22</v>
      </c>
      <c r="J5" s="39">
        <v>22</v>
      </c>
      <c r="K5" s="39">
        <v>19</v>
      </c>
      <c r="L5" s="39">
        <v>20</v>
      </c>
      <c r="M5" s="39">
        <v>23</v>
      </c>
      <c r="N5" s="39">
        <v>23</v>
      </c>
      <c r="O5" s="39">
        <v>21</v>
      </c>
      <c r="P5" s="39">
        <v>22</v>
      </c>
      <c r="Q5" s="69">
        <v>23</v>
      </c>
      <c r="R5" s="29">
        <f>SUM(C5:Q5)</f>
        <v>310</v>
      </c>
    </row>
    <row r="6" spans="1:18">
      <c r="A6" s="1" t="s">
        <v>1</v>
      </c>
      <c r="B6" s="22" t="s">
        <v>52</v>
      </c>
      <c r="C6" s="40">
        <v>2</v>
      </c>
      <c r="D6" s="41">
        <v>4</v>
      </c>
      <c r="E6" s="41">
        <v>3</v>
      </c>
      <c r="F6" s="41">
        <v>1</v>
      </c>
      <c r="G6" s="41">
        <v>2</v>
      </c>
      <c r="H6" s="41">
        <v>2</v>
      </c>
      <c r="I6" s="41">
        <v>3</v>
      </c>
      <c r="J6" s="41">
        <v>2</v>
      </c>
      <c r="K6" s="41">
        <v>3</v>
      </c>
      <c r="L6" s="41">
        <v>4</v>
      </c>
      <c r="M6" s="41">
        <v>3</v>
      </c>
      <c r="N6" s="41">
        <v>1</v>
      </c>
      <c r="O6" s="41">
        <v>2</v>
      </c>
      <c r="P6" s="41">
        <v>1</v>
      </c>
      <c r="Q6" s="70">
        <v>3</v>
      </c>
      <c r="R6" s="31">
        <f t="shared" ref="R6:R58" si="0">SUM(C6:Q6)</f>
        <v>36</v>
      </c>
    </row>
    <row r="7" spans="1:18">
      <c r="A7" s="1" t="s">
        <v>1</v>
      </c>
      <c r="B7" s="22" t="s">
        <v>53</v>
      </c>
      <c r="C7" s="40">
        <v>2</v>
      </c>
      <c r="D7" s="41">
        <v>2</v>
      </c>
      <c r="E7" s="41">
        <v>1</v>
      </c>
      <c r="F7" s="41">
        <v>4</v>
      </c>
      <c r="G7" s="41">
        <v>0</v>
      </c>
      <c r="H7" s="41">
        <v>3</v>
      </c>
      <c r="I7" s="41">
        <v>1</v>
      </c>
      <c r="J7" s="41">
        <v>2</v>
      </c>
      <c r="K7" s="41">
        <v>4</v>
      </c>
      <c r="L7" s="41">
        <v>2</v>
      </c>
      <c r="M7" s="41">
        <v>1</v>
      </c>
      <c r="N7" s="41">
        <v>1</v>
      </c>
      <c r="O7" s="41">
        <v>3</v>
      </c>
      <c r="P7" s="41">
        <v>3</v>
      </c>
      <c r="Q7" s="70">
        <v>1</v>
      </c>
      <c r="R7" s="31">
        <f t="shared" si="0"/>
        <v>30</v>
      </c>
    </row>
    <row r="8" spans="1:18">
      <c r="A8" s="1" t="s">
        <v>1</v>
      </c>
      <c r="B8" s="22" t="s">
        <v>54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3</v>
      </c>
      <c r="L8" s="41">
        <v>1</v>
      </c>
      <c r="M8" s="41">
        <v>0</v>
      </c>
      <c r="N8" s="41">
        <v>0</v>
      </c>
      <c r="O8" s="41">
        <v>1</v>
      </c>
      <c r="P8" s="41">
        <v>0</v>
      </c>
      <c r="Q8" s="70">
        <v>0</v>
      </c>
      <c r="R8" s="31">
        <f t="shared" si="0"/>
        <v>5</v>
      </c>
    </row>
    <row r="9" spans="1:18">
      <c r="A9" s="1" t="s">
        <v>1</v>
      </c>
      <c r="B9" s="22" t="s">
        <v>55</v>
      </c>
      <c r="C9" s="40">
        <v>2</v>
      </c>
      <c r="D9" s="41">
        <v>3</v>
      </c>
      <c r="E9" s="41">
        <v>2</v>
      </c>
      <c r="F9" s="41">
        <v>3</v>
      </c>
      <c r="G9" s="41">
        <v>0</v>
      </c>
      <c r="H9" s="41">
        <v>1</v>
      </c>
      <c r="I9" s="41">
        <v>1</v>
      </c>
      <c r="J9" s="41">
        <v>1</v>
      </c>
      <c r="K9" s="41">
        <v>1</v>
      </c>
      <c r="L9" s="41">
        <v>2</v>
      </c>
      <c r="M9" s="41">
        <v>0</v>
      </c>
      <c r="N9" s="41">
        <v>0</v>
      </c>
      <c r="O9" s="41">
        <v>1</v>
      </c>
      <c r="P9" s="41">
        <v>1</v>
      </c>
      <c r="Q9" s="70">
        <v>0</v>
      </c>
      <c r="R9" s="31">
        <f t="shared" si="0"/>
        <v>18</v>
      </c>
    </row>
    <row r="10" spans="1:18">
      <c r="A10" s="1" t="s">
        <v>1</v>
      </c>
      <c r="B10" s="22" t="s">
        <v>56</v>
      </c>
      <c r="C10" s="40">
        <v>0</v>
      </c>
      <c r="D10" s="41">
        <v>0</v>
      </c>
      <c r="E10" s="41">
        <v>0</v>
      </c>
      <c r="F10" s="41">
        <v>0</v>
      </c>
      <c r="G10" s="41">
        <v>12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70">
        <v>0</v>
      </c>
      <c r="R10" s="31">
        <f t="shared" si="0"/>
        <v>12</v>
      </c>
    </row>
    <row r="11" spans="1:18">
      <c r="A11" s="1" t="s">
        <v>1</v>
      </c>
      <c r="B11" s="22" t="s">
        <v>57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71">
        <v>0</v>
      </c>
      <c r="R11" s="33">
        <f t="shared" si="0"/>
        <v>0</v>
      </c>
    </row>
    <row r="12" spans="1:18">
      <c r="A12" s="1" t="s">
        <v>1</v>
      </c>
      <c r="B12" s="22" t="s">
        <v>58</v>
      </c>
      <c r="C12" s="42">
        <v>0.875</v>
      </c>
      <c r="D12" s="43">
        <v>1.2916666666666667</v>
      </c>
      <c r="E12" s="43">
        <v>2.0833333333333335</v>
      </c>
      <c r="F12" s="43">
        <v>1.9166666666666665</v>
      </c>
      <c r="G12" s="43">
        <v>1.5</v>
      </c>
      <c r="H12" s="43">
        <v>1.7916666666666665</v>
      </c>
      <c r="I12" s="43">
        <v>1.4166666666666667</v>
      </c>
      <c r="J12" s="43">
        <v>1.875</v>
      </c>
      <c r="K12" s="43">
        <v>2.0416666666666665</v>
      </c>
      <c r="L12" s="43">
        <v>1.125</v>
      </c>
      <c r="M12" s="43">
        <v>1.375</v>
      </c>
      <c r="N12" s="43">
        <v>1.2916666666666667</v>
      </c>
      <c r="O12" s="43">
        <v>3</v>
      </c>
      <c r="P12" s="43">
        <v>1.7916666666666665</v>
      </c>
      <c r="Q12" s="71">
        <v>0.54166666666666663</v>
      </c>
      <c r="R12" s="33">
        <f t="shared" si="0"/>
        <v>23.916666666666668</v>
      </c>
    </row>
    <row r="13" spans="1:18">
      <c r="A13" s="1" t="s">
        <v>1</v>
      </c>
      <c r="B13" s="22" t="s">
        <v>59</v>
      </c>
      <c r="C13" s="42">
        <v>0.45833333333333331</v>
      </c>
      <c r="D13" s="43">
        <v>1.375</v>
      </c>
      <c r="E13" s="43">
        <v>1.4166666666666667</v>
      </c>
      <c r="F13" s="43">
        <v>0.20833333333333334</v>
      </c>
      <c r="G13" s="43">
        <v>0.70833333333333337</v>
      </c>
      <c r="H13" s="43">
        <v>0.875</v>
      </c>
      <c r="I13" s="43">
        <v>1.0416666666666667</v>
      </c>
      <c r="J13" s="43">
        <v>0.58333333333333337</v>
      </c>
      <c r="K13" s="43">
        <v>0</v>
      </c>
      <c r="L13" s="43">
        <v>1.2916666666666667</v>
      </c>
      <c r="M13" s="43">
        <v>0.875</v>
      </c>
      <c r="N13" s="43">
        <v>0.125</v>
      </c>
      <c r="O13" s="43">
        <v>0.625</v>
      </c>
      <c r="P13" s="43">
        <v>0.125</v>
      </c>
      <c r="Q13" s="71">
        <v>0.875</v>
      </c>
      <c r="R13" s="33">
        <f t="shared" si="0"/>
        <v>10.583333333333334</v>
      </c>
    </row>
    <row r="14" spans="1:18">
      <c r="A14" s="1" t="s">
        <v>1</v>
      </c>
      <c r="B14" s="22" t="s">
        <v>60</v>
      </c>
      <c r="C14" s="42">
        <v>0.79166666666666663</v>
      </c>
      <c r="D14" s="43">
        <v>0.875</v>
      </c>
      <c r="E14" s="43">
        <v>0.45833333333333331</v>
      </c>
      <c r="F14" s="43">
        <v>1.3333333333333333</v>
      </c>
      <c r="G14" s="43">
        <v>0</v>
      </c>
      <c r="H14" s="43">
        <v>0.75</v>
      </c>
      <c r="I14" s="43">
        <v>0.29166666666666669</v>
      </c>
      <c r="J14" s="43">
        <v>0.83333333333333337</v>
      </c>
      <c r="K14" s="43">
        <v>1.25</v>
      </c>
      <c r="L14" s="43">
        <v>0.875</v>
      </c>
      <c r="M14" s="43">
        <v>0.29166666666666669</v>
      </c>
      <c r="N14" s="43">
        <v>0.41666666666666669</v>
      </c>
      <c r="O14" s="43">
        <v>0.79166666666666663</v>
      </c>
      <c r="P14" s="43">
        <v>0.95833333333333337</v>
      </c>
      <c r="Q14" s="71">
        <v>0.33333333333333331</v>
      </c>
      <c r="R14" s="33">
        <f t="shared" si="0"/>
        <v>10.25</v>
      </c>
    </row>
    <row r="15" spans="1:18">
      <c r="A15" s="1" t="s">
        <v>1</v>
      </c>
      <c r="B15" s="22" t="s">
        <v>61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0.75</v>
      </c>
      <c r="L15" s="43">
        <v>0.16666666666666666</v>
      </c>
      <c r="M15" s="43">
        <v>0</v>
      </c>
      <c r="N15" s="43">
        <v>0</v>
      </c>
      <c r="O15" s="43">
        <v>0</v>
      </c>
      <c r="P15" s="43">
        <v>0</v>
      </c>
      <c r="Q15" s="71">
        <v>0</v>
      </c>
      <c r="R15" s="33">
        <f t="shared" si="0"/>
        <v>0.91666666666666663</v>
      </c>
    </row>
    <row r="16" spans="1:18">
      <c r="A16" s="1" t="s">
        <v>1</v>
      </c>
      <c r="B16" s="22" t="s">
        <v>62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0.45833333333333331</v>
      </c>
      <c r="P16" s="43">
        <v>0</v>
      </c>
      <c r="Q16" s="71">
        <v>0</v>
      </c>
      <c r="R16" s="33">
        <f t="shared" si="0"/>
        <v>0.45833333333333331</v>
      </c>
    </row>
    <row r="17" spans="1:18">
      <c r="A17" s="1" t="s">
        <v>1</v>
      </c>
      <c r="B17" s="22" t="s">
        <v>63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0.875</v>
      </c>
      <c r="P17" s="43">
        <v>0</v>
      </c>
      <c r="Q17" s="71">
        <v>0</v>
      </c>
      <c r="R17" s="33">
        <f t="shared" si="0"/>
        <v>0.875</v>
      </c>
    </row>
    <row r="18" spans="1:18">
      <c r="A18" s="1" t="s">
        <v>1</v>
      </c>
      <c r="B18" s="22" t="s">
        <v>64</v>
      </c>
      <c r="C18" s="42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71">
        <v>0</v>
      </c>
      <c r="R18" s="33">
        <f t="shared" si="0"/>
        <v>0</v>
      </c>
    </row>
    <row r="19" spans="1:18">
      <c r="A19" s="1" t="s">
        <v>1</v>
      </c>
      <c r="B19" s="5" t="s">
        <v>65</v>
      </c>
      <c r="C19" s="44">
        <v>0.20833333333333334</v>
      </c>
      <c r="D19" s="45">
        <v>0.125</v>
      </c>
      <c r="E19" s="45">
        <v>0.54166666666666663</v>
      </c>
      <c r="F19" s="45">
        <v>0.625</v>
      </c>
      <c r="G19" s="45">
        <v>0.70833333333333337</v>
      </c>
      <c r="H19" s="45">
        <v>0.45833333333333331</v>
      </c>
      <c r="I19" s="45">
        <v>0.125</v>
      </c>
      <c r="J19" s="45">
        <v>0.33333333333333331</v>
      </c>
      <c r="K19" s="45">
        <v>1.625</v>
      </c>
      <c r="L19" s="45">
        <v>1.4166666666666667</v>
      </c>
      <c r="M19" s="45">
        <v>0.45833333333333331</v>
      </c>
      <c r="N19" s="45">
        <v>0.20833333333333334</v>
      </c>
      <c r="O19" s="45">
        <v>1.4583333333333333</v>
      </c>
      <c r="P19" s="45">
        <v>0.29166666666666669</v>
      </c>
      <c r="Q19" s="72">
        <v>8.3333333333333329E-2</v>
      </c>
      <c r="R19" s="7">
        <f t="shared" si="0"/>
        <v>8.6666666666666661</v>
      </c>
    </row>
    <row r="20" spans="1:18">
      <c r="A20" s="1" t="s">
        <v>1</v>
      </c>
      <c r="B20" s="14" t="s">
        <v>66</v>
      </c>
      <c r="C20" s="46">
        <v>7</v>
      </c>
      <c r="D20" s="47">
        <v>5</v>
      </c>
      <c r="E20" s="47">
        <v>21.5</v>
      </c>
      <c r="F20" s="47">
        <v>24</v>
      </c>
      <c r="G20" s="47">
        <v>19</v>
      </c>
      <c r="H20" s="47">
        <v>11</v>
      </c>
      <c r="I20" s="47">
        <v>23</v>
      </c>
      <c r="J20" s="47">
        <v>17.5</v>
      </c>
      <c r="K20" s="47">
        <v>26</v>
      </c>
      <c r="L20" s="47">
        <v>31</v>
      </c>
      <c r="M20" s="47">
        <v>14</v>
      </c>
      <c r="N20" s="47">
        <v>21.5</v>
      </c>
      <c r="O20" s="47">
        <v>3</v>
      </c>
      <c r="P20" s="47">
        <v>6</v>
      </c>
      <c r="Q20" s="73">
        <v>14</v>
      </c>
      <c r="R20" s="16">
        <f t="shared" si="0"/>
        <v>243.5</v>
      </c>
    </row>
    <row r="21" spans="1:18">
      <c r="A21" s="1" t="s">
        <v>1</v>
      </c>
      <c r="B21" s="19" t="s">
        <v>67</v>
      </c>
      <c r="C21" s="52">
        <v>182000</v>
      </c>
      <c r="D21" s="53">
        <v>192000</v>
      </c>
      <c r="E21" s="53">
        <v>197000</v>
      </c>
      <c r="F21" s="53">
        <v>197000</v>
      </c>
      <c r="G21" s="53">
        <v>197000</v>
      </c>
      <c r="H21" s="53">
        <v>182000</v>
      </c>
      <c r="I21" s="53">
        <v>187000</v>
      </c>
      <c r="J21" s="53">
        <v>182000</v>
      </c>
      <c r="K21" s="53">
        <v>197000</v>
      </c>
      <c r="L21" s="53">
        <v>192000</v>
      </c>
      <c r="M21" s="53">
        <v>192000</v>
      </c>
      <c r="N21" s="53">
        <v>182000</v>
      </c>
      <c r="O21" s="53">
        <v>175000</v>
      </c>
      <c r="P21" s="53">
        <v>175000</v>
      </c>
      <c r="Q21" s="74">
        <v>180000</v>
      </c>
      <c r="R21" s="21">
        <f t="shared" si="0"/>
        <v>2809000</v>
      </c>
    </row>
    <row r="22" spans="1:18">
      <c r="A22" s="1" t="s">
        <v>1</v>
      </c>
      <c r="B22" s="22" t="s">
        <v>68</v>
      </c>
      <c r="C22" s="54">
        <v>0</v>
      </c>
      <c r="D22" s="55">
        <v>0</v>
      </c>
      <c r="E22" s="55">
        <v>20000</v>
      </c>
      <c r="F22" s="55">
        <v>20000</v>
      </c>
      <c r="G22" s="55">
        <v>0</v>
      </c>
      <c r="H22" s="55">
        <v>0</v>
      </c>
      <c r="I22" s="55">
        <v>5000</v>
      </c>
      <c r="J22" s="55">
        <v>0</v>
      </c>
      <c r="K22" s="55">
        <v>0</v>
      </c>
      <c r="L22" s="55">
        <v>0</v>
      </c>
      <c r="M22" s="55">
        <v>5000</v>
      </c>
      <c r="N22" s="55">
        <v>0</v>
      </c>
      <c r="O22" s="55">
        <v>0</v>
      </c>
      <c r="P22" s="55">
        <v>0</v>
      </c>
      <c r="Q22" s="75">
        <v>0</v>
      </c>
      <c r="R22" s="24">
        <f t="shared" si="0"/>
        <v>50000</v>
      </c>
    </row>
    <row r="23" spans="1:18">
      <c r="A23" s="1" t="s">
        <v>1</v>
      </c>
      <c r="B23" s="22" t="s">
        <v>69</v>
      </c>
      <c r="C23" s="54">
        <v>0</v>
      </c>
      <c r="D23" s="55">
        <v>0</v>
      </c>
      <c r="E23" s="55">
        <v>3000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75">
        <v>0</v>
      </c>
      <c r="R23" s="24">
        <f t="shared" si="0"/>
        <v>3000</v>
      </c>
    </row>
    <row r="24" spans="1:18">
      <c r="A24" s="1" t="s">
        <v>1</v>
      </c>
      <c r="B24" s="22" t="s">
        <v>70</v>
      </c>
      <c r="C24" s="54">
        <v>0</v>
      </c>
      <c r="D24" s="55">
        <v>0</v>
      </c>
      <c r="E24" s="55">
        <v>0</v>
      </c>
      <c r="F24" s="55">
        <v>11091</v>
      </c>
      <c r="G24" s="55">
        <v>10018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66340</v>
      </c>
      <c r="N24" s="55">
        <v>24284</v>
      </c>
      <c r="O24" s="55">
        <v>0</v>
      </c>
      <c r="P24" s="55">
        <v>0</v>
      </c>
      <c r="Q24" s="75">
        <v>55721</v>
      </c>
      <c r="R24" s="24">
        <f t="shared" si="0"/>
        <v>167454</v>
      </c>
    </row>
    <row r="25" spans="1:18">
      <c r="A25" s="1" t="s">
        <v>1</v>
      </c>
      <c r="B25" s="22" t="s">
        <v>71</v>
      </c>
      <c r="C25" s="54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75">
        <v>0</v>
      </c>
      <c r="R25" s="24">
        <f t="shared" si="0"/>
        <v>0</v>
      </c>
    </row>
    <row r="26" spans="1:18">
      <c r="A26" s="1" t="s">
        <v>1</v>
      </c>
      <c r="B26" s="22" t="s">
        <v>72</v>
      </c>
      <c r="C26" s="54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75">
        <v>0</v>
      </c>
      <c r="R26" s="24">
        <f t="shared" si="0"/>
        <v>0</v>
      </c>
    </row>
    <row r="27" spans="1:18">
      <c r="A27" s="1" t="s">
        <v>1</v>
      </c>
      <c r="B27" s="22" t="s">
        <v>73</v>
      </c>
      <c r="C27" s="54">
        <v>30800</v>
      </c>
      <c r="D27" s="55">
        <v>0</v>
      </c>
      <c r="E27" s="55">
        <v>25600</v>
      </c>
      <c r="F27" s="55">
        <v>26200</v>
      </c>
      <c r="G27" s="55">
        <v>28600</v>
      </c>
      <c r="H27" s="55">
        <v>14900</v>
      </c>
      <c r="I27" s="55">
        <v>28000</v>
      </c>
      <c r="J27" s="55">
        <v>14500</v>
      </c>
      <c r="K27" s="55">
        <v>30000</v>
      </c>
      <c r="L27" s="55">
        <v>30400</v>
      </c>
      <c r="M27" s="55">
        <v>17800</v>
      </c>
      <c r="N27" s="55">
        <v>26800</v>
      </c>
      <c r="O27" s="55">
        <v>0</v>
      </c>
      <c r="P27" s="55">
        <v>29800</v>
      </c>
      <c r="Q27" s="75">
        <v>29600</v>
      </c>
      <c r="R27" s="24">
        <f t="shared" si="0"/>
        <v>333000</v>
      </c>
    </row>
    <row r="28" spans="1:18">
      <c r="A28" s="1" t="s">
        <v>1</v>
      </c>
      <c r="B28" s="22" t="s">
        <v>74</v>
      </c>
      <c r="C28" s="54">
        <v>3500</v>
      </c>
      <c r="D28" s="55">
        <v>1000</v>
      </c>
      <c r="E28" s="55">
        <v>3500</v>
      </c>
      <c r="F28" s="55">
        <v>3500</v>
      </c>
      <c r="G28" s="55">
        <v>3500</v>
      </c>
      <c r="H28" s="55">
        <v>3500</v>
      </c>
      <c r="I28" s="55">
        <v>3500</v>
      </c>
      <c r="J28" s="55">
        <v>3500</v>
      </c>
      <c r="K28" s="55">
        <v>3500</v>
      </c>
      <c r="L28" s="55">
        <v>3500</v>
      </c>
      <c r="M28" s="55">
        <v>3500</v>
      </c>
      <c r="N28" s="55">
        <v>3500</v>
      </c>
      <c r="O28" s="55">
        <v>0</v>
      </c>
      <c r="P28" s="55">
        <v>2000</v>
      </c>
      <c r="Q28" s="75">
        <v>2000</v>
      </c>
      <c r="R28" s="24">
        <f t="shared" si="0"/>
        <v>43500</v>
      </c>
    </row>
    <row r="29" spans="1:18">
      <c r="A29" s="1" t="s">
        <v>1</v>
      </c>
      <c r="B29" s="22" t="s">
        <v>75</v>
      </c>
      <c r="C29" s="54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75">
        <v>0</v>
      </c>
      <c r="R29" s="24">
        <f t="shared" si="0"/>
        <v>0</v>
      </c>
    </row>
    <row r="30" spans="1:18">
      <c r="A30" s="1" t="s">
        <v>1</v>
      </c>
      <c r="B30" s="22" t="s">
        <v>76</v>
      </c>
      <c r="C30" s="54">
        <v>0</v>
      </c>
      <c r="D30" s="55">
        <v>0</v>
      </c>
      <c r="E30" s="55">
        <v>0</v>
      </c>
      <c r="F30" s="55">
        <v>0</v>
      </c>
      <c r="G30" s="65">
        <v>-115116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75">
        <v>0</v>
      </c>
      <c r="R30" s="66">
        <f t="shared" si="0"/>
        <v>-115116</v>
      </c>
    </row>
    <row r="31" spans="1:18">
      <c r="A31" s="1" t="s">
        <v>1</v>
      </c>
      <c r="B31" s="22" t="s">
        <v>58</v>
      </c>
      <c r="C31" s="54">
        <v>29169</v>
      </c>
      <c r="D31" s="55">
        <v>44795</v>
      </c>
      <c r="E31" s="55">
        <v>83650</v>
      </c>
      <c r="F31" s="55">
        <v>75900</v>
      </c>
      <c r="G31" s="55">
        <v>54036</v>
      </c>
      <c r="H31" s="55">
        <v>59727</v>
      </c>
      <c r="I31" s="55">
        <v>49776</v>
      </c>
      <c r="J31" s="55">
        <v>62505</v>
      </c>
      <c r="K31" s="55">
        <v>73549</v>
      </c>
      <c r="L31" s="55">
        <v>39528</v>
      </c>
      <c r="M31" s="55">
        <v>49533</v>
      </c>
      <c r="N31" s="55">
        <v>43059</v>
      </c>
      <c r="O31" s="55">
        <v>94320</v>
      </c>
      <c r="P31" s="55">
        <v>56975</v>
      </c>
      <c r="Q31" s="75">
        <v>17719</v>
      </c>
      <c r="R31" s="24">
        <f t="shared" si="0"/>
        <v>834241</v>
      </c>
    </row>
    <row r="32" spans="1:18">
      <c r="A32" s="1" t="s">
        <v>1</v>
      </c>
      <c r="B32" s="22" t="s">
        <v>77</v>
      </c>
      <c r="C32" s="54">
        <v>16500</v>
      </c>
      <c r="D32" s="55">
        <v>51513</v>
      </c>
      <c r="E32" s="55">
        <v>61404</v>
      </c>
      <c r="F32" s="55">
        <v>8910</v>
      </c>
      <c r="G32" s="55">
        <v>27557</v>
      </c>
      <c r="H32" s="55">
        <v>31500</v>
      </c>
      <c r="I32" s="55">
        <v>39525</v>
      </c>
      <c r="J32" s="55">
        <v>21000</v>
      </c>
      <c r="K32" s="55">
        <v>0</v>
      </c>
      <c r="L32" s="55">
        <v>49011</v>
      </c>
      <c r="M32" s="55">
        <v>34041</v>
      </c>
      <c r="N32" s="55">
        <v>4500</v>
      </c>
      <c r="O32" s="55">
        <v>21225</v>
      </c>
      <c r="P32" s="55">
        <v>4293</v>
      </c>
      <c r="Q32" s="75">
        <v>30912</v>
      </c>
      <c r="R32" s="24">
        <f t="shared" si="0"/>
        <v>401891</v>
      </c>
    </row>
    <row r="33" spans="1:18">
      <c r="A33" s="1" t="s">
        <v>1</v>
      </c>
      <c r="B33" s="22" t="s">
        <v>78</v>
      </c>
      <c r="C33" s="54">
        <v>28500</v>
      </c>
      <c r="D33" s="55">
        <v>32781</v>
      </c>
      <c r="E33" s="55">
        <v>19866</v>
      </c>
      <c r="F33" s="55">
        <v>57024</v>
      </c>
      <c r="G33" s="55">
        <v>0</v>
      </c>
      <c r="H33" s="55">
        <v>27000</v>
      </c>
      <c r="I33" s="55">
        <v>11067</v>
      </c>
      <c r="J33" s="55">
        <v>30000</v>
      </c>
      <c r="K33" s="55">
        <v>48630</v>
      </c>
      <c r="L33" s="55">
        <v>33201</v>
      </c>
      <c r="M33" s="55">
        <v>11347</v>
      </c>
      <c r="N33" s="55">
        <v>15000</v>
      </c>
      <c r="O33" s="55">
        <v>26885</v>
      </c>
      <c r="P33" s="55">
        <v>32913</v>
      </c>
      <c r="Q33" s="75">
        <v>11776</v>
      </c>
      <c r="R33" s="24">
        <f t="shared" si="0"/>
        <v>385990</v>
      </c>
    </row>
    <row r="34" spans="1:18">
      <c r="A34" s="1" t="s">
        <v>1</v>
      </c>
      <c r="B34" s="22" t="s">
        <v>79</v>
      </c>
      <c r="C34" s="54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7560</v>
      </c>
      <c r="L34" s="55">
        <v>1640</v>
      </c>
      <c r="M34" s="55">
        <v>0</v>
      </c>
      <c r="N34" s="55">
        <v>0</v>
      </c>
      <c r="O34" s="55">
        <v>0</v>
      </c>
      <c r="P34" s="55">
        <v>0</v>
      </c>
      <c r="Q34" s="75">
        <v>0</v>
      </c>
      <c r="R34" s="24">
        <f t="shared" si="0"/>
        <v>9200</v>
      </c>
    </row>
    <row r="35" spans="1:18">
      <c r="A35" s="1" t="s">
        <v>1</v>
      </c>
      <c r="B35" s="22" t="s">
        <v>80</v>
      </c>
      <c r="C35" s="54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4037</v>
      </c>
      <c r="P35" s="55">
        <v>0</v>
      </c>
      <c r="Q35" s="75">
        <v>0</v>
      </c>
      <c r="R35" s="24">
        <f t="shared" si="0"/>
        <v>4037</v>
      </c>
    </row>
    <row r="36" spans="1:18">
      <c r="A36" s="1" t="s">
        <v>1</v>
      </c>
      <c r="B36" s="22" t="s">
        <v>63</v>
      </c>
      <c r="C36" s="54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5502</v>
      </c>
      <c r="P36" s="55">
        <v>0</v>
      </c>
      <c r="Q36" s="75">
        <v>0</v>
      </c>
      <c r="R36" s="24">
        <f t="shared" si="0"/>
        <v>5502</v>
      </c>
    </row>
    <row r="37" spans="1:18">
      <c r="A37" s="1" t="s">
        <v>1</v>
      </c>
      <c r="B37" s="5" t="s">
        <v>65</v>
      </c>
      <c r="C37" s="48">
        <v>1390</v>
      </c>
      <c r="D37" s="49">
        <v>867</v>
      </c>
      <c r="E37" s="49">
        <v>4355</v>
      </c>
      <c r="F37" s="49">
        <v>4950</v>
      </c>
      <c r="G37" s="49">
        <v>5100</v>
      </c>
      <c r="H37" s="49">
        <v>3058</v>
      </c>
      <c r="I37" s="49">
        <v>879</v>
      </c>
      <c r="J37" s="49">
        <v>2224</v>
      </c>
      <c r="K37" s="49">
        <v>11700</v>
      </c>
      <c r="L37" s="49">
        <v>9962</v>
      </c>
      <c r="M37" s="49">
        <v>3300</v>
      </c>
      <c r="N37" s="49">
        <v>1390</v>
      </c>
      <c r="O37" s="49">
        <v>9170</v>
      </c>
      <c r="P37" s="49">
        <v>1855</v>
      </c>
      <c r="Q37" s="76">
        <v>546</v>
      </c>
      <c r="R37" s="9">
        <f t="shared" si="0"/>
        <v>60746</v>
      </c>
    </row>
    <row r="38" spans="1:18">
      <c r="A38" s="1" t="s">
        <v>1</v>
      </c>
      <c r="B38" s="14" t="s">
        <v>81</v>
      </c>
      <c r="C38" s="50">
        <v>291859</v>
      </c>
      <c r="D38" s="51">
        <v>322956</v>
      </c>
      <c r="E38" s="51">
        <v>418375</v>
      </c>
      <c r="F38" s="51">
        <v>404575</v>
      </c>
      <c r="G38" s="51">
        <v>210695</v>
      </c>
      <c r="H38" s="51">
        <v>321685</v>
      </c>
      <c r="I38" s="51">
        <v>324747</v>
      </c>
      <c r="J38" s="51">
        <v>315729</v>
      </c>
      <c r="K38" s="51">
        <v>371939</v>
      </c>
      <c r="L38" s="51">
        <v>359242</v>
      </c>
      <c r="M38" s="51">
        <v>382861</v>
      </c>
      <c r="N38" s="51">
        <v>300533</v>
      </c>
      <c r="O38" s="51">
        <v>336139</v>
      </c>
      <c r="P38" s="51">
        <v>302836</v>
      </c>
      <c r="Q38" s="77">
        <v>328274</v>
      </c>
      <c r="R38" s="18">
        <f t="shared" si="0"/>
        <v>4992445</v>
      </c>
    </row>
    <row r="39" spans="1:18">
      <c r="A39" s="1" t="s">
        <v>1</v>
      </c>
      <c r="B39" s="19" t="s">
        <v>82</v>
      </c>
      <c r="C39" s="52">
        <v>13508</v>
      </c>
      <c r="D39" s="53">
        <v>3512</v>
      </c>
      <c r="E39" s="53">
        <v>6079</v>
      </c>
      <c r="F39" s="53">
        <v>3377</v>
      </c>
      <c r="G39" s="53">
        <v>1405</v>
      </c>
      <c r="H39" s="53">
        <v>2918</v>
      </c>
      <c r="I39" s="53">
        <v>1405</v>
      </c>
      <c r="J39" s="53">
        <v>3512</v>
      </c>
      <c r="K39" s="53">
        <v>5620</v>
      </c>
      <c r="L39" s="53">
        <v>8429</v>
      </c>
      <c r="M39" s="53">
        <v>7295</v>
      </c>
      <c r="N39" s="53">
        <v>11482</v>
      </c>
      <c r="O39" s="53">
        <v>9132</v>
      </c>
      <c r="P39" s="53">
        <v>9132</v>
      </c>
      <c r="Q39" s="74">
        <v>2918</v>
      </c>
      <c r="R39" s="21">
        <f t="shared" si="0"/>
        <v>89724</v>
      </c>
    </row>
    <row r="40" spans="1:18">
      <c r="A40" s="1" t="s">
        <v>1</v>
      </c>
      <c r="B40" s="5" t="s">
        <v>83</v>
      </c>
      <c r="C40" s="48">
        <v>13508</v>
      </c>
      <c r="D40" s="49">
        <v>3512</v>
      </c>
      <c r="E40" s="49">
        <v>6079</v>
      </c>
      <c r="F40" s="49">
        <v>3377</v>
      </c>
      <c r="G40" s="49">
        <v>1405</v>
      </c>
      <c r="H40" s="49">
        <v>2918</v>
      </c>
      <c r="I40" s="49">
        <v>1405</v>
      </c>
      <c r="J40" s="49">
        <v>3512</v>
      </c>
      <c r="K40" s="49">
        <v>5620</v>
      </c>
      <c r="L40" s="49">
        <v>8429</v>
      </c>
      <c r="M40" s="49">
        <v>7295</v>
      </c>
      <c r="N40" s="49">
        <v>11482</v>
      </c>
      <c r="O40" s="49">
        <v>9132</v>
      </c>
      <c r="P40" s="49">
        <v>9132</v>
      </c>
      <c r="Q40" s="76">
        <v>2918</v>
      </c>
      <c r="R40" s="9">
        <f t="shared" si="0"/>
        <v>89724</v>
      </c>
    </row>
    <row r="41" spans="1:18">
      <c r="A41" s="1" t="s">
        <v>1</v>
      </c>
      <c r="B41" s="14" t="s">
        <v>84</v>
      </c>
      <c r="C41" s="50">
        <v>305367</v>
      </c>
      <c r="D41" s="51">
        <v>326468</v>
      </c>
      <c r="E41" s="51">
        <v>424454</v>
      </c>
      <c r="F41" s="51">
        <v>407952</v>
      </c>
      <c r="G41" s="51">
        <v>212100</v>
      </c>
      <c r="H41" s="51">
        <v>324603</v>
      </c>
      <c r="I41" s="51">
        <v>326152</v>
      </c>
      <c r="J41" s="51">
        <v>319241</v>
      </c>
      <c r="K41" s="51">
        <v>377559</v>
      </c>
      <c r="L41" s="51">
        <v>367671</v>
      </c>
      <c r="M41" s="51">
        <v>390156</v>
      </c>
      <c r="N41" s="51">
        <v>312015</v>
      </c>
      <c r="O41" s="51">
        <v>345271</v>
      </c>
      <c r="P41" s="51">
        <v>311968</v>
      </c>
      <c r="Q41" s="77">
        <v>331192</v>
      </c>
      <c r="R41" s="18">
        <f t="shared" si="0"/>
        <v>5082169</v>
      </c>
    </row>
    <row r="42" spans="1:18">
      <c r="A42" s="1" t="s">
        <v>1</v>
      </c>
      <c r="B42" s="19" t="s">
        <v>85</v>
      </c>
      <c r="C42" s="52">
        <v>15300</v>
      </c>
      <c r="D42" s="53">
        <v>16320</v>
      </c>
      <c r="E42" s="53">
        <v>19380</v>
      </c>
      <c r="F42" s="53">
        <v>19380</v>
      </c>
      <c r="G42" s="53">
        <v>19380</v>
      </c>
      <c r="H42" s="53">
        <v>16320</v>
      </c>
      <c r="I42" s="53">
        <v>15300</v>
      </c>
      <c r="J42" s="53">
        <v>15300</v>
      </c>
      <c r="K42" s="53">
        <v>19380</v>
      </c>
      <c r="L42" s="53">
        <v>18360</v>
      </c>
      <c r="M42" s="53">
        <v>17340</v>
      </c>
      <c r="N42" s="53">
        <v>15300</v>
      </c>
      <c r="O42" s="53">
        <v>16320</v>
      </c>
      <c r="P42" s="53">
        <v>14280</v>
      </c>
      <c r="Q42" s="74">
        <v>14280</v>
      </c>
      <c r="R42" s="21">
        <f t="shared" si="0"/>
        <v>251940</v>
      </c>
    </row>
    <row r="43" spans="1:18">
      <c r="A43" s="1" t="s">
        <v>1</v>
      </c>
      <c r="B43" s="22" t="s">
        <v>86</v>
      </c>
      <c r="C43" s="54">
        <v>2700</v>
      </c>
      <c r="D43" s="55">
        <v>2880</v>
      </c>
      <c r="E43" s="55">
        <v>3420</v>
      </c>
      <c r="F43" s="55">
        <v>3420</v>
      </c>
      <c r="G43" s="55">
        <v>3420</v>
      </c>
      <c r="H43" s="55">
        <v>2880</v>
      </c>
      <c r="I43" s="55">
        <v>2700</v>
      </c>
      <c r="J43" s="55">
        <v>2700</v>
      </c>
      <c r="K43" s="55">
        <v>3420</v>
      </c>
      <c r="L43" s="55">
        <v>3240</v>
      </c>
      <c r="M43" s="55">
        <v>3060</v>
      </c>
      <c r="N43" s="55">
        <v>2700</v>
      </c>
      <c r="O43" s="55">
        <v>2880</v>
      </c>
      <c r="P43" s="55">
        <v>2520</v>
      </c>
      <c r="Q43" s="75">
        <v>2520</v>
      </c>
      <c r="R43" s="24">
        <f t="shared" si="0"/>
        <v>44460</v>
      </c>
    </row>
    <row r="44" spans="1:18">
      <c r="A44" s="1" t="s">
        <v>1</v>
      </c>
      <c r="B44" s="22" t="s">
        <v>87</v>
      </c>
      <c r="C44" s="54">
        <v>27450</v>
      </c>
      <c r="D44" s="55">
        <v>29280</v>
      </c>
      <c r="E44" s="55">
        <v>34770</v>
      </c>
      <c r="F44" s="55">
        <v>34770</v>
      </c>
      <c r="G44" s="55">
        <v>34770</v>
      </c>
      <c r="H44" s="55">
        <v>29280</v>
      </c>
      <c r="I44" s="55">
        <v>27450</v>
      </c>
      <c r="J44" s="55">
        <v>27450</v>
      </c>
      <c r="K44" s="55">
        <v>34770</v>
      </c>
      <c r="L44" s="55">
        <v>32940</v>
      </c>
      <c r="M44" s="55">
        <v>31110</v>
      </c>
      <c r="N44" s="55">
        <v>27450</v>
      </c>
      <c r="O44" s="55">
        <v>29280</v>
      </c>
      <c r="P44" s="55">
        <v>25620</v>
      </c>
      <c r="Q44" s="75">
        <v>25620</v>
      </c>
      <c r="R44" s="24">
        <f t="shared" si="0"/>
        <v>452010</v>
      </c>
    </row>
    <row r="45" spans="1:18">
      <c r="A45" s="1" t="s">
        <v>1</v>
      </c>
      <c r="B45" s="5" t="s">
        <v>88</v>
      </c>
      <c r="C45" s="48">
        <v>1832</v>
      </c>
      <c r="D45" s="49">
        <v>1959</v>
      </c>
      <c r="E45" s="49">
        <v>2547</v>
      </c>
      <c r="F45" s="49">
        <v>2448</v>
      </c>
      <c r="G45" s="49">
        <v>1273</v>
      </c>
      <c r="H45" s="49">
        <v>1948</v>
      </c>
      <c r="I45" s="49">
        <v>1957</v>
      </c>
      <c r="J45" s="49">
        <v>1915</v>
      </c>
      <c r="K45" s="49">
        <v>2265</v>
      </c>
      <c r="L45" s="49">
        <v>2206</v>
      </c>
      <c r="M45" s="49">
        <v>2341</v>
      </c>
      <c r="N45" s="49">
        <v>1872</v>
      </c>
      <c r="O45" s="49">
        <v>2072</v>
      </c>
      <c r="P45" s="49">
        <v>1872</v>
      </c>
      <c r="Q45" s="76">
        <v>1987</v>
      </c>
      <c r="R45" s="9">
        <f t="shared" si="0"/>
        <v>30494</v>
      </c>
    </row>
    <row r="46" spans="1:18">
      <c r="A46" s="1" t="s">
        <v>1</v>
      </c>
      <c r="B46" s="14" t="s">
        <v>89</v>
      </c>
      <c r="C46" s="50">
        <v>47282</v>
      </c>
      <c r="D46" s="51">
        <v>50439</v>
      </c>
      <c r="E46" s="51">
        <v>60117</v>
      </c>
      <c r="F46" s="51">
        <v>60018</v>
      </c>
      <c r="G46" s="51">
        <v>58843</v>
      </c>
      <c r="H46" s="51">
        <v>50428</v>
      </c>
      <c r="I46" s="51">
        <v>47407</v>
      </c>
      <c r="J46" s="51">
        <v>47365</v>
      </c>
      <c r="K46" s="51">
        <v>59835</v>
      </c>
      <c r="L46" s="51">
        <v>56746</v>
      </c>
      <c r="M46" s="51">
        <v>53851</v>
      </c>
      <c r="N46" s="51">
        <v>47322</v>
      </c>
      <c r="O46" s="51">
        <v>50552</v>
      </c>
      <c r="P46" s="51">
        <v>44292</v>
      </c>
      <c r="Q46" s="77">
        <v>44407</v>
      </c>
      <c r="R46" s="18">
        <f t="shared" si="0"/>
        <v>778904</v>
      </c>
    </row>
    <row r="47" spans="1:18">
      <c r="A47" s="1" t="s">
        <v>1</v>
      </c>
      <c r="B47" s="19" t="s">
        <v>90</v>
      </c>
      <c r="C47" s="52">
        <v>0</v>
      </c>
      <c r="D47" s="53">
        <v>7360</v>
      </c>
      <c r="E47" s="53">
        <v>0</v>
      </c>
      <c r="F47" s="53">
        <v>12020</v>
      </c>
      <c r="G47" s="53">
        <v>3040</v>
      </c>
      <c r="H47" s="53">
        <v>7310</v>
      </c>
      <c r="I47" s="53">
        <v>0</v>
      </c>
      <c r="J47" s="53">
        <v>7210</v>
      </c>
      <c r="K47" s="53">
        <v>9370</v>
      </c>
      <c r="L47" s="53">
        <v>8580</v>
      </c>
      <c r="M47" s="53">
        <v>0</v>
      </c>
      <c r="N47" s="53">
        <v>6670</v>
      </c>
      <c r="O47" s="53">
        <v>0</v>
      </c>
      <c r="P47" s="53">
        <v>6860</v>
      </c>
      <c r="Q47" s="74">
        <v>7760</v>
      </c>
      <c r="R47" s="21">
        <f t="shared" si="0"/>
        <v>76180</v>
      </c>
    </row>
    <row r="48" spans="1:18">
      <c r="A48" s="1" t="s">
        <v>1</v>
      </c>
      <c r="B48" s="22" t="s">
        <v>91</v>
      </c>
      <c r="C48" s="54">
        <v>1300</v>
      </c>
      <c r="D48" s="55">
        <v>1300</v>
      </c>
      <c r="E48" s="55">
        <v>1300</v>
      </c>
      <c r="F48" s="55">
        <v>0</v>
      </c>
      <c r="G48" s="55">
        <v>1300</v>
      </c>
      <c r="H48" s="55">
        <v>1300</v>
      </c>
      <c r="I48" s="55">
        <v>1300</v>
      </c>
      <c r="J48" s="55">
        <v>1300</v>
      </c>
      <c r="K48" s="55">
        <v>1300</v>
      </c>
      <c r="L48" s="55">
        <v>1300</v>
      </c>
      <c r="M48" s="55">
        <v>1300</v>
      </c>
      <c r="N48" s="55">
        <v>1300</v>
      </c>
      <c r="O48" s="55">
        <v>1300</v>
      </c>
      <c r="P48" s="55">
        <v>1300</v>
      </c>
      <c r="Q48" s="75">
        <v>0</v>
      </c>
      <c r="R48" s="24">
        <f t="shared" si="0"/>
        <v>16900</v>
      </c>
    </row>
    <row r="49" spans="1:18">
      <c r="A49" s="1" t="s">
        <v>1</v>
      </c>
      <c r="B49" s="22" t="s">
        <v>92</v>
      </c>
      <c r="C49" s="54">
        <v>6700</v>
      </c>
      <c r="D49" s="55">
        <v>15100</v>
      </c>
      <c r="E49" s="55">
        <v>18200</v>
      </c>
      <c r="F49" s="55">
        <v>20200</v>
      </c>
      <c r="G49" s="55">
        <v>19000</v>
      </c>
      <c r="H49" s="55">
        <v>13900</v>
      </c>
      <c r="I49" s="55">
        <v>9200</v>
      </c>
      <c r="J49" s="55">
        <v>13900</v>
      </c>
      <c r="K49" s="55">
        <v>16500</v>
      </c>
      <c r="L49" s="55">
        <v>14300</v>
      </c>
      <c r="M49" s="55">
        <v>1900</v>
      </c>
      <c r="N49" s="55">
        <v>0</v>
      </c>
      <c r="O49" s="55">
        <v>12900</v>
      </c>
      <c r="P49" s="55">
        <v>10500</v>
      </c>
      <c r="Q49" s="75">
        <v>5300</v>
      </c>
      <c r="R49" s="24">
        <f t="shared" si="0"/>
        <v>177600</v>
      </c>
    </row>
    <row r="50" spans="1:18">
      <c r="A50" s="1" t="s">
        <v>1</v>
      </c>
      <c r="B50" s="5" t="s">
        <v>93</v>
      </c>
      <c r="C50" s="48">
        <v>30800</v>
      </c>
      <c r="D50" s="49">
        <v>0</v>
      </c>
      <c r="E50" s="49">
        <v>25600</v>
      </c>
      <c r="F50" s="49">
        <v>26200</v>
      </c>
      <c r="G50" s="49">
        <v>28600</v>
      </c>
      <c r="H50" s="49">
        <v>14900</v>
      </c>
      <c r="I50" s="49">
        <v>28000</v>
      </c>
      <c r="J50" s="49">
        <v>14500</v>
      </c>
      <c r="K50" s="49">
        <v>30000</v>
      </c>
      <c r="L50" s="49">
        <v>30400</v>
      </c>
      <c r="M50" s="49">
        <v>17800</v>
      </c>
      <c r="N50" s="49">
        <v>26800</v>
      </c>
      <c r="O50" s="49">
        <v>0</v>
      </c>
      <c r="P50" s="49">
        <v>29800</v>
      </c>
      <c r="Q50" s="76">
        <v>29600</v>
      </c>
      <c r="R50" s="9">
        <f t="shared" si="0"/>
        <v>333000</v>
      </c>
    </row>
    <row r="51" spans="1:18">
      <c r="A51" s="1" t="s">
        <v>1</v>
      </c>
      <c r="B51" s="14" t="s">
        <v>94</v>
      </c>
      <c r="C51" s="50">
        <v>86082</v>
      </c>
      <c r="D51" s="51">
        <v>74199</v>
      </c>
      <c r="E51" s="51">
        <v>105217</v>
      </c>
      <c r="F51" s="51">
        <v>118438</v>
      </c>
      <c r="G51" s="51">
        <v>110783</v>
      </c>
      <c r="H51" s="51">
        <v>87838</v>
      </c>
      <c r="I51" s="51">
        <v>85907</v>
      </c>
      <c r="J51" s="51">
        <v>84275</v>
      </c>
      <c r="K51" s="51">
        <v>117005</v>
      </c>
      <c r="L51" s="51">
        <v>111326</v>
      </c>
      <c r="M51" s="51">
        <v>74851</v>
      </c>
      <c r="N51" s="51">
        <v>82092</v>
      </c>
      <c r="O51" s="51">
        <v>64752</v>
      </c>
      <c r="P51" s="51">
        <v>92752</v>
      </c>
      <c r="Q51" s="77">
        <v>87067</v>
      </c>
      <c r="R51" s="18">
        <f t="shared" si="0"/>
        <v>1382584</v>
      </c>
    </row>
    <row r="52" spans="1:18">
      <c r="A52" s="1" t="s">
        <v>1</v>
      </c>
      <c r="B52" s="14" t="s">
        <v>95</v>
      </c>
      <c r="C52" s="50">
        <v>244577</v>
      </c>
      <c r="D52" s="51">
        <v>272517</v>
      </c>
      <c r="E52" s="51">
        <v>358258</v>
      </c>
      <c r="F52" s="51">
        <v>344557</v>
      </c>
      <c r="G52" s="51">
        <v>151852</v>
      </c>
      <c r="H52" s="51">
        <v>271257</v>
      </c>
      <c r="I52" s="51">
        <v>277340</v>
      </c>
      <c r="J52" s="51">
        <v>268364</v>
      </c>
      <c r="K52" s="51">
        <v>312104</v>
      </c>
      <c r="L52" s="51">
        <v>302496</v>
      </c>
      <c r="M52" s="51">
        <v>329010</v>
      </c>
      <c r="N52" s="51">
        <v>253211</v>
      </c>
      <c r="O52" s="51">
        <v>285587</v>
      </c>
      <c r="P52" s="51">
        <v>258544</v>
      </c>
      <c r="Q52" s="77">
        <v>283867</v>
      </c>
      <c r="R52" s="18">
        <f t="shared" si="0"/>
        <v>4213541</v>
      </c>
    </row>
    <row r="53" spans="1:18">
      <c r="A53" s="1" t="s">
        <v>1</v>
      </c>
      <c r="B53" s="14" t="s">
        <v>96</v>
      </c>
      <c r="C53" s="50">
        <v>219285</v>
      </c>
      <c r="D53" s="51">
        <v>252269</v>
      </c>
      <c r="E53" s="51">
        <v>319237</v>
      </c>
      <c r="F53" s="51">
        <v>289514</v>
      </c>
      <c r="G53" s="51">
        <v>101317</v>
      </c>
      <c r="H53" s="51">
        <v>236765</v>
      </c>
      <c r="I53" s="51">
        <v>240245</v>
      </c>
      <c r="J53" s="51">
        <v>234966</v>
      </c>
      <c r="K53" s="51">
        <v>260554</v>
      </c>
      <c r="L53" s="51">
        <v>256345</v>
      </c>
      <c r="M53" s="51">
        <v>315305</v>
      </c>
      <c r="N53" s="51">
        <v>229923</v>
      </c>
      <c r="O53" s="51">
        <v>280519</v>
      </c>
      <c r="P53" s="51">
        <v>219216</v>
      </c>
      <c r="Q53" s="77">
        <v>244125</v>
      </c>
      <c r="R53" s="18">
        <f t="shared" si="0"/>
        <v>3699585</v>
      </c>
    </row>
    <row r="54" spans="1:18">
      <c r="A54" s="1" t="s">
        <v>1</v>
      </c>
      <c r="B54" s="14" t="s">
        <v>97</v>
      </c>
      <c r="C54" s="50">
        <v>219285</v>
      </c>
      <c r="D54" s="51">
        <v>252269</v>
      </c>
      <c r="E54" s="51">
        <v>319237</v>
      </c>
      <c r="F54" s="51">
        <v>289514</v>
      </c>
      <c r="G54" s="51">
        <v>101317</v>
      </c>
      <c r="H54" s="51">
        <v>236765</v>
      </c>
      <c r="I54" s="51">
        <v>240245</v>
      </c>
      <c r="J54" s="51">
        <v>234966</v>
      </c>
      <c r="K54" s="51">
        <v>260554</v>
      </c>
      <c r="L54" s="51">
        <v>256345</v>
      </c>
      <c r="M54" s="51">
        <v>315305</v>
      </c>
      <c r="N54" s="51">
        <v>229923</v>
      </c>
      <c r="O54" s="51">
        <v>280519</v>
      </c>
      <c r="P54" s="51">
        <v>219216</v>
      </c>
      <c r="Q54" s="77">
        <v>244125</v>
      </c>
      <c r="R54" s="18">
        <f t="shared" si="0"/>
        <v>3699585</v>
      </c>
    </row>
    <row r="55" spans="1:18">
      <c r="A55" s="1" t="s">
        <v>1</v>
      </c>
      <c r="B55" s="14" t="s">
        <v>98</v>
      </c>
      <c r="C55" s="50">
        <v>1</v>
      </c>
      <c r="D55" s="51">
        <v>0</v>
      </c>
      <c r="E55" s="51">
        <v>1</v>
      </c>
      <c r="F55" s="51">
        <v>0</v>
      </c>
      <c r="G55" s="51">
        <v>0</v>
      </c>
      <c r="H55" s="51">
        <v>0</v>
      </c>
      <c r="I55" s="51">
        <v>1</v>
      </c>
      <c r="J55" s="51">
        <v>0</v>
      </c>
      <c r="K55" s="51">
        <v>0</v>
      </c>
      <c r="L55" s="51">
        <v>0</v>
      </c>
      <c r="M55" s="51">
        <v>4</v>
      </c>
      <c r="N55" s="51">
        <v>0</v>
      </c>
      <c r="O55" s="51">
        <v>1</v>
      </c>
      <c r="P55" s="51">
        <v>0</v>
      </c>
      <c r="Q55" s="77">
        <v>0</v>
      </c>
      <c r="R55" s="18"/>
    </row>
    <row r="56" spans="1:18">
      <c r="A56" s="1" t="s">
        <v>1</v>
      </c>
      <c r="B56" s="14" t="s">
        <v>99</v>
      </c>
      <c r="C56" s="56" t="s">
        <v>100</v>
      </c>
      <c r="D56" s="57" t="s">
        <v>100</v>
      </c>
      <c r="E56" s="57" t="s">
        <v>100</v>
      </c>
      <c r="F56" s="57" t="s">
        <v>100</v>
      </c>
      <c r="G56" s="57" t="s">
        <v>100</v>
      </c>
      <c r="H56" s="57" t="s">
        <v>100</v>
      </c>
      <c r="I56" s="57" t="s">
        <v>100</v>
      </c>
      <c r="J56" s="57" t="s">
        <v>100</v>
      </c>
      <c r="K56" s="57" t="s">
        <v>100</v>
      </c>
      <c r="L56" s="57" t="s">
        <v>100</v>
      </c>
      <c r="M56" s="57" t="s">
        <v>100</v>
      </c>
      <c r="N56" s="57" t="s">
        <v>100</v>
      </c>
      <c r="O56" s="57" t="s">
        <v>100</v>
      </c>
      <c r="P56" s="57" t="s">
        <v>100</v>
      </c>
      <c r="Q56" s="78" t="s">
        <v>100</v>
      </c>
      <c r="R56" s="26"/>
    </row>
    <row r="57" spans="1:18">
      <c r="A57" s="1" t="s">
        <v>1</v>
      </c>
      <c r="B57" s="14" t="s">
        <v>101</v>
      </c>
      <c r="C57" s="50">
        <v>4740</v>
      </c>
      <c r="D57" s="51">
        <v>7360</v>
      </c>
      <c r="E57" s="51">
        <v>9910</v>
      </c>
      <c r="F57" s="51">
        <v>12020</v>
      </c>
      <c r="G57" s="51">
        <v>3040</v>
      </c>
      <c r="H57" s="51">
        <v>7310</v>
      </c>
      <c r="I57" s="51">
        <v>5910</v>
      </c>
      <c r="J57" s="51">
        <v>7210</v>
      </c>
      <c r="K57" s="51">
        <v>9370</v>
      </c>
      <c r="L57" s="51">
        <v>8580</v>
      </c>
      <c r="M57" s="51">
        <v>3060</v>
      </c>
      <c r="N57" s="51">
        <v>6670</v>
      </c>
      <c r="O57" s="51">
        <v>6210</v>
      </c>
      <c r="P57" s="51">
        <v>6860</v>
      </c>
      <c r="Q57" s="77">
        <v>7760</v>
      </c>
      <c r="R57" s="18">
        <f t="shared" si="0"/>
        <v>106010</v>
      </c>
    </row>
    <row r="58" spans="1:18">
      <c r="A58" s="1" t="s">
        <v>1</v>
      </c>
      <c r="B58" s="14" t="s">
        <v>102</v>
      </c>
      <c r="C58" s="50">
        <v>4740</v>
      </c>
      <c r="D58" s="51">
        <v>0</v>
      </c>
      <c r="E58" s="51">
        <v>9910</v>
      </c>
      <c r="F58" s="51">
        <v>0</v>
      </c>
      <c r="G58" s="51">
        <v>0</v>
      </c>
      <c r="H58" s="51">
        <v>0</v>
      </c>
      <c r="I58" s="51">
        <v>5910</v>
      </c>
      <c r="J58" s="51">
        <v>0</v>
      </c>
      <c r="K58" s="51">
        <v>0</v>
      </c>
      <c r="L58" s="51">
        <v>0</v>
      </c>
      <c r="M58" s="51">
        <v>3060</v>
      </c>
      <c r="N58" s="51">
        <v>0</v>
      </c>
      <c r="O58" s="51">
        <v>6210</v>
      </c>
      <c r="P58" s="51">
        <v>0</v>
      </c>
      <c r="Q58" s="77">
        <v>0</v>
      </c>
      <c r="R58" s="18">
        <f t="shared" si="0"/>
        <v>29830</v>
      </c>
    </row>
    <row r="59" spans="1:18" ht="19.5" thickBot="1">
      <c r="A59" s="1" t="s">
        <v>1</v>
      </c>
      <c r="B59" s="10" t="s">
        <v>103</v>
      </c>
      <c r="C59" s="58">
        <v>60000</v>
      </c>
      <c r="D59" s="59">
        <v>30000</v>
      </c>
      <c r="E59" s="59">
        <v>60000</v>
      </c>
      <c r="F59" s="59">
        <v>30000</v>
      </c>
      <c r="G59" s="59">
        <v>30000</v>
      </c>
      <c r="H59" s="59">
        <v>30000</v>
      </c>
      <c r="I59" s="59">
        <v>60000</v>
      </c>
      <c r="J59" s="59">
        <v>30000</v>
      </c>
      <c r="K59" s="59">
        <v>30000</v>
      </c>
      <c r="L59" s="59">
        <v>30000</v>
      </c>
      <c r="M59" s="59">
        <v>150000</v>
      </c>
      <c r="N59" s="59">
        <v>30000</v>
      </c>
      <c r="O59" s="59">
        <v>60000</v>
      </c>
      <c r="P59" s="59">
        <v>30000</v>
      </c>
      <c r="Q59" s="79">
        <v>30000</v>
      </c>
      <c r="R59" s="12"/>
    </row>
  </sheetData>
  <phoneticPr fontId="3"/>
  <pageMargins left="0.11811023622047245" right="0.11811023622047245" top="0.15748031496062992" bottom="0.15748031496062992" header="0.11811023622047245" footer="0.11811023622047245"/>
  <pageSetup paperSize="12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2024年10月度給与 (2)</vt:lpstr>
      <vt:lpstr>2024年10月度給与 (3)</vt:lpstr>
      <vt:lpstr>2024年10月度給与 (4)</vt:lpstr>
      <vt:lpstr>'2024年10月度給与 (3)'!Print_Area</vt:lpstr>
      <vt:lpstr>'2024年10月度給与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2024-11-08T02:50:58Z</cp:lastPrinted>
  <dcterms:created xsi:type="dcterms:W3CDTF">2024-11-07T07:46:56Z</dcterms:created>
  <dcterms:modified xsi:type="dcterms:W3CDTF">2024-11-11T02:11:33Z</dcterms:modified>
</cp:coreProperties>
</file>