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0\"/>
    </mc:Choice>
  </mc:AlternateContent>
  <xr:revisionPtr revIDLastSave="0" documentId="13_ncr:1_{6FD27C78-3E27-467B-A328-423D1E7BDCC4}" xr6:coauthVersionLast="47" xr6:coauthVersionMax="47" xr10:uidLastSave="{00000000-0000-0000-0000-000000000000}"/>
  <bookViews>
    <workbookView xWindow="-120" yWindow="-120" windowWidth="20730" windowHeight="11040" xr2:uid="{49F2E6FD-772F-4B02-ACA4-E76E605CD647}"/>
  </bookViews>
  <sheets>
    <sheet name="2024年10月度給与 (2)" sheetId="3" r:id="rId1"/>
  </sheets>
  <definedNames>
    <definedName name="_xlnm.Print_Area" localSheetId="0">'2024年10月度給与 (2)'!$A$1:$N$53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" l="1"/>
  <c r="N7" i="3"/>
  <c r="N8" i="3"/>
  <c r="N9" i="3"/>
  <c r="N15" i="3"/>
  <c r="N16" i="3"/>
  <c r="N17" i="3"/>
  <c r="N19" i="3"/>
  <c r="N20" i="3"/>
  <c r="N21" i="3"/>
  <c r="N22" i="3"/>
  <c r="N28" i="3"/>
  <c r="N29" i="3"/>
  <c r="N30" i="3"/>
  <c r="N31" i="3"/>
  <c r="N32" i="3"/>
  <c r="N33" i="3"/>
  <c r="N34" i="3"/>
  <c r="N40" i="3"/>
  <c r="N41" i="3"/>
  <c r="N42" i="3"/>
  <c r="N43" i="3"/>
  <c r="N44" i="3"/>
  <c r="N45" i="3"/>
  <c r="N46" i="3"/>
  <c r="N5" i="3"/>
  <c r="M6" i="3"/>
  <c r="M7" i="3"/>
  <c r="M8" i="3"/>
  <c r="M9" i="3"/>
  <c r="M10" i="3"/>
  <c r="N10" i="3" s="1"/>
  <c r="M11" i="3"/>
  <c r="N11" i="3" s="1"/>
  <c r="M12" i="3"/>
  <c r="N12" i="3" s="1"/>
  <c r="M13" i="3"/>
  <c r="M14" i="3"/>
  <c r="M15" i="3"/>
  <c r="M16" i="3"/>
  <c r="M17" i="3"/>
  <c r="M19" i="3"/>
  <c r="M20" i="3"/>
  <c r="M21" i="3"/>
  <c r="M22" i="3"/>
  <c r="M23" i="3"/>
  <c r="N23" i="3" s="1"/>
  <c r="M24" i="3"/>
  <c r="N24" i="3" s="1"/>
  <c r="M25" i="3"/>
  <c r="M26" i="3"/>
  <c r="M27" i="3"/>
  <c r="M28" i="3"/>
  <c r="M29" i="3"/>
  <c r="M30" i="3"/>
  <c r="M31" i="3"/>
  <c r="M32" i="3"/>
  <c r="M33" i="3"/>
  <c r="M34" i="3"/>
  <c r="M35" i="3"/>
  <c r="N35" i="3" s="1"/>
  <c r="M36" i="3"/>
  <c r="N36" i="3" s="1"/>
  <c r="M37" i="3"/>
  <c r="M38" i="3"/>
  <c r="M39" i="3"/>
  <c r="M40" i="3"/>
  <c r="M41" i="3"/>
  <c r="M42" i="3"/>
  <c r="M43" i="3"/>
  <c r="M44" i="3"/>
  <c r="M45" i="3"/>
  <c r="M46" i="3"/>
  <c r="M47" i="3"/>
  <c r="N47" i="3" s="1"/>
  <c r="M48" i="3"/>
  <c r="N48" i="3" s="1"/>
  <c r="M51" i="3"/>
  <c r="M52" i="3"/>
  <c r="M5" i="3"/>
  <c r="F6" i="3"/>
  <c r="F7" i="3"/>
  <c r="F8" i="3"/>
  <c r="F9" i="3"/>
  <c r="F10" i="3"/>
  <c r="F11" i="3"/>
  <c r="F12" i="3"/>
  <c r="F13" i="3"/>
  <c r="N13" i="3" s="1"/>
  <c r="F14" i="3"/>
  <c r="N14" i="3" s="1"/>
  <c r="F15" i="3"/>
  <c r="F16" i="3"/>
  <c r="F17" i="3"/>
  <c r="F19" i="3"/>
  <c r="F20" i="3"/>
  <c r="F21" i="3"/>
  <c r="F22" i="3"/>
  <c r="F23" i="3"/>
  <c r="F24" i="3"/>
  <c r="F25" i="3"/>
  <c r="N25" i="3" s="1"/>
  <c r="F26" i="3"/>
  <c r="N26" i="3" s="1"/>
  <c r="F27" i="3"/>
  <c r="N27" i="3" s="1"/>
  <c r="F28" i="3"/>
  <c r="F29" i="3"/>
  <c r="F30" i="3"/>
  <c r="F31" i="3"/>
  <c r="F32" i="3"/>
  <c r="F33" i="3"/>
  <c r="F34" i="3"/>
  <c r="F35" i="3"/>
  <c r="F36" i="3"/>
  <c r="F37" i="3"/>
  <c r="N37" i="3" s="1"/>
  <c r="F38" i="3"/>
  <c r="N38" i="3" s="1"/>
  <c r="F39" i="3"/>
  <c r="N39" i="3" s="1"/>
  <c r="F40" i="3"/>
  <c r="F41" i="3"/>
  <c r="F42" i="3"/>
  <c r="F43" i="3"/>
  <c r="F44" i="3"/>
  <c r="F45" i="3"/>
  <c r="F46" i="3"/>
  <c r="F47" i="3"/>
  <c r="F48" i="3"/>
  <c r="F49" i="3"/>
  <c r="F51" i="3"/>
  <c r="N51" i="3" s="1"/>
  <c r="F52" i="3"/>
  <c r="N52" i="3" s="1"/>
  <c r="F5" i="3"/>
</calcChain>
</file>

<file path=xl/sharedStrings.xml><?xml version="1.0" encoding="utf-8"?>
<sst xmlns="http://schemas.openxmlformats.org/spreadsheetml/2006/main" count="134" uniqueCount="73">
  <si>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</si>
  <si>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</si>
  <si>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</si>
  <si>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</si>
  <si>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</si>
  <si>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</si>
  <si>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</si>
  <si>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</si>
  <si>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</si>
  <si>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</si>
  <si>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</si>
  <si>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</si>
  <si>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</si>
  <si>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</si>
  <si>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</si>
  <si>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</si>
  <si>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</si>
  <si>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佐藤　禎尚</t>
    <phoneticPr fontId="4"/>
  </si>
  <si>
    <t>土谷　栄</t>
    <phoneticPr fontId="4"/>
  </si>
  <si>
    <t>小田島　健司</t>
    <phoneticPr fontId="4"/>
  </si>
  <si>
    <t>白井博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</si>
  <si>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</si>
  <si>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</si>
  <si>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</si>
  <si>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</si>
  <si>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</si>
  <si>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</si>
  <si>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</si>
  <si>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</si>
  <si>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</si>
  <si>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</si>
  <si>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</si>
  <si>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</si>
  <si>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</si>
  <si>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</si>
  <si>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</si>
  <si>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</si>
  <si>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</si>
  <si>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</si>
  <si>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</si>
  <si>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</si>
  <si>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</si>
  <si>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</si>
  <si>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</si>
  <si>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</si>
  <si>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</si>
  <si>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</si>
  <si>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</si>
  <si>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</si>
  <si>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</si>
  <si>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</si>
  <si>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</si>
  <si>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</si>
  <si>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</si>
  <si>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</si>
  <si>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</si>
  <si>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</si>
  <si>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</si>
  <si>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</si>
  <si>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</si>
  <si>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</si>
  <si>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</si>
  <si>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</si>
  <si>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</si>
  <si>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</si>
  <si>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</si>
  <si>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</si>
  <si>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</si>
  <si>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2024年10月度給与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</si>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</sst>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2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176" fontId="2" fillId="0" borderId="9" xfId="1" applyNumberFormat="1" applyFont="1" applyBorder="1"/>
    <xf numFmtId="176" fontId="2" fillId="0" borderId="8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5" xfId="1" applyNumberFormat="1" applyFont="1" applyBorder="1"/>
    <xf numFmtId="49" fontId="2" fillId="0" borderId="4" xfId="1" applyNumberFormat="1" applyFont="1" applyBorder="1"/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2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32" xfId="1" applyNumberFormat="1" applyFont="1" applyBorder="1"/>
    <xf numFmtId="3" fontId="2" fillId="0" borderId="28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right"/>
    </xf>
    <xf numFmtId="0" fontId="2" fillId="0" borderId="34" xfId="1" applyFont="1" applyBorder="1" applyAlignment="1">
      <alignment horizontal="center"/>
    </xf>
    <xf numFmtId="0" fontId="2" fillId="0" borderId="2" xfId="1" applyFont="1" applyBorder="1" applyAlignment="1">
      <alignment horizontal="right"/>
    </xf>
  </cellXfs>
  <cellStyles count="2">
    <cellStyle name="標準" xfId="0" builtinId="0"/>
    <cellStyle name="標準 2" xfId="1" xr:uid="{34536F99-7DBB-4A4C-BB94-ED9227957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BB6-7517-4619-AF99-379C43A57364}">
  <sheetPr>
    <pageSetUpPr fitToPage="1"/>
  </sheetPr>
  <dimension ref="A1:N5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4" width="12.8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3.25" style="2" bestFit="1" customWidth="1"/>
    <col min="268" max="268" width="8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3.25" style="2" bestFit="1" customWidth="1"/>
    <col min="524" max="524" width="8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3.25" style="2" bestFit="1" customWidth="1"/>
    <col min="780" max="780" width="8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3.25" style="2" bestFit="1" customWidth="1"/>
    <col min="1036" max="1036" width="8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3.25" style="2" bestFit="1" customWidth="1"/>
    <col min="1292" max="1292" width="8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3.25" style="2" bestFit="1" customWidth="1"/>
    <col min="1548" max="1548" width="8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3.25" style="2" bestFit="1" customWidth="1"/>
    <col min="1804" max="1804" width="8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3.25" style="2" bestFit="1" customWidth="1"/>
    <col min="2060" max="2060" width="8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3.25" style="2" bestFit="1" customWidth="1"/>
    <col min="2316" max="2316" width="8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3.25" style="2" bestFit="1" customWidth="1"/>
    <col min="2572" max="2572" width="8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3.25" style="2" bestFit="1" customWidth="1"/>
    <col min="2828" max="2828" width="8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3.25" style="2" bestFit="1" customWidth="1"/>
    <col min="3084" max="3084" width="8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3.25" style="2" bestFit="1" customWidth="1"/>
    <col min="3340" max="3340" width="8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3.25" style="2" bestFit="1" customWidth="1"/>
    <col min="3596" max="3596" width="8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3.25" style="2" bestFit="1" customWidth="1"/>
    <col min="3852" max="3852" width="8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3.25" style="2" bestFit="1" customWidth="1"/>
    <col min="4108" max="4108" width="8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3.25" style="2" bestFit="1" customWidth="1"/>
    <col min="4364" max="4364" width="8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3.25" style="2" bestFit="1" customWidth="1"/>
    <col min="4620" max="4620" width="8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3.25" style="2" bestFit="1" customWidth="1"/>
    <col min="4876" max="4876" width="8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3.25" style="2" bestFit="1" customWidth="1"/>
    <col min="5132" max="5132" width="8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3.25" style="2" bestFit="1" customWidth="1"/>
    <col min="5388" max="5388" width="8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3.25" style="2" bestFit="1" customWidth="1"/>
    <col min="5644" max="5644" width="8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3.25" style="2" bestFit="1" customWidth="1"/>
    <col min="5900" max="5900" width="8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3.25" style="2" bestFit="1" customWidth="1"/>
    <col min="6156" max="6156" width="8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3.25" style="2" bestFit="1" customWidth="1"/>
    <col min="6412" max="6412" width="8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3.25" style="2" bestFit="1" customWidth="1"/>
    <col min="6668" max="6668" width="8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3.25" style="2" bestFit="1" customWidth="1"/>
    <col min="6924" max="6924" width="8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3.25" style="2" bestFit="1" customWidth="1"/>
    <col min="7180" max="7180" width="8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3.25" style="2" bestFit="1" customWidth="1"/>
    <col min="7436" max="7436" width="8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3.25" style="2" bestFit="1" customWidth="1"/>
    <col min="7692" max="7692" width="8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3.25" style="2" bestFit="1" customWidth="1"/>
    <col min="7948" max="7948" width="8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3.25" style="2" bestFit="1" customWidth="1"/>
    <col min="8204" max="8204" width="8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3.25" style="2" bestFit="1" customWidth="1"/>
    <col min="8460" max="8460" width="8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3.25" style="2" bestFit="1" customWidth="1"/>
    <col min="8716" max="8716" width="8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3.25" style="2" bestFit="1" customWidth="1"/>
    <col min="8972" max="8972" width="8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3.25" style="2" bestFit="1" customWidth="1"/>
    <col min="9228" max="9228" width="8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3.25" style="2" bestFit="1" customWidth="1"/>
    <col min="9484" max="9484" width="8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3.25" style="2" bestFit="1" customWidth="1"/>
    <col min="9740" max="9740" width="8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3.25" style="2" bestFit="1" customWidth="1"/>
    <col min="9996" max="9996" width="8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3.25" style="2" bestFit="1" customWidth="1"/>
    <col min="10252" max="10252" width="8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3.25" style="2" bestFit="1" customWidth="1"/>
    <col min="10508" max="10508" width="8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3.25" style="2" bestFit="1" customWidth="1"/>
    <col min="10764" max="10764" width="8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3.25" style="2" bestFit="1" customWidth="1"/>
    <col min="11020" max="11020" width="8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3.25" style="2" bestFit="1" customWidth="1"/>
    <col min="11276" max="11276" width="8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3.25" style="2" bestFit="1" customWidth="1"/>
    <col min="11532" max="11532" width="8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3.25" style="2" bestFit="1" customWidth="1"/>
    <col min="11788" max="11788" width="8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3.25" style="2" bestFit="1" customWidth="1"/>
    <col min="12044" max="12044" width="8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3.25" style="2" bestFit="1" customWidth="1"/>
    <col min="12300" max="12300" width="8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3.25" style="2" bestFit="1" customWidth="1"/>
    <col min="12556" max="12556" width="8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3.25" style="2" bestFit="1" customWidth="1"/>
    <col min="12812" max="12812" width="8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3.25" style="2" bestFit="1" customWidth="1"/>
    <col min="13068" max="13068" width="8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3.25" style="2" bestFit="1" customWidth="1"/>
    <col min="13324" max="13324" width="8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3.25" style="2" bestFit="1" customWidth="1"/>
    <col min="13580" max="13580" width="8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3.25" style="2" bestFit="1" customWidth="1"/>
    <col min="13836" max="13836" width="8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3.25" style="2" bestFit="1" customWidth="1"/>
    <col min="14092" max="14092" width="8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3.25" style="2" bestFit="1" customWidth="1"/>
    <col min="14348" max="14348" width="8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3.25" style="2" bestFit="1" customWidth="1"/>
    <col min="14604" max="14604" width="8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3.25" style="2" bestFit="1" customWidth="1"/>
    <col min="14860" max="14860" width="8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3.25" style="2" bestFit="1" customWidth="1"/>
    <col min="15116" max="15116" width="8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3.25" style="2" bestFit="1" customWidth="1"/>
    <col min="15372" max="15372" width="8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3.25" style="2" bestFit="1" customWidth="1"/>
    <col min="15628" max="15628" width="8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3.25" style="2" bestFit="1" customWidth="1"/>
    <col min="15884" max="15884" width="8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3.25" style="2" bestFit="1" customWidth="1"/>
    <col min="16140" max="16140" width="8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68</v>
      </c>
    </row>
    <row r="3" spans="1:14">
      <c r="B3" s="75"/>
      <c r="C3" s="59" t="s">
        <v>5</v>
      </c>
      <c r="D3" s="49" t="s">
        <v>7</v>
      </c>
      <c r="E3" s="60" t="s">
        <v>6</v>
      </c>
      <c r="F3" s="73" t="s">
        <v>69</v>
      </c>
      <c r="G3" s="48" t="s">
        <v>2</v>
      </c>
      <c r="H3" s="49" t="s">
        <v>3</v>
      </c>
      <c r="I3" s="49" t="s">
        <v>4</v>
      </c>
      <c r="J3" s="49" t="s">
        <v>8</v>
      </c>
      <c r="K3" s="49" t="s">
        <v>9</v>
      </c>
      <c r="L3" s="60" t="s">
        <v>10</v>
      </c>
      <c r="M3" s="73" t="s">
        <v>69</v>
      </c>
      <c r="N3" s="75" t="s">
        <v>21</v>
      </c>
    </row>
    <row r="4" spans="1:14" ht="19.5" thickBot="1">
      <c r="B4" s="4" t="s">
        <v>11</v>
      </c>
      <c r="C4" s="29" t="s">
        <v>15</v>
      </c>
      <c r="D4" s="29" t="s">
        <v>17</v>
      </c>
      <c r="E4" s="61" t="s">
        <v>16</v>
      </c>
      <c r="F4" s="74" t="s">
        <v>70</v>
      </c>
      <c r="G4" s="28" t="s">
        <v>12</v>
      </c>
      <c r="H4" s="29" t="s">
        <v>13</v>
      </c>
      <c r="I4" s="29" t="s">
        <v>14</v>
      </c>
      <c r="J4" s="29" t="s">
        <v>18</v>
      </c>
      <c r="K4" s="29" t="s">
        <v>19</v>
      </c>
      <c r="L4" s="3" t="s">
        <v>20</v>
      </c>
      <c r="M4" s="74" t="s">
        <v>71</v>
      </c>
      <c r="N4" s="76" t="s">
        <v>72</v>
      </c>
    </row>
    <row r="5" spans="1:14">
      <c r="A5" s="1" t="s">
        <v>1</v>
      </c>
      <c r="B5" s="16" t="s">
        <v>22</v>
      </c>
      <c r="C5" s="31">
        <v>23</v>
      </c>
      <c r="D5" s="31">
        <v>23</v>
      </c>
      <c r="E5" s="62">
        <v>22</v>
      </c>
      <c r="F5" s="18">
        <f>SUM(C5:E5)</f>
        <v>68</v>
      </c>
      <c r="G5" s="30">
        <v>22</v>
      </c>
      <c r="H5" s="31">
        <v>17</v>
      </c>
      <c r="I5" s="31">
        <v>20</v>
      </c>
      <c r="J5" s="31">
        <v>22</v>
      </c>
      <c r="K5" s="31">
        <v>21</v>
      </c>
      <c r="L5" s="17">
        <v>22</v>
      </c>
      <c r="M5" s="18">
        <f>SUM(G5:L5)</f>
        <v>124</v>
      </c>
      <c r="N5" s="18">
        <f>SUM(M5,F5)</f>
        <v>192</v>
      </c>
    </row>
    <row r="6" spans="1:14">
      <c r="A6" s="1" t="s">
        <v>1</v>
      </c>
      <c r="B6" s="19" t="s">
        <v>23</v>
      </c>
      <c r="C6" s="33">
        <v>0</v>
      </c>
      <c r="D6" s="33">
        <v>0</v>
      </c>
      <c r="E6" s="63">
        <v>2</v>
      </c>
      <c r="F6" s="21">
        <f t="shared" ref="F6:F52" si="0">SUM(C6:E6)</f>
        <v>2</v>
      </c>
      <c r="G6" s="32">
        <v>3</v>
      </c>
      <c r="H6" s="33">
        <v>2</v>
      </c>
      <c r="I6" s="33">
        <v>2</v>
      </c>
      <c r="J6" s="33">
        <v>3</v>
      </c>
      <c r="K6" s="33">
        <v>3</v>
      </c>
      <c r="L6" s="20">
        <v>1</v>
      </c>
      <c r="M6" s="21">
        <f t="shared" ref="M6:M52" si="1">SUM(G6:L6)</f>
        <v>14</v>
      </c>
      <c r="N6" s="21">
        <f t="shared" ref="N6:N52" si="2">SUM(M6,F6)</f>
        <v>16</v>
      </c>
    </row>
    <row r="7" spans="1:14">
      <c r="A7" s="1" t="s">
        <v>1</v>
      </c>
      <c r="B7" s="19" t="s">
        <v>24</v>
      </c>
      <c r="C7" s="33">
        <v>0</v>
      </c>
      <c r="D7" s="33">
        <v>0</v>
      </c>
      <c r="E7" s="63">
        <v>1</v>
      </c>
      <c r="F7" s="21">
        <f t="shared" si="0"/>
        <v>1</v>
      </c>
      <c r="G7" s="32">
        <v>2</v>
      </c>
      <c r="H7" s="33">
        <v>4</v>
      </c>
      <c r="I7" s="33">
        <v>2</v>
      </c>
      <c r="J7" s="33">
        <v>2</v>
      </c>
      <c r="K7" s="33">
        <v>1</v>
      </c>
      <c r="L7" s="20">
        <v>1</v>
      </c>
      <c r="M7" s="21">
        <f t="shared" si="1"/>
        <v>12</v>
      </c>
      <c r="N7" s="21">
        <f t="shared" si="2"/>
        <v>13</v>
      </c>
    </row>
    <row r="8" spans="1:14">
      <c r="A8" s="1" t="s">
        <v>1</v>
      </c>
      <c r="B8" s="19" t="s">
        <v>25</v>
      </c>
      <c r="C8" s="33">
        <v>0</v>
      </c>
      <c r="D8" s="33">
        <v>0</v>
      </c>
      <c r="E8" s="63">
        <v>0</v>
      </c>
      <c r="F8" s="21">
        <f t="shared" si="0"/>
        <v>0</v>
      </c>
      <c r="G8" s="32">
        <v>1</v>
      </c>
      <c r="H8" s="33">
        <v>3</v>
      </c>
      <c r="I8" s="33">
        <v>2</v>
      </c>
      <c r="J8" s="33">
        <v>0</v>
      </c>
      <c r="K8" s="33">
        <v>0</v>
      </c>
      <c r="L8" s="20">
        <v>0</v>
      </c>
      <c r="M8" s="21">
        <f t="shared" si="1"/>
        <v>6</v>
      </c>
      <c r="N8" s="21">
        <f t="shared" si="2"/>
        <v>6</v>
      </c>
    </row>
    <row r="9" spans="1:14">
      <c r="A9" s="1" t="s">
        <v>1</v>
      </c>
      <c r="B9" s="19" t="s">
        <v>26</v>
      </c>
      <c r="C9" s="33">
        <v>0</v>
      </c>
      <c r="D9" s="33">
        <v>0</v>
      </c>
      <c r="E9" s="63">
        <v>1.5</v>
      </c>
      <c r="F9" s="21">
        <f t="shared" si="0"/>
        <v>1.5</v>
      </c>
      <c r="G9" s="32">
        <v>0</v>
      </c>
      <c r="H9" s="33">
        <v>3</v>
      </c>
      <c r="I9" s="33">
        <v>1</v>
      </c>
      <c r="J9" s="33">
        <v>1</v>
      </c>
      <c r="K9" s="33">
        <v>2</v>
      </c>
      <c r="L9" s="20">
        <v>1</v>
      </c>
      <c r="M9" s="21">
        <f t="shared" si="1"/>
        <v>8</v>
      </c>
      <c r="N9" s="21">
        <f t="shared" si="2"/>
        <v>9.5</v>
      </c>
    </row>
    <row r="10" spans="1:14">
      <c r="A10" s="1" t="s">
        <v>1</v>
      </c>
      <c r="B10" s="19" t="s">
        <v>27</v>
      </c>
      <c r="C10" s="35">
        <v>0</v>
      </c>
      <c r="D10" s="35">
        <v>0</v>
      </c>
      <c r="E10" s="64">
        <v>0.125</v>
      </c>
      <c r="F10" s="23">
        <f t="shared" si="0"/>
        <v>0.125</v>
      </c>
      <c r="G10" s="34">
        <v>2.6666666666666665</v>
      </c>
      <c r="H10" s="35">
        <v>0.5</v>
      </c>
      <c r="I10" s="35">
        <v>1.25</v>
      </c>
      <c r="J10" s="35">
        <v>1.9583333333333335</v>
      </c>
      <c r="K10" s="35">
        <v>2.875</v>
      </c>
      <c r="L10" s="22">
        <v>1.9583333333333335</v>
      </c>
      <c r="M10" s="23">
        <f t="shared" si="1"/>
        <v>11.208333333333334</v>
      </c>
      <c r="N10" s="23">
        <f t="shared" si="2"/>
        <v>11.333333333333334</v>
      </c>
    </row>
    <row r="11" spans="1:14">
      <c r="A11" s="1" t="s">
        <v>1</v>
      </c>
      <c r="B11" s="19" t="s">
        <v>28</v>
      </c>
      <c r="C11" s="35">
        <v>0</v>
      </c>
      <c r="D11" s="35">
        <v>0</v>
      </c>
      <c r="E11" s="64">
        <v>0.54166666666666663</v>
      </c>
      <c r="F11" s="23">
        <f t="shared" si="0"/>
        <v>0.54166666666666663</v>
      </c>
      <c r="G11" s="34">
        <v>1.0416666666666667</v>
      </c>
      <c r="H11" s="35">
        <v>0</v>
      </c>
      <c r="I11" s="35">
        <v>0.375</v>
      </c>
      <c r="J11" s="35">
        <v>1.125</v>
      </c>
      <c r="K11" s="35">
        <v>1.4583333333333333</v>
      </c>
      <c r="L11" s="22">
        <v>0.33333333333333331</v>
      </c>
      <c r="M11" s="23">
        <f t="shared" si="1"/>
        <v>4.333333333333333</v>
      </c>
      <c r="N11" s="23">
        <f t="shared" si="2"/>
        <v>4.875</v>
      </c>
    </row>
    <row r="12" spans="1:14">
      <c r="A12" s="1" t="s">
        <v>1</v>
      </c>
      <c r="B12" s="19" t="s">
        <v>29</v>
      </c>
      <c r="C12" s="35">
        <v>0</v>
      </c>
      <c r="D12" s="35">
        <v>0</v>
      </c>
      <c r="E12" s="64">
        <v>0.25</v>
      </c>
      <c r="F12" s="23">
        <f t="shared" si="0"/>
        <v>0.25</v>
      </c>
      <c r="G12" s="34">
        <v>0.41666666666666669</v>
      </c>
      <c r="H12" s="35">
        <v>1.0416666666666667</v>
      </c>
      <c r="I12" s="35">
        <v>0.375</v>
      </c>
      <c r="J12" s="35">
        <v>0.79166666666666663</v>
      </c>
      <c r="K12" s="35">
        <v>0.125</v>
      </c>
      <c r="L12" s="22">
        <v>0.29166666666666669</v>
      </c>
      <c r="M12" s="23">
        <f t="shared" si="1"/>
        <v>3.0416666666666665</v>
      </c>
      <c r="N12" s="23">
        <f t="shared" si="2"/>
        <v>3.2916666666666665</v>
      </c>
    </row>
    <row r="13" spans="1:14">
      <c r="A13" s="1" t="s">
        <v>1</v>
      </c>
      <c r="B13" s="19" t="s">
        <v>30</v>
      </c>
      <c r="C13" s="35">
        <v>0</v>
      </c>
      <c r="D13" s="35">
        <v>0</v>
      </c>
      <c r="E13" s="64">
        <v>0</v>
      </c>
      <c r="F13" s="23">
        <f t="shared" si="0"/>
        <v>0</v>
      </c>
      <c r="G13" s="34">
        <v>0</v>
      </c>
      <c r="H13" s="35">
        <v>0.66666666666666663</v>
      </c>
      <c r="I13" s="35">
        <v>0.375</v>
      </c>
      <c r="J13" s="35">
        <v>0</v>
      </c>
      <c r="K13" s="35">
        <v>0</v>
      </c>
      <c r="L13" s="22">
        <v>0</v>
      </c>
      <c r="M13" s="23">
        <f t="shared" si="1"/>
        <v>1.0416666666666665</v>
      </c>
      <c r="N13" s="23">
        <f t="shared" si="2"/>
        <v>1.0416666666666665</v>
      </c>
    </row>
    <row r="14" spans="1:14">
      <c r="A14" s="1" t="s">
        <v>1</v>
      </c>
      <c r="B14" s="19" t="s">
        <v>31</v>
      </c>
      <c r="C14" s="35">
        <v>0</v>
      </c>
      <c r="D14" s="35">
        <v>0</v>
      </c>
      <c r="E14" s="64">
        <v>0</v>
      </c>
      <c r="F14" s="23">
        <f t="shared" si="0"/>
        <v>0</v>
      </c>
      <c r="G14" s="34">
        <v>0.33333333333333331</v>
      </c>
      <c r="H14" s="35">
        <v>0.33333333333333331</v>
      </c>
      <c r="I14" s="35">
        <v>0.375</v>
      </c>
      <c r="J14" s="35">
        <v>0</v>
      </c>
      <c r="K14" s="35">
        <v>0</v>
      </c>
      <c r="L14" s="22">
        <v>0</v>
      </c>
      <c r="M14" s="23">
        <f t="shared" si="1"/>
        <v>1.0416666666666665</v>
      </c>
      <c r="N14" s="23">
        <f t="shared" si="2"/>
        <v>1.0416666666666665</v>
      </c>
    </row>
    <row r="15" spans="1:14">
      <c r="A15" s="1" t="s">
        <v>1</v>
      </c>
      <c r="B15" s="19" t="s">
        <v>32</v>
      </c>
      <c r="C15" s="35">
        <v>0</v>
      </c>
      <c r="D15" s="35">
        <v>0</v>
      </c>
      <c r="E15" s="64">
        <v>0</v>
      </c>
      <c r="F15" s="23">
        <f t="shared" si="0"/>
        <v>0</v>
      </c>
      <c r="G15" s="34">
        <v>0.25</v>
      </c>
      <c r="H15" s="35">
        <v>0</v>
      </c>
      <c r="I15" s="35">
        <v>0</v>
      </c>
      <c r="J15" s="35">
        <v>0</v>
      </c>
      <c r="K15" s="35">
        <v>0.375</v>
      </c>
      <c r="L15" s="22">
        <v>0</v>
      </c>
      <c r="M15" s="23">
        <f t="shared" si="1"/>
        <v>0.625</v>
      </c>
      <c r="N15" s="23">
        <f t="shared" si="2"/>
        <v>0.625</v>
      </c>
    </row>
    <row r="16" spans="1:14">
      <c r="A16" s="1" t="s">
        <v>1</v>
      </c>
      <c r="B16" s="19" t="s">
        <v>33</v>
      </c>
      <c r="C16" s="35">
        <v>0</v>
      </c>
      <c r="D16" s="35">
        <v>0</v>
      </c>
      <c r="E16" s="64">
        <v>0.45833333333333331</v>
      </c>
      <c r="F16" s="23">
        <f t="shared" si="0"/>
        <v>0.45833333333333331</v>
      </c>
      <c r="G16" s="34">
        <v>0</v>
      </c>
      <c r="H16" s="35">
        <v>0</v>
      </c>
      <c r="I16" s="35">
        <v>0</v>
      </c>
      <c r="J16" s="35">
        <v>0</v>
      </c>
      <c r="K16" s="35">
        <v>0</v>
      </c>
      <c r="L16" s="22">
        <v>0</v>
      </c>
      <c r="M16" s="23">
        <f t="shared" si="1"/>
        <v>0</v>
      </c>
      <c r="N16" s="23">
        <f t="shared" si="2"/>
        <v>0.45833333333333331</v>
      </c>
    </row>
    <row r="17" spans="1:14">
      <c r="A17" s="1" t="s">
        <v>1</v>
      </c>
      <c r="B17" s="5" t="s">
        <v>34</v>
      </c>
      <c r="C17" s="37">
        <v>0.375</v>
      </c>
      <c r="D17" s="37">
        <v>0</v>
      </c>
      <c r="E17" s="65">
        <v>0</v>
      </c>
      <c r="F17" s="7">
        <f t="shared" si="0"/>
        <v>0.375</v>
      </c>
      <c r="G17" s="36">
        <v>1.2916666666666667</v>
      </c>
      <c r="H17" s="37">
        <v>3.0416666666666665</v>
      </c>
      <c r="I17" s="37">
        <v>3.0416666666666665</v>
      </c>
      <c r="J17" s="37">
        <v>0.70833333333333337</v>
      </c>
      <c r="K17" s="37">
        <v>1.2916666666666667</v>
      </c>
      <c r="L17" s="6">
        <v>1.0416666666666667</v>
      </c>
      <c r="M17" s="7">
        <f t="shared" si="1"/>
        <v>10.416666666666666</v>
      </c>
      <c r="N17" s="7">
        <f t="shared" si="2"/>
        <v>10.791666666666666</v>
      </c>
    </row>
    <row r="18" spans="1:14">
      <c r="A18" s="1" t="s">
        <v>1</v>
      </c>
      <c r="B18" s="13" t="s">
        <v>35</v>
      </c>
      <c r="C18" s="39">
        <v>36.5</v>
      </c>
      <c r="D18" s="39">
        <v>17.5</v>
      </c>
      <c r="E18" s="66">
        <v>23.5</v>
      </c>
      <c r="F18" s="15"/>
      <c r="G18" s="38">
        <v>32</v>
      </c>
      <c r="H18" s="39">
        <v>25</v>
      </c>
      <c r="I18" s="39">
        <v>22</v>
      </c>
      <c r="J18" s="39">
        <v>12</v>
      </c>
      <c r="K18" s="39">
        <v>5</v>
      </c>
      <c r="L18" s="14">
        <v>7</v>
      </c>
      <c r="M18" s="15"/>
      <c r="N18" s="15"/>
    </row>
    <row r="19" spans="1:14">
      <c r="A19" s="1" t="s">
        <v>1</v>
      </c>
      <c r="B19" s="50" t="s">
        <v>36</v>
      </c>
      <c r="C19" s="52">
        <v>370000</v>
      </c>
      <c r="D19" s="52">
        <v>360000</v>
      </c>
      <c r="E19" s="67">
        <v>180000</v>
      </c>
      <c r="F19" s="54">
        <f t="shared" si="0"/>
        <v>910000</v>
      </c>
      <c r="G19" s="51">
        <v>187000</v>
      </c>
      <c r="H19" s="52">
        <v>187000</v>
      </c>
      <c r="I19" s="52">
        <v>182000</v>
      </c>
      <c r="J19" s="52">
        <v>182000</v>
      </c>
      <c r="K19" s="52">
        <v>182000</v>
      </c>
      <c r="L19" s="53">
        <v>175000</v>
      </c>
      <c r="M19" s="54">
        <f t="shared" si="1"/>
        <v>1095000</v>
      </c>
      <c r="N19" s="54">
        <f t="shared" si="2"/>
        <v>2005000</v>
      </c>
    </row>
    <row r="20" spans="1:14">
      <c r="A20" s="1" t="s">
        <v>1</v>
      </c>
      <c r="B20" s="19" t="s">
        <v>37</v>
      </c>
      <c r="C20" s="56">
        <v>0</v>
      </c>
      <c r="D20" s="56">
        <v>0</v>
      </c>
      <c r="E20" s="68">
        <v>0</v>
      </c>
      <c r="F20" s="58">
        <f t="shared" si="0"/>
        <v>0</v>
      </c>
      <c r="G20" s="55">
        <v>5000</v>
      </c>
      <c r="H20" s="56">
        <v>0</v>
      </c>
      <c r="I20" s="56">
        <v>0</v>
      </c>
      <c r="J20" s="56">
        <v>0</v>
      </c>
      <c r="K20" s="56">
        <v>0</v>
      </c>
      <c r="L20" s="57">
        <v>0</v>
      </c>
      <c r="M20" s="58">
        <f t="shared" si="1"/>
        <v>5000</v>
      </c>
      <c r="N20" s="58">
        <f t="shared" si="2"/>
        <v>5000</v>
      </c>
    </row>
    <row r="21" spans="1:14">
      <c r="A21" s="1" t="s">
        <v>1</v>
      </c>
      <c r="B21" s="19" t="s">
        <v>38</v>
      </c>
      <c r="C21" s="56">
        <v>0</v>
      </c>
      <c r="D21" s="56">
        <v>0</v>
      </c>
      <c r="E21" s="68">
        <v>6000</v>
      </c>
      <c r="F21" s="58">
        <f t="shared" si="0"/>
        <v>6000</v>
      </c>
      <c r="G21" s="55">
        <v>6000</v>
      </c>
      <c r="H21" s="56">
        <v>10000</v>
      </c>
      <c r="I21" s="56">
        <v>0</v>
      </c>
      <c r="J21" s="56">
        <v>0</v>
      </c>
      <c r="K21" s="56">
        <v>0</v>
      </c>
      <c r="L21" s="57">
        <v>0</v>
      </c>
      <c r="M21" s="58">
        <f t="shared" si="1"/>
        <v>16000</v>
      </c>
      <c r="N21" s="58">
        <f t="shared" si="2"/>
        <v>22000</v>
      </c>
    </row>
    <row r="22" spans="1:14">
      <c r="A22" s="1" t="s">
        <v>1</v>
      </c>
      <c r="B22" s="19" t="s">
        <v>39</v>
      </c>
      <c r="C22" s="56">
        <v>0</v>
      </c>
      <c r="D22" s="56">
        <v>0</v>
      </c>
      <c r="E22" s="68">
        <v>0</v>
      </c>
      <c r="F22" s="58">
        <f t="shared" si="0"/>
        <v>0</v>
      </c>
      <c r="G22" s="55">
        <v>29200</v>
      </c>
      <c r="H22" s="56">
        <v>28600</v>
      </c>
      <c r="I22" s="56">
        <v>28400</v>
      </c>
      <c r="J22" s="56">
        <v>29200</v>
      </c>
      <c r="K22" s="56">
        <v>29200</v>
      </c>
      <c r="L22" s="57">
        <v>0</v>
      </c>
      <c r="M22" s="58">
        <f t="shared" si="1"/>
        <v>144600</v>
      </c>
      <c r="N22" s="58">
        <f t="shared" si="2"/>
        <v>144600</v>
      </c>
    </row>
    <row r="23" spans="1:14">
      <c r="A23" s="1" t="s">
        <v>1</v>
      </c>
      <c r="B23" s="19" t="s">
        <v>40</v>
      </c>
      <c r="C23" s="56">
        <v>0</v>
      </c>
      <c r="D23" s="56">
        <v>0</v>
      </c>
      <c r="E23" s="68">
        <v>0</v>
      </c>
      <c r="F23" s="58">
        <f t="shared" si="0"/>
        <v>0</v>
      </c>
      <c r="G23" s="55">
        <v>3500</v>
      </c>
      <c r="H23" s="56">
        <v>3500</v>
      </c>
      <c r="I23" s="56">
        <v>3500</v>
      </c>
      <c r="J23" s="56">
        <v>3500</v>
      </c>
      <c r="K23" s="56">
        <v>3500</v>
      </c>
      <c r="L23" s="57">
        <v>0</v>
      </c>
      <c r="M23" s="58">
        <f t="shared" si="1"/>
        <v>17500</v>
      </c>
      <c r="N23" s="58">
        <f t="shared" si="2"/>
        <v>17500</v>
      </c>
    </row>
    <row r="24" spans="1:14">
      <c r="A24" s="1" t="s">
        <v>1</v>
      </c>
      <c r="B24" s="19" t="s">
        <v>41</v>
      </c>
      <c r="C24" s="56">
        <v>0</v>
      </c>
      <c r="D24" s="56">
        <v>0</v>
      </c>
      <c r="E24" s="68">
        <v>0</v>
      </c>
      <c r="F24" s="58">
        <f t="shared" si="0"/>
        <v>0</v>
      </c>
      <c r="G24" s="55">
        <v>0</v>
      </c>
      <c r="H24" s="56">
        <v>7600</v>
      </c>
      <c r="I24" s="56">
        <v>0</v>
      </c>
      <c r="J24" s="56">
        <v>0</v>
      </c>
      <c r="K24" s="56">
        <v>0</v>
      </c>
      <c r="L24" s="57">
        <v>0</v>
      </c>
      <c r="M24" s="58">
        <f t="shared" si="1"/>
        <v>7600</v>
      </c>
      <c r="N24" s="58">
        <f t="shared" si="2"/>
        <v>7600</v>
      </c>
    </row>
    <row r="25" spans="1:14">
      <c r="A25" s="1" t="s">
        <v>1</v>
      </c>
      <c r="B25" s="19" t="s">
        <v>27</v>
      </c>
      <c r="C25" s="56">
        <v>0</v>
      </c>
      <c r="D25" s="56">
        <v>0</v>
      </c>
      <c r="E25" s="68">
        <v>4779</v>
      </c>
      <c r="F25" s="58">
        <f t="shared" si="0"/>
        <v>4779</v>
      </c>
      <c r="G25" s="55">
        <v>96576</v>
      </c>
      <c r="H25" s="56">
        <v>18696</v>
      </c>
      <c r="I25" s="56">
        <v>41670</v>
      </c>
      <c r="J25" s="56">
        <v>65283</v>
      </c>
      <c r="K25" s="56">
        <v>95841</v>
      </c>
      <c r="L25" s="57">
        <v>61570</v>
      </c>
      <c r="M25" s="58">
        <f t="shared" si="1"/>
        <v>379636</v>
      </c>
      <c r="N25" s="58">
        <f t="shared" si="2"/>
        <v>384415</v>
      </c>
    </row>
    <row r="26" spans="1:14">
      <c r="A26" s="1" t="s">
        <v>1</v>
      </c>
      <c r="B26" s="19" t="s">
        <v>42</v>
      </c>
      <c r="C26" s="56">
        <v>0</v>
      </c>
      <c r="D26" s="56">
        <v>0</v>
      </c>
      <c r="E26" s="68">
        <v>22360</v>
      </c>
      <c r="F26" s="58">
        <f t="shared" si="0"/>
        <v>22360</v>
      </c>
      <c r="G26" s="55">
        <v>40725</v>
      </c>
      <c r="H26" s="56">
        <v>0</v>
      </c>
      <c r="I26" s="56">
        <v>13500</v>
      </c>
      <c r="J26" s="56">
        <v>40500</v>
      </c>
      <c r="K26" s="56">
        <v>52500</v>
      </c>
      <c r="L26" s="57">
        <v>11320</v>
      </c>
      <c r="M26" s="58">
        <f t="shared" si="1"/>
        <v>158545</v>
      </c>
      <c r="N26" s="58">
        <f t="shared" si="2"/>
        <v>180905</v>
      </c>
    </row>
    <row r="27" spans="1:14">
      <c r="A27" s="1" t="s">
        <v>1</v>
      </c>
      <c r="B27" s="19" t="s">
        <v>43</v>
      </c>
      <c r="C27" s="56">
        <v>0</v>
      </c>
      <c r="D27" s="56">
        <v>0</v>
      </c>
      <c r="E27" s="68">
        <v>10320</v>
      </c>
      <c r="F27" s="58">
        <f t="shared" si="0"/>
        <v>10320</v>
      </c>
      <c r="G27" s="55">
        <v>16290</v>
      </c>
      <c r="H27" s="56">
        <v>42050</v>
      </c>
      <c r="I27" s="56">
        <v>13500</v>
      </c>
      <c r="J27" s="56">
        <v>28500</v>
      </c>
      <c r="K27" s="56">
        <v>4500</v>
      </c>
      <c r="L27" s="57">
        <v>9905</v>
      </c>
      <c r="M27" s="58">
        <f t="shared" si="1"/>
        <v>114745</v>
      </c>
      <c r="N27" s="58">
        <f t="shared" si="2"/>
        <v>125065</v>
      </c>
    </row>
    <row r="28" spans="1:14">
      <c r="A28" s="1" t="s">
        <v>1</v>
      </c>
      <c r="B28" s="19" t="s">
        <v>44</v>
      </c>
      <c r="C28" s="56">
        <v>0</v>
      </c>
      <c r="D28" s="56">
        <v>0</v>
      </c>
      <c r="E28" s="68">
        <v>0</v>
      </c>
      <c r="F28" s="58">
        <f t="shared" si="0"/>
        <v>0</v>
      </c>
      <c r="G28" s="55">
        <v>0</v>
      </c>
      <c r="H28" s="56">
        <v>6976</v>
      </c>
      <c r="I28" s="56">
        <v>3501</v>
      </c>
      <c r="J28" s="56">
        <v>0</v>
      </c>
      <c r="K28" s="56">
        <v>0</v>
      </c>
      <c r="L28" s="57">
        <v>0</v>
      </c>
      <c r="M28" s="58">
        <f t="shared" si="1"/>
        <v>10477</v>
      </c>
      <c r="N28" s="58">
        <f t="shared" si="2"/>
        <v>10477</v>
      </c>
    </row>
    <row r="29" spans="1:14">
      <c r="A29" s="1" t="s">
        <v>1</v>
      </c>
      <c r="B29" s="19" t="s">
        <v>45</v>
      </c>
      <c r="C29" s="56">
        <v>0</v>
      </c>
      <c r="D29" s="56">
        <v>0</v>
      </c>
      <c r="E29" s="68">
        <v>0</v>
      </c>
      <c r="F29" s="58">
        <f t="shared" si="0"/>
        <v>0</v>
      </c>
      <c r="G29" s="55">
        <v>3376</v>
      </c>
      <c r="H29" s="56">
        <v>3488</v>
      </c>
      <c r="I29" s="56">
        <v>3501</v>
      </c>
      <c r="J29" s="56">
        <v>0</v>
      </c>
      <c r="K29" s="56">
        <v>0</v>
      </c>
      <c r="L29" s="57">
        <v>0</v>
      </c>
      <c r="M29" s="58">
        <f t="shared" si="1"/>
        <v>10365</v>
      </c>
      <c r="N29" s="58">
        <f t="shared" si="2"/>
        <v>10365</v>
      </c>
    </row>
    <row r="30" spans="1:14">
      <c r="A30" s="1" t="s">
        <v>1</v>
      </c>
      <c r="B30" s="19" t="s">
        <v>32</v>
      </c>
      <c r="C30" s="56">
        <v>0</v>
      </c>
      <c r="D30" s="56">
        <v>0</v>
      </c>
      <c r="E30" s="68">
        <v>0</v>
      </c>
      <c r="F30" s="58">
        <f t="shared" si="0"/>
        <v>0</v>
      </c>
      <c r="G30" s="55">
        <v>1812</v>
      </c>
      <c r="H30" s="56">
        <v>0</v>
      </c>
      <c r="I30" s="56">
        <v>0</v>
      </c>
      <c r="J30" s="56">
        <v>0</v>
      </c>
      <c r="K30" s="56">
        <v>2502</v>
      </c>
      <c r="L30" s="57">
        <v>0</v>
      </c>
      <c r="M30" s="58">
        <f t="shared" si="1"/>
        <v>4314</v>
      </c>
      <c r="N30" s="58">
        <f t="shared" si="2"/>
        <v>4314</v>
      </c>
    </row>
    <row r="31" spans="1:14">
      <c r="A31" s="1" t="s">
        <v>1</v>
      </c>
      <c r="B31" s="19" t="s">
        <v>33</v>
      </c>
      <c r="C31" s="56">
        <v>0</v>
      </c>
      <c r="D31" s="56">
        <v>0</v>
      </c>
      <c r="E31" s="68">
        <v>14014</v>
      </c>
      <c r="F31" s="58">
        <f t="shared" si="0"/>
        <v>14014</v>
      </c>
      <c r="G31" s="55">
        <v>0</v>
      </c>
      <c r="H31" s="56">
        <v>0</v>
      </c>
      <c r="I31" s="56">
        <v>0</v>
      </c>
      <c r="J31" s="56">
        <v>0</v>
      </c>
      <c r="K31" s="56">
        <v>0</v>
      </c>
      <c r="L31" s="57">
        <v>0</v>
      </c>
      <c r="M31" s="58">
        <f t="shared" si="1"/>
        <v>0</v>
      </c>
      <c r="N31" s="58">
        <f t="shared" si="2"/>
        <v>14014</v>
      </c>
    </row>
    <row r="32" spans="1:14">
      <c r="A32" s="1" t="s">
        <v>1</v>
      </c>
      <c r="B32" s="5" t="s">
        <v>34</v>
      </c>
      <c r="C32" s="41">
        <v>4986</v>
      </c>
      <c r="D32" s="41">
        <v>0</v>
      </c>
      <c r="E32" s="69">
        <v>0</v>
      </c>
      <c r="F32" s="9">
        <f t="shared" si="0"/>
        <v>4986</v>
      </c>
      <c r="G32" s="40">
        <v>9362</v>
      </c>
      <c r="H32" s="41">
        <v>22776</v>
      </c>
      <c r="I32" s="41">
        <v>20294</v>
      </c>
      <c r="J32" s="41">
        <v>4726</v>
      </c>
      <c r="K32" s="41">
        <v>8618</v>
      </c>
      <c r="L32" s="8">
        <v>6550</v>
      </c>
      <c r="M32" s="9">
        <f t="shared" si="1"/>
        <v>72326</v>
      </c>
      <c r="N32" s="9">
        <f t="shared" si="2"/>
        <v>77312</v>
      </c>
    </row>
    <row r="33" spans="1:14">
      <c r="A33" s="1" t="s">
        <v>1</v>
      </c>
      <c r="B33" s="13" t="s">
        <v>46</v>
      </c>
      <c r="C33" s="43">
        <v>374986</v>
      </c>
      <c r="D33" s="43">
        <v>360000</v>
      </c>
      <c r="E33" s="70">
        <v>237473</v>
      </c>
      <c r="F33" s="25">
        <f t="shared" si="0"/>
        <v>972459</v>
      </c>
      <c r="G33" s="42">
        <v>398841</v>
      </c>
      <c r="H33" s="43">
        <v>330686</v>
      </c>
      <c r="I33" s="43">
        <v>309866</v>
      </c>
      <c r="J33" s="43">
        <v>353709</v>
      </c>
      <c r="K33" s="43">
        <v>378661</v>
      </c>
      <c r="L33" s="24">
        <v>264345</v>
      </c>
      <c r="M33" s="25">
        <f t="shared" si="1"/>
        <v>2036108</v>
      </c>
      <c r="N33" s="25">
        <f t="shared" si="2"/>
        <v>3008567</v>
      </c>
    </row>
    <row r="34" spans="1:14">
      <c r="A34" s="1" t="s">
        <v>1</v>
      </c>
      <c r="B34" s="50" t="s">
        <v>47</v>
      </c>
      <c r="C34" s="52">
        <v>7335</v>
      </c>
      <c r="D34" s="52">
        <v>18055</v>
      </c>
      <c r="E34" s="67">
        <v>642</v>
      </c>
      <c r="F34" s="54">
        <f t="shared" si="0"/>
        <v>26032</v>
      </c>
      <c r="G34" s="51">
        <v>10387</v>
      </c>
      <c r="H34" s="52">
        <v>2360</v>
      </c>
      <c r="I34" s="52">
        <v>2463</v>
      </c>
      <c r="J34" s="52">
        <v>8310</v>
      </c>
      <c r="K34" s="52">
        <v>1283</v>
      </c>
      <c r="L34" s="53">
        <v>6156</v>
      </c>
      <c r="M34" s="54">
        <f t="shared" si="1"/>
        <v>30959</v>
      </c>
      <c r="N34" s="54">
        <f t="shared" si="2"/>
        <v>56991</v>
      </c>
    </row>
    <row r="35" spans="1:14">
      <c r="A35" s="1" t="s">
        <v>1</v>
      </c>
      <c r="B35" s="5" t="s">
        <v>48</v>
      </c>
      <c r="C35" s="41">
        <v>7335</v>
      </c>
      <c r="D35" s="41">
        <v>18055</v>
      </c>
      <c r="E35" s="69">
        <v>642</v>
      </c>
      <c r="F35" s="9">
        <f t="shared" si="0"/>
        <v>26032</v>
      </c>
      <c r="G35" s="40">
        <v>10387</v>
      </c>
      <c r="H35" s="41">
        <v>2360</v>
      </c>
      <c r="I35" s="41">
        <v>2463</v>
      </c>
      <c r="J35" s="41">
        <v>8310</v>
      </c>
      <c r="K35" s="41">
        <v>1283</v>
      </c>
      <c r="L35" s="8">
        <v>6156</v>
      </c>
      <c r="M35" s="9">
        <f t="shared" si="1"/>
        <v>30959</v>
      </c>
      <c r="N35" s="9">
        <f t="shared" si="2"/>
        <v>56991</v>
      </c>
    </row>
    <row r="36" spans="1:14">
      <c r="A36" s="1" t="s">
        <v>1</v>
      </c>
      <c r="B36" s="13" t="s">
        <v>49</v>
      </c>
      <c r="C36" s="43">
        <v>382321</v>
      </c>
      <c r="D36" s="43">
        <v>378055</v>
      </c>
      <c r="E36" s="70">
        <v>238115</v>
      </c>
      <c r="F36" s="25">
        <f t="shared" si="0"/>
        <v>998491</v>
      </c>
      <c r="G36" s="42">
        <v>409228</v>
      </c>
      <c r="H36" s="43">
        <v>333046</v>
      </c>
      <c r="I36" s="43">
        <v>312329</v>
      </c>
      <c r="J36" s="43">
        <v>362019</v>
      </c>
      <c r="K36" s="43">
        <v>379944</v>
      </c>
      <c r="L36" s="24">
        <v>270501</v>
      </c>
      <c r="M36" s="25">
        <f t="shared" si="1"/>
        <v>2067067</v>
      </c>
      <c r="N36" s="25">
        <f t="shared" si="2"/>
        <v>3065558</v>
      </c>
    </row>
    <row r="37" spans="1:14">
      <c r="A37" s="1" t="s">
        <v>1</v>
      </c>
      <c r="B37" s="50" t="s">
        <v>50</v>
      </c>
      <c r="C37" s="52">
        <v>19380</v>
      </c>
      <c r="D37" s="52">
        <v>19380</v>
      </c>
      <c r="E37" s="67">
        <v>11220</v>
      </c>
      <c r="F37" s="54">
        <f t="shared" si="0"/>
        <v>49980</v>
      </c>
      <c r="G37" s="51">
        <v>18360</v>
      </c>
      <c r="H37" s="52">
        <v>15300</v>
      </c>
      <c r="I37" s="52">
        <v>16320</v>
      </c>
      <c r="J37" s="52">
        <v>15300</v>
      </c>
      <c r="K37" s="52">
        <v>15300</v>
      </c>
      <c r="L37" s="53">
        <v>13260</v>
      </c>
      <c r="M37" s="54">
        <f t="shared" si="1"/>
        <v>93840</v>
      </c>
      <c r="N37" s="54">
        <f t="shared" si="2"/>
        <v>143820</v>
      </c>
    </row>
    <row r="38" spans="1:14">
      <c r="A38" s="1" t="s">
        <v>1</v>
      </c>
      <c r="B38" s="19" t="s">
        <v>51</v>
      </c>
      <c r="C38" s="56">
        <v>3420</v>
      </c>
      <c r="D38" s="56">
        <v>3420</v>
      </c>
      <c r="E38" s="68">
        <v>0</v>
      </c>
      <c r="F38" s="58">
        <f t="shared" si="0"/>
        <v>6840</v>
      </c>
      <c r="G38" s="55">
        <v>3240</v>
      </c>
      <c r="H38" s="56">
        <v>2700</v>
      </c>
      <c r="I38" s="56">
        <v>2880</v>
      </c>
      <c r="J38" s="56">
        <v>2700</v>
      </c>
      <c r="K38" s="56">
        <v>2700</v>
      </c>
      <c r="L38" s="57">
        <v>2340</v>
      </c>
      <c r="M38" s="58">
        <f t="shared" si="1"/>
        <v>16560</v>
      </c>
      <c r="N38" s="58">
        <f t="shared" si="2"/>
        <v>23400</v>
      </c>
    </row>
    <row r="39" spans="1:14">
      <c r="A39" s="1" t="s">
        <v>1</v>
      </c>
      <c r="B39" s="19" t="s">
        <v>52</v>
      </c>
      <c r="C39" s="56">
        <v>34770</v>
      </c>
      <c r="D39" s="56">
        <v>34770</v>
      </c>
      <c r="E39" s="68">
        <v>20130</v>
      </c>
      <c r="F39" s="58">
        <f t="shared" si="0"/>
        <v>89670</v>
      </c>
      <c r="G39" s="55">
        <v>32940</v>
      </c>
      <c r="H39" s="56">
        <v>27450</v>
      </c>
      <c r="I39" s="56">
        <v>29280</v>
      </c>
      <c r="J39" s="56">
        <v>27450</v>
      </c>
      <c r="K39" s="56">
        <v>27450</v>
      </c>
      <c r="L39" s="57">
        <v>23790</v>
      </c>
      <c r="M39" s="58">
        <f t="shared" si="1"/>
        <v>168360</v>
      </c>
      <c r="N39" s="58">
        <f t="shared" si="2"/>
        <v>258030</v>
      </c>
    </row>
    <row r="40" spans="1:14">
      <c r="A40" s="1" t="s">
        <v>1</v>
      </c>
      <c r="B40" s="5" t="s">
        <v>53</v>
      </c>
      <c r="C40" s="41">
        <v>2294</v>
      </c>
      <c r="D40" s="41">
        <v>2268</v>
      </c>
      <c r="E40" s="69">
        <v>1429</v>
      </c>
      <c r="F40" s="9">
        <f t="shared" si="0"/>
        <v>5991</v>
      </c>
      <c r="G40" s="40">
        <v>2455</v>
      </c>
      <c r="H40" s="41">
        <v>1998</v>
      </c>
      <c r="I40" s="41">
        <v>1874</v>
      </c>
      <c r="J40" s="41">
        <v>2172</v>
      </c>
      <c r="K40" s="41">
        <v>2280</v>
      </c>
      <c r="L40" s="8">
        <v>1623</v>
      </c>
      <c r="M40" s="9">
        <f t="shared" si="1"/>
        <v>12402</v>
      </c>
      <c r="N40" s="9">
        <f t="shared" si="2"/>
        <v>18393</v>
      </c>
    </row>
    <row r="41" spans="1:14">
      <c r="A41" s="1" t="s">
        <v>1</v>
      </c>
      <c r="B41" s="13" t="s">
        <v>54</v>
      </c>
      <c r="C41" s="43">
        <v>59864</v>
      </c>
      <c r="D41" s="43">
        <v>59838</v>
      </c>
      <c r="E41" s="70">
        <v>32779</v>
      </c>
      <c r="F41" s="25">
        <f t="shared" si="0"/>
        <v>152481</v>
      </c>
      <c r="G41" s="42">
        <v>56995</v>
      </c>
      <c r="H41" s="43">
        <v>47448</v>
      </c>
      <c r="I41" s="43">
        <v>50354</v>
      </c>
      <c r="J41" s="43">
        <v>47622</v>
      </c>
      <c r="K41" s="43">
        <v>47730</v>
      </c>
      <c r="L41" s="24">
        <v>41013</v>
      </c>
      <c r="M41" s="25">
        <f t="shared" si="1"/>
        <v>291162</v>
      </c>
      <c r="N41" s="25">
        <f t="shared" si="2"/>
        <v>443643</v>
      </c>
    </row>
    <row r="42" spans="1:14">
      <c r="A42" s="1" t="s">
        <v>1</v>
      </c>
      <c r="B42" s="50" t="s">
        <v>55</v>
      </c>
      <c r="C42" s="52">
        <v>9620</v>
      </c>
      <c r="D42" s="52">
        <v>8390</v>
      </c>
      <c r="E42" s="67">
        <v>0</v>
      </c>
      <c r="F42" s="54">
        <f t="shared" si="0"/>
        <v>18010</v>
      </c>
      <c r="G42" s="51">
        <v>0</v>
      </c>
      <c r="H42" s="52">
        <v>3961</v>
      </c>
      <c r="I42" s="52">
        <v>6890</v>
      </c>
      <c r="J42" s="52">
        <v>8880</v>
      </c>
      <c r="K42" s="52">
        <v>0</v>
      </c>
      <c r="L42" s="53">
        <v>3980</v>
      </c>
      <c r="M42" s="54">
        <f t="shared" si="1"/>
        <v>23711</v>
      </c>
      <c r="N42" s="54">
        <f t="shared" si="2"/>
        <v>41721</v>
      </c>
    </row>
    <row r="43" spans="1:14">
      <c r="A43" s="1" t="s">
        <v>1</v>
      </c>
      <c r="B43" s="19" t="s">
        <v>56</v>
      </c>
      <c r="C43" s="56">
        <v>19600</v>
      </c>
      <c r="D43" s="56">
        <v>20400</v>
      </c>
      <c r="E43" s="68">
        <v>8400</v>
      </c>
      <c r="F43" s="58">
        <f t="shared" si="0"/>
        <v>48400</v>
      </c>
      <c r="G43" s="55">
        <v>2900</v>
      </c>
      <c r="H43" s="56">
        <v>9400</v>
      </c>
      <c r="I43" s="56">
        <v>11000</v>
      </c>
      <c r="J43" s="56">
        <v>10500</v>
      </c>
      <c r="K43" s="56">
        <v>6800</v>
      </c>
      <c r="L43" s="57">
        <v>0</v>
      </c>
      <c r="M43" s="58">
        <f t="shared" si="1"/>
        <v>40600</v>
      </c>
      <c r="N43" s="58">
        <f t="shared" si="2"/>
        <v>89000</v>
      </c>
    </row>
    <row r="44" spans="1:14">
      <c r="A44" s="1" t="s">
        <v>1</v>
      </c>
      <c r="B44" s="5" t="s">
        <v>57</v>
      </c>
      <c r="C44" s="41">
        <v>0</v>
      </c>
      <c r="D44" s="41">
        <v>0</v>
      </c>
      <c r="E44" s="69">
        <v>0</v>
      </c>
      <c r="F44" s="9">
        <f t="shared" si="0"/>
        <v>0</v>
      </c>
      <c r="G44" s="40">
        <v>29200</v>
      </c>
      <c r="H44" s="41">
        <v>28600</v>
      </c>
      <c r="I44" s="41">
        <v>28400</v>
      </c>
      <c r="J44" s="41">
        <v>29200</v>
      </c>
      <c r="K44" s="41">
        <v>29200</v>
      </c>
      <c r="L44" s="8">
        <v>0</v>
      </c>
      <c r="M44" s="9">
        <f t="shared" si="1"/>
        <v>144600</v>
      </c>
      <c r="N44" s="9">
        <f t="shared" si="2"/>
        <v>144600</v>
      </c>
    </row>
    <row r="45" spans="1:14">
      <c r="A45" s="1" t="s">
        <v>1</v>
      </c>
      <c r="B45" s="13" t="s">
        <v>58</v>
      </c>
      <c r="C45" s="43">
        <v>89084</v>
      </c>
      <c r="D45" s="43">
        <v>88628</v>
      </c>
      <c r="E45" s="70">
        <v>41179</v>
      </c>
      <c r="F45" s="25">
        <f t="shared" si="0"/>
        <v>218891</v>
      </c>
      <c r="G45" s="42">
        <v>89095</v>
      </c>
      <c r="H45" s="43">
        <v>89409</v>
      </c>
      <c r="I45" s="43">
        <v>96644</v>
      </c>
      <c r="J45" s="43">
        <v>96202</v>
      </c>
      <c r="K45" s="43">
        <v>83730</v>
      </c>
      <c r="L45" s="24">
        <v>44993</v>
      </c>
      <c r="M45" s="25">
        <f t="shared" si="1"/>
        <v>500073</v>
      </c>
      <c r="N45" s="25">
        <f t="shared" si="2"/>
        <v>718964</v>
      </c>
    </row>
    <row r="46" spans="1:14">
      <c r="A46" s="1" t="s">
        <v>1</v>
      </c>
      <c r="B46" s="13" t="s">
        <v>59</v>
      </c>
      <c r="C46" s="43">
        <v>315122</v>
      </c>
      <c r="D46" s="43">
        <v>300162</v>
      </c>
      <c r="E46" s="70">
        <v>204694</v>
      </c>
      <c r="F46" s="25">
        <f t="shared" si="0"/>
        <v>819978</v>
      </c>
      <c r="G46" s="42">
        <v>341846</v>
      </c>
      <c r="H46" s="43">
        <v>283238</v>
      </c>
      <c r="I46" s="43">
        <v>259512</v>
      </c>
      <c r="J46" s="43">
        <v>306087</v>
      </c>
      <c r="K46" s="43">
        <v>330931</v>
      </c>
      <c r="L46" s="24">
        <v>223332</v>
      </c>
      <c r="M46" s="25">
        <f t="shared" si="1"/>
        <v>1744946</v>
      </c>
      <c r="N46" s="25">
        <f t="shared" si="2"/>
        <v>2564924</v>
      </c>
    </row>
    <row r="47" spans="1:14">
      <c r="A47" s="1" t="s">
        <v>1</v>
      </c>
      <c r="B47" s="13" t="s">
        <v>60</v>
      </c>
      <c r="C47" s="43">
        <v>293237</v>
      </c>
      <c r="D47" s="43">
        <v>289427</v>
      </c>
      <c r="E47" s="70">
        <v>196936</v>
      </c>
      <c r="F47" s="25">
        <f t="shared" si="0"/>
        <v>779600</v>
      </c>
      <c r="G47" s="42">
        <v>320133</v>
      </c>
      <c r="H47" s="43">
        <v>243637</v>
      </c>
      <c r="I47" s="43">
        <v>215685</v>
      </c>
      <c r="J47" s="43">
        <v>265817</v>
      </c>
      <c r="K47" s="43">
        <v>296214</v>
      </c>
      <c r="L47" s="24">
        <v>225508</v>
      </c>
      <c r="M47" s="25">
        <f t="shared" si="1"/>
        <v>1566994</v>
      </c>
      <c r="N47" s="25">
        <f t="shared" si="2"/>
        <v>2346594</v>
      </c>
    </row>
    <row r="48" spans="1:14">
      <c r="A48" s="1" t="s">
        <v>1</v>
      </c>
      <c r="B48" s="13" t="s">
        <v>61</v>
      </c>
      <c r="C48" s="43">
        <v>293237</v>
      </c>
      <c r="D48" s="43">
        <v>289427</v>
      </c>
      <c r="E48" s="70">
        <v>196936</v>
      </c>
      <c r="F48" s="25">
        <f t="shared" si="0"/>
        <v>779600</v>
      </c>
      <c r="G48" s="42">
        <v>320133</v>
      </c>
      <c r="H48" s="43">
        <v>243637</v>
      </c>
      <c r="I48" s="43">
        <v>215685</v>
      </c>
      <c r="J48" s="43">
        <v>265817</v>
      </c>
      <c r="K48" s="43">
        <v>296214</v>
      </c>
      <c r="L48" s="24">
        <v>225508</v>
      </c>
      <c r="M48" s="25">
        <f t="shared" si="1"/>
        <v>1566994</v>
      </c>
      <c r="N48" s="25">
        <f t="shared" si="2"/>
        <v>2346594</v>
      </c>
    </row>
    <row r="49" spans="1:14">
      <c r="A49" s="1" t="s">
        <v>1</v>
      </c>
      <c r="B49" s="13" t="s">
        <v>62</v>
      </c>
      <c r="C49" s="43">
        <v>0</v>
      </c>
      <c r="D49" s="43">
        <v>0</v>
      </c>
      <c r="E49" s="70">
        <v>0</v>
      </c>
      <c r="F49" s="25">
        <f t="shared" si="0"/>
        <v>0</v>
      </c>
      <c r="G49" s="42">
        <v>2</v>
      </c>
      <c r="H49" s="43">
        <v>1</v>
      </c>
      <c r="I49" s="43">
        <v>0</v>
      </c>
      <c r="J49" s="43">
        <v>0</v>
      </c>
      <c r="K49" s="43">
        <v>1</v>
      </c>
      <c r="L49" s="24">
        <v>1</v>
      </c>
      <c r="M49" s="25"/>
      <c r="N49" s="25"/>
    </row>
    <row r="50" spans="1:14">
      <c r="A50" s="1" t="s">
        <v>1</v>
      </c>
      <c r="B50" s="13" t="s">
        <v>63</v>
      </c>
      <c r="C50" s="45" t="s">
        <v>64</v>
      </c>
      <c r="D50" s="45" t="s">
        <v>64</v>
      </c>
      <c r="E50" s="71" t="s">
        <v>64</v>
      </c>
      <c r="F50" s="27"/>
      <c r="G50" s="44" t="s">
        <v>64</v>
      </c>
      <c r="H50" s="45" t="s">
        <v>64</v>
      </c>
      <c r="I50" s="45" t="s">
        <v>64</v>
      </c>
      <c r="J50" s="45" t="s">
        <v>64</v>
      </c>
      <c r="K50" s="45" t="s">
        <v>64</v>
      </c>
      <c r="L50" s="26" t="s">
        <v>64</v>
      </c>
      <c r="M50" s="27"/>
      <c r="N50" s="27"/>
    </row>
    <row r="51" spans="1:14">
      <c r="A51" s="1" t="s">
        <v>1</v>
      </c>
      <c r="B51" s="13" t="s">
        <v>65</v>
      </c>
      <c r="C51" s="43">
        <v>9620</v>
      </c>
      <c r="D51" s="43">
        <v>8390</v>
      </c>
      <c r="E51" s="70">
        <v>4930</v>
      </c>
      <c r="F51" s="25">
        <f t="shared" si="0"/>
        <v>22940</v>
      </c>
      <c r="G51" s="42">
        <v>6810</v>
      </c>
      <c r="H51" s="43">
        <v>6120</v>
      </c>
      <c r="I51" s="43">
        <v>6890</v>
      </c>
      <c r="J51" s="43">
        <v>8880</v>
      </c>
      <c r="K51" s="43">
        <v>7980</v>
      </c>
      <c r="L51" s="24">
        <v>3980</v>
      </c>
      <c r="M51" s="25">
        <f t="shared" si="1"/>
        <v>40660</v>
      </c>
      <c r="N51" s="25">
        <f t="shared" si="2"/>
        <v>63600</v>
      </c>
    </row>
    <row r="52" spans="1:14">
      <c r="A52" s="1" t="s">
        <v>1</v>
      </c>
      <c r="B52" s="13" t="s">
        <v>66</v>
      </c>
      <c r="C52" s="43">
        <v>0</v>
      </c>
      <c r="D52" s="43">
        <v>0</v>
      </c>
      <c r="E52" s="70">
        <v>4930</v>
      </c>
      <c r="F52" s="25">
        <f t="shared" si="0"/>
        <v>4930</v>
      </c>
      <c r="G52" s="42">
        <v>6810</v>
      </c>
      <c r="H52" s="43">
        <v>2159</v>
      </c>
      <c r="I52" s="43">
        <v>0</v>
      </c>
      <c r="J52" s="43">
        <v>0</v>
      </c>
      <c r="K52" s="43">
        <v>7980</v>
      </c>
      <c r="L52" s="24">
        <v>0</v>
      </c>
      <c r="M52" s="25">
        <f t="shared" si="1"/>
        <v>16949</v>
      </c>
      <c r="N52" s="25">
        <f t="shared" si="2"/>
        <v>21879</v>
      </c>
    </row>
    <row r="53" spans="1:14" ht="19.5" thickBot="1">
      <c r="A53" s="1" t="s">
        <v>1</v>
      </c>
      <c r="B53" s="10" t="s">
        <v>67</v>
      </c>
      <c r="C53" s="47">
        <v>60000</v>
      </c>
      <c r="D53" s="47">
        <v>30000</v>
      </c>
      <c r="E53" s="72">
        <v>30000</v>
      </c>
      <c r="F53" s="12"/>
      <c r="G53" s="46">
        <v>120000</v>
      </c>
      <c r="H53" s="47">
        <v>30000</v>
      </c>
      <c r="I53" s="47">
        <v>30000</v>
      </c>
      <c r="J53" s="47">
        <v>30000</v>
      </c>
      <c r="K53" s="47">
        <v>90000</v>
      </c>
      <c r="L53" s="11">
        <v>0</v>
      </c>
      <c r="M53" s="12"/>
      <c r="N53" s="12"/>
    </row>
  </sheetData>
  <phoneticPr fontId="4"/>
  <pageMargins left="0.31496062992125984" right="0.31496062992125984" top="0.15748031496062992" bottom="0.15748031496062992" header="0.31496062992125984" footer="0.31496062992125984"/>
  <pageSetup paperSize="12" scale="7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2024年10月度給与 (2)</vt:lpstr>
      <vt:lpstr>'2024年10月度給与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2024-11-07T07:01:26Z</cp:lastPrinted>
  <dcterms:created xsi:type="dcterms:W3CDTF">2024-11-07T04:09:20Z</dcterms:created>
  <dcterms:modified xsi:type="dcterms:W3CDTF">2024-11-08T07:50:03Z</dcterms:modified>
</cp:coreProperties>
</file>