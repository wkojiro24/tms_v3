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0\"/>
    </mc:Choice>
  </mc:AlternateContent>
  <xr:revisionPtr revIDLastSave="0" documentId="13_ncr:1_{5CC6FC58-25F8-47B4-A73E-C5B28184A366}" xr6:coauthVersionLast="47" xr6:coauthVersionMax="47" xr10:uidLastSave="{00000000-0000-0000-0000-000000000000}"/>
  <bookViews>
    <workbookView xWindow="-120" yWindow="-120" windowWidth="20730" windowHeight="11040" xr2:uid="{3BF3410A-2AAE-4DDE-8F4E-A3A744E44511}"/>
  </bookViews>
  <sheets>
    <sheet name="2024年10月度給与 (2)" sheetId="4" r:id="rId1"/>
  </sheets>
  <definedNames>
    <definedName name="_xlnm.Print_Area" localSheetId="0">'2024年10月度給与 (2)'!$A$1:$J$43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J7" i="4"/>
  <c r="J10" i="4"/>
  <c r="I6" i="4"/>
  <c r="I7" i="4"/>
  <c r="I8" i="4"/>
  <c r="J8" i="4" s="1"/>
  <c r="I9" i="4"/>
  <c r="J9" i="4" s="1"/>
  <c r="I10" i="4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41" i="4"/>
  <c r="J41" i="4" s="1"/>
  <c r="I42" i="4"/>
  <c r="J42" i="4" s="1"/>
  <c r="I5" i="4"/>
  <c r="J5" i="4" s="1"/>
  <c r="D6" i="4"/>
  <c r="D7" i="4"/>
  <c r="D8" i="4"/>
  <c r="D9" i="4"/>
  <c r="D10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41" i="4"/>
  <c r="D42" i="4"/>
  <c r="D5" i="4"/>
</calcChain>
</file>

<file path=xl/sharedStrings.xml><?xml version="1.0" encoding="utf-8"?>
<sst xmlns="http://schemas.openxmlformats.org/spreadsheetml/2006/main" count="102" uniqueCount="57">
  <si>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</si>
  <si>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</si>
  <si>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</si>
  <si>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</si>
  <si>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</si>
  <si>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1113</t>
    <phoneticPr fontId="4"/>
  </si>
  <si>
    <t>1114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</si>
  <si>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</si>
  <si>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</si>
  <si>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</si>
  <si>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</si>
  <si>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伊藤憲男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</si>
  <si>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</si>
  <si>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</si>
  <si>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</si>
  <si>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</si>
  <si>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</si>
  <si>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</si>
  <si>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</si>
  <si>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</si>
  <si>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</si>
  <si>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</si>
  <si>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</si>
  <si>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</si>
  <si>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</si>
  <si>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</si>
  <si>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</si>
  <si>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</si>
  <si>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</si>
  <si>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</si>
  <si>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</si>
  <si>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</si>
  <si>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</si>
  <si>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</si>
  <si>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</si>
  <si>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</si>
  <si>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</si>
  <si>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</si>
  <si>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</si>
  <si>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</si>
  <si>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</si>
  <si>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</si>
  <si>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</si>
  <si>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</si>
  <si>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</si>
  <si>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</si>
  <si>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</si>
  <si>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</si>
  <si>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</si>
  <si>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</si>
  <si>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</si>
  <si>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2024年10月度給与</t>
    <phoneticPr fontId="4"/>
  </si>
  <si>
    <t>吉田　亨</t>
    <phoneticPr fontId="4"/>
  </si>
  <si>
    <t>小計</t>
    <rPh sb="0" eb="2">
      <t>ショウケイ</t>
    </rPh>
    <phoneticPr fontId="3"/>
  </si>
  <si>
    <t>1名</t>
    <rPh sb="1" eb="2">
      <t>メイ</t>
    </rPh>
    <phoneticPr fontId="3"/>
  </si>
  <si>
    <t>4名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</si>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</sst>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176" fontId="2" fillId="0" borderId="10" xfId="1" applyNumberFormat="1" applyFont="1" applyBorder="1"/>
    <xf numFmtId="176" fontId="2" fillId="0" borderId="11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2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16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0" xfId="1" applyNumberFormat="1" applyFont="1" applyBorder="1"/>
    <xf numFmtId="49" fontId="2" fillId="0" borderId="24" xfId="1" applyNumberFormat="1" applyFont="1" applyBorder="1" applyAlignment="1">
      <alignment horizontal="left"/>
    </xf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0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0" fontId="2" fillId="0" borderId="5" xfId="1" applyFont="1" applyBorder="1"/>
  </cellXfs>
  <cellStyles count="2">
    <cellStyle name="標準" xfId="0" builtinId="0"/>
    <cellStyle name="標準 2" xfId="1" xr:uid="{52CCE892-A832-44E8-85F2-43CB39B147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B055-81F8-421B-8248-0CAEA64B8D8F}">
  <sheetPr>
    <pageSetUpPr fitToPage="1"/>
  </sheetPr>
  <dimension ref="A1:J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0" width="15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4" width="8" style="2" bestFit="1" customWidth="1"/>
    <col min="265" max="265" width="9.625" style="2" bestFit="1" customWidth="1"/>
    <col min="266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0" width="8" style="2" bestFit="1" customWidth="1"/>
    <col min="521" max="521" width="9.625" style="2" bestFit="1" customWidth="1"/>
    <col min="522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6" width="8" style="2" bestFit="1" customWidth="1"/>
    <col min="777" max="777" width="9.625" style="2" bestFit="1" customWidth="1"/>
    <col min="778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2" width="8" style="2" bestFit="1" customWidth="1"/>
    <col min="1033" max="1033" width="9.625" style="2" bestFit="1" customWidth="1"/>
    <col min="1034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88" width="8" style="2" bestFit="1" customWidth="1"/>
    <col min="1289" max="1289" width="9.625" style="2" bestFit="1" customWidth="1"/>
    <col min="1290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4" width="8" style="2" bestFit="1" customWidth="1"/>
    <col min="1545" max="1545" width="9.625" style="2" bestFit="1" customWidth="1"/>
    <col min="1546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0" width="8" style="2" bestFit="1" customWidth="1"/>
    <col min="1801" max="1801" width="9.625" style="2" bestFit="1" customWidth="1"/>
    <col min="1802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6" width="8" style="2" bestFit="1" customWidth="1"/>
    <col min="2057" max="2057" width="9.625" style="2" bestFit="1" customWidth="1"/>
    <col min="2058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2" width="8" style="2" bestFit="1" customWidth="1"/>
    <col min="2313" max="2313" width="9.625" style="2" bestFit="1" customWidth="1"/>
    <col min="2314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68" width="8" style="2" bestFit="1" customWidth="1"/>
    <col min="2569" max="2569" width="9.625" style="2" bestFit="1" customWidth="1"/>
    <col min="2570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4" width="8" style="2" bestFit="1" customWidth="1"/>
    <col min="2825" max="2825" width="9.625" style="2" bestFit="1" customWidth="1"/>
    <col min="2826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0" width="8" style="2" bestFit="1" customWidth="1"/>
    <col min="3081" max="3081" width="9.625" style="2" bestFit="1" customWidth="1"/>
    <col min="3082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6" width="8" style="2" bestFit="1" customWidth="1"/>
    <col min="3337" max="3337" width="9.625" style="2" bestFit="1" customWidth="1"/>
    <col min="3338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2" width="8" style="2" bestFit="1" customWidth="1"/>
    <col min="3593" max="3593" width="9.625" style="2" bestFit="1" customWidth="1"/>
    <col min="3594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48" width="8" style="2" bestFit="1" customWidth="1"/>
    <col min="3849" max="3849" width="9.625" style="2" bestFit="1" customWidth="1"/>
    <col min="3850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4" width="8" style="2" bestFit="1" customWidth="1"/>
    <col min="4105" max="4105" width="9.625" style="2" bestFit="1" customWidth="1"/>
    <col min="4106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0" width="8" style="2" bestFit="1" customWidth="1"/>
    <col min="4361" max="4361" width="9.625" style="2" bestFit="1" customWidth="1"/>
    <col min="4362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6" width="8" style="2" bestFit="1" customWidth="1"/>
    <col min="4617" max="4617" width="9.625" style="2" bestFit="1" customWidth="1"/>
    <col min="4618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2" width="8" style="2" bestFit="1" customWidth="1"/>
    <col min="4873" max="4873" width="9.625" style="2" bestFit="1" customWidth="1"/>
    <col min="4874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28" width="8" style="2" bestFit="1" customWidth="1"/>
    <col min="5129" max="5129" width="9.625" style="2" bestFit="1" customWidth="1"/>
    <col min="5130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4" width="8" style="2" bestFit="1" customWidth="1"/>
    <col min="5385" max="5385" width="9.625" style="2" bestFit="1" customWidth="1"/>
    <col min="5386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0" width="8" style="2" bestFit="1" customWidth="1"/>
    <col min="5641" max="5641" width="9.625" style="2" bestFit="1" customWidth="1"/>
    <col min="5642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6" width="8" style="2" bestFit="1" customWidth="1"/>
    <col min="5897" max="5897" width="9.625" style="2" bestFit="1" customWidth="1"/>
    <col min="5898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2" width="8" style="2" bestFit="1" customWidth="1"/>
    <col min="6153" max="6153" width="9.625" style="2" bestFit="1" customWidth="1"/>
    <col min="6154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08" width="8" style="2" bestFit="1" customWidth="1"/>
    <col min="6409" max="6409" width="9.625" style="2" bestFit="1" customWidth="1"/>
    <col min="6410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4" width="8" style="2" bestFit="1" customWidth="1"/>
    <col min="6665" max="6665" width="9.625" style="2" bestFit="1" customWidth="1"/>
    <col min="6666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0" width="8" style="2" bestFit="1" customWidth="1"/>
    <col min="6921" max="6921" width="9.625" style="2" bestFit="1" customWidth="1"/>
    <col min="6922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6" width="8" style="2" bestFit="1" customWidth="1"/>
    <col min="7177" max="7177" width="9.625" style="2" bestFit="1" customWidth="1"/>
    <col min="7178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2" width="8" style="2" bestFit="1" customWidth="1"/>
    <col min="7433" max="7433" width="9.625" style="2" bestFit="1" customWidth="1"/>
    <col min="7434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88" width="8" style="2" bestFit="1" customWidth="1"/>
    <col min="7689" max="7689" width="9.625" style="2" bestFit="1" customWidth="1"/>
    <col min="7690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4" width="8" style="2" bestFit="1" customWidth="1"/>
    <col min="7945" max="7945" width="9.625" style="2" bestFit="1" customWidth="1"/>
    <col min="7946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0" width="8" style="2" bestFit="1" customWidth="1"/>
    <col min="8201" max="8201" width="9.625" style="2" bestFit="1" customWidth="1"/>
    <col min="8202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6" width="8" style="2" bestFit="1" customWidth="1"/>
    <col min="8457" max="8457" width="9.625" style="2" bestFit="1" customWidth="1"/>
    <col min="8458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2" width="8" style="2" bestFit="1" customWidth="1"/>
    <col min="8713" max="8713" width="9.625" style="2" bestFit="1" customWidth="1"/>
    <col min="8714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68" width="8" style="2" bestFit="1" customWidth="1"/>
    <col min="8969" max="8969" width="9.625" style="2" bestFit="1" customWidth="1"/>
    <col min="8970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4" width="8" style="2" bestFit="1" customWidth="1"/>
    <col min="9225" max="9225" width="9.625" style="2" bestFit="1" customWidth="1"/>
    <col min="9226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0" width="8" style="2" bestFit="1" customWidth="1"/>
    <col min="9481" max="9481" width="9.625" style="2" bestFit="1" customWidth="1"/>
    <col min="9482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6" width="8" style="2" bestFit="1" customWidth="1"/>
    <col min="9737" max="9737" width="9.625" style="2" bestFit="1" customWidth="1"/>
    <col min="9738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2" width="8" style="2" bestFit="1" customWidth="1"/>
    <col min="9993" max="9993" width="9.625" style="2" bestFit="1" customWidth="1"/>
    <col min="9994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48" width="8" style="2" bestFit="1" customWidth="1"/>
    <col min="10249" max="10249" width="9.625" style="2" bestFit="1" customWidth="1"/>
    <col min="10250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4" width="8" style="2" bestFit="1" customWidth="1"/>
    <col min="10505" max="10505" width="9.625" style="2" bestFit="1" customWidth="1"/>
    <col min="10506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0" width="8" style="2" bestFit="1" customWidth="1"/>
    <col min="10761" max="10761" width="9.625" style="2" bestFit="1" customWidth="1"/>
    <col min="10762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6" width="8" style="2" bestFit="1" customWidth="1"/>
    <col min="11017" max="11017" width="9.625" style="2" bestFit="1" customWidth="1"/>
    <col min="11018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2" width="8" style="2" bestFit="1" customWidth="1"/>
    <col min="11273" max="11273" width="9.625" style="2" bestFit="1" customWidth="1"/>
    <col min="11274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28" width="8" style="2" bestFit="1" customWidth="1"/>
    <col min="11529" max="11529" width="9.625" style="2" bestFit="1" customWidth="1"/>
    <col min="11530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4" width="8" style="2" bestFit="1" customWidth="1"/>
    <col min="11785" max="11785" width="9.625" style="2" bestFit="1" customWidth="1"/>
    <col min="11786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0" width="8" style="2" bestFit="1" customWidth="1"/>
    <col min="12041" max="12041" width="9.625" style="2" bestFit="1" customWidth="1"/>
    <col min="12042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6" width="8" style="2" bestFit="1" customWidth="1"/>
    <col min="12297" max="12297" width="9.625" style="2" bestFit="1" customWidth="1"/>
    <col min="12298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2" width="8" style="2" bestFit="1" customWidth="1"/>
    <col min="12553" max="12553" width="9.625" style="2" bestFit="1" customWidth="1"/>
    <col min="12554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08" width="8" style="2" bestFit="1" customWidth="1"/>
    <col min="12809" max="12809" width="9.625" style="2" bestFit="1" customWidth="1"/>
    <col min="12810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4" width="8" style="2" bestFit="1" customWidth="1"/>
    <col min="13065" max="13065" width="9.625" style="2" bestFit="1" customWidth="1"/>
    <col min="13066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0" width="8" style="2" bestFit="1" customWidth="1"/>
    <col min="13321" max="13321" width="9.625" style="2" bestFit="1" customWidth="1"/>
    <col min="13322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6" width="8" style="2" bestFit="1" customWidth="1"/>
    <col min="13577" max="13577" width="9.625" style="2" bestFit="1" customWidth="1"/>
    <col min="13578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2" width="8" style="2" bestFit="1" customWidth="1"/>
    <col min="13833" max="13833" width="9.625" style="2" bestFit="1" customWidth="1"/>
    <col min="13834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88" width="8" style="2" bestFit="1" customWidth="1"/>
    <col min="14089" max="14089" width="9.625" style="2" bestFit="1" customWidth="1"/>
    <col min="14090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4" width="8" style="2" bestFit="1" customWidth="1"/>
    <col min="14345" max="14345" width="9.625" style="2" bestFit="1" customWidth="1"/>
    <col min="14346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0" width="8" style="2" bestFit="1" customWidth="1"/>
    <col min="14601" max="14601" width="9.625" style="2" bestFit="1" customWidth="1"/>
    <col min="14602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6" width="8" style="2" bestFit="1" customWidth="1"/>
    <col min="14857" max="14857" width="9.625" style="2" bestFit="1" customWidth="1"/>
    <col min="14858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2" width="8" style="2" bestFit="1" customWidth="1"/>
    <col min="15113" max="15113" width="9.625" style="2" bestFit="1" customWidth="1"/>
    <col min="15114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68" width="8" style="2" bestFit="1" customWidth="1"/>
    <col min="15369" max="15369" width="9.625" style="2" bestFit="1" customWidth="1"/>
    <col min="15370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4" width="8" style="2" bestFit="1" customWidth="1"/>
    <col min="15625" max="15625" width="9.625" style="2" bestFit="1" customWidth="1"/>
    <col min="15626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0" width="8" style="2" bestFit="1" customWidth="1"/>
    <col min="15881" max="15881" width="9.625" style="2" bestFit="1" customWidth="1"/>
    <col min="15882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6" width="8" style="2" bestFit="1" customWidth="1"/>
    <col min="16137" max="16137" width="9.625" style="2" bestFit="1" customWidth="1"/>
    <col min="16138" max="16384" width="9" style="2"/>
  </cols>
  <sheetData>
    <row r="1" spans="1:10">
      <c r="A1" s="1" t="s">
        <v>0</v>
      </c>
    </row>
    <row r="2" spans="1:10" ht="19.5" thickBot="1">
      <c r="A2" s="1" t="s">
        <v>51</v>
      </c>
    </row>
    <row r="3" spans="1:10">
      <c r="B3" s="14"/>
      <c r="C3" s="62" t="s">
        <v>4</v>
      </c>
      <c r="D3" s="75" t="s">
        <v>53</v>
      </c>
      <c r="E3" s="15" t="s">
        <v>2</v>
      </c>
      <c r="F3" s="16" t="s">
        <v>3</v>
      </c>
      <c r="G3" s="16" t="s">
        <v>5</v>
      </c>
      <c r="H3" s="4" t="s">
        <v>6</v>
      </c>
      <c r="I3" s="75" t="s">
        <v>53</v>
      </c>
      <c r="J3" s="77" t="s">
        <v>12</v>
      </c>
    </row>
    <row r="4" spans="1:10" ht="19.5" thickBot="1">
      <c r="B4" s="5" t="s">
        <v>7</v>
      </c>
      <c r="C4" s="63" t="s">
        <v>10</v>
      </c>
      <c r="D4" s="76" t="s">
        <v>54</v>
      </c>
      <c r="E4" s="17" t="s">
        <v>8</v>
      </c>
      <c r="F4" s="18" t="s">
        <v>9</v>
      </c>
      <c r="G4" s="18" t="s">
        <v>11</v>
      </c>
      <c r="H4" s="3" t="s">
        <v>52</v>
      </c>
      <c r="I4" s="76" t="s">
        <v>55</v>
      </c>
      <c r="J4" s="61" t="s">
        <v>56</v>
      </c>
    </row>
    <row r="5" spans="1:10">
      <c r="A5" s="1" t="s">
        <v>1</v>
      </c>
      <c r="B5" s="48" t="s">
        <v>13</v>
      </c>
      <c r="C5" s="64">
        <v>22</v>
      </c>
      <c r="D5" s="52">
        <f>SUM(C5)</f>
        <v>22</v>
      </c>
      <c r="E5" s="49">
        <v>22</v>
      </c>
      <c r="F5" s="50">
        <v>22</v>
      </c>
      <c r="G5" s="50">
        <v>19</v>
      </c>
      <c r="H5" s="51">
        <v>23</v>
      </c>
      <c r="I5" s="52">
        <f>SUM(E5:H5)</f>
        <v>86</v>
      </c>
      <c r="J5" s="52">
        <f>SUM(I5,D5)</f>
        <v>108</v>
      </c>
    </row>
    <row r="6" spans="1:10">
      <c r="A6" s="1" t="s">
        <v>1</v>
      </c>
      <c r="B6" s="43" t="s">
        <v>14</v>
      </c>
      <c r="C6" s="65">
        <v>0</v>
      </c>
      <c r="D6" s="56">
        <f t="shared" ref="D6:D42" si="0">SUM(C6)</f>
        <v>0</v>
      </c>
      <c r="E6" s="53">
        <v>1</v>
      </c>
      <c r="F6" s="54">
        <v>1</v>
      </c>
      <c r="G6" s="54">
        <v>0</v>
      </c>
      <c r="H6" s="55">
        <v>0</v>
      </c>
      <c r="I6" s="56">
        <f t="shared" ref="I6:I42" si="1">SUM(E6:H6)</f>
        <v>2</v>
      </c>
      <c r="J6" s="56">
        <f t="shared" ref="J6:J42" si="2">SUM(I6,D6)</f>
        <v>2</v>
      </c>
    </row>
    <row r="7" spans="1:10">
      <c r="A7" s="1" t="s">
        <v>1</v>
      </c>
      <c r="B7" s="43" t="s">
        <v>15</v>
      </c>
      <c r="C7" s="65">
        <v>1</v>
      </c>
      <c r="D7" s="56">
        <f t="shared" si="0"/>
        <v>1</v>
      </c>
      <c r="E7" s="53">
        <v>1</v>
      </c>
      <c r="F7" s="54">
        <v>1</v>
      </c>
      <c r="G7" s="54">
        <v>4</v>
      </c>
      <c r="H7" s="55">
        <v>0</v>
      </c>
      <c r="I7" s="56">
        <f t="shared" si="1"/>
        <v>6</v>
      </c>
      <c r="J7" s="56">
        <f t="shared" si="2"/>
        <v>7</v>
      </c>
    </row>
    <row r="8" spans="1:10">
      <c r="A8" s="1" t="s">
        <v>1</v>
      </c>
      <c r="B8" s="43" t="s">
        <v>16</v>
      </c>
      <c r="C8" s="66">
        <v>0</v>
      </c>
      <c r="D8" s="60">
        <f t="shared" si="0"/>
        <v>0</v>
      </c>
      <c r="E8" s="57">
        <v>2.2916666666666665</v>
      </c>
      <c r="F8" s="58">
        <v>2.4166666666666665</v>
      </c>
      <c r="G8" s="58">
        <v>1.2916666666666667</v>
      </c>
      <c r="H8" s="59">
        <v>1.7916666666666665</v>
      </c>
      <c r="I8" s="60">
        <f t="shared" si="1"/>
        <v>7.7916666666666661</v>
      </c>
      <c r="J8" s="60">
        <f t="shared" si="2"/>
        <v>7.7916666666666661</v>
      </c>
    </row>
    <row r="9" spans="1:10">
      <c r="A9" s="1" t="s">
        <v>1</v>
      </c>
      <c r="B9" s="43" t="s">
        <v>17</v>
      </c>
      <c r="C9" s="66">
        <v>0</v>
      </c>
      <c r="D9" s="60">
        <f t="shared" si="0"/>
        <v>0</v>
      </c>
      <c r="E9" s="57">
        <v>8.3333333333333329E-2</v>
      </c>
      <c r="F9" s="58">
        <v>8.3333333333333329E-2</v>
      </c>
      <c r="G9" s="58">
        <v>0</v>
      </c>
      <c r="H9" s="59">
        <v>0</v>
      </c>
      <c r="I9" s="60">
        <f t="shared" si="1"/>
        <v>0.16666666666666666</v>
      </c>
      <c r="J9" s="60">
        <f t="shared" si="2"/>
        <v>0.16666666666666666</v>
      </c>
    </row>
    <row r="10" spans="1:10">
      <c r="A10" s="1" t="s">
        <v>1</v>
      </c>
      <c r="B10" s="6" t="s">
        <v>18</v>
      </c>
      <c r="C10" s="67">
        <v>0.45833333333333331</v>
      </c>
      <c r="D10" s="8">
        <f t="shared" si="0"/>
        <v>0.45833333333333331</v>
      </c>
      <c r="E10" s="19">
        <v>0.5</v>
      </c>
      <c r="F10" s="20">
        <v>0.16666666666666666</v>
      </c>
      <c r="G10" s="20">
        <v>0.16666666666666666</v>
      </c>
      <c r="H10" s="7">
        <v>0.125</v>
      </c>
      <c r="I10" s="8">
        <f t="shared" si="1"/>
        <v>0.95833333333333326</v>
      </c>
      <c r="J10" s="8">
        <f t="shared" si="2"/>
        <v>1.4166666666666665</v>
      </c>
    </row>
    <row r="11" spans="1:10">
      <c r="A11" s="1" t="s">
        <v>1</v>
      </c>
      <c r="B11" s="25" t="s">
        <v>19</v>
      </c>
      <c r="C11" s="68">
        <v>29.5</v>
      </c>
      <c r="D11" s="29"/>
      <c r="E11" s="26">
        <v>22</v>
      </c>
      <c r="F11" s="27">
        <v>30</v>
      </c>
      <c r="G11" s="27">
        <v>4</v>
      </c>
      <c r="H11" s="28">
        <v>4</v>
      </c>
      <c r="I11" s="29"/>
      <c r="J11" s="29"/>
    </row>
    <row r="12" spans="1:10">
      <c r="A12" s="1" t="s">
        <v>1</v>
      </c>
      <c r="B12" s="38" t="s">
        <v>20</v>
      </c>
      <c r="C12" s="69">
        <v>370000</v>
      </c>
      <c r="D12" s="42">
        <f t="shared" si="0"/>
        <v>370000</v>
      </c>
      <c r="E12" s="39">
        <v>187000</v>
      </c>
      <c r="F12" s="40">
        <v>192000</v>
      </c>
      <c r="G12" s="40">
        <v>175000</v>
      </c>
      <c r="H12" s="41">
        <v>192000</v>
      </c>
      <c r="I12" s="42">
        <f t="shared" si="1"/>
        <v>746000</v>
      </c>
      <c r="J12" s="42">
        <f t="shared" si="2"/>
        <v>1116000</v>
      </c>
    </row>
    <row r="13" spans="1:10">
      <c r="A13" s="1" t="s">
        <v>1</v>
      </c>
      <c r="B13" s="43" t="s">
        <v>21</v>
      </c>
      <c r="C13" s="70">
        <v>0</v>
      </c>
      <c r="D13" s="47">
        <f t="shared" si="0"/>
        <v>0</v>
      </c>
      <c r="E13" s="44">
        <v>5000</v>
      </c>
      <c r="F13" s="45">
        <v>0</v>
      </c>
      <c r="G13" s="45">
        <v>0</v>
      </c>
      <c r="H13" s="46">
        <v>0</v>
      </c>
      <c r="I13" s="47">
        <f t="shared" si="1"/>
        <v>5000</v>
      </c>
      <c r="J13" s="47">
        <f t="shared" si="2"/>
        <v>5000</v>
      </c>
    </row>
    <row r="14" spans="1:10">
      <c r="A14" s="1" t="s">
        <v>1</v>
      </c>
      <c r="B14" s="43" t="s">
        <v>22</v>
      </c>
      <c r="C14" s="70">
        <v>0</v>
      </c>
      <c r="D14" s="47">
        <f t="shared" si="0"/>
        <v>0</v>
      </c>
      <c r="E14" s="44">
        <v>3000</v>
      </c>
      <c r="F14" s="45">
        <v>3000</v>
      </c>
      <c r="G14" s="45">
        <v>0</v>
      </c>
      <c r="H14" s="46">
        <v>15000</v>
      </c>
      <c r="I14" s="47">
        <f t="shared" si="1"/>
        <v>21000</v>
      </c>
      <c r="J14" s="47">
        <f t="shared" si="2"/>
        <v>21000</v>
      </c>
    </row>
    <row r="15" spans="1:10">
      <c r="A15" s="1" t="s">
        <v>1</v>
      </c>
      <c r="B15" s="43" t="s">
        <v>23</v>
      </c>
      <c r="C15" s="70">
        <v>50000</v>
      </c>
      <c r="D15" s="47">
        <f t="shared" si="0"/>
        <v>50000</v>
      </c>
      <c r="E15" s="44">
        <v>50000</v>
      </c>
      <c r="F15" s="45">
        <v>50000</v>
      </c>
      <c r="G15" s="45">
        <v>50000</v>
      </c>
      <c r="H15" s="46">
        <v>50000</v>
      </c>
      <c r="I15" s="47">
        <f t="shared" si="1"/>
        <v>200000</v>
      </c>
      <c r="J15" s="47">
        <f t="shared" si="2"/>
        <v>250000</v>
      </c>
    </row>
    <row r="16" spans="1:10">
      <c r="A16" s="1" t="s">
        <v>1</v>
      </c>
      <c r="B16" s="43" t="s">
        <v>24</v>
      </c>
      <c r="C16" s="70">
        <v>0</v>
      </c>
      <c r="D16" s="47">
        <f t="shared" si="0"/>
        <v>0</v>
      </c>
      <c r="E16" s="44">
        <v>0</v>
      </c>
      <c r="F16" s="45">
        <v>0</v>
      </c>
      <c r="G16" s="45">
        <v>0</v>
      </c>
      <c r="H16" s="46">
        <v>53765</v>
      </c>
      <c r="I16" s="47">
        <f t="shared" si="1"/>
        <v>53765</v>
      </c>
      <c r="J16" s="47">
        <f t="shared" si="2"/>
        <v>53765</v>
      </c>
    </row>
    <row r="17" spans="1:10">
      <c r="A17" s="1" t="s">
        <v>1</v>
      </c>
      <c r="B17" s="43" t="s">
        <v>25</v>
      </c>
      <c r="C17" s="70">
        <v>0</v>
      </c>
      <c r="D17" s="47">
        <f t="shared" si="0"/>
        <v>0</v>
      </c>
      <c r="E17" s="44">
        <v>20400</v>
      </c>
      <c r="F17" s="45">
        <v>21800</v>
      </c>
      <c r="G17" s="45">
        <v>11300</v>
      </c>
      <c r="H17" s="46">
        <v>10900</v>
      </c>
      <c r="I17" s="47">
        <f t="shared" si="1"/>
        <v>64400</v>
      </c>
      <c r="J17" s="47">
        <f t="shared" si="2"/>
        <v>64400</v>
      </c>
    </row>
    <row r="18" spans="1:10">
      <c r="A18" s="1" t="s">
        <v>1</v>
      </c>
      <c r="B18" s="43" t="s">
        <v>26</v>
      </c>
      <c r="C18" s="70">
        <v>0</v>
      </c>
      <c r="D18" s="47">
        <f t="shared" si="0"/>
        <v>0</v>
      </c>
      <c r="E18" s="44">
        <v>3500</v>
      </c>
      <c r="F18" s="45">
        <v>3500</v>
      </c>
      <c r="G18" s="45">
        <v>0</v>
      </c>
      <c r="H18" s="46">
        <v>0</v>
      </c>
      <c r="I18" s="47">
        <f t="shared" si="1"/>
        <v>7000</v>
      </c>
      <c r="J18" s="47">
        <f t="shared" si="2"/>
        <v>7000</v>
      </c>
    </row>
    <row r="19" spans="1:10">
      <c r="A19" s="1" t="s">
        <v>1</v>
      </c>
      <c r="B19" s="43" t="s">
        <v>27</v>
      </c>
      <c r="C19" s="70">
        <v>0</v>
      </c>
      <c r="D19" s="47">
        <f t="shared" si="0"/>
        <v>0</v>
      </c>
      <c r="E19" s="44">
        <v>0</v>
      </c>
      <c r="F19" s="45">
        <v>13000</v>
      </c>
      <c r="G19" s="45">
        <v>0</v>
      </c>
      <c r="H19" s="46">
        <v>13000</v>
      </c>
      <c r="I19" s="47">
        <f t="shared" si="1"/>
        <v>26000</v>
      </c>
      <c r="J19" s="47">
        <f t="shared" si="2"/>
        <v>26000</v>
      </c>
    </row>
    <row r="20" spans="1:10">
      <c r="A20" s="1" t="s">
        <v>1</v>
      </c>
      <c r="B20" s="43" t="s">
        <v>16</v>
      </c>
      <c r="C20" s="70">
        <v>0</v>
      </c>
      <c r="D20" s="47">
        <f t="shared" si="0"/>
        <v>0</v>
      </c>
      <c r="E20" s="44">
        <v>102300</v>
      </c>
      <c r="F20" s="45">
        <v>113564</v>
      </c>
      <c r="G20" s="45">
        <v>52204</v>
      </c>
      <c r="H20" s="46">
        <v>86903</v>
      </c>
      <c r="I20" s="47">
        <f t="shared" si="1"/>
        <v>354971</v>
      </c>
      <c r="J20" s="47">
        <f t="shared" si="2"/>
        <v>354971</v>
      </c>
    </row>
    <row r="21" spans="1:10">
      <c r="A21" s="1" t="s">
        <v>1</v>
      </c>
      <c r="B21" s="43" t="s">
        <v>28</v>
      </c>
      <c r="C21" s="70">
        <v>0</v>
      </c>
      <c r="D21" s="47">
        <f t="shared" si="0"/>
        <v>0</v>
      </c>
      <c r="E21" s="44">
        <v>4018</v>
      </c>
      <c r="F21" s="45">
        <v>4228</v>
      </c>
      <c r="G21" s="45">
        <v>0</v>
      </c>
      <c r="H21" s="46">
        <v>0</v>
      </c>
      <c r="I21" s="47">
        <f t="shared" si="1"/>
        <v>8246</v>
      </c>
      <c r="J21" s="47">
        <f t="shared" si="2"/>
        <v>8246</v>
      </c>
    </row>
    <row r="22" spans="1:10">
      <c r="A22" s="1" t="s">
        <v>1</v>
      </c>
      <c r="B22" s="6" t="s">
        <v>18</v>
      </c>
      <c r="C22" s="71">
        <v>6919</v>
      </c>
      <c r="D22" s="10">
        <f t="shared" si="0"/>
        <v>6919</v>
      </c>
      <c r="E22" s="21">
        <v>4464</v>
      </c>
      <c r="F22" s="22">
        <v>1568</v>
      </c>
      <c r="G22" s="22">
        <v>1348</v>
      </c>
      <c r="H22" s="9">
        <v>1212</v>
      </c>
      <c r="I22" s="10">
        <f t="shared" si="1"/>
        <v>8592</v>
      </c>
      <c r="J22" s="10">
        <f t="shared" si="2"/>
        <v>15511</v>
      </c>
    </row>
    <row r="23" spans="1:10">
      <c r="A23" s="1" t="s">
        <v>1</v>
      </c>
      <c r="B23" s="25" t="s">
        <v>29</v>
      </c>
      <c r="C23" s="72">
        <v>426919</v>
      </c>
      <c r="D23" s="33">
        <f t="shared" si="0"/>
        <v>426919</v>
      </c>
      <c r="E23" s="30">
        <v>379682</v>
      </c>
      <c r="F23" s="31">
        <v>402660</v>
      </c>
      <c r="G23" s="31">
        <v>289852</v>
      </c>
      <c r="H23" s="32">
        <v>422780</v>
      </c>
      <c r="I23" s="33">
        <f t="shared" si="1"/>
        <v>1494974</v>
      </c>
      <c r="J23" s="33">
        <f t="shared" si="2"/>
        <v>1921893</v>
      </c>
    </row>
    <row r="24" spans="1:10">
      <c r="A24" s="1" t="s">
        <v>1</v>
      </c>
      <c r="B24" s="38" t="s">
        <v>30</v>
      </c>
      <c r="C24" s="69">
        <v>10894</v>
      </c>
      <c r="D24" s="42">
        <f t="shared" si="0"/>
        <v>10894</v>
      </c>
      <c r="E24" s="39">
        <v>0</v>
      </c>
      <c r="F24" s="40">
        <v>1799</v>
      </c>
      <c r="G24" s="40">
        <v>9381</v>
      </c>
      <c r="H24" s="41">
        <v>9591</v>
      </c>
      <c r="I24" s="42">
        <f t="shared" si="1"/>
        <v>20771</v>
      </c>
      <c r="J24" s="42">
        <f t="shared" si="2"/>
        <v>31665</v>
      </c>
    </row>
    <row r="25" spans="1:10">
      <c r="A25" s="1" t="s">
        <v>1</v>
      </c>
      <c r="B25" s="6" t="s">
        <v>31</v>
      </c>
      <c r="C25" s="71">
        <v>10894</v>
      </c>
      <c r="D25" s="10">
        <f t="shared" si="0"/>
        <v>10894</v>
      </c>
      <c r="E25" s="21">
        <v>0</v>
      </c>
      <c r="F25" s="22">
        <v>1799</v>
      </c>
      <c r="G25" s="22">
        <v>9381</v>
      </c>
      <c r="H25" s="9">
        <v>9591</v>
      </c>
      <c r="I25" s="10">
        <f t="shared" si="1"/>
        <v>20771</v>
      </c>
      <c r="J25" s="10">
        <f t="shared" si="2"/>
        <v>31665</v>
      </c>
    </row>
    <row r="26" spans="1:10">
      <c r="A26" s="1" t="s">
        <v>1</v>
      </c>
      <c r="B26" s="25" t="s">
        <v>32</v>
      </c>
      <c r="C26" s="72">
        <v>437813</v>
      </c>
      <c r="D26" s="33">
        <f t="shared" si="0"/>
        <v>437813</v>
      </c>
      <c r="E26" s="30">
        <v>379682</v>
      </c>
      <c r="F26" s="31">
        <v>404459</v>
      </c>
      <c r="G26" s="31">
        <v>299233</v>
      </c>
      <c r="H26" s="32">
        <v>432371</v>
      </c>
      <c r="I26" s="33">
        <f t="shared" si="1"/>
        <v>1515745</v>
      </c>
      <c r="J26" s="33">
        <f t="shared" si="2"/>
        <v>1953558</v>
      </c>
    </row>
    <row r="27" spans="1:10">
      <c r="A27" s="1" t="s">
        <v>1</v>
      </c>
      <c r="B27" s="38" t="s">
        <v>33</v>
      </c>
      <c r="C27" s="69">
        <v>22440</v>
      </c>
      <c r="D27" s="42">
        <f t="shared" si="0"/>
        <v>22440</v>
      </c>
      <c r="E27" s="39">
        <v>16320</v>
      </c>
      <c r="F27" s="40">
        <v>18360</v>
      </c>
      <c r="G27" s="40">
        <v>15300</v>
      </c>
      <c r="H27" s="41">
        <v>20910</v>
      </c>
      <c r="I27" s="42">
        <f t="shared" si="1"/>
        <v>70890</v>
      </c>
      <c r="J27" s="42">
        <f t="shared" si="2"/>
        <v>93330</v>
      </c>
    </row>
    <row r="28" spans="1:10">
      <c r="A28" s="1" t="s">
        <v>1</v>
      </c>
      <c r="B28" s="43" t="s">
        <v>34</v>
      </c>
      <c r="C28" s="70">
        <v>3960</v>
      </c>
      <c r="D28" s="47">
        <f t="shared" si="0"/>
        <v>3960</v>
      </c>
      <c r="E28" s="44">
        <v>0</v>
      </c>
      <c r="F28" s="45">
        <v>3240</v>
      </c>
      <c r="G28" s="45">
        <v>2700</v>
      </c>
      <c r="H28" s="46">
        <v>3690</v>
      </c>
      <c r="I28" s="47">
        <f t="shared" si="1"/>
        <v>9630</v>
      </c>
      <c r="J28" s="47">
        <f t="shared" si="2"/>
        <v>13590</v>
      </c>
    </row>
    <row r="29" spans="1:10">
      <c r="A29" s="1" t="s">
        <v>1</v>
      </c>
      <c r="B29" s="43" t="s">
        <v>35</v>
      </c>
      <c r="C29" s="70">
        <v>40260</v>
      </c>
      <c r="D29" s="47">
        <f t="shared" si="0"/>
        <v>40260</v>
      </c>
      <c r="E29" s="44">
        <v>29280</v>
      </c>
      <c r="F29" s="45">
        <v>32940</v>
      </c>
      <c r="G29" s="45">
        <v>27450</v>
      </c>
      <c r="H29" s="46">
        <v>37515</v>
      </c>
      <c r="I29" s="47">
        <f t="shared" si="1"/>
        <v>127185</v>
      </c>
      <c r="J29" s="47">
        <f t="shared" si="2"/>
        <v>167445</v>
      </c>
    </row>
    <row r="30" spans="1:10">
      <c r="A30" s="1" t="s">
        <v>1</v>
      </c>
      <c r="B30" s="6" t="s">
        <v>36</v>
      </c>
      <c r="C30" s="71">
        <v>2627</v>
      </c>
      <c r="D30" s="10">
        <f t="shared" si="0"/>
        <v>2627</v>
      </c>
      <c r="E30" s="21">
        <v>2278</v>
      </c>
      <c r="F30" s="22">
        <v>2427</v>
      </c>
      <c r="G30" s="22">
        <v>1795</v>
      </c>
      <c r="H30" s="9">
        <v>2594</v>
      </c>
      <c r="I30" s="10">
        <f t="shared" si="1"/>
        <v>9094</v>
      </c>
      <c r="J30" s="10">
        <f t="shared" si="2"/>
        <v>11721</v>
      </c>
    </row>
    <row r="31" spans="1:10">
      <c r="A31" s="1" t="s">
        <v>1</v>
      </c>
      <c r="B31" s="25" t="s">
        <v>37</v>
      </c>
      <c r="C31" s="72">
        <v>69287</v>
      </c>
      <c r="D31" s="33">
        <f t="shared" si="0"/>
        <v>69287</v>
      </c>
      <c r="E31" s="30">
        <v>47878</v>
      </c>
      <c r="F31" s="31">
        <v>56967</v>
      </c>
      <c r="G31" s="31">
        <v>47245</v>
      </c>
      <c r="H31" s="32">
        <v>64709</v>
      </c>
      <c r="I31" s="33">
        <f t="shared" si="1"/>
        <v>216799</v>
      </c>
      <c r="J31" s="33">
        <f t="shared" si="2"/>
        <v>286086</v>
      </c>
    </row>
    <row r="32" spans="1:10">
      <c r="A32" s="1" t="s">
        <v>1</v>
      </c>
      <c r="B32" s="38" t="s">
        <v>38</v>
      </c>
      <c r="C32" s="69">
        <v>9850</v>
      </c>
      <c r="D32" s="42">
        <f t="shared" si="0"/>
        <v>9850</v>
      </c>
      <c r="E32" s="39">
        <v>8020</v>
      </c>
      <c r="F32" s="40">
        <v>12110</v>
      </c>
      <c r="G32" s="40">
        <v>0</v>
      </c>
      <c r="H32" s="41">
        <v>13120</v>
      </c>
      <c r="I32" s="42">
        <f t="shared" si="1"/>
        <v>33250</v>
      </c>
      <c r="J32" s="42">
        <f t="shared" si="2"/>
        <v>43100</v>
      </c>
    </row>
    <row r="33" spans="1:10">
      <c r="A33" s="1" t="s">
        <v>1</v>
      </c>
      <c r="B33" s="43" t="s">
        <v>39</v>
      </c>
      <c r="C33" s="70">
        <v>20300</v>
      </c>
      <c r="D33" s="47">
        <f t="shared" si="0"/>
        <v>20300</v>
      </c>
      <c r="E33" s="44">
        <v>15900</v>
      </c>
      <c r="F33" s="45">
        <v>20500</v>
      </c>
      <c r="G33" s="45">
        <v>0</v>
      </c>
      <c r="H33" s="46">
        <v>16600</v>
      </c>
      <c r="I33" s="47">
        <f t="shared" si="1"/>
        <v>53000</v>
      </c>
      <c r="J33" s="47">
        <f t="shared" si="2"/>
        <v>73300</v>
      </c>
    </row>
    <row r="34" spans="1:10">
      <c r="A34" s="1" t="s">
        <v>1</v>
      </c>
      <c r="B34" s="6" t="s">
        <v>40</v>
      </c>
      <c r="C34" s="71">
        <v>0</v>
      </c>
      <c r="D34" s="10">
        <f t="shared" si="0"/>
        <v>0</v>
      </c>
      <c r="E34" s="21">
        <v>20400</v>
      </c>
      <c r="F34" s="22">
        <v>21800</v>
      </c>
      <c r="G34" s="22">
        <v>11300</v>
      </c>
      <c r="H34" s="9">
        <v>10900</v>
      </c>
      <c r="I34" s="10">
        <f t="shared" si="1"/>
        <v>64400</v>
      </c>
      <c r="J34" s="10">
        <f t="shared" si="2"/>
        <v>64400</v>
      </c>
    </row>
    <row r="35" spans="1:10">
      <c r="A35" s="1" t="s">
        <v>1</v>
      </c>
      <c r="B35" s="25" t="s">
        <v>41</v>
      </c>
      <c r="C35" s="72">
        <v>99437</v>
      </c>
      <c r="D35" s="33">
        <f t="shared" si="0"/>
        <v>99437</v>
      </c>
      <c r="E35" s="30">
        <v>92198</v>
      </c>
      <c r="F35" s="31">
        <v>111377</v>
      </c>
      <c r="G35" s="31">
        <v>58545</v>
      </c>
      <c r="H35" s="32">
        <v>105329</v>
      </c>
      <c r="I35" s="33">
        <f t="shared" si="1"/>
        <v>367449</v>
      </c>
      <c r="J35" s="33">
        <f t="shared" si="2"/>
        <v>466886</v>
      </c>
    </row>
    <row r="36" spans="1:10">
      <c r="A36" s="1" t="s">
        <v>1</v>
      </c>
      <c r="B36" s="25" t="s">
        <v>42</v>
      </c>
      <c r="C36" s="72">
        <v>357632</v>
      </c>
      <c r="D36" s="33">
        <f t="shared" si="0"/>
        <v>357632</v>
      </c>
      <c r="E36" s="30">
        <v>331804</v>
      </c>
      <c r="F36" s="31">
        <v>345693</v>
      </c>
      <c r="G36" s="31">
        <v>242607</v>
      </c>
      <c r="H36" s="32">
        <v>358071</v>
      </c>
      <c r="I36" s="33">
        <f t="shared" si="1"/>
        <v>1278175</v>
      </c>
      <c r="J36" s="33">
        <f t="shared" si="2"/>
        <v>1635807</v>
      </c>
    </row>
    <row r="37" spans="1:10">
      <c r="A37" s="1" t="s">
        <v>1</v>
      </c>
      <c r="B37" s="25" t="s">
        <v>43</v>
      </c>
      <c r="C37" s="72">
        <v>338376</v>
      </c>
      <c r="D37" s="33">
        <f t="shared" si="0"/>
        <v>338376</v>
      </c>
      <c r="E37" s="30">
        <v>287484</v>
      </c>
      <c r="F37" s="31">
        <v>293082</v>
      </c>
      <c r="G37" s="31">
        <v>240688</v>
      </c>
      <c r="H37" s="32">
        <v>327042</v>
      </c>
      <c r="I37" s="33">
        <f t="shared" si="1"/>
        <v>1148296</v>
      </c>
      <c r="J37" s="33">
        <f t="shared" si="2"/>
        <v>1486672</v>
      </c>
    </row>
    <row r="38" spans="1:10">
      <c r="A38" s="1" t="s">
        <v>1</v>
      </c>
      <c r="B38" s="25" t="s">
        <v>44</v>
      </c>
      <c r="C38" s="72">
        <v>338376</v>
      </c>
      <c r="D38" s="33">
        <f t="shared" si="0"/>
        <v>338376</v>
      </c>
      <c r="E38" s="30">
        <v>287484</v>
      </c>
      <c r="F38" s="31">
        <v>293082</v>
      </c>
      <c r="G38" s="31">
        <v>240688</v>
      </c>
      <c r="H38" s="32">
        <v>327042</v>
      </c>
      <c r="I38" s="33">
        <f t="shared" si="1"/>
        <v>1148296</v>
      </c>
      <c r="J38" s="33">
        <f t="shared" si="2"/>
        <v>1486672</v>
      </c>
    </row>
    <row r="39" spans="1:10">
      <c r="A39" s="1" t="s">
        <v>1</v>
      </c>
      <c r="B39" s="25" t="s">
        <v>45</v>
      </c>
      <c r="C39" s="72">
        <v>1</v>
      </c>
      <c r="D39" s="33"/>
      <c r="E39" s="30">
        <v>1</v>
      </c>
      <c r="F39" s="31">
        <v>0</v>
      </c>
      <c r="G39" s="31">
        <v>1</v>
      </c>
      <c r="H39" s="32">
        <v>0</v>
      </c>
      <c r="I39" s="33"/>
      <c r="J39" s="33"/>
    </row>
    <row r="40" spans="1:10">
      <c r="A40" s="1" t="s">
        <v>1</v>
      </c>
      <c r="B40" s="25" t="s">
        <v>46</v>
      </c>
      <c r="C40" s="73" t="s">
        <v>47</v>
      </c>
      <c r="D40" s="37"/>
      <c r="E40" s="34" t="s">
        <v>47</v>
      </c>
      <c r="F40" s="35" t="s">
        <v>47</v>
      </c>
      <c r="G40" s="35" t="s">
        <v>47</v>
      </c>
      <c r="H40" s="36" t="s">
        <v>47</v>
      </c>
      <c r="I40" s="37"/>
      <c r="J40" s="37"/>
    </row>
    <row r="41" spans="1:10">
      <c r="A41" s="1" t="s">
        <v>1</v>
      </c>
      <c r="B41" s="25" t="s">
        <v>48</v>
      </c>
      <c r="C41" s="72">
        <v>9850</v>
      </c>
      <c r="D41" s="33">
        <f t="shared" si="0"/>
        <v>9850</v>
      </c>
      <c r="E41" s="30">
        <v>8020</v>
      </c>
      <c r="F41" s="31">
        <v>12110</v>
      </c>
      <c r="G41" s="31">
        <v>4670</v>
      </c>
      <c r="H41" s="32">
        <v>13120</v>
      </c>
      <c r="I41" s="33">
        <f t="shared" si="1"/>
        <v>37920</v>
      </c>
      <c r="J41" s="33">
        <f t="shared" si="2"/>
        <v>47770</v>
      </c>
    </row>
    <row r="42" spans="1:10">
      <c r="A42" s="1" t="s">
        <v>1</v>
      </c>
      <c r="B42" s="25" t="s">
        <v>49</v>
      </c>
      <c r="C42" s="72">
        <v>0</v>
      </c>
      <c r="D42" s="33">
        <f t="shared" si="0"/>
        <v>0</v>
      </c>
      <c r="E42" s="30">
        <v>0</v>
      </c>
      <c r="F42" s="31">
        <v>0</v>
      </c>
      <c r="G42" s="31">
        <v>4670</v>
      </c>
      <c r="H42" s="32">
        <v>0</v>
      </c>
      <c r="I42" s="33">
        <f t="shared" si="1"/>
        <v>4670</v>
      </c>
      <c r="J42" s="33">
        <f t="shared" si="2"/>
        <v>4670</v>
      </c>
    </row>
    <row r="43" spans="1:10" ht="19.5" thickBot="1">
      <c r="A43" s="1" t="s">
        <v>1</v>
      </c>
      <c r="B43" s="11" t="s">
        <v>50</v>
      </c>
      <c r="C43" s="74">
        <v>60000</v>
      </c>
      <c r="D43" s="13"/>
      <c r="E43" s="23">
        <v>30000</v>
      </c>
      <c r="F43" s="24">
        <v>30000</v>
      </c>
      <c r="G43" s="24">
        <v>60000</v>
      </c>
      <c r="H43" s="12">
        <v>30000</v>
      </c>
      <c r="I43" s="13"/>
      <c r="J43" s="13"/>
    </row>
  </sheetData>
  <phoneticPr fontId="4"/>
  <pageMargins left="0.31496062992125984" right="0.31496062992125984" top="0.35433070866141736" bottom="0.35433070866141736" header="0.31496062992125984" footer="0.31496062992125984"/>
  <pageSetup paperSize="12" scale="86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2024年10月度給与 (2)</vt:lpstr>
      <vt:lpstr>'2024年10月度給与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2024-11-07T07:40:31Z</cp:lastPrinted>
  <dcterms:created xsi:type="dcterms:W3CDTF">2024-11-07T07:27:01Z</dcterms:created>
  <dcterms:modified xsi:type="dcterms:W3CDTF">2024-11-08T07:50:37Z</dcterms:modified>
</cp:coreProperties>
</file>