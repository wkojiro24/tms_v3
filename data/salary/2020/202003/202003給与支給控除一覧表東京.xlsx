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EACD4F3D-F189-490B-A8AD-4DCEB910B22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25" i="2"/>
  <c r="K24" i="2"/>
  <c r="K16" i="2"/>
  <c r="K14" i="2"/>
  <c r="K10" i="2"/>
  <c r="K8" i="2"/>
  <c r="K6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25" i="2"/>
  <c r="D24" i="2"/>
  <c r="D23" i="2"/>
  <c r="D13" i="2"/>
  <c r="D10" i="2"/>
  <c r="D6" i="2"/>
</calcChain>
</file>

<file path=xl/sharedStrings.xml><?xml version="1.0" encoding="utf-8"?>
<sst xmlns="http://schemas.openxmlformats.org/spreadsheetml/2006/main" count="108" uniqueCount="90">
  <si>
    <t>所　属</t>
  </si>
  <si>
    <t>社　員</t>
  </si>
  <si>
    <t>２０20年3月分</t>
  </si>
  <si>
    <t>東京営業所/ドライバー</t>
  </si>
  <si>
    <t>宮腰　真也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</si>
  <si>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</si>
  <si>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</si>
  <si>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</si>
  <si>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</si>
  <si>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</si>
  <si>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</si>
  <si>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</si>
  <si>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</si>
  <si>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</si>
  <si>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</si>
  <si>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</si>
  <si>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</si>
  <si>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</si>
  <si>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</si>
  <si>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</si>
  <si>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</si>
  <si>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</si>
  <si>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</si>
  <si>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</si>
  <si>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</si>
  <si>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</si>
  <si>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</si>
  <si>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</si>
  <si>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</si>
  <si>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</si>
  <si>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</si>
  <si>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</si>
  <si>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</si>
  <si>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</si>
  <si>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</si>
  <si>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</si>
  <si>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</si>
  <si>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</si>
  <si>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</si>
  <si>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</si>
  <si>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</si>
  <si>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</si>
  <si>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</si>
  <si>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</si>
  <si>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</si>
  <si>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</si>
  <si>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</si>
  <si>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</si>
  <si>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</si>
  <si>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</si>
  <si>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</si>
  <si>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</si>
  <si>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</si>
  <si>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</si>
  <si>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</si>
  <si>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</si>
  <si>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</si>
  <si>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</si>
  <si>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</si>
  <si>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</si>
  <si>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</si>
  <si>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</si>
  <si>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</si>
  <si>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</si>
  <si>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</si>
  <si>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</si>
  <si>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</si>
  <si>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</si>
  <si>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</si>
  <si>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</si>
  <si>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</si>
  <si>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</si>
  <si>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</si>
  <si>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</si>
  <si>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</si>
  <si>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</si>
  <si>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</si>
  <si>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</si>
  <si>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</si>
  <si>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</si>
  <si>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</si>
  <si>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</si>
  <si>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</si>
  <si>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</si>
  <si>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</si>
  <si>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8名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</si>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</sst>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4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DBE0-AD74-4B2A-814F-68C692DE6561}">
  <sheetPr>
    <pageSetUpPr fitToPage="1"/>
  </sheetPr>
  <dimension ref="A1:AJ80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3" style="2" customWidth="1"/>
    <col min="13" max="17" width="10.5" style="2" customWidth="1"/>
    <col min="18" max="16384" width="9" style="2"/>
  </cols>
  <sheetData>
    <row r="1" spans="1:36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15">
      <c r="A3" s="19" t="s">
        <v>0</v>
      </c>
      <c r="B3" s="20" t="s">
        <v>3</v>
      </c>
      <c r="C3" s="52" t="s">
        <v>83</v>
      </c>
      <c r="D3" s="69" t="s">
        <v>87</v>
      </c>
      <c r="E3" s="36" t="s">
        <v>3</v>
      </c>
      <c r="F3" s="20" t="s">
        <v>3</v>
      </c>
      <c r="G3" s="20" t="s">
        <v>3</v>
      </c>
      <c r="H3" s="20" t="s">
        <v>3</v>
      </c>
      <c r="I3" s="36" t="s">
        <v>3</v>
      </c>
      <c r="J3" s="52" t="s">
        <v>3</v>
      </c>
      <c r="K3" s="69" t="s">
        <v>87</v>
      </c>
      <c r="L3" s="86" t="s">
        <v>86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15">
      <c r="A4" s="21"/>
      <c r="B4" s="22">
        <v>1029</v>
      </c>
      <c r="C4" s="53">
        <v>1033</v>
      </c>
      <c r="D4" s="70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70"/>
      <c r="L4" s="8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thickBot="1" x14ac:dyDescent="0.2">
      <c r="A5" s="21" t="s">
        <v>1</v>
      </c>
      <c r="B5" s="22" t="s">
        <v>25</v>
      </c>
      <c r="C5" s="53" t="s">
        <v>84</v>
      </c>
      <c r="D5" s="71" t="s">
        <v>88</v>
      </c>
      <c r="E5" s="37" t="s">
        <v>4</v>
      </c>
      <c r="F5" s="22" t="s">
        <v>24</v>
      </c>
      <c r="G5" s="22" t="s">
        <v>26</v>
      </c>
      <c r="H5" s="22" t="s">
        <v>27</v>
      </c>
      <c r="I5" s="37" t="s">
        <v>81</v>
      </c>
      <c r="J5" s="53" t="s">
        <v>82</v>
      </c>
      <c r="K5" s="71" t="s">
        <v>89</v>
      </c>
      <c r="L5" s="88" t="s">
        <v>85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15">
      <c r="A6" s="23" t="s">
        <v>5</v>
      </c>
      <c r="B6" s="24">
        <v>22</v>
      </c>
      <c r="C6" s="54">
        <v>12</v>
      </c>
      <c r="D6" s="72">
        <f>SUM(B6:C6)</f>
        <v>34</v>
      </c>
      <c r="E6" s="38">
        <v>23</v>
      </c>
      <c r="F6" s="24">
        <v>21</v>
      </c>
      <c r="G6" s="25"/>
      <c r="H6" s="24">
        <v>21</v>
      </c>
      <c r="I6" s="38">
        <v>23</v>
      </c>
      <c r="J6" s="54">
        <v>22</v>
      </c>
      <c r="K6" s="72">
        <f>SUM(E6:J6)</f>
        <v>110</v>
      </c>
      <c r="L6" s="89">
        <v>144</v>
      </c>
      <c r="M6" s="3"/>
      <c r="N6" s="3"/>
      <c r="O6" s="3"/>
      <c r="P6" s="3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15">
      <c r="A7" s="15" t="s">
        <v>6</v>
      </c>
      <c r="B7" s="10"/>
      <c r="C7" s="55"/>
      <c r="D7" s="73"/>
      <c r="E7" s="39"/>
      <c r="F7" s="10"/>
      <c r="G7" s="10"/>
      <c r="H7" s="10"/>
      <c r="I7" s="39"/>
      <c r="J7" s="55"/>
      <c r="K7" s="77"/>
      <c r="L7" s="90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15">
      <c r="A8" s="15" t="s">
        <v>7</v>
      </c>
      <c r="B8" s="10"/>
      <c r="C8" s="55"/>
      <c r="D8" s="73"/>
      <c r="E8" s="40">
        <v>1</v>
      </c>
      <c r="F8" s="9">
        <v>1</v>
      </c>
      <c r="G8" s="10"/>
      <c r="H8" s="9">
        <v>2</v>
      </c>
      <c r="I8" s="40">
        <v>3</v>
      </c>
      <c r="J8" s="56">
        <v>2</v>
      </c>
      <c r="K8" s="74">
        <f>SUM(E8:J8)</f>
        <v>9</v>
      </c>
      <c r="L8" s="91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15">
      <c r="A9" s="15" t="s">
        <v>8</v>
      </c>
      <c r="B9" s="10"/>
      <c r="C9" s="55"/>
      <c r="D9" s="73"/>
      <c r="E9" s="39"/>
      <c r="F9" s="10"/>
      <c r="G9" s="10"/>
      <c r="H9" s="10"/>
      <c r="I9" s="39"/>
      <c r="J9" s="55"/>
      <c r="K9" s="77"/>
      <c r="L9" s="9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15">
      <c r="A10" s="15" t="s">
        <v>9</v>
      </c>
      <c r="B10" s="9">
        <v>1</v>
      </c>
      <c r="C10" s="56">
        <v>1</v>
      </c>
      <c r="D10" s="74">
        <f>SUM(B10:C10)</f>
        <v>2</v>
      </c>
      <c r="E10" s="39"/>
      <c r="F10" s="9">
        <v>2</v>
      </c>
      <c r="G10" s="10"/>
      <c r="H10" s="9">
        <v>2</v>
      </c>
      <c r="I10" s="39"/>
      <c r="J10" s="56">
        <v>1</v>
      </c>
      <c r="K10" s="74">
        <f>SUM(E10:J10)</f>
        <v>5</v>
      </c>
      <c r="L10" s="91">
        <v>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15">
      <c r="A11" s="15" t="s">
        <v>10</v>
      </c>
      <c r="B11" s="10"/>
      <c r="C11" s="55"/>
      <c r="D11" s="73"/>
      <c r="E11" s="39"/>
      <c r="F11" s="10"/>
      <c r="G11" s="10"/>
      <c r="H11" s="10"/>
      <c r="I11" s="39"/>
      <c r="J11" s="55"/>
      <c r="K11" s="77"/>
      <c r="L11" s="9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15">
      <c r="A12" s="15" t="s">
        <v>11</v>
      </c>
      <c r="B12" s="10"/>
      <c r="C12" s="55"/>
      <c r="D12" s="73"/>
      <c r="E12" s="39"/>
      <c r="F12" s="10"/>
      <c r="G12" s="10"/>
      <c r="H12" s="10"/>
      <c r="I12" s="39"/>
      <c r="J12" s="55"/>
      <c r="K12" s="77"/>
      <c r="L12" s="9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15">
      <c r="A13" s="15" t="s">
        <v>12</v>
      </c>
      <c r="B13" s="10"/>
      <c r="C13" s="57">
        <v>3.4583333333333335</v>
      </c>
      <c r="D13" s="75">
        <f>SUM(B13:C13)</f>
        <v>3.4583333333333335</v>
      </c>
      <c r="E13" s="39"/>
      <c r="F13" s="10"/>
      <c r="G13" s="10"/>
      <c r="H13" s="10"/>
      <c r="I13" s="39"/>
      <c r="J13" s="55"/>
      <c r="K13" s="77"/>
      <c r="L13" s="92">
        <v>3.4583333333333335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15">
      <c r="A14" s="15" t="s">
        <v>13</v>
      </c>
      <c r="B14" s="10"/>
      <c r="C14" s="55"/>
      <c r="D14" s="73"/>
      <c r="E14" s="41">
        <v>1.75</v>
      </c>
      <c r="F14" s="11">
        <v>1.8333333333333333</v>
      </c>
      <c r="G14" s="10"/>
      <c r="H14" s="11">
        <v>1.625</v>
      </c>
      <c r="I14" s="41">
        <v>2.25</v>
      </c>
      <c r="J14" s="57">
        <v>2.1666666666666665</v>
      </c>
      <c r="K14" s="75">
        <f>SUM(E14:J14)</f>
        <v>9.625</v>
      </c>
      <c r="L14" s="92">
        <v>9.625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15">
      <c r="A15" s="15" t="s">
        <v>14</v>
      </c>
      <c r="B15" s="10"/>
      <c r="C15" s="55"/>
      <c r="D15" s="73"/>
      <c r="E15" s="39"/>
      <c r="F15" s="10"/>
      <c r="G15" s="10"/>
      <c r="H15" s="10"/>
      <c r="I15" s="39"/>
      <c r="J15" s="55"/>
      <c r="K15" s="77"/>
      <c r="L15" s="9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15">
      <c r="A16" s="15" t="s">
        <v>15</v>
      </c>
      <c r="B16" s="10"/>
      <c r="C16" s="55"/>
      <c r="D16" s="73"/>
      <c r="E16" s="41">
        <v>0.33333333333333331</v>
      </c>
      <c r="F16" s="11">
        <v>0.16666666666666666</v>
      </c>
      <c r="G16" s="10"/>
      <c r="H16" s="11">
        <v>0.54166666666666663</v>
      </c>
      <c r="I16" s="41">
        <v>0.95833333333333337</v>
      </c>
      <c r="J16" s="57">
        <v>0.375</v>
      </c>
      <c r="K16" s="75">
        <f>SUM(E16:J16)</f>
        <v>2.375</v>
      </c>
      <c r="L16" s="92">
        <v>2.375</v>
      </c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15">
      <c r="A17" s="15" t="s">
        <v>16</v>
      </c>
      <c r="B17" s="10"/>
      <c r="C17" s="55"/>
      <c r="D17" s="73"/>
      <c r="E17" s="39"/>
      <c r="F17" s="10"/>
      <c r="G17" s="10"/>
      <c r="H17" s="10"/>
      <c r="I17" s="39"/>
      <c r="J17" s="55"/>
      <c r="K17" s="77"/>
      <c r="L17" s="90"/>
      <c r="M17" s="5"/>
      <c r="N17" s="5"/>
      <c r="O17" s="5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15">
      <c r="A18" s="15" t="s">
        <v>17</v>
      </c>
      <c r="B18" s="10"/>
      <c r="C18" s="55"/>
      <c r="D18" s="73"/>
      <c r="E18" s="39"/>
      <c r="F18" s="10"/>
      <c r="G18" s="10"/>
      <c r="H18" s="10"/>
      <c r="I18" s="39"/>
      <c r="J18" s="55"/>
      <c r="K18" s="77"/>
      <c r="L18" s="90"/>
      <c r="M18" s="5"/>
      <c r="N18" s="5"/>
      <c r="O18" s="5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15">
      <c r="A19" s="15" t="s">
        <v>18</v>
      </c>
      <c r="B19" s="10"/>
      <c r="C19" s="55"/>
      <c r="D19" s="73"/>
      <c r="E19" s="39"/>
      <c r="F19" s="10"/>
      <c r="G19" s="10"/>
      <c r="H19" s="10"/>
      <c r="I19" s="39"/>
      <c r="J19" s="55"/>
      <c r="K19" s="77"/>
      <c r="L19" s="90"/>
      <c r="M19" s="5"/>
      <c r="N19" s="5"/>
      <c r="O19" s="5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15">
      <c r="A20" s="15" t="s">
        <v>19</v>
      </c>
      <c r="B20" s="10"/>
      <c r="C20" s="55"/>
      <c r="D20" s="73"/>
      <c r="E20" s="39"/>
      <c r="F20" s="10"/>
      <c r="G20" s="10"/>
      <c r="H20" s="10"/>
      <c r="I20" s="39"/>
      <c r="J20" s="55"/>
      <c r="K20" s="77"/>
      <c r="L20" s="90"/>
      <c r="M20" s="5"/>
      <c r="N20" s="5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15">
      <c r="A21" s="15" t="s">
        <v>20</v>
      </c>
      <c r="B21" s="10"/>
      <c r="C21" s="55"/>
      <c r="D21" s="73"/>
      <c r="E21" s="39"/>
      <c r="F21" s="10"/>
      <c r="G21" s="10"/>
      <c r="H21" s="10"/>
      <c r="I21" s="39"/>
      <c r="J21" s="55"/>
      <c r="K21" s="77"/>
      <c r="L21" s="90"/>
      <c r="M21" s="5"/>
      <c r="N21" s="5"/>
      <c r="O21" s="5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15">
      <c r="A22" s="15" t="s">
        <v>21</v>
      </c>
      <c r="B22" s="10"/>
      <c r="C22" s="55"/>
      <c r="D22" s="73"/>
      <c r="E22" s="39"/>
      <c r="F22" s="10"/>
      <c r="G22" s="10"/>
      <c r="H22" s="10"/>
      <c r="I22" s="39"/>
      <c r="J22" s="55"/>
      <c r="K22" s="77"/>
      <c r="L22" s="90"/>
      <c r="M22" s="5"/>
      <c r="N22" s="5"/>
      <c r="O22" s="5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15">
      <c r="A23" s="15" t="s">
        <v>22</v>
      </c>
      <c r="B23" s="10"/>
      <c r="C23" s="57">
        <v>0.29166666666666669</v>
      </c>
      <c r="D23" s="75">
        <f>SUM(B23:C23)</f>
        <v>0.29166666666666669</v>
      </c>
      <c r="E23" s="39"/>
      <c r="F23" s="10"/>
      <c r="G23" s="10"/>
      <c r="H23" s="10"/>
      <c r="I23" s="39"/>
      <c r="J23" s="55"/>
      <c r="K23" s="77"/>
      <c r="L23" s="92">
        <v>0.29166666666666669</v>
      </c>
      <c r="M23" s="5"/>
      <c r="N23" s="5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thickBot="1" x14ac:dyDescent="0.2">
      <c r="A24" s="26" t="s">
        <v>23</v>
      </c>
      <c r="B24" s="27">
        <v>0.20833333333333334</v>
      </c>
      <c r="C24" s="68"/>
      <c r="D24" s="75">
        <f>SUM(B24:C24)</f>
        <v>0.20833333333333334</v>
      </c>
      <c r="E24" s="42">
        <v>0.625</v>
      </c>
      <c r="F24" s="27">
        <v>1</v>
      </c>
      <c r="G24" s="28"/>
      <c r="H24" s="27">
        <v>0.875</v>
      </c>
      <c r="I24" s="42">
        <v>0.45833333333333331</v>
      </c>
      <c r="J24" s="58">
        <v>0.45833333333333331</v>
      </c>
      <c r="K24" s="103">
        <f>SUM(E24:J24)</f>
        <v>3.416666666666667</v>
      </c>
      <c r="L24" s="93">
        <v>3.625</v>
      </c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15">
      <c r="A25" s="23" t="s">
        <v>28</v>
      </c>
      <c r="B25" s="25">
        <v>355000</v>
      </c>
      <c r="C25" s="59">
        <v>0</v>
      </c>
      <c r="D25" s="76">
        <f>SUM(B25:C25)</f>
        <v>355000</v>
      </c>
      <c r="E25" s="43">
        <v>177000</v>
      </c>
      <c r="F25" s="25">
        <v>187000</v>
      </c>
      <c r="G25" s="25">
        <v>0</v>
      </c>
      <c r="H25" s="25">
        <v>170000</v>
      </c>
      <c r="I25" s="43">
        <v>175000</v>
      </c>
      <c r="J25" s="59">
        <v>170000</v>
      </c>
      <c r="K25" s="76">
        <f>SUM(E25:J25)</f>
        <v>879000</v>
      </c>
      <c r="L25" s="94">
        <v>1234000</v>
      </c>
      <c r="M25" s="5"/>
      <c r="N25" s="5"/>
      <c r="O25" s="5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15">
      <c r="A26" s="15" t="s">
        <v>29</v>
      </c>
      <c r="B26" s="10">
        <v>0</v>
      </c>
      <c r="C26" s="55">
        <v>0</v>
      </c>
      <c r="D26" s="77">
        <f t="shared" ref="D26:D77" si="0">SUM(B26:C26)</f>
        <v>0</v>
      </c>
      <c r="E26" s="39">
        <v>0</v>
      </c>
      <c r="F26" s="10">
        <v>5000</v>
      </c>
      <c r="G26" s="10">
        <v>0</v>
      </c>
      <c r="H26" s="10">
        <v>0</v>
      </c>
      <c r="I26" s="39">
        <v>0</v>
      </c>
      <c r="J26" s="55">
        <v>0</v>
      </c>
      <c r="K26" s="77">
        <f t="shared" ref="K26:K77" si="1">SUM(E26:J26)</f>
        <v>5000</v>
      </c>
      <c r="L26" s="90">
        <v>5000</v>
      </c>
      <c r="M26" s="5"/>
      <c r="N26" s="5"/>
      <c r="O26" s="5"/>
      <c r="P26" s="5"/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15">
      <c r="A27" s="15" t="s">
        <v>30</v>
      </c>
      <c r="B27" s="10">
        <v>0</v>
      </c>
      <c r="C27" s="55">
        <v>0</v>
      </c>
      <c r="D27" s="77">
        <f t="shared" si="0"/>
        <v>0</v>
      </c>
      <c r="E27" s="39">
        <v>6000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77">
        <f t="shared" si="1"/>
        <v>6000</v>
      </c>
      <c r="L27" s="90">
        <v>6000</v>
      </c>
      <c r="M27" s="5"/>
      <c r="N27" s="5"/>
      <c r="O27" s="5"/>
      <c r="P27" s="5"/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15">
      <c r="A28" s="15" t="s">
        <v>31</v>
      </c>
      <c r="B28" s="10">
        <v>50000</v>
      </c>
      <c r="C28" s="55">
        <v>0</v>
      </c>
      <c r="D28" s="77">
        <f t="shared" si="0"/>
        <v>50000</v>
      </c>
      <c r="E28" s="39">
        <v>50000</v>
      </c>
      <c r="F28" s="10">
        <v>50000</v>
      </c>
      <c r="G28" s="10">
        <v>0</v>
      </c>
      <c r="H28" s="10">
        <v>50000</v>
      </c>
      <c r="I28" s="39">
        <v>50000</v>
      </c>
      <c r="J28" s="55">
        <v>50000</v>
      </c>
      <c r="K28" s="77">
        <f t="shared" si="1"/>
        <v>250000</v>
      </c>
      <c r="L28" s="90">
        <v>300000</v>
      </c>
      <c r="M28" s="5"/>
      <c r="N28" s="5"/>
      <c r="O28" s="5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15">
      <c r="A29" s="15" t="s">
        <v>32</v>
      </c>
      <c r="B29" s="10">
        <v>0</v>
      </c>
      <c r="C29" s="55">
        <v>0</v>
      </c>
      <c r="D29" s="77">
        <f t="shared" si="0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77">
        <f t="shared" si="1"/>
        <v>0</v>
      </c>
      <c r="L29" s="90">
        <v>0</v>
      </c>
      <c r="M29" s="5"/>
      <c r="N29" s="5"/>
      <c r="O29" s="5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15">
      <c r="A30" s="15" t="s">
        <v>33</v>
      </c>
      <c r="B30" s="10">
        <v>0</v>
      </c>
      <c r="C30" s="55">
        <v>0</v>
      </c>
      <c r="D30" s="77">
        <f t="shared" si="0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77">
        <f t="shared" si="1"/>
        <v>0</v>
      </c>
      <c r="L30" s="90">
        <v>0</v>
      </c>
      <c r="M30" s="5"/>
      <c r="N30" s="5"/>
      <c r="O30" s="5"/>
      <c r="P30" s="5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15">
      <c r="A31" s="15" t="s">
        <v>34</v>
      </c>
      <c r="B31" s="10">
        <v>0</v>
      </c>
      <c r="C31" s="55">
        <v>0</v>
      </c>
      <c r="D31" s="77">
        <f t="shared" si="0"/>
        <v>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77">
        <f t="shared" si="1"/>
        <v>0</v>
      </c>
      <c r="L31" s="90">
        <v>0</v>
      </c>
      <c r="M31" s="5"/>
      <c r="N31" s="5"/>
      <c r="O31" s="5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15">
      <c r="A32" s="15" t="s">
        <v>35</v>
      </c>
      <c r="B32" s="10">
        <v>0</v>
      </c>
      <c r="C32" s="55">
        <v>0</v>
      </c>
      <c r="D32" s="77">
        <f t="shared" si="0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77">
        <f t="shared" si="1"/>
        <v>0</v>
      </c>
      <c r="L32" s="90">
        <v>0</v>
      </c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15">
      <c r="A33" s="15" t="s">
        <v>36</v>
      </c>
      <c r="B33" s="10">
        <v>0</v>
      </c>
      <c r="C33" s="55">
        <v>90470</v>
      </c>
      <c r="D33" s="77">
        <f t="shared" si="0"/>
        <v>90470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77">
        <f t="shared" si="1"/>
        <v>0</v>
      </c>
      <c r="L33" s="90">
        <v>90470</v>
      </c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15">
      <c r="A34" s="15" t="s">
        <v>37</v>
      </c>
      <c r="B34" s="10">
        <v>0</v>
      </c>
      <c r="C34" s="55">
        <v>0</v>
      </c>
      <c r="D34" s="77">
        <f t="shared" si="0"/>
        <v>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77">
        <f t="shared" si="1"/>
        <v>0</v>
      </c>
      <c r="L34" s="90">
        <v>0</v>
      </c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15">
      <c r="A35" s="15" t="s">
        <v>38</v>
      </c>
      <c r="B35" s="10">
        <v>0</v>
      </c>
      <c r="C35" s="55">
        <v>0</v>
      </c>
      <c r="D35" s="77">
        <f t="shared" si="0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77">
        <f t="shared" si="1"/>
        <v>0</v>
      </c>
      <c r="L35" s="90">
        <v>0</v>
      </c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15">
      <c r="A36" s="15" t="s">
        <v>39</v>
      </c>
      <c r="B36" s="10">
        <v>0</v>
      </c>
      <c r="C36" s="55">
        <v>7630</v>
      </c>
      <c r="D36" s="77">
        <f t="shared" si="0"/>
        <v>7630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77">
        <f t="shared" si="1"/>
        <v>0</v>
      </c>
      <c r="L36" s="90">
        <v>7630</v>
      </c>
      <c r="M36" s="5"/>
      <c r="N36" s="5"/>
      <c r="O36" s="5"/>
      <c r="P36" s="5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15">
      <c r="A37" s="15" t="s">
        <v>40</v>
      </c>
      <c r="B37" s="10">
        <v>0</v>
      </c>
      <c r="C37" s="55">
        <v>0</v>
      </c>
      <c r="D37" s="77">
        <f t="shared" si="0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77">
        <f t="shared" si="1"/>
        <v>0</v>
      </c>
      <c r="L37" s="90">
        <v>0</v>
      </c>
      <c r="M37" s="5"/>
      <c r="N37" s="5"/>
      <c r="O37" s="5"/>
      <c r="P37" s="5"/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15">
      <c r="A38" s="15" t="s">
        <v>41</v>
      </c>
      <c r="B38" s="10">
        <v>0</v>
      </c>
      <c r="C38" s="55">
        <v>0</v>
      </c>
      <c r="D38" s="77">
        <f t="shared" si="0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0</v>
      </c>
      <c r="J38" s="55">
        <v>0</v>
      </c>
      <c r="K38" s="77">
        <f t="shared" si="1"/>
        <v>0</v>
      </c>
      <c r="L38" s="90">
        <v>0</v>
      </c>
      <c r="M38" s="5"/>
      <c r="N38" s="5"/>
      <c r="O38" s="5"/>
      <c r="P38" s="5"/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15">
      <c r="A39" s="15" t="s">
        <v>42</v>
      </c>
      <c r="B39" s="10">
        <v>0</v>
      </c>
      <c r="C39" s="55">
        <v>0</v>
      </c>
      <c r="D39" s="77">
        <f t="shared" si="0"/>
        <v>0</v>
      </c>
      <c r="E39" s="39">
        <v>1630</v>
      </c>
      <c r="F39" s="10">
        <v>8519</v>
      </c>
      <c r="G39" s="10">
        <v>4983</v>
      </c>
      <c r="H39" s="10">
        <v>2741</v>
      </c>
      <c r="I39" s="39">
        <v>71034</v>
      </c>
      <c r="J39" s="55">
        <v>43288</v>
      </c>
      <c r="K39" s="77">
        <f t="shared" si="1"/>
        <v>132195</v>
      </c>
      <c r="L39" s="90">
        <v>132195</v>
      </c>
      <c r="M39" s="5"/>
      <c r="N39" s="5"/>
      <c r="O39" s="5"/>
      <c r="P39" s="5"/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15">
      <c r="A40" s="15" t="s">
        <v>43</v>
      </c>
      <c r="B40" s="10">
        <v>0</v>
      </c>
      <c r="C40" s="55">
        <v>0</v>
      </c>
      <c r="D40" s="77">
        <f t="shared" si="0"/>
        <v>0</v>
      </c>
      <c r="E40" s="39">
        <v>37300</v>
      </c>
      <c r="F40" s="10">
        <v>10500</v>
      </c>
      <c r="G40" s="10">
        <v>0</v>
      </c>
      <c r="H40" s="10">
        <v>15000</v>
      </c>
      <c r="I40" s="39">
        <v>15000</v>
      </c>
      <c r="J40" s="55">
        <v>15000</v>
      </c>
      <c r="K40" s="77">
        <f t="shared" si="1"/>
        <v>92800</v>
      </c>
      <c r="L40" s="90">
        <v>92800</v>
      </c>
      <c r="M40" s="5"/>
      <c r="N40" s="5"/>
      <c r="O40" s="5"/>
      <c r="P40" s="5"/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15">
      <c r="A41" s="15" t="s">
        <v>44</v>
      </c>
      <c r="B41" s="10">
        <v>0</v>
      </c>
      <c r="C41" s="55">
        <v>0</v>
      </c>
      <c r="D41" s="77">
        <f t="shared" si="0"/>
        <v>0</v>
      </c>
      <c r="E41" s="39">
        <v>0</v>
      </c>
      <c r="F41" s="10">
        <v>0</v>
      </c>
      <c r="G41" s="10">
        <v>0</v>
      </c>
      <c r="H41" s="10">
        <v>0</v>
      </c>
      <c r="I41" s="39">
        <v>0</v>
      </c>
      <c r="J41" s="55">
        <v>0</v>
      </c>
      <c r="K41" s="77">
        <f t="shared" si="1"/>
        <v>0</v>
      </c>
      <c r="L41" s="90">
        <v>0</v>
      </c>
      <c r="M41" s="5"/>
      <c r="N41" s="5"/>
      <c r="O41" s="5"/>
      <c r="P41" s="5"/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15">
      <c r="A42" s="15" t="s">
        <v>45</v>
      </c>
      <c r="B42" s="10">
        <v>0</v>
      </c>
      <c r="C42" s="55">
        <v>0</v>
      </c>
      <c r="D42" s="77">
        <f t="shared" si="0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77">
        <f t="shared" si="1"/>
        <v>0</v>
      </c>
      <c r="L42" s="90">
        <v>0</v>
      </c>
      <c r="M42" s="5"/>
      <c r="N42" s="5"/>
      <c r="O42" s="5"/>
      <c r="P42" s="5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15">
      <c r="A43" s="15" t="s">
        <v>46</v>
      </c>
      <c r="B43" s="10">
        <v>0</v>
      </c>
      <c r="C43" s="55">
        <v>0</v>
      </c>
      <c r="D43" s="77">
        <f t="shared" si="0"/>
        <v>0</v>
      </c>
      <c r="E43" s="39">
        <v>0</v>
      </c>
      <c r="F43" s="10">
        <v>0</v>
      </c>
      <c r="G43" s="10">
        <v>0</v>
      </c>
      <c r="H43" s="10">
        <v>0</v>
      </c>
      <c r="I43" s="39">
        <v>0</v>
      </c>
      <c r="J43" s="55">
        <v>0</v>
      </c>
      <c r="K43" s="77">
        <f t="shared" si="1"/>
        <v>0</v>
      </c>
      <c r="L43" s="90">
        <v>0</v>
      </c>
      <c r="M43" s="5"/>
      <c r="N43" s="5"/>
      <c r="O43" s="5"/>
      <c r="P43" s="5"/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15">
      <c r="A44" s="15" t="s">
        <v>47</v>
      </c>
      <c r="B44" s="10">
        <v>0</v>
      </c>
      <c r="C44" s="55">
        <v>0</v>
      </c>
      <c r="D44" s="77">
        <f t="shared" si="0"/>
        <v>0</v>
      </c>
      <c r="E44" s="39">
        <v>0</v>
      </c>
      <c r="F44" s="10">
        <v>0</v>
      </c>
      <c r="G44" s="10">
        <v>0</v>
      </c>
      <c r="H44" s="10">
        <v>0</v>
      </c>
      <c r="I44" s="39">
        <v>0</v>
      </c>
      <c r="J44" s="55">
        <v>0</v>
      </c>
      <c r="K44" s="77">
        <f t="shared" si="1"/>
        <v>0</v>
      </c>
      <c r="L44" s="90">
        <v>0</v>
      </c>
      <c r="M44" s="5"/>
      <c r="N44" s="5"/>
      <c r="O44" s="5"/>
      <c r="P44" s="5"/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15">
      <c r="A45" s="15" t="s">
        <v>13</v>
      </c>
      <c r="B45" s="10">
        <v>0</v>
      </c>
      <c r="C45" s="55">
        <v>0</v>
      </c>
      <c r="D45" s="77">
        <f t="shared" si="0"/>
        <v>0</v>
      </c>
      <c r="E45" s="39">
        <v>84504</v>
      </c>
      <c r="F45" s="10">
        <v>82676</v>
      </c>
      <c r="G45" s="10">
        <v>0</v>
      </c>
      <c r="H45" s="10">
        <v>68211</v>
      </c>
      <c r="I45" s="39">
        <v>96498</v>
      </c>
      <c r="J45" s="55">
        <v>90948</v>
      </c>
      <c r="K45" s="77">
        <f t="shared" si="1"/>
        <v>422837</v>
      </c>
      <c r="L45" s="90">
        <v>422837</v>
      </c>
      <c r="M45" s="5"/>
      <c r="N45" s="5"/>
      <c r="O45" s="5"/>
      <c r="P45" s="5"/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15">
      <c r="A46" s="15" t="s">
        <v>14</v>
      </c>
      <c r="B46" s="10">
        <v>0</v>
      </c>
      <c r="C46" s="55">
        <v>0</v>
      </c>
      <c r="D46" s="77">
        <f t="shared" si="0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77">
        <f t="shared" si="1"/>
        <v>0</v>
      </c>
      <c r="L46" s="90">
        <v>0</v>
      </c>
      <c r="M46" s="5"/>
      <c r="N46" s="5"/>
      <c r="O46" s="5"/>
      <c r="P46" s="5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15">
      <c r="A47" s="15" t="s">
        <v>15</v>
      </c>
      <c r="B47" s="10">
        <v>0</v>
      </c>
      <c r="C47" s="55">
        <v>0</v>
      </c>
      <c r="D47" s="77">
        <f t="shared" si="0"/>
        <v>0</v>
      </c>
      <c r="E47" s="39">
        <v>16096</v>
      </c>
      <c r="F47" s="10">
        <v>7516</v>
      </c>
      <c r="G47" s="10">
        <v>0</v>
      </c>
      <c r="H47" s="10">
        <v>22737</v>
      </c>
      <c r="I47" s="39">
        <v>41101</v>
      </c>
      <c r="J47" s="55">
        <v>15741</v>
      </c>
      <c r="K47" s="77">
        <f t="shared" si="1"/>
        <v>103191</v>
      </c>
      <c r="L47" s="90">
        <v>103191</v>
      </c>
      <c r="M47" s="5"/>
      <c r="N47" s="5"/>
      <c r="O47" s="5"/>
      <c r="P47" s="5"/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15">
      <c r="A48" s="15" t="s">
        <v>48</v>
      </c>
      <c r="B48" s="10">
        <v>0</v>
      </c>
      <c r="C48" s="55">
        <v>0</v>
      </c>
      <c r="D48" s="77">
        <f t="shared" si="0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77">
        <f t="shared" si="1"/>
        <v>0</v>
      </c>
      <c r="L48" s="90">
        <v>0</v>
      </c>
      <c r="M48" s="5"/>
      <c r="N48" s="5"/>
      <c r="O48" s="5"/>
      <c r="P48" s="5"/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17" x14ac:dyDescent="0.15">
      <c r="A49" s="16" t="s">
        <v>49</v>
      </c>
      <c r="B49" s="12">
        <v>0</v>
      </c>
      <c r="C49" s="60">
        <v>0</v>
      </c>
      <c r="D49" s="78">
        <f t="shared" si="0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8">
        <f t="shared" si="1"/>
        <v>0</v>
      </c>
      <c r="L49" s="95">
        <v>0</v>
      </c>
      <c r="M49" s="6"/>
      <c r="N49" s="6"/>
      <c r="O49" s="6"/>
      <c r="P49" s="6"/>
      <c r="Q49" s="6"/>
    </row>
    <row r="50" spans="1:17" x14ac:dyDescent="0.15">
      <c r="A50" s="16" t="s">
        <v>50</v>
      </c>
      <c r="B50" s="12">
        <v>0</v>
      </c>
      <c r="C50" s="60">
        <v>0</v>
      </c>
      <c r="D50" s="78">
        <f t="shared" si="0"/>
        <v>0</v>
      </c>
      <c r="E50" s="44">
        <v>0</v>
      </c>
      <c r="F50" s="12">
        <v>0</v>
      </c>
      <c r="G50" s="12">
        <v>0</v>
      </c>
      <c r="H50" s="12">
        <v>0</v>
      </c>
      <c r="I50" s="44">
        <v>0</v>
      </c>
      <c r="J50" s="60">
        <v>0</v>
      </c>
      <c r="K50" s="78">
        <f t="shared" si="1"/>
        <v>0</v>
      </c>
      <c r="L50" s="95">
        <v>0</v>
      </c>
      <c r="M50" s="6"/>
      <c r="N50" s="6"/>
      <c r="O50" s="6"/>
      <c r="P50" s="6"/>
      <c r="Q50" s="6"/>
    </row>
    <row r="51" spans="1:17" x14ac:dyDescent="0.15">
      <c r="A51" s="16" t="s">
        <v>51</v>
      </c>
      <c r="B51" s="12">
        <v>0</v>
      </c>
      <c r="C51" s="60">
        <v>0</v>
      </c>
      <c r="D51" s="78">
        <f t="shared" si="0"/>
        <v>0</v>
      </c>
      <c r="E51" s="44">
        <v>0</v>
      </c>
      <c r="F51" s="12">
        <v>0</v>
      </c>
      <c r="G51" s="12">
        <v>0</v>
      </c>
      <c r="H51" s="12">
        <v>0</v>
      </c>
      <c r="I51" s="44">
        <v>0</v>
      </c>
      <c r="J51" s="60">
        <v>0</v>
      </c>
      <c r="K51" s="78">
        <f t="shared" si="1"/>
        <v>0</v>
      </c>
      <c r="L51" s="95">
        <v>0</v>
      </c>
      <c r="M51" s="6"/>
      <c r="N51" s="6"/>
      <c r="O51" s="6"/>
      <c r="P51" s="6"/>
      <c r="Q51" s="6"/>
    </row>
    <row r="52" spans="1:17" x14ac:dyDescent="0.15">
      <c r="A52" s="16" t="s">
        <v>52</v>
      </c>
      <c r="B52" s="12">
        <v>0</v>
      </c>
      <c r="C52" s="60">
        <v>0</v>
      </c>
      <c r="D52" s="78">
        <f t="shared" si="0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60">
        <v>0</v>
      </c>
      <c r="K52" s="78">
        <f t="shared" si="1"/>
        <v>0</v>
      </c>
      <c r="L52" s="95">
        <v>0</v>
      </c>
      <c r="M52" s="6"/>
      <c r="N52" s="6"/>
      <c r="O52" s="6"/>
      <c r="P52" s="6"/>
      <c r="Q52" s="6"/>
    </row>
    <row r="53" spans="1:17" x14ac:dyDescent="0.15">
      <c r="A53" s="16" t="s">
        <v>23</v>
      </c>
      <c r="B53" s="12">
        <v>3015</v>
      </c>
      <c r="C53" s="60">
        <v>0</v>
      </c>
      <c r="D53" s="78">
        <f t="shared" si="0"/>
        <v>3015</v>
      </c>
      <c r="E53" s="44">
        <v>6045</v>
      </c>
      <c r="F53" s="12">
        <v>9024</v>
      </c>
      <c r="G53" s="12">
        <v>0</v>
      </c>
      <c r="H53" s="12">
        <v>7350</v>
      </c>
      <c r="I53" s="44">
        <v>3938</v>
      </c>
      <c r="J53" s="60">
        <v>3850</v>
      </c>
      <c r="K53" s="78">
        <f t="shared" si="1"/>
        <v>30207</v>
      </c>
      <c r="L53" s="95">
        <v>33222</v>
      </c>
    </row>
    <row r="54" spans="1:17" ht="14.25" thickBot="1" x14ac:dyDescent="0.2">
      <c r="A54" s="17" t="s">
        <v>53</v>
      </c>
      <c r="B54" s="31">
        <v>408015</v>
      </c>
      <c r="C54" s="61">
        <v>98100</v>
      </c>
      <c r="D54" s="79">
        <f t="shared" si="0"/>
        <v>506115</v>
      </c>
      <c r="E54" s="45">
        <v>378575</v>
      </c>
      <c r="F54" s="31">
        <v>360235</v>
      </c>
      <c r="G54" s="31">
        <v>4983</v>
      </c>
      <c r="H54" s="31">
        <v>336039</v>
      </c>
      <c r="I54" s="45">
        <v>452571</v>
      </c>
      <c r="J54" s="61">
        <v>388827</v>
      </c>
      <c r="K54" s="79">
        <f t="shared" si="1"/>
        <v>1921230</v>
      </c>
      <c r="L54" s="96">
        <v>2427345</v>
      </c>
    </row>
    <row r="55" spans="1:17" x14ac:dyDescent="0.15">
      <c r="A55" s="29" t="s">
        <v>54</v>
      </c>
      <c r="B55" s="30">
        <v>11788</v>
      </c>
      <c r="C55" s="62">
        <v>4320</v>
      </c>
      <c r="D55" s="80">
        <f t="shared" si="0"/>
        <v>16108</v>
      </c>
      <c r="E55" s="46">
        <v>5638</v>
      </c>
      <c r="F55" s="30">
        <v>4698</v>
      </c>
      <c r="G55" s="30">
        <v>0</v>
      </c>
      <c r="H55" s="30">
        <v>4446</v>
      </c>
      <c r="I55" s="46">
        <v>3887</v>
      </c>
      <c r="J55" s="62">
        <v>5125</v>
      </c>
      <c r="K55" s="80">
        <f t="shared" si="1"/>
        <v>23794</v>
      </c>
      <c r="L55" s="97">
        <v>39902</v>
      </c>
    </row>
    <row r="56" spans="1:17" ht="14.25" thickBot="1" x14ac:dyDescent="0.2">
      <c r="A56" s="32" t="s">
        <v>55</v>
      </c>
      <c r="B56" s="33">
        <v>11788</v>
      </c>
      <c r="C56" s="63">
        <v>4320</v>
      </c>
      <c r="D56" s="81">
        <f t="shared" si="0"/>
        <v>16108</v>
      </c>
      <c r="E56" s="47">
        <v>5638</v>
      </c>
      <c r="F56" s="33">
        <v>4698</v>
      </c>
      <c r="G56" s="33">
        <v>0</v>
      </c>
      <c r="H56" s="33">
        <v>4446</v>
      </c>
      <c r="I56" s="47">
        <v>3887</v>
      </c>
      <c r="J56" s="63">
        <v>5125</v>
      </c>
      <c r="K56" s="81">
        <f t="shared" si="1"/>
        <v>23794</v>
      </c>
      <c r="L56" s="98">
        <v>39902</v>
      </c>
    </row>
    <row r="57" spans="1:17" ht="14.25" thickBot="1" x14ac:dyDescent="0.2">
      <c r="A57" s="34" t="s">
        <v>56</v>
      </c>
      <c r="B57" s="35">
        <v>419803</v>
      </c>
      <c r="C57" s="64">
        <v>102420</v>
      </c>
      <c r="D57" s="82">
        <f t="shared" si="0"/>
        <v>522223</v>
      </c>
      <c r="E57" s="48">
        <v>384213</v>
      </c>
      <c r="F57" s="35">
        <v>364933</v>
      </c>
      <c r="G57" s="35">
        <v>4983</v>
      </c>
      <c r="H57" s="35">
        <v>340485</v>
      </c>
      <c r="I57" s="48">
        <v>456458</v>
      </c>
      <c r="J57" s="64">
        <v>393952</v>
      </c>
      <c r="K57" s="82">
        <f t="shared" si="1"/>
        <v>1945024</v>
      </c>
      <c r="L57" s="99">
        <v>2467247</v>
      </c>
    </row>
    <row r="58" spans="1:17" x14ac:dyDescent="0.15">
      <c r="A58" s="29" t="s">
        <v>57</v>
      </c>
      <c r="B58" s="30">
        <v>22440</v>
      </c>
      <c r="C58" s="62">
        <v>0</v>
      </c>
      <c r="D58" s="80">
        <f t="shared" si="0"/>
        <v>22440</v>
      </c>
      <c r="E58" s="46">
        <v>20910</v>
      </c>
      <c r="F58" s="30">
        <v>18360</v>
      </c>
      <c r="G58" s="30">
        <v>18360</v>
      </c>
      <c r="H58" s="30">
        <v>17340</v>
      </c>
      <c r="I58" s="46">
        <v>18360</v>
      </c>
      <c r="J58" s="62">
        <v>20910</v>
      </c>
      <c r="K58" s="80">
        <f t="shared" si="1"/>
        <v>114240</v>
      </c>
      <c r="L58" s="97">
        <v>136680</v>
      </c>
    </row>
    <row r="59" spans="1:17" x14ac:dyDescent="0.15">
      <c r="A59" s="16" t="s">
        <v>58</v>
      </c>
      <c r="B59" s="12">
        <v>3960</v>
      </c>
      <c r="C59" s="60">
        <v>0</v>
      </c>
      <c r="D59" s="78">
        <f t="shared" si="0"/>
        <v>3960</v>
      </c>
      <c r="E59" s="44">
        <v>3690</v>
      </c>
      <c r="F59" s="12">
        <v>3240</v>
      </c>
      <c r="G59" s="12">
        <v>3240</v>
      </c>
      <c r="H59" s="12">
        <v>3060</v>
      </c>
      <c r="I59" s="44">
        <v>3240</v>
      </c>
      <c r="J59" s="60">
        <v>3690</v>
      </c>
      <c r="K59" s="78">
        <f t="shared" si="1"/>
        <v>20160</v>
      </c>
      <c r="L59" s="95">
        <v>24120</v>
      </c>
    </row>
    <row r="60" spans="1:17" x14ac:dyDescent="0.15">
      <c r="A60" s="16" t="s">
        <v>59</v>
      </c>
      <c r="B60" s="12">
        <v>40260</v>
      </c>
      <c r="C60" s="60">
        <v>0</v>
      </c>
      <c r="D60" s="78">
        <f t="shared" si="0"/>
        <v>40260</v>
      </c>
      <c r="E60" s="44">
        <v>37515</v>
      </c>
      <c r="F60" s="12">
        <v>32940</v>
      </c>
      <c r="G60" s="12">
        <v>32940</v>
      </c>
      <c r="H60" s="12">
        <v>31110</v>
      </c>
      <c r="I60" s="44">
        <v>32940</v>
      </c>
      <c r="J60" s="60">
        <v>37515</v>
      </c>
      <c r="K60" s="78">
        <f t="shared" si="1"/>
        <v>204960</v>
      </c>
      <c r="L60" s="95">
        <v>245220</v>
      </c>
    </row>
    <row r="61" spans="1:17" x14ac:dyDescent="0.15">
      <c r="A61" s="16" t="s">
        <v>60</v>
      </c>
      <c r="B61" s="12">
        <v>0</v>
      </c>
      <c r="C61" s="60">
        <v>0</v>
      </c>
      <c r="D61" s="78">
        <f t="shared" si="0"/>
        <v>0</v>
      </c>
      <c r="E61" s="44">
        <v>0</v>
      </c>
      <c r="F61" s="12">
        <v>0</v>
      </c>
      <c r="G61" s="12">
        <v>0</v>
      </c>
      <c r="H61" s="12">
        <v>0</v>
      </c>
      <c r="I61" s="44">
        <v>0</v>
      </c>
      <c r="J61" s="60">
        <v>0</v>
      </c>
      <c r="K61" s="78">
        <f t="shared" si="1"/>
        <v>0</v>
      </c>
      <c r="L61" s="95">
        <v>0</v>
      </c>
    </row>
    <row r="62" spans="1:17" x14ac:dyDescent="0.15">
      <c r="A62" s="16" t="s">
        <v>61</v>
      </c>
      <c r="B62" s="12">
        <v>1259</v>
      </c>
      <c r="C62" s="60">
        <v>307</v>
      </c>
      <c r="D62" s="78">
        <f t="shared" si="0"/>
        <v>1566</v>
      </c>
      <c r="E62" s="44">
        <v>1153</v>
      </c>
      <c r="F62" s="12">
        <v>1095</v>
      </c>
      <c r="G62" s="12">
        <v>15</v>
      </c>
      <c r="H62" s="12">
        <v>1021</v>
      </c>
      <c r="I62" s="44">
        <v>1369</v>
      </c>
      <c r="J62" s="60">
        <v>1182</v>
      </c>
      <c r="K62" s="78">
        <f t="shared" si="1"/>
        <v>5835</v>
      </c>
      <c r="L62" s="95">
        <v>7401</v>
      </c>
    </row>
    <row r="63" spans="1:17" x14ac:dyDescent="0.15">
      <c r="A63" s="16" t="s">
        <v>62</v>
      </c>
      <c r="B63" s="12">
        <v>0</v>
      </c>
      <c r="C63" s="60">
        <v>0</v>
      </c>
      <c r="D63" s="78">
        <f t="shared" si="0"/>
        <v>0</v>
      </c>
      <c r="E63" s="44">
        <v>0</v>
      </c>
      <c r="F63" s="12">
        <v>0</v>
      </c>
      <c r="G63" s="12">
        <v>0</v>
      </c>
      <c r="H63" s="12">
        <v>0</v>
      </c>
      <c r="I63" s="44">
        <v>0</v>
      </c>
      <c r="J63" s="60">
        <v>0</v>
      </c>
      <c r="K63" s="78">
        <f t="shared" si="1"/>
        <v>0</v>
      </c>
      <c r="L63" s="95">
        <v>0</v>
      </c>
    </row>
    <row r="64" spans="1:17" ht="14.25" thickBot="1" x14ac:dyDescent="0.2">
      <c r="A64" s="32" t="s">
        <v>63</v>
      </c>
      <c r="B64" s="33">
        <v>67919</v>
      </c>
      <c r="C64" s="63">
        <v>307</v>
      </c>
      <c r="D64" s="81">
        <f t="shared" si="0"/>
        <v>68226</v>
      </c>
      <c r="E64" s="47">
        <v>63268</v>
      </c>
      <c r="F64" s="33">
        <v>55635</v>
      </c>
      <c r="G64" s="33">
        <v>54555</v>
      </c>
      <c r="H64" s="33">
        <v>52531</v>
      </c>
      <c r="I64" s="47">
        <v>55909</v>
      </c>
      <c r="J64" s="63">
        <v>63297</v>
      </c>
      <c r="K64" s="81">
        <f t="shared" si="1"/>
        <v>345195</v>
      </c>
      <c r="L64" s="98">
        <v>413421</v>
      </c>
    </row>
    <row r="65" spans="1:12" ht="14.25" thickBot="1" x14ac:dyDescent="0.2">
      <c r="A65" s="34" t="s">
        <v>64</v>
      </c>
      <c r="B65" s="35">
        <v>340096</v>
      </c>
      <c r="C65" s="64">
        <v>97793</v>
      </c>
      <c r="D65" s="82">
        <f t="shared" si="0"/>
        <v>437889</v>
      </c>
      <c r="E65" s="48">
        <v>315307</v>
      </c>
      <c r="F65" s="35">
        <v>304600</v>
      </c>
      <c r="G65" s="35">
        <v>0</v>
      </c>
      <c r="H65" s="35">
        <v>283508</v>
      </c>
      <c r="I65" s="48">
        <v>396662</v>
      </c>
      <c r="J65" s="64">
        <v>325530</v>
      </c>
      <c r="K65" s="82">
        <f t="shared" si="1"/>
        <v>1625607</v>
      </c>
      <c r="L65" s="99">
        <v>2063496</v>
      </c>
    </row>
    <row r="66" spans="1:12" x14ac:dyDescent="0.15">
      <c r="A66" s="29" t="s">
        <v>65</v>
      </c>
      <c r="B66" s="30">
        <v>8420</v>
      </c>
      <c r="C66" s="62">
        <v>610</v>
      </c>
      <c r="D66" s="80">
        <f t="shared" si="0"/>
        <v>9030</v>
      </c>
      <c r="E66" s="46">
        <v>7350</v>
      </c>
      <c r="F66" s="30">
        <v>8760</v>
      </c>
      <c r="G66" s="30">
        <v>0</v>
      </c>
      <c r="H66" s="30">
        <v>4520</v>
      </c>
      <c r="I66" s="46">
        <v>16280</v>
      </c>
      <c r="J66" s="62">
        <v>6150</v>
      </c>
      <c r="K66" s="80">
        <f t="shared" si="1"/>
        <v>43060</v>
      </c>
      <c r="L66" s="97">
        <v>52090</v>
      </c>
    </row>
    <row r="67" spans="1:12" x14ac:dyDescent="0.15">
      <c r="A67" s="16" t="s">
        <v>66</v>
      </c>
      <c r="B67" s="12">
        <v>0</v>
      </c>
      <c r="C67" s="60">
        <v>0</v>
      </c>
      <c r="D67" s="78">
        <f t="shared" si="0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8">
        <f t="shared" si="1"/>
        <v>0</v>
      </c>
      <c r="L67" s="95">
        <v>0</v>
      </c>
    </row>
    <row r="68" spans="1:12" x14ac:dyDescent="0.15">
      <c r="A68" s="16" t="s">
        <v>67</v>
      </c>
      <c r="B68" s="12">
        <v>21400</v>
      </c>
      <c r="C68" s="60">
        <v>500</v>
      </c>
      <c r="D68" s="78">
        <f t="shared" si="0"/>
        <v>21900</v>
      </c>
      <c r="E68" s="44">
        <v>18100</v>
      </c>
      <c r="F68" s="12">
        <v>16900</v>
      </c>
      <c r="G68" s="12">
        <v>13000</v>
      </c>
      <c r="H68" s="12">
        <v>7400</v>
      </c>
      <c r="I68" s="44">
        <v>16000</v>
      </c>
      <c r="J68" s="60">
        <v>10700</v>
      </c>
      <c r="K68" s="78">
        <f t="shared" si="1"/>
        <v>82100</v>
      </c>
      <c r="L68" s="95">
        <v>104000</v>
      </c>
    </row>
    <row r="69" spans="1:12" x14ac:dyDescent="0.15">
      <c r="A69" s="16" t="s">
        <v>68</v>
      </c>
      <c r="B69" s="12">
        <v>0</v>
      </c>
      <c r="C69" s="60">
        <v>0</v>
      </c>
      <c r="D69" s="78">
        <f t="shared" si="0"/>
        <v>0</v>
      </c>
      <c r="E69" s="44">
        <v>1630</v>
      </c>
      <c r="F69" s="12">
        <v>8519</v>
      </c>
      <c r="G69" s="12">
        <v>-62572</v>
      </c>
      <c r="H69" s="12">
        <v>2741</v>
      </c>
      <c r="I69" s="44">
        <v>71034</v>
      </c>
      <c r="J69" s="60">
        <v>43288</v>
      </c>
      <c r="K69" s="78">
        <f t="shared" si="1"/>
        <v>64640</v>
      </c>
      <c r="L69" s="95">
        <v>64640</v>
      </c>
    </row>
    <row r="70" spans="1:12" x14ac:dyDescent="0.15">
      <c r="A70" s="16" t="s">
        <v>69</v>
      </c>
      <c r="B70" s="12">
        <v>0</v>
      </c>
      <c r="C70" s="60">
        <v>0</v>
      </c>
      <c r="D70" s="78">
        <f t="shared" si="0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60">
        <v>0</v>
      </c>
      <c r="K70" s="78">
        <f t="shared" si="1"/>
        <v>0</v>
      </c>
      <c r="L70" s="95">
        <v>0</v>
      </c>
    </row>
    <row r="71" spans="1:12" x14ac:dyDescent="0.15">
      <c r="A71" s="16" t="s">
        <v>70</v>
      </c>
      <c r="B71" s="12">
        <v>0</v>
      </c>
      <c r="C71" s="60">
        <v>0</v>
      </c>
      <c r="D71" s="78">
        <f t="shared" si="0"/>
        <v>0</v>
      </c>
      <c r="E71" s="44">
        <v>0</v>
      </c>
      <c r="F71" s="12">
        <v>0</v>
      </c>
      <c r="G71" s="12">
        <v>0</v>
      </c>
      <c r="H71" s="12">
        <v>0</v>
      </c>
      <c r="I71" s="44">
        <v>0</v>
      </c>
      <c r="J71" s="60">
        <v>0</v>
      </c>
      <c r="K71" s="78">
        <f t="shared" si="1"/>
        <v>0</v>
      </c>
      <c r="L71" s="95">
        <v>0</v>
      </c>
    </row>
    <row r="72" spans="1:12" x14ac:dyDescent="0.15">
      <c r="A72" s="16" t="s">
        <v>71</v>
      </c>
      <c r="B72" s="12">
        <v>0</v>
      </c>
      <c r="C72" s="60">
        <v>0</v>
      </c>
      <c r="D72" s="78">
        <f t="shared" si="0"/>
        <v>0</v>
      </c>
      <c r="E72" s="44">
        <v>0</v>
      </c>
      <c r="F72" s="12">
        <v>0</v>
      </c>
      <c r="G72" s="12">
        <v>0</v>
      </c>
      <c r="H72" s="12">
        <v>0</v>
      </c>
      <c r="I72" s="44">
        <v>0</v>
      </c>
      <c r="J72" s="60">
        <v>0</v>
      </c>
      <c r="K72" s="78">
        <f t="shared" si="1"/>
        <v>0</v>
      </c>
      <c r="L72" s="95">
        <v>0</v>
      </c>
    </row>
    <row r="73" spans="1:12" ht="14.25" thickBot="1" x14ac:dyDescent="0.2">
      <c r="A73" s="32" t="s">
        <v>72</v>
      </c>
      <c r="B73" s="33">
        <v>29820</v>
      </c>
      <c r="C73" s="63">
        <v>1110</v>
      </c>
      <c r="D73" s="81">
        <f t="shared" si="0"/>
        <v>30930</v>
      </c>
      <c r="E73" s="47">
        <v>27080</v>
      </c>
      <c r="F73" s="33">
        <v>34179</v>
      </c>
      <c r="G73" s="33">
        <v>-49572</v>
      </c>
      <c r="H73" s="33">
        <v>14661</v>
      </c>
      <c r="I73" s="47">
        <v>103314</v>
      </c>
      <c r="J73" s="63">
        <v>60138</v>
      </c>
      <c r="K73" s="81">
        <f t="shared" si="1"/>
        <v>189800</v>
      </c>
      <c r="L73" s="98">
        <v>220730</v>
      </c>
    </row>
    <row r="74" spans="1:12" ht="14.25" thickBot="1" x14ac:dyDescent="0.2">
      <c r="A74" s="34" t="s">
        <v>73</v>
      </c>
      <c r="B74" s="35">
        <v>97739</v>
      </c>
      <c r="C74" s="64">
        <v>1417</v>
      </c>
      <c r="D74" s="82">
        <f t="shared" si="0"/>
        <v>99156</v>
      </c>
      <c r="E74" s="48">
        <v>90348</v>
      </c>
      <c r="F74" s="35">
        <v>89814</v>
      </c>
      <c r="G74" s="35">
        <v>4983</v>
      </c>
      <c r="H74" s="35">
        <v>67192</v>
      </c>
      <c r="I74" s="48">
        <v>159223</v>
      </c>
      <c r="J74" s="64">
        <v>123435</v>
      </c>
      <c r="K74" s="82">
        <f t="shared" si="1"/>
        <v>534995</v>
      </c>
      <c r="L74" s="99">
        <v>634151</v>
      </c>
    </row>
    <row r="75" spans="1:12" ht="14.25" thickBot="1" x14ac:dyDescent="0.2">
      <c r="A75" s="34" t="s">
        <v>74</v>
      </c>
      <c r="B75" s="35">
        <v>322064</v>
      </c>
      <c r="C75" s="64">
        <v>101003</v>
      </c>
      <c r="D75" s="82">
        <f t="shared" si="0"/>
        <v>423067</v>
      </c>
      <c r="E75" s="48">
        <v>293865</v>
      </c>
      <c r="F75" s="35">
        <v>275119</v>
      </c>
      <c r="G75" s="35">
        <v>0</v>
      </c>
      <c r="H75" s="35">
        <v>273293</v>
      </c>
      <c r="I75" s="48">
        <v>297235</v>
      </c>
      <c r="J75" s="64">
        <v>270517</v>
      </c>
      <c r="K75" s="82">
        <f t="shared" si="1"/>
        <v>1410029</v>
      </c>
      <c r="L75" s="99">
        <v>1833096</v>
      </c>
    </row>
    <row r="76" spans="1:12" x14ac:dyDescent="0.15">
      <c r="A76" s="29" t="s">
        <v>75</v>
      </c>
      <c r="B76" s="30">
        <v>0</v>
      </c>
      <c r="C76" s="62">
        <v>0</v>
      </c>
      <c r="D76" s="80">
        <f t="shared" si="0"/>
        <v>0</v>
      </c>
      <c r="E76" s="46">
        <v>0</v>
      </c>
      <c r="F76" s="30">
        <v>0</v>
      </c>
      <c r="G76" s="30">
        <v>0</v>
      </c>
      <c r="H76" s="30">
        <v>0</v>
      </c>
      <c r="I76" s="46">
        <v>0</v>
      </c>
      <c r="J76" s="62">
        <v>0</v>
      </c>
      <c r="K76" s="80">
        <f t="shared" si="1"/>
        <v>0</v>
      </c>
      <c r="L76" s="97">
        <v>0</v>
      </c>
    </row>
    <row r="77" spans="1:12" x14ac:dyDescent="0.15">
      <c r="A77" s="16" t="s">
        <v>76</v>
      </c>
      <c r="B77" s="12">
        <v>322064</v>
      </c>
      <c r="C77" s="60">
        <v>101003</v>
      </c>
      <c r="D77" s="78">
        <f t="shared" si="0"/>
        <v>423067</v>
      </c>
      <c r="E77" s="44">
        <v>293865</v>
      </c>
      <c r="F77" s="12">
        <v>275119</v>
      </c>
      <c r="G77" s="12">
        <v>0</v>
      </c>
      <c r="H77" s="12">
        <v>273293</v>
      </c>
      <c r="I77" s="44">
        <v>297235</v>
      </c>
      <c r="J77" s="60">
        <v>270517</v>
      </c>
      <c r="K77" s="78">
        <f t="shared" si="1"/>
        <v>1410029</v>
      </c>
      <c r="L77" s="95">
        <v>1833096</v>
      </c>
    </row>
    <row r="78" spans="1:12" x14ac:dyDescent="0.15">
      <c r="A78" s="16" t="s">
        <v>77</v>
      </c>
      <c r="B78" s="13">
        <v>31</v>
      </c>
      <c r="C78" s="65">
        <v>9</v>
      </c>
      <c r="D78" s="83"/>
      <c r="E78" s="49">
        <v>21</v>
      </c>
      <c r="F78" s="13">
        <v>26</v>
      </c>
      <c r="G78" s="13">
        <v>21</v>
      </c>
      <c r="H78" s="13">
        <v>7</v>
      </c>
      <c r="I78" s="49">
        <v>14</v>
      </c>
      <c r="J78" s="65">
        <v>13</v>
      </c>
      <c r="K78" s="83"/>
      <c r="L78" s="100">
        <v>142</v>
      </c>
    </row>
    <row r="79" spans="1:12" x14ac:dyDescent="0.15">
      <c r="A79" s="16" t="s">
        <v>78</v>
      </c>
      <c r="B79" s="14">
        <v>1</v>
      </c>
      <c r="C79" s="66"/>
      <c r="D79" s="84"/>
      <c r="E79" s="50">
        <v>1</v>
      </c>
      <c r="F79" s="14"/>
      <c r="G79" s="14">
        <v>1</v>
      </c>
      <c r="H79" s="14">
        <v>2</v>
      </c>
      <c r="I79" s="50"/>
      <c r="J79" s="66">
        <v>2</v>
      </c>
      <c r="K79" s="84"/>
      <c r="L79" s="101"/>
    </row>
    <row r="80" spans="1:12" ht="14.25" thickBot="1" x14ac:dyDescent="0.2">
      <c r="A80" s="17" t="s">
        <v>79</v>
      </c>
      <c r="B80" s="18" t="s">
        <v>80</v>
      </c>
      <c r="C80" s="67" t="s">
        <v>80</v>
      </c>
      <c r="D80" s="85"/>
      <c r="E80" s="51" t="s">
        <v>80</v>
      </c>
      <c r="F80" s="18" t="s">
        <v>80</v>
      </c>
      <c r="G80" s="18" t="s">
        <v>80</v>
      </c>
      <c r="H80" s="18" t="s">
        <v>80</v>
      </c>
      <c r="I80" s="51" t="s">
        <v>80</v>
      </c>
      <c r="J80" s="67" t="s">
        <v>80</v>
      </c>
      <c r="K80" s="85"/>
      <c r="L80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67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2020-04-13T01:37:44Z</cp:lastPrinted>
  <dcterms:created xsi:type="dcterms:W3CDTF">2011-10-11T01:59:58Z</dcterms:created>
  <dcterms:modified xsi:type="dcterms:W3CDTF">2020-04-14T01:11:55Z</dcterms:modified>
</cp:coreProperties>
</file>