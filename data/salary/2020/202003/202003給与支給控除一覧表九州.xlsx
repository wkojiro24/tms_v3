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14B820E6-B4A6-4EB9-BE65-A5B8A9C8E67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25" i="2"/>
  <c r="K24" i="2"/>
  <c r="K11" i="2"/>
  <c r="K12" i="2"/>
  <c r="K14" i="2"/>
  <c r="K15" i="2"/>
  <c r="K16" i="2"/>
  <c r="K10" i="2"/>
  <c r="K8" i="2"/>
  <c r="K7" i="2"/>
  <c r="K6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54" i="2"/>
  <c r="D33" i="2"/>
  <c r="D25" i="2"/>
  <c r="D13" i="2"/>
  <c r="D10" i="2"/>
  <c r="D6" i="2"/>
</calcChain>
</file>

<file path=xl/sharedStrings.xml><?xml version="1.0" encoding="utf-8"?>
<sst xmlns="http://schemas.openxmlformats.org/spreadsheetml/2006/main" count="108" uniqueCount="89">
  <si>
    <t>所　属</t>
  </si>
  <si>
    <t>社　員</t>
  </si>
  <si>
    <t>２０20年3月分</t>
  </si>
  <si>
    <t>九州</t>
  </si>
  <si>
    <t>高橋　希実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</si>
  <si>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</si>
  <si>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</si>
  <si>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</si>
  <si>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</si>
  <si>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</si>
  <si>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</si>
  <si>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</si>
  <si>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</si>
  <si>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</si>
  <si>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</si>
  <si>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</si>
  <si>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</si>
  <si>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</si>
  <si>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</si>
  <si>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</si>
  <si>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</si>
  <si>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</si>
  <si>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</si>
  <si>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</si>
  <si>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河村　智春</t>
  </si>
  <si>
    <t>赤崎　功幸</t>
  </si>
  <si>
    <t>江崎　秀明</t>
  </si>
  <si>
    <t>櫻木　諭治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</si>
  <si>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</si>
  <si>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</si>
  <si>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</si>
  <si>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</si>
  <si>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</si>
  <si>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</si>
  <si>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</si>
  <si>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</si>
  <si>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</si>
  <si>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</si>
  <si>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</si>
  <si>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</si>
  <si>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</si>
  <si>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</si>
  <si>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</si>
  <si>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</si>
  <si>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</si>
  <si>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</si>
  <si>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</si>
  <si>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</si>
  <si>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</si>
  <si>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</si>
  <si>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</si>
  <si>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</si>
  <si>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</si>
  <si>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</si>
  <si>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</si>
  <si>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</si>
  <si>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</si>
  <si>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</si>
  <si>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</si>
  <si>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</si>
  <si>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</si>
  <si>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</si>
  <si>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</si>
  <si>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</si>
  <si>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</si>
  <si>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</si>
  <si>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</si>
  <si>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</si>
  <si>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</si>
  <si>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</si>
  <si>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</si>
  <si>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</si>
  <si>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</si>
  <si>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</si>
  <si>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</si>
  <si>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</si>
  <si>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</si>
  <si>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</si>
  <si>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</si>
  <si>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</si>
  <si>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</si>
  <si>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米澤　敬</t>
  </si>
  <si>
    <t>大賀　勇也</t>
  </si>
  <si>
    <t>木下　知美</t>
  </si>
  <si>
    <t>8名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</si>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</sst>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38" xfId="0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0" fontId="2" fillId="0" borderId="37" xfId="0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4183-403C-499E-9008-3EB3B16199B5}">
  <sheetPr>
    <pageSetUpPr fitToPage="1"/>
  </sheetPr>
  <dimension ref="A1:AL80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62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2" t="s">
        <v>3</v>
      </c>
      <c r="D3" s="70" t="s">
        <v>86</v>
      </c>
      <c r="E3" s="36" t="s">
        <v>3</v>
      </c>
      <c r="F3" s="20" t="s">
        <v>3</v>
      </c>
      <c r="G3" s="20" t="s">
        <v>3</v>
      </c>
      <c r="H3" s="20" t="s">
        <v>3</v>
      </c>
      <c r="I3" s="36" t="s">
        <v>3</v>
      </c>
      <c r="J3" s="52" t="s">
        <v>3</v>
      </c>
      <c r="K3" s="70" t="s">
        <v>86</v>
      </c>
      <c r="L3" s="89" t="s">
        <v>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3">
        <v>1063</v>
      </c>
      <c r="D4" s="71"/>
      <c r="E4" s="37">
        <v>1044</v>
      </c>
      <c r="F4" s="22">
        <v>1056</v>
      </c>
      <c r="G4" s="22">
        <v>1059</v>
      </c>
      <c r="H4" s="22">
        <v>1061</v>
      </c>
      <c r="I4" s="37">
        <v>1067</v>
      </c>
      <c r="J4" s="53">
        <v>1071</v>
      </c>
      <c r="K4" s="71"/>
      <c r="L4" s="9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25</v>
      </c>
      <c r="C5" s="53" t="s">
        <v>83</v>
      </c>
      <c r="D5" s="72" t="s">
        <v>87</v>
      </c>
      <c r="E5" s="37" t="s">
        <v>4</v>
      </c>
      <c r="F5" s="22" t="s">
        <v>24</v>
      </c>
      <c r="G5" s="22" t="s">
        <v>26</v>
      </c>
      <c r="H5" s="22" t="s">
        <v>27</v>
      </c>
      <c r="I5" s="37" t="s">
        <v>81</v>
      </c>
      <c r="J5" s="53" t="s">
        <v>82</v>
      </c>
      <c r="K5" s="72" t="s">
        <v>88</v>
      </c>
      <c r="L5" s="91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5">
        <v>22</v>
      </c>
      <c r="C6" s="54">
        <v>19</v>
      </c>
      <c r="D6" s="73">
        <f>SUM(B6:C6)</f>
        <v>41</v>
      </c>
      <c r="E6" s="43"/>
      <c r="F6" s="25">
        <v>21</v>
      </c>
      <c r="G6" s="25">
        <v>19</v>
      </c>
      <c r="H6" s="25">
        <v>22</v>
      </c>
      <c r="I6" s="38">
        <v>22</v>
      </c>
      <c r="J6" s="54">
        <v>22</v>
      </c>
      <c r="K6" s="73">
        <f>SUM(E6:J6)</f>
        <v>106</v>
      </c>
      <c r="L6" s="92">
        <v>147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9"/>
      <c r="C7" s="55"/>
      <c r="D7" s="74"/>
      <c r="E7" s="40"/>
      <c r="F7" s="9"/>
      <c r="G7" s="9"/>
      <c r="H7" s="9"/>
      <c r="I7" s="39">
        <v>1</v>
      </c>
      <c r="J7" s="55"/>
      <c r="K7" s="75">
        <f>SUM(E7:J7)</f>
        <v>1</v>
      </c>
      <c r="L7" s="93">
        <v>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9"/>
      <c r="C8" s="55"/>
      <c r="D8" s="74"/>
      <c r="E8" s="40"/>
      <c r="F8" s="9"/>
      <c r="G8" s="10">
        <v>2</v>
      </c>
      <c r="H8" s="9"/>
      <c r="I8" s="39">
        <v>1</v>
      </c>
      <c r="J8" s="56">
        <v>1</v>
      </c>
      <c r="K8" s="75">
        <f>SUM(E8:J8)</f>
        <v>4</v>
      </c>
      <c r="L8" s="93">
        <v>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9"/>
      <c r="C9" s="55"/>
      <c r="D9" s="74"/>
      <c r="E9" s="40"/>
      <c r="F9" s="9"/>
      <c r="G9" s="9"/>
      <c r="H9" s="9"/>
      <c r="I9" s="40"/>
      <c r="J9" s="55"/>
      <c r="K9" s="79"/>
      <c r="L9" s="9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>
        <v>1</v>
      </c>
      <c r="C10" s="55"/>
      <c r="D10" s="75">
        <f>SUM(B10:C10)</f>
        <v>1</v>
      </c>
      <c r="E10" s="39">
        <v>11</v>
      </c>
      <c r="F10" s="9"/>
      <c r="G10" s="10">
        <v>4</v>
      </c>
      <c r="H10" s="10">
        <v>1</v>
      </c>
      <c r="I10" s="39">
        <v>1</v>
      </c>
      <c r="J10" s="56">
        <v>1</v>
      </c>
      <c r="K10" s="75">
        <f>SUM(E10:J10)</f>
        <v>18</v>
      </c>
      <c r="L10" s="93">
        <v>19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9"/>
      <c r="C11" s="55"/>
      <c r="D11" s="74"/>
      <c r="E11" s="40"/>
      <c r="F11" s="10">
        <v>2</v>
      </c>
      <c r="G11" s="9"/>
      <c r="H11" s="9"/>
      <c r="I11" s="40"/>
      <c r="J11" s="55"/>
      <c r="K11" s="75">
        <f t="shared" ref="K11:K16" si="0">SUM(E11:J11)</f>
        <v>2</v>
      </c>
      <c r="L11" s="93">
        <v>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9"/>
      <c r="C12" s="55"/>
      <c r="D12" s="74"/>
      <c r="E12" s="39">
        <v>10</v>
      </c>
      <c r="F12" s="9"/>
      <c r="G12" s="9"/>
      <c r="H12" s="9"/>
      <c r="I12" s="40"/>
      <c r="J12" s="55"/>
      <c r="K12" s="75">
        <f t="shared" si="0"/>
        <v>10</v>
      </c>
      <c r="L12" s="93">
        <v>10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9"/>
      <c r="C13" s="57">
        <v>3.9583333333333335</v>
      </c>
      <c r="D13" s="76">
        <f>SUM(B13:C13)</f>
        <v>3.9583333333333335</v>
      </c>
      <c r="E13" s="40"/>
      <c r="F13" s="9"/>
      <c r="G13" s="9"/>
      <c r="H13" s="9"/>
      <c r="I13" s="40"/>
      <c r="J13" s="55"/>
      <c r="K13" s="75"/>
      <c r="L13" s="95">
        <v>3.9583333333333335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9"/>
      <c r="C14" s="55"/>
      <c r="D14" s="74"/>
      <c r="E14" s="40"/>
      <c r="F14" s="11">
        <v>1.4583333333333333</v>
      </c>
      <c r="G14" s="11">
        <v>0.875</v>
      </c>
      <c r="H14" s="11">
        <v>1.3333333333333333</v>
      </c>
      <c r="I14" s="41">
        <v>1.1666666666666667</v>
      </c>
      <c r="J14" s="57">
        <v>1.8333333333333333</v>
      </c>
      <c r="K14" s="76">
        <f t="shared" si="0"/>
        <v>6.6666666666666661</v>
      </c>
      <c r="L14" s="95">
        <v>6.666666666666667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9"/>
      <c r="C15" s="55"/>
      <c r="D15" s="74"/>
      <c r="E15" s="40"/>
      <c r="F15" s="9"/>
      <c r="G15" s="9"/>
      <c r="H15" s="9"/>
      <c r="I15" s="41">
        <v>0.33333333333333331</v>
      </c>
      <c r="J15" s="55"/>
      <c r="K15" s="76">
        <f t="shared" si="0"/>
        <v>0.33333333333333331</v>
      </c>
      <c r="L15" s="95">
        <v>0.33333333333333331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9"/>
      <c r="C16" s="55"/>
      <c r="D16" s="74"/>
      <c r="E16" s="40"/>
      <c r="F16" s="9"/>
      <c r="G16" s="11">
        <v>0.70833333333333337</v>
      </c>
      <c r="H16" s="9"/>
      <c r="I16" s="41">
        <v>0.33333333333333331</v>
      </c>
      <c r="J16" s="57">
        <v>0.33333333333333331</v>
      </c>
      <c r="K16" s="76">
        <f t="shared" si="0"/>
        <v>1.375</v>
      </c>
      <c r="L16" s="95">
        <v>1.375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9"/>
      <c r="C17" s="55"/>
      <c r="D17" s="74"/>
      <c r="E17" s="40"/>
      <c r="F17" s="9"/>
      <c r="G17" s="9"/>
      <c r="H17" s="9"/>
      <c r="I17" s="40"/>
      <c r="J17" s="55"/>
      <c r="K17" s="79"/>
      <c r="L17" s="94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9"/>
      <c r="C18" s="55"/>
      <c r="D18" s="74"/>
      <c r="E18" s="40"/>
      <c r="F18" s="9"/>
      <c r="G18" s="9"/>
      <c r="H18" s="9"/>
      <c r="I18" s="40"/>
      <c r="J18" s="55"/>
      <c r="K18" s="79"/>
      <c r="L18" s="94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9"/>
      <c r="C19" s="55"/>
      <c r="D19" s="74"/>
      <c r="E19" s="40"/>
      <c r="F19" s="9"/>
      <c r="G19" s="9"/>
      <c r="H19" s="9"/>
      <c r="I19" s="40"/>
      <c r="J19" s="55"/>
      <c r="K19" s="79"/>
      <c r="L19" s="94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9"/>
      <c r="C20" s="55"/>
      <c r="D20" s="74"/>
      <c r="E20" s="40"/>
      <c r="F20" s="9"/>
      <c r="G20" s="9"/>
      <c r="H20" s="9"/>
      <c r="I20" s="40"/>
      <c r="J20" s="55"/>
      <c r="K20" s="79"/>
      <c r="L20" s="94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9"/>
      <c r="C21" s="55"/>
      <c r="D21" s="74"/>
      <c r="E21" s="40"/>
      <c r="F21" s="9"/>
      <c r="G21" s="9"/>
      <c r="H21" s="9"/>
      <c r="I21" s="40"/>
      <c r="J21" s="55"/>
      <c r="K21" s="79"/>
      <c r="L21" s="94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15">
      <c r="A22" s="15" t="s">
        <v>21</v>
      </c>
      <c r="B22" s="9"/>
      <c r="C22" s="55"/>
      <c r="D22" s="74"/>
      <c r="E22" s="40"/>
      <c r="F22" s="9"/>
      <c r="G22" s="9"/>
      <c r="H22" s="9"/>
      <c r="I22" s="40"/>
      <c r="J22" s="55"/>
      <c r="K22" s="79"/>
      <c r="L22" s="94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15" t="s">
        <v>22</v>
      </c>
      <c r="B23" s="9"/>
      <c r="C23" s="55"/>
      <c r="D23" s="74"/>
      <c r="E23" s="40"/>
      <c r="F23" s="9"/>
      <c r="G23" s="9"/>
      <c r="H23" s="9"/>
      <c r="I23" s="40"/>
      <c r="J23" s="55"/>
      <c r="K23" s="79"/>
      <c r="L23" s="94"/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thickBot="1" x14ac:dyDescent="0.2">
      <c r="A24" s="26" t="s">
        <v>23</v>
      </c>
      <c r="B24" s="27"/>
      <c r="C24" s="68"/>
      <c r="D24" s="77"/>
      <c r="E24" s="69"/>
      <c r="F24" s="28">
        <v>4.1666666666666664E-2</v>
      </c>
      <c r="G24" s="28">
        <v>8.3333333333333329E-2</v>
      </c>
      <c r="H24" s="28">
        <v>0.16666666666666666</v>
      </c>
      <c r="I24" s="42">
        <v>8.3333333333333329E-2</v>
      </c>
      <c r="J24" s="58">
        <v>8.3333333333333329E-2</v>
      </c>
      <c r="K24" s="76">
        <f t="shared" ref="K24" si="1">SUM(E24:J24)</f>
        <v>0.45833333333333326</v>
      </c>
      <c r="L24" s="96">
        <v>0.45833333333333331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23" t="s">
        <v>28</v>
      </c>
      <c r="B25" s="24">
        <v>365000</v>
      </c>
      <c r="C25" s="59">
        <v>0</v>
      </c>
      <c r="D25" s="78">
        <f>SUM(B25:C25)</f>
        <v>365000</v>
      </c>
      <c r="E25" s="43">
        <v>187000</v>
      </c>
      <c r="F25" s="24">
        <v>175000</v>
      </c>
      <c r="G25" s="24">
        <v>182000</v>
      </c>
      <c r="H25" s="24">
        <v>175000</v>
      </c>
      <c r="I25" s="43">
        <v>175000</v>
      </c>
      <c r="J25" s="59">
        <v>175000</v>
      </c>
      <c r="K25" s="78">
        <f>SUM(E25:J25)</f>
        <v>1069000</v>
      </c>
      <c r="L25" s="97">
        <v>1434000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9">
        <v>0</v>
      </c>
      <c r="C26" s="55">
        <v>0</v>
      </c>
      <c r="D26" s="74"/>
      <c r="E26" s="40">
        <v>0</v>
      </c>
      <c r="F26" s="9">
        <v>0</v>
      </c>
      <c r="G26" s="9">
        <v>5000</v>
      </c>
      <c r="H26" s="9">
        <v>0</v>
      </c>
      <c r="I26" s="40">
        <v>0</v>
      </c>
      <c r="J26" s="55">
        <v>0</v>
      </c>
      <c r="K26" s="79">
        <f t="shared" ref="K26:K77" si="2">SUM(E26:J26)</f>
        <v>5000</v>
      </c>
      <c r="L26" s="94">
        <v>5000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9">
        <v>0</v>
      </c>
      <c r="C27" s="55">
        <v>0</v>
      </c>
      <c r="D27" s="74"/>
      <c r="E27" s="40">
        <v>0</v>
      </c>
      <c r="F27" s="9">
        <v>0</v>
      </c>
      <c r="G27" s="9">
        <v>0</v>
      </c>
      <c r="H27" s="9">
        <v>0</v>
      </c>
      <c r="I27" s="40">
        <v>3000</v>
      </c>
      <c r="J27" s="55">
        <v>0</v>
      </c>
      <c r="K27" s="79">
        <f t="shared" si="2"/>
        <v>3000</v>
      </c>
      <c r="L27" s="94">
        <v>3000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9">
        <v>0</v>
      </c>
      <c r="C28" s="55">
        <v>0</v>
      </c>
      <c r="D28" s="74"/>
      <c r="E28" s="40">
        <v>0</v>
      </c>
      <c r="F28" s="9">
        <v>0</v>
      </c>
      <c r="G28" s="9">
        <v>0</v>
      </c>
      <c r="H28" s="9">
        <v>0</v>
      </c>
      <c r="I28" s="40">
        <v>0</v>
      </c>
      <c r="J28" s="55">
        <v>0</v>
      </c>
      <c r="K28" s="79">
        <f t="shared" si="2"/>
        <v>0</v>
      </c>
      <c r="L28" s="94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9">
        <v>0</v>
      </c>
      <c r="C29" s="55">
        <v>0</v>
      </c>
      <c r="D29" s="74"/>
      <c r="E29" s="40">
        <v>80000</v>
      </c>
      <c r="F29" s="9">
        <v>39134</v>
      </c>
      <c r="G29" s="9">
        <v>58926</v>
      </c>
      <c r="H29" s="9">
        <v>43620</v>
      </c>
      <c r="I29" s="40">
        <v>44370</v>
      </c>
      <c r="J29" s="55">
        <v>27218</v>
      </c>
      <c r="K29" s="79">
        <f t="shared" si="2"/>
        <v>293268</v>
      </c>
      <c r="L29" s="94">
        <v>293268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9">
        <v>0</v>
      </c>
      <c r="C30" s="55">
        <v>0</v>
      </c>
      <c r="D30" s="74"/>
      <c r="E30" s="40">
        <v>0</v>
      </c>
      <c r="F30" s="9">
        <v>0</v>
      </c>
      <c r="G30" s="9">
        <v>0</v>
      </c>
      <c r="H30" s="9">
        <v>0</v>
      </c>
      <c r="I30" s="40">
        <v>0</v>
      </c>
      <c r="J30" s="55">
        <v>0</v>
      </c>
      <c r="K30" s="79">
        <f t="shared" si="2"/>
        <v>0</v>
      </c>
      <c r="L30" s="94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9">
        <v>0</v>
      </c>
      <c r="C31" s="55">
        <v>0</v>
      </c>
      <c r="D31" s="74"/>
      <c r="E31" s="40">
        <v>0</v>
      </c>
      <c r="F31" s="9">
        <v>0</v>
      </c>
      <c r="G31" s="9">
        <v>0</v>
      </c>
      <c r="H31" s="9">
        <v>0</v>
      </c>
      <c r="I31" s="40">
        <v>0</v>
      </c>
      <c r="J31" s="55">
        <v>0</v>
      </c>
      <c r="K31" s="79">
        <f t="shared" si="2"/>
        <v>0</v>
      </c>
      <c r="L31" s="94">
        <v>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9">
        <v>0</v>
      </c>
      <c r="C32" s="55">
        <v>0</v>
      </c>
      <c r="D32" s="74"/>
      <c r="E32" s="40">
        <v>0</v>
      </c>
      <c r="F32" s="9">
        <v>0</v>
      </c>
      <c r="G32" s="9">
        <v>0</v>
      </c>
      <c r="H32" s="9">
        <v>0</v>
      </c>
      <c r="I32" s="40">
        <v>0</v>
      </c>
      <c r="J32" s="55">
        <v>0</v>
      </c>
      <c r="K32" s="79">
        <f t="shared" si="2"/>
        <v>0</v>
      </c>
      <c r="L32" s="94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9">
        <v>0</v>
      </c>
      <c r="C33" s="55">
        <v>86450</v>
      </c>
      <c r="D33" s="79">
        <f>SUM(B33:C33)</f>
        <v>86450</v>
      </c>
      <c r="E33" s="40">
        <v>0</v>
      </c>
      <c r="F33" s="9">
        <v>0</v>
      </c>
      <c r="G33" s="9">
        <v>0</v>
      </c>
      <c r="H33" s="9">
        <v>0</v>
      </c>
      <c r="I33" s="40">
        <v>0</v>
      </c>
      <c r="J33" s="55">
        <v>0</v>
      </c>
      <c r="K33" s="79">
        <f t="shared" si="2"/>
        <v>0</v>
      </c>
      <c r="L33" s="94">
        <v>86450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9">
        <v>0</v>
      </c>
      <c r="C34" s="55">
        <v>0</v>
      </c>
      <c r="D34" s="74"/>
      <c r="E34" s="40">
        <v>0</v>
      </c>
      <c r="F34" s="9">
        <v>0</v>
      </c>
      <c r="G34" s="9">
        <v>0</v>
      </c>
      <c r="H34" s="9">
        <v>0</v>
      </c>
      <c r="I34" s="40">
        <v>0</v>
      </c>
      <c r="J34" s="55">
        <v>0</v>
      </c>
      <c r="K34" s="79">
        <f t="shared" si="2"/>
        <v>0</v>
      </c>
      <c r="L34" s="94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9">
        <v>0</v>
      </c>
      <c r="C35" s="55">
        <v>0</v>
      </c>
      <c r="D35" s="74"/>
      <c r="E35" s="40">
        <v>0</v>
      </c>
      <c r="F35" s="9">
        <v>0</v>
      </c>
      <c r="G35" s="9">
        <v>0</v>
      </c>
      <c r="H35" s="9">
        <v>0</v>
      </c>
      <c r="I35" s="40">
        <v>0</v>
      </c>
      <c r="J35" s="55">
        <v>0</v>
      </c>
      <c r="K35" s="79">
        <f t="shared" si="2"/>
        <v>0</v>
      </c>
      <c r="L35" s="94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9">
        <v>0</v>
      </c>
      <c r="C36" s="55">
        <v>0</v>
      </c>
      <c r="D36" s="74"/>
      <c r="E36" s="40">
        <v>0</v>
      </c>
      <c r="F36" s="9">
        <v>0</v>
      </c>
      <c r="G36" s="9">
        <v>0</v>
      </c>
      <c r="H36" s="9">
        <v>0</v>
      </c>
      <c r="I36" s="40">
        <v>0</v>
      </c>
      <c r="J36" s="55">
        <v>0</v>
      </c>
      <c r="K36" s="79">
        <f t="shared" si="2"/>
        <v>0</v>
      </c>
      <c r="L36" s="94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9">
        <v>0</v>
      </c>
      <c r="C37" s="55">
        <v>0</v>
      </c>
      <c r="D37" s="74"/>
      <c r="E37" s="40">
        <v>0</v>
      </c>
      <c r="F37" s="9">
        <v>0</v>
      </c>
      <c r="G37" s="9">
        <v>0</v>
      </c>
      <c r="H37" s="9">
        <v>0</v>
      </c>
      <c r="I37" s="40">
        <v>0</v>
      </c>
      <c r="J37" s="55">
        <v>0</v>
      </c>
      <c r="K37" s="79">
        <f t="shared" si="2"/>
        <v>0</v>
      </c>
      <c r="L37" s="94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9">
        <v>0</v>
      </c>
      <c r="C38" s="55">
        <v>0</v>
      </c>
      <c r="D38" s="74"/>
      <c r="E38" s="40">
        <v>0</v>
      </c>
      <c r="F38" s="9">
        <v>0</v>
      </c>
      <c r="G38" s="9">
        <v>0</v>
      </c>
      <c r="H38" s="9">
        <v>0</v>
      </c>
      <c r="I38" s="40">
        <v>0</v>
      </c>
      <c r="J38" s="55">
        <v>0</v>
      </c>
      <c r="K38" s="79">
        <f t="shared" si="2"/>
        <v>0</v>
      </c>
      <c r="L38" s="94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9">
        <v>0</v>
      </c>
      <c r="C39" s="55">
        <v>0</v>
      </c>
      <c r="D39" s="74"/>
      <c r="E39" s="40">
        <v>2778</v>
      </c>
      <c r="F39" s="9">
        <v>4235</v>
      </c>
      <c r="G39" s="9">
        <v>2098</v>
      </c>
      <c r="H39" s="9">
        <v>1202</v>
      </c>
      <c r="I39" s="40">
        <v>12809</v>
      </c>
      <c r="J39" s="55">
        <v>8367</v>
      </c>
      <c r="K39" s="79">
        <f t="shared" si="2"/>
        <v>31489</v>
      </c>
      <c r="L39" s="94">
        <v>31489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9">
        <v>0</v>
      </c>
      <c r="C40" s="55">
        <v>0</v>
      </c>
      <c r="D40" s="74"/>
      <c r="E40" s="40">
        <v>13000</v>
      </c>
      <c r="F40" s="9">
        <v>0</v>
      </c>
      <c r="G40" s="9">
        <v>8000</v>
      </c>
      <c r="H40" s="9">
        <v>15000</v>
      </c>
      <c r="I40" s="40">
        <v>0</v>
      </c>
      <c r="J40" s="55">
        <v>15000</v>
      </c>
      <c r="K40" s="79">
        <f t="shared" si="2"/>
        <v>51000</v>
      </c>
      <c r="L40" s="94">
        <v>51000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9">
        <v>0</v>
      </c>
      <c r="C41" s="55">
        <v>0</v>
      </c>
      <c r="D41" s="74"/>
      <c r="E41" s="40">
        <v>0</v>
      </c>
      <c r="F41" s="9">
        <v>0</v>
      </c>
      <c r="G41" s="9">
        <v>0</v>
      </c>
      <c r="H41" s="9">
        <v>0</v>
      </c>
      <c r="I41" s="40">
        <v>0</v>
      </c>
      <c r="J41" s="55">
        <v>0</v>
      </c>
      <c r="K41" s="79">
        <f t="shared" si="2"/>
        <v>0</v>
      </c>
      <c r="L41" s="94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9">
        <v>0</v>
      </c>
      <c r="C42" s="55">
        <v>0</v>
      </c>
      <c r="D42" s="74"/>
      <c r="E42" s="40">
        <v>0</v>
      </c>
      <c r="F42" s="9">
        <v>0</v>
      </c>
      <c r="G42" s="9">
        <v>0</v>
      </c>
      <c r="H42" s="9">
        <v>0</v>
      </c>
      <c r="I42" s="40">
        <v>0</v>
      </c>
      <c r="J42" s="55">
        <v>0</v>
      </c>
      <c r="K42" s="79">
        <f t="shared" si="2"/>
        <v>0</v>
      </c>
      <c r="L42" s="94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46</v>
      </c>
      <c r="B43" s="9">
        <v>0</v>
      </c>
      <c r="C43" s="55">
        <v>0</v>
      </c>
      <c r="D43" s="74"/>
      <c r="E43" s="40">
        <v>-95230</v>
      </c>
      <c r="F43" s="9">
        <v>0</v>
      </c>
      <c r="G43" s="9">
        <v>0</v>
      </c>
      <c r="H43" s="9">
        <v>0</v>
      </c>
      <c r="I43" s="40">
        <v>0</v>
      </c>
      <c r="J43" s="55">
        <v>0</v>
      </c>
      <c r="K43" s="79">
        <f t="shared" si="2"/>
        <v>-95230</v>
      </c>
      <c r="L43" s="94">
        <v>-95230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47</v>
      </c>
      <c r="B44" s="9">
        <v>0</v>
      </c>
      <c r="C44" s="55">
        <v>0</v>
      </c>
      <c r="D44" s="74"/>
      <c r="E44" s="40">
        <v>0</v>
      </c>
      <c r="F44" s="9">
        <v>0</v>
      </c>
      <c r="G44" s="9">
        <v>0</v>
      </c>
      <c r="H44" s="9">
        <v>0</v>
      </c>
      <c r="I44" s="40">
        <v>0</v>
      </c>
      <c r="J44" s="55">
        <v>0</v>
      </c>
      <c r="K44" s="79">
        <f t="shared" si="2"/>
        <v>0</v>
      </c>
      <c r="L44" s="94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13</v>
      </c>
      <c r="B45" s="9">
        <v>0</v>
      </c>
      <c r="C45" s="55">
        <v>0</v>
      </c>
      <c r="D45" s="74"/>
      <c r="E45" s="40">
        <v>0</v>
      </c>
      <c r="F45" s="9">
        <v>45605</v>
      </c>
      <c r="G45" s="9">
        <v>30492</v>
      </c>
      <c r="H45" s="9">
        <v>45248</v>
      </c>
      <c r="I45" s="40">
        <v>37100</v>
      </c>
      <c r="J45" s="55">
        <v>62216</v>
      </c>
      <c r="K45" s="79">
        <f t="shared" si="2"/>
        <v>220661</v>
      </c>
      <c r="L45" s="94">
        <v>220661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14</v>
      </c>
      <c r="B46" s="9">
        <v>0</v>
      </c>
      <c r="C46" s="55">
        <v>0</v>
      </c>
      <c r="D46" s="74"/>
      <c r="E46" s="40">
        <v>0</v>
      </c>
      <c r="F46" s="9">
        <v>0</v>
      </c>
      <c r="G46" s="9">
        <v>0</v>
      </c>
      <c r="H46" s="9">
        <v>0</v>
      </c>
      <c r="I46" s="40">
        <v>11448</v>
      </c>
      <c r="J46" s="55">
        <v>0</v>
      </c>
      <c r="K46" s="79">
        <f t="shared" si="2"/>
        <v>11448</v>
      </c>
      <c r="L46" s="94">
        <v>11448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15</v>
      </c>
      <c r="B47" s="9">
        <v>0</v>
      </c>
      <c r="C47" s="55">
        <v>0</v>
      </c>
      <c r="D47" s="74"/>
      <c r="E47" s="40">
        <v>0</v>
      </c>
      <c r="F47" s="9">
        <v>0</v>
      </c>
      <c r="G47" s="9">
        <v>24684</v>
      </c>
      <c r="H47" s="9">
        <v>0</v>
      </c>
      <c r="I47" s="40">
        <v>10600</v>
      </c>
      <c r="J47" s="55">
        <v>11312</v>
      </c>
      <c r="K47" s="79">
        <f t="shared" si="2"/>
        <v>46596</v>
      </c>
      <c r="L47" s="94">
        <v>46596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48</v>
      </c>
      <c r="B48" s="9">
        <v>0</v>
      </c>
      <c r="C48" s="55">
        <v>0</v>
      </c>
      <c r="D48" s="74"/>
      <c r="E48" s="40">
        <v>0</v>
      </c>
      <c r="F48" s="9">
        <v>0</v>
      </c>
      <c r="G48" s="9">
        <v>0</v>
      </c>
      <c r="H48" s="9">
        <v>0</v>
      </c>
      <c r="I48" s="40">
        <v>0</v>
      </c>
      <c r="J48" s="55">
        <v>0</v>
      </c>
      <c r="K48" s="79">
        <f t="shared" si="2"/>
        <v>0</v>
      </c>
      <c r="L48" s="94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49</v>
      </c>
      <c r="B49" s="12">
        <v>0</v>
      </c>
      <c r="C49" s="60">
        <v>0</v>
      </c>
      <c r="D49" s="80"/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85">
        <f t="shared" si="2"/>
        <v>0</v>
      </c>
      <c r="L49" s="98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50</v>
      </c>
      <c r="B50" s="12">
        <v>0</v>
      </c>
      <c r="C50" s="60">
        <v>0</v>
      </c>
      <c r="D50" s="80"/>
      <c r="E50" s="44">
        <v>0</v>
      </c>
      <c r="F50" s="12">
        <v>0</v>
      </c>
      <c r="G50" s="12">
        <v>0</v>
      </c>
      <c r="H50" s="12">
        <v>0</v>
      </c>
      <c r="I50" s="44">
        <v>0</v>
      </c>
      <c r="J50" s="60">
        <v>0</v>
      </c>
      <c r="K50" s="85">
        <f t="shared" si="2"/>
        <v>0</v>
      </c>
      <c r="L50" s="98">
        <v>0</v>
      </c>
      <c r="M50" s="6"/>
      <c r="N50" s="6"/>
      <c r="O50" s="6"/>
      <c r="P50" s="6"/>
      <c r="Q50" s="6"/>
      <c r="R50" s="6"/>
      <c r="S50" s="6"/>
    </row>
    <row r="51" spans="1:19" x14ac:dyDescent="0.15">
      <c r="A51" s="16" t="s">
        <v>51</v>
      </c>
      <c r="B51" s="12">
        <v>0</v>
      </c>
      <c r="C51" s="60">
        <v>0</v>
      </c>
      <c r="D51" s="80"/>
      <c r="E51" s="44">
        <v>0</v>
      </c>
      <c r="F51" s="12">
        <v>0</v>
      </c>
      <c r="G51" s="12">
        <v>0</v>
      </c>
      <c r="H51" s="12">
        <v>0</v>
      </c>
      <c r="I51" s="44">
        <v>0</v>
      </c>
      <c r="J51" s="60">
        <v>0</v>
      </c>
      <c r="K51" s="85">
        <f t="shared" si="2"/>
        <v>0</v>
      </c>
      <c r="L51" s="98">
        <v>0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52</v>
      </c>
      <c r="B52" s="12">
        <v>0</v>
      </c>
      <c r="C52" s="60">
        <v>0</v>
      </c>
      <c r="D52" s="80"/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60">
        <v>0</v>
      </c>
      <c r="K52" s="85">
        <f t="shared" si="2"/>
        <v>0</v>
      </c>
      <c r="L52" s="98">
        <v>0</v>
      </c>
      <c r="M52" s="6"/>
      <c r="N52" s="6"/>
      <c r="O52" s="6"/>
      <c r="P52" s="6"/>
      <c r="Q52" s="6"/>
      <c r="R52" s="6"/>
      <c r="S52" s="6"/>
    </row>
    <row r="53" spans="1:19" x14ac:dyDescent="0.15">
      <c r="A53" s="16" t="s">
        <v>23</v>
      </c>
      <c r="B53" s="12">
        <v>0</v>
      </c>
      <c r="C53" s="60">
        <v>0</v>
      </c>
      <c r="D53" s="80"/>
      <c r="E53" s="44">
        <v>0</v>
      </c>
      <c r="F53" s="12">
        <v>261</v>
      </c>
      <c r="G53" s="12">
        <v>582</v>
      </c>
      <c r="H53" s="12">
        <v>1132</v>
      </c>
      <c r="I53" s="44">
        <v>530</v>
      </c>
      <c r="J53" s="60">
        <v>566</v>
      </c>
      <c r="K53" s="85">
        <f t="shared" si="2"/>
        <v>3071</v>
      </c>
      <c r="L53" s="98">
        <v>3071</v>
      </c>
    </row>
    <row r="54" spans="1:19" ht="14.25" thickBot="1" x14ac:dyDescent="0.2">
      <c r="A54" s="17" t="s">
        <v>53</v>
      </c>
      <c r="B54" s="31">
        <v>365000</v>
      </c>
      <c r="C54" s="61">
        <v>86450</v>
      </c>
      <c r="D54" s="81">
        <f>SUM(B54:C54)</f>
        <v>451450</v>
      </c>
      <c r="E54" s="45">
        <v>187548</v>
      </c>
      <c r="F54" s="31">
        <v>264235</v>
      </c>
      <c r="G54" s="31">
        <v>311782</v>
      </c>
      <c r="H54" s="31">
        <v>281202</v>
      </c>
      <c r="I54" s="45">
        <v>294857</v>
      </c>
      <c r="J54" s="61">
        <v>299679</v>
      </c>
      <c r="K54" s="81">
        <f t="shared" si="2"/>
        <v>1639303</v>
      </c>
      <c r="L54" s="99">
        <v>2090753</v>
      </c>
    </row>
    <row r="55" spans="1:19" x14ac:dyDescent="0.15">
      <c r="A55" s="29" t="s">
        <v>54</v>
      </c>
      <c r="B55" s="30">
        <v>4330</v>
      </c>
      <c r="C55" s="62">
        <v>2879</v>
      </c>
      <c r="D55" s="82">
        <f t="shared" ref="D55:D77" si="3">SUM(B55:C55)</f>
        <v>7209</v>
      </c>
      <c r="E55" s="46">
        <v>0</v>
      </c>
      <c r="F55" s="30">
        <v>4546</v>
      </c>
      <c r="G55" s="30">
        <v>4092</v>
      </c>
      <c r="H55" s="30">
        <v>4286</v>
      </c>
      <c r="I55" s="46">
        <v>8832</v>
      </c>
      <c r="J55" s="62">
        <v>4979</v>
      </c>
      <c r="K55" s="82">
        <f t="shared" si="2"/>
        <v>26735</v>
      </c>
      <c r="L55" s="100">
        <v>33944</v>
      </c>
    </row>
    <row r="56" spans="1:19" ht="14.25" thickBot="1" x14ac:dyDescent="0.2">
      <c r="A56" s="32" t="s">
        <v>55</v>
      </c>
      <c r="B56" s="33">
        <v>4330</v>
      </c>
      <c r="C56" s="63">
        <v>2879</v>
      </c>
      <c r="D56" s="83">
        <f t="shared" si="3"/>
        <v>7209</v>
      </c>
      <c r="E56" s="47">
        <v>0</v>
      </c>
      <c r="F56" s="33">
        <v>4546</v>
      </c>
      <c r="G56" s="33">
        <v>4092</v>
      </c>
      <c r="H56" s="33">
        <v>4286</v>
      </c>
      <c r="I56" s="47">
        <v>8832</v>
      </c>
      <c r="J56" s="63">
        <v>4979</v>
      </c>
      <c r="K56" s="83">
        <f t="shared" si="2"/>
        <v>26735</v>
      </c>
      <c r="L56" s="101">
        <v>33944</v>
      </c>
    </row>
    <row r="57" spans="1:19" ht="14.25" thickBot="1" x14ac:dyDescent="0.2">
      <c r="A57" s="34" t="s">
        <v>56</v>
      </c>
      <c r="B57" s="35">
        <v>369330</v>
      </c>
      <c r="C57" s="64">
        <v>89329</v>
      </c>
      <c r="D57" s="84">
        <f t="shared" si="3"/>
        <v>458659</v>
      </c>
      <c r="E57" s="48">
        <v>187548</v>
      </c>
      <c r="F57" s="35">
        <v>268781</v>
      </c>
      <c r="G57" s="35">
        <v>315874</v>
      </c>
      <c r="H57" s="35">
        <v>285488</v>
      </c>
      <c r="I57" s="48">
        <v>303689</v>
      </c>
      <c r="J57" s="64">
        <v>304658</v>
      </c>
      <c r="K57" s="84">
        <f t="shared" si="2"/>
        <v>1666038</v>
      </c>
      <c r="L57" s="102">
        <v>2124697</v>
      </c>
    </row>
    <row r="58" spans="1:19" x14ac:dyDescent="0.15">
      <c r="A58" s="29" t="s">
        <v>57</v>
      </c>
      <c r="B58" s="30">
        <v>19380</v>
      </c>
      <c r="C58" s="62">
        <v>0</v>
      </c>
      <c r="D58" s="82">
        <f t="shared" si="3"/>
        <v>19380</v>
      </c>
      <c r="E58" s="46">
        <v>0</v>
      </c>
      <c r="F58" s="30">
        <v>15300</v>
      </c>
      <c r="G58" s="30">
        <v>17340</v>
      </c>
      <c r="H58" s="30">
        <v>18360</v>
      </c>
      <c r="I58" s="46">
        <v>15300</v>
      </c>
      <c r="J58" s="62">
        <v>16320</v>
      </c>
      <c r="K58" s="82">
        <f t="shared" si="2"/>
        <v>82620</v>
      </c>
      <c r="L58" s="100">
        <v>102000</v>
      </c>
    </row>
    <row r="59" spans="1:19" x14ac:dyDescent="0.15">
      <c r="A59" s="16" t="s">
        <v>58</v>
      </c>
      <c r="B59" s="12">
        <v>3420</v>
      </c>
      <c r="C59" s="60">
        <v>0</v>
      </c>
      <c r="D59" s="85">
        <f t="shared" si="3"/>
        <v>3420</v>
      </c>
      <c r="E59" s="44">
        <v>0</v>
      </c>
      <c r="F59" s="12">
        <v>0</v>
      </c>
      <c r="G59" s="12">
        <v>3060</v>
      </c>
      <c r="H59" s="12">
        <v>3240</v>
      </c>
      <c r="I59" s="44">
        <v>2700</v>
      </c>
      <c r="J59" s="60">
        <v>2880</v>
      </c>
      <c r="K59" s="85">
        <f t="shared" si="2"/>
        <v>11880</v>
      </c>
      <c r="L59" s="98">
        <v>15300</v>
      </c>
    </row>
    <row r="60" spans="1:19" x14ac:dyDescent="0.15">
      <c r="A60" s="16" t="s">
        <v>59</v>
      </c>
      <c r="B60" s="12">
        <v>34770</v>
      </c>
      <c r="C60" s="60">
        <v>0</v>
      </c>
      <c r="D60" s="85">
        <f t="shared" si="3"/>
        <v>34770</v>
      </c>
      <c r="E60" s="44">
        <v>0</v>
      </c>
      <c r="F60" s="12">
        <v>27450</v>
      </c>
      <c r="G60" s="12">
        <v>31110</v>
      </c>
      <c r="H60" s="12">
        <v>32940</v>
      </c>
      <c r="I60" s="44">
        <v>27450</v>
      </c>
      <c r="J60" s="60">
        <v>29280</v>
      </c>
      <c r="K60" s="85">
        <f t="shared" si="2"/>
        <v>148230</v>
      </c>
      <c r="L60" s="98">
        <v>183000</v>
      </c>
    </row>
    <row r="61" spans="1:19" x14ac:dyDescent="0.15">
      <c r="A61" s="16" t="s">
        <v>60</v>
      </c>
      <c r="B61" s="12">
        <v>0</v>
      </c>
      <c r="C61" s="60">
        <v>0</v>
      </c>
      <c r="D61" s="85">
        <f t="shared" si="3"/>
        <v>0</v>
      </c>
      <c r="E61" s="44">
        <v>0</v>
      </c>
      <c r="F61" s="12">
        <v>0</v>
      </c>
      <c r="G61" s="12">
        <v>0</v>
      </c>
      <c r="H61" s="12">
        <v>0</v>
      </c>
      <c r="I61" s="44">
        <v>0</v>
      </c>
      <c r="J61" s="60">
        <v>0</v>
      </c>
      <c r="K61" s="85">
        <f t="shared" si="2"/>
        <v>0</v>
      </c>
      <c r="L61" s="98">
        <v>0</v>
      </c>
    </row>
    <row r="62" spans="1:19" x14ac:dyDescent="0.15">
      <c r="A62" s="16" t="s">
        <v>61</v>
      </c>
      <c r="B62" s="12">
        <v>1108</v>
      </c>
      <c r="C62" s="60">
        <v>268</v>
      </c>
      <c r="D62" s="85">
        <f t="shared" si="3"/>
        <v>1376</v>
      </c>
      <c r="E62" s="44">
        <v>563</v>
      </c>
      <c r="F62" s="12">
        <v>806</v>
      </c>
      <c r="G62" s="12">
        <v>948</v>
      </c>
      <c r="H62" s="12">
        <v>856</v>
      </c>
      <c r="I62" s="44">
        <v>911</v>
      </c>
      <c r="J62" s="60">
        <v>914</v>
      </c>
      <c r="K62" s="85">
        <f t="shared" si="2"/>
        <v>4998</v>
      </c>
      <c r="L62" s="98">
        <v>6374</v>
      </c>
    </row>
    <row r="63" spans="1:19" x14ac:dyDescent="0.15">
      <c r="A63" s="16" t="s">
        <v>62</v>
      </c>
      <c r="B63" s="12">
        <v>0</v>
      </c>
      <c r="C63" s="60">
        <v>0</v>
      </c>
      <c r="D63" s="85">
        <f t="shared" si="3"/>
        <v>0</v>
      </c>
      <c r="E63" s="44">
        <v>0</v>
      </c>
      <c r="F63" s="12">
        <v>0</v>
      </c>
      <c r="G63" s="12">
        <v>0</v>
      </c>
      <c r="H63" s="12">
        <v>0</v>
      </c>
      <c r="I63" s="44">
        <v>0</v>
      </c>
      <c r="J63" s="60">
        <v>0</v>
      </c>
      <c r="K63" s="85">
        <f t="shared" si="2"/>
        <v>0</v>
      </c>
      <c r="L63" s="98">
        <v>0</v>
      </c>
    </row>
    <row r="64" spans="1:19" ht="14.25" thickBot="1" x14ac:dyDescent="0.2">
      <c r="A64" s="32" t="s">
        <v>63</v>
      </c>
      <c r="B64" s="33">
        <v>58678</v>
      </c>
      <c r="C64" s="63">
        <v>268</v>
      </c>
      <c r="D64" s="83">
        <f t="shared" si="3"/>
        <v>58946</v>
      </c>
      <c r="E64" s="47">
        <v>563</v>
      </c>
      <c r="F64" s="33">
        <v>43556</v>
      </c>
      <c r="G64" s="33">
        <v>52458</v>
      </c>
      <c r="H64" s="33">
        <v>55396</v>
      </c>
      <c r="I64" s="47">
        <v>46361</v>
      </c>
      <c r="J64" s="63">
        <v>49394</v>
      </c>
      <c r="K64" s="83">
        <f t="shared" si="2"/>
        <v>247728</v>
      </c>
      <c r="L64" s="101">
        <v>306674</v>
      </c>
    </row>
    <row r="65" spans="1:12" ht="14.25" thickBot="1" x14ac:dyDescent="0.2">
      <c r="A65" s="34" t="s">
        <v>64</v>
      </c>
      <c r="B65" s="35">
        <v>306322</v>
      </c>
      <c r="C65" s="64">
        <v>86182</v>
      </c>
      <c r="D65" s="84">
        <f t="shared" si="3"/>
        <v>392504</v>
      </c>
      <c r="E65" s="48">
        <v>186985</v>
      </c>
      <c r="F65" s="35">
        <v>220679</v>
      </c>
      <c r="G65" s="35">
        <v>259324</v>
      </c>
      <c r="H65" s="35">
        <v>225806</v>
      </c>
      <c r="I65" s="48">
        <v>248496</v>
      </c>
      <c r="J65" s="64">
        <v>250285</v>
      </c>
      <c r="K65" s="84">
        <f t="shared" si="2"/>
        <v>1391575</v>
      </c>
      <c r="L65" s="102">
        <v>1784079</v>
      </c>
    </row>
    <row r="66" spans="1:12" x14ac:dyDescent="0.15">
      <c r="A66" s="29" t="s">
        <v>65</v>
      </c>
      <c r="B66" s="30">
        <v>8900</v>
      </c>
      <c r="C66" s="62">
        <v>20</v>
      </c>
      <c r="D66" s="82">
        <f t="shared" si="3"/>
        <v>8920</v>
      </c>
      <c r="E66" s="46">
        <v>4300</v>
      </c>
      <c r="F66" s="30">
        <v>5500</v>
      </c>
      <c r="G66" s="30">
        <v>6880</v>
      </c>
      <c r="H66" s="30">
        <v>840</v>
      </c>
      <c r="I66" s="46">
        <v>6500</v>
      </c>
      <c r="J66" s="62">
        <v>4940</v>
      </c>
      <c r="K66" s="82">
        <f t="shared" si="2"/>
        <v>28960</v>
      </c>
      <c r="L66" s="100">
        <v>37880</v>
      </c>
    </row>
    <row r="67" spans="1:12" x14ac:dyDescent="0.15">
      <c r="A67" s="16" t="s">
        <v>66</v>
      </c>
      <c r="B67" s="12">
        <v>0</v>
      </c>
      <c r="C67" s="60">
        <v>0</v>
      </c>
      <c r="D67" s="85">
        <f t="shared" si="3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85">
        <f t="shared" si="2"/>
        <v>0</v>
      </c>
      <c r="L67" s="98">
        <v>0</v>
      </c>
    </row>
    <row r="68" spans="1:12" x14ac:dyDescent="0.15">
      <c r="A68" s="16" t="s">
        <v>67</v>
      </c>
      <c r="B68" s="12">
        <v>16500</v>
      </c>
      <c r="C68" s="60">
        <v>0</v>
      </c>
      <c r="D68" s="85">
        <f t="shared" si="3"/>
        <v>16500</v>
      </c>
      <c r="E68" s="44">
        <v>12900</v>
      </c>
      <c r="F68" s="12">
        <v>10000</v>
      </c>
      <c r="G68" s="12">
        <v>13700</v>
      </c>
      <c r="H68" s="12">
        <v>1400</v>
      </c>
      <c r="I68" s="44">
        <v>3600</v>
      </c>
      <c r="J68" s="60">
        <v>7000</v>
      </c>
      <c r="K68" s="85">
        <f t="shared" si="2"/>
        <v>48600</v>
      </c>
      <c r="L68" s="98">
        <v>65100</v>
      </c>
    </row>
    <row r="69" spans="1:12" x14ac:dyDescent="0.15">
      <c r="A69" s="16" t="s">
        <v>68</v>
      </c>
      <c r="B69" s="12">
        <v>0</v>
      </c>
      <c r="C69" s="60">
        <v>0</v>
      </c>
      <c r="D69" s="85">
        <f t="shared" si="3"/>
        <v>0</v>
      </c>
      <c r="E69" s="44">
        <v>2778</v>
      </c>
      <c r="F69" s="12">
        <v>4235</v>
      </c>
      <c r="G69" s="12">
        <v>2098</v>
      </c>
      <c r="H69" s="12">
        <v>6202</v>
      </c>
      <c r="I69" s="44">
        <v>12809</v>
      </c>
      <c r="J69" s="60">
        <v>8367</v>
      </c>
      <c r="K69" s="85">
        <f t="shared" si="2"/>
        <v>36489</v>
      </c>
      <c r="L69" s="98">
        <v>36489</v>
      </c>
    </row>
    <row r="70" spans="1:12" x14ac:dyDescent="0.15">
      <c r="A70" s="16" t="s">
        <v>69</v>
      </c>
      <c r="B70" s="12">
        <v>0</v>
      </c>
      <c r="C70" s="60">
        <v>0</v>
      </c>
      <c r="D70" s="85">
        <f t="shared" si="3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60">
        <v>0</v>
      </c>
      <c r="K70" s="85">
        <f t="shared" si="2"/>
        <v>0</v>
      </c>
      <c r="L70" s="98">
        <v>0</v>
      </c>
    </row>
    <row r="71" spans="1:12" x14ac:dyDescent="0.15">
      <c r="A71" s="16" t="s">
        <v>70</v>
      </c>
      <c r="B71" s="12">
        <v>0</v>
      </c>
      <c r="C71" s="60">
        <v>0</v>
      </c>
      <c r="D71" s="85">
        <f t="shared" si="3"/>
        <v>0</v>
      </c>
      <c r="E71" s="44">
        <v>0</v>
      </c>
      <c r="F71" s="12">
        <v>0</v>
      </c>
      <c r="G71" s="12">
        <v>0</v>
      </c>
      <c r="H71" s="12">
        <v>0</v>
      </c>
      <c r="I71" s="44">
        <v>0</v>
      </c>
      <c r="J71" s="60">
        <v>0</v>
      </c>
      <c r="K71" s="85">
        <f t="shared" si="2"/>
        <v>0</v>
      </c>
      <c r="L71" s="98">
        <v>0</v>
      </c>
    </row>
    <row r="72" spans="1:12" x14ac:dyDescent="0.15">
      <c r="A72" s="16" t="s">
        <v>71</v>
      </c>
      <c r="B72" s="12">
        <v>0</v>
      </c>
      <c r="C72" s="60">
        <v>0</v>
      </c>
      <c r="D72" s="85">
        <f t="shared" si="3"/>
        <v>0</v>
      </c>
      <c r="E72" s="44">
        <v>0</v>
      </c>
      <c r="F72" s="12">
        <v>0</v>
      </c>
      <c r="G72" s="12">
        <v>0</v>
      </c>
      <c r="H72" s="12">
        <v>0</v>
      </c>
      <c r="I72" s="44">
        <v>0</v>
      </c>
      <c r="J72" s="60">
        <v>0</v>
      </c>
      <c r="K72" s="85">
        <f t="shared" si="2"/>
        <v>0</v>
      </c>
      <c r="L72" s="98">
        <v>0</v>
      </c>
    </row>
    <row r="73" spans="1:12" ht="14.25" thickBot="1" x14ac:dyDescent="0.2">
      <c r="A73" s="32" t="s">
        <v>72</v>
      </c>
      <c r="B73" s="33">
        <v>25400</v>
      </c>
      <c r="C73" s="63">
        <v>20</v>
      </c>
      <c r="D73" s="83">
        <f t="shared" si="3"/>
        <v>25420</v>
      </c>
      <c r="E73" s="47">
        <v>19978</v>
      </c>
      <c r="F73" s="33">
        <v>19735</v>
      </c>
      <c r="G73" s="33">
        <v>22678</v>
      </c>
      <c r="H73" s="33">
        <v>8442</v>
      </c>
      <c r="I73" s="47">
        <v>22909</v>
      </c>
      <c r="J73" s="63">
        <v>20307</v>
      </c>
      <c r="K73" s="83">
        <f t="shared" si="2"/>
        <v>114049</v>
      </c>
      <c r="L73" s="101">
        <v>139469</v>
      </c>
    </row>
    <row r="74" spans="1:12" ht="14.25" thickBot="1" x14ac:dyDescent="0.2">
      <c r="A74" s="34" t="s">
        <v>73</v>
      </c>
      <c r="B74" s="35">
        <v>84078</v>
      </c>
      <c r="C74" s="64">
        <v>288</v>
      </c>
      <c r="D74" s="84">
        <f t="shared" si="3"/>
        <v>84366</v>
      </c>
      <c r="E74" s="48">
        <v>20541</v>
      </c>
      <c r="F74" s="35">
        <v>63291</v>
      </c>
      <c r="G74" s="35">
        <v>75136</v>
      </c>
      <c r="H74" s="35">
        <v>63838</v>
      </c>
      <c r="I74" s="48">
        <v>69270</v>
      </c>
      <c r="J74" s="64">
        <v>69701</v>
      </c>
      <c r="K74" s="84">
        <f t="shared" si="2"/>
        <v>361777</v>
      </c>
      <c r="L74" s="102">
        <v>446143</v>
      </c>
    </row>
    <row r="75" spans="1:12" ht="14.25" thickBot="1" x14ac:dyDescent="0.2">
      <c r="A75" s="34" t="s">
        <v>74</v>
      </c>
      <c r="B75" s="35">
        <v>285252</v>
      </c>
      <c r="C75" s="64">
        <v>89041</v>
      </c>
      <c r="D75" s="84">
        <f t="shared" si="3"/>
        <v>374293</v>
      </c>
      <c r="E75" s="48">
        <v>167007</v>
      </c>
      <c r="F75" s="35">
        <v>205490</v>
      </c>
      <c r="G75" s="35">
        <v>240738</v>
      </c>
      <c r="H75" s="35">
        <v>221650</v>
      </c>
      <c r="I75" s="48">
        <v>234419</v>
      </c>
      <c r="J75" s="64">
        <v>234957</v>
      </c>
      <c r="K75" s="84">
        <f t="shared" si="2"/>
        <v>1304261</v>
      </c>
      <c r="L75" s="102">
        <v>1678554</v>
      </c>
    </row>
    <row r="76" spans="1:12" x14ac:dyDescent="0.15">
      <c r="A76" s="29" t="s">
        <v>75</v>
      </c>
      <c r="B76" s="30">
        <v>0</v>
      </c>
      <c r="C76" s="62">
        <v>0</v>
      </c>
      <c r="D76" s="82">
        <f t="shared" si="3"/>
        <v>0</v>
      </c>
      <c r="E76" s="46">
        <v>0</v>
      </c>
      <c r="F76" s="30">
        <v>0</v>
      </c>
      <c r="G76" s="30">
        <v>0</v>
      </c>
      <c r="H76" s="30">
        <v>0</v>
      </c>
      <c r="I76" s="46">
        <v>0</v>
      </c>
      <c r="J76" s="62">
        <v>0</v>
      </c>
      <c r="K76" s="82">
        <f t="shared" si="2"/>
        <v>0</v>
      </c>
      <c r="L76" s="100">
        <v>0</v>
      </c>
    </row>
    <row r="77" spans="1:12" x14ac:dyDescent="0.15">
      <c r="A77" s="16" t="s">
        <v>76</v>
      </c>
      <c r="B77" s="12">
        <v>285252</v>
      </c>
      <c r="C77" s="60">
        <v>89041</v>
      </c>
      <c r="D77" s="85">
        <f t="shared" si="3"/>
        <v>374293</v>
      </c>
      <c r="E77" s="44">
        <v>167007</v>
      </c>
      <c r="F77" s="12">
        <v>205490</v>
      </c>
      <c r="G77" s="12">
        <v>240738</v>
      </c>
      <c r="H77" s="12">
        <v>221650</v>
      </c>
      <c r="I77" s="44">
        <v>234419</v>
      </c>
      <c r="J77" s="60">
        <v>234957</v>
      </c>
      <c r="K77" s="85">
        <f t="shared" si="2"/>
        <v>1304261</v>
      </c>
      <c r="L77" s="98">
        <v>1678554</v>
      </c>
    </row>
    <row r="78" spans="1:12" x14ac:dyDescent="0.15">
      <c r="A78" s="16" t="s">
        <v>77</v>
      </c>
      <c r="B78" s="13">
        <v>14</v>
      </c>
      <c r="C78" s="65">
        <v>10</v>
      </c>
      <c r="D78" s="86"/>
      <c r="E78" s="49">
        <v>0</v>
      </c>
      <c r="F78" s="13">
        <v>1</v>
      </c>
      <c r="G78" s="13">
        <v>4</v>
      </c>
      <c r="H78" s="13">
        <v>7</v>
      </c>
      <c r="I78" s="49">
        <v>7</v>
      </c>
      <c r="J78" s="65">
        <v>9</v>
      </c>
      <c r="K78" s="86"/>
      <c r="L78" s="103">
        <v>52</v>
      </c>
    </row>
    <row r="79" spans="1:12" x14ac:dyDescent="0.15">
      <c r="A79" s="16" t="s">
        <v>78</v>
      </c>
      <c r="B79" s="14"/>
      <c r="C79" s="66"/>
      <c r="D79" s="87"/>
      <c r="E79" s="50"/>
      <c r="F79" s="14"/>
      <c r="G79" s="14"/>
      <c r="H79" s="14">
        <v>3</v>
      </c>
      <c r="I79" s="50"/>
      <c r="J79" s="66">
        <v>1</v>
      </c>
      <c r="K79" s="87"/>
      <c r="L79" s="104"/>
    </row>
    <row r="80" spans="1:12" ht="14.25" thickBot="1" x14ac:dyDescent="0.2">
      <c r="A80" s="17" t="s">
        <v>79</v>
      </c>
      <c r="B80" s="18" t="s">
        <v>80</v>
      </c>
      <c r="C80" s="67" t="s">
        <v>80</v>
      </c>
      <c r="D80" s="88"/>
      <c r="E80" s="51" t="s">
        <v>80</v>
      </c>
      <c r="F80" s="18" t="s">
        <v>80</v>
      </c>
      <c r="G80" s="18" t="s">
        <v>80</v>
      </c>
      <c r="H80" s="18" t="s">
        <v>80</v>
      </c>
      <c r="I80" s="51" t="s">
        <v>80</v>
      </c>
      <c r="J80" s="67" t="s">
        <v>80</v>
      </c>
      <c r="K80" s="88"/>
      <c r="L80" s="105"/>
    </row>
  </sheetData>
  <phoneticPr fontId="1"/>
  <pageMargins left="0.43307086614173229" right="0.35433070866141736" top="0.51181102362204722" bottom="0.35433070866141736" header="0.19685039370078741" footer="0.27559055118110237"/>
  <pageSetup paperSize="12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2020-04-13T02:08:10Z</cp:lastPrinted>
  <dcterms:created xsi:type="dcterms:W3CDTF">2011-10-11T01:59:58Z</dcterms:created>
  <dcterms:modified xsi:type="dcterms:W3CDTF">2020-04-14T01:10:31Z</dcterms:modified>
</cp:coreProperties>
</file>