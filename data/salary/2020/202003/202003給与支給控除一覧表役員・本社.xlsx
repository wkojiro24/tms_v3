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6B4788A0-FF52-4F7C-A454-C8E2A504DAA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6" i="2" l="1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25" i="2"/>
  <c r="J24" i="2"/>
  <c r="J23" i="2"/>
  <c r="J21" i="2"/>
  <c r="J14" i="2"/>
  <c r="J13" i="2"/>
  <c r="J10" i="2"/>
  <c r="J6" i="2"/>
  <c r="E55" i="2"/>
  <c r="E56" i="2"/>
  <c r="E57" i="2"/>
  <c r="E58" i="2"/>
  <c r="E59" i="2"/>
  <c r="E60" i="2"/>
  <c r="E61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54" i="2"/>
  <c r="E34" i="2"/>
</calcChain>
</file>

<file path=xl/sharedStrings.xml><?xml version="1.0" encoding="utf-8"?>
<sst xmlns="http://schemas.openxmlformats.org/spreadsheetml/2006/main" count="108" uniqueCount="92">
  <si>
    <t>所　属</t>
  </si>
  <si>
    <t>社　員</t>
  </si>
  <si>
    <t>２０20年3月分</t>
  </si>
  <si>
    <t>本社</t>
  </si>
  <si>
    <t>高田　智幸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</si>
  <si>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</si>
  <si>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</si>
  <si>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</si>
  <si>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</si>
  <si>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</si>
  <si>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</si>
  <si>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</si>
  <si>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</si>
  <si>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</si>
  <si>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</si>
  <si>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社定休日残業</t>
  </si>
  <si>
    <t>特定休日残業</t>
  </si>
  <si>
    <t>法定代休残業</t>
  </si>
  <si>
    <t>社定代休残業</t>
  </si>
  <si>
    <t>特定代休残業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</si>
  <si>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</si>
  <si>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</si>
  <si>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</si>
  <si>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</si>
  <si>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</si>
  <si>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</si>
  <si>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</si>
  <si>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</si>
  <si>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</si>
  <si>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</si>
  <si>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</si>
  <si>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</si>
  <si>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</si>
  <si>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</si>
  <si>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</si>
  <si>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</si>
  <si>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</si>
  <si>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</si>
  <si>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</si>
  <si>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</si>
  <si>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</si>
  <si>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</si>
  <si>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</si>
  <si>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</si>
  <si>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</si>
  <si>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</si>
  <si>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</si>
  <si>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</si>
  <si>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</si>
  <si>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</si>
  <si>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特定休日深夜</t>
  </si>
  <si>
    <t>法定代休有残業</t>
  </si>
  <si>
    <t>社定代休有残業</t>
  </si>
  <si>
    <t>特定代休有残業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</si>
  <si>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</si>
  <si>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</si>
  <si>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</si>
  <si>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</si>
  <si>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</si>
  <si>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</si>
  <si>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</si>
  <si>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</si>
  <si>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</si>
  <si>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</si>
  <si>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</si>
  <si>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</si>
  <si>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</si>
  <si>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</si>
  <si>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</si>
  <si>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</si>
  <si>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</si>
  <si>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</si>
  <si>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</si>
  <si>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</si>
  <si>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</si>
  <si>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</si>
  <si>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</si>
  <si>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</si>
  <si>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</si>
  <si>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</si>
  <si>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</si>
  <si>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</si>
  <si>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</si>
  <si>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</si>
  <si>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</si>
  <si>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</si>
  <si>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</si>
  <si>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</si>
  <si>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</si>
  <si>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</si>
  <si>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3名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</si>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</sst>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552A-0747-486B-895F-B8A566BE973B}">
  <sheetPr>
    <pageSetUpPr fitToPage="1"/>
  </sheetPr>
  <dimension ref="A1:AK80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24</v>
      </c>
      <c r="C3" s="19" t="s">
        <v>24</v>
      </c>
      <c r="D3" s="51" t="s">
        <v>24</v>
      </c>
      <c r="E3" s="67" t="s">
        <v>89</v>
      </c>
      <c r="F3" s="35" t="s">
        <v>28</v>
      </c>
      <c r="G3" s="35" t="s">
        <v>28</v>
      </c>
      <c r="H3" s="19" t="s">
        <v>3</v>
      </c>
      <c r="I3" s="51" t="s">
        <v>28</v>
      </c>
      <c r="J3" s="67" t="s">
        <v>89</v>
      </c>
      <c r="K3" s="81" t="s">
        <v>88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1010</v>
      </c>
      <c r="C4" s="21">
        <v>1019</v>
      </c>
      <c r="D4" s="52">
        <v>1024</v>
      </c>
      <c r="E4" s="68"/>
      <c r="F4" s="36">
        <v>1020</v>
      </c>
      <c r="G4" s="36">
        <v>1041</v>
      </c>
      <c r="H4" s="21">
        <v>1053</v>
      </c>
      <c r="I4" s="52">
        <v>1036</v>
      </c>
      <c r="J4" s="68"/>
      <c r="K4" s="8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25</v>
      </c>
      <c r="C5" s="21" t="s">
        <v>26</v>
      </c>
      <c r="D5" s="52" t="s">
        <v>27</v>
      </c>
      <c r="E5" s="69" t="s">
        <v>90</v>
      </c>
      <c r="F5" s="36" t="s">
        <v>29</v>
      </c>
      <c r="G5" s="36" t="s">
        <v>85</v>
      </c>
      <c r="H5" s="21" t="s">
        <v>4</v>
      </c>
      <c r="I5" s="52" t="s">
        <v>86</v>
      </c>
      <c r="J5" s="69" t="s">
        <v>91</v>
      </c>
      <c r="K5" s="83" t="s">
        <v>87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5</v>
      </c>
      <c r="B6" s="24"/>
      <c r="C6" s="24"/>
      <c r="D6" s="58"/>
      <c r="E6" s="70"/>
      <c r="F6" s="37">
        <v>21</v>
      </c>
      <c r="G6" s="37">
        <v>19</v>
      </c>
      <c r="H6" s="23">
        <v>23</v>
      </c>
      <c r="I6" s="53">
        <v>19</v>
      </c>
      <c r="J6" s="98">
        <f>SUM(F6:I6)</f>
        <v>82</v>
      </c>
      <c r="K6" s="84">
        <v>82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6</v>
      </c>
      <c r="B7" s="9"/>
      <c r="C7" s="9"/>
      <c r="D7" s="54"/>
      <c r="E7" s="71"/>
      <c r="F7" s="38"/>
      <c r="G7" s="38"/>
      <c r="H7" s="9"/>
      <c r="I7" s="54"/>
      <c r="J7" s="71"/>
      <c r="K7" s="85"/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7</v>
      </c>
      <c r="B8" s="9"/>
      <c r="C8" s="9"/>
      <c r="D8" s="54"/>
      <c r="E8" s="71"/>
      <c r="F8" s="38"/>
      <c r="G8" s="38"/>
      <c r="H8" s="9"/>
      <c r="I8" s="54"/>
      <c r="J8" s="71"/>
      <c r="K8" s="8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8</v>
      </c>
      <c r="B9" s="9"/>
      <c r="C9" s="9"/>
      <c r="D9" s="54"/>
      <c r="E9" s="71"/>
      <c r="F9" s="38"/>
      <c r="G9" s="38"/>
      <c r="H9" s="9"/>
      <c r="I9" s="54"/>
      <c r="J9" s="71"/>
      <c r="K9" s="8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9</v>
      </c>
      <c r="B10" s="9"/>
      <c r="C10" s="9"/>
      <c r="D10" s="54"/>
      <c r="E10" s="71"/>
      <c r="F10" s="39">
        <v>2</v>
      </c>
      <c r="G10" s="39">
        <v>2</v>
      </c>
      <c r="H10" s="9"/>
      <c r="I10" s="55">
        <v>1</v>
      </c>
      <c r="J10" s="99">
        <f>SUM(F10:I10)</f>
        <v>5</v>
      </c>
      <c r="K10" s="86">
        <v>5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10</v>
      </c>
      <c r="B11" s="9"/>
      <c r="C11" s="9"/>
      <c r="D11" s="54"/>
      <c r="E11" s="71"/>
      <c r="F11" s="38"/>
      <c r="G11" s="38"/>
      <c r="H11" s="9"/>
      <c r="I11" s="54"/>
      <c r="J11" s="71"/>
      <c r="K11" s="8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11</v>
      </c>
      <c r="B12" s="9"/>
      <c r="C12" s="9"/>
      <c r="D12" s="54"/>
      <c r="E12" s="71"/>
      <c r="F12" s="38"/>
      <c r="G12" s="38"/>
      <c r="H12" s="9"/>
      <c r="I12" s="54"/>
      <c r="J12" s="71"/>
      <c r="K12" s="8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12</v>
      </c>
      <c r="B13" s="9"/>
      <c r="C13" s="9"/>
      <c r="D13" s="54"/>
      <c r="E13" s="71"/>
      <c r="F13" s="38"/>
      <c r="G13" s="38"/>
      <c r="H13" s="9"/>
      <c r="I13" s="56">
        <v>4.166666666666667</v>
      </c>
      <c r="J13" s="100">
        <f>SUM(F13:I13)</f>
        <v>4.166666666666667</v>
      </c>
      <c r="K13" s="87">
        <v>4.166666666666667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13</v>
      </c>
      <c r="B14" s="9"/>
      <c r="C14" s="9"/>
      <c r="D14" s="54"/>
      <c r="E14" s="71"/>
      <c r="F14" s="38"/>
      <c r="G14" s="38"/>
      <c r="H14" s="10">
        <v>1.25</v>
      </c>
      <c r="I14" s="54"/>
      <c r="J14" s="100">
        <f>SUM(F14:I14)</f>
        <v>1.25</v>
      </c>
      <c r="K14" s="87">
        <v>1.25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14</v>
      </c>
      <c r="B15" s="9"/>
      <c r="C15" s="9"/>
      <c r="D15" s="54"/>
      <c r="E15" s="71"/>
      <c r="F15" s="38"/>
      <c r="G15" s="38"/>
      <c r="H15" s="9"/>
      <c r="I15" s="54"/>
      <c r="J15" s="71"/>
      <c r="K15" s="8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15</v>
      </c>
      <c r="B16" s="9"/>
      <c r="C16" s="9"/>
      <c r="D16" s="54"/>
      <c r="E16" s="71"/>
      <c r="F16" s="38"/>
      <c r="G16" s="38"/>
      <c r="H16" s="9"/>
      <c r="I16" s="54"/>
      <c r="J16" s="71"/>
      <c r="K16" s="85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16</v>
      </c>
      <c r="B17" s="9"/>
      <c r="C17" s="9"/>
      <c r="D17" s="54"/>
      <c r="E17" s="71"/>
      <c r="F17" s="38"/>
      <c r="G17" s="38"/>
      <c r="H17" s="9"/>
      <c r="I17" s="54"/>
      <c r="J17" s="71"/>
      <c r="K17" s="85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17</v>
      </c>
      <c r="B18" s="9"/>
      <c r="C18" s="9"/>
      <c r="D18" s="54"/>
      <c r="E18" s="71"/>
      <c r="F18" s="38"/>
      <c r="G18" s="38"/>
      <c r="H18" s="9"/>
      <c r="I18" s="54"/>
      <c r="J18" s="71"/>
      <c r="K18" s="85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18</v>
      </c>
      <c r="B19" s="9"/>
      <c r="C19" s="9"/>
      <c r="D19" s="54"/>
      <c r="E19" s="71"/>
      <c r="F19" s="38"/>
      <c r="G19" s="38"/>
      <c r="H19" s="9"/>
      <c r="I19" s="54"/>
      <c r="J19" s="71"/>
      <c r="K19" s="85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19</v>
      </c>
      <c r="B20" s="9"/>
      <c r="C20" s="9"/>
      <c r="D20" s="54"/>
      <c r="E20" s="71"/>
      <c r="F20" s="38"/>
      <c r="G20" s="38"/>
      <c r="H20" s="9"/>
      <c r="I20" s="54"/>
      <c r="J20" s="71"/>
      <c r="K20" s="85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20</v>
      </c>
      <c r="B21" s="9"/>
      <c r="C21" s="9"/>
      <c r="D21" s="54"/>
      <c r="E21" s="71"/>
      <c r="F21" s="38"/>
      <c r="G21" s="40">
        <v>4.1666666666666664E-2</v>
      </c>
      <c r="H21" s="9"/>
      <c r="I21" s="54"/>
      <c r="J21" s="100">
        <f>SUM(F21:I21)</f>
        <v>4.1666666666666664E-2</v>
      </c>
      <c r="K21" s="87">
        <v>4.1666666666666664E-2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15">
      <c r="A22" s="14" t="s">
        <v>21</v>
      </c>
      <c r="B22" s="9"/>
      <c r="C22" s="9"/>
      <c r="D22" s="54"/>
      <c r="E22" s="71"/>
      <c r="F22" s="38"/>
      <c r="G22" s="38"/>
      <c r="H22" s="9"/>
      <c r="I22" s="54"/>
      <c r="J22" s="71"/>
      <c r="K22" s="85"/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14" t="s">
        <v>22</v>
      </c>
      <c r="B23" s="9"/>
      <c r="C23" s="9"/>
      <c r="D23" s="54"/>
      <c r="E23" s="71"/>
      <c r="F23" s="38"/>
      <c r="G23" s="38"/>
      <c r="H23" s="9"/>
      <c r="I23" s="56">
        <v>0.20833333333333334</v>
      </c>
      <c r="J23" s="100">
        <f>SUM(F23:I23)</f>
        <v>0.20833333333333334</v>
      </c>
      <c r="K23" s="87">
        <v>0.20833333333333334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4.25" thickBot="1" x14ac:dyDescent="0.2">
      <c r="A24" s="25" t="s">
        <v>23</v>
      </c>
      <c r="B24" s="27"/>
      <c r="C24" s="27"/>
      <c r="D24" s="57"/>
      <c r="E24" s="72"/>
      <c r="F24" s="41"/>
      <c r="G24" s="41"/>
      <c r="H24" s="26">
        <v>0.41666666666666669</v>
      </c>
      <c r="I24" s="57"/>
      <c r="J24" s="100">
        <f>SUM(F24:I24)</f>
        <v>0.41666666666666669</v>
      </c>
      <c r="K24" s="88">
        <v>0.41666666666666669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22" t="s">
        <v>30</v>
      </c>
      <c r="B25" s="24">
        <v>0</v>
      </c>
      <c r="C25" s="24">
        <v>0</v>
      </c>
      <c r="D25" s="58">
        <v>0</v>
      </c>
      <c r="E25" s="70"/>
      <c r="F25" s="42">
        <v>375000</v>
      </c>
      <c r="G25" s="42">
        <v>270000</v>
      </c>
      <c r="H25" s="24">
        <v>220000</v>
      </c>
      <c r="I25" s="58">
        <v>0</v>
      </c>
      <c r="J25" s="70">
        <f>SUM(F25:I25)</f>
        <v>865000</v>
      </c>
      <c r="K25" s="89">
        <v>865000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31</v>
      </c>
      <c r="B26" s="9">
        <v>0</v>
      </c>
      <c r="C26" s="9">
        <v>0</v>
      </c>
      <c r="D26" s="54">
        <v>0</v>
      </c>
      <c r="E26" s="71"/>
      <c r="F26" s="38">
        <v>0</v>
      </c>
      <c r="G26" s="38">
        <v>20000</v>
      </c>
      <c r="H26" s="9">
        <v>5000</v>
      </c>
      <c r="I26" s="54">
        <v>0</v>
      </c>
      <c r="J26" s="71">
        <f t="shared" ref="J26:J77" si="0">SUM(F26:I26)</f>
        <v>25000</v>
      </c>
      <c r="K26" s="85">
        <v>25000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32</v>
      </c>
      <c r="B27" s="9">
        <v>0</v>
      </c>
      <c r="C27" s="9">
        <v>0</v>
      </c>
      <c r="D27" s="54">
        <v>0</v>
      </c>
      <c r="E27" s="71"/>
      <c r="F27" s="38">
        <v>0</v>
      </c>
      <c r="G27" s="38">
        <v>0</v>
      </c>
      <c r="H27" s="9">
        <v>6000</v>
      </c>
      <c r="I27" s="54">
        <v>0</v>
      </c>
      <c r="J27" s="71">
        <f t="shared" si="0"/>
        <v>6000</v>
      </c>
      <c r="K27" s="85">
        <v>6000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33</v>
      </c>
      <c r="B28" s="9">
        <v>0</v>
      </c>
      <c r="C28" s="9">
        <v>0</v>
      </c>
      <c r="D28" s="54">
        <v>0</v>
      </c>
      <c r="E28" s="71"/>
      <c r="F28" s="38">
        <v>50000</v>
      </c>
      <c r="G28" s="38">
        <v>50000</v>
      </c>
      <c r="H28" s="9">
        <v>50000</v>
      </c>
      <c r="I28" s="54">
        <v>0</v>
      </c>
      <c r="J28" s="71">
        <f t="shared" si="0"/>
        <v>150000</v>
      </c>
      <c r="K28" s="85">
        <v>150000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34</v>
      </c>
      <c r="B29" s="9">
        <v>0</v>
      </c>
      <c r="C29" s="9">
        <v>0</v>
      </c>
      <c r="D29" s="54">
        <v>0</v>
      </c>
      <c r="E29" s="71"/>
      <c r="F29" s="38">
        <v>0</v>
      </c>
      <c r="G29" s="38">
        <v>0</v>
      </c>
      <c r="H29" s="9">
        <v>0</v>
      </c>
      <c r="I29" s="54">
        <v>0</v>
      </c>
      <c r="J29" s="71">
        <f t="shared" si="0"/>
        <v>0</v>
      </c>
      <c r="K29" s="85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35</v>
      </c>
      <c r="B30" s="9">
        <v>0</v>
      </c>
      <c r="C30" s="9">
        <v>0</v>
      </c>
      <c r="D30" s="54">
        <v>0</v>
      </c>
      <c r="E30" s="71"/>
      <c r="F30" s="38">
        <v>0</v>
      </c>
      <c r="G30" s="38">
        <v>0</v>
      </c>
      <c r="H30" s="9">
        <v>0</v>
      </c>
      <c r="I30" s="54">
        <v>0</v>
      </c>
      <c r="J30" s="71">
        <f t="shared" si="0"/>
        <v>0</v>
      </c>
      <c r="K30" s="85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36</v>
      </c>
      <c r="B31" s="9">
        <v>0</v>
      </c>
      <c r="C31" s="9">
        <v>0</v>
      </c>
      <c r="D31" s="54">
        <v>0</v>
      </c>
      <c r="E31" s="71"/>
      <c r="F31" s="38">
        <v>0</v>
      </c>
      <c r="G31" s="38">
        <v>0</v>
      </c>
      <c r="H31" s="9">
        <v>0</v>
      </c>
      <c r="I31" s="54">
        <v>0</v>
      </c>
      <c r="J31" s="71">
        <f t="shared" si="0"/>
        <v>0</v>
      </c>
      <c r="K31" s="85">
        <v>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37</v>
      </c>
      <c r="B32" s="9">
        <v>0</v>
      </c>
      <c r="C32" s="9">
        <v>0</v>
      </c>
      <c r="D32" s="54">
        <v>0</v>
      </c>
      <c r="E32" s="71"/>
      <c r="F32" s="38">
        <v>0</v>
      </c>
      <c r="G32" s="38">
        <v>0</v>
      </c>
      <c r="H32" s="9">
        <v>0</v>
      </c>
      <c r="I32" s="54">
        <v>0</v>
      </c>
      <c r="J32" s="71">
        <f t="shared" si="0"/>
        <v>0</v>
      </c>
      <c r="K32" s="85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38</v>
      </c>
      <c r="B33" s="9">
        <v>0</v>
      </c>
      <c r="C33" s="9">
        <v>0</v>
      </c>
      <c r="D33" s="54">
        <v>0</v>
      </c>
      <c r="E33" s="71"/>
      <c r="F33" s="38">
        <v>0</v>
      </c>
      <c r="G33" s="38">
        <v>0</v>
      </c>
      <c r="H33" s="9">
        <v>0</v>
      </c>
      <c r="I33" s="54">
        <v>112000</v>
      </c>
      <c r="J33" s="71">
        <f t="shared" si="0"/>
        <v>112000</v>
      </c>
      <c r="K33" s="85">
        <v>112000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39</v>
      </c>
      <c r="B34" s="9">
        <v>1400000</v>
      </c>
      <c r="C34" s="9">
        <v>250000</v>
      </c>
      <c r="D34" s="54">
        <v>100000</v>
      </c>
      <c r="E34" s="71">
        <f>SUM(B34:D34)</f>
        <v>1750000</v>
      </c>
      <c r="F34" s="38">
        <v>0</v>
      </c>
      <c r="G34" s="38">
        <v>0</v>
      </c>
      <c r="H34" s="9">
        <v>0</v>
      </c>
      <c r="I34" s="54">
        <v>0</v>
      </c>
      <c r="J34" s="71">
        <f t="shared" si="0"/>
        <v>0</v>
      </c>
      <c r="K34" s="85">
        <v>1750000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40</v>
      </c>
      <c r="B35" s="9">
        <v>0</v>
      </c>
      <c r="C35" s="9">
        <v>0</v>
      </c>
      <c r="D35" s="54">
        <v>0</v>
      </c>
      <c r="E35" s="71"/>
      <c r="F35" s="38">
        <v>0</v>
      </c>
      <c r="G35" s="38">
        <v>0</v>
      </c>
      <c r="H35" s="9">
        <v>0</v>
      </c>
      <c r="I35" s="54">
        <v>0</v>
      </c>
      <c r="J35" s="71">
        <f t="shared" si="0"/>
        <v>0</v>
      </c>
      <c r="K35" s="85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41</v>
      </c>
      <c r="B36" s="9">
        <v>0</v>
      </c>
      <c r="C36" s="9">
        <v>0</v>
      </c>
      <c r="D36" s="54">
        <v>0</v>
      </c>
      <c r="E36" s="71"/>
      <c r="F36" s="38">
        <v>0</v>
      </c>
      <c r="G36" s="38">
        <v>0</v>
      </c>
      <c r="H36" s="9">
        <v>0</v>
      </c>
      <c r="I36" s="54">
        <v>5600</v>
      </c>
      <c r="J36" s="71">
        <f t="shared" si="0"/>
        <v>5600</v>
      </c>
      <c r="K36" s="85">
        <v>5600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42</v>
      </c>
      <c r="B37" s="9">
        <v>0</v>
      </c>
      <c r="C37" s="9">
        <v>0</v>
      </c>
      <c r="D37" s="54">
        <v>0</v>
      </c>
      <c r="E37" s="71"/>
      <c r="F37" s="38">
        <v>0</v>
      </c>
      <c r="G37" s="38">
        <v>0</v>
      </c>
      <c r="H37" s="9">
        <v>0</v>
      </c>
      <c r="I37" s="54">
        <v>0</v>
      </c>
      <c r="J37" s="71">
        <f t="shared" si="0"/>
        <v>0</v>
      </c>
      <c r="K37" s="85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43</v>
      </c>
      <c r="B38" s="9">
        <v>0</v>
      </c>
      <c r="C38" s="9">
        <v>0</v>
      </c>
      <c r="D38" s="54">
        <v>0</v>
      </c>
      <c r="E38" s="71"/>
      <c r="F38" s="38">
        <v>0</v>
      </c>
      <c r="G38" s="38">
        <v>0</v>
      </c>
      <c r="H38" s="9">
        <v>0</v>
      </c>
      <c r="I38" s="54">
        <v>0</v>
      </c>
      <c r="J38" s="71">
        <f t="shared" si="0"/>
        <v>0</v>
      </c>
      <c r="K38" s="85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44</v>
      </c>
      <c r="B39" s="9">
        <v>0</v>
      </c>
      <c r="C39" s="9">
        <v>0</v>
      </c>
      <c r="D39" s="54">
        <v>0</v>
      </c>
      <c r="E39" s="71"/>
      <c r="F39" s="38">
        <v>0</v>
      </c>
      <c r="G39" s="38">
        <v>0</v>
      </c>
      <c r="H39" s="9">
        <v>0</v>
      </c>
      <c r="I39" s="54">
        <v>0</v>
      </c>
      <c r="J39" s="71">
        <f t="shared" si="0"/>
        <v>0</v>
      </c>
      <c r="K39" s="85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45</v>
      </c>
      <c r="B40" s="9">
        <v>0</v>
      </c>
      <c r="C40" s="9">
        <v>0</v>
      </c>
      <c r="D40" s="54">
        <v>0</v>
      </c>
      <c r="E40" s="71"/>
      <c r="F40" s="38">
        <v>0</v>
      </c>
      <c r="G40" s="38">
        <v>0</v>
      </c>
      <c r="H40" s="9">
        <v>0</v>
      </c>
      <c r="I40" s="54">
        <v>0</v>
      </c>
      <c r="J40" s="71">
        <f t="shared" si="0"/>
        <v>0</v>
      </c>
      <c r="K40" s="85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46</v>
      </c>
      <c r="B41" s="9">
        <v>0</v>
      </c>
      <c r="C41" s="9">
        <v>0</v>
      </c>
      <c r="D41" s="54">
        <v>0</v>
      </c>
      <c r="E41" s="71"/>
      <c r="F41" s="38">
        <v>0</v>
      </c>
      <c r="G41" s="38">
        <v>0</v>
      </c>
      <c r="H41" s="9">
        <v>0</v>
      </c>
      <c r="I41" s="54">
        <v>0</v>
      </c>
      <c r="J41" s="71">
        <f t="shared" si="0"/>
        <v>0</v>
      </c>
      <c r="K41" s="85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47</v>
      </c>
      <c r="B42" s="9">
        <v>0</v>
      </c>
      <c r="C42" s="9">
        <v>0</v>
      </c>
      <c r="D42" s="54">
        <v>0</v>
      </c>
      <c r="E42" s="71"/>
      <c r="F42" s="38">
        <v>0</v>
      </c>
      <c r="G42" s="38">
        <v>0</v>
      </c>
      <c r="H42" s="9">
        <v>0</v>
      </c>
      <c r="I42" s="54">
        <v>0</v>
      </c>
      <c r="J42" s="71">
        <f t="shared" si="0"/>
        <v>0</v>
      </c>
      <c r="K42" s="85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48</v>
      </c>
      <c r="B43" s="9">
        <v>0</v>
      </c>
      <c r="C43" s="9">
        <v>0</v>
      </c>
      <c r="D43" s="54">
        <v>0</v>
      </c>
      <c r="E43" s="71"/>
      <c r="F43" s="38">
        <v>0</v>
      </c>
      <c r="G43" s="38">
        <v>0</v>
      </c>
      <c r="H43" s="9">
        <v>0</v>
      </c>
      <c r="I43" s="54">
        <v>0</v>
      </c>
      <c r="J43" s="71">
        <f t="shared" si="0"/>
        <v>0</v>
      </c>
      <c r="K43" s="85">
        <v>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49</v>
      </c>
      <c r="B44" s="9">
        <v>0</v>
      </c>
      <c r="C44" s="9">
        <v>0</v>
      </c>
      <c r="D44" s="54">
        <v>0</v>
      </c>
      <c r="E44" s="71"/>
      <c r="F44" s="38">
        <v>0</v>
      </c>
      <c r="G44" s="38">
        <v>0</v>
      </c>
      <c r="H44" s="9">
        <v>0</v>
      </c>
      <c r="I44" s="54">
        <v>0</v>
      </c>
      <c r="J44" s="71">
        <f t="shared" si="0"/>
        <v>0</v>
      </c>
      <c r="K44" s="85">
        <v>0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13</v>
      </c>
      <c r="B45" s="9">
        <v>0</v>
      </c>
      <c r="C45" s="9">
        <v>0</v>
      </c>
      <c r="D45" s="54">
        <v>0</v>
      </c>
      <c r="E45" s="71"/>
      <c r="F45" s="38">
        <v>0</v>
      </c>
      <c r="G45" s="38">
        <v>0</v>
      </c>
      <c r="H45" s="9">
        <v>62760</v>
      </c>
      <c r="I45" s="54">
        <v>0</v>
      </c>
      <c r="J45" s="71">
        <f t="shared" si="0"/>
        <v>62760</v>
      </c>
      <c r="K45" s="85">
        <v>62760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14</v>
      </c>
      <c r="B46" s="9">
        <v>0</v>
      </c>
      <c r="C46" s="9">
        <v>0</v>
      </c>
      <c r="D46" s="54">
        <v>0</v>
      </c>
      <c r="E46" s="71"/>
      <c r="F46" s="38">
        <v>0</v>
      </c>
      <c r="G46" s="38">
        <v>0</v>
      </c>
      <c r="H46" s="9">
        <v>0</v>
      </c>
      <c r="I46" s="54">
        <v>0</v>
      </c>
      <c r="J46" s="71">
        <f t="shared" si="0"/>
        <v>0</v>
      </c>
      <c r="K46" s="85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15</v>
      </c>
      <c r="B47" s="9">
        <v>0</v>
      </c>
      <c r="C47" s="9">
        <v>0</v>
      </c>
      <c r="D47" s="54">
        <v>0</v>
      </c>
      <c r="E47" s="71"/>
      <c r="F47" s="38">
        <v>0</v>
      </c>
      <c r="G47" s="38">
        <v>0</v>
      </c>
      <c r="H47" s="9">
        <v>0</v>
      </c>
      <c r="I47" s="54">
        <v>0</v>
      </c>
      <c r="J47" s="71">
        <f t="shared" si="0"/>
        <v>0</v>
      </c>
      <c r="K47" s="85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50</v>
      </c>
      <c r="B48" s="9">
        <v>0</v>
      </c>
      <c r="C48" s="9">
        <v>0</v>
      </c>
      <c r="D48" s="54">
        <v>0</v>
      </c>
      <c r="E48" s="71"/>
      <c r="F48" s="38">
        <v>0</v>
      </c>
      <c r="G48" s="38">
        <v>0</v>
      </c>
      <c r="H48" s="9">
        <v>0</v>
      </c>
      <c r="I48" s="54">
        <v>0</v>
      </c>
      <c r="J48" s="71">
        <f t="shared" si="0"/>
        <v>0</v>
      </c>
      <c r="K48" s="85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51</v>
      </c>
      <c r="B49" s="11">
        <v>0</v>
      </c>
      <c r="C49" s="11">
        <v>0</v>
      </c>
      <c r="D49" s="59">
        <v>0</v>
      </c>
      <c r="E49" s="73"/>
      <c r="F49" s="43">
        <v>0</v>
      </c>
      <c r="G49" s="43">
        <v>0</v>
      </c>
      <c r="H49" s="11">
        <v>0</v>
      </c>
      <c r="I49" s="59">
        <v>0</v>
      </c>
      <c r="J49" s="73">
        <f t="shared" si="0"/>
        <v>0</v>
      </c>
      <c r="K49" s="90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52</v>
      </c>
      <c r="B50" s="11">
        <v>0</v>
      </c>
      <c r="C50" s="11">
        <v>0</v>
      </c>
      <c r="D50" s="59">
        <v>0</v>
      </c>
      <c r="E50" s="73"/>
      <c r="F50" s="43">
        <v>0</v>
      </c>
      <c r="G50" s="43">
        <v>0</v>
      </c>
      <c r="H50" s="11">
        <v>0</v>
      </c>
      <c r="I50" s="59">
        <v>0</v>
      </c>
      <c r="J50" s="73">
        <f t="shared" si="0"/>
        <v>0</v>
      </c>
      <c r="K50" s="90">
        <v>0</v>
      </c>
      <c r="L50" s="6"/>
      <c r="M50" s="6"/>
      <c r="N50" s="6"/>
      <c r="O50" s="6"/>
      <c r="P50" s="6"/>
      <c r="Q50" s="6"/>
      <c r="R50" s="6"/>
    </row>
    <row r="51" spans="1:18" x14ac:dyDescent="0.15">
      <c r="A51" s="15" t="s">
        <v>53</v>
      </c>
      <c r="B51" s="11">
        <v>0</v>
      </c>
      <c r="C51" s="11">
        <v>0</v>
      </c>
      <c r="D51" s="59">
        <v>0</v>
      </c>
      <c r="E51" s="73"/>
      <c r="F51" s="43">
        <v>0</v>
      </c>
      <c r="G51" s="43">
        <v>0</v>
      </c>
      <c r="H51" s="11">
        <v>0</v>
      </c>
      <c r="I51" s="59">
        <v>0</v>
      </c>
      <c r="J51" s="73">
        <f t="shared" si="0"/>
        <v>0</v>
      </c>
      <c r="K51" s="90">
        <v>0</v>
      </c>
      <c r="L51" s="6"/>
      <c r="M51" s="6"/>
      <c r="N51" s="6"/>
      <c r="O51" s="6"/>
      <c r="P51" s="6"/>
      <c r="Q51" s="6"/>
      <c r="R51" s="6"/>
    </row>
    <row r="52" spans="1:18" x14ac:dyDescent="0.15">
      <c r="A52" s="15" t="s">
        <v>54</v>
      </c>
      <c r="B52" s="11">
        <v>0</v>
      </c>
      <c r="C52" s="11">
        <v>0</v>
      </c>
      <c r="D52" s="59">
        <v>0</v>
      </c>
      <c r="E52" s="73"/>
      <c r="F52" s="43">
        <v>0</v>
      </c>
      <c r="G52" s="43">
        <v>2024</v>
      </c>
      <c r="H52" s="11">
        <v>0</v>
      </c>
      <c r="I52" s="59">
        <v>0</v>
      </c>
      <c r="J52" s="73">
        <f t="shared" si="0"/>
        <v>2024</v>
      </c>
      <c r="K52" s="90">
        <v>2024</v>
      </c>
      <c r="L52" s="6"/>
      <c r="M52" s="6"/>
      <c r="N52" s="6"/>
      <c r="O52" s="6"/>
      <c r="P52" s="6"/>
      <c r="Q52" s="6"/>
      <c r="R52" s="6"/>
    </row>
    <row r="53" spans="1:18" x14ac:dyDescent="0.15">
      <c r="A53" s="15" t="s">
        <v>23</v>
      </c>
      <c r="B53" s="11">
        <v>0</v>
      </c>
      <c r="C53" s="11">
        <v>0</v>
      </c>
      <c r="D53" s="59">
        <v>0</v>
      </c>
      <c r="E53" s="73"/>
      <c r="F53" s="43">
        <v>0</v>
      </c>
      <c r="G53" s="43">
        <v>0</v>
      </c>
      <c r="H53" s="11">
        <v>4190</v>
      </c>
      <c r="I53" s="59">
        <v>0</v>
      </c>
      <c r="J53" s="73">
        <f t="shared" si="0"/>
        <v>4190</v>
      </c>
      <c r="K53" s="90">
        <v>4190</v>
      </c>
    </row>
    <row r="54" spans="1:18" ht="14.25" thickBot="1" x14ac:dyDescent="0.2">
      <c r="A54" s="16" t="s">
        <v>55</v>
      </c>
      <c r="B54" s="30">
        <v>1400000</v>
      </c>
      <c r="C54" s="30">
        <v>250000</v>
      </c>
      <c r="D54" s="60">
        <v>100000</v>
      </c>
      <c r="E54" s="74">
        <f>SUM(B54:D54)</f>
        <v>1750000</v>
      </c>
      <c r="F54" s="44">
        <v>425000</v>
      </c>
      <c r="G54" s="44">
        <v>342024</v>
      </c>
      <c r="H54" s="30">
        <v>347950</v>
      </c>
      <c r="I54" s="60">
        <v>117600</v>
      </c>
      <c r="J54" s="74">
        <f t="shared" si="0"/>
        <v>1232574</v>
      </c>
      <c r="K54" s="91">
        <v>2982574</v>
      </c>
    </row>
    <row r="55" spans="1:18" x14ac:dyDescent="0.15">
      <c r="A55" s="28" t="s">
        <v>56</v>
      </c>
      <c r="B55" s="29">
        <v>0</v>
      </c>
      <c r="C55" s="29">
        <v>0</v>
      </c>
      <c r="D55" s="61">
        <v>0</v>
      </c>
      <c r="E55" s="75">
        <f t="shared" ref="E55:E77" si="1">SUM(B55:D55)</f>
        <v>0</v>
      </c>
      <c r="F55" s="45">
        <v>15340</v>
      </c>
      <c r="G55" s="45">
        <v>17480</v>
      </c>
      <c r="H55" s="29">
        <v>23909</v>
      </c>
      <c r="I55" s="61">
        <v>0</v>
      </c>
      <c r="J55" s="75">
        <f t="shared" si="0"/>
        <v>56729</v>
      </c>
      <c r="K55" s="92">
        <v>56729</v>
      </c>
    </row>
    <row r="56" spans="1:18" ht="14.25" thickBot="1" x14ac:dyDescent="0.2">
      <c r="A56" s="31" t="s">
        <v>57</v>
      </c>
      <c r="B56" s="32">
        <v>0</v>
      </c>
      <c r="C56" s="32">
        <v>0</v>
      </c>
      <c r="D56" s="62">
        <v>0</v>
      </c>
      <c r="E56" s="76">
        <f t="shared" si="1"/>
        <v>0</v>
      </c>
      <c r="F56" s="46">
        <v>15340</v>
      </c>
      <c r="G56" s="46">
        <v>17480</v>
      </c>
      <c r="H56" s="32">
        <v>23909</v>
      </c>
      <c r="I56" s="62">
        <v>0</v>
      </c>
      <c r="J56" s="76">
        <f t="shared" si="0"/>
        <v>56729</v>
      </c>
      <c r="K56" s="93">
        <v>56729</v>
      </c>
    </row>
    <row r="57" spans="1:18" ht="14.25" thickBot="1" x14ac:dyDescent="0.2">
      <c r="A57" s="33" t="s">
        <v>58</v>
      </c>
      <c r="B57" s="34">
        <v>1400000</v>
      </c>
      <c r="C57" s="34">
        <v>250000</v>
      </c>
      <c r="D57" s="63">
        <v>100000</v>
      </c>
      <c r="E57" s="77">
        <f t="shared" si="1"/>
        <v>1750000</v>
      </c>
      <c r="F57" s="47">
        <v>440340</v>
      </c>
      <c r="G57" s="47">
        <v>359504</v>
      </c>
      <c r="H57" s="34">
        <v>371859</v>
      </c>
      <c r="I57" s="63">
        <v>117600</v>
      </c>
      <c r="J57" s="77">
        <f t="shared" si="0"/>
        <v>1289303</v>
      </c>
      <c r="K57" s="94">
        <v>3039303</v>
      </c>
    </row>
    <row r="58" spans="1:18" x14ac:dyDescent="0.15">
      <c r="A58" s="28" t="s">
        <v>59</v>
      </c>
      <c r="B58" s="29">
        <v>70890</v>
      </c>
      <c r="C58" s="29">
        <v>0</v>
      </c>
      <c r="D58" s="61">
        <v>0</v>
      </c>
      <c r="E58" s="75">
        <f t="shared" si="1"/>
        <v>70890</v>
      </c>
      <c r="F58" s="45">
        <v>22440</v>
      </c>
      <c r="G58" s="45">
        <v>17340</v>
      </c>
      <c r="H58" s="29">
        <v>17340</v>
      </c>
      <c r="I58" s="61">
        <v>0</v>
      </c>
      <c r="J58" s="75">
        <f t="shared" si="0"/>
        <v>57120</v>
      </c>
      <c r="K58" s="92">
        <v>128010</v>
      </c>
    </row>
    <row r="59" spans="1:18" x14ac:dyDescent="0.15">
      <c r="A59" s="15" t="s">
        <v>60</v>
      </c>
      <c r="B59" s="11">
        <v>12510</v>
      </c>
      <c r="C59" s="11">
        <v>0</v>
      </c>
      <c r="D59" s="59">
        <v>0</v>
      </c>
      <c r="E59" s="73">
        <f t="shared" si="1"/>
        <v>12510</v>
      </c>
      <c r="F59" s="43">
        <v>3960</v>
      </c>
      <c r="G59" s="43">
        <v>3060</v>
      </c>
      <c r="H59" s="11">
        <v>3060</v>
      </c>
      <c r="I59" s="59">
        <v>0</v>
      </c>
      <c r="J59" s="73">
        <f t="shared" si="0"/>
        <v>10080</v>
      </c>
      <c r="K59" s="90">
        <v>22590</v>
      </c>
    </row>
    <row r="60" spans="1:18" x14ac:dyDescent="0.15">
      <c r="A60" s="15" t="s">
        <v>61</v>
      </c>
      <c r="B60" s="11">
        <v>56730</v>
      </c>
      <c r="C60" s="11">
        <v>0</v>
      </c>
      <c r="D60" s="59">
        <v>0</v>
      </c>
      <c r="E60" s="73">
        <f t="shared" si="1"/>
        <v>56730</v>
      </c>
      <c r="F60" s="43">
        <v>40260</v>
      </c>
      <c r="G60" s="43">
        <v>31110</v>
      </c>
      <c r="H60" s="11">
        <v>31110</v>
      </c>
      <c r="I60" s="59">
        <v>0</v>
      </c>
      <c r="J60" s="73">
        <f t="shared" si="0"/>
        <v>102480</v>
      </c>
      <c r="K60" s="90">
        <v>159210</v>
      </c>
    </row>
    <row r="61" spans="1:18" x14ac:dyDescent="0.15">
      <c r="A61" s="15" t="s">
        <v>62</v>
      </c>
      <c r="B61" s="11">
        <v>0</v>
      </c>
      <c r="C61" s="11">
        <v>0</v>
      </c>
      <c r="D61" s="59">
        <v>0</v>
      </c>
      <c r="E61" s="73">
        <f t="shared" si="1"/>
        <v>0</v>
      </c>
      <c r="F61" s="43">
        <v>0</v>
      </c>
      <c r="G61" s="43">
        <v>0</v>
      </c>
      <c r="H61" s="11">
        <v>0</v>
      </c>
      <c r="I61" s="59">
        <v>0</v>
      </c>
      <c r="J61" s="73">
        <f t="shared" si="0"/>
        <v>0</v>
      </c>
      <c r="K61" s="90">
        <v>0</v>
      </c>
    </row>
    <row r="62" spans="1:18" x14ac:dyDescent="0.15">
      <c r="A62" s="15" t="s">
        <v>63</v>
      </c>
      <c r="B62" s="12" t="s">
        <v>64</v>
      </c>
      <c r="C62" s="12" t="s">
        <v>64</v>
      </c>
      <c r="D62" s="65" t="s">
        <v>64</v>
      </c>
      <c r="E62" s="78"/>
      <c r="F62" s="43">
        <v>1321</v>
      </c>
      <c r="G62" s="43">
        <v>1079</v>
      </c>
      <c r="H62" s="11">
        <v>1116</v>
      </c>
      <c r="I62" s="59">
        <v>353</v>
      </c>
      <c r="J62" s="73">
        <f t="shared" si="0"/>
        <v>3869</v>
      </c>
      <c r="K62" s="90">
        <v>3869</v>
      </c>
    </row>
    <row r="63" spans="1:18" x14ac:dyDescent="0.15">
      <c r="A63" s="15" t="s">
        <v>65</v>
      </c>
      <c r="B63" s="11">
        <v>0</v>
      </c>
      <c r="C63" s="11">
        <v>0</v>
      </c>
      <c r="D63" s="59">
        <v>0</v>
      </c>
      <c r="E63" s="73">
        <f t="shared" si="1"/>
        <v>0</v>
      </c>
      <c r="F63" s="43">
        <v>0</v>
      </c>
      <c r="G63" s="43">
        <v>0</v>
      </c>
      <c r="H63" s="11">
        <v>0</v>
      </c>
      <c r="I63" s="59">
        <v>0</v>
      </c>
      <c r="J63" s="73">
        <f t="shared" si="0"/>
        <v>0</v>
      </c>
      <c r="K63" s="90">
        <v>0</v>
      </c>
    </row>
    <row r="64" spans="1:18" ht="14.25" thickBot="1" x14ac:dyDescent="0.2">
      <c r="A64" s="31" t="s">
        <v>66</v>
      </c>
      <c r="B64" s="32">
        <v>140130</v>
      </c>
      <c r="C64" s="32">
        <v>0</v>
      </c>
      <c r="D64" s="62">
        <v>0</v>
      </c>
      <c r="E64" s="76">
        <f t="shared" si="1"/>
        <v>140130</v>
      </c>
      <c r="F64" s="46">
        <v>67981</v>
      </c>
      <c r="G64" s="46">
        <v>52589</v>
      </c>
      <c r="H64" s="32">
        <v>52626</v>
      </c>
      <c r="I64" s="62">
        <v>353</v>
      </c>
      <c r="J64" s="76">
        <f t="shared" si="0"/>
        <v>173549</v>
      </c>
      <c r="K64" s="93">
        <v>313679</v>
      </c>
    </row>
    <row r="65" spans="1:11" ht="14.25" thickBot="1" x14ac:dyDescent="0.2">
      <c r="A65" s="33" t="s">
        <v>67</v>
      </c>
      <c r="B65" s="34">
        <v>1259870</v>
      </c>
      <c r="C65" s="34">
        <v>250000</v>
      </c>
      <c r="D65" s="63">
        <v>100000</v>
      </c>
      <c r="E65" s="77">
        <f t="shared" si="1"/>
        <v>1609870</v>
      </c>
      <c r="F65" s="47">
        <v>357019</v>
      </c>
      <c r="G65" s="47">
        <v>289435</v>
      </c>
      <c r="H65" s="34">
        <v>295324</v>
      </c>
      <c r="I65" s="63">
        <v>117247</v>
      </c>
      <c r="J65" s="77">
        <f t="shared" si="0"/>
        <v>1059025</v>
      </c>
      <c r="K65" s="94">
        <v>2668895</v>
      </c>
    </row>
    <row r="66" spans="1:11" x14ac:dyDescent="0.15">
      <c r="A66" s="28" t="s">
        <v>68</v>
      </c>
      <c r="B66" s="29">
        <v>214900</v>
      </c>
      <c r="C66" s="29">
        <v>36400</v>
      </c>
      <c r="D66" s="61">
        <v>720</v>
      </c>
      <c r="E66" s="75">
        <f t="shared" si="1"/>
        <v>252020</v>
      </c>
      <c r="F66" s="45">
        <v>13040</v>
      </c>
      <c r="G66" s="45">
        <v>7960</v>
      </c>
      <c r="H66" s="29">
        <v>8170</v>
      </c>
      <c r="I66" s="61">
        <v>1600</v>
      </c>
      <c r="J66" s="75">
        <f t="shared" si="0"/>
        <v>30770</v>
      </c>
      <c r="K66" s="92">
        <v>282790</v>
      </c>
    </row>
    <row r="67" spans="1:11" x14ac:dyDescent="0.15">
      <c r="A67" s="15" t="s">
        <v>69</v>
      </c>
      <c r="B67" s="11">
        <v>0</v>
      </c>
      <c r="C67" s="11">
        <v>0</v>
      </c>
      <c r="D67" s="59">
        <v>0</v>
      </c>
      <c r="E67" s="73">
        <f t="shared" si="1"/>
        <v>0</v>
      </c>
      <c r="F67" s="43">
        <v>0</v>
      </c>
      <c r="G67" s="43">
        <v>0</v>
      </c>
      <c r="H67" s="11">
        <v>0</v>
      </c>
      <c r="I67" s="59">
        <v>0</v>
      </c>
      <c r="J67" s="73">
        <f t="shared" si="0"/>
        <v>0</v>
      </c>
      <c r="K67" s="90">
        <v>0</v>
      </c>
    </row>
    <row r="68" spans="1:11" x14ac:dyDescent="0.15">
      <c r="A68" s="15" t="s">
        <v>70</v>
      </c>
      <c r="B68" s="11">
        <v>98500</v>
      </c>
      <c r="C68" s="11">
        <v>0</v>
      </c>
      <c r="D68" s="59">
        <v>0</v>
      </c>
      <c r="E68" s="73">
        <f t="shared" si="1"/>
        <v>98500</v>
      </c>
      <c r="F68" s="43">
        <v>23500</v>
      </c>
      <c r="G68" s="43">
        <v>1500</v>
      </c>
      <c r="H68" s="11">
        <v>15900</v>
      </c>
      <c r="I68" s="59">
        <v>2200</v>
      </c>
      <c r="J68" s="73">
        <f t="shared" si="0"/>
        <v>43100</v>
      </c>
      <c r="K68" s="90">
        <v>141600</v>
      </c>
    </row>
    <row r="69" spans="1:11" x14ac:dyDescent="0.15">
      <c r="A69" s="15" t="s">
        <v>71</v>
      </c>
      <c r="B69" s="11">
        <v>32000</v>
      </c>
      <c r="C69" s="11">
        <v>0</v>
      </c>
      <c r="D69" s="59">
        <v>0</v>
      </c>
      <c r="E69" s="73">
        <f t="shared" si="1"/>
        <v>32000</v>
      </c>
      <c r="F69" s="43">
        <v>0</v>
      </c>
      <c r="G69" s="43">
        <v>0</v>
      </c>
      <c r="H69" s="11">
        <v>0</v>
      </c>
      <c r="I69" s="59">
        <v>0</v>
      </c>
      <c r="J69" s="73">
        <f t="shared" si="0"/>
        <v>0</v>
      </c>
      <c r="K69" s="90">
        <v>32000</v>
      </c>
    </row>
    <row r="70" spans="1:11" x14ac:dyDescent="0.15">
      <c r="A70" s="15" t="s">
        <v>72</v>
      </c>
      <c r="B70" s="11">
        <v>0</v>
      </c>
      <c r="C70" s="11">
        <v>0</v>
      </c>
      <c r="D70" s="59">
        <v>0</v>
      </c>
      <c r="E70" s="73">
        <f t="shared" si="1"/>
        <v>0</v>
      </c>
      <c r="F70" s="43">
        <v>0</v>
      </c>
      <c r="G70" s="43">
        <v>0</v>
      </c>
      <c r="H70" s="11">
        <v>0</v>
      </c>
      <c r="I70" s="59">
        <v>0</v>
      </c>
      <c r="J70" s="73">
        <f t="shared" si="0"/>
        <v>0</v>
      </c>
      <c r="K70" s="90">
        <v>0</v>
      </c>
    </row>
    <row r="71" spans="1:11" x14ac:dyDescent="0.15">
      <c r="A71" s="15" t="s">
        <v>73</v>
      </c>
      <c r="B71" s="11">
        <v>0</v>
      </c>
      <c r="C71" s="11">
        <v>0</v>
      </c>
      <c r="D71" s="59">
        <v>0</v>
      </c>
      <c r="E71" s="73">
        <f t="shared" si="1"/>
        <v>0</v>
      </c>
      <c r="F71" s="43">
        <v>0</v>
      </c>
      <c r="G71" s="43">
        <v>0</v>
      </c>
      <c r="H71" s="11">
        <v>0</v>
      </c>
      <c r="I71" s="59">
        <v>0</v>
      </c>
      <c r="J71" s="73">
        <f t="shared" si="0"/>
        <v>0</v>
      </c>
      <c r="K71" s="90">
        <v>0</v>
      </c>
    </row>
    <row r="72" spans="1:11" x14ac:dyDescent="0.15">
      <c r="A72" s="15" t="s">
        <v>74</v>
      </c>
      <c r="B72" s="11">
        <v>0</v>
      </c>
      <c r="C72" s="11">
        <v>0</v>
      </c>
      <c r="D72" s="59">
        <v>0</v>
      </c>
      <c r="E72" s="73">
        <f t="shared" si="1"/>
        <v>0</v>
      </c>
      <c r="F72" s="43">
        <v>0</v>
      </c>
      <c r="G72" s="43">
        <v>0</v>
      </c>
      <c r="H72" s="11">
        <v>0</v>
      </c>
      <c r="I72" s="59">
        <v>0</v>
      </c>
      <c r="J72" s="73">
        <f t="shared" si="0"/>
        <v>0</v>
      </c>
      <c r="K72" s="90">
        <v>0</v>
      </c>
    </row>
    <row r="73" spans="1:11" ht="14.25" thickBot="1" x14ac:dyDescent="0.2">
      <c r="A73" s="31" t="s">
        <v>75</v>
      </c>
      <c r="B73" s="32">
        <v>345400</v>
      </c>
      <c r="C73" s="32">
        <v>36400</v>
      </c>
      <c r="D73" s="62">
        <v>720</v>
      </c>
      <c r="E73" s="76">
        <f t="shared" si="1"/>
        <v>382520</v>
      </c>
      <c r="F73" s="46">
        <v>36540</v>
      </c>
      <c r="G73" s="46">
        <v>9460</v>
      </c>
      <c r="H73" s="32">
        <v>24070</v>
      </c>
      <c r="I73" s="62">
        <v>3800</v>
      </c>
      <c r="J73" s="76">
        <f t="shared" si="0"/>
        <v>73870</v>
      </c>
      <c r="K73" s="93">
        <v>456390</v>
      </c>
    </row>
    <row r="74" spans="1:11" ht="14.25" thickBot="1" x14ac:dyDescent="0.2">
      <c r="A74" s="33" t="s">
        <v>76</v>
      </c>
      <c r="B74" s="34">
        <v>485530</v>
      </c>
      <c r="C74" s="34">
        <v>36400</v>
      </c>
      <c r="D74" s="63">
        <v>720</v>
      </c>
      <c r="E74" s="77">
        <f t="shared" si="1"/>
        <v>522650</v>
      </c>
      <c r="F74" s="47">
        <v>104521</v>
      </c>
      <c r="G74" s="47">
        <v>62049</v>
      </c>
      <c r="H74" s="34">
        <v>76696</v>
      </c>
      <c r="I74" s="63">
        <v>4153</v>
      </c>
      <c r="J74" s="77">
        <f t="shared" si="0"/>
        <v>247419</v>
      </c>
      <c r="K74" s="94">
        <v>770069</v>
      </c>
    </row>
    <row r="75" spans="1:11" ht="14.25" thickBot="1" x14ac:dyDescent="0.2">
      <c r="A75" s="33" t="s">
        <v>77</v>
      </c>
      <c r="B75" s="34">
        <v>914470</v>
      </c>
      <c r="C75" s="34">
        <v>213600</v>
      </c>
      <c r="D75" s="63">
        <v>99280</v>
      </c>
      <c r="E75" s="77">
        <f t="shared" si="1"/>
        <v>1227350</v>
      </c>
      <c r="F75" s="47">
        <v>335819</v>
      </c>
      <c r="G75" s="47">
        <v>297455</v>
      </c>
      <c r="H75" s="34">
        <v>295163</v>
      </c>
      <c r="I75" s="63">
        <v>113447</v>
      </c>
      <c r="J75" s="77">
        <f t="shared" si="0"/>
        <v>1041884</v>
      </c>
      <c r="K75" s="94">
        <v>2269234</v>
      </c>
    </row>
    <row r="76" spans="1:11" x14ac:dyDescent="0.15">
      <c r="A76" s="28" t="s">
        <v>78</v>
      </c>
      <c r="B76" s="29">
        <v>0</v>
      </c>
      <c r="C76" s="29">
        <v>0</v>
      </c>
      <c r="D76" s="61">
        <v>99280</v>
      </c>
      <c r="E76" s="75">
        <f t="shared" si="1"/>
        <v>99280</v>
      </c>
      <c r="F76" s="45">
        <v>0</v>
      </c>
      <c r="G76" s="45">
        <v>0</v>
      </c>
      <c r="H76" s="29">
        <v>0</v>
      </c>
      <c r="I76" s="61">
        <v>0</v>
      </c>
      <c r="J76" s="75">
        <f t="shared" si="0"/>
        <v>0</v>
      </c>
      <c r="K76" s="92">
        <v>99280</v>
      </c>
    </row>
    <row r="77" spans="1:11" x14ac:dyDescent="0.15">
      <c r="A77" s="15" t="s">
        <v>79</v>
      </c>
      <c r="B77" s="11">
        <v>914470</v>
      </c>
      <c r="C77" s="11">
        <v>213600</v>
      </c>
      <c r="D77" s="59">
        <v>0</v>
      </c>
      <c r="E77" s="73">
        <f t="shared" si="1"/>
        <v>1128070</v>
      </c>
      <c r="F77" s="43">
        <v>335819</v>
      </c>
      <c r="G77" s="43">
        <v>297455</v>
      </c>
      <c r="H77" s="11">
        <v>295163</v>
      </c>
      <c r="I77" s="59">
        <v>113447</v>
      </c>
      <c r="J77" s="73">
        <f t="shared" si="0"/>
        <v>1041884</v>
      </c>
      <c r="K77" s="90">
        <v>2169954</v>
      </c>
    </row>
    <row r="78" spans="1:11" x14ac:dyDescent="0.15">
      <c r="A78" s="15" t="s">
        <v>80</v>
      </c>
      <c r="B78" s="13"/>
      <c r="C78" s="13"/>
      <c r="D78" s="64"/>
      <c r="E78" s="79"/>
      <c r="F78" s="48">
        <v>33</v>
      </c>
      <c r="G78" s="48">
        <v>9</v>
      </c>
      <c r="H78" s="13">
        <v>13</v>
      </c>
      <c r="I78" s="64">
        <v>19</v>
      </c>
      <c r="J78" s="79"/>
      <c r="K78" s="95">
        <v>74</v>
      </c>
    </row>
    <row r="79" spans="1:11" x14ac:dyDescent="0.15">
      <c r="A79" s="15" t="s">
        <v>81</v>
      </c>
      <c r="B79" s="12">
        <v>1</v>
      </c>
      <c r="C79" s="12"/>
      <c r="D79" s="65"/>
      <c r="E79" s="78"/>
      <c r="F79" s="49"/>
      <c r="G79" s="49"/>
      <c r="H79" s="12"/>
      <c r="I79" s="65"/>
      <c r="J79" s="78"/>
      <c r="K79" s="96"/>
    </row>
    <row r="80" spans="1:11" ht="14.25" thickBot="1" x14ac:dyDescent="0.2">
      <c r="A80" s="16" t="s">
        <v>82</v>
      </c>
      <c r="B80" s="17" t="s">
        <v>83</v>
      </c>
      <c r="C80" s="17" t="s">
        <v>84</v>
      </c>
      <c r="D80" s="66" t="s">
        <v>83</v>
      </c>
      <c r="E80" s="80"/>
      <c r="F80" s="50" t="s">
        <v>83</v>
      </c>
      <c r="G80" s="50" t="s">
        <v>83</v>
      </c>
      <c r="H80" s="17" t="s">
        <v>83</v>
      </c>
      <c r="I80" s="66" t="s">
        <v>83</v>
      </c>
      <c r="J80" s="80"/>
      <c r="K80" s="97"/>
    </row>
  </sheetData>
  <phoneticPr fontId="1"/>
  <pageMargins left="0.43307086614173229" right="0.35433070866141736" top="0.51181102362204722" bottom="0.35433070866141736" header="0.19685039370078741" footer="0.27559055118110237"/>
  <pageSetup paperSize="12" scale="67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2020-04-13T05:57:08Z</cp:lastPrinted>
  <dcterms:created xsi:type="dcterms:W3CDTF">2011-10-11T01:59:58Z</dcterms:created>
  <dcterms:modified xsi:type="dcterms:W3CDTF">2020-04-14T01:11:28Z</dcterms:modified>
</cp:coreProperties>
</file>