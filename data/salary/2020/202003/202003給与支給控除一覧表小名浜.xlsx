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E4E1AE3F-B33A-42F9-B242-F8A6FB1C89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頁 (4)" sheetId="4" r:id="rId1"/>
    <sheet name="1頁 (5)" sheetId="5" r:id="rId2"/>
  </sheets>
  <definedNames>
    <definedName name="_xlnm.Print_Area" localSheetId="0">'1頁 (4)'!$A$1:$M$79</definedName>
    <definedName name="_xlnm.Print_Area" localSheetId="1">'1頁 (5)'!$A$1:$T$79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6" i="5" l="1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16" i="5"/>
  <c r="T15" i="5"/>
  <c r="T14" i="5"/>
  <c r="T12" i="5"/>
  <c r="T10" i="5"/>
  <c r="T8" i="5"/>
  <c r="T7" i="5"/>
  <c r="T6" i="5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14" i="4"/>
  <c r="L13" i="4"/>
  <c r="L10" i="4"/>
  <c r="L6" i="4"/>
</calcChain>
</file>

<file path=xl/sharedStrings.xml><?xml version="1.0" encoding="utf-8"?>
<sst xmlns="http://schemas.openxmlformats.org/spreadsheetml/2006/main" count="250" uniqueCount="113">
  <si>
    <t>２０20年3月分</t>
  </si>
  <si>
    <t>所　属</t>
  </si>
  <si>
    <t>小名浜営業所/事務</t>
  </si>
  <si>
    <t>小名浜営業所/整備</t>
  </si>
  <si>
    <t>小計</t>
    <rPh sb="0" eb="2">
      <t>ショウケイ</t>
    </rPh>
    <phoneticPr fontId="1"/>
  </si>
  <si>
    <t>全社計</t>
  </si>
  <si>
    <t>社　員</t>
  </si>
  <si>
    <t>小野　宏美</t>
  </si>
  <si>
    <t>金山　岳夫</t>
  </si>
  <si>
    <t>下山田　英治</t>
  </si>
  <si>
    <t>蛭田　孝子</t>
  </si>
  <si>
    <t>鈴木　紀子</t>
  </si>
  <si>
    <t>三澤　秀雄</t>
  </si>
  <si>
    <t>瀬野尾　勉</t>
  </si>
  <si>
    <t>鈴木　重夫</t>
  </si>
  <si>
    <t>渡辺　敏男</t>
  </si>
  <si>
    <t>佐原　三夫</t>
  </si>
  <si>
    <t>10名</t>
    <rPh sb="2" eb="3">
      <t>メイ</t>
    </rPh>
    <phoneticPr fontId="1"/>
  </si>
  <si>
    <t>28名</t>
  </si>
  <si>
    <t>出勤日数</t>
  </si>
  <si>
    <t>法定休日出勤</t>
  </si>
  <si>
    <t>社定特定休日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</si>
  <si>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</si>
  <si>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</si>
  <si>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</si>
  <si>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</si>
  <si>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</si>
  <si>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</si>
  <si>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</si>
  <si>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社定休日残業</t>
  </si>
  <si>
    <t>特定休日残業</t>
  </si>
  <si>
    <t>法定代休残業</t>
  </si>
  <si>
    <t>社定代休残業</t>
  </si>
  <si>
    <t>特定代休残業</t>
  </si>
  <si>
    <t>所定時間内残業</t>
  </si>
  <si>
    <t>遅早時間</t>
  </si>
  <si>
    <t>有給休暇時間</t>
  </si>
  <si>
    <t>深夜残業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</si>
  <si>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</si>
  <si>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</si>
  <si>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</si>
  <si>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</si>
  <si>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</si>
  <si>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</si>
  <si>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</si>
  <si>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</si>
  <si>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</si>
  <si>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</si>
  <si>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</si>
  <si>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</si>
  <si>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</si>
  <si>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</si>
  <si>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</si>
  <si>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</si>
  <si>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</si>
  <si>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</si>
  <si>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</si>
  <si>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</si>
  <si>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特定休日深夜</t>
  </si>
  <si>
    <t>法定代休有残業</t>
  </si>
  <si>
    <t>社定代休有残業</t>
  </si>
  <si>
    <t>特定代休有残業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</si>
  <si>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</si>
  <si>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</si>
  <si>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</si>
  <si>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</si>
  <si>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</si>
  <si>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</si>
  <si>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</si>
  <si>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</si>
  <si>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</si>
  <si>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</si>
  <si>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免除者</t>
  </si>
  <si>
    <t>非加入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</si>
  <si>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</si>
  <si>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</si>
  <si>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</si>
  <si>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</si>
  <si>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</si>
  <si>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</si>
  <si>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</si>
  <si>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</si>
  <si>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</si>
  <si>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</si>
  <si>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</si>
  <si>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</si>
  <si>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</si>
  <si>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</si>
  <si>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</si>
  <si>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</si>
  <si>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</si>
  <si>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</si>
  <si>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小名浜営業所</t>
  </si>
  <si>
    <t>小名浜営業所/ドライバー</t>
  </si>
  <si>
    <t>渡邊　浩司</t>
  </si>
  <si>
    <t>松本　誠治</t>
  </si>
  <si>
    <t>下山田　松男</t>
  </si>
  <si>
    <t>小林　啓一</t>
  </si>
  <si>
    <t>鈴木　富雄</t>
  </si>
  <si>
    <t>雲藤　順</t>
  </si>
  <si>
    <t>鈴木　浩明</t>
  </si>
  <si>
    <t>青田　正一</t>
  </si>
  <si>
    <t>小沼　康</t>
  </si>
  <si>
    <t>鵜沼　芳昭</t>
  </si>
  <si>
    <t>大平　正勝</t>
  </si>
  <si>
    <t>味戸　隆典</t>
  </si>
  <si>
    <t>荒木　正朋</t>
  </si>
  <si>
    <t>吉田　哲司</t>
  </si>
  <si>
    <t>神永　香織</t>
  </si>
  <si>
    <t>齋藤　秀行</t>
  </si>
  <si>
    <t>菊地　秀和</t>
  </si>
  <si>
    <t>若松　美宏</t>
  </si>
  <si>
    <t>18名</t>
    <rPh sb="2" eb="3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</si>
</sst>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7" fontId="2" fillId="0" borderId="21" xfId="0" applyNumberFormat="1" applyFont="1" applyFill="1" applyBorder="1">
      <alignment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6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7" fontId="2" fillId="0" borderId="39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97461-2703-4156-AABA-5849364D36E8}">
  <sheetPr>
    <pageSetUpPr fitToPage="1"/>
  </sheetPr>
  <dimension ref="A1:AM79"/>
  <sheetViews>
    <sheetView tabSelected="1" zoomScale="80" zoomScaleNormal="80" workbookViewId="0">
      <pane xSplit="1" ySplit="5" topLeftCell="B34" activePane="bottomRight" state="frozen"/>
      <selection pane="bottomRight" activeCell="A3" sqref="A3"/>
      <selection pane="bottomLeft" activeCell="A6" sqref="A6"/>
      <selection pane="topRight" activeCell="B1" sqref="B1"/>
    </sheetView>
  </sheetViews>
  <sheetFormatPr defaultColWidth="9" defaultRowHeight="13.5"/>
  <cols>
    <col min="1" max="1" width="17.5703125" style="2" customWidth="1"/>
    <col min="2" max="13" width="12.42578125" style="2" customWidth="1"/>
    <col min="14" max="20" width="10.42578125" style="2" customWidth="1"/>
    <col min="21" max="16384" width="9" style="2"/>
  </cols>
  <sheetData>
    <row r="1" spans="1:3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4.25" thickBot="1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18" t="s">
        <v>1</v>
      </c>
      <c r="B3" s="35" t="s">
        <v>2</v>
      </c>
      <c r="C3" s="19" t="s">
        <v>2</v>
      </c>
      <c r="D3" s="19" t="s">
        <v>3</v>
      </c>
      <c r="E3" s="19" t="s">
        <v>2</v>
      </c>
      <c r="F3" s="35" t="s">
        <v>2</v>
      </c>
      <c r="G3" s="35" t="s">
        <v>2</v>
      </c>
      <c r="H3" s="19" t="s">
        <v>2</v>
      </c>
      <c r="I3" s="19" t="s">
        <v>2</v>
      </c>
      <c r="J3" s="19" t="s">
        <v>2</v>
      </c>
      <c r="K3" s="52" t="s">
        <v>2</v>
      </c>
      <c r="L3" s="69" t="s">
        <v>4</v>
      </c>
      <c r="M3" s="86" t="s">
        <v>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>
      <c r="A4" s="20"/>
      <c r="B4" s="36">
        <v>1009</v>
      </c>
      <c r="C4" s="21">
        <v>1014</v>
      </c>
      <c r="D4" s="21">
        <v>1013</v>
      </c>
      <c r="E4" s="21">
        <v>1026</v>
      </c>
      <c r="F4" s="36">
        <v>1027</v>
      </c>
      <c r="G4" s="36">
        <v>1001</v>
      </c>
      <c r="H4" s="21">
        <v>1002</v>
      </c>
      <c r="I4" s="21">
        <v>1003</v>
      </c>
      <c r="J4" s="21">
        <v>1005</v>
      </c>
      <c r="K4" s="53">
        <v>1085</v>
      </c>
      <c r="L4" s="70"/>
      <c r="M4" s="8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4.25" thickBot="1">
      <c r="A5" s="20" t="s">
        <v>6</v>
      </c>
      <c r="B5" s="36" t="s">
        <v>7</v>
      </c>
      <c r="C5" s="21" t="s">
        <v>8</v>
      </c>
      <c r="D5" s="21" t="s">
        <v>9</v>
      </c>
      <c r="E5" s="21" t="s">
        <v>10</v>
      </c>
      <c r="F5" s="36" t="s">
        <v>11</v>
      </c>
      <c r="G5" s="36" t="s">
        <v>12</v>
      </c>
      <c r="H5" s="21" t="s">
        <v>13</v>
      </c>
      <c r="I5" s="21" t="s">
        <v>14</v>
      </c>
      <c r="J5" s="21" t="s">
        <v>15</v>
      </c>
      <c r="K5" s="53" t="s">
        <v>16</v>
      </c>
      <c r="L5" s="71" t="s">
        <v>17</v>
      </c>
      <c r="M5" s="88" t="s">
        <v>18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>
      <c r="A6" s="22" t="s">
        <v>19</v>
      </c>
      <c r="B6" s="37">
        <v>22</v>
      </c>
      <c r="C6" s="23">
        <v>23</v>
      </c>
      <c r="D6" s="23">
        <v>22</v>
      </c>
      <c r="E6" s="23">
        <v>13</v>
      </c>
      <c r="F6" s="37">
        <v>16</v>
      </c>
      <c r="G6" s="37">
        <v>21</v>
      </c>
      <c r="H6" s="23">
        <v>10</v>
      </c>
      <c r="I6" s="23">
        <v>11</v>
      </c>
      <c r="J6" s="23">
        <v>10</v>
      </c>
      <c r="K6" s="54">
        <v>5</v>
      </c>
      <c r="L6" s="72">
        <f>SUM(B6:K6)</f>
        <v>153</v>
      </c>
      <c r="M6" s="89">
        <v>528</v>
      </c>
      <c r="N6" s="3"/>
      <c r="O6" s="3"/>
      <c r="P6" s="3"/>
      <c r="Q6" s="3"/>
      <c r="R6" s="3"/>
      <c r="S6" s="3"/>
      <c r="T6" s="3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>
      <c r="A7" s="14" t="s">
        <v>20</v>
      </c>
      <c r="B7" s="38"/>
      <c r="C7" s="9"/>
      <c r="D7" s="9"/>
      <c r="E7" s="9"/>
      <c r="F7" s="38"/>
      <c r="G7" s="38"/>
      <c r="H7" s="9"/>
      <c r="I7" s="9"/>
      <c r="J7" s="9"/>
      <c r="K7" s="55"/>
      <c r="L7" s="74"/>
      <c r="M7" s="90">
        <v>23</v>
      </c>
      <c r="N7" s="4"/>
      <c r="O7" s="4"/>
      <c r="P7" s="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>
      <c r="A8" s="14" t="s">
        <v>21</v>
      </c>
      <c r="B8" s="38"/>
      <c r="C8" s="9"/>
      <c r="D8" s="9"/>
      <c r="E8" s="9"/>
      <c r="F8" s="38"/>
      <c r="G8" s="38"/>
      <c r="H8" s="9"/>
      <c r="I8" s="9"/>
      <c r="J8" s="9"/>
      <c r="K8" s="55"/>
      <c r="L8" s="74"/>
      <c r="M8" s="90">
        <v>35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>
      <c r="A9" s="14" t="s">
        <v>22</v>
      </c>
      <c r="B9" s="38"/>
      <c r="C9" s="9"/>
      <c r="D9" s="9"/>
      <c r="E9" s="9"/>
      <c r="F9" s="38"/>
      <c r="G9" s="38"/>
      <c r="H9" s="9"/>
      <c r="I9" s="9"/>
      <c r="J9" s="9"/>
      <c r="K9" s="55"/>
      <c r="L9" s="74"/>
      <c r="M9" s="9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>
      <c r="A10" s="14" t="s">
        <v>23</v>
      </c>
      <c r="B10" s="39">
        <v>1</v>
      </c>
      <c r="C10" s="9"/>
      <c r="D10" s="8">
        <v>1</v>
      </c>
      <c r="E10" s="8">
        <v>1</v>
      </c>
      <c r="F10" s="38"/>
      <c r="G10" s="38"/>
      <c r="H10" s="8">
        <v>1</v>
      </c>
      <c r="I10" s="9"/>
      <c r="J10" s="8">
        <v>1</v>
      </c>
      <c r="K10" s="55"/>
      <c r="L10" s="73">
        <f>SUM(B10:K10)</f>
        <v>5</v>
      </c>
      <c r="M10" s="90">
        <v>41</v>
      </c>
      <c r="N10" s="1"/>
      <c r="O10" s="3"/>
      <c r="P10" s="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>
      <c r="A11" s="14" t="s">
        <v>24</v>
      </c>
      <c r="B11" s="38"/>
      <c r="C11" s="9"/>
      <c r="D11" s="9"/>
      <c r="E11" s="9"/>
      <c r="F11" s="38"/>
      <c r="G11" s="38"/>
      <c r="H11" s="9"/>
      <c r="I11" s="9"/>
      <c r="J11" s="9"/>
      <c r="K11" s="55"/>
      <c r="L11" s="74"/>
      <c r="M11" s="9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>
      <c r="A12" s="14" t="s">
        <v>25</v>
      </c>
      <c r="B12" s="38"/>
      <c r="C12" s="9"/>
      <c r="D12" s="9"/>
      <c r="E12" s="9"/>
      <c r="F12" s="38"/>
      <c r="G12" s="38"/>
      <c r="H12" s="9"/>
      <c r="I12" s="9"/>
      <c r="J12" s="9"/>
      <c r="K12" s="55"/>
      <c r="L12" s="74"/>
      <c r="M12" s="90">
        <v>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>
      <c r="A13" s="14" t="s">
        <v>26</v>
      </c>
      <c r="B13" s="38"/>
      <c r="C13" s="9"/>
      <c r="D13" s="9"/>
      <c r="E13" s="10">
        <v>3.6666666666666665</v>
      </c>
      <c r="F13" s="40">
        <v>4.208333333333333</v>
      </c>
      <c r="G13" s="40">
        <v>3.0833333333333335</v>
      </c>
      <c r="H13" s="10">
        <v>2.9583333333333335</v>
      </c>
      <c r="I13" s="10">
        <v>3.25</v>
      </c>
      <c r="J13" s="10">
        <v>2.9166666666666665</v>
      </c>
      <c r="K13" s="56">
        <v>1.6666666666666667</v>
      </c>
      <c r="L13" s="75">
        <f>SUM(B13:K13)</f>
        <v>21.750000000000004</v>
      </c>
      <c r="M13" s="92">
        <v>21.75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>
      <c r="A14" s="14" t="s">
        <v>27</v>
      </c>
      <c r="B14" s="38"/>
      <c r="C14" s="9"/>
      <c r="D14" s="9"/>
      <c r="E14" s="9"/>
      <c r="F14" s="38"/>
      <c r="G14" s="38"/>
      <c r="H14" s="9"/>
      <c r="I14" s="9"/>
      <c r="J14" s="9"/>
      <c r="K14" s="56">
        <v>0.125</v>
      </c>
      <c r="L14" s="75">
        <f>SUM(B14:K14)</f>
        <v>0.125</v>
      </c>
      <c r="M14" s="92">
        <v>39.166666666666664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>
      <c r="A15" s="14" t="s">
        <v>28</v>
      </c>
      <c r="B15" s="38"/>
      <c r="C15" s="9"/>
      <c r="D15" s="9"/>
      <c r="E15" s="9"/>
      <c r="F15" s="38"/>
      <c r="G15" s="38"/>
      <c r="H15" s="9"/>
      <c r="I15" s="9"/>
      <c r="J15" s="9"/>
      <c r="K15" s="55"/>
      <c r="L15" s="74"/>
      <c r="M15" s="92">
        <v>7.875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>
      <c r="A16" s="14" t="s">
        <v>29</v>
      </c>
      <c r="B16" s="38"/>
      <c r="C16" s="9"/>
      <c r="D16" s="9"/>
      <c r="E16" s="9"/>
      <c r="F16" s="38"/>
      <c r="G16" s="38"/>
      <c r="H16" s="9"/>
      <c r="I16" s="9"/>
      <c r="J16" s="9"/>
      <c r="K16" s="55"/>
      <c r="L16" s="74"/>
      <c r="M16" s="92">
        <v>13.416666666666666</v>
      </c>
      <c r="N16" s="5"/>
      <c r="O16" s="5"/>
      <c r="P16" s="5"/>
      <c r="Q16" s="5"/>
      <c r="R16" s="5"/>
      <c r="S16" s="5"/>
      <c r="T16" s="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>
      <c r="A17" s="14" t="s">
        <v>30</v>
      </c>
      <c r="B17" s="38"/>
      <c r="C17" s="9"/>
      <c r="D17" s="9"/>
      <c r="E17" s="9"/>
      <c r="F17" s="38"/>
      <c r="G17" s="38"/>
      <c r="H17" s="9"/>
      <c r="I17" s="9"/>
      <c r="J17" s="9"/>
      <c r="K17" s="55"/>
      <c r="L17" s="74"/>
      <c r="M17" s="91"/>
      <c r="N17" s="5"/>
      <c r="O17" s="5"/>
      <c r="P17" s="5"/>
      <c r="Q17" s="5"/>
      <c r="R17" s="5"/>
      <c r="S17" s="5"/>
      <c r="T17" s="5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>
      <c r="A18" s="14" t="s">
        <v>31</v>
      </c>
      <c r="B18" s="38"/>
      <c r="C18" s="9"/>
      <c r="D18" s="9"/>
      <c r="E18" s="9"/>
      <c r="F18" s="38"/>
      <c r="G18" s="38"/>
      <c r="H18" s="9"/>
      <c r="I18" s="9"/>
      <c r="J18" s="9"/>
      <c r="K18" s="55"/>
      <c r="L18" s="74"/>
      <c r="M18" s="91"/>
      <c r="N18" s="5"/>
      <c r="O18" s="5"/>
      <c r="P18" s="5"/>
      <c r="Q18" s="5"/>
      <c r="R18" s="5"/>
      <c r="S18" s="5"/>
      <c r="T18" s="5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>
      <c r="A19" s="14" t="s">
        <v>32</v>
      </c>
      <c r="B19" s="38"/>
      <c r="C19" s="9"/>
      <c r="D19" s="9"/>
      <c r="E19" s="9"/>
      <c r="F19" s="38"/>
      <c r="G19" s="38"/>
      <c r="H19" s="9"/>
      <c r="I19" s="9"/>
      <c r="J19" s="9"/>
      <c r="K19" s="55"/>
      <c r="L19" s="74"/>
      <c r="M19" s="91"/>
      <c r="N19" s="5"/>
      <c r="O19" s="5"/>
      <c r="P19" s="5"/>
      <c r="Q19" s="5"/>
      <c r="R19" s="5"/>
      <c r="S19" s="5"/>
      <c r="T19" s="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>
      <c r="A20" s="14" t="s">
        <v>33</v>
      </c>
      <c r="B20" s="38"/>
      <c r="C20" s="9"/>
      <c r="D20" s="9"/>
      <c r="E20" s="9"/>
      <c r="F20" s="38"/>
      <c r="G20" s="38"/>
      <c r="H20" s="9"/>
      <c r="I20" s="9"/>
      <c r="J20" s="9"/>
      <c r="K20" s="55"/>
      <c r="L20" s="74"/>
      <c r="M20" s="91"/>
      <c r="N20" s="5"/>
      <c r="O20" s="5"/>
      <c r="P20" s="5"/>
      <c r="Q20" s="5"/>
      <c r="R20" s="5"/>
      <c r="S20" s="5"/>
      <c r="T20" s="5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>
      <c r="A21" s="14" t="s">
        <v>34</v>
      </c>
      <c r="B21" s="38"/>
      <c r="C21" s="9"/>
      <c r="D21" s="9"/>
      <c r="E21" s="9"/>
      <c r="F21" s="38"/>
      <c r="G21" s="38"/>
      <c r="H21" s="9"/>
      <c r="I21" s="9"/>
      <c r="J21" s="9"/>
      <c r="K21" s="55"/>
      <c r="L21" s="74"/>
      <c r="M21" s="91"/>
      <c r="N21" s="5"/>
      <c r="O21" s="5"/>
      <c r="P21" s="5"/>
      <c r="Q21" s="5"/>
      <c r="R21" s="5"/>
      <c r="S21" s="5"/>
      <c r="T21" s="5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4" t="s">
        <v>35</v>
      </c>
      <c r="B22" s="38"/>
      <c r="C22" s="9"/>
      <c r="D22" s="9"/>
      <c r="E22" s="9"/>
      <c r="F22" s="38"/>
      <c r="G22" s="38"/>
      <c r="H22" s="9"/>
      <c r="I22" s="9"/>
      <c r="J22" s="9"/>
      <c r="K22" s="55"/>
      <c r="L22" s="74"/>
      <c r="M22" s="91"/>
      <c r="N22" s="5"/>
      <c r="O22" s="5"/>
      <c r="P22" s="5"/>
      <c r="Q22" s="5"/>
      <c r="R22" s="5"/>
      <c r="S22" s="5"/>
      <c r="T22" s="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4" t="s">
        <v>36</v>
      </c>
      <c r="B23" s="38"/>
      <c r="C23" s="9"/>
      <c r="D23" s="9"/>
      <c r="E23" s="10">
        <v>0.29166666666666669</v>
      </c>
      <c r="F23" s="38"/>
      <c r="G23" s="38"/>
      <c r="H23" s="10">
        <v>0.29166666666666669</v>
      </c>
      <c r="I23" s="9"/>
      <c r="J23" s="10">
        <v>0.29166666666666669</v>
      </c>
      <c r="K23" s="55"/>
      <c r="L23" s="75">
        <f>SUM(B23:K23)</f>
        <v>0.875</v>
      </c>
      <c r="M23" s="92">
        <v>0.875</v>
      </c>
      <c r="N23" s="5"/>
      <c r="O23" s="5"/>
      <c r="P23" s="5"/>
      <c r="Q23" s="5"/>
      <c r="R23" s="5"/>
      <c r="S23" s="5"/>
      <c r="T23" s="5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14.25" thickBot="1">
      <c r="A24" s="24" t="s">
        <v>37</v>
      </c>
      <c r="B24" s="41"/>
      <c r="C24" s="26"/>
      <c r="D24" s="26"/>
      <c r="E24" s="26"/>
      <c r="F24" s="41"/>
      <c r="G24" s="41"/>
      <c r="H24" s="25">
        <v>2.0833333333333335</v>
      </c>
      <c r="I24" s="25">
        <v>2.2916666666666665</v>
      </c>
      <c r="J24" s="25">
        <v>2.0833333333333335</v>
      </c>
      <c r="K24" s="57"/>
      <c r="L24" s="103">
        <f>SUM(B24:K24)</f>
        <v>6.4583333333333339</v>
      </c>
      <c r="M24" s="93">
        <v>17.375</v>
      </c>
      <c r="N24" s="5"/>
      <c r="O24" s="5"/>
      <c r="P24" s="5"/>
      <c r="Q24" s="5"/>
      <c r="R24" s="5"/>
      <c r="S24" s="5"/>
      <c r="T24" s="5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22" t="s">
        <v>38</v>
      </c>
      <c r="B25" s="42">
        <v>500000</v>
      </c>
      <c r="C25" s="27">
        <v>365000</v>
      </c>
      <c r="D25" s="27">
        <v>355000</v>
      </c>
      <c r="E25" s="27">
        <v>0</v>
      </c>
      <c r="F25" s="42">
        <v>0</v>
      </c>
      <c r="G25" s="42">
        <v>0</v>
      </c>
      <c r="H25" s="27">
        <v>0</v>
      </c>
      <c r="I25" s="27">
        <v>0</v>
      </c>
      <c r="J25" s="27">
        <v>0</v>
      </c>
      <c r="K25" s="58">
        <v>0</v>
      </c>
      <c r="L25" s="77">
        <f>SUM(B25:K25)</f>
        <v>1220000</v>
      </c>
      <c r="M25" s="94">
        <v>4419000</v>
      </c>
      <c r="N25" s="5"/>
      <c r="O25" s="5"/>
      <c r="P25" s="5"/>
      <c r="Q25" s="5"/>
      <c r="R25" s="5"/>
      <c r="S25" s="5"/>
      <c r="T25" s="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4" t="s">
        <v>39</v>
      </c>
      <c r="B26" s="38">
        <v>0</v>
      </c>
      <c r="C26" s="9">
        <v>0</v>
      </c>
      <c r="D26" s="9">
        <v>0</v>
      </c>
      <c r="E26" s="9">
        <v>0</v>
      </c>
      <c r="F26" s="38">
        <v>0</v>
      </c>
      <c r="G26" s="38">
        <v>0</v>
      </c>
      <c r="H26" s="9">
        <v>0</v>
      </c>
      <c r="I26" s="9">
        <v>0</v>
      </c>
      <c r="J26" s="9">
        <v>0</v>
      </c>
      <c r="K26" s="55">
        <v>0</v>
      </c>
      <c r="L26" s="74">
        <f t="shared" ref="L26:L78" si="0">SUM(B26:K26)</f>
        <v>0</v>
      </c>
      <c r="M26" s="91">
        <v>55000</v>
      </c>
      <c r="N26" s="5"/>
      <c r="O26" s="5"/>
      <c r="P26" s="5"/>
      <c r="Q26" s="5"/>
      <c r="R26" s="5"/>
      <c r="S26" s="5"/>
      <c r="T26" s="5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4" t="s">
        <v>40</v>
      </c>
      <c r="B27" s="38">
        <v>0</v>
      </c>
      <c r="C27" s="9">
        <v>0</v>
      </c>
      <c r="D27" s="9">
        <v>0</v>
      </c>
      <c r="E27" s="9">
        <v>0</v>
      </c>
      <c r="F27" s="38">
        <v>0</v>
      </c>
      <c r="G27" s="38">
        <v>0</v>
      </c>
      <c r="H27" s="9">
        <v>0</v>
      </c>
      <c r="I27" s="9">
        <v>0</v>
      </c>
      <c r="J27" s="9">
        <v>0</v>
      </c>
      <c r="K27" s="55">
        <v>0</v>
      </c>
      <c r="L27" s="74">
        <f t="shared" si="0"/>
        <v>0</v>
      </c>
      <c r="M27" s="91">
        <v>3000</v>
      </c>
      <c r="N27" s="5"/>
      <c r="O27" s="5"/>
      <c r="P27" s="5"/>
      <c r="Q27" s="5"/>
      <c r="R27" s="5"/>
      <c r="S27" s="5"/>
      <c r="T27" s="5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4" t="s">
        <v>41</v>
      </c>
      <c r="B28" s="38">
        <v>0</v>
      </c>
      <c r="C28" s="9">
        <v>0</v>
      </c>
      <c r="D28" s="9">
        <v>0</v>
      </c>
      <c r="E28" s="9">
        <v>0</v>
      </c>
      <c r="F28" s="38">
        <v>0</v>
      </c>
      <c r="G28" s="38">
        <v>0</v>
      </c>
      <c r="H28" s="9">
        <v>0</v>
      </c>
      <c r="I28" s="9">
        <v>0</v>
      </c>
      <c r="J28" s="9">
        <v>0</v>
      </c>
      <c r="K28" s="55">
        <v>0</v>
      </c>
      <c r="L28" s="74">
        <f t="shared" si="0"/>
        <v>0</v>
      </c>
      <c r="M28" s="91">
        <v>0</v>
      </c>
      <c r="N28" s="5"/>
      <c r="O28" s="5"/>
      <c r="P28" s="5"/>
      <c r="Q28" s="5"/>
      <c r="R28" s="5"/>
      <c r="S28" s="5"/>
      <c r="T28" s="5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4" t="s">
        <v>42</v>
      </c>
      <c r="B29" s="38">
        <v>0</v>
      </c>
      <c r="C29" s="9">
        <v>0</v>
      </c>
      <c r="D29" s="9">
        <v>0</v>
      </c>
      <c r="E29" s="9">
        <v>0</v>
      </c>
      <c r="F29" s="38">
        <v>0</v>
      </c>
      <c r="G29" s="38">
        <v>0</v>
      </c>
      <c r="H29" s="9">
        <v>0</v>
      </c>
      <c r="I29" s="9">
        <v>0</v>
      </c>
      <c r="J29" s="9">
        <v>0</v>
      </c>
      <c r="K29" s="55">
        <v>0</v>
      </c>
      <c r="L29" s="74">
        <f t="shared" si="0"/>
        <v>0</v>
      </c>
      <c r="M29" s="91">
        <v>0</v>
      </c>
      <c r="N29" s="5"/>
      <c r="O29" s="5"/>
      <c r="P29" s="5"/>
      <c r="Q29" s="5"/>
      <c r="R29" s="5"/>
      <c r="S29" s="5"/>
      <c r="T29" s="5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4" t="s">
        <v>43</v>
      </c>
      <c r="B30" s="38">
        <v>0</v>
      </c>
      <c r="C30" s="9">
        <v>0</v>
      </c>
      <c r="D30" s="9">
        <v>0</v>
      </c>
      <c r="E30" s="9">
        <v>0</v>
      </c>
      <c r="F30" s="38">
        <v>0</v>
      </c>
      <c r="G30" s="38">
        <v>0</v>
      </c>
      <c r="H30" s="9">
        <v>0</v>
      </c>
      <c r="I30" s="9">
        <v>0</v>
      </c>
      <c r="J30" s="9">
        <v>0</v>
      </c>
      <c r="K30" s="55">
        <v>0</v>
      </c>
      <c r="L30" s="74">
        <f t="shared" si="0"/>
        <v>0</v>
      </c>
      <c r="M30" s="91">
        <v>0</v>
      </c>
      <c r="N30" s="5"/>
      <c r="O30" s="5"/>
      <c r="P30" s="5"/>
      <c r="Q30" s="5"/>
      <c r="R30" s="5"/>
      <c r="S30" s="5"/>
      <c r="T30" s="5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4" t="s">
        <v>44</v>
      </c>
      <c r="B31" s="38">
        <v>0</v>
      </c>
      <c r="C31" s="9">
        <v>0</v>
      </c>
      <c r="D31" s="9">
        <v>0</v>
      </c>
      <c r="E31" s="9">
        <v>0</v>
      </c>
      <c r="F31" s="38">
        <v>0</v>
      </c>
      <c r="G31" s="38">
        <v>0</v>
      </c>
      <c r="H31" s="9">
        <v>0</v>
      </c>
      <c r="I31" s="9">
        <v>0</v>
      </c>
      <c r="J31" s="9">
        <v>0</v>
      </c>
      <c r="K31" s="55">
        <v>0</v>
      </c>
      <c r="L31" s="74">
        <f t="shared" si="0"/>
        <v>0</v>
      </c>
      <c r="M31" s="91">
        <v>0</v>
      </c>
      <c r="N31" s="5"/>
      <c r="O31" s="5"/>
      <c r="P31" s="5"/>
      <c r="Q31" s="5"/>
      <c r="R31" s="5"/>
      <c r="S31" s="5"/>
      <c r="T31" s="5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4" t="s">
        <v>45</v>
      </c>
      <c r="B32" s="38">
        <v>0</v>
      </c>
      <c r="C32" s="9">
        <v>0</v>
      </c>
      <c r="D32" s="9">
        <v>0</v>
      </c>
      <c r="E32" s="9">
        <v>0</v>
      </c>
      <c r="F32" s="38">
        <v>0</v>
      </c>
      <c r="G32" s="38">
        <v>0</v>
      </c>
      <c r="H32" s="9">
        <v>0</v>
      </c>
      <c r="I32" s="9">
        <v>0</v>
      </c>
      <c r="J32" s="9">
        <v>0</v>
      </c>
      <c r="K32" s="55">
        <v>0</v>
      </c>
      <c r="L32" s="74">
        <f t="shared" si="0"/>
        <v>0</v>
      </c>
      <c r="M32" s="91">
        <v>0</v>
      </c>
      <c r="N32" s="5"/>
      <c r="O32" s="5"/>
      <c r="P32" s="5"/>
      <c r="Q32" s="5"/>
      <c r="R32" s="5"/>
      <c r="S32" s="5"/>
      <c r="T32" s="5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4" t="s">
        <v>46</v>
      </c>
      <c r="B33" s="38">
        <v>0</v>
      </c>
      <c r="C33" s="9">
        <v>0</v>
      </c>
      <c r="D33" s="9">
        <v>0</v>
      </c>
      <c r="E33" s="9">
        <v>76560</v>
      </c>
      <c r="F33" s="38">
        <v>87870</v>
      </c>
      <c r="G33" s="38">
        <v>62160</v>
      </c>
      <c r="H33" s="9">
        <v>59640</v>
      </c>
      <c r="I33" s="9">
        <v>65520</v>
      </c>
      <c r="J33" s="9">
        <v>58800</v>
      </c>
      <c r="K33" s="55">
        <v>33200</v>
      </c>
      <c r="L33" s="74">
        <f t="shared" si="0"/>
        <v>443750</v>
      </c>
      <c r="M33" s="91">
        <v>443750</v>
      </c>
      <c r="N33" s="5"/>
      <c r="O33" s="5"/>
      <c r="P33" s="5"/>
      <c r="Q33" s="5"/>
      <c r="R33" s="5"/>
      <c r="S33" s="5"/>
      <c r="T33" s="5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4" t="s">
        <v>47</v>
      </c>
      <c r="B34" s="38">
        <v>0</v>
      </c>
      <c r="C34" s="9">
        <v>0</v>
      </c>
      <c r="D34" s="9">
        <v>0</v>
      </c>
      <c r="E34" s="9">
        <v>0</v>
      </c>
      <c r="F34" s="38">
        <v>0</v>
      </c>
      <c r="G34" s="38">
        <v>0</v>
      </c>
      <c r="H34" s="9">
        <v>0</v>
      </c>
      <c r="I34" s="9">
        <v>0</v>
      </c>
      <c r="J34" s="9">
        <v>0</v>
      </c>
      <c r="K34" s="55">
        <v>0</v>
      </c>
      <c r="L34" s="74">
        <f t="shared" si="0"/>
        <v>0</v>
      </c>
      <c r="M34" s="91">
        <v>0</v>
      </c>
      <c r="N34" s="5"/>
      <c r="O34" s="5"/>
      <c r="P34" s="5"/>
      <c r="Q34" s="5"/>
      <c r="R34" s="5"/>
      <c r="S34" s="5"/>
      <c r="T34" s="5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>
      <c r="A35" s="14" t="s">
        <v>48</v>
      </c>
      <c r="B35" s="38">
        <v>0</v>
      </c>
      <c r="C35" s="9">
        <v>0</v>
      </c>
      <c r="D35" s="9">
        <v>0</v>
      </c>
      <c r="E35" s="9">
        <v>0</v>
      </c>
      <c r="F35" s="38">
        <v>0</v>
      </c>
      <c r="G35" s="38">
        <v>0</v>
      </c>
      <c r="H35" s="9">
        <v>0</v>
      </c>
      <c r="I35" s="9">
        <v>0</v>
      </c>
      <c r="J35" s="9">
        <v>0</v>
      </c>
      <c r="K35" s="55">
        <v>0</v>
      </c>
      <c r="L35" s="74">
        <f t="shared" si="0"/>
        <v>0</v>
      </c>
      <c r="M35" s="91">
        <v>0</v>
      </c>
      <c r="N35" s="5"/>
      <c r="O35" s="5"/>
      <c r="P35" s="5"/>
      <c r="Q35" s="5"/>
      <c r="R35" s="5"/>
      <c r="S35" s="5"/>
      <c r="T35" s="5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>
      <c r="A36" s="14" t="s">
        <v>49</v>
      </c>
      <c r="B36" s="38">
        <v>0</v>
      </c>
      <c r="C36" s="9">
        <v>0</v>
      </c>
      <c r="D36" s="9">
        <v>0</v>
      </c>
      <c r="E36" s="9">
        <v>6090</v>
      </c>
      <c r="F36" s="38">
        <v>0</v>
      </c>
      <c r="G36" s="38">
        <v>0</v>
      </c>
      <c r="H36" s="9">
        <v>5880</v>
      </c>
      <c r="I36" s="9">
        <v>0</v>
      </c>
      <c r="J36" s="9">
        <v>5880</v>
      </c>
      <c r="K36" s="55">
        <v>0</v>
      </c>
      <c r="L36" s="74">
        <f t="shared" si="0"/>
        <v>17850</v>
      </c>
      <c r="M36" s="91">
        <v>17850</v>
      </c>
      <c r="N36" s="5"/>
      <c r="O36" s="5"/>
      <c r="P36" s="5"/>
      <c r="Q36" s="5"/>
      <c r="R36" s="5"/>
      <c r="S36" s="5"/>
      <c r="T36" s="5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>
      <c r="A37" s="14" t="s">
        <v>50</v>
      </c>
      <c r="B37" s="38">
        <v>0</v>
      </c>
      <c r="C37" s="9">
        <v>0</v>
      </c>
      <c r="D37" s="9">
        <v>0</v>
      </c>
      <c r="E37" s="9">
        <v>0</v>
      </c>
      <c r="F37" s="38">
        <v>0</v>
      </c>
      <c r="G37" s="38">
        <v>0</v>
      </c>
      <c r="H37" s="9">
        <v>0</v>
      </c>
      <c r="I37" s="9">
        <v>0</v>
      </c>
      <c r="J37" s="9">
        <v>0</v>
      </c>
      <c r="K37" s="55">
        <v>0</v>
      </c>
      <c r="L37" s="74">
        <f t="shared" si="0"/>
        <v>0</v>
      </c>
      <c r="M37" s="91">
        <v>0</v>
      </c>
      <c r="N37" s="5"/>
      <c r="O37" s="5"/>
      <c r="P37" s="5"/>
      <c r="Q37" s="5"/>
      <c r="R37" s="5"/>
      <c r="S37" s="5"/>
      <c r="T37" s="5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>
      <c r="A38" s="14" t="s">
        <v>51</v>
      </c>
      <c r="B38" s="38">
        <v>0</v>
      </c>
      <c r="C38" s="9">
        <v>0</v>
      </c>
      <c r="D38" s="9">
        <v>0</v>
      </c>
      <c r="E38" s="9">
        <v>0</v>
      </c>
      <c r="F38" s="38">
        <v>0</v>
      </c>
      <c r="G38" s="38">
        <v>0</v>
      </c>
      <c r="H38" s="9">
        <v>0</v>
      </c>
      <c r="I38" s="9">
        <v>0</v>
      </c>
      <c r="J38" s="9">
        <v>0</v>
      </c>
      <c r="K38" s="55">
        <v>0</v>
      </c>
      <c r="L38" s="74">
        <f t="shared" si="0"/>
        <v>0</v>
      </c>
      <c r="M38" s="91">
        <v>0</v>
      </c>
      <c r="N38" s="5"/>
      <c r="O38" s="5"/>
      <c r="P38" s="5"/>
      <c r="Q38" s="5"/>
      <c r="R38" s="5"/>
      <c r="S38" s="5"/>
      <c r="T38" s="5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>
      <c r="A39" s="14" t="s">
        <v>52</v>
      </c>
      <c r="B39" s="38">
        <v>0</v>
      </c>
      <c r="C39" s="9">
        <v>0</v>
      </c>
      <c r="D39" s="9">
        <v>0</v>
      </c>
      <c r="E39" s="9">
        <v>0</v>
      </c>
      <c r="F39" s="38">
        <v>0</v>
      </c>
      <c r="G39" s="38">
        <v>0</v>
      </c>
      <c r="H39" s="9">
        <v>0</v>
      </c>
      <c r="I39" s="9">
        <v>0</v>
      </c>
      <c r="J39" s="9">
        <v>0</v>
      </c>
      <c r="K39" s="55">
        <v>0</v>
      </c>
      <c r="L39" s="74">
        <f t="shared" si="0"/>
        <v>0</v>
      </c>
      <c r="M39" s="91">
        <v>222481</v>
      </c>
      <c r="N39" s="5"/>
      <c r="O39" s="5"/>
      <c r="P39" s="5"/>
      <c r="Q39" s="5"/>
      <c r="R39" s="5"/>
      <c r="S39" s="5"/>
      <c r="T39" s="5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>
      <c r="A40" s="14" t="s">
        <v>53</v>
      </c>
      <c r="B40" s="38">
        <v>0</v>
      </c>
      <c r="C40" s="9">
        <v>0</v>
      </c>
      <c r="D40" s="9">
        <v>0</v>
      </c>
      <c r="E40" s="9">
        <v>0</v>
      </c>
      <c r="F40" s="38">
        <v>0</v>
      </c>
      <c r="G40" s="38">
        <v>0</v>
      </c>
      <c r="H40" s="9">
        <v>0</v>
      </c>
      <c r="I40" s="9">
        <v>0</v>
      </c>
      <c r="J40" s="9">
        <v>0</v>
      </c>
      <c r="K40" s="55">
        <v>0</v>
      </c>
      <c r="L40" s="74">
        <f t="shared" si="0"/>
        <v>0</v>
      </c>
      <c r="M40" s="91">
        <v>0</v>
      </c>
      <c r="N40" s="5"/>
      <c r="O40" s="5"/>
      <c r="P40" s="5"/>
      <c r="Q40" s="5"/>
      <c r="R40" s="5"/>
      <c r="S40" s="5"/>
      <c r="T40" s="5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>
      <c r="A41" s="14" t="s">
        <v>54</v>
      </c>
      <c r="B41" s="38">
        <v>0</v>
      </c>
      <c r="C41" s="9">
        <v>0</v>
      </c>
      <c r="D41" s="9">
        <v>0</v>
      </c>
      <c r="E41" s="9">
        <v>0</v>
      </c>
      <c r="F41" s="38">
        <v>0</v>
      </c>
      <c r="G41" s="38">
        <v>0</v>
      </c>
      <c r="H41" s="9">
        <v>0</v>
      </c>
      <c r="I41" s="9">
        <v>0</v>
      </c>
      <c r="J41" s="9">
        <v>0</v>
      </c>
      <c r="K41" s="55">
        <v>0</v>
      </c>
      <c r="L41" s="74">
        <f t="shared" si="0"/>
        <v>0</v>
      </c>
      <c r="M41" s="91">
        <v>0</v>
      </c>
      <c r="N41" s="5"/>
      <c r="O41" s="5"/>
      <c r="P41" s="5"/>
      <c r="Q41" s="5"/>
      <c r="R41" s="5"/>
      <c r="S41" s="5"/>
      <c r="T41" s="5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>
      <c r="A42" s="14" t="s">
        <v>55</v>
      </c>
      <c r="B42" s="38">
        <v>0</v>
      </c>
      <c r="C42" s="9">
        <v>0</v>
      </c>
      <c r="D42" s="9">
        <v>0</v>
      </c>
      <c r="E42" s="9">
        <v>0</v>
      </c>
      <c r="F42" s="38">
        <v>0</v>
      </c>
      <c r="G42" s="38">
        <v>0</v>
      </c>
      <c r="H42" s="9">
        <v>0</v>
      </c>
      <c r="I42" s="9">
        <v>0</v>
      </c>
      <c r="J42" s="9">
        <v>0</v>
      </c>
      <c r="K42" s="55">
        <v>0</v>
      </c>
      <c r="L42" s="74">
        <f t="shared" si="0"/>
        <v>0</v>
      </c>
      <c r="M42" s="91">
        <v>0</v>
      </c>
      <c r="N42" s="5"/>
      <c r="O42" s="5"/>
      <c r="P42" s="5"/>
      <c r="Q42" s="5"/>
      <c r="R42" s="5"/>
      <c r="S42" s="5"/>
      <c r="T42" s="5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>
      <c r="A43" s="14" t="s">
        <v>56</v>
      </c>
      <c r="B43" s="38">
        <v>0</v>
      </c>
      <c r="C43" s="9">
        <v>0</v>
      </c>
      <c r="D43" s="9">
        <v>0</v>
      </c>
      <c r="E43" s="9">
        <v>0</v>
      </c>
      <c r="F43" s="38">
        <v>0</v>
      </c>
      <c r="G43" s="38">
        <v>0</v>
      </c>
      <c r="H43" s="9">
        <v>0</v>
      </c>
      <c r="I43" s="9">
        <v>0</v>
      </c>
      <c r="J43" s="9">
        <v>0</v>
      </c>
      <c r="K43" s="55">
        <v>0</v>
      </c>
      <c r="L43" s="74">
        <f t="shared" si="0"/>
        <v>0</v>
      </c>
      <c r="M43" s="91">
        <v>-33712</v>
      </c>
      <c r="N43" s="5"/>
      <c r="O43" s="5"/>
      <c r="P43" s="5"/>
      <c r="Q43" s="5"/>
      <c r="R43" s="5"/>
      <c r="S43" s="5"/>
      <c r="T43" s="5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>
      <c r="A44" s="14" t="s">
        <v>57</v>
      </c>
      <c r="B44" s="38">
        <v>0</v>
      </c>
      <c r="C44" s="9">
        <v>0</v>
      </c>
      <c r="D44" s="9">
        <v>0</v>
      </c>
      <c r="E44" s="9">
        <v>0</v>
      </c>
      <c r="F44" s="38">
        <v>0</v>
      </c>
      <c r="G44" s="38">
        <v>0</v>
      </c>
      <c r="H44" s="9">
        <v>0</v>
      </c>
      <c r="I44" s="9">
        <v>0</v>
      </c>
      <c r="J44" s="9">
        <v>0</v>
      </c>
      <c r="K44" s="55">
        <v>0</v>
      </c>
      <c r="L44" s="74">
        <f t="shared" si="0"/>
        <v>0</v>
      </c>
      <c r="M44" s="91">
        <v>0</v>
      </c>
      <c r="N44" s="5"/>
      <c r="O44" s="5"/>
      <c r="P44" s="5"/>
      <c r="Q44" s="5"/>
      <c r="R44" s="5"/>
      <c r="S44" s="5"/>
      <c r="T44" s="5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>
      <c r="A45" s="14" t="s">
        <v>27</v>
      </c>
      <c r="B45" s="38">
        <v>0</v>
      </c>
      <c r="C45" s="9">
        <v>0</v>
      </c>
      <c r="D45" s="9">
        <v>0</v>
      </c>
      <c r="E45" s="9">
        <v>0</v>
      </c>
      <c r="F45" s="38">
        <v>0</v>
      </c>
      <c r="G45" s="38">
        <v>0</v>
      </c>
      <c r="H45" s="9">
        <v>0</v>
      </c>
      <c r="I45" s="9">
        <v>0</v>
      </c>
      <c r="J45" s="9">
        <v>0</v>
      </c>
      <c r="K45" s="55">
        <v>3114</v>
      </c>
      <c r="L45" s="74">
        <f t="shared" si="0"/>
        <v>3114</v>
      </c>
      <c r="M45" s="91">
        <v>1275648</v>
      </c>
      <c r="N45" s="5"/>
      <c r="O45" s="5"/>
      <c r="P45" s="5"/>
      <c r="Q45" s="5"/>
      <c r="R45" s="5"/>
      <c r="S45" s="5"/>
      <c r="T45" s="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>
      <c r="A46" s="14" t="s">
        <v>28</v>
      </c>
      <c r="B46" s="38">
        <v>0</v>
      </c>
      <c r="C46" s="9">
        <v>0</v>
      </c>
      <c r="D46" s="9">
        <v>0</v>
      </c>
      <c r="E46" s="9">
        <v>0</v>
      </c>
      <c r="F46" s="38">
        <v>0</v>
      </c>
      <c r="G46" s="38">
        <v>0</v>
      </c>
      <c r="H46" s="9">
        <v>0</v>
      </c>
      <c r="I46" s="9">
        <v>0</v>
      </c>
      <c r="J46" s="9">
        <v>0</v>
      </c>
      <c r="K46" s="55">
        <v>0</v>
      </c>
      <c r="L46" s="74">
        <f t="shared" si="0"/>
        <v>0</v>
      </c>
      <c r="M46" s="91">
        <v>271550</v>
      </c>
      <c r="N46" s="5"/>
      <c r="O46" s="5"/>
      <c r="P46" s="5"/>
      <c r="Q46" s="5"/>
      <c r="R46" s="5"/>
      <c r="S46" s="5"/>
      <c r="T46" s="5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>
      <c r="A47" s="14" t="s">
        <v>29</v>
      </c>
      <c r="B47" s="38">
        <v>0</v>
      </c>
      <c r="C47" s="9">
        <v>0</v>
      </c>
      <c r="D47" s="9">
        <v>0</v>
      </c>
      <c r="E47" s="9">
        <v>0</v>
      </c>
      <c r="F47" s="38">
        <v>0</v>
      </c>
      <c r="G47" s="38">
        <v>0</v>
      </c>
      <c r="H47" s="9">
        <v>0</v>
      </c>
      <c r="I47" s="9">
        <v>0</v>
      </c>
      <c r="J47" s="9">
        <v>0</v>
      </c>
      <c r="K47" s="55">
        <v>0</v>
      </c>
      <c r="L47" s="74">
        <f t="shared" si="0"/>
        <v>0</v>
      </c>
      <c r="M47" s="91">
        <v>433129</v>
      </c>
      <c r="N47" s="5"/>
      <c r="O47" s="5"/>
      <c r="P47" s="5"/>
      <c r="Q47" s="5"/>
      <c r="R47" s="5"/>
      <c r="S47" s="5"/>
      <c r="T47" s="5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>
      <c r="A48" s="14" t="s">
        <v>58</v>
      </c>
      <c r="B48" s="38">
        <v>0</v>
      </c>
      <c r="C48" s="9">
        <v>0</v>
      </c>
      <c r="D48" s="9">
        <v>0</v>
      </c>
      <c r="E48" s="9">
        <v>0</v>
      </c>
      <c r="F48" s="38">
        <v>0</v>
      </c>
      <c r="G48" s="38">
        <v>0</v>
      </c>
      <c r="H48" s="9">
        <v>0</v>
      </c>
      <c r="I48" s="9">
        <v>0</v>
      </c>
      <c r="J48" s="9">
        <v>0</v>
      </c>
      <c r="K48" s="55">
        <v>0</v>
      </c>
      <c r="L48" s="74">
        <f t="shared" si="0"/>
        <v>0</v>
      </c>
      <c r="M48" s="91">
        <v>0</v>
      </c>
      <c r="N48" s="5"/>
      <c r="O48" s="5"/>
      <c r="P48" s="5"/>
      <c r="Q48" s="5"/>
      <c r="R48" s="5"/>
      <c r="S48" s="5"/>
      <c r="T48" s="5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20">
      <c r="A49" s="15" t="s">
        <v>59</v>
      </c>
      <c r="B49" s="43">
        <v>0</v>
      </c>
      <c r="C49" s="11">
        <v>0</v>
      </c>
      <c r="D49" s="11">
        <v>0</v>
      </c>
      <c r="E49" s="11">
        <v>0</v>
      </c>
      <c r="F49" s="43">
        <v>0</v>
      </c>
      <c r="G49" s="43">
        <v>0</v>
      </c>
      <c r="H49" s="11">
        <v>0</v>
      </c>
      <c r="I49" s="11">
        <v>0</v>
      </c>
      <c r="J49" s="11">
        <v>0</v>
      </c>
      <c r="K49" s="59">
        <v>0</v>
      </c>
      <c r="L49" s="78">
        <f t="shared" si="0"/>
        <v>0</v>
      </c>
      <c r="M49" s="95">
        <v>0</v>
      </c>
      <c r="N49" s="6"/>
      <c r="O49" s="6"/>
      <c r="P49" s="6"/>
      <c r="Q49" s="6"/>
      <c r="R49" s="6"/>
      <c r="S49" s="6"/>
      <c r="T49" s="6"/>
    </row>
    <row r="50" spans="1:20">
      <c r="A50" s="15" t="s">
        <v>60</v>
      </c>
      <c r="B50" s="43">
        <v>0</v>
      </c>
      <c r="C50" s="11">
        <v>0</v>
      </c>
      <c r="D50" s="11">
        <v>0</v>
      </c>
      <c r="E50" s="11">
        <v>0</v>
      </c>
      <c r="F50" s="43">
        <v>0</v>
      </c>
      <c r="G50" s="43">
        <v>0</v>
      </c>
      <c r="H50" s="11">
        <v>0</v>
      </c>
      <c r="I50" s="11">
        <v>0</v>
      </c>
      <c r="J50" s="11">
        <v>0</v>
      </c>
      <c r="K50" s="59">
        <v>0</v>
      </c>
      <c r="L50" s="78">
        <f t="shared" si="0"/>
        <v>0</v>
      </c>
      <c r="M50" s="95">
        <v>0</v>
      </c>
      <c r="N50" s="6"/>
      <c r="O50" s="6"/>
      <c r="P50" s="6"/>
      <c r="Q50" s="6"/>
      <c r="R50" s="6"/>
      <c r="S50" s="6"/>
      <c r="T50" s="6"/>
    </row>
    <row r="51" spans="1:20">
      <c r="A51" s="15" t="s">
        <v>61</v>
      </c>
      <c r="B51" s="43">
        <v>0</v>
      </c>
      <c r="C51" s="11">
        <v>0</v>
      </c>
      <c r="D51" s="11">
        <v>0</v>
      </c>
      <c r="E51" s="11">
        <v>0</v>
      </c>
      <c r="F51" s="43">
        <v>0</v>
      </c>
      <c r="G51" s="43">
        <v>0</v>
      </c>
      <c r="H51" s="11">
        <v>0</v>
      </c>
      <c r="I51" s="11">
        <v>0</v>
      </c>
      <c r="J51" s="11">
        <v>0</v>
      </c>
      <c r="K51" s="59">
        <v>0</v>
      </c>
      <c r="L51" s="78">
        <f t="shared" si="0"/>
        <v>0</v>
      </c>
      <c r="M51" s="95">
        <v>0</v>
      </c>
      <c r="N51" s="6"/>
      <c r="O51" s="6"/>
      <c r="P51" s="6"/>
      <c r="Q51" s="6"/>
      <c r="R51" s="6"/>
      <c r="S51" s="6"/>
      <c r="T51" s="6"/>
    </row>
    <row r="52" spans="1:20">
      <c r="A52" s="15" t="s">
        <v>62</v>
      </c>
      <c r="B52" s="43">
        <v>0</v>
      </c>
      <c r="C52" s="11">
        <v>0</v>
      </c>
      <c r="D52" s="11">
        <v>0</v>
      </c>
      <c r="E52" s="11">
        <v>0</v>
      </c>
      <c r="F52" s="43">
        <v>0</v>
      </c>
      <c r="G52" s="43">
        <v>0</v>
      </c>
      <c r="H52" s="11">
        <v>0</v>
      </c>
      <c r="I52" s="11">
        <v>0</v>
      </c>
      <c r="J52" s="11">
        <v>0</v>
      </c>
      <c r="K52" s="59">
        <v>0</v>
      </c>
      <c r="L52" s="78">
        <f t="shared" si="0"/>
        <v>0</v>
      </c>
      <c r="M52" s="95">
        <v>0</v>
      </c>
      <c r="N52" s="6"/>
      <c r="O52" s="6"/>
      <c r="P52" s="6"/>
      <c r="Q52" s="6"/>
      <c r="R52" s="6"/>
      <c r="S52" s="6"/>
      <c r="T52" s="6"/>
    </row>
    <row r="53" spans="1:20">
      <c r="A53" s="15" t="s">
        <v>37</v>
      </c>
      <c r="B53" s="43">
        <v>0</v>
      </c>
      <c r="C53" s="11">
        <v>0</v>
      </c>
      <c r="D53" s="11">
        <v>0</v>
      </c>
      <c r="E53" s="11">
        <v>0</v>
      </c>
      <c r="F53" s="43">
        <v>0</v>
      </c>
      <c r="G53" s="43">
        <v>0</v>
      </c>
      <c r="H53" s="11">
        <v>10500</v>
      </c>
      <c r="I53" s="11">
        <v>11550</v>
      </c>
      <c r="J53" s="11">
        <v>10500</v>
      </c>
      <c r="K53" s="59">
        <v>0</v>
      </c>
      <c r="L53" s="78">
        <f t="shared" si="0"/>
        <v>32550</v>
      </c>
      <c r="M53" s="95">
        <v>103542</v>
      </c>
    </row>
    <row r="54" spans="1:20" ht="14.25" thickBot="1">
      <c r="A54" s="16" t="s">
        <v>63</v>
      </c>
      <c r="B54" s="44">
        <v>500000</v>
      </c>
      <c r="C54" s="30">
        <v>365000</v>
      </c>
      <c r="D54" s="30">
        <v>355000</v>
      </c>
      <c r="E54" s="30">
        <v>82650</v>
      </c>
      <c r="F54" s="44">
        <v>87870</v>
      </c>
      <c r="G54" s="44">
        <v>62160</v>
      </c>
      <c r="H54" s="30">
        <v>76020</v>
      </c>
      <c r="I54" s="30">
        <v>77070</v>
      </c>
      <c r="J54" s="30">
        <v>75180</v>
      </c>
      <c r="K54" s="60">
        <v>36314</v>
      </c>
      <c r="L54" s="79">
        <f t="shared" si="0"/>
        <v>1717264</v>
      </c>
      <c r="M54" s="96">
        <v>7211238</v>
      </c>
    </row>
    <row r="55" spans="1:20">
      <c r="A55" s="28" t="s">
        <v>64</v>
      </c>
      <c r="B55" s="45">
        <v>6679</v>
      </c>
      <c r="C55" s="29">
        <v>6367</v>
      </c>
      <c r="D55" s="29">
        <v>2538</v>
      </c>
      <c r="E55" s="29">
        <v>2316</v>
      </c>
      <c r="F55" s="45">
        <v>1781</v>
      </c>
      <c r="G55" s="45">
        <v>6545</v>
      </c>
      <c r="H55" s="29">
        <v>2672</v>
      </c>
      <c r="I55" s="29">
        <v>3674</v>
      </c>
      <c r="J55" s="29">
        <v>3562</v>
      </c>
      <c r="K55" s="61">
        <v>1447</v>
      </c>
      <c r="L55" s="80">
        <f t="shared" si="0"/>
        <v>37581</v>
      </c>
      <c r="M55" s="97">
        <v>116507</v>
      </c>
    </row>
    <row r="56" spans="1:20" ht="14.25" thickBot="1">
      <c r="A56" s="31" t="s">
        <v>65</v>
      </c>
      <c r="B56" s="46">
        <v>6679</v>
      </c>
      <c r="C56" s="32">
        <v>6367</v>
      </c>
      <c r="D56" s="32">
        <v>2538</v>
      </c>
      <c r="E56" s="32">
        <v>2316</v>
      </c>
      <c r="F56" s="46">
        <v>1781</v>
      </c>
      <c r="G56" s="46">
        <v>6545</v>
      </c>
      <c r="H56" s="32">
        <v>2672</v>
      </c>
      <c r="I56" s="32">
        <v>3674</v>
      </c>
      <c r="J56" s="32">
        <v>3562</v>
      </c>
      <c r="K56" s="62">
        <v>1447</v>
      </c>
      <c r="L56" s="81">
        <f t="shared" si="0"/>
        <v>37581</v>
      </c>
      <c r="M56" s="98">
        <v>116507</v>
      </c>
    </row>
    <row r="57" spans="1:20" ht="14.25" thickBot="1">
      <c r="A57" s="33" t="s">
        <v>66</v>
      </c>
      <c r="B57" s="47">
        <v>506679</v>
      </c>
      <c r="C57" s="34">
        <v>371367</v>
      </c>
      <c r="D57" s="34">
        <v>357538</v>
      </c>
      <c r="E57" s="34">
        <v>84966</v>
      </c>
      <c r="F57" s="47">
        <v>89651</v>
      </c>
      <c r="G57" s="47">
        <v>68705</v>
      </c>
      <c r="H57" s="34">
        <v>78692</v>
      </c>
      <c r="I57" s="34">
        <v>80744</v>
      </c>
      <c r="J57" s="34">
        <v>78742</v>
      </c>
      <c r="K57" s="63">
        <v>37761</v>
      </c>
      <c r="L57" s="82">
        <f t="shared" si="0"/>
        <v>1754845</v>
      </c>
      <c r="M57" s="99">
        <v>7327745</v>
      </c>
    </row>
    <row r="58" spans="1:20">
      <c r="A58" s="28" t="s">
        <v>67</v>
      </c>
      <c r="B58" s="45">
        <v>25500</v>
      </c>
      <c r="C58" s="29">
        <v>19380</v>
      </c>
      <c r="D58" s="29">
        <v>18360</v>
      </c>
      <c r="E58" s="29">
        <v>0</v>
      </c>
      <c r="F58" s="45">
        <v>0</v>
      </c>
      <c r="G58" s="45">
        <v>0</v>
      </c>
      <c r="H58" s="29">
        <v>0</v>
      </c>
      <c r="I58" s="29">
        <v>0</v>
      </c>
      <c r="J58" s="29">
        <v>0</v>
      </c>
      <c r="K58" s="61">
        <v>0</v>
      </c>
      <c r="L58" s="80">
        <f t="shared" si="0"/>
        <v>63240</v>
      </c>
      <c r="M58" s="97">
        <v>341700</v>
      </c>
    </row>
    <row r="59" spans="1:20">
      <c r="A59" s="15" t="s">
        <v>68</v>
      </c>
      <c r="B59" s="43">
        <v>4500</v>
      </c>
      <c r="C59" s="11">
        <v>3420</v>
      </c>
      <c r="D59" s="11">
        <v>3240</v>
      </c>
      <c r="E59" s="11">
        <v>0</v>
      </c>
      <c r="F59" s="43">
        <v>0</v>
      </c>
      <c r="G59" s="43">
        <v>0</v>
      </c>
      <c r="H59" s="11">
        <v>0</v>
      </c>
      <c r="I59" s="11">
        <v>0</v>
      </c>
      <c r="J59" s="11">
        <v>0</v>
      </c>
      <c r="K59" s="59">
        <v>0</v>
      </c>
      <c r="L59" s="78">
        <f t="shared" si="0"/>
        <v>11160</v>
      </c>
      <c r="M59" s="95">
        <v>57600</v>
      </c>
    </row>
    <row r="60" spans="1:20">
      <c r="A60" s="15" t="s">
        <v>69</v>
      </c>
      <c r="B60" s="43">
        <v>45750</v>
      </c>
      <c r="C60" s="11">
        <v>34770</v>
      </c>
      <c r="D60" s="11">
        <v>32940</v>
      </c>
      <c r="E60" s="11">
        <v>0</v>
      </c>
      <c r="F60" s="43">
        <v>0</v>
      </c>
      <c r="G60" s="43">
        <v>0</v>
      </c>
      <c r="H60" s="11">
        <v>0</v>
      </c>
      <c r="I60" s="11">
        <v>0</v>
      </c>
      <c r="J60" s="11">
        <v>0</v>
      </c>
      <c r="K60" s="59">
        <v>0</v>
      </c>
      <c r="L60" s="78">
        <f t="shared" si="0"/>
        <v>113460</v>
      </c>
      <c r="M60" s="95">
        <v>613050</v>
      </c>
    </row>
    <row r="61" spans="1:20">
      <c r="A61" s="15" t="s">
        <v>70</v>
      </c>
      <c r="B61" s="43">
        <v>0</v>
      </c>
      <c r="C61" s="11">
        <v>0</v>
      </c>
      <c r="D61" s="11">
        <v>0</v>
      </c>
      <c r="E61" s="11">
        <v>0</v>
      </c>
      <c r="F61" s="43">
        <v>0</v>
      </c>
      <c r="G61" s="43">
        <v>0</v>
      </c>
      <c r="H61" s="11">
        <v>0</v>
      </c>
      <c r="I61" s="11">
        <v>0</v>
      </c>
      <c r="J61" s="11">
        <v>0</v>
      </c>
      <c r="K61" s="59">
        <v>0</v>
      </c>
      <c r="L61" s="78">
        <f t="shared" si="0"/>
        <v>0</v>
      </c>
      <c r="M61" s="95">
        <v>0</v>
      </c>
    </row>
    <row r="62" spans="1:20">
      <c r="A62" s="15" t="s">
        <v>71</v>
      </c>
      <c r="B62" s="43">
        <v>1520</v>
      </c>
      <c r="C62" s="11">
        <v>1114</v>
      </c>
      <c r="D62" s="11">
        <v>1073</v>
      </c>
      <c r="E62" s="11">
        <v>255</v>
      </c>
      <c r="F62" s="43">
        <v>269</v>
      </c>
      <c r="G62" s="49" t="s">
        <v>72</v>
      </c>
      <c r="H62" s="12" t="s">
        <v>73</v>
      </c>
      <c r="I62" s="12" t="s">
        <v>73</v>
      </c>
      <c r="J62" s="12" t="s">
        <v>72</v>
      </c>
      <c r="K62" s="64" t="s">
        <v>73</v>
      </c>
      <c r="L62" s="78">
        <f t="shared" si="0"/>
        <v>4231</v>
      </c>
      <c r="M62" s="95">
        <v>20514</v>
      </c>
    </row>
    <row r="63" spans="1:20">
      <c r="A63" s="15" t="s">
        <v>74</v>
      </c>
      <c r="B63" s="43">
        <v>0</v>
      </c>
      <c r="C63" s="11">
        <v>0</v>
      </c>
      <c r="D63" s="11">
        <v>0</v>
      </c>
      <c r="E63" s="11">
        <v>0</v>
      </c>
      <c r="F63" s="43">
        <v>0</v>
      </c>
      <c r="G63" s="43">
        <v>0</v>
      </c>
      <c r="H63" s="11">
        <v>0</v>
      </c>
      <c r="I63" s="11">
        <v>0</v>
      </c>
      <c r="J63" s="11">
        <v>0</v>
      </c>
      <c r="K63" s="59">
        <v>0</v>
      </c>
      <c r="L63" s="78">
        <f t="shared" si="0"/>
        <v>0</v>
      </c>
      <c r="M63" s="95">
        <v>0</v>
      </c>
    </row>
    <row r="64" spans="1:20" ht="14.25" thickBot="1">
      <c r="A64" s="31" t="s">
        <v>75</v>
      </c>
      <c r="B64" s="46">
        <v>77270</v>
      </c>
      <c r="C64" s="32">
        <v>58684</v>
      </c>
      <c r="D64" s="32">
        <v>55613</v>
      </c>
      <c r="E64" s="32">
        <v>255</v>
      </c>
      <c r="F64" s="46">
        <v>269</v>
      </c>
      <c r="G64" s="46">
        <v>0</v>
      </c>
      <c r="H64" s="32">
        <v>0</v>
      </c>
      <c r="I64" s="32">
        <v>0</v>
      </c>
      <c r="J64" s="32">
        <v>0</v>
      </c>
      <c r="K64" s="62">
        <v>0</v>
      </c>
      <c r="L64" s="81">
        <f t="shared" si="0"/>
        <v>192091</v>
      </c>
      <c r="M64" s="98">
        <v>1032864</v>
      </c>
    </row>
    <row r="65" spans="1:13" ht="14.25" thickBot="1">
      <c r="A65" s="33" t="s">
        <v>76</v>
      </c>
      <c r="B65" s="47">
        <v>422730</v>
      </c>
      <c r="C65" s="34">
        <v>306316</v>
      </c>
      <c r="D65" s="34">
        <v>299387</v>
      </c>
      <c r="E65" s="34">
        <v>82395</v>
      </c>
      <c r="F65" s="47">
        <v>87601</v>
      </c>
      <c r="G65" s="47">
        <v>62160</v>
      </c>
      <c r="H65" s="34">
        <v>76020</v>
      </c>
      <c r="I65" s="34">
        <v>77070</v>
      </c>
      <c r="J65" s="34">
        <v>75180</v>
      </c>
      <c r="K65" s="63">
        <v>36314</v>
      </c>
      <c r="L65" s="82">
        <f t="shared" si="0"/>
        <v>1525173</v>
      </c>
      <c r="M65" s="99">
        <v>6178374</v>
      </c>
    </row>
    <row r="66" spans="1:13">
      <c r="A66" s="28" t="s">
        <v>77</v>
      </c>
      <c r="B66" s="45">
        <v>15170</v>
      </c>
      <c r="C66" s="29">
        <v>8900</v>
      </c>
      <c r="D66" s="29">
        <v>6700</v>
      </c>
      <c r="E66" s="29">
        <v>0</v>
      </c>
      <c r="F66" s="45">
        <v>90</v>
      </c>
      <c r="G66" s="45">
        <v>0</v>
      </c>
      <c r="H66" s="29">
        <v>0</v>
      </c>
      <c r="I66" s="29">
        <v>0</v>
      </c>
      <c r="J66" s="29">
        <v>0</v>
      </c>
      <c r="K66" s="61">
        <v>0</v>
      </c>
      <c r="L66" s="80">
        <f t="shared" si="0"/>
        <v>30860</v>
      </c>
      <c r="M66" s="97">
        <v>141000</v>
      </c>
    </row>
    <row r="67" spans="1:13">
      <c r="A67" s="15" t="s">
        <v>78</v>
      </c>
      <c r="B67" s="43">
        <v>0</v>
      </c>
      <c r="C67" s="11">
        <v>0</v>
      </c>
      <c r="D67" s="11">
        <v>0</v>
      </c>
      <c r="E67" s="11">
        <v>0</v>
      </c>
      <c r="F67" s="43">
        <v>0</v>
      </c>
      <c r="G67" s="43">
        <v>0</v>
      </c>
      <c r="H67" s="11">
        <v>0</v>
      </c>
      <c r="I67" s="11">
        <v>0</v>
      </c>
      <c r="J67" s="11">
        <v>0</v>
      </c>
      <c r="K67" s="59">
        <v>0</v>
      </c>
      <c r="L67" s="78">
        <f t="shared" si="0"/>
        <v>0</v>
      </c>
      <c r="M67" s="95">
        <v>16900</v>
      </c>
    </row>
    <row r="68" spans="1:13">
      <c r="A68" s="15" t="s">
        <v>79</v>
      </c>
      <c r="B68" s="43">
        <v>22400</v>
      </c>
      <c r="C68" s="11">
        <v>14000</v>
      </c>
      <c r="D68" s="11">
        <v>15400</v>
      </c>
      <c r="E68" s="11">
        <v>0</v>
      </c>
      <c r="F68" s="43">
        <v>500</v>
      </c>
      <c r="G68" s="43">
        <v>800</v>
      </c>
      <c r="H68" s="11">
        <v>0</v>
      </c>
      <c r="I68" s="11">
        <v>1800</v>
      </c>
      <c r="J68" s="11">
        <v>0</v>
      </c>
      <c r="K68" s="59">
        <v>2000</v>
      </c>
      <c r="L68" s="78">
        <f t="shared" si="0"/>
        <v>56900</v>
      </c>
      <c r="M68" s="95">
        <v>272800</v>
      </c>
    </row>
    <row r="69" spans="1:13">
      <c r="A69" s="15" t="s">
        <v>80</v>
      </c>
      <c r="B69" s="43">
        <v>0</v>
      </c>
      <c r="C69" s="11">
        <v>0</v>
      </c>
      <c r="D69" s="11">
        <v>0</v>
      </c>
      <c r="E69" s="11">
        <v>0</v>
      </c>
      <c r="F69" s="43">
        <v>0</v>
      </c>
      <c r="G69" s="43">
        <v>0</v>
      </c>
      <c r="H69" s="11">
        <v>0</v>
      </c>
      <c r="I69" s="11">
        <v>0</v>
      </c>
      <c r="J69" s="11">
        <v>0</v>
      </c>
      <c r="K69" s="59">
        <v>0</v>
      </c>
      <c r="L69" s="78">
        <f t="shared" si="0"/>
        <v>0</v>
      </c>
      <c r="M69" s="95">
        <v>118862</v>
      </c>
    </row>
    <row r="70" spans="1:13">
      <c r="A70" s="15" t="s">
        <v>81</v>
      </c>
      <c r="B70" s="43">
        <v>0</v>
      </c>
      <c r="C70" s="11">
        <v>0</v>
      </c>
      <c r="D70" s="11">
        <v>0</v>
      </c>
      <c r="E70" s="11">
        <v>0</v>
      </c>
      <c r="F70" s="43">
        <v>0</v>
      </c>
      <c r="G70" s="43">
        <v>0</v>
      </c>
      <c r="H70" s="11">
        <v>0</v>
      </c>
      <c r="I70" s="11">
        <v>0</v>
      </c>
      <c r="J70" s="11">
        <v>0</v>
      </c>
      <c r="K70" s="59">
        <v>0</v>
      </c>
      <c r="L70" s="78">
        <f t="shared" si="0"/>
        <v>0</v>
      </c>
      <c r="M70" s="95">
        <v>0</v>
      </c>
    </row>
    <row r="71" spans="1:13">
      <c r="A71" s="15" t="s">
        <v>82</v>
      </c>
      <c r="B71" s="43">
        <v>0</v>
      </c>
      <c r="C71" s="11">
        <v>0</v>
      </c>
      <c r="D71" s="11">
        <v>0</v>
      </c>
      <c r="E71" s="11">
        <v>0</v>
      </c>
      <c r="F71" s="43">
        <v>0</v>
      </c>
      <c r="G71" s="43">
        <v>0</v>
      </c>
      <c r="H71" s="11">
        <v>0</v>
      </c>
      <c r="I71" s="11">
        <v>0</v>
      </c>
      <c r="J71" s="11">
        <v>0</v>
      </c>
      <c r="K71" s="59">
        <v>0</v>
      </c>
      <c r="L71" s="78">
        <f t="shared" si="0"/>
        <v>0</v>
      </c>
      <c r="M71" s="95">
        <v>0</v>
      </c>
    </row>
    <row r="72" spans="1:13" ht="14.25" thickBot="1">
      <c r="A72" s="31" t="s">
        <v>83</v>
      </c>
      <c r="B72" s="46">
        <v>37570</v>
      </c>
      <c r="C72" s="32">
        <v>22900</v>
      </c>
      <c r="D72" s="32">
        <v>22100</v>
      </c>
      <c r="E72" s="32">
        <v>0</v>
      </c>
      <c r="F72" s="46">
        <v>590</v>
      </c>
      <c r="G72" s="46">
        <v>800</v>
      </c>
      <c r="H72" s="32">
        <v>0</v>
      </c>
      <c r="I72" s="32">
        <v>1800</v>
      </c>
      <c r="J72" s="32">
        <v>0</v>
      </c>
      <c r="K72" s="62">
        <v>2000</v>
      </c>
      <c r="L72" s="81">
        <f t="shared" si="0"/>
        <v>87760</v>
      </c>
      <c r="M72" s="98">
        <v>549562</v>
      </c>
    </row>
    <row r="73" spans="1:13" ht="14.25" thickBot="1">
      <c r="A73" s="33" t="s">
        <v>84</v>
      </c>
      <c r="B73" s="47">
        <v>114840</v>
      </c>
      <c r="C73" s="34">
        <v>81584</v>
      </c>
      <c r="D73" s="34">
        <v>77713</v>
      </c>
      <c r="E73" s="34">
        <v>255</v>
      </c>
      <c r="F73" s="47">
        <v>859</v>
      </c>
      <c r="G73" s="47">
        <v>800</v>
      </c>
      <c r="H73" s="34">
        <v>0</v>
      </c>
      <c r="I73" s="34">
        <v>1800</v>
      </c>
      <c r="J73" s="34">
        <v>0</v>
      </c>
      <c r="K73" s="63">
        <v>2000</v>
      </c>
      <c r="L73" s="82">
        <f t="shared" si="0"/>
        <v>279851</v>
      </c>
      <c r="M73" s="99">
        <v>1582426</v>
      </c>
    </row>
    <row r="74" spans="1:13" ht="14.25" thickBot="1">
      <c r="A74" s="33" t="s">
        <v>85</v>
      </c>
      <c r="B74" s="47">
        <v>391839</v>
      </c>
      <c r="C74" s="34">
        <v>289783</v>
      </c>
      <c r="D74" s="34">
        <v>279825</v>
      </c>
      <c r="E74" s="34">
        <v>84711</v>
      </c>
      <c r="F74" s="47">
        <v>88792</v>
      </c>
      <c r="G74" s="47">
        <v>67905</v>
      </c>
      <c r="H74" s="34">
        <v>78692</v>
      </c>
      <c r="I74" s="34">
        <v>78944</v>
      </c>
      <c r="J74" s="34">
        <v>78742</v>
      </c>
      <c r="K74" s="63">
        <v>35761</v>
      </c>
      <c r="L74" s="82">
        <f t="shared" si="0"/>
        <v>1474994</v>
      </c>
      <c r="M74" s="99">
        <v>5745319</v>
      </c>
    </row>
    <row r="75" spans="1:13">
      <c r="A75" s="28" t="s">
        <v>86</v>
      </c>
      <c r="B75" s="45">
        <v>0</v>
      </c>
      <c r="C75" s="29">
        <v>0</v>
      </c>
      <c r="D75" s="29">
        <v>0</v>
      </c>
      <c r="E75" s="29">
        <v>0</v>
      </c>
      <c r="F75" s="45">
        <v>0</v>
      </c>
      <c r="G75" s="45">
        <v>0</v>
      </c>
      <c r="H75" s="29">
        <v>0</v>
      </c>
      <c r="I75" s="29">
        <v>0</v>
      </c>
      <c r="J75" s="29">
        <v>0</v>
      </c>
      <c r="K75" s="61">
        <v>0</v>
      </c>
      <c r="L75" s="80">
        <f t="shared" si="0"/>
        <v>0</v>
      </c>
      <c r="M75" s="97">
        <v>0</v>
      </c>
    </row>
    <row r="76" spans="1:13">
      <c r="A76" s="15" t="s">
        <v>87</v>
      </c>
      <c r="B76" s="43">
        <v>391839</v>
      </c>
      <c r="C76" s="11">
        <v>289783</v>
      </c>
      <c r="D76" s="11">
        <v>279825</v>
      </c>
      <c r="E76" s="11">
        <v>84711</v>
      </c>
      <c r="F76" s="43">
        <v>88792</v>
      </c>
      <c r="G76" s="43">
        <v>67905</v>
      </c>
      <c r="H76" s="11">
        <v>78692</v>
      </c>
      <c r="I76" s="11">
        <v>78944</v>
      </c>
      <c r="J76" s="11">
        <v>78742</v>
      </c>
      <c r="K76" s="59">
        <v>35761</v>
      </c>
      <c r="L76" s="78">
        <f t="shared" si="0"/>
        <v>1474994</v>
      </c>
      <c r="M76" s="95">
        <v>5745319</v>
      </c>
    </row>
    <row r="77" spans="1:13">
      <c r="A77" s="15" t="s">
        <v>88</v>
      </c>
      <c r="B77" s="48">
        <v>35</v>
      </c>
      <c r="C77" s="13">
        <v>30</v>
      </c>
      <c r="D77" s="13">
        <v>35</v>
      </c>
      <c r="E77" s="13">
        <v>10</v>
      </c>
      <c r="F77" s="48">
        <v>10</v>
      </c>
      <c r="G77" s="48">
        <v>15</v>
      </c>
      <c r="H77" s="13">
        <v>11</v>
      </c>
      <c r="I77" s="13">
        <v>15</v>
      </c>
      <c r="J77" s="13">
        <v>0</v>
      </c>
      <c r="K77" s="65">
        <v>4</v>
      </c>
      <c r="L77" s="83">
        <f t="shared" si="0"/>
        <v>165</v>
      </c>
      <c r="M77" s="100">
        <v>413</v>
      </c>
    </row>
    <row r="78" spans="1:13">
      <c r="A78" s="15" t="s">
        <v>89</v>
      </c>
      <c r="B78" s="49">
        <v>1</v>
      </c>
      <c r="C78" s="12"/>
      <c r="D78" s="12">
        <v>1</v>
      </c>
      <c r="E78" s="12"/>
      <c r="F78" s="49"/>
      <c r="G78" s="49"/>
      <c r="H78" s="12">
        <v>1</v>
      </c>
      <c r="I78" s="12">
        <v>1</v>
      </c>
      <c r="J78" s="12">
        <v>1</v>
      </c>
      <c r="K78" s="64">
        <v>1</v>
      </c>
      <c r="L78" s="84">
        <f t="shared" si="0"/>
        <v>6</v>
      </c>
      <c r="M78" s="101"/>
    </row>
    <row r="79" spans="1:13" ht="14.25" thickBot="1">
      <c r="A79" s="16" t="s">
        <v>90</v>
      </c>
      <c r="B79" s="50" t="s">
        <v>91</v>
      </c>
      <c r="C79" s="17" t="s">
        <v>91</v>
      </c>
      <c r="D79" s="17" t="s">
        <v>91</v>
      </c>
      <c r="E79" s="17" t="s">
        <v>91</v>
      </c>
      <c r="F79" s="50" t="s">
        <v>91</v>
      </c>
      <c r="G79" s="50" t="s">
        <v>91</v>
      </c>
      <c r="H79" s="17" t="s">
        <v>91</v>
      </c>
      <c r="I79" s="17" t="s">
        <v>91</v>
      </c>
      <c r="J79" s="17" t="s">
        <v>91</v>
      </c>
      <c r="K79" s="66" t="s">
        <v>91</v>
      </c>
      <c r="L79" s="85"/>
      <c r="M79" s="102"/>
    </row>
  </sheetData>
  <phoneticPr fontId="1"/>
  <pageMargins left="0.43307086614173229" right="0.35433070866141736" top="0.51181102362204722" bottom="0.35433070866141736" header="0.19685039370078741" footer="0.27559055118110237"/>
  <pageSetup paperSize="12" scale="68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15F5-83B8-46BF-A63F-EA243BD26C1B}">
  <sheetPr>
    <pageSetUpPr fitToPage="1"/>
  </sheetPr>
  <dimension ref="A1:AT79"/>
  <sheetViews>
    <sheetView zoomScale="80" zoomScaleNormal="80" workbookViewId="0">
      <pane xSplit="1" ySplit="5" topLeftCell="B6" activePane="bottomRight" state="frozen"/>
      <selection pane="bottomRight" activeCell="A3" sqref="A3"/>
      <selection pane="bottomLeft" activeCell="A6" sqref="A6"/>
      <selection pane="topRight" activeCell="B1" sqref="B1"/>
    </sheetView>
  </sheetViews>
  <sheetFormatPr defaultColWidth="9" defaultRowHeight="13.5"/>
  <cols>
    <col min="1" max="1" width="17.5703125" style="2" customWidth="1"/>
    <col min="2" max="20" width="10.5703125" style="2" customWidth="1"/>
    <col min="21" max="27" width="10.42578125" style="2" customWidth="1"/>
    <col min="28" max="16384" width="9" style="2"/>
  </cols>
  <sheetData>
    <row r="1" spans="1:4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4.25" thickBot="1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>
      <c r="A3" s="18" t="s">
        <v>1</v>
      </c>
      <c r="B3" s="19" t="s">
        <v>92</v>
      </c>
      <c r="C3" s="19" t="s">
        <v>92</v>
      </c>
      <c r="D3" s="19" t="s">
        <v>93</v>
      </c>
      <c r="E3" s="19" t="s">
        <v>93</v>
      </c>
      <c r="F3" s="19" t="s">
        <v>93</v>
      </c>
      <c r="G3" s="35" t="s">
        <v>93</v>
      </c>
      <c r="H3" s="19" t="s">
        <v>93</v>
      </c>
      <c r="I3" s="19" t="s">
        <v>93</v>
      </c>
      <c r="J3" s="19" t="s">
        <v>93</v>
      </c>
      <c r="K3" s="19" t="s">
        <v>93</v>
      </c>
      <c r="L3" s="35" t="s">
        <v>93</v>
      </c>
      <c r="M3" s="19" t="s">
        <v>93</v>
      </c>
      <c r="N3" s="19" t="s">
        <v>93</v>
      </c>
      <c r="O3" s="19" t="s">
        <v>93</v>
      </c>
      <c r="P3" s="19" t="s">
        <v>93</v>
      </c>
      <c r="Q3" s="35" t="s">
        <v>93</v>
      </c>
      <c r="R3" s="19" t="s">
        <v>93</v>
      </c>
      <c r="S3" s="52" t="s">
        <v>93</v>
      </c>
      <c r="T3" s="69" t="s">
        <v>4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>
      <c r="A4" s="20"/>
      <c r="B4" s="21">
        <v>1087</v>
      </c>
      <c r="C4" s="21">
        <v>1088</v>
      </c>
      <c r="D4" s="21">
        <v>1004</v>
      </c>
      <c r="E4" s="21">
        <v>1006</v>
      </c>
      <c r="F4" s="21">
        <v>1007</v>
      </c>
      <c r="G4" s="36">
        <v>1015</v>
      </c>
      <c r="H4" s="21">
        <v>1017</v>
      </c>
      <c r="I4" s="21">
        <v>1018</v>
      </c>
      <c r="J4" s="21">
        <v>1021</v>
      </c>
      <c r="K4" s="21">
        <v>1022</v>
      </c>
      <c r="L4" s="36">
        <v>1034</v>
      </c>
      <c r="M4" s="21">
        <v>1035</v>
      </c>
      <c r="N4" s="21">
        <v>1039</v>
      </c>
      <c r="O4" s="21">
        <v>1047</v>
      </c>
      <c r="P4" s="21">
        <v>1058</v>
      </c>
      <c r="Q4" s="36">
        <v>1065</v>
      </c>
      <c r="R4" s="21">
        <v>1077</v>
      </c>
      <c r="S4" s="53">
        <v>1080</v>
      </c>
      <c r="T4" s="7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4.25" thickBot="1">
      <c r="A5" s="20" t="s">
        <v>6</v>
      </c>
      <c r="B5" s="21" t="s">
        <v>94</v>
      </c>
      <c r="C5" s="21" t="s">
        <v>95</v>
      </c>
      <c r="D5" s="21" t="s">
        <v>96</v>
      </c>
      <c r="E5" s="21" t="s">
        <v>97</v>
      </c>
      <c r="F5" s="21" t="s">
        <v>98</v>
      </c>
      <c r="G5" s="36" t="s">
        <v>99</v>
      </c>
      <c r="H5" s="21" t="s">
        <v>100</v>
      </c>
      <c r="I5" s="21" t="s">
        <v>101</v>
      </c>
      <c r="J5" s="21" t="s">
        <v>102</v>
      </c>
      <c r="K5" s="21" t="s">
        <v>103</v>
      </c>
      <c r="L5" s="36" t="s">
        <v>104</v>
      </c>
      <c r="M5" s="21" t="s">
        <v>105</v>
      </c>
      <c r="N5" s="21" t="s">
        <v>106</v>
      </c>
      <c r="O5" s="21" t="s">
        <v>107</v>
      </c>
      <c r="P5" s="21" t="s">
        <v>108</v>
      </c>
      <c r="Q5" s="36" t="s">
        <v>109</v>
      </c>
      <c r="R5" s="21" t="s">
        <v>110</v>
      </c>
      <c r="S5" s="53" t="s">
        <v>111</v>
      </c>
      <c r="T5" s="71" t="s">
        <v>112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>
      <c r="A6" s="22" t="s">
        <v>19</v>
      </c>
      <c r="B6" s="23">
        <v>23</v>
      </c>
      <c r="C6" s="23">
        <v>22</v>
      </c>
      <c r="D6" s="23">
        <v>4</v>
      </c>
      <c r="E6" s="23">
        <v>20</v>
      </c>
      <c r="F6" s="23">
        <v>21</v>
      </c>
      <c r="G6" s="37">
        <v>23</v>
      </c>
      <c r="H6" s="23">
        <v>21</v>
      </c>
      <c r="I6" s="23">
        <v>21</v>
      </c>
      <c r="J6" s="23">
        <v>22</v>
      </c>
      <c r="K6" s="23">
        <v>21</v>
      </c>
      <c r="L6" s="37">
        <v>21</v>
      </c>
      <c r="M6" s="23">
        <v>22</v>
      </c>
      <c r="N6" s="23">
        <v>22</v>
      </c>
      <c r="O6" s="23">
        <v>22</v>
      </c>
      <c r="P6" s="23">
        <v>22</v>
      </c>
      <c r="Q6" s="37">
        <v>23</v>
      </c>
      <c r="R6" s="23">
        <v>23</v>
      </c>
      <c r="S6" s="54">
        <v>22</v>
      </c>
      <c r="T6" s="72">
        <f>SUM(B6:S6)</f>
        <v>375</v>
      </c>
      <c r="U6" s="3"/>
      <c r="V6" s="3"/>
      <c r="W6" s="3"/>
      <c r="X6" s="3"/>
      <c r="Y6" s="3"/>
      <c r="Z6" s="3"/>
      <c r="AA6" s="3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>
      <c r="A7" s="14" t="s">
        <v>20</v>
      </c>
      <c r="B7" s="8">
        <v>1</v>
      </c>
      <c r="C7" s="9"/>
      <c r="D7" s="9"/>
      <c r="E7" s="8">
        <v>4</v>
      </c>
      <c r="F7" s="9"/>
      <c r="G7" s="38"/>
      <c r="H7" s="8">
        <v>3</v>
      </c>
      <c r="I7" s="8">
        <v>2</v>
      </c>
      <c r="J7" s="9"/>
      <c r="K7" s="8">
        <v>3</v>
      </c>
      <c r="L7" s="38"/>
      <c r="M7" s="9"/>
      <c r="N7" s="8">
        <v>3</v>
      </c>
      <c r="O7" s="9"/>
      <c r="P7" s="8">
        <v>2</v>
      </c>
      <c r="Q7" s="39">
        <v>3</v>
      </c>
      <c r="R7" s="9"/>
      <c r="S7" s="67">
        <v>2</v>
      </c>
      <c r="T7" s="73">
        <f>SUM(B7:S7)</f>
        <v>23</v>
      </c>
      <c r="U7" s="4"/>
      <c r="V7" s="4"/>
      <c r="W7" s="4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>
      <c r="A8" s="14" t="s">
        <v>21</v>
      </c>
      <c r="B8" s="8">
        <v>1</v>
      </c>
      <c r="C8" s="9"/>
      <c r="D8" s="9"/>
      <c r="E8" s="8">
        <v>2</v>
      </c>
      <c r="F8" s="8">
        <v>3</v>
      </c>
      <c r="G8" s="39">
        <v>2</v>
      </c>
      <c r="H8" s="8">
        <v>1</v>
      </c>
      <c r="I8" s="8">
        <v>3</v>
      </c>
      <c r="J8" s="8">
        <v>1</v>
      </c>
      <c r="K8" s="8">
        <v>2</v>
      </c>
      <c r="L8" s="39">
        <v>3</v>
      </c>
      <c r="M8" s="8">
        <v>3</v>
      </c>
      <c r="N8" s="8">
        <v>1</v>
      </c>
      <c r="O8" s="8">
        <v>3</v>
      </c>
      <c r="P8" s="8">
        <v>2</v>
      </c>
      <c r="Q8" s="39">
        <v>2</v>
      </c>
      <c r="R8" s="8">
        <v>3</v>
      </c>
      <c r="S8" s="67">
        <v>3</v>
      </c>
      <c r="T8" s="73">
        <f t="shared" ref="T8:T12" si="0">SUM(B8:S8)</f>
        <v>35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>
      <c r="A9" s="14" t="s">
        <v>22</v>
      </c>
      <c r="B9" s="9"/>
      <c r="C9" s="9"/>
      <c r="D9" s="9"/>
      <c r="E9" s="9"/>
      <c r="F9" s="9"/>
      <c r="G9" s="38"/>
      <c r="H9" s="9"/>
      <c r="I9" s="9"/>
      <c r="J9" s="9"/>
      <c r="K9" s="9"/>
      <c r="L9" s="38"/>
      <c r="M9" s="9"/>
      <c r="N9" s="9"/>
      <c r="O9" s="9"/>
      <c r="P9" s="9"/>
      <c r="Q9" s="38"/>
      <c r="R9" s="9"/>
      <c r="S9" s="55"/>
      <c r="T9" s="73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>
      <c r="A10" s="14" t="s">
        <v>23</v>
      </c>
      <c r="B10" s="8">
        <v>1</v>
      </c>
      <c r="C10" s="8">
        <v>1</v>
      </c>
      <c r="D10" s="8">
        <v>15</v>
      </c>
      <c r="E10" s="8">
        <v>3</v>
      </c>
      <c r="F10" s="8">
        <v>2</v>
      </c>
      <c r="G10" s="38"/>
      <c r="H10" s="8">
        <v>2</v>
      </c>
      <c r="I10" s="8">
        <v>2</v>
      </c>
      <c r="J10" s="8">
        <v>1</v>
      </c>
      <c r="K10" s="8">
        <v>2</v>
      </c>
      <c r="L10" s="39">
        <v>2</v>
      </c>
      <c r="M10" s="8">
        <v>1</v>
      </c>
      <c r="N10" s="8">
        <v>1</v>
      </c>
      <c r="O10" s="8">
        <v>1</v>
      </c>
      <c r="P10" s="8">
        <v>1</v>
      </c>
      <c r="Q10" s="38"/>
      <c r="R10" s="9"/>
      <c r="S10" s="67">
        <v>1</v>
      </c>
      <c r="T10" s="73">
        <f t="shared" si="0"/>
        <v>36</v>
      </c>
      <c r="U10" s="1"/>
      <c r="V10" s="3"/>
      <c r="W10" s="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>
      <c r="A11" s="14" t="s">
        <v>24</v>
      </c>
      <c r="B11" s="9"/>
      <c r="C11" s="9"/>
      <c r="D11" s="9"/>
      <c r="E11" s="9"/>
      <c r="F11" s="9"/>
      <c r="G11" s="38"/>
      <c r="H11" s="9"/>
      <c r="I11" s="9"/>
      <c r="J11" s="9"/>
      <c r="K11" s="9"/>
      <c r="L11" s="38"/>
      <c r="M11" s="9"/>
      <c r="N11" s="9"/>
      <c r="O11" s="9"/>
      <c r="P11" s="9"/>
      <c r="Q11" s="38"/>
      <c r="R11" s="9"/>
      <c r="S11" s="55"/>
      <c r="T11" s="74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>
      <c r="A12" s="14" t="s">
        <v>25</v>
      </c>
      <c r="B12" s="9"/>
      <c r="C12" s="9"/>
      <c r="D12" s="8">
        <v>4</v>
      </c>
      <c r="E12" s="9"/>
      <c r="F12" s="9"/>
      <c r="G12" s="38"/>
      <c r="H12" s="9"/>
      <c r="I12" s="9"/>
      <c r="J12" s="9"/>
      <c r="K12" s="9"/>
      <c r="L12" s="38"/>
      <c r="M12" s="9"/>
      <c r="N12" s="9"/>
      <c r="O12" s="9"/>
      <c r="P12" s="9"/>
      <c r="Q12" s="38"/>
      <c r="R12" s="9"/>
      <c r="S12" s="55"/>
      <c r="T12" s="73">
        <f t="shared" si="0"/>
        <v>4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>
      <c r="A13" s="14" t="s">
        <v>26</v>
      </c>
      <c r="B13" s="9"/>
      <c r="C13" s="9"/>
      <c r="D13" s="9"/>
      <c r="E13" s="9"/>
      <c r="F13" s="9"/>
      <c r="G13" s="38"/>
      <c r="H13" s="9"/>
      <c r="I13" s="9"/>
      <c r="J13" s="9"/>
      <c r="K13" s="9"/>
      <c r="L13" s="38"/>
      <c r="M13" s="9"/>
      <c r="N13" s="9"/>
      <c r="O13" s="9"/>
      <c r="P13" s="9"/>
      <c r="Q13" s="38"/>
      <c r="R13" s="9"/>
      <c r="S13" s="55"/>
      <c r="T13" s="74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>
      <c r="A14" s="14" t="s">
        <v>27</v>
      </c>
      <c r="B14" s="10">
        <v>2.75</v>
      </c>
      <c r="C14" s="10">
        <v>1.2916666666666667</v>
      </c>
      <c r="D14" s="10">
        <v>4.1666666666666664E-2</v>
      </c>
      <c r="E14" s="10">
        <v>1.375</v>
      </c>
      <c r="F14" s="10">
        <v>2.4583333333333335</v>
      </c>
      <c r="G14" s="40">
        <v>2.375</v>
      </c>
      <c r="H14" s="10">
        <v>2.5833333333333335</v>
      </c>
      <c r="I14" s="10">
        <v>3.1666666666666665</v>
      </c>
      <c r="J14" s="10">
        <v>2.6666666666666665</v>
      </c>
      <c r="K14" s="10">
        <v>2.8333333333333335</v>
      </c>
      <c r="L14" s="40">
        <v>2.4583333333333335</v>
      </c>
      <c r="M14" s="10">
        <v>2.5833333333333335</v>
      </c>
      <c r="N14" s="10">
        <v>2.125</v>
      </c>
      <c r="O14" s="10">
        <v>2.8333333333333335</v>
      </c>
      <c r="P14" s="10">
        <v>1</v>
      </c>
      <c r="Q14" s="40">
        <v>1.75</v>
      </c>
      <c r="R14" s="10">
        <v>2.75</v>
      </c>
      <c r="S14" s="56">
        <v>2</v>
      </c>
      <c r="T14" s="75">
        <f>SUM(B14:S14)</f>
        <v>39.041666666666664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>
      <c r="A15" s="14" t="s">
        <v>28</v>
      </c>
      <c r="B15" s="10">
        <v>0.54166666666666663</v>
      </c>
      <c r="C15" s="9"/>
      <c r="D15" s="9"/>
      <c r="E15" s="10">
        <v>1.375</v>
      </c>
      <c r="F15" s="9"/>
      <c r="G15" s="38"/>
      <c r="H15" s="10">
        <v>1.0833333333333333</v>
      </c>
      <c r="I15" s="10">
        <v>0.20833333333333334</v>
      </c>
      <c r="J15" s="9"/>
      <c r="K15" s="10">
        <v>1.375</v>
      </c>
      <c r="L15" s="38"/>
      <c r="M15" s="9"/>
      <c r="N15" s="10">
        <v>1.0833333333333333</v>
      </c>
      <c r="O15" s="9"/>
      <c r="P15" s="10">
        <v>0.58333333333333337</v>
      </c>
      <c r="Q15" s="40">
        <v>0.91666666666666663</v>
      </c>
      <c r="R15" s="9"/>
      <c r="S15" s="56">
        <v>0.70833333333333337</v>
      </c>
      <c r="T15" s="75">
        <f t="shared" ref="T15:T16" si="1">SUM(B15:S15)</f>
        <v>7.875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>
      <c r="A16" s="14" t="s">
        <v>29</v>
      </c>
      <c r="B16" s="10">
        <v>0.5</v>
      </c>
      <c r="C16" s="9"/>
      <c r="D16" s="9"/>
      <c r="E16" s="10">
        <v>0.91666666666666663</v>
      </c>
      <c r="F16" s="10">
        <v>1.125</v>
      </c>
      <c r="G16" s="40">
        <v>0.79166666666666663</v>
      </c>
      <c r="H16" s="10">
        <v>0.375</v>
      </c>
      <c r="I16" s="10">
        <v>1.625</v>
      </c>
      <c r="J16" s="10">
        <v>0.33333333333333331</v>
      </c>
      <c r="K16" s="10">
        <v>0.79166666666666663</v>
      </c>
      <c r="L16" s="40">
        <v>1.2083333333333333</v>
      </c>
      <c r="M16" s="10">
        <v>1</v>
      </c>
      <c r="N16" s="10">
        <v>0.375</v>
      </c>
      <c r="O16" s="10">
        <v>1.125</v>
      </c>
      <c r="P16" s="10">
        <v>0.58333333333333337</v>
      </c>
      <c r="Q16" s="40">
        <v>0.70833333333333337</v>
      </c>
      <c r="R16" s="10">
        <v>1.125</v>
      </c>
      <c r="S16" s="56">
        <v>0.83333333333333337</v>
      </c>
      <c r="T16" s="75">
        <f t="shared" si="1"/>
        <v>13.416666666666668</v>
      </c>
      <c r="U16" s="5"/>
      <c r="V16" s="5"/>
      <c r="W16" s="5"/>
      <c r="X16" s="5"/>
      <c r="Y16" s="5"/>
      <c r="Z16" s="5"/>
      <c r="AA16" s="5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>
      <c r="A17" s="14" t="s">
        <v>30</v>
      </c>
      <c r="B17" s="9"/>
      <c r="C17" s="9"/>
      <c r="D17" s="9"/>
      <c r="E17" s="9"/>
      <c r="F17" s="9"/>
      <c r="G17" s="38"/>
      <c r="H17" s="9"/>
      <c r="I17" s="9"/>
      <c r="J17" s="9"/>
      <c r="K17" s="9"/>
      <c r="L17" s="38"/>
      <c r="M17" s="9"/>
      <c r="N17" s="9"/>
      <c r="O17" s="9"/>
      <c r="P17" s="9"/>
      <c r="Q17" s="38"/>
      <c r="R17" s="9"/>
      <c r="S17" s="55"/>
      <c r="T17" s="74"/>
      <c r="U17" s="5"/>
      <c r="V17" s="5"/>
      <c r="W17" s="5"/>
      <c r="X17" s="5"/>
      <c r="Y17" s="5"/>
      <c r="Z17" s="5"/>
      <c r="AA17" s="5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>
      <c r="A18" s="14" t="s">
        <v>31</v>
      </c>
      <c r="B18" s="9"/>
      <c r="C18" s="9"/>
      <c r="D18" s="9"/>
      <c r="E18" s="9"/>
      <c r="F18" s="9"/>
      <c r="G18" s="38"/>
      <c r="H18" s="9"/>
      <c r="I18" s="9"/>
      <c r="J18" s="9"/>
      <c r="K18" s="9"/>
      <c r="L18" s="38"/>
      <c r="M18" s="9"/>
      <c r="N18" s="9"/>
      <c r="O18" s="9"/>
      <c r="P18" s="9"/>
      <c r="Q18" s="38"/>
      <c r="R18" s="9"/>
      <c r="S18" s="55"/>
      <c r="T18" s="74"/>
      <c r="U18" s="5"/>
      <c r="V18" s="5"/>
      <c r="W18" s="5"/>
      <c r="X18" s="5"/>
      <c r="Y18" s="5"/>
      <c r="Z18" s="5"/>
      <c r="AA18" s="5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>
      <c r="A19" s="14" t="s">
        <v>32</v>
      </c>
      <c r="B19" s="9"/>
      <c r="C19" s="9"/>
      <c r="D19" s="9"/>
      <c r="E19" s="9"/>
      <c r="F19" s="9"/>
      <c r="G19" s="38"/>
      <c r="H19" s="9"/>
      <c r="I19" s="9"/>
      <c r="J19" s="9"/>
      <c r="K19" s="9"/>
      <c r="L19" s="38"/>
      <c r="M19" s="9"/>
      <c r="N19" s="9"/>
      <c r="O19" s="9"/>
      <c r="P19" s="9"/>
      <c r="Q19" s="38"/>
      <c r="R19" s="9"/>
      <c r="S19" s="55"/>
      <c r="T19" s="74"/>
      <c r="U19" s="5"/>
      <c r="V19" s="5"/>
      <c r="W19" s="5"/>
      <c r="X19" s="5"/>
      <c r="Y19" s="5"/>
      <c r="Z19" s="5"/>
      <c r="AA19" s="5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>
      <c r="A20" s="14" t="s">
        <v>33</v>
      </c>
      <c r="B20" s="9"/>
      <c r="C20" s="9"/>
      <c r="D20" s="9"/>
      <c r="E20" s="9"/>
      <c r="F20" s="9"/>
      <c r="G20" s="38"/>
      <c r="H20" s="9"/>
      <c r="I20" s="9"/>
      <c r="J20" s="9"/>
      <c r="K20" s="9"/>
      <c r="L20" s="38"/>
      <c r="M20" s="9"/>
      <c r="N20" s="9"/>
      <c r="O20" s="9"/>
      <c r="P20" s="9"/>
      <c r="Q20" s="38"/>
      <c r="R20" s="9"/>
      <c r="S20" s="55"/>
      <c r="T20" s="74"/>
      <c r="U20" s="5"/>
      <c r="V20" s="5"/>
      <c r="W20" s="5"/>
      <c r="X20" s="5"/>
      <c r="Y20" s="5"/>
      <c r="Z20" s="5"/>
      <c r="AA20" s="5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>
      <c r="A21" s="14" t="s">
        <v>34</v>
      </c>
      <c r="B21" s="9"/>
      <c r="C21" s="9"/>
      <c r="D21" s="9"/>
      <c r="E21" s="9"/>
      <c r="F21" s="9"/>
      <c r="G21" s="38"/>
      <c r="H21" s="9"/>
      <c r="I21" s="9"/>
      <c r="J21" s="9"/>
      <c r="K21" s="9"/>
      <c r="L21" s="38"/>
      <c r="M21" s="9"/>
      <c r="N21" s="9"/>
      <c r="O21" s="9"/>
      <c r="P21" s="9"/>
      <c r="Q21" s="38"/>
      <c r="R21" s="9"/>
      <c r="S21" s="55"/>
      <c r="T21" s="74"/>
      <c r="U21" s="5"/>
      <c r="V21" s="5"/>
      <c r="W21" s="5"/>
      <c r="X21" s="5"/>
      <c r="Y21" s="5"/>
      <c r="Z21" s="5"/>
      <c r="AA21" s="5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>
      <c r="A22" s="14" t="s">
        <v>35</v>
      </c>
      <c r="B22" s="9"/>
      <c r="C22" s="9"/>
      <c r="D22" s="9"/>
      <c r="E22" s="9"/>
      <c r="F22" s="9"/>
      <c r="G22" s="38"/>
      <c r="H22" s="9"/>
      <c r="I22" s="9"/>
      <c r="J22" s="9"/>
      <c r="K22" s="9"/>
      <c r="L22" s="38"/>
      <c r="M22" s="9"/>
      <c r="N22" s="9"/>
      <c r="O22" s="9"/>
      <c r="P22" s="9"/>
      <c r="Q22" s="38"/>
      <c r="R22" s="9"/>
      <c r="S22" s="55"/>
      <c r="T22" s="74"/>
      <c r="U22" s="5"/>
      <c r="V22" s="5"/>
      <c r="W22" s="5"/>
      <c r="X22" s="5"/>
      <c r="Y22" s="5"/>
      <c r="Z22" s="5"/>
      <c r="AA22" s="5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>
      <c r="A23" s="14" t="s">
        <v>36</v>
      </c>
      <c r="B23" s="9"/>
      <c r="C23" s="9"/>
      <c r="D23" s="9"/>
      <c r="E23" s="9"/>
      <c r="F23" s="9"/>
      <c r="G23" s="38"/>
      <c r="H23" s="9"/>
      <c r="I23" s="9"/>
      <c r="J23" s="9"/>
      <c r="K23" s="9"/>
      <c r="L23" s="38"/>
      <c r="M23" s="9"/>
      <c r="N23" s="9"/>
      <c r="O23" s="9"/>
      <c r="P23" s="9"/>
      <c r="Q23" s="38"/>
      <c r="R23" s="9"/>
      <c r="S23" s="55"/>
      <c r="T23" s="74"/>
      <c r="U23" s="5"/>
      <c r="V23" s="5"/>
      <c r="W23" s="5"/>
      <c r="X23" s="5"/>
      <c r="Y23" s="5"/>
      <c r="Z23" s="5"/>
      <c r="AA23" s="5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25" thickBot="1">
      <c r="A24" s="24" t="s">
        <v>37</v>
      </c>
      <c r="B24" s="25">
        <v>1</v>
      </c>
      <c r="C24" s="25">
        <v>0.25</v>
      </c>
      <c r="D24" s="26"/>
      <c r="E24" s="25">
        <v>0.375</v>
      </c>
      <c r="F24" s="25">
        <v>0.16666666666666666</v>
      </c>
      <c r="G24" s="41"/>
      <c r="H24" s="25">
        <v>0.58333333333333337</v>
      </c>
      <c r="I24" s="25">
        <v>2.5416666666666665</v>
      </c>
      <c r="J24" s="25">
        <v>1.125</v>
      </c>
      <c r="K24" s="25">
        <v>1.25</v>
      </c>
      <c r="L24" s="51">
        <v>0.20833333333333334</v>
      </c>
      <c r="M24" s="25">
        <v>0.29166666666666669</v>
      </c>
      <c r="N24" s="26"/>
      <c r="O24" s="25">
        <v>0.5</v>
      </c>
      <c r="P24" s="25">
        <v>4.1666666666666664E-2</v>
      </c>
      <c r="Q24" s="51">
        <v>1.0833333333333333</v>
      </c>
      <c r="R24" s="25">
        <v>0.54166666666666663</v>
      </c>
      <c r="S24" s="68">
        <v>0.95833333333333337</v>
      </c>
      <c r="T24" s="76">
        <f>SUM(B24:S24)</f>
        <v>10.916666666666666</v>
      </c>
      <c r="U24" s="5"/>
      <c r="V24" s="5"/>
      <c r="W24" s="5"/>
      <c r="X24" s="5"/>
      <c r="Y24" s="5"/>
      <c r="Z24" s="5"/>
      <c r="AA24" s="5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>
      <c r="A25" s="22" t="s">
        <v>38</v>
      </c>
      <c r="B25" s="27">
        <v>170000</v>
      </c>
      <c r="C25" s="27">
        <v>170000</v>
      </c>
      <c r="D25" s="27">
        <v>177000</v>
      </c>
      <c r="E25" s="27">
        <v>177000</v>
      </c>
      <c r="F25" s="27">
        <v>187000</v>
      </c>
      <c r="G25" s="42">
        <v>192000</v>
      </c>
      <c r="H25" s="27">
        <v>187000</v>
      </c>
      <c r="I25" s="27">
        <v>182000</v>
      </c>
      <c r="J25" s="27">
        <v>192000</v>
      </c>
      <c r="K25" s="27">
        <v>187000</v>
      </c>
      <c r="L25" s="42">
        <v>172000</v>
      </c>
      <c r="M25" s="27">
        <v>177000</v>
      </c>
      <c r="N25" s="27">
        <v>172000</v>
      </c>
      <c r="O25" s="27">
        <v>177000</v>
      </c>
      <c r="P25" s="27">
        <v>170000</v>
      </c>
      <c r="Q25" s="42">
        <v>170000</v>
      </c>
      <c r="R25" s="27">
        <v>170000</v>
      </c>
      <c r="S25" s="58">
        <v>170000</v>
      </c>
      <c r="T25" s="77">
        <f>SUM(B25:S25)</f>
        <v>3199000</v>
      </c>
      <c r="U25" s="5"/>
      <c r="V25" s="5"/>
      <c r="W25" s="5"/>
      <c r="X25" s="5"/>
      <c r="Y25" s="5"/>
      <c r="Z25" s="5"/>
      <c r="AA25" s="5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>
      <c r="A26" s="14" t="s">
        <v>39</v>
      </c>
      <c r="B26" s="9">
        <v>0</v>
      </c>
      <c r="C26" s="9">
        <v>0</v>
      </c>
      <c r="D26" s="9">
        <v>0</v>
      </c>
      <c r="E26" s="9">
        <v>0</v>
      </c>
      <c r="F26" s="9">
        <v>5000</v>
      </c>
      <c r="G26" s="38">
        <v>20000</v>
      </c>
      <c r="H26" s="9">
        <v>5000</v>
      </c>
      <c r="I26" s="9">
        <v>0</v>
      </c>
      <c r="J26" s="9">
        <v>20000</v>
      </c>
      <c r="K26" s="9">
        <v>5000</v>
      </c>
      <c r="L26" s="38">
        <v>0</v>
      </c>
      <c r="M26" s="9">
        <v>0</v>
      </c>
      <c r="N26" s="9">
        <v>0</v>
      </c>
      <c r="O26" s="9">
        <v>0</v>
      </c>
      <c r="P26" s="9">
        <v>0</v>
      </c>
      <c r="Q26" s="38">
        <v>0</v>
      </c>
      <c r="R26" s="9">
        <v>0</v>
      </c>
      <c r="S26" s="55">
        <v>0</v>
      </c>
      <c r="T26" s="74">
        <f t="shared" ref="T26:T76" si="2">SUM(B26:S26)</f>
        <v>55000</v>
      </c>
      <c r="U26" s="5"/>
      <c r="V26" s="5"/>
      <c r="W26" s="5"/>
      <c r="X26" s="5"/>
      <c r="Y26" s="5"/>
      <c r="Z26" s="5"/>
      <c r="AA26" s="5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>
      <c r="A27" s="14" t="s">
        <v>40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38">
        <v>3000</v>
      </c>
      <c r="H27" s="9">
        <v>0</v>
      </c>
      <c r="I27" s="9">
        <v>0</v>
      </c>
      <c r="J27" s="9">
        <v>0</v>
      </c>
      <c r="K27" s="9">
        <v>0</v>
      </c>
      <c r="L27" s="38">
        <v>0</v>
      </c>
      <c r="M27" s="9">
        <v>0</v>
      </c>
      <c r="N27" s="9">
        <v>0</v>
      </c>
      <c r="O27" s="9">
        <v>0</v>
      </c>
      <c r="P27" s="9">
        <v>0</v>
      </c>
      <c r="Q27" s="38">
        <v>0</v>
      </c>
      <c r="R27" s="9">
        <v>0</v>
      </c>
      <c r="S27" s="55">
        <v>0</v>
      </c>
      <c r="T27" s="74">
        <f t="shared" si="2"/>
        <v>3000</v>
      </c>
      <c r="U27" s="5"/>
      <c r="V27" s="5"/>
      <c r="W27" s="5"/>
      <c r="X27" s="5"/>
      <c r="Y27" s="5"/>
      <c r="Z27" s="5"/>
      <c r="AA27" s="5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>
      <c r="A28" s="14" t="s">
        <v>41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38">
        <v>0</v>
      </c>
      <c r="H28" s="9">
        <v>0</v>
      </c>
      <c r="I28" s="9">
        <v>0</v>
      </c>
      <c r="J28" s="9">
        <v>0</v>
      </c>
      <c r="K28" s="9">
        <v>0</v>
      </c>
      <c r="L28" s="38">
        <v>0</v>
      </c>
      <c r="M28" s="9">
        <v>0</v>
      </c>
      <c r="N28" s="9">
        <v>0</v>
      </c>
      <c r="O28" s="9">
        <v>0</v>
      </c>
      <c r="P28" s="9">
        <v>0</v>
      </c>
      <c r="Q28" s="38">
        <v>0</v>
      </c>
      <c r="R28" s="9">
        <v>0</v>
      </c>
      <c r="S28" s="55">
        <v>0</v>
      </c>
      <c r="T28" s="74">
        <f t="shared" si="2"/>
        <v>0</v>
      </c>
      <c r="U28" s="5"/>
      <c r="V28" s="5"/>
      <c r="W28" s="5"/>
      <c r="X28" s="5"/>
      <c r="Y28" s="5"/>
      <c r="Z28" s="5"/>
      <c r="AA28" s="5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>
      <c r="A29" s="14" t="s">
        <v>42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38">
        <v>0</v>
      </c>
      <c r="H29" s="9">
        <v>0</v>
      </c>
      <c r="I29" s="9">
        <v>0</v>
      </c>
      <c r="J29" s="9">
        <v>0</v>
      </c>
      <c r="K29" s="9">
        <v>0</v>
      </c>
      <c r="L29" s="38">
        <v>0</v>
      </c>
      <c r="M29" s="9">
        <v>0</v>
      </c>
      <c r="N29" s="9">
        <v>0</v>
      </c>
      <c r="O29" s="9">
        <v>0</v>
      </c>
      <c r="P29" s="9">
        <v>0</v>
      </c>
      <c r="Q29" s="38">
        <v>0</v>
      </c>
      <c r="R29" s="9">
        <v>0</v>
      </c>
      <c r="S29" s="55">
        <v>0</v>
      </c>
      <c r="T29" s="74">
        <f t="shared" si="2"/>
        <v>0</v>
      </c>
      <c r="U29" s="5"/>
      <c r="V29" s="5"/>
      <c r="W29" s="5"/>
      <c r="X29" s="5"/>
      <c r="Y29" s="5"/>
      <c r="Z29" s="5"/>
      <c r="AA29" s="5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>
      <c r="A30" s="14" t="s">
        <v>43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38">
        <v>0</v>
      </c>
      <c r="H30" s="9">
        <v>0</v>
      </c>
      <c r="I30" s="9">
        <v>0</v>
      </c>
      <c r="J30" s="9">
        <v>0</v>
      </c>
      <c r="K30" s="9">
        <v>0</v>
      </c>
      <c r="L30" s="38">
        <v>0</v>
      </c>
      <c r="M30" s="9">
        <v>0</v>
      </c>
      <c r="N30" s="9">
        <v>0</v>
      </c>
      <c r="O30" s="9">
        <v>0</v>
      </c>
      <c r="P30" s="9">
        <v>0</v>
      </c>
      <c r="Q30" s="38">
        <v>0</v>
      </c>
      <c r="R30" s="9">
        <v>0</v>
      </c>
      <c r="S30" s="55">
        <v>0</v>
      </c>
      <c r="T30" s="74">
        <f t="shared" si="2"/>
        <v>0</v>
      </c>
      <c r="U30" s="5"/>
      <c r="V30" s="5"/>
      <c r="W30" s="5"/>
      <c r="X30" s="5"/>
      <c r="Y30" s="5"/>
      <c r="Z30" s="5"/>
      <c r="AA30" s="5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>
      <c r="A31" s="14" t="s">
        <v>44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38">
        <v>0</v>
      </c>
      <c r="H31" s="9">
        <v>0</v>
      </c>
      <c r="I31" s="9">
        <v>0</v>
      </c>
      <c r="J31" s="9">
        <v>0</v>
      </c>
      <c r="K31" s="9">
        <v>0</v>
      </c>
      <c r="L31" s="38">
        <v>0</v>
      </c>
      <c r="M31" s="9">
        <v>0</v>
      </c>
      <c r="N31" s="9">
        <v>0</v>
      </c>
      <c r="O31" s="9">
        <v>0</v>
      </c>
      <c r="P31" s="9">
        <v>0</v>
      </c>
      <c r="Q31" s="38">
        <v>0</v>
      </c>
      <c r="R31" s="9">
        <v>0</v>
      </c>
      <c r="S31" s="55">
        <v>0</v>
      </c>
      <c r="T31" s="74">
        <f t="shared" si="2"/>
        <v>0</v>
      </c>
      <c r="U31" s="5"/>
      <c r="V31" s="5"/>
      <c r="W31" s="5"/>
      <c r="X31" s="5"/>
      <c r="Y31" s="5"/>
      <c r="Z31" s="5"/>
      <c r="AA31" s="5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>
      <c r="A32" s="14" t="s">
        <v>45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38">
        <v>0</v>
      </c>
      <c r="H32" s="9">
        <v>0</v>
      </c>
      <c r="I32" s="9">
        <v>0</v>
      </c>
      <c r="J32" s="9">
        <v>0</v>
      </c>
      <c r="K32" s="9">
        <v>0</v>
      </c>
      <c r="L32" s="38">
        <v>0</v>
      </c>
      <c r="M32" s="9">
        <v>0</v>
      </c>
      <c r="N32" s="9">
        <v>0</v>
      </c>
      <c r="O32" s="9">
        <v>0</v>
      </c>
      <c r="P32" s="9">
        <v>0</v>
      </c>
      <c r="Q32" s="38">
        <v>0</v>
      </c>
      <c r="R32" s="9">
        <v>0</v>
      </c>
      <c r="S32" s="55">
        <v>0</v>
      </c>
      <c r="T32" s="74">
        <f t="shared" si="2"/>
        <v>0</v>
      </c>
      <c r="U32" s="5"/>
      <c r="V32" s="5"/>
      <c r="W32" s="5"/>
      <c r="X32" s="5"/>
      <c r="Y32" s="5"/>
      <c r="Z32" s="5"/>
      <c r="AA32" s="5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>
      <c r="A33" s="14" t="s">
        <v>46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38">
        <v>0</v>
      </c>
      <c r="H33" s="9">
        <v>0</v>
      </c>
      <c r="I33" s="9">
        <v>0</v>
      </c>
      <c r="J33" s="9">
        <v>0</v>
      </c>
      <c r="K33" s="9">
        <v>0</v>
      </c>
      <c r="L33" s="38">
        <v>0</v>
      </c>
      <c r="M33" s="9">
        <v>0</v>
      </c>
      <c r="N33" s="9">
        <v>0</v>
      </c>
      <c r="O33" s="9">
        <v>0</v>
      </c>
      <c r="P33" s="9">
        <v>0</v>
      </c>
      <c r="Q33" s="38">
        <v>0</v>
      </c>
      <c r="R33" s="9">
        <v>0</v>
      </c>
      <c r="S33" s="55">
        <v>0</v>
      </c>
      <c r="T33" s="74">
        <f t="shared" si="2"/>
        <v>0</v>
      </c>
      <c r="U33" s="5"/>
      <c r="V33" s="5"/>
      <c r="W33" s="5"/>
      <c r="X33" s="5"/>
      <c r="Y33" s="5"/>
      <c r="Z33" s="5"/>
      <c r="AA33" s="5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>
      <c r="A34" s="14" t="s">
        <v>47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38">
        <v>0</v>
      </c>
      <c r="H34" s="9">
        <v>0</v>
      </c>
      <c r="I34" s="9">
        <v>0</v>
      </c>
      <c r="J34" s="9">
        <v>0</v>
      </c>
      <c r="K34" s="9">
        <v>0</v>
      </c>
      <c r="L34" s="38">
        <v>0</v>
      </c>
      <c r="M34" s="9">
        <v>0</v>
      </c>
      <c r="N34" s="9">
        <v>0</v>
      </c>
      <c r="O34" s="9">
        <v>0</v>
      </c>
      <c r="P34" s="9">
        <v>0</v>
      </c>
      <c r="Q34" s="38">
        <v>0</v>
      </c>
      <c r="R34" s="9">
        <v>0</v>
      </c>
      <c r="S34" s="55">
        <v>0</v>
      </c>
      <c r="T34" s="74">
        <f t="shared" si="2"/>
        <v>0</v>
      </c>
      <c r="U34" s="5"/>
      <c r="V34" s="5"/>
      <c r="W34" s="5"/>
      <c r="X34" s="5"/>
      <c r="Y34" s="5"/>
      <c r="Z34" s="5"/>
      <c r="AA34" s="5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>
      <c r="A35" s="14" t="s">
        <v>48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38">
        <v>0</v>
      </c>
      <c r="H35" s="9">
        <v>0</v>
      </c>
      <c r="I35" s="9">
        <v>0</v>
      </c>
      <c r="J35" s="9">
        <v>0</v>
      </c>
      <c r="K35" s="9">
        <v>0</v>
      </c>
      <c r="L35" s="38">
        <v>0</v>
      </c>
      <c r="M35" s="9">
        <v>0</v>
      </c>
      <c r="N35" s="9">
        <v>0</v>
      </c>
      <c r="O35" s="9">
        <v>0</v>
      </c>
      <c r="P35" s="9">
        <v>0</v>
      </c>
      <c r="Q35" s="38">
        <v>0</v>
      </c>
      <c r="R35" s="9">
        <v>0</v>
      </c>
      <c r="S35" s="55">
        <v>0</v>
      </c>
      <c r="T35" s="74">
        <f t="shared" si="2"/>
        <v>0</v>
      </c>
      <c r="U35" s="5"/>
      <c r="V35" s="5"/>
      <c r="W35" s="5"/>
      <c r="X35" s="5"/>
      <c r="Y35" s="5"/>
      <c r="Z35" s="5"/>
      <c r="AA35" s="5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>
      <c r="A36" s="14" t="s">
        <v>49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38">
        <v>0</v>
      </c>
      <c r="H36" s="9">
        <v>0</v>
      </c>
      <c r="I36" s="9">
        <v>0</v>
      </c>
      <c r="J36" s="9">
        <v>0</v>
      </c>
      <c r="K36" s="9">
        <v>0</v>
      </c>
      <c r="L36" s="38">
        <v>0</v>
      </c>
      <c r="M36" s="9">
        <v>0</v>
      </c>
      <c r="N36" s="9">
        <v>0</v>
      </c>
      <c r="O36" s="9">
        <v>0</v>
      </c>
      <c r="P36" s="9">
        <v>0</v>
      </c>
      <c r="Q36" s="38">
        <v>0</v>
      </c>
      <c r="R36" s="9">
        <v>0</v>
      </c>
      <c r="S36" s="55">
        <v>0</v>
      </c>
      <c r="T36" s="74">
        <f t="shared" si="2"/>
        <v>0</v>
      </c>
      <c r="U36" s="5"/>
      <c r="V36" s="5"/>
      <c r="W36" s="5"/>
      <c r="X36" s="5"/>
      <c r="Y36" s="5"/>
      <c r="Z36" s="5"/>
      <c r="AA36" s="5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>
      <c r="A37" s="14" t="s">
        <v>50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38">
        <v>0</v>
      </c>
      <c r="H37" s="9">
        <v>0</v>
      </c>
      <c r="I37" s="9">
        <v>0</v>
      </c>
      <c r="J37" s="9">
        <v>0</v>
      </c>
      <c r="K37" s="9">
        <v>0</v>
      </c>
      <c r="L37" s="38">
        <v>0</v>
      </c>
      <c r="M37" s="9">
        <v>0</v>
      </c>
      <c r="N37" s="9">
        <v>0</v>
      </c>
      <c r="O37" s="9">
        <v>0</v>
      </c>
      <c r="P37" s="9">
        <v>0</v>
      </c>
      <c r="Q37" s="38">
        <v>0</v>
      </c>
      <c r="R37" s="9">
        <v>0</v>
      </c>
      <c r="S37" s="55">
        <v>0</v>
      </c>
      <c r="T37" s="74">
        <f t="shared" si="2"/>
        <v>0</v>
      </c>
      <c r="U37" s="5"/>
      <c r="V37" s="5"/>
      <c r="W37" s="5"/>
      <c r="X37" s="5"/>
      <c r="Y37" s="5"/>
      <c r="Z37" s="5"/>
      <c r="AA37" s="5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>
      <c r="A38" s="14" t="s">
        <v>51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38">
        <v>0</v>
      </c>
      <c r="H38" s="9">
        <v>0</v>
      </c>
      <c r="I38" s="9">
        <v>0</v>
      </c>
      <c r="J38" s="9">
        <v>0</v>
      </c>
      <c r="K38" s="9">
        <v>0</v>
      </c>
      <c r="L38" s="38">
        <v>0</v>
      </c>
      <c r="M38" s="9">
        <v>0</v>
      </c>
      <c r="N38" s="9">
        <v>0</v>
      </c>
      <c r="O38" s="9">
        <v>0</v>
      </c>
      <c r="P38" s="9">
        <v>0</v>
      </c>
      <c r="Q38" s="38">
        <v>0</v>
      </c>
      <c r="R38" s="9">
        <v>0</v>
      </c>
      <c r="S38" s="55">
        <v>0</v>
      </c>
      <c r="T38" s="74">
        <f t="shared" si="2"/>
        <v>0</v>
      </c>
      <c r="U38" s="5"/>
      <c r="V38" s="5"/>
      <c r="W38" s="5"/>
      <c r="X38" s="5"/>
      <c r="Y38" s="5"/>
      <c r="Z38" s="5"/>
      <c r="AA38" s="5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>
      <c r="A39" s="14" t="s">
        <v>52</v>
      </c>
      <c r="B39" s="9">
        <v>675</v>
      </c>
      <c r="C39" s="9">
        <v>42941</v>
      </c>
      <c r="D39" s="9">
        <v>0</v>
      </c>
      <c r="E39" s="9">
        <v>7996</v>
      </c>
      <c r="F39" s="9">
        <v>1191</v>
      </c>
      <c r="G39" s="38">
        <v>3014</v>
      </c>
      <c r="H39" s="9">
        <v>4669</v>
      </c>
      <c r="I39" s="9">
        <v>0</v>
      </c>
      <c r="J39" s="9">
        <v>20067</v>
      </c>
      <c r="K39" s="9">
        <v>3406</v>
      </c>
      <c r="L39" s="38">
        <v>790</v>
      </c>
      <c r="M39" s="9">
        <v>5185</v>
      </c>
      <c r="N39" s="9">
        <v>1942</v>
      </c>
      <c r="O39" s="9">
        <v>659</v>
      </c>
      <c r="P39" s="9">
        <v>27746</v>
      </c>
      <c r="Q39" s="38">
        <v>31330</v>
      </c>
      <c r="R39" s="9">
        <v>10753</v>
      </c>
      <c r="S39" s="55">
        <v>60117</v>
      </c>
      <c r="T39" s="74">
        <f t="shared" si="2"/>
        <v>222481</v>
      </c>
      <c r="U39" s="5"/>
      <c r="V39" s="5"/>
      <c r="W39" s="5"/>
      <c r="X39" s="5"/>
      <c r="Y39" s="5"/>
      <c r="Z39" s="5"/>
      <c r="AA39" s="5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>
      <c r="A40" s="14" t="s">
        <v>53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38">
        <v>0</v>
      </c>
      <c r="H40" s="9">
        <v>0</v>
      </c>
      <c r="I40" s="9">
        <v>0</v>
      </c>
      <c r="J40" s="9">
        <v>0</v>
      </c>
      <c r="K40" s="9">
        <v>0</v>
      </c>
      <c r="L40" s="38">
        <v>0</v>
      </c>
      <c r="M40" s="9">
        <v>0</v>
      </c>
      <c r="N40" s="9">
        <v>0</v>
      </c>
      <c r="O40" s="9">
        <v>0</v>
      </c>
      <c r="P40" s="9">
        <v>0</v>
      </c>
      <c r="Q40" s="38">
        <v>0</v>
      </c>
      <c r="R40" s="9">
        <v>0</v>
      </c>
      <c r="S40" s="55">
        <v>0</v>
      </c>
      <c r="T40" s="74">
        <f t="shared" si="2"/>
        <v>0</v>
      </c>
      <c r="U40" s="5"/>
      <c r="V40" s="5"/>
      <c r="W40" s="5"/>
      <c r="X40" s="5"/>
      <c r="Y40" s="5"/>
      <c r="Z40" s="5"/>
      <c r="AA40" s="5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>
      <c r="A41" s="14" t="s">
        <v>54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38">
        <v>0</v>
      </c>
      <c r="H41" s="9">
        <v>0</v>
      </c>
      <c r="I41" s="9">
        <v>0</v>
      </c>
      <c r="J41" s="9">
        <v>0</v>
      </c>
      <c r="K41" s="9">
        <v>0</v>
      </c>
      <c r="L41" s="38">
        <v>0</v>
      </c>
      <c r="M41" s="9">
        <v>0</v>
      </c>
      <c r="N41" s="9">
        <v>0</v>
      </c>
      <c r="O41" s="9">
        <v>0</v>
      </c>
      <c r="P41" s="9">
        <v>0</v>
      </c>
      <c r="Q41" s="38">
        <v>0</v>
      </c>
      <c r="R41" s="9">
        <v>0</v>
      </c>
      <c r="S41" s="55">
        <v>0</v>
      </c>
      <c r="T41" s="74">
        <f t="shared" si="2"/>
        <v>0</v>
      </c>
      <c r="U41" s="5"/>
      <c r="V41" s="5"/>
      <c r="W41" s="5"/>
      <c r="X41" s="5"/>
      <c r="Y41" s="5"/>
      <c r="Z41" s="5"/>
      <c r="AA41" s="5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>
      <c r="A42" s="14" t="s">
        <v>55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38">
        <v>0</v>
      </c>
      <c r="H42" s="9">
        <v>0</v>
      </c>
      <c r="I42" s="9">
        <v>0</v>
      </c>
      <c r="J42" s="9">
        <v>0</v>
      </c>
      <c r="K42" s="9">
        <v>0</v>
      </c>
      <c r="L42" s="38">
        <v>0</v>
      </c>
      <c r="M42" s="9">
        <v>0</v>
      </c>
      <c r="N42" s="9">
        <v>0</v>
      </c>
      <c r="O42" s="9">
        <v>0</v>
      </c>
      <c r="P42" s="9">
        <v>0</v>
      </c>
      <c r="Q42" s="38">
        <v>0</v>
      </c>
      <c r="R42" s="9">
        <v>0</v>
      </c>
      <c r="S42" s="55">
        <v>0</v>
      </c>
      <c r="T42" s="74">
        <f t="shared" si="2"/>
        <v>0</v>
      </c>
      <c r="U42" s="5"/>
      <c r="V42" s="5"/>
      <c r="W42" s="5"/>
      <c r="X42" s="5"/>
      <c r="Y42" s="5"/>
      <c r="Z42" s="5"/>
      <c r="AA42" s="5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>
      <c r="A43" s="14" t="s">
        <v>56</v>
      </c>
      <c r="B43" s="9">
        <v>0</v>
      </c>
      <c r="C43" s="9">
        <v>0</v>
      </c>
      <c r="D43" s="9">
        <v>-33712</v>
      </c>
      <c r="E43" s="9">
        <v>0</v>
      </c>
      <c r="F43" s="9">
        <v>0</v>
      </c>
      <c r="G43" s="38">
        <v>0</v>
      </c>
      <c r="H43" s="9">
        <v>0</v>
      </c>
      <c r="I43" s="9">
        <v>0</v>
      </c>
      <c r="J43" s="9">
        <v>0</v>
      </c>
      <c r="K43" s="9">
        <v>0</v>
      </c>
      <c r="L43" s="38">
        <v>0</v>
      </c>
      <c r="M43" s="9">
        <v>0</v>
      </c>
      <c r="N43" s="9">
        <v>0</v>
      </c>
      <c r="O43" s="9">
        <v>0</v>
      </c>
      <c r="P43" s="9">
        <v>0</v>
      </c>
      <c r="Q43" s="38">
        <v>0</v>
      </c>
      <c r="R43" s="9">
        <v>0</v>
      </c>
      <c r="S43" s="55">
        <v>0</v>
      </c>
      <c r="T43" s="74">
        <f t="shared" si="2"/>
        <v>-33712</v>
      </c>
      <c r="U43" s="5"/>
      <c r="V43" s="5"/>
      <c r="W43" s="5"/>
      <c r="X43" s="5"/>
      <c r="Y43" s="5"/>
      <c r="Z43" s="5"/>
      <c r="AA43" s="5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>
      <c r="A44" s="14" t="s">
        <v>57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38">
        <v>0</v>
      </c>
      <c r="H44" s="9">
        <v>0</v>
      </c>
      <c r="I44" s="9">
        <v>0</v>
      </c>
      <c r="J44" s="9">
        <v>0</v>
      </c>
      <c r="K44" s="9">
        <v>0</v>
      </c>
      <c r="L44" s="38">
        <v>0</v>
      </c>
      <c r="M44" s="9">
        <v>0</v>
      </c>
      <c r="N44" s="9">
        <v>0</v>
      </c>
      <c r="O44" s="9">
        <v>0</v>
      </c>
      <c r="P44" s="9">
        <v>0</v>
      </c>
      <c r="Q44" s="38">
        <v>0</v>
      </c>
      <c r="R44" s="9">
        <v>0</v>
      </c>
      <c r="S44" s="55">
        <v>0</v>
      </c>
      <c r="T44" s="74">
        <f t="shared" si="2"/>
        <v>0</v>
      </c>
      <c r="U44" s="5"/>
      <c r="V44" s="5"/>
      <c r="W44" s="5"/>
      <c r="X44" s="5"/>
      <c r="Y44" s="5"/>
      <c r="Z44" s="5"/>
      <c r="AA44" s="5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>
      <c r="A45" s="14" t="s">
        <v>27</v>
      </c>
      <c r="B45" s="9">
        <v>83490</v>
      </c>
      <c r="C45" s="9">
        <v>39215</v>
      </c>
      <c r="D45" s="9">
        <v>1318</v>
      </c>
      <c r="E45" s="9">
        <v>43494</v>
      </c>
      <c r="F45" s="9">
        <v>84311</v>
      </c>
      <c r="G45" s="38">
        <v>91200</v>
      </c>
      <c r="H45" s="9">
        <v>88598</v>
      </c>
      <c r="I45" s="9">
        <v>102904</v>
      </c>
      <c r="J45" s="9">
        <v>100992</v>
      </c>
      <c r="K45" s="9">
        <v>97172</v>
      </c>
      <c r="L45" s="38">
        <v>75520</v>
      </c>
      <c r="M45" s="9">
        <v>81716</v>
      </c>
      <c r="N45" s="9">
        <v>65280</v>
      </c>
      <c r="O45" s="9">
        <v>89624</v>
      </c>
      <c r="P45" s="9">
        <v>30360</v>
      </c>
      <c r="Q45" s="38">
        <v>53130</v>
      </c>
      <c r="R45" s="9">
        <v>83490</v>
      </c>
      <c r="S45" s="55">
        <v>60720</v>
      </c>
      <c r="T45" s="74">
        <f t="shared" si="2"/>
        <v>1272534</v>
      </c>
      <c r="U45" s="5"/>
      <c r="V45" s="5"/>
      <c r="W45" s="5"/>
      <c r="X45" s="5"/>
      <c r="Y45" s="5"/>
      <c r="Z45" s="5"/>
      <c r="AA45" s="5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>
      <c r="A46" s="14" t="s">
        <v>28</v>
      </c>
      <c r="B46" s="9">
        <v>17771</v>
      </c>
      <c r="C46" s="9">
        <v>0</v>
      </c>
      <c r="D46" s="9">
        <v>0</v>
      </c>
      <c r="E46" s="9">
        <v>46959</v>
      </c>
      <c r="F46" s="9">
        <v>0</v>
      </c>
      <c r="G46" s="38">
        <v>0</v>
      </c>
      <c r="H46" s="9">
        <v>40144</v>
      </c>
      <c r="I46" s="9">
        <v>7315</v>
      </c>
      <c r="J46" s="9">
        <v>0</v>
      </c>
      <c r="K46" s="9">
        <v>50952</v>
      </c>
      <c r="L46" s="38">
        <v>0</v>
      </c>
      <c r="M46" s="9">
        <v>0</v>
      </c>
      <c r="N46" s="9">
        <v>35958</v>
      </c>
      <c r="O46" s="9">
        <v>0</v>
      </c>
      <c r="P46" s="9">
        <v>19138</v>
      </c>
      <c r="Q46" s="38">
        <v>30074</v>
      </c>
      <c r="R46" s="9">
        <v>0</v>
      </c>
      <c r="S46" s="55">
        <v>23239</v>
      </c>
      <c r="T46" s="74">
        <f t="shared" si="2"/>
        <v>271550</v>
      </c>
      <c r="U46" s="5"/>
      <c r="V46" s="5"/>
      <c r="W46" s="5"/>
      <c r="X46" s="5"/>
      <c r="Y46" s="5"/>
      <c r="Z46" s="5"/>
      <c r="AA46" s="5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>
      <c r="A47" s="14" t="s">
        <v>29</v>
      </c>
      <c r="B47" s="9">
        <v>15180</v>
      </c>
      <c r="C47" s="9">
        <v>0</v>
      </c>
      <c r="D47" s="9">
        <v>0</v>
      </c>
      <c r="E47" s="9">
        <v>28996</v>
      </c>
      <c r="F47" s="9">
        <v>38583</v>
      </c>
      <c r="G47" s="38">
        <v>30400</v>
      </c>
      <c r="H47" s="9">
        <v>12861</v>
      </c>
      <c r="I47" s="9">
        <v>52806</v>
      </c>
      <c r="J47" s="9">
        <v>12624</v>
      </c>
      <c r="K47" s="9">
        <v>27151</v>
      </c>
      <c r="L47" s="38">
        <v>37120</v>
      </c>
      <c r="M47" s="9">
        <v>31632</v>
      </c>
      <c r="N47" s="9">
        <v>11520</v>
      </c>
      <c r="O47" s="9">
        <v>35586</v>
      </c>
      <c r="P47" s="9">
        <v>17710</v>
      </c>
      <c r="Q47" s="38">
        <v>21505</v>
      </c>
      <c r="R47" s="9">
        <v>34155</v>
      </c>
      <c r="S47" s="55">
        <v>25300</v>
      </c>
      <c r="T47" s="74">
        <f t="shared" si="2"/>
        <v>433129</v>
      </c>
      <c r="U47" s="5"/>
      <c r="V47" s="5"/>
      <c r="W47" s="5"/>
      <c r="X47" s="5"/>
      <c r="Y47" s="5"/>
      <c r="Z47" s="5"/>
      <c r="AA47" s="5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>
      <c r="A48" s="14" t="s">
        <v>58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38">
        <v>0</v>
      </c>
      <c r="H48" s="9">
        <v>0</v>
      </c>
      <c r="I48" s="9">
        <v>0</v>
      </c>
      <c r="J48" s="9">
        <v>0</v>
      </c>
      <c r="K48" s="9">
        <v>0</v>
      </c>
      <c r="L48" s="38">
        <v>0</v>
      </c>
      <c r="M48" s="9">
        <v>0</v>
      </c>
      <c r="N48" s="9">
        <v>0</v>
      </c>
      <c r="O48" s="9">
        <v>0</v>
      </c>
      <c r="P48" s="9">
        <v>0</v>
      </c>
      <c r="Q48" s="38">
        <v>0</v>
      </c>
      <c r="R48" s="9">
        <v>0</v>
      </c>
      <c r="S48" s="55">
        <v>0</v>
      </c>
      <c r="T48" s="74">
        <f t="shared" si="2"/>
        <v>0</v>
      </c>
      <c r="U48" s="5"/>
      <c r="V48" s="5"/>
      <c r="W48" s="5"/>
      <c r="X48" s="5"/>
      <c r="Y48" s="5"/>
      <c r="Z48" s="5"/>
      <c r="AA48" s="5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27">
      <c r="A49" s="15" t="s">
        <v>59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43">
        <v>0</v>
      </c>
      <c r="H49" s="11">
        <v>0</v>
      </c>
      <c r="I49" s="11">
        <v>0</v>
      </c>
      <c r="J49" s="11">
        <v>0</v>
      </c>
      <c r="K49" s="11">
        <v>0</v>
      </c>
      <c r="L49" s="43">
        <v>0</v>
      </c>
      <c r="M49" s="11">
        <v>0</v>
      </c>
      <c r="N49" s="11">
        <v>0</v>
      </c>
      <c r="O49" s="11">
        <v>0</v>
      </c>
      <c r="P49" s="11">
        <v>0</v>
      </c>
      <c r="Q49" s="43">
        <v>0</v>
      </c>
      <c r="R49" s="11">
        <v>0</v>
      </c>
      <c r="S49" s="59">
        <v>0</v>
      </c>
      <c r="T49" s="78">
        <f t="shared" si="2"/>
        <v>0</v>
      </c>
      <c r="U49" s="6"/>
      <c r="V49" s="6"/>
      <c r="W49" s="6"/>
      <c r="X49" s="6"/>
      <c r="Y49" s="6"/>
      <c r="Z49" s="6"/>
      <c r="AA49" s="6"/>
    </row>
    <row r="50" spans="1:27">
      <c r="A50" s="15" t="s">
        <v>60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43">
        <v>0</v>
      </c>
      <c r="H50" s="11">
        <v>0</v>
      </c>
      <c r="I50" s="11">
        <v>0</v>
      </c>
      <c r="J50" s="11">
        <v>0</v>
      </c>
      <c r="K50" s="11">
        <v>0</v>
      </c>
      <c r="L50" s="43">
        <v>0</v>
      </c>
      <c r="M50" s="11">
        <v>0</v>
      </c>
      <c r="N50" s="11">
        <v>0</v>
      </c>
      <c r="O50" s="11">
        <v>0</v>
      </c>
      <c r="P50" s="11">
        <v>0</v>
      </c>
      <c r="Q50" s="43">
        <v>0</v>
      </c>
      <c r="R50" s="11">
        <v>0</v>
      </c>
      <c r="S50" s="59">
        <v>0</v>
      </c>
      <c r="T50" s="78">
        <f t="shared" si="2"/>
        <v>0</v>
      </c>
      <c r="U50" s="6"/>
      <c r="V50" s="6"/>
      <c r="W50" s="6"/>
      <c r="X50" s="6"/>
      <c r="Y50" s="6"/>
      <c r="Z50" s="6"/>
      <c r="AA50" s="6"/>
    </row>
    <row r="51" spans="1:27">
      <c r="A51" s="15" t="s">
        <v>61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43">
        <v>0</v>
      </c>
      <c r="H51" s="11">
        <v>0</v>
      </c>
      <c r="I51" s="11">
        <v>0</v>
      </c>
      <c r="J51" s="11">
        <v>0</v>
      </c>
      <c r="K51" s="11">
        <v>0</v>
      </c>
      <c r="L51" s="43">
        <v>0</v>
      </c>
      <c r="M51" s="11">
        <v>0</v>
      </c>
      <c r="N51" s="11">
        <v>0</v>
      </c>
      <c r="O51" s="11">
        <v>0</v>
      </c>
      <c r="P51" s="11">
        <v>0</v>
      </c>
      <c r="Q51" s="43">
        <v>0</v>
      </c>
      <c r="R51" s="11">
        <v>0</v>
      </c>
      <c r="S51" s="59">
        <v>0</v>
      </c>
      <c r="T51" s="78">
        <f t="shared" si="2"/>
        <v>0</v>
      </c>
      <c r="U51" s="6"/>
      <c r="V51" s="6"/>
      <c r="W51" s="6"/>
      <c r="X51" s="6"/>
      <c r="Y51" s="6"/>
      <c r="Z51" s="6"/>
      <c r="AA51" s="6"/>
    </row>
    <row r="52" spans="1:27">
      <c r="A52" s="15" t="s">
        <v>62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43">
        <v>0</v>
      </c>
      <c r="H52" s="11">
        <v>0</v>
      </c>
      <c r="I52" s="11">
        <v>0</v>
      </c>
      <c r="J52" s="11">
        <v>0</v>
      </c>
      <c r="K52" s="11">
        <v>0</v>
      </c>
      <c r="L52" s="43">
        <v>0</v>
      </c>
      <c r="M52" s="11">
        <v>0</v>
      </c>
      <c r="N52" s="11">
        <v>0</v>
      </c>
      <c r="O52" s="11">
        <v>0</v>
      </c>
      <c r="P52" s="11">
        <v>0</v>
      </c>
      <c r="Q52" s="43">
        <v>0</v>
      </c>
      <c r="R52" s="11">
        <v>0</v>
      </c>
      <c r="S52" s="59">
        <v>0</v>
      </c>
      <c r="T52" s="78">
        <f t="shared" si="2"/>
        <v>0</v>
      </c>
      <c r="U52" s="6"/>
      <c r="V52" s="6"/>
      <c r="W52" s="6"/>
      <c r="X52" s="6"/>
      <c r="Y52" s="6"/>
      <c r="Z52" s="6"/>
      <c r="AA52" s="6"/>
    </row>
    <row r="53" spans="1:27">
      <c r="A53" s="15" t="s">
        <v>37</v>
      </c>
      <c r="B53" s="11">
        <v>6072</v>
      </c>
      <c r="C53" s="11">
        <v>1518</v>
      </c>
      <c r="D53" s="11">
        <v>0</v>
      </c>
      <c r="E53" s="11">
        <v>2376</v>
      </c>
      <c r="F53" s="11">
        <v>1144</v>
      </c>
      <c r="G53" s="43">
        <v>0</v>
      </c>
      <c r="H53" s="11">
        <v>4004</v>
      </c>
      <c r="I53" s="11">
        <v>16531</v>
      </c>
      <c r="J53" s="11">
        <v>8532</v>
      </c>
      <c r="K53" s="11">
        <v>8580</v>
      </c>
      <c r="L53" s="43">
        <v>1280</v>
      </c>
      <c r="M53" s="11">
        <v>1848</v>
      </c>
      <c r="N53" s="11">
        <v>0</v>
      </c>
      <c r="O53" s="11">
        <v>3168</v>
      </c>
      <c r="P53" s="11">
        <v>253</v>
      </c>
      <c r="Q53" s="43">
        <v>6578</v>
      </c>
      <c r="R53" s="11">
        <v>3289</v>
      </c>
      <c r="S53" s="59">
        <v>5819</v>
      </c>
      <c r="T53" s="78">
        <f t="shared" si="2"/>
        <v>70992</v>
      </c>
    </row>
    <row r="54" spans="1:27" ht="14.25" thickBot="1">
      <c r="A54" s="16" t="s">
        <v>63</v>
      </c>
      <c r="B54" s="30">
        <v>293188</v>
      </c>
      <c r="C54" s="30">
        <v>253674</v>
      </c>
      <c r="D54" s="30">
        <v>144606</v>
      </c>
      <c r="E54" s="30">
        <v>306821</v>
      </c>
      <c r="F54" s="30">
        <v>317229</v>
      </c>
      <c r="G54" s="44">
        <v>339614</v>
      </c>
      <c r="H54" s="30">
        <v>342276</v>
      </c>
      <c r="I54" s="30">
        <v>361556</v>
      </c>
      <c r="J54" s="30">
        <v>354215</v>
      </c>
      <c r="K54" s="30">
        <v>379261</v>
      </c>
      <c r="L54" s="44">
        <v>286710</v>
      </c>
      <c r="M54" s="30">
        <v>297381</v>
      </c>
      <c r="N54" s="30">
        <v>286700</v>
      </c>
      <c r="O54" s="30">
        <v>306037</v>
      </c>
      <c r="P54" s="30">
        <v>265207</v>
      </c>
      <c r="Q54" s="44">
        <v>312617</v>
      </c>
      <c r="R54" s="30">
        <v>301687</v>
      </c>
      <c r="S54" s="60">
        <v>345195</v>
      </c>
      <c r="T54" s="79">
        <f t="shared" si="2"/>
        <v>5493974</v>
      </c>
    </row>
    <row r="55" spans="1:27">
      <c r="A55" s="28" t="s">
        <v>64</v>
      </c>
      <c r="B55" s="29">
        <v>5343</v>
      </c>
      <c r="C55" s="29">
        <v>1960</v>
      </c>
      <c r="D55" s="29">
        <v>713</v>
      </c>
      <c r="E55" s="29">
        <v>11576</v>
      </c>
      <c r="F55" s="29">
        <v>2672</v>
      </c>
      <c r="G55" s="45">
        <v>5009</v>
      </c>
      <c r="H55" s="29">
        <v>2783</v>
      </c>
      <c r="I55" s="29">
        <v>3473</v>
      </c>
      <c r="J55" s="29">
        <v>11777</v>
      </c>
      <c r="K55" s="29">
        <v>2316</v>
      </c>
      <c r="L55" s="45">
        <v>2138</v>
      </c>
      <c r="M55" s="29">
        <v>1114</v>
      </c>
      <c r="N55" s="29">
        <v>2894</v>
      </c>
      <c r="O55" s="29">
        <v>4453</v>
      </c>
      <c r="P55" s="29">
        <v>5788</v>
      </c>
      <c r="Q55" s="45">
        <v>4364</v>
      </c>
      <c r="R55" s="29">
        <v>6946</v>
      </c>
      <c r="S55" s="61">
        <v>3607</v>
      </c>
      <c r="T55" s="80">
        <f t="shared" si="2"/>
        <v>78926</v>
      </c>
    </row>
    <row r="56" spans="1:27" ht="14.25" thickBot="1">
      <c r="A56" s="31" t="s">
        <v>65</v>
      </c>
      <c r="B56" s="32">
        <v>5343</v>
      </c>
      <c r="C56" s="32">
        <v>1960</v>
      </c>
      <c r="D56" s="32">
        <v>713</v>
      </c>
      <c r="E56" s="32">
        <v>11576</v>
      </c>
      <c r="F56" s="32">
        <v>2672</v>
      </c>
      <c r="G56" s="46">
        <v>5009</v>
      </c>
      <c r="H56" s="32">
        <v>2783</v>
      </c>
      <c r="I56" s="32">
        <v>3473</v>
      </c>
      <c r="J56" s="32">
        <v>11777</v>
      </c>
      <c r="K56" s="32">
        <v>2316</v>
      </c>
      <c r="L56" s="46">
        <v>2138</v>
      </c>
      <c r="M56" s="32">
        <v>1114</v>
      </c>
      <c r="N56" s="32">
        <v>2894</v>
      </c>
      <c r="O56" s="32">
        <v>4453</v>
      </c>
      <c r="P56" s="32">
        <v>5788</v>
      </c>
      <c r="Q56" s="46">
        <v>4364</v>
      </c>
      <c r="R56" s="32">
        <v>6946</v>
      </c>
      <c r="S56" s="62">
        <v>3607</v>
      </c>
      <c r="T56" s="81">
        <f t="shared" si="2"/>
        <v>78926</v>
      </c>
    </row>
    <row r="57" spans="1:27" ht="14.25" thickBot="1">
      <c r="A57" s="33" t="s">
        <v>66</v>
      </c>
      <c r="B57" s="34">
        <v>298531</v>
      </c>
      <c r="C57" s="34">
        <v>255634</v>
      </c>
      <c r="D57" s="34">
        <v>145319</v>
      </c>
      <c r="E57" s="34">
        <v>318397</v>
      </c>
      <c r="F57" s="34">
        <v>319901</v>
      </c>
      <c r="G57" s="47">
        <v>344623</v>
      </c>
      <c r="H57" s="34">
        <v>345059</v>
      </c>
      <c r="I57" s="34">
        <v>365029</v>
      </c>
      <c r="J57" s="34">
        <v>365992</v>
      </c>
      <c r="K57" s="34">
        <v>381577</v>
      </c>
      <c r="L57" s="47">
        <v>288848</v>
      </c>
      <c r="M57" s="34">
        <v>298495</v>
      </c>
      <c r="N57" s="34">
        <v>289594</v>
      </c>
      <c r="O57" s="34">
        <v>310490</v>
      </c>
      <c r="P57" s="34">
        <v>270995</v>
      </c>
      <c r="Q57" s="47">
        <v>316981</v>
      </c>
      <c r="R57" s="34">
        <v>308633</v>
      </c>
      <c r="S57" s="63">
        <v>348802</v>
      </c>
      <c r="T57" s="82">
        <f t="shared" si="2"/>
        <v>5572900</v>
      </c>
    </row>
    <row r="58" spans="1:27">
      <c r="A58" s="28" t="s">
        <v>67</v>
      </c>
      <c r="B58" s="29">
        <v>14280</v>
      </c>
      <c r="C58" s="29">
        <v>12240</v>
      </c>
      <c r="D58" s="29">
        <v>0</v>
      </c>
      <c r="E58" s="29">
        <v>15300</v>
      </c>
      <c r="F58" s="29">
        <v>17340</v>
      </c>
      <c r="G58" s="45">
        <v>19380</v>
      </c>
      <c r="H58" s="29">
        <v>19380</v>
      </c>
      <c r="I58" s="29">
        <v>19380</v>
      </c>
      <c r="J58" s="29">
        <v>19380</v>
      </c>
      <c r="K58" s="29">
        <v>18360</v>
      </c>
      <c r="L58" s="45">
        <v>16320</v>
      </c>
      <c r="M58" s="29">
        <v>16320</v>
      </c>
      <c r="N58" s="29">
        <v>16320</v>
      </c>
      <c r="O58" s="29">
        <v>16320</v>
      </c>
      <c r="P58" s="29">
        <v>13260</v>
      </c>
      <c r="Q58" s="45">
        <v>15300</v>
      </c>
      <c r="R58" s="29">
        <v>15300</v>
      </c>
      <c r="S58" s="61">
        <v>14280</v>
      </c>
      <c r="T58" s="80">
        <f t="shared" si="2"/>
        <v>278460</v>
      </c>
    </row>
    <row r="59" spans="1:27">
      <c r="A59" s="15" t="s">
        <v>68</v>
      </c>
      <c r="B59" s="11">
        <v>2520</v>
      </c>
      <c r="C59" s="11">
        <v>2160</v>
      </c>
      <c r="D59" s="11">
        <v>0</v>
      </c>
      <c r="E59" s="11">
        <v>2700</v>
      </c>
      <c r="F59" s="11">
        <v>3060</v>
      </c>
      <c r="G59" s="43">
        <v>3420</v>
      </c>
      <c r="H59" s="11">
        <v>3420</v>
      </c>
      <c r="I59" s="11">
        <v>3420</v>
      </c>
      <c r="J59" s="11">
        <v>3420</v>
      </c>
      <c r="K59" s="11">
        <v>3240</v>
      </c>
      <c r="L59" s="43">
        <v>2880</v>
      </c>
      <c r="M59" s="11">
        <v>2880</v>
      </c>
      <c r="N59" s="11">
        <v>2880</v>
      </c>
      <c r="O59" s="11">
        <v>2880</v>
      </c>
      <c r="P59" s="11">
        <v>2340</v>
      </c>
      <c r="Q59" s="43">
        <v>0</v>
      </c>
      <c r="R59" s="11">
        <v>2700</v>
      </c>
      <c r="S59" s="59">
        <v>2520</v>
      </c>
      <c r="T59" s="78">
        <f t="shared" si="2"/>
        <v>46440</v>
      </c>
    </row>
    <row r="60" spans="1:27">
      <c r="A60" s="15" t="s">
        <v>69</v>
      </c>
      <c r="B60" s="11">
        <v>25620</v>
      </c>
      <c r="C60" s="11">
        <v>21960</v>
      </c>
      <c r="D60" s="11">
        <v>0</v>
      </c>
      <c r="E60" s="11">
        <v>27450</v>
      </c>
      <c r="F60" s="11">
        <v>31110</v>
      </c>
      <c r="G60" s="43">
        <v>34770</v>
      </c>
      <c r="H60" s="11">
        <v>34770</v>
      </c>
      <c r="I60" s="11">
        <v>34770</v>
      </c>
      <c r="J60" s="11">
        <v>34770</v>
      </c>
      <c r="K60" s="11">
        <v>32940</v>
      </c>
      <c r="L60" s="43">
        <v>29280</v>
      </c>
      <c r="M60" s="11">
        <v>29280</v>
      </c>
      <c r="N60" s="11">
        <v>29280</v>
      </c>
      <c r="O60" s="11">
        <v>29280</v>
      </c>
      <c r="P60" s="11">
        <v>23790</v>
      </c>
      <c r="Q60" s="43">
        <v>27450</v>
      </c>
      <c r="R60" s="11">
        <v>27450</v>
      </c>
      <c r="S60" s="59">
        <v>25620</v>
      </c>
      <c r="T60" s="78">
        <f t="shared" si="2"/>
        <v>499590</v>
      </c>
    </row>
    <row r="61" spans="1:27">
      <c r="A61" s="15" t="s">
        <v>70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43">
        <v>0</v>
      </c>
      <c r="H61" s="11">
        <v>0</v>
      </c>
      <c r="I61" s="11">
        <v>0</v>
      </c>
      <c r="J61" s="11">
        <v>0</v>
      </c>
      <c r="K61" s="11">
        <v>0</v>
      </c>
      <c r="L61" s="43">
        <v>0</v>
      </c>
      <c r="M61" s="11">
        <v>0</v>
      </c>
      <c r="N61" s="11">
        <v>0</v>
      </c>
      <c r="O61" s="11">
        <v>0</v>
      </c>
      <c r="P61" s="11">
        <v>0</v>
      </c>
      <c r="Q61" s="43">
        <v>0</v>
      </c>
      <c r="R61" s="11">
        <v>0</v>
      </c>
      <c r="S61" s="59">
        <v>0</v>
      </c>
      <c r="T61" s="78">
        <f t="shared" si="2"/>
        <v>0</v>
      </c>
    </row>
    <row r="62" spans="1:27">
      <c r="A62" s="15" t="s">
        <v>71</v>
      </c>
      <c r="B62" s="11">
        <v>896</v>
      </c>
      <c r="C62" s="11">
        <v>767</v>
      </c>
      <c r="D62" s="12" t="s">
        <v>72</v>
      </c>
      <c r="E62" s="11">
        <v>955</v>
      </c>
      <c r="F62" s="11">
        <v>960</v>
      </c>
      <c r="G62" s="43">
        <v>1034</v>
      </c>
      <c r="H62" s="11">
        <v>1035</v>
      </c>
      <c r="I62" s="11">
        <v>1095</v>
      </c>
      <c r="J62" s="11">
        <v>1098</v>
      </c>
      <c r="K62" s="11">
        <v>1145</v>
      </c>
      <c r="L62" s="43">
        <v>867</v>
      </c>
      <c r="M62" s="11">
        <v>895</v>
      </c>
      <c r="N62" s="11">
        <v>869</v>
      </c>
      <c r="O62" s="11">
        <v>931</v>
      </c>
      <c r="P62" s="11">
        <v>813</v>
      </c>
      <c r="Q62" s="43">
        <v>951</v>
      </c>
      <c r="R62" s="11">
        <v>926</v>
      </c>
      <c r="S62" s="59">
        <v>1046</v>
      </c>
      <c r="T62" s="78">
        <f t="shared" si="2"/>
        <v>16283</v>
      </c>
    </row>
    <row r="63" spans="1:27">
      <c r="A63" s="15" t="s">
        <v>74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43">
        <v>0</v>
      </c>
      <c r="H63" s="11">
        <v>0</v>
      </c>
      <c r="I63" s="11">
        <v>0</v>
      </c>
      <c r="J63" s="11">
        <v>0</v>
      </c>
      <c r="K63" s="11">
        <v>0</v>
      </c>
      <c r="L63" s="43">
        <v>0</v>
      </c>
      <c r="M63" s="11">
        <v>0</v>
      </c>
      <c r="N63" s="11">
        <v>0</v>
      </c>
      <c r="O63" s="11">
        <v>0</v>
      </c>
      <c r="P63" s="11">
        <v>0</v>
      </c>
      <c r="Q63" s="43">
        <v>0</v>
      </c>
      <c r="R63" s="11">
        <v>0</v>
      </c>
      <c r="S63" s="59">
        <v>0</v>
      </c>
      <c r="T63" s="78">
        <f t="shared" si="2"/>
        <v>0</v>
      </c>
    </row>
    <row r="64" spans="1:27" ht="14.25" thickBot="1">
      <c r="A64" s="31" t="s">
        <v>75</v>
      </c>
      <c r="B64" s="32">
        <v>43316</v>
      </c>
      <c r="C64" s="32">
        <v>37127</v>
      </c>
      <c r="D64" s="32">
        <v>0</v>
      </c>
      <c r="E64" s="32">
        <v>46405</v>
      </c>
      <c r="F64" s="32">
        <v>52470</v>
      </c>
      <c r="G64" s="46">
        <v>58604</v>
      </c>
      <c r="H64" s="32">
        <v>58605</v>
      </c>
      <c r="I64" s="32">
        <v>58665</v>
      </c>
      <c r="J64" s="32">
        <v>58668</v>
      </c>
      <c r="K64" s="32">
        <v>55685</v>
      </c>
      <c r="L64" s="46">
        <v>49347</v>
      </c>
      <c r="M64" s="32">
        <v>49375</v>
      </c>
      <c r="N64" s="32">
        <v>49349</v>
      </c>
      <c r="O64" s="32">
        <v>49411</v>
      </c>
      <c r="P64" s="32">
        <v>40203</v>
      </c>
      <c r="Q64" s="46">
        <v>43701</v>
      </c>
      <c r="R64" s="32">
        <v>46376</v>
      </c>
      <c r="S64" s="62">
        <v>43466</v>
      </c>
      <c r="T64" s="81">
        <f t="shared" si="2"/>
        <v>840773</v>
      </c>
    </row>
    <row r="65" spans="1:20" ht="14.25" thickBot="1">
      <c r="A65" s="33" t="s">
        <v>76</v>
      </c>
      <c r="B65" s="34">
        <v>249872</v>
      </c>
      <c r="C65" s="34">
        <v>216547</v>
      </c>
      <c r="D65" s="34">
        <v>144606</v>
      </c>
      <c r="E65" s="34">
        <v>260416</v>
      </c>
      <c r="F65" s="34">
        <v>264759</v>
      </c>
      <c r="G65" s="47">
        <v>281010</v>
      </c>
      <c r="H65" s="34">
        <v>283671</v>
      </c>
      <c r="I65" s="34">
        <v>302891</v>
      </c>
      <c r="J65" s="34">
        <v>295547</v>
      </c>
      <c r="K65" s="34">
        <v>323576</v>
      </c>
      <c r="L65" s="47">
        <v>237363</v>
      </c>
      <c r="M65" s="34">
        <v>248006</v>
      </c>
      <c r="N65" s="34">
        <v>237351</v>
      </c>
      <c r="O65" s="34">
        <v>256626</v>
      </c>
      <c r="P65" s="34">
        <v>225004</v>
      </c>
      <c r="Q65" s="47">
        <v>268916</v>
      </c>
      <c r="R65" s="34">
        <v>255311</v>
      </c>
      <c r="S65" s="63">
        <v>301729</v>
      </c>
      <c r="T65" s="82">
        <f t="shared" si="2"/>
        <v>4653201</v>
      </c>
    </row>
    <row r="66" spans="1:20">
      <c r="A66" s="28" t="s">
        <v>77</v>
      </c>
      <c r="B66" s="29">
        <v>1700</v>
      </c>
      <c r="C66" s="29">
        <v>5360</v>
      </c>
      <c r="D66" s="29">
        <v>2810</v>
      </c>
      <c r="E66" s="29">
        <v>5310</v>
      </c>
      <c r="F66" s="29">
        <v>7080</v>
      </c>
      <c r="G66" s="45">
        <v>6040</v>
      </c>
      <c r="H66" s="29">
        <v>7750</v>
      </c>
      <c r="I66" s="29">
        <v>6840</v>
      </c>
      <c r="J66" s="29">
        <v>6560</v>
      </c>
      <c r="K66" s="29">
        <v>10310</v>
      </c>
      <c r="L66" s="45">
        <v>6100</v>
      </c>
      <c r="M66" s="29">
        <v>4860</v>
      </c>
      <c r="N66" s="29">
        <v>6100</v>
      </c>
      <c r="O66" s="29">
        <v>5170</v>
      </c>
      <c r="P66" s="29">
        <v>5660</v>
      </c>
      <c r="Q66" s="45">
        <v>7230</v>
      </c>
      <c r="R66" s="29">
        <v>6740</v>
      </c>
      <c r="S66" s="61">
        <v>8520</v>
      </c>
      <c r="T66" s="80">
        <f t="shared" si="2"/>
        <v>110140</v>
      </c>
    </row>
    <row r="67" spans="1:20">
      <c r="A67" s="15" t="s">
        <v>78</v>
      </c>
      <c r="B67" s="11">
        <v>1300</v>
      </c>
      <c r="C67" s="11">
        <v>0</v>
      </c>
      <c r="D67" s="11">
        <v>0</v>
      </c>
      <c r="E67" s="11">
        <v>1300</v>
      </c>
      <c r="F67" s="11">
        <v>1300</v>
      </c>
      <c r="G67" s="43">
        <v>1300</v>
      </c>
      <c r="H67" s="11">
        <v>0</v>
      </c>
      <c r="I67" s="11">
        <v>1300</v>
      </c>
      <c r="J67" s="11">
        <v>1300</v>
      </c>
      <c r="K67" s="11">
        <v>1300</v>
      </c>
      <c r="L67" s="43">
        <v>1300</v>
      </c>
      <c r="M67" s="11">
        <v>1300</v>
      </c>
      <c r="N67" s="11">
        <v>1300</v>
      </c>
      <c r="O67" s="11">
        <v>1300</v>
      </c>
      <c r="P67" s="11">
        <v>0</v>
      </c>
      <c r="Q67" s="43">
        <v>0</v>
      </c>
      <c r="R67" s="11">
        <v>1300</v>
      </c>
      <c r="S67" s="59">
        <v>1300</v>
      </c>
      <c r="T67" s="78">
        <f t="shared" si="2"/>
        <v>16900</v>
      </c>
    </row>
    <row r="68" spans="1:20">
      <c r="A68" s="15" t="s">
        <v>79</v>
      </c>
      <c r="B68" s="11">
        <v>0</v>
      </c>
      <c r="C68" s="11">
        <v>0</v>
      </c>
      <c r="D68" s="11">
        <v>46500</v>
      </c>
      <c r="E68" s="11">
        <v>7100</v>
      </c>
      <c r="F68" s="11">
        <v>17200</v>
      </c>
      <c r="G68" s="43">
        <v>12700</v>
      </c>
      <c r="H68" s="11">
        <v>16900</v>
      </c>
      <c r="I68" s="11">
        <v>7700</v>
      </c>
      <c r="J68" s="11">
        <v>15000</v>
      </c>
      <c r="K68" s="11">
        <v>12500</v>
      </c>
      <c r="L68" s="43">
        <v>13100</v>
      </c>
      <c r="M68" s="11">
        <v>9600</v>
      </c>
      <c r="N68" s="11">
        <v>13500</v>
      </c>
      <c r="O68" s="11">
        <v>9300</v>
      </c>
      <c r="P68" s="11">
        <v>6300</v>
      </c>
      <c r="Q68" s="43">
        <v>7400</v>
      </c>
      <c r="R68" s="11">
        <v>8900</v>
      </c>
      <c r="S68" s="59">
        <v>12200</v>
      </c>
      <c r="T68" s="78">
        <f t="shared" si="2"/>
        <v>215900</v>
      </c>
    </row>
    <row r="69" spans="1:20">
      <c r="A69" s="15" t="s">
        <v>80</v>
      </c>
      <c r="B69" s="11">
        <v>675</v>
      </c>
      <c r="C69" s="11">
        <v>6874</v>
      </c>
      <c r="D69" s="11">
        <v>0</v>
      </c>
      <c r="E69" s="11">
        <v>7996</v>
      </c>
      <c r="F69" s="11">
        <v>1191</v>
      </c>
      <c r="G69" s="43">
        <v>3014</v>
      </c>
      <c r="H69" s="11">
        <v>14669</v>
      </c>
      <c r="I69" s="11">
        <v>0</v>
      </c>
      <c r="J69" s="11">
        <v>20067</v>
      </c>
      <c r="K69" s="11">
        <v>3406</v>
      </c>
      <c r="L69" s="43">
        <v>790</v>
      </c>
      <c r="M69" s="11">
        <v>5185</v>
      </c>
      <c r="N69" s="11">
        <v>1942</v>
      </c>
      <c r="O69" s="11">
        <v>659</v>
      </c>
      <c r="P69" s="11">
        <v>27746</v>
      </c>
      <c r="Q69" s="43">
        <v>1940</v>
      </c>
      <c r="R69" s="11">
        <v>10753</v>
      </c>
      <c r="S69" s="59">
        <v>11955</v>
      </c>
      <c r="T69" s="78">
        <f t="shared" si="2"/>
        <v>118862</v>
      </c>
    </row>
    <row r="70" spans="1:20">
      <c r="A70" s="15" t="s">
        <v>81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43">
        <v>0</v>
      </c>
      <c r="H70" s="11">
        <v>0</v>
      </c>
      <c r="I70" s="11">
        <v>0</v>
      </c>
      <c r="J70" s="11">
        <v>0</v>
      </c>
      <c r="K70" s="11">
        <v>0</v>
      </c>
      <c r="L70" s="43">
        <v>0</v>
      </c>
      <c r="M70" s="11">
        <v>0</v>
      </c>
      <c r="N70" s="11">
        <v>0</v>
      </c>
      <c r="O70" s="11">
        <v>0</v>
      </c>
      <c r="P70" s="11">
        <v>0</v>
      </c>
      <c r="Q70" s="43">
        <v>0</v>
      </c>
      <c r="R70" s="11">
        <v>0</v>
      </c>
      <c r="S70" s="59">
        <v>0</v>
      </c>
      <c r="T70" s="78">
        <f t="shared" si="2"/>
        <v>0</v>
      </c>
    </row>
    <row r="71" spans="1:20">
      <c r="A71" s="15" t="s">
        <v>82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43">
        <v>0</v>
      </c>
      <c r="H71" s="11">
        <v>0</v>
      </c>
      <c r="I71" s="11">
        <v>0</v>
      </c>
      <c r="J71" s="11">
        <v>0</v>
      </c>
      <c r="K71" s="11">
        <v>0</v>
      </c>
      <c r="L71" s="43">
        <v>0</v>
      </c>
      <c r="M71" s="11">
        <v>0</v>
      </c>
      <c r="N71" s="11">
        <v>0</v>
      </c>
      <c r="O71" s="11">
        <v>0</v>
      </c>
      <c r="P71" s="11">
        <v>0</v>
      </c>
      <c r="Q71" s="43">
        <v>0</v>
      </c>
      <c r="R71" s="11">
        <v>0</v>
      </c>
      <c r="S71" s="59">
        <v>0</v>
      </c>
      <c r="T71" s="78">
        <f t="shared" si="2"/>
        <v>0</v>
      </c>
    </row>
    <row r="72" spans="1:20" ht="14.25" thickBot="1">
      <c r="A72" s="31" t="s">
        <v>83</v>
      </c>
      <c r="B72" s="32">
        <v>3675</v>
      </c>
      <c r="C72" s="32">
        <v>12234</v>
      </c>
      <c r="D72" s="32">
        <v>49310</v>
      </c>
      <c r="E72" s="32">
        <v>21706</v>
      </c>
      <c r="F72" s="32">
        <v>26771</v>
      </c>
      <c r="G72" s="46">
        <v>23054</v>
      </c>
      <c r="H72" s="32">
        <v>39319</v>
      </c>
      <c r="I72" s="32">
        <v>15840</v>
      </c>
      <c r="J72" s="32">
        <v>42927</v>
      </c>
      <c r="K72" s="32">
        <v>27516</v>
      </c>
      <c r="L72" s="46">
        <v>21290</v>
      </c>
      <c r="M72" s="32">
        <v>20945</v>
      </c>
      <c r="N72" s="32">
        <v>22842</v>
      </c>
      <c r="O72" s="32">
        <v>16429</v>
      </c>
      <c r="P72" s="32">
        <v>39706</v>
      </c>
      <c r="Q72" s="46">
        <v>16570</v>
      </c>
      <c r="R72" s="32">
        <v>27693</v>
      </c>
      <c r="S72" s="62">
        <v>33975</v>
      </c>
      <c r="T72" s="81">
        <f t="shared" si="2"/>
        <v>461802</v>
      </c>
    </row>
    <row r="73" spans="1:20" ht="14.25" thickBot="1">
      <c r="A73" s="33" t="s">
        <v>84</v>
      </c>
      <c r="B73" s="34">
        <v>46991</v>
      </c>
      <c r="C73" s="34">
        <v>49361</v>
      </c>
      <c r="D73" s="34">
        <v>49310</v>
      </c>
      <c r="E73" s="34">
        <v>68111</v>
      </c>
      <c r="F73" s="34">
        <v>79241</v>
      </c>
      <c r="G73" s="47">
        <v>81658</v>
      </c>
      <c r="H73" s="34">
        <v>97924</v>
      </c>
      <c r="I73" s="34">
        <v>74505</v>
      </c>
      <c r="J73" s="34">
        <v>101595</v>
      </c>
      <c r="K73" s="34">
        <v>83201</v>
      </c>
      <c r="L73" s="47">
        <v>70637</v>
      </c>
      <c r="M73" s="34">
        <v>70320</v>
      </c>
      <c r="N73" s="34">
        <v>72191</v>
      </c>
      <c r="O73" s="34">
        <v>65840</v>
      </c>
      <c r="P73" s="34">
        <v>79909</v>
      </c>
      <c r="Q73" s="47">
        <v>60271</v>
      </c>
      <c r="R73" s="34">
        <v>74069</v>
      </c>
      <c r="S73" s="63">
        <v>77441</v>
      </c>
      <c r="T73" s="82">
        <f t="shared" si="2"/>
        <v>1302575</v>
      </c>
    </row>
    <row r="74" spans="1:20" ht="14.25" thickBot="1">
      <c r="A74" s="33" t="s">
        <v>85</v>
      </c>
      <c r="B74" s="34">
        <v>251540</v>
      </c>
      <c r="C74" s="34">
        <v>206273</v>
      </c>
      <c r="D74" s="34">
        <v>96009</v>
      </c>
      <c r="E74" s="34">
        <v>250286</v>
      </c>
      <c r="F74" s="34">
        <v>240660</v>
      </c>
      <c r="G74" s="47">
        <v>262965</v>
      </c>
      <c r="H74" s="34">
        <v>247135</v>
      </c>
      <c r="I74" s="34">
        <v>290524</v>
      </c>
      <c r="J74" s="34">
        <v>264397</v>
      </c>
      <c r="K74" s="34">
        <v>298376</v>
      </c>
      <c r="L74" s="47">
        <v>218211</v>
      </c>
      <c r="M74" s="34">
        <v>228175</v>
      </c>
      <c r="N74" s="34">
        <v>217403</v>
      </c>
      <c r="O74" s="34">
        <v>244650</v>
      </c>
      <c r="P74" s="34">
        <v>191086</v>
      </c>
      <c r="Q74" s="47">
        <v>256710</v>
      </c>
      <c r="R74" s="34">
        <v>234564</v>
      </c>
      <c r="S74" s="63">
        <v>271361</v>
      </c>
      <c r="T74" s="82">
        <f t="shared" si="2"/>
        <v>4270325</v>
      </c>
    </row>
    <row r="75" spans="1:20">
      <c r="A75" s="28" t="s">
        <v>86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45">
        <v>0</v>
      </c>
      <c r="H75" s="29">
        <v>0</v>
      </c>
      <c r="I75" s="29">
        <v>0</v>
      </c>
      <c r="J75" s="29">
        <v>0</v>
      </c>
      <c r="K75" s="29">
        <v>0</v>
      </c>
      <c r="L75" s="45">
        <v>0</v>
      </c>
      <c r="M75" s="29">
        <v>0</v>
      </c>
      <c r="N75" s="29">
        <v>0</v>
      </c>
      <c r="O75" s="29">
        <v>0</v>
      </c>
      <c r="P75" s="29">
        <v>0</v>
      </c>
      <c r="Q75" s="45">
        <v>0</v>
      </c>
      <c r="R75" s="29">
        <v>0</v>
      </c>
      <c r="S75" s="61">
        <v>0</v>
      </c>
      <c r="T75" s="80">
        <f t="shared" si="2"/>
        <v>0</v>
      </c>
    </row>
    <row r="76" spans="1:20">
      <c r="A76" s="15" t="s">
        <v>87</v>
      </c>
      <c r="B76" s="11">
        <v>251540</v>
      </c>
      <c r="C76" s="11">
        <v>206273</v>
      </c>
      <c r="D76" s="11">
        <v>96009</v>
      </c>
      <c r="E76" s="11">
        <v>250286</v>
      </c>
      <c r="F76" s="11">
        <v>240660</v>
      </c>
      <c r="G76" s="43">
        <v>262965</v>
      </c>
      <c r="H76" s="11">
        <v>247135</v>
      </c>
      <c r="I76" s="11">
        <v>290524</v>
      </c>
      <c r="J76" s="11">
        <v>264397</v>
      </c>
      <c r="K76" s="11">
        <v>298376</v>
      </c>
      <c r="L76" s="43">
        <v>218211</v>
      </c>
      <c r="M76" s="11">
        <v>228175</v>
      </c>
      <c r="N76" s="11">
        <v>217403</v>
      </c>
      <c r="O76" s="11">
        <v>244650</v>
      </c>
      <c r="P76" s="11">
        <v>191086</v>
      </c>
      <c r="Q76" s="43">
        <v>256710</v>
      </c>
      <c r="R76" s="11">
        <v>234564</v>
      </c>
      <c r="S76" s="59">
        <v>271361</v>
      </c>
      <c r="T76" s="78">
        <f t="shared" si="2"/>
        <v>4270325</v>
      </c>
    </row>
    <row r="77" spans="1:20">
      <c r="A77" s="15" t="s">
        <v>88</v>
      </c>
      <c r="B77" s="13">
        <v>6</v>
      </c>
      <c r="C77" s="13">
        <v>4</v>
      </c>
      <c r="D77" s="13">
        <v>0</v>
      </c>
      <c r="E77" s="13">
        <v>17</v>
      </c>
      <c r="F77" s="13">
        <v>15</v>
      </c>
      <c r="G77" s="48">
        <v>33</v>
      </c>
      <c r="H77" s="13">
        <v>27</v>
      </c>
      <c r="I77" s="13">
        <v>14</v>
      </c>
      <c r="J77" s="13">
        <v>27</v>
      </c>
      <c r="K77" s="13">
        <v>23</v>
      </c>
      <c r="L77" s="48">
        <v>18</v>
      </c>
      <c r="M77" s="13">
        <v>19</v>
      </c>
      <c r="N77" s="13">
        <v>5</v>
      </c>
      <c r="O77" s="13">
        <v>21</v>
      </c>
      <c r="P77" s="13">
        <v>0</v>
      </c>
      <c r="Q77" s="48">
        <v>8</v>
      </c>
      <c r="R77" s="13">
        <v>10</v>
      </c>
      <c r="S77" s="65">
        <v>1</v>
      </c>
      <c r="T77" s="83"/>
    </row>
    <row r="78" spans="1:20">
      <c r="A78" s="15" t="s">
        <v>89</v>
      </c>
      <c r="B78" s="12">
        <v>3</v>
      </c>
      <c r="C78" s="12"/>
      <c r="D78" s="12"/>
      <c r="E78" s="12">
        <v>1</v>
      </c>
      <c r="F78" s="12"/>
      <c r="G78" s="49">
        <v>1</v>
      </c>
      <c r="H78" s="12"/>
      <c r="I78" s="12">
        <v>1</v>
      </c>
      <c r="J78" s="12">
        <v>1</v>
      </c>
      <c r="K78" s="12"/>
      <c r="L78" s="49"/>
      <c r="M78" s="12">
        <v>1</v>
      </c>
      <c r="N78" s="12"/>
      <c r="O78" s="12">
        <v>1</v>
      </c>
      <c r="P78" s="12"/>
      <c r="Q78" s="49"/>
      <c r="R78" s="12"/>
      <c r="S78" s="64"/>
      <c r="T78" s="84"/>
    </row>
    <row r="79" spans="1:20" ht="14.25" thickBot="1">
      <c r="A79" s="16" t="s">
        <v>90</v>
      </c>
      <c r="B79" s="17" t="s">
        <v>91</v>
      </c>
      <c r="C79" s="17" t="s">
        <v>91</v>
      </c>
      <c r="D79" s="17" t="s">
        <v>91</v>
      </c>
      <c r="E79" s="17" t="s">
        <v>91</v>
      </c>
      <c r="F79" s="17" t="s">
        <v>91</v>
      </c>
      <c r="G79" s="50" t="s">
        <v>91</v>
      </c>
      <c r="H79" s="17" t="s">
        <v>91</v>
      </c>
      <c r="I79" s="17" t="s">
        <v>91</v>
      </c>
      <c r="J79" s="17" t="s">
        <v>91</v>
      </c>
      <c r="K79" s="17" t="s">
        <v>91</v>
      </c>
      <c r="L79" s="50" t="s">
        <v>91</v>
      </c>
      <c r="M79" s="17" t="s">
        <v>91</v>
      </c>
      <c r="N79" s="17" t="s">
        <v>91</v>
      </c>
      <c r="O79" s="17" t="s">
        <v>91</v>
      </c>
      <c r="P79" s="17" t="s">
        <v>91</v>
      </c>
      <c r="Q79" s="50" t="s">
        <v>91</v>
      </c>
      <c r="R79" s="17" t="s">
        <v>91</v>
      </c>
      <c r="S79" s="66" t="s">
        <v>91</v>
      </c>
      <c r="T79" s="85"/>
    </row>
  </sheetData>
  <phoneticPr fontId="1"/>
  <pageMargins left="0.43307086614173229" right="0.35433070866141736" top="0.51181102362204722" bottom="0.35433070866141736" header="0.19685039370078741" footer="0.27559055118110237"/>
  <pageSetup paperSize="12" scale="68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yukiko sakata</dc:creator>
  <cp:keywords/>
  <dc:description/>
  <cp:lastModifiedBy>若林孝次郎</cp:lastModifiedBy>
  <cp:revision/>
  <dcterms:created xsi:type="dcterms:W3CDTF">2011-10-11T01:59:58Z</dcterms:created>
  <dcterms:modified xsi:type="dcterms:W3CDTF">2025-04-09T00:19:37Z</dcterms:modified>
  <cp:category/>
  <cp:contentStatus/>
</cp:coreProperties>
</file>