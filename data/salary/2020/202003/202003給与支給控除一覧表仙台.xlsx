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3ED5BFB3-2567-48D3-8286-DD6A2099D99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(2)'!$A$1:$O$79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4" i="2" l="1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53" i="2"/>
  <c r="D33" i="2"/>
  <c r="D25" i="2"/>
  <c r="D24" i="2"/>
  <c r="D13" i="2"/>
  <c r="N26" i="2" l="1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25" i="2"/>
  <c r="N24" i="2"/>
  <c r="N19" i="2"/>
  <c r="N18" i="2"/>
  <c r="N14" i="2"/>
  <c r="N15" i="2"/>
  <c r="N16" i="2"/>
  <c r="N12" i="2"/>
  <c r="N8" i="2"/>
  <c r="N9" i="2"/>
  <c r="N10" i="2"/>
  <c r="N7" i="2"/>
  <c r="N6" i="2"/>
  <c r="D10" i="2"/>
  <c r="D6" i="2"/>
</calcChain>
</file>

<file path=xl/sharedStrings.xml><?xml version="1.0" encoding="utf-8"?>
<sst xmlns="http://schemas.openxmlformats.org/spreadsheetml/2006/main" count="116" uniqueCount="93">
  <si>
    <t>所　属</t>
  </si>
  <si>
    <t>社　員</t>
  </si>
  <si>
    <t>２０20年3月分</t>
  </si>
  <si>
    <t>仙台営業所</t>
  </si>
  <si>
    <t>井上　隆良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</si>
  <si>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</si>
  <si>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</si>
  <si>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</si>
  <si>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</si>
  <si>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</si>
  <si>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</si>
  <si>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</si>
  <si>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</si>
  <si>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</si>
  <si>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</si>
  <si>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社定休日残業</t>
  </si>
  <si>
    <t>特定休日残業</t>
  </si>
  <si>
    <t>法定代休残業</t>
  </si>
  <si>
    <t>社定代休残業</t>
  </si>
  <si>
    <t>特定代休残業</t>
  </si>
  <si>
    <t>所定時間内残業</t>
  </si>
  <si>
    <t>遅早時間</t>
  </si>
  <si>
    <t>有給休暇時間</t>
  </si>
  <si>
    <t>深夜残業</t>
  </si>
  <si>
    <t>山田　智明</t>
  </si>
  <si>
    <t>伊藤　徹朗</t>
  </si>
  <si>
    <t>刈谷　俊之</t>
  </si>
  <si>
    <t>大沼　幸夫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</si>
  <si>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</si>
  <si>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</si>
  <si>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</si>
  <si>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</si>
  <si>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</si>
  <si>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</si>
  <si>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</si>
  <si>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</si>
  <si>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</si>
  <si>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</si>
  <si>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</si>
  <si>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</si>
  <si>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</si>
  <si>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</si>
  <si>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</si>
  <si>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</si>
  <si>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</si>
  <si>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</si>
  <si>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</si>
  <si>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</si>
  <si>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特定休日深夜</t>
  </si>
  <si>
    <t>法定代休有残業</t>
  </si>
  <si>
    <t>社定代休有残業</t>
  </si>
  <si>
    <t>特定代休有残業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</si>
  <si>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</si>
  <si>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</si>
  <si>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</si>
  <si>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</si>
  <si>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</si>
  <si>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</si>
  <si>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</si>
  <si>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</si>
  <si>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</si>
  <si>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</si>
  <si>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</si>
  <si>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</si>
  <si>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</si>
  <si>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</si>
  <si>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</si>
  <si>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</si>
  <si>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</si>
  <si>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</si>
  <si>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</si>
  <si>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</si>
  <si>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</si>
  <si>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</si>
  <si>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</si>
  <si>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</si>
  <si>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</si>
  <si>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</si>
  <si>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</si>
  <si>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</si>
  <si>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仙台営業所/ドライバー</t>
  </si>
  <si>
    <t>鎌倉　昭治</t>
  </si>
  <si>
    <t>佐藤　守</t>
  </si>
  <si>
    <t>高橋　徹</t>
  </si>
  <si>
    <t>髙橋　英晃</t>
  </si>
  <si>
    <t>鈴木　貴雄</t>
  </si>
  <si>
    <t>仙台営業所/事務</t>
  </si>
  <si>
    <t>佐藤　ゆうこ</t>
  </si>
  <si>
    <t>11名</t>
  </si>
  <si>
    <t>全社計</t>
  </si>
  <si>
    <t>小計</t>
    <rPh sb="0" eb="2">
      <t>ショウケイ</t>
    </rPh>
    <phoneticPr fontId="1"/>
  </si>
  <si>
    <t>9名</t>
    <rPh sb="1" eb="2">
      <t>メイ</t>
    </rPh>
    <phoneticPr fontId="1"/>
  </si>
  <si>
    <t>2名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</si>
</sst>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7" fontId="2" fillId="0" borderId="20" xfId="0" applyNumberFormat="1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>
      <alignment vertical="center"/>
    </xf>
    <xf numFmtId="0" fontId="2" fillId="0" borderId="43" xfId="0" applyFont="1" applyFill="1" applyBorder="1">
      <alignment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45" xfId="0" applyFont="1" applyFill="1" applyBorder="1">
      <alignment vertical="center"/>
    </xf>
    <xf numFmtId="0" fontId="2" fillId="0" borderId="45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6B58-C46C-4F31-8449-3306A3989E16}">
  <sheetPr>
    <pageSetUpPr fitToPage="1"/>
  </sheetPr>
  <dimension ref="A1:AO79"/>
  <sheetViews>
    <sheetView tabSelected="1" zoomScale="80" zoomScaleNormal="80" workbookViewId="0">
      <selection activeCell="I8" sqref="I8"/>
    </sheetView>
  </sheetViews>
  <sheetFormatPr defaultRowHeight="13.5" x14ac:dyDescent="0.15"/>
  <cols>
    <col min="1" max="1" width="17.625" style="2" customWidth="1"/>
    <col min="2" max="15" width="11.625" style="2" customWidth="1"/>
    <col min="16" max="22" width="10.5" style="2" customWidth="1"/>
    <col min="23" max="16384" width="9" style="2"/>
  </cols>
  <sheetData>
    <row r="1" spans="1:41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8"/>
      <c r="J1" s="7"/>
      <c r="K1" s="1"/>
      <c r="L1" s="1"/>
      <c r="M1" s="8"/>
      <c r="N1" s="8"/>
      <c r="O1" s="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15">
      <c r="A3" s="19" t="s">
        <v>0</v>
      </c>
      <c r="B3" s="36" t="s">
        <v>80</v>
      </c>
      <c r="C3" s="102" t="s">
        <v>86</v>
      </c>
      <c r="D3" s="85" t="s">
        <v>90</v>
      </c>
      <c r="E3" s="36" t="s">
        <v>3</v>
      </c>
      <c r="F3" s="20" t="s">
        <v>3</v>
      </c>
      <c r="G3" s="20" t="s">
        <v>3</v>
      </c>
      <c r="H3" s="20" t="s">
        <v>3</v>
      </c>
      <c r="I3" s="20" t="s">
        <v>3</v>
      </c>
      <c r="J3" s="20" t="s">
        <v>80</v>
      </c>
      <c r="K3" s="20" t="s">
        <v>80</v>
      </c>
      <c r="L3" s="20" t="s">
        <v>80</v>
      </c>
      <c r="M3" s="52" t="s">
        <v>80</v>
      </c>
      <c r="N3" s="85" t="s">
        <v>90</v>
      </c>
      <c r="O3" s="68" t="s">
        <v>89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15">
      <c r="A4" s="21"/>
      <c r="B4" s="37">
        <v>1023</v>
      </c>
      <c r="C4" s="1">
        <v>1072</v>
      </c>
      <c r="D4" s="86"/>
      <c r="E4" s="37">
        <v>1046</v>
      </c>
      <c r="F4" s="22">
        <v>1070</v>
      </c>
      <c r="G4" s="22">
        <v>1081</v>
      </c>
      <c r="H4" s="22">
        <v>1083</v>
      </c>
      <c r="I4" s="22">
        <v>1084</v>
      </c>
      <c r="J4" s="22">
        <v>1037</v>
      </c>
      <c r="K4" s="22">
        <v>1038</v>
      </c>
      <c r="L4" s="22">
        <v>1042</v>
      </c>
      <c r="M4" s="53">
        <v>1043</v>
      </c>
      <c r="N4" s="86"/>
      <c r="O4" s="6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4.25" thickBot="1" x14ac:dyDescent="0.2">
      <c r="A5" s="21" t="s">
        <v>1</v>
      </c>
      <c r="B5" s="37" t="s">
        <v>81</v>
      </c>
      <c r="C5" s="1" t="s">
        <v>87</v>
      </c>
      <c r="D5" s="87" t="s">
        <v>92</v>
      </c>
      <c r="E5" s="37" t="s">
        <v>4</v>
      </c>
      <c r="F5" s="22" t="s">
        <v>24</v>
      </c>
      <c r="G5" s="22" t="s">
        <v>25</v>
      </c>
      <c r="H5" s="22" t="s">
        <v>26</v>
      </c>
      <c r="I5" s="22" t="s">
        <v>27</v>
      </c>
      <c r="J5" s="22" t="s">
        <v>82</v>
      </c>
      <c r="K5" s="22" t="s">
        <v>83</v>
      </c>
      <c r="L5" s="22" t="s">
        <v>84</v>
      </c>
      <c r="M5" s="53" t="s">
        <v>85</v>
      </c>
      <c r="N5" s="87" t="s">
        <v>91</v>
      </c>
      <c r="O5" s="70" t="s">
        <v>88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15">
      <c r="A6" s="23" t="s">
        <v>5</v>
      </c>
      <c r="B6" s="38">
        <v>22</v>
      </c>
      <c r="C6" s="103">
        <v>20</v>
      </c>
      <c r="D6" s="88">
        <f>SUM(B6:C6)</f>
        <v>42</v>
      </c>
      <c r="E6" s="38">
        <v>21</v>
      </c>
      <c r="F6" s="24">
        <v>15</v>
      </c>
      <c r="G6" s="24">
        <v>6</v>
      </c>
      <c r="H6" s="24">
        <v>21</v>
      </c>
      <c r="I6" s="24">
        <v>21</v>
      </c>
      <c r="J6" s="24">
        <v>22</v>
      </c>
      <c r="K6" s="24">
        <v>21</v>
      </c>
      <c r="L6" s="24">
        <v>19</v>
      </c>
      <c r="M6" s="54">
        <v>21</v>
      </c>
      <c r="N6" s="88">
        <f>SUM(E6:M6)</f>
        <v>167</v>
      </c>
      <c r="O6" s="71">
        <v>209</v>
      </c>
      <c r="P6" s="3"/>
      <c r="Q6" s="3"/>
      <c r="R6" s="3"/>
      <c r="S6" s="3"/>
      <c r="T6" s="3"/>
      <c r="U6" s="3"/>
      <c r="V6" s="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15">
      <c r="A7" s="15" t="s">
        <v>6</v>
      </c>
      <c r="B7" s="39"/>
      <c r="C7" s="104"/>
      <c r="D7" s="116"/>
      <c r="E7" s="39"/>
      <c r="F7" s="10"/>
      <c r="G7" s="9">
        <v>1</v>
      </c>
      <c r="H7" s="9">
        <v>2</v>
      </c>
      <c r="I7" s="10"/>
      <c r="J7" s="9">
        <v>2</v>
      </c>
      <c r="K7" s="9">
        <v>2</v>
      </c>
      <c r="L7" s="9">
        <v>2</v>
      </c>
      <c r="M7" s="55">
        <v>2</v>
      </c>
      <c r="N7" s="89">
        <f>SUM(E7:M7)</f>
        <v>11</v>
      </c>
      <c r="O7" s="72">
        <v>11</v>
      </c>
      <c r="P7" s="4"/>
      <c r="Q7" s="4"/>
      <c r="R7" s="4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15">
      <c r="A8" s="15" t="s">
        <v>7</v>
      </c>
      <c r="B8" s="39"/>
      <c r="C8" s="104"/>
      <c r="D8" s="116"/>
      <c r="E8" s="39"/>
      <c r="F8" s="10"/>
      <c r="G8" s="10"/>
      <c r="H8" s="9">
        <v>2</v>
      </c>
      <c r="I8" s="10"/>
      <c r="J8" s="9">
        <v>2</v>
      </c>
      <c r="K8" s="9">
        <v>3</v>
      </c>
      <c r="L8" s="9">
        <v>1</v>
      </c>
      <c r="M8" s="55">
        <v>2</v>
      </c>
      <c r="N8" s="89">
        <f t="shared" ref="N8:N10" si="0">SUM(E8:M8)</f>
        <v>10</v>
      </c>
      <c r="O8" s="72">
        <v>10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15">
      <c r="A9" s="15" t="s">
        <v>8</v>
      </c>
      <c r="B9" s="39"/>
      <c r="C9" s="104"/>
      <c r="D9" s="116"/>
      <c r="E9" s="39"/>
      <c r="F9" s="9">
        <v>3</v>
      </c>
      <c r="G9" s="10"/>
      <c r="H9" s="10"/>
      <c r="I9" s="10"/>
      <c r="J9" s="10"/>
      <c r="K9" s="10"/>
      <c r="L9" s="9">
        <v>3</v>
      </c>
      <c r="M9" s="56"/>
      <c r="N9" s="89">
        <f t="shared" si="0"/>
        <v>6</v>
      </c>
      <c r="O9" s="72">
        <v>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15">
      <c r="A10" s="15" t="s">
        <v>9</v>
      </c>
      <c r="B10" s="40">
        <v>1</v>
      </c>
      <c r="C10" s="104"/>
      <c r="D10" s="89">
        <f>SUM(B10:C10)</f>
        <v>1</v>
      </c>
      <c r="E10" s="40">
        <v>2</v>
      </c>
      <c r="F10" s="9">
        <v>5</v>
      </c>
      <c r="G10" s="9">
        <v>4</v>
      </c>
      <c r="H10" s="9">
        <v>2</v>
      </c>
      <c r="I10" s="9">
        <v>2</v>
      </c>
      <c r="J10" s="9">
        <v>1</v>
      </c>
      <c r="K10" s="9">
        <v>2</v>
      </c>
      <c r="L10" s="9">
        <v>1</v>
      </c>
      <c r="M10" s="55">
        <v>2</v>
      </c>
      <c r="N10" s="89">
        <f t="shared" si="0"/>
        <v>21</v>
      </c>
      <c r="O10" s="72">
        <v>22</v>
      </c>
      <c r="P10" s="1"/>
      <c r="Q10" s="3"/>
      <c r="R10" s="3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15">
      <c r="A11" s="15" t="s">
        <v>10</v>
      </c>
      <c r="B11" s="39"/>
      <c r="C11" s="104"/>
      <c r="D11" s="116"/>
      <c r="E11" s="39"/>
      <c r="F11" s="10"/>
      <c r="G11" s="10"/>
      <c r="H11" s="10"/>
      <c r="I11" s="10"/>
      <c r="J11" s="10"/>
      <c r="K11" s="10"/>
      <c r="L11" s="10"/>
      <c r="M11" s="56"/>
      <c r="N11" s="90"/>
      <c r="O11" s="7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x14ac:dyDescent="0.15">
      <c r="A12" s="15" t="s">
        <v>11</v>
      </c>
      <c r="B12" s="39"/>
      <c r="C12" s="104"/>
      <c r="D12" s="116"/>
      <c r="E12" s="39"/>
      <c r="F12" s="10"/>
      <c r="G12" s="9">
        <v>10</v>
      </c>
      <c r="H12" s="10"/>
      <c r="I12" s="10"/>
      <c r="J12" s="10"/>
      <c r="K12" s="10"/>
      <c r="L12" s="10"/>
      <c r="M12" s="56"/>
      <c r="N12" s="89">
        <f>SUM(E12:M12)</f>
        <v>10</v>
      </c>
      <c r="O12" s="72">
        <v>10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x14ac:dyDescent="0.15">
      <c r="A13" s="15" t="s">
        <v>12</v>
      </c>
      <c r="B13" s="39"/>
      <c r="C13" s="105">
        <v>4.458333333333333</v>
      </c>
      <c r="D13" s="91">
        <f>SUM(B13:C13)</f>
        <v>4.458333333333333</v>
      </c>
      <c r="E13" s="39"/>
      <c r="F13" s="10"/>
      <c r="G13" s="10"/>
      <c r="H13" s="10"/>
      <c r="I13" s="10"/>
      <c r="J13" s="10"/>
      <c r="K13" s="10"/>
      <c r="L13" s="10"/>
      <c r="M13" s="56"/>
      <c r="N13" s="89"/>
      <c r="O13" s="74">
        <v>4.458333333333333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x14ac:dyDescent="0.15">
      <c r="A14" s="15" t="s">
        <v>13</v>
      </c>
      <c r="B14" s="39"/>
      <c r="C14" s="104"/>
      <c r="D14" s="116"/>
      <c r="E14" s="51">
        <v>2.875</v>
      </c>
      <c r="F14" s="11">
        <v>1.1666666666666667</v>
      </c>
      <c r="G14" s="11">
        <v>0.54166666666666663</v>
      </c>
      <c r="H14" s="11">
        <v>2.5833333333333335</v>
      </c>
      <c r="I14" s="11">
        <v>2.9166666666666665</v>
      </c>
      <c r="J14" s="11">
        <v>1.375</v>
      </c>
      <c r="K14" s="11">
        <v>0.70833333333333337</v>
      </c>
      <c r="L14" s="11">
        <v>1.4583333333333333</v>
      </c>
      <c r="M14" s="57">
        <v>2.4166666666666665</v>
      </c>
      <c r="N14" s="91">
        <f t="shared" ref="N14:N16" si="1">SUM(E14:M14)</f>
        <v>16.041666666666668</v>
      </c>
      <c r="O14" s="74">
        <v>16.041666666666668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x14ac:dyDescent="0.15">
      <c r="A15" s="15" t="s">
        <v>14</v>
      </c>
      <c r="B15" s="39"/>
      <c r="C15" s="104"/>
      <c r="D15" s="116"/>
      <c r="E15" s="39"/>
      <c r="F15" s="10"/>
      <c r="G15" s="11">
        <v>0.20833333333333334</v>
      </c>
      <c r="H15" s="11">
        <v>0.41666666666666669</v>
      </c>
      <c r="I15" s="10"/>
      <c r="J15" s="11">
        <v>0.79166666666666663</v>
      </c>
      <c r="K15" s="11">
        <v>0.70833333333333337</v>
      </c>
      <c r="L15" s="11">
        <v>0.75</v>
      </c>
      <c r="M15" s="57">
        <v>0.91666666666666663</v>
      </c>
      <c r="N15" s="91">
        <f t="shared" si="1"/>
        <v>3.7916666666666665</v>
      </c>
      <c r="O15" s="74">
        <v>3.7916666666666665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x14ac:dyDescent="0.15">
      <c r="A16" s="15" t="s">
        <v>15</v>
      </c>
      <c r="B16" s="39"/>
      <c r="C16" s="104"/>
      <c r="D16" s="116"/>
      <c r="E16" s="39"/>
      <c r="F16" s="10"/>
      <c r="G16" s="10"/>
      <c r="H16" s="11">
        <v>0.58333333333333337</v>
      </c>
      <c r="I16" s="10"/>
      <c r="J16" s="11">
        <v>1</v>
      </c>
      <c r="K16" s="11">
        <v>1.0416666666666667</v>
      </c>
      <c r="L16" s="11">
        <v>0.5</v>
      </c>
      <c r="M16" s="57">
        <v>0.95833333333333337</v>
      </c>
      <c r="N16" s="91">
        <f t="shared" si="1"/>
        <v>4.083333333333333</v>
      </c>
      <c r="O16" s="74">
        <v>4.083333333333333</v>
      </c>
      <c r="P16" s="5"/>
      <c r="Q16" s="5"/>
      <c r="R16" s="5"/>
      <c r="S16" s="5"/>
      <c r="T16" s="5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x14ac:dyDescent="0.15">
      <c r="A17" s="15" t="s">
        <v>16</v>
      </c>
      <c r="B17" s="39"/>
      <c r="C17" s="104"/>
      <c r="D17" s="116"/>
      <c r="E17" s="39"/>
      <c r="F17" s="10"/>
      <c r="G17" s="10"/>
      <c r="H17" s="10"/>
      <c r="I17" s="10"/>
      <c r="J17" s="10"/>
      <c r="K17" s="10"/>
      <c r="L17" s="10"/>
      <c r="M17" s="56"/>
      <c r="N17" s="90"/>
      <c r="O17" s="73"/>
      <c r="P17" s="5"/>
      <c r="Q17" s="5"/>
      <c r="R17" s="5"/>
      <c r="S17" s="5"/>
      <c r="T17" s="5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15">
      <c r="A18" s="15" t="s">
        <v>17</v>
      </c>
      <c r="B18" s="39"/>
      <c r="C18" s="104"/>
      <c r="D18" s="116"/>
      <c r="E18" s="39"/>
      <c r="F18" s="11">
        <v>0.875</v>
      </c>
      <c r="G18" s="10"/>
      <c r="H18" s="10"/>
      <c r="I18" s="10"/>
      <c r="J18" s="10"/>
      <c r="K18" s="10"/>
      <c r="L18" s="11">
        <v>0.375</v>
      </c>
      <c r="M18" s="56"/>
      <c r="N18" s="91">
        <f>SUM(E18:M18)</f>
        <v>1.25</v>
      </c>
      <c r="O18" s="74">
        <v>1.25</v>
      </c>
      <c r="P18" s="5"/>
      <c r="Q18" s="5"/>
      <c r="R18" s="5"/>
      <c r="S18" s="5"/>
      <c r="T18" s="5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x14ac:dyDescent="0.15">
      <c r="A19" s="15" t="s">
        <v>18</v>
      </c>
      <c r="B19" s="39"/>
      <c r="C19" s="104"/>
      <c r="D19" s="116"/>
      <c r="E19" s="39"/>
      <c r="F19" s="11">
        <v>0.33333333333333331</v>
      </c>
      <c r="G19" s="10"/>
      <c r="H19" s="10"/>
      <c r="I19" s="10"/>
      <c r="J19" s="10"/>
      <c r="K19" s="10"/>
      <c r="L19" s="11">
        <v>0.75</v>
      </c>
      <c r="M19" s="56"/>
      <c r="N19" s="91">
        <f>SUM(E19:M19)</f>
        <v>1.0833333333333333</v>
      </c>
      <c r="O19" s="74">
        <v>1.0833333333333333</v>
      </c>
      <c r="P19" s="5"/>
      <c r="Q19" s="5"/>
      <c r="R19" s="5"/>
      <c r="S19" s="5"/>
      <c r="T19" s="5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x14ac:dyDescent="0.15">
      <c r="A20" s="15" t="s">
        <v>19</v>
      </c>
      <c r="B20" s="39"/>
      <c r="C20" s="104"/>
      <c r="D20" s="116"/>
      <c r="E20" s="39"/>
      <c r="F20" s="10"/>
      <c r="G20" s="10"/>
      <c r="H20" s="10"/>
      <c r="I20" s="10"/>
      <c r="J20" s="10"/>
      <c r="K20" s="10"/>
      <c r="L20" s="10"/>
      <c r="M20" s="56"/>
      <c r="N20" s="90"/>
      <c r="O20" s="73"/>
      <c r="P20" s="5"/>
      <c r="Q20" s="5"/>
      <c r="R20" s="5"/>
      <c r="S20" s="5"/>
      <c r="T20" s="5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x14ac:dyDescent="0.15">
      <c r="A21" s="15" t="s">
        <v>20</v>
      </c>
      <c r="B21" s="39"/>
      <c r="C21" s="104"/>
      <c r="D21" s="116"/>
      <c r="E21" s="39"/>
      <c r="F21" s="10"/>
      <c r="G21" s="10"/>
      <c r="H21" s="10"/>
      <c r="I21" s="10"/>
      <c r="J21" s="10"/>
      <c r="K21" s="10"/>
      <c r="L21" s="10"/>
      <c r="M21" s="56"/>
      <c r="N21" s="90"/>
      <c r="O21" s="73"/>
      <c r="P21" s="5"/>
      <c r="Q21" s="5"/>
      <c r="R21" s="5"/>
      <c r="S21" s="5"/>
      <c r="T21" s="5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x14ac:dyDescent="0.15">
      <c r="A22" s="15" t="s">
        <v>21</v>
      </c>
      <c r="B22" s="39"/>
      <c r="C22" s="104"/>
      <c r="D22" s="116"/>
      <c r="E22" s="39"/>
      <c r="F22" s="10"/>
      <c r="G22" s="10"/>
      <c r="H22" s="10"/>
      <c r="I22" s="10"/>
      <c r="J22" s="10"/>
      <c r="K22" s="10"/>
      <c r="L22" s="10"/>
      <c r="M22" s="56"/>
      <c r="N22" s="90"/>
      <c r="O22" s="73"/>
      <c r="P22" s="5"/>
      <c r="Q22" s="5"/>
      <c r="R22" s="5"/>
      <c r="S22" s="5"/>
      <c r="T22" s="5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15">
      <c r="A23" s="15" t="s">
        <v>22</v>
      </c>
      <c r="B23" s="39"/>
      <c r="C23" s="104"/>
      <c r="D23" s="116"/>
      <c r="E23" s="39"/>
      <c r="F23" s="10"/>
      <c r="G23" s="10"/>
      <c r="H23" s="10"/>
      <c r="I23" s="10"/>
      <c r="J23" s="10"/>
      <c r="K23" s="10"/>
      <c r="L23" s="10"/>
      <c r="M23" s="56"/>
      <c r="N23" s="90"/>
      <c r="O23" s="73"/>
      <c r="P23" s="5"/>
      <c r="Q23" s="5"/>
      <c r="R23" s="5"/>
      <c r="S23" s="5"/>
      <c r="T23" s="5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4.25" thickBot="1" x14ac:dyDescent="0.2">
      <c r="A24" s="25" t="s">
        <v>23</v>
      </c>
      <c r="B24" s="41">
        <v>0.58333333333333337</v>
      </c>
      <c r="C24" s="106"/>
      <c r="D24" s="92">
        <f>SUM(B24:C24)</f>
        <v>0.58333333333333337</v>
      </c>
      <c r="E24" s="41">
        <v>0.95833333333333337</v>
      </c>
      <c r="F24" s="26">
        <v>1</v>
      </c>
      <c r="G24" s="27"/>
      <c r="H24" s="26">
        <v>1.1666666666666667</v>
      </c>
      <c r="I24" s="26">
        <v>0.91666666666666663</v>
      </c>
      <c r="J24" s="26">
        <v>2.3333333333333335</v>
      </c>
      <c r="K24" s="26">
        <v>3.5</v>
      </c>
      <c r="L24" s="26">
        <v>2.625</v>
      </c>
      <c r="M24" s="58">
        <v>1.0833333333333333</v>
      </c>
      <c r="N24" s="92">
        <f>SUM(E24:M24)</f>
        <v>13.583333333333334</v>
      </c>
      <c r="O24" s="75">
        <v>14.166666666666666</v>
      </c>
      <c r="P24" s="5"/>
      <c r="Q24" s="5"/>
      <c r="R24" s="5"/>
      <c r="S24" s="5"/>
      <c r="T24" s="5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15">
      <c r="A25" s="23" t="s">
        <v>28</v>
      </c>
      <c r="B25" s="42">
        <v>355000</v>
      </c>
      <c r="C25" s="107">
        <v>0</v>
      </c>
      <c r="D25" s="93">
        <f>SUM(B25:C25)</f>
        <v>355000</v>
      </c>
      <c r="E25" s="42">
        <v>177000</v>
      </c>
      <c r="F25" s="28">
        <v>175000</v>
      </c>
      <c r="G25" s="28">
        <v>170000</v>
      </c>
      <c r="H25" s="28">
        <v>170000</v>
      </c>
      <c r="I25" s="28">
        <v>170000</v>
      </c>
      <c r="J25" s="28">
        <v>177000</v>
      </c>
      <c r="K25" s="28">
        <v>182000</v>
      </c>
      <c r="L25" s="28">
        <v>177000</v>
      </c>
      <c r="M25" s="59">
        <v>182000</v>
      </c>
      <c r="N25" s="93">
        <f>SUM(E25:M25)</f>
        <v>1580000</v>
      </c>
      <c r="O25" s="76">
        <v>1935000</v>
      </c>
      <c r="P25" s="5"/>
      <c r="Q25" s="5"/>
      <c r="R25" s="5"/>
      <c r="S25" s="5"/>
      <c r="T25" s="5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x14ac:dyDescent="0.15">
      <c r="A26" s="15" t="s">
        <v>29</v>
      </c>
      <c r="B26" s="39">
        <v>0</v>
      </c>
      <c r="C26" s="104">
        <v>0</v>
      </c>
      <c r="D26" s="116"/>
      <c r="E26" s="39">
        <v>0</v>
      </c>
      <c r="F26" s="10">
        <v>0</v>
      </c>
      <c r="G26" s="10">
        <v>0</v>
      </c>
      <c r="H26" s="10">
        <v>0</v>
      </c>
      <c r="I26" s="10">
        <v>0</v>
      </c>
      <c r="J26" s="10">
        <v>5000</v>
      </c>
      <c r="K26" s="10">
        <v>0</v>
      </c>
      <c r="L26" s="10">
        <v>0</v>
      </c>
      <c r="M26" s="56">
        <v>0</v>
      </c>
      <c r="N26" s="90">
        <f t="shared" ref="N26:N76" si="2">SUM(E26:M26)</f>
        <v>5000</v>
      </c>
      <c r="O26" s="73">
        <v>5000</v>
      </c>
      <c r="P26" s="5"/>
      <c r="Q26" s="5"/>
      <c r="R26" s="5"/>
      <c r="S26" s="5"/>
      <c r="T26" s="5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x14ac:dyDescent="0.15">
      <c r="A27" s="15" t="s">
        <v>30</v>
      </c>
      <c r="B27" s="39">
        <v>0</v>
      </c>
      <c r="C27" s="104">
        <v>0</v>
      </c>
      <c r="D27" s="116"/>
      <c r="E27" s="39">
        <v>0</v>
      </c>
      <c r="F27" s="10">
        <v>0</v>
      </c>
      <c r="G27" s="10">
        <v>0</v>
      </c>
      <c r="H27" s="10">
        <v>0</v>
      </c>
      <c r="I27" s="10">
        <v>0</v>
      </c>
      <c r="J27" s="10">
        <v>3000</v>
      </c>
      <c r="K27" s="10">
        <v>10000</v>
      </c>
      <c r="L27" s="10">
        <v>0</v>
      </c>
      <c r="M27" s="56">
        <v>3000</v>
      </c>
      <c r="N27" s="90">
        <f t="shared" si="2"/>
        <v>16000</v>
      </c>
      <c r="O27" s="73">
        <v>16000</v>
      </c>
      <c r="P27" s="5"/>
      <c r="Q27" s="5"/>
      <c r="R27" s="5"/>
      <c r="S27" s="5"/>
      <c r="T27" s="5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x14ac:dyDescent="0.15">
      <c r="A28" s="15" t="s">
        <v>31</v>
      </c>
      <c r="B28" s="39">
        <v>0</v>
      </c>
      <c r="C28" s="104">
        <v>0</v>
      </c>
      <c r="D28" s="116"/>
      <c r="E28" s="39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56">
        <v>0</v>
      </c>
      <c r="N28" s="90">
        <f t="shared" si="2"/>
        <v>0</v>
      </c>
      <c r="O28" s="73">
        <v>0</v>
      </c>
      <c r="P28" s="5"/>
      <c r="Q28" s="5"/>
      <c r="R28" s="5"/>
      <c r="S28" s="5"/>
      <c r="T28" s="5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x14ac:dyDescent="0.15">
      <c r="A29" s="15" t="s">
        <v>32</v>
      </c>
      <c r="B29" s="39">
        <v>0</v>
      </c>
      <c r="C29" s="104">
        <v>0</v>
      </c>
      <c r="D29" s="116"/>
      <c r="E29" s="39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56">
        <v>0</v>
      </c>
      <c r="N29" s="90">
        <f t="shared" si="2"/>
        <v>0</v>
      </c>
      <c r="O29" s="73">
        <v>0</v>
      </c>
      <c r="P29" s="5"/>
      <c r="Q29" s="5"/>
      <c r="R29" s="5"/>
      <c r="S29" s="5"/>
      <c r="T29" s="5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15">
      <c r="A30" s="15" t="s">
        <v>33</v>
      </c>
      <c r="B30" s="39">
        <v>0</v>
      </c>
      <c r="C30" s="104">
        <v>0</v>
      </c>
      <c r="D30" s="116"/>
      <c r="E30" s="39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56">
        <v>0</v>
      </c>
      <c r="N30" s="90">
        <f t="shared" si="2"/>
        <v>0</v>
      </c>
      <c r="O30" s="73">
        <v>0</v>
      </c>
      <c r="P30" s="5"/>
      <c r="Q30" s="5"/>
      <c r="R30" s="5"/>
      <c r="S30" s="5"/>
      <c r="T30" s="5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15">
      <c r="A31" s="15" t="s">
        <v>34</v>
      </c>
      <c r="B31" s="39">
        <v>0</v>
      </c>
      <c r="C31" s="104">
        <v>0</v>
      </c>
      <c r="D31" s="116"/>
      <c r="E31" s="39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56">
        <v>0</v>
      </c>
      <c r="N31" s="90">
        <f t="shared" si="2"/>
        <v>0</v>
      </c>
      <c r="O31" s="73">
        <v>0</v>
      </c>
      <c r="P31" s="5"/>
      <c r="Q31" s="5"/>
      <c r="R31" s="5"/>
      <c r="S31" s="5"/>
      <c r="T31" s="5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15">
      <c r="A32" s="15" t="s">
        <v>35</v>
      </c>
      <c r="B32" s="39">
        <v>0</v>
      </c>
      <c r="C32" s="104">
        <v>0</v>
      </c>
      <c r="D32" s="116"/>
      <c r="E32" s="39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56">
        <v>0</v>
      </c>
      <c r="N32" s="90">
        <f t="shared" si="2"/>
        <v>0</v>
      </c>
      <c r="O32" s="73">
        <v>0</v>
      </c>
      <c r="P32" s="5"/>
      <c r="Q32" s="5"/>
      <c r="R32" s="5"/>
      <c r="S32" s="5"/>
      <c r="T32" s="5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x14ac:dyDescent="0.15">
      <c r="A33" s="15" t="s">
        <v>36</v>
      </c>
      <c r="B33" s="39">
        <v>0</v>
      </c>
      <c r="C33" s="104">
        <v>89880</v>
      </c>
      <c r="D33" s="90">
        <f>SUM(B33:C33)</f>
        <v>89880</v>
      </c>
      <c r="E33" s="39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56">
        <v>0</v>
      </c>
      <c r="N33" s="90">
        <f t="shared" si="2"/>
        <v>0</v>
      </c>
      <c r="O33" s="73">
        <v>89880</v>
      </c>
      <c r="P33" s="5"/>
      <c r="Q33" s="5"/>
      <c r="R33" s="5"/>
      <c r="S33" s="5"/>
      <c r="T33" s="5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15">
      <c r="A34" s="15" t="s">
        <v>37</v>
      </c>
      <c r="B34" s="39">
        <v>0</v>
      </c>
      <c r="C34" s="104">
        <v>0</v>
      </c>
      <c r="D34" s="116"/>
      <c r="E34" s="39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56">
        <v>0</v>
      </c>
      <c r="N34" s="90">
        <f t="shared" si="2"/>
        <v>0</v>
      </c>
      <c r="O34" s="73">
        <v>0</v>
      </c>
      <c r="P34" s="5"/>
      <c r="Q34" s="5"/>
      <c r="R34" s="5"/>
      <c r="S34" s="5"/>
      <c r="T34" s="5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15">
      <c r="A35" s="15" t="s">
        <v>38</v>
      </c>
      <c r="B35" s="39">
        <v>0</v>
      </c>
      <c r="C35" s="104">
        <v>0</v>
      </c>
      <c r="D35" s="116"/>
      <c r="E35" s="39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56">
        <v>0</v>
      </c>
      <c r="N35" s="90">
        <f t="shared" si="2"/>
        <v>0</v>
      </c>
      <c r="O35" s="73">
        <v>0</v>
      </c>
      <c r="P35" s="5"/>
      <c r="Q35" s="5"/>
      <c r="R35" s="5"/>
      <c r="S35" s="5"/>
      <c r="T35" s="5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x14ac:dyDescent="0.15">
      <c r="A36" s="15" t="s">
        <v>39</v>
      </c>
      <c r="B36" s="39">
        <v>0</v>
      </c>
      <c r="C36" s="104">
        <v>0</v>
      </c>
      <c r="D36" s="116"/>
      <c r="E36" s="39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56">
        <v>0</v>
      </c>
      <c r="N36" s="90">
        <f t="shared" si="2"/>
        <v>0</v>
      </c>
      <c r="O36" s="73">
        <v>0</v>
      </c>
      <c r="P36" s="5"/>
      <c r="Q36" s="5"/>
      <c r="R36" s="5"/>
      <c r="S36" s="5"/>
      <c r="T36" s="5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x14ac:dyDescent="0.15">
      <c r="A37" s="15" t="s">
        <v>40</v>
      </c>
      <c r="B37" s="39">
        <v>0</v>
      </c>
      <c r="C37" s="104">
        <v>0</v>
      </c>
      <c r="D37" s="116"/>
      <c r="E37" s="39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56">
        <v>0</v>
      </c>
      <c r="N37" s="90">
        <f t="shared" si="2"/>
        <v>0</v>
      </c>
      <c r="O37" s="73">
        <v>0</v>
      </c>
      <c r="P37" s="5"/>
      <c r="Q37" s="5"/>
      <c r="R37" s="5"/>
      <c r="S37" s="5"/>
      <c r="T37" s="5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x14ac:dyDescent="0.15">
      <c r="A38" s="15" t="s">
        <v>41</v>
      </c>
      <c r="B38" s="39">
        <v>0</v>
      </c>
      <c r="C38" s="104">
        <v>0</v>
      </c>
      <c r="D38" s="116"/>
      <c r="E38" s="39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56">
        <v>0</v>
      </c>
      <c r="N38" s="90">
        <f t="shared" si="2"/>
        <v>0</v>
      </c>
      <c r="O38" s="73">
        <v>0</v>
      </c>
      <c r="P38" s="5"/>
      <c r="Q38" s="5"/>
      <c r="R38" s="5"/>
      <c r="S38" s="5"/>
      <c r="T38" s="5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x14ac:dyDescent="0.15">
      <c r="A39" s="15" t="s">
        <v>42</v>
      </c>
      <c r="B39" s="39">
        <v>0</v>
      </c>
      <c r="C39" s="104">
        <v>0</v>
      </c>
      <c r="D39" s="116"/>
      <c r="E39" s="39">
        <v>31611</v>
      </c>
      <c r="F39" s="10">
        <v>11880</v>
      </c>
      <c r="G39" s="10">
        <v>16614</v>
      </c>
      <c r="H39" s="10">
        <v>20072</v>
      </c>
      <c r="I39" s="10">
        <v>52603</v>
      </c>
      <c r="J39" s="10">
        <v>7390</v>
      </c>
      <c r="K39" s="10">
        <v>28684</v>
      </c>
      <c r="L39" s="10">
        <v>32160</v>
      </c>
      <c r="M39" s="56">
        <v>13266</v>
      </c>
      <c r="N39" s="90">
        <f t="shared" si="2"/>
        <v>214280</v>
      </c>
      <c r="O39" s="73">
        <v>214280</v>
      </c>
      <c r="P39" s="5"/>
      <c r="Q39" s="5"/>
      <c r="R39" s="5"/>
      <c r="S39" s="5"/>
      <c r="T39" s="5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x14ac:dyDescent="0.15">
      <c r="A40" s="15" t="s">
        <v>43</v>
      </c>
      <c r="B40" s="39">
        <v>0</v>
      </c>
      <c r="C40" s="104">
        <v>0</v>
      </c>
      <c r="D40" s="116"/>
      <c r="E40" s="39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12600</v>
      </c>
      <c r="L40" s="10">
        <v>0</v>
      </c>
      <c r="M40" s="56">
        <v>0</v>
      </c>
      <c r="N40" s="90">
        <f t="shared" si="2"/>
        <v>12600</v>
      </c>
      <c r="O40" s="73">
        <v>12600</v>
      </c>
      <c r="P40" s="5"/>
      <c r="Q40" s="5"/>
      <c r="R40" s="5"/>
      <c r="S40" s="5"/>
      <c r="T40" s="5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15">
      <c r="A41" s="15" t="s">
        <v>44</v>
      </c>
      <c r="B41" s="39">
        <v>0</v>
      </c>
      <c r="C41" s="104">
        <v>0</v>
      </c>
      <c r="D41" s="116"/>
      <c r="E41" s="39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56">
        <v>0</v>
      </c>
      <c r="N41" s="90">
        <f t="shared" si="2"/>
        <v>0</v>
      </c>
      <c r="O41" s="73">
        <v>0</v>
      </c>
      <c r="P41" s="5"/>
      <c r="Q41" s="5"/>
      <c r="R41" s="5"/>
      <c r="S41" s="5"/>
      <c r="T41" s="5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15">
      <c r="A42" s="15" t="s">
        <v>45</v>
      </c>
      <c r="B42" s="39">
        <v>0</v>
      </c>
      <c r="C42" s="104">
        <v>0</v>
      </c>
      <c r="D42" s="116"/>
      <c r="E42" s="39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56">
        <v>0</v>
      </c>
      <c r="N42" s="90">
        <f t="shared" si="2"/>
        <v>0</v>
      </c>
      <c r="O42" s="73">
        <v>0</v>
      </c>
      <c r="P42" s="5"/>
      <c r="Q42" s="5"/>
      <c r="R42" s="5"/>
      <c r="S42" s="5"/>
      <c r="T42" s="5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x14ac:dyDescent="0.15">
      <c r="A43" s="15" t="s">
        <v>46</v>
      </c>
      <c r="B43" s="39">
        <v>0</v>
      </c>
      <c r="C43" s="104">
        <v>0</v>
      </c>
      <c r="D43" s="116"/>
      <c r="E43" s="39">
        <v>0</v>
      </c>
      <c r="F43" s="10">
        <v>0</v>
      </c>
      <c r="G43" s="10">
        <v>-80950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56">
        <v>0</v>
      </c>
      <c r="N43" s="90">
        <f t="shared" si="2"/>
        <v>-80950</v>
      </c>
      <c r="O43" s="73">
        <v>-80950</v>
      </c>
      <c r="P43" s="5"/>
      <c r="Q43" s="5"/>
      <c r="R43" s="5"/>
      <c r="S43" s="5"/>
      <c r="T43" s="5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x14ac:dyDescent="0.15">
      <c r="A44" s="15" t="s">
        <v>47</v>
      </c>
      <c r="B44" s="39">
        <v>0</v>
      </c>
      <c r="C44" s="104">
        <v>0</v>
      </c>
      <c r="D44" s="116"/>
      <c r="E44" s="39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56">
        <v>0</v>
      </c>
      <c r="N44" s="90">
        <f t="shared" si="2"/>
        <v>0</v>
      </c>
      <c r="O44" s="73">
        <v>0</v>
      </c>
      <c r="P44" s="5"/>
      <c r="Q44" s="5"/>
      <c r="R44" s="5"/>
      <c r="S44" s="5"/>
      <c r="T44" s="5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x14ac:dyDescent="0.15">
      <c r="A45" s="15" t="s">
        <v>13</v>
      </c>
      <c r="B45" s="39">
        <v>0</v>
      </c>
      <c r="C45" s="104">
        <v>0</v>
      </c>
      <c r="D45" s="116"/>
      <c r="E45" s="39">
        <v>90942</v>
      </c>
      <c r="F45" s="10">
        <v>36484</v>
      </c>
      <c r="G45" s="10">
        <v>16445</v>
      </c>
      <c r="H45" s="10">
        <v>78430</v>
      </c>
      <c r="I45" s="10">
        <v>88550</v>
      </c>
      <c r="J45" s="10">
        <v>45441</v>
      </c>
      <c r="K45" s="10">
        <v>25891</v>
      </c>
      <c r="L45" s="10">
        <v>46130</v>
      </c>
      <c r="M45" s="56">
        <v>79866</v>
      </c>
      <c r="N45" s="90">
        <f t="shared" si="2"/>
        <v>508179</v>
      </c>
      <c r="O45" s="73">
        <v>508179</v>
      </c>
      <c r="P45" s="5"/>
      <c r="Q45" s="5"/>
      <c r="R45" s="5"/>
      <c r="S45" s="5"/>
      <c r="T45" s="5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x14ac:dyDescent="0.15">
      <c r="A46" s="15" t="s">
        <v>14</v>
      </c>
      <c r="B46" s="39">
        <v>0</v>
      </c>
      <c r="C46" s="104">
        <v>0</v>
      </c>
      <c r="D46" s="116"/>
      <c r="E46" s="39">
        <v>0</v>
      </c>
      <c r="F46" s="10">
        <v>0</v>
      </c>
      <c r="G46" s="10">
        <v>6835</v>
      </c>
      <c r="H46" s="10">
        <v>13670</v>
      </c>
      <c r="I46" s="10">
        <v>0</v>
      </c>
      <c r="J46" s="10">
        <v>28253</v>
      </c>
      <c r="K46" s="10">
        <v>27965</v>
      </c>
      <c r="L46" s="10">
        <v>25614</v>
      </c>
      <c r="M46" s="56">
        <v>32714</v>
      </c>
      <c r="N46" s="90">
        <f t="shared" si="2"/>
        <v>135051</v>
      </c>
      <c r="O46" s="73">
        <v>135051</v>
      </c>
      <c r="P46" s="5"/>
      <c r="Q46" s="5"/>
      <c r="R46" s="5"/>
      <c r="S46" s="5"/>
      <c r="T46" s="5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x14ac:dyDescent="0.15">
      <c r="A47" s="15" t="s">
        <v>15</v>
      </c>
      <c r="B47" s="39">
        <v>0</v>
      </c>
      <c r="C47" s="104">
        <v>0</v>
      </c>
      <c r="D47" s="116"/>
      <c r="E47" s="39">
        <v>0</v>
      </c>
      <c r="F47" s="10">
        <v>0</v>
      </c>
      <c r="G47" s="10">
        <v>0</v>
      </c>
      <c r="H47" s="10">
        <v>17710</v>
      </c>
      <c r="I47" s="10">
        <v>0</v>
      </c>
      <c r="J47" s="10">
        <v>33048</v>
      </c>
      <c r="K47" s="10">
        <v>38075</v>
      </c>
      <c r="L47" s="10">
        <v>15816</v>
      </c>
      <c r="M47" s="56">
        <v>31671</v>
      </c>
      <c r="N47" s="90">
        <f t="shared" si="2"/>
        <v>136320</v>
      </c>
      <c r="O47" s="73">
        <v>136320</v>
      </c>
      <c r="P47" s="5"/>
      <c r="Q47" s="5"/>
      <c r="R47" s="5"/>
      <c r="S47" s="5"/>
      <c r="T47" s="5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x14ac:dyDescent="0.15">
      <c r="A48" s="15" t="s">
        <v>48</v>
      </c>
      <c r="B48" s="39">
        <v>0</v>
      </c>
      <c r="C48" s="104">
        <v>0</v>
      </c>
      <c r="D48" s="116"/>
      <c r="E48" s="39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56">
        <v>0</v>
      </c>
      <c r="N48" s="90">
        <f t="shared" si="2"/>
        <v>0</v>
      </c>
      <c r="O48" s="73">
        <v>0</v>
      </c>
      <c r="P48" s="5"/>
      <c r="Q48" s="5"/>
      <c r="R48" s="5"/>
      <c r="S48" s="5"/>
      <c r="T48" s="5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22" x14ac:dyDescent="0.15">
      <c r="A49" s="16" t="s">
        <v>49</v>
      </c>
      <c r="B49" s="43">
        <v>0</v>
      </c>
      <c r="C49" s="108">
        <v>0</v>
      </c>
      <c r="D49" s="117"/>
      <c r="E49" s="43">
        <v>0</v>
      </c>
      <c r="F49" s="12">
        <v>7665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3321</v>
      </c>
      <c r="M49" s="60">
        <v>0</v>
      </c>
      <c r="N49" s="94">
        <f t="shared" si="2"/>
        <v>10986</v>
      </c>
      <c r="O49" s="77">
        <v>10986</v>
      </c>
      <c r="P49" s="6"/>
      <c r="Q49" s="6"/>
      <c r="R49" s="6"/>
      <c r="S49" s="6"/>
      <c r="T49" s="6"/>
      <c r="U49" s="6"/>
      <c r="V49" s="6"/>
    </row>
    <row r="50" spans="1:22" x14ac:dyDescent="0.15">
      <c r="A50" s="16" t="s">
        <v>50</v>
      </c>
      <c r="B50" s="43">
        <v>0</v>
      </c>
      <c r="C50" s="108">
        <v>0</v>
      </c>
      <c r="D50" s="117"/>
      <c r="E50" s="43">
        <v>0</v>
      </c>
      <c r="F50" s="12">
        <v>2088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4752</v>
      </c>
      <c r="M50" s="60">
        <v>0</v>
      </c>
      <c r="N50" s="94">
        <f t="shared" si="2"/>
        <v>6840</v>
      </c>
      <c r="O50" s="77">
        <v>6840</v>
      </c>
      <c r="P50" s="6"/>
      <c r="Q50" s="6"/>
      <c r="R50" s="6"/>
      <c r="S50" s="6"/>
      <c r="T50" s="6"/>
      <c r="U50" s="6"/>
      <c r="V50" s="6"/>
    </row>
    <row r="51" spans="1:22" x14ac:dyDescent="0.15">
      <c r="A51" s="16" t="s">
        <v>51</v>
      </c>
      <c r="B51" s="43">
        <v>0</v>
      </c>
      <c r="C51" s="108">
        <v>0</v>
      </c>
      <c r="D51" s="117"/>
      <c r="E51" s="43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60">
        <v>0</v>
      </c>
      <c r="N51" s="94">
        <f t="shared" si="2"/>
        <v>0</v>
      </c>
      <c r="O51" s="77">
        <v>0</v>
      </c>
      <c r="P51" s="6"/>
      <c r="Q51" s="6"/>
      <c r="R51" s="6"/>
      <c r="S51" s="6"/>
      <c r="T51" s="6"/>
      <c r="U51" s="6"/>
      <c r="V51" s="6"/>
    </row>
    <row r="52" spans="1:22" x14ac:dyDescent="0.15">
      <c r="A52" s="16" t="s">
        <v>52</v>
      </c>
      <c r="B52" s="43">
        <v>0</v>
      </c>
      <c r="C52" s="108">
        <v>0</v>
      </c>
      <c r="D52" s="117"/>
      <c r="E52" s="43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60">
        <v>0</v>
      </c>
      <c r="N52" s="94">
        <f t="shared" si="2"/>
        <v>0</v>
      </c>
      <c r="O52" s="77">
        <v>0</v>
      </c>
      <c r="P52" s="6"/>
      <c r="Q52" s="6"/>
      <c r="R52" s="6"/>
      <c r="S52" s="6"/>
      <c r="T52" s="6"/>
      <c r="U52" s="6"/>
      <c r="V52" s="6"/>
    </row>
    <row r="53" spans="1:22" x14ac:dyDescent="0.15">
      <c r="A53" s="16" t="s">
        <v>23</v>
      </c>
      <c r="B53" s="43">
        <v>7406</v>
      </c>
      <c r="C53" s="108">
        <v>0</v>
      </c>
      <c r="D53" s="94">
        <f>SUM(B53:C53)</f>
        <v>7406</v>
      </c>
      <c r="E53" s="43">
        <v>6072</v>
      </c>
      <c r="F53" s="12">
        <v>6264</v>
      </c>
      <c r="G53" s="12">
        <v>0</v>
      </c>
      <c r="H53" s="12">
        <v>7084</v>
      </c>
      <c r="I53" s="12">
        <v>5566</v>
      </c>
      <c r="J53" s="12">
        <v>15456</v>
      </c>
      <c r="K53" s="12">
        <v>25620</v>
      </c>
      <c r="L53" s="12">
        <v>16632</v>
      </c>
      <c r="M53" s="60">
        <v>7176</v>
      </c>
      <c r="N53" s="94">
        <f t="shared" si="2"/>
        <v>89870</v>
      </c>
      <c r="O53" s="77">
        <v>97276</v>
      </c>
    </row>
    <row r="54" spans="1:22" ht="14.25" thickBot="1" x14ac:dyDescent="0.2">
      <c r="A54" s="17" t="s">
        <v>53</v>
      </c>
      <c r="B54" s="44">
        <v>362406</v>
      </c>
      <c r="C54" s="109">
        <v>89880</v>
      </c>
      <c r="D54" s="95">
        <f t="shared" ref="D54:D76" si="3">SUM(B54:C54)</f>
        <v>452286</v>
      </c>
      <c r="E54" s="44">
        <v>305625</v>
      </c>
      <c r="F54" s="31">
        <v>239381</v>
      </c>
      <c r="G54" s="31">
        <v>128944</v>
      </c>
      <c r="H54" s="31">
        <v>306966</v>
      </c>
      <c r="I54" s="31">
        <v>316719</v>
      </c>
      <c r="J54" s="31">
        <v>314588</v>
      </c>
      <c r="K54" s="31">
        <v>350835</v>
      </c>
      <c r="L54" s="31">
        <v>321425</v>
      </c>
      <c r="M54" s="61">
        <v>349693</v>
      </c>
      <c r="N54" s="95">
        <f t="shared" si="2"/>
        <v>2634176</v>
      </c>
      <c r="O54" s="78">
        <v>3086462</v>
      </c>
    </row>
    <row r="55" spans="1:22" x14ac:dyDescent="0.15">
      <c r="A55" s="29" t="s">
        <v>54</v>
      </c>
      <c r="B55" s="45">
        <v>523</v>
      </c>
      <c r="C55" s="110">
        <v>436</v>
      </c>
      <c r="D55" s="96">
        <f t="shared" si="3"/>
        <v>959</v>
      </c>
      <c r="E55" s="45">
        <v>9594</v>
      </c>
      <c r="F55" s="30">
        <v>4308</v>
      </c>
      <c r="G55" s="30">
        <v>2894</v>
      </c>
      <c r="H55" s="30">
        <v>1632</v>
      </c>
      <c r="I55" s="30">
        <v>4112</v>
      </c>
      <c r="J55" s="30">
        <v>8484</v>
      </c>
      <c r="K55" s="30">
        <v>2263</v>
      </c>
      <c r="L55" s="30">
        <v>2176</v>
      </c>
      <c r="M55" s="62">
        <v>7070</v>
      </c>
      <c r="N55" s="96">
        <f t="shared" si="2"/>
        <v>42533</v>
      </c>
      <c r="O55" s="79">
        <v>43492</v>
      </c>
    </row>
    <row r="56" spans="1:22" ht="14.25" thickBot="1" x14ac:dyDescent="0.2">
      <c r="A56" s="32" t="s">
        <v>55</v>
      </c>
      <c r="B56" s="46">
        <v>523</v>
      </c>
      <c r="C56" s="111">
        <v>436</v>
      </c>
      <c r="D56" s="97">
        <f t="shared" si="3"/>
        <v>959</v>
      </c>
      <c r="E56" s="46">
        <v>9594</v>
      </c>
      <c r="F56" s="33">
        <v>4308</v>
      </c>
      <c r="G56" s="33">
        <v>2894</v>
      </c>
      <c r="H56" s="33">
        <v>1632</v>
      </c>
      <c r="I56" s="33">
        <v>4112</v>
      </c>
      <c r="J56" s="33">
        <v>8484</v>
      </c>
      <c r="K56" s="33">
        <v>2263</v>
      </c>
      <c r="L56" s="33">
        <v>2176</v>
      </c>
      <c r="M56" s="63">
        <v>7070</v>
      </c>
      <c r="N56" s="97">
        <f t="shared" si="2"/>
        <v>42533</v>
      </c>
      <c r="O56" s="80">
        <v>43492</v>
      </c>
    </row>
    <row r="57" spans="1:22" ht="14.25" thickBot="1" x14ac:dyDescent="0.2">
      <c r="A57" s="34" t="s">
        <v>56</v>
      </c>
      <c r="B57" s="47">
        <v>362929</v>
      </c>
      <c r="C57" s="112">
        <v>90316</v>
      </c>
      <c r="D57" s="98">
        <f t="shared" si="3"/>
        <v>453245</v>
      </c>
      <c r="E57" s="47">
        <v>315219</v>
      </c>
      <c r="F57" s="35">
        <v>243689</v>
      </c>
      <c r="G57" s="35">
        <v>131838</v>
      </c>
      <c r="H57" s="35">
        <v>308598</v>
      </c>
      <c r="I57" s="35">
        <v>320831</v>
      </c>
      <c r="J57" s="35">
        <v>323072</v>
      </c>
      <c r="K57" s="35">
        <v>353098</v>
      </c>
      <c r="L57" s="35">
        <v>323601</v>
      </c>
      <c r="M57" s="64">
        <v>356763</v>
      </c>
      <c r="N57" s="98">
        <f t="shared" si="2"/>
        <v>2676709</v>
      </c>
      <c r="O57" s="81">
        <v>3129954</v>
      </c>
    </row>
    <row r="58" spans="1:22" x14ac:dyDescent="0.15">
      <c r="A58" s="29" t="s">
        <v>57</v>
      </c>
      <c r="B58" s="45">
        <v>20910</v>
      </c>
      <c r="C58" s="110">
        <v>0</v>
      </c>
      <c r="D58" s="96">
        <f t="shared" si="3"/>
        <v>20910</v>
      </c>
      <c r="E58" s="45">
        <v>16320</v>
      </c>
      <c r="F58" s="30">
        <v>15300</v>
      </c>
      <c r="G58" s="30">
        <v>0</v>
      </c>
      <c r="H58" s="30">
        <v>12240</v>
      </c>
      <c r="I58" s="30">
        <v>12240</v>
      </c>
      <c r="J58" s="30">
        <v>18360</v>
      </c>
      <c r="K58" s="30">
        <v>17340</v>
      </c>
      <c r="L58" s="30">
        <v>15300</v>
      </c>
      <c r="M58" s="62">
        <v>17340</v>
      </c>
      <c r="N58" s="96">
        <f t="shared" si="2"/>
        <v>124440</v>
      </c>
      <c r="O58" s="79">
        <v>145350</v>
      </c>
    </row>
    <row r="59" spans="1:22" x14ac:dyDescent="0.15">
      <c r="A59" s="16" t="s">
        <v>58</v>
      </c>
      <c r="B59" s="43">
        <v>3690</v>
      </c>
      <c r="C59" s="108">
        <v>0</v>
      </c>
      <c r="D59" s="94">
        <f t="shared" si="3"/>
        <v>3690</v>
      </c>
      <c r="E59" s="43">
        <v>2880</v>
      </c>
      <c r="F59" s="12">
        <v>2700</v>
      </c>
      <c r="G59" s="12">
        <v>0</v>
      </c>
      <c r="H59" s="12">
        <v>2160</v>
      </c>
      <c r="I59" s="12">
        <v>2160</v>
      </c>
      <c r="J59" s="12">
        <v>3240</v>
      </c>
      <c r="K59" s="12">
        <v>3060</v>
      </c>
      <c r="L59" s="12">
        <v>2700</v>
      </c>
      <c r="M59" s="60">
        <v>3060</v>
      </c>
      <c r="N59" s="94">
        <f t="shared" si="2"/>
        <v>21960</v>
      </c>
      <c r="O59" s="77">
        <v>25650</v>
      </c>
    </row>
    <row r="60" spans="1:22" x14ac:dyDescent="0.15">
      <c r="A60" s="16" t="s">
        <v>59</v>
      </c>
      <c r="B60" s="43">
        <v>37515</v>
      </c>
      <c r="C60" s="108">
        <v>0</v>
      </c>
      <c r="D60" s="94">
        <f t="shared" si="3"/>
        <v>37515</v>
      </c>
      <c r="E60" s="43">
        <v>29280</v>
      </c>
      <c r="F60" s="12">
        <v>27450</v>
      </c>
      <c r="G60" s="12">
        <v>0</v>
      </c>
      <c r="H60" s="12">
        <v>21960</v>
      </c>
      <c r="I60" s="12">
        <v>21960</v>
      </c>
      <c r="J60" s="12">
        <v>32940</v>
      </c>
      <c r="K60" s="12">
        <v>31110</v>
      </c>
      <c r="L60" s="12">
        <v>27450</v>
      </c>
      <c r="M60" s="60">
        <v>31110</v>
      </c>
      <c r="N60" s="94">
        <f t="shared" si="2"/>
        <v>223260</v>
      </c>
      <c r="O60" s="77">
        <v>260775</v>
      </c>
    </row>
    <row r="61" spans="1:22" x14ac:dyDescent="0.15">
      <c r="A61" s="16" t="s">
        <v>60</v>
      </c>
      <c r="B61" s="43">
        <v>0</v>
      </c>
      <c r="C61" s="108">
        <v>0</v>
      </c>
      <c r="D61" s="94">
        <f t="shared" si="3"/>
        <v>0</v>
      </c>
      <c r="E61" s="43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60">
        <v>0</v>
      </c>
      <c r="N61" s="94">
        <f t="shared" si="2"/>
        <v>0</v>
      </c>
      <c r="O61" s="77">
        <v>0</v>
      </c>
    </row>
    <row r="62" spans="1:22" x14ac:dyDescent="0.15">
      <c r="A62" s="16" t="s">
        <v>61</v>
      </c>
      <c r="B62" s="43">
        <v>1089</v>
      </c>
      <c r="C62" s="108">
        <v>271</v>
      </c>
      <c r="D62" s="94">
        <f t="shared" si="3"/>
        <v>1360</v>
      </c>
      <c r="E62" s="43">
        <v>946</v>
      </c>
      <c r="F62" s="12">
        <v>731</v>
      </c>
      <c r="G62" s="12">
        <v>396</v>
      </c>
      <c r="H62" s="12">
        <v>926</v>
      </c>
      <c r="I62" s="12">
        <v>962</v>
      </c>
      <c r="J62" s="12">
        <v>969</v>
      </c>
      <c r="K62" s="12">
        <v>1059</v>
      </c>
      <c r="L62" s="12">
        <v>971</v>
      </c>
      <c r="M62" s="60">
        <v>1070</v>
      </c>
      <c r="N62" s="94">
        <f t="shared" si="2"/>
        <v>8030</v>
      </c>
      <c r="O62" s="77">
        <v>9390</v>
      </c>
    </row>
    <row r="63" spans="1:22" x14ac:dyDescent="0.15">
      <c r="A63" s="16" t="s">
        <v>62</v>
      </c>
      <c r="B63" s="43">
        <v>0</v>
      </c>
      <c r="C63" s="108">
        <v>0</v>
      </c>
      <c r="D63" s="94">
        <f t="shared" si="3"/>
        <v>0</v>
      </c>
      <c r="E63" s="43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60">
        <v>0</v>
      </c>
      <c r="N63" s="94">
        <f t="shared" si="2"/>
        <v>0</v>
      </c>
      <c r="O63" s="77">
        <v>0</v>
      </c>
    </row>
    <row r="64" spans="1:22" ht="14.25" thickBot="1" x14ac:dyDescent="0.2">
      <c r="A64" s="32" t="s">
        <v>63</v>
      </c>
      <c r="B64" s="46">
        <v>63204</v>
      </c>
      <c r="C64" s="111">
        <v>271</v>
      </c>
      <c r="D64" s="97">
        <f t="shared" si="3"/>
        <v>63475</v>
      </c>
      <c r="E64" s="46">
        <v>49426</v>
      </c>
      <c r="F64" s="33">
        <v>46181</v>
      </c>
      <c r="G64" s="33">
        <v>396</v>
      </c>
      <c r="H64" s="33">
        <v>37286</v>
      </c>
      <c r="I64" s="33">
        <v>37322</v>
      </c>
      <c r="J64" s="33">
        <v>55509</v>
      </c>
      <c r="K64" s="33">
        <v>52569</v>
      </c>
      <c r="L64" s="33">
        <v>46421</v>
      </c>
      <c r="M64" s="63">
        <v>52580</v>
      </c>
      <c r="N64" s="97">
        <f t="shared" si="2"/>
        <v>377690</v>
      </c>
      <c r="O64" s="80">
        <v>441165</v>
      </c>
    </row>
    <row r="65" spans="1:15" ht="14.25" thickBot="1" x14ac:dyDescent="0.2">
      <c r="A65" s="34" t="s">
        <v>64</v>
      </c>
      <c r="B65" s="47">
        <v>299202</v>
      </c>
      <c r="C65" s="112">
        <v>89609</v>
      </c>
      <c r="D65" s="98">
        <f t="shared" si="3"/>
        <v>388811</v>
      </c>
      <c r="E65" s="47">
        <v>256199</v>
      </c>
      <c r="F65" s="35">
        <v>193200</v>
      </c>
      <c r="G65" s="35">
        <v>128548</v>
      </c>
      <c r="H65" s="35">
        <v>269680</v>
      </c>
      <c r="I65" s="35">
        <v>279397</v>
      </c>
      <c r="J65" s="35">
        <v>259079</v>
      </c>
      <c r="K65" s="35">
        <v>298266</v>
      </c>
      <c r="L65" s="35">
        <v>275004</v>
      </c>
      <c r="M65" s="64">
        <v>297113</v>
      </c>
      <c r="N65" s="98">
        <f t="shared" si="2"/>
        <v>2256486</v>
      </c>
      <c r="O65" s="81">
        <v>2645297</v>
      </c>
    </row>
    <row r="66" spans="1:15" x14ac:dyDescent="0.15">
      <c r="A66" s="29" t="s">
        <v>65</v>
      </c>
      <c r="B66" s="45">
        <v>6690</v>
      </c>
      <c r="C66" s="110">
        <v>190</v>
      </c>
      <c r="D66" s="96">
        <f t="shared" si="3"/>
        <v>6880</v>
      </c>
      <c r="E66" s="45">
        <v>6770</v>
      </c>
      <c r="F66" s="30">
        <v>2910</v>
      </c>
      <c r="G66" s="30">
        <v>2180</v>
      </c>
      <c r="H66" s="30">
        <v>7250</v>
      </c>
      <c r="I66" s="30">
        <v>5990</v>
      </c>
      <c r="J66" s="30">
        <v>5260</v>
      </c>
      <c r="K66" s="30">
        <v>3430</v>
      </c>
      <c r="L66" s="30">
        <v>7440</v>
      </c>
      <c r="M66" s="62">
        <v>6620</v>
      </c>
      <c r="N66" s="96">
        <f t="shared" si="2"/>
        <v>47850</v>
      </c>
      <c r="O66" s="79">
        <v>54730</v>
      </c>
    </row>
    <row r="67" spans="1:15" x14ac:dyDescent="0.15">
      <c r="A67" s="16" t="s">
        <v>66</v>
      </c>
      <c r="B67" s="43">
        <v>0</v>
      </c>
      <c r="C67" s="108">
        <v>0</v>
      </c>
      <c r="D67" s="94">
        <f t="shared" si="3"/>
        <v>0</v>
      </c>
      <c r="E67" s="43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60">
        <v>0</v>
      </c>
      <c r="N67" s="94">
        <f t="shared" si="2"/>
        <v>0</v>
      </c>
      <c r="O67" s="77">
        <v>0</v>
      </c>
    </row>
    <row r="68" spans="1:15" x14ac:dyDescent="0.15">
      <c r="A68" s="16" t="s">
        <v>67</v>
      </c>
      <c r="B68" s="43">
        <v>16100</v>
      </c>
      <c r="C68" s="108">
        <v>0</v>
      </c>
      <c r="D68" s="94">
        <f t="shared" si="3"/>
        <v>16100</v>
      </c>
      <c r="E68" s="43">
        <v>11700</v>
      </c>
      <c r="F68" s="12">
        <v>21900</v>
      </c>
      <c r="G68" s="12">
        <v>0</v>
      </c>
      <c r="H68" s="12">
        <v>0</v>
      </c>
      <c r="I68" s="12">
        <v>0</v>
      </c>
      <c r="J68" s="12">
        <v>9800</v>
      </c>
      <c r="K68" s="12">
        <v>5600</v>
      </c>
      <c r="L68" s="12">
        <v>12300</v>
      </c>
      <c r="M68" s="60">
        <v>5300</v>
      </c>
      <c r="N68" s="94">
        <f t="shared" si="2"/>
        <v>66600</v>
      </c>
      <c r="O68" s="77">
        <v>82700</v>
      </c>
    </row>
    <row r="69" spans="1:15" x14ac:dyDescent="0.15">
      <c r="A69" s="16" t="s">
        <v>68</v>
      </c>
      <c r="B69" s="43">
        <v>0</v>
      </c>
      <c r="C69" s="108">
        <v>0</v>
      </c>
      <c r="D69" s="94">
        <f t="shared" si="3"/>
        <v>0</v>
      </c>
      <c r="E69" s="43">
        <v>31611</v>
      </c>
      <c r="F69" s="12">
        <v>11880</v>
      </c>
      <c r="G69" s="12">
        <v>16614</v>
      </c>
      <c r="H69" s="12">
        <v>20072</v>
      </c>
      <c r="I69" s="12">
        <v>52603</v>
      </c>
      <c r="J69" s="12">
        <v>7390</v>
      </c>
      <c r="K69" s="12">
        <v>28684</v>
      </c>
      <c r="L69" s="12">
        <v>32160</v>
      </c>
      <c r="M69" s="60">
        <v>13266</v>
      </c>
      <c r="N69" s="94">
        <f t="shared" si="2"/>
        <v>214280</v>
      </c>
      <c r="O69" s="77">
        <v>214280</v>
      </c>
    </row>
    <row r="70" spans="1:15" x14ac:dyDescent="0.15">
      <c r="A70" s="16" t="s">
        <v>69</v>
      </c>
      <c r="B70" s="43">
        <v>0</v>
      </c>
      <c r="C70" s="108">
        <v>0</v>
      </c>
      <c r="D70" s="94">
        <f t="shared" si="3"/>
        <v>0</v>
      </c>
      <c r="E70" s="43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60">
        <v>0</v>
      </c>
      <c r="N70" s="94">
        <f t="shared" si="2"/>
        <v>0</v>
      </c>
      <c r="O70" s="77">
        <v>0</v>
      </c>
    </row>
    <row r="71" spans="1:15" x14ac:dyDescent="0.15">
      <c r="A71" s="16" t="s">
        <v>70</v>
      </c>
      <c r="B71" s="43">
        <v>0</v>
      </c>
      <c r="C71" s="108">
        <v>0</v>
      </c>
      <c r="D71" s="94">
        <f t="shared" si="3"/>
        <v>0</v>
      </c>
      <c r="E71" s="43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60">
        <v>0</v>
      </c>
      <c r="N71" s="94">
        <f t="shared" si="2"/>
        <v>0</v>
      </c>
      <c r="O71" s="77">
        <v>0</v>
      </c>
    </row>
    <row r="72" spans="1:15" ht="14.25" thickBot="1" x14ac:dyDescent="0.2">
      <c r="A72" s="32" t="s">
        <v>71</v>
      </c>
      <c r="B72" s="46">
        <v>22790</v>
      </c>
      <c r="C72" s="111">
        <v>190</v>
      </c>
      <c r="D72" s="97">
        <f t="shared" si="3"/>
        <v>22980</v>
      </c>
      <c r="E72" s="46">
        <v>50081</v>
      </c>
      <c r="F72" s="33">
        <v>36690</v>
      </c>
      <c r="G72" s="33">
        <v>18794</v>
      </c>
      <c r="H72" s="33">
        <v>27322</v>
      </c>
      <c r="I72" s="33">
        <v>58593</v>
      </c>
      <c r="J72" s="33">
        <v>22450</v>
      </c>
      <c r="K72" s="33">
        <v>37714</v>
      </c>
      <c r="L72" s="33">
        <v>51900</v>
      </c>
      <c r="M72" s="63">
        <v>25186</v>
      </c>
      <c r="N72" s="97">
        <f t="shared" si="2"/>
        <v>328730</v>
      </c>
      <c r="O72" s="80">
        <v>351710</v>
      </c>
    </row>
    <row r="73" spans="1:15" ht="14.25" thickBot="1" x14ac:dyDescent="0.2">
      <c r="A73" s="34" t="s">
        <v>72</v>
      </c>
      <c r="B73" s="47">
        <v>85994</v>
      </c>
      <c r="C73" s="112">
        <v>461</v>
      </c>
      <c r="D73" s="98">
        <f t="shared" si="3"/>
        <v>86455</v>
      </c>
      <c r="E73" s="47">
        <v>99507</v>
      </c>
      <c r="F73" s="35">
        <v>82871</v>
      </c>
      <c r="G73" s="35">
        <v>19190</v>
      </c>
      <c r="H73" s="35">
        <v>64608</v>
      </c>
      <c r="I73" s="35">
        <v>95915</v>
      </c>
      <c r="J73" s="35">
        <v>77959</v>
      </c>
      <c r="K73" s="35">
        <v>90283</v>
      </c>
      <c r="L73" s="35">
        <v>98321</v>
      </c>
      <c r="M73" s="64">
        <v>77766</v>
      </c>
      <c r="N73" s="98">
        <f t="shared" si="2"/>
        <v>706420</v>
      </c>
      <c r="O73" s="81">
        <v>792875</v>
      </c>
    </row>
    <row r="74" spans="1:15" ht="14.25" thickBot="1" x14ac:dyDescent="0.2">
      <c r="A74" s="34" t="s">
        <v>73</v>
      </c>
      <c r="B74" s="47">
        <v>276935</v>
      </c>
      <c r="C74" s="112">
        <v>89855</v>
      </c>
      <c r="D74" s="98">
        <f t="shared" si="3"/>
        <v>366790</v>
      </c>
      <c r="E74" s="47">
        <v>215712</v>
      </c>
      <c r="F74" s="35">
        <v>160818</v>
      </c>
      <c r="G74" s="35">
        <v>112648</v>
      </c>
      <c r="H74" s="35">
        <v>243990</v>
      </c>
      <c r="I74" s="35">
        <v>224916</v>
      </c>
      <c r="J74" s="35">
        <v>245113</v>
      </c>
      <c r="K74" s="35">
        <v>262815</v>
      </c>
      <c r="L74" s="35">
        <v>225280</v>
      </c>
      <c r="M74" s="64">
        <v>278997</v>
      </c>
      <c r="N74" s="98">
        <f t="shared" si="2"/>
        <v>1970289</v>
      </c>
      <c r="O74" s="81">
        <v>2337079</v>
      </c>
    </row>
    <row r="75" spans="1:15" x14ac:dyDescent="0.15">
      <c r="A75" s="29" t="s">
        <v>74</v>
      </c>
      <c r="B75" s="45">
        <v>0</v>
      </c>
      <c r="C75" s="110">
        <v>0</v>
      </c>
      <c r="D75" s="96">
        <f t="shared" si="3"/>
        <v>0</v>
      </c>
      <c r="E75" s="45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62">
        <v>0</v>
      </c>
      <c r="N75" s="96">
        <f t="shared" si="2"/>
        <v>0</v>
      </c>
      <c r="O75" s="79">
        <v>0</v>
      </c>
    </row>
    <row r="76" spans="1:15" x14ac:dyDescent="0.15">
      <c r="A76" s="16" t="s">
        <v>75</v>
      </c>
      <c r="B76" s="43">
        <v>276935</v>
      </c>
      <c r="C76" s="108">
        <v>89855</v>
      </c>
      <c r="D76" s="94">
        <f t="shared" si="3"/>
        <v>366790</v>
      </c>
      <c r="E76" s="43">
        <v>215712</v>
      </c>
      <c r="F76" s="12">
        <v>160818</v>
      </c>
      <c r="G76" s="12">
        <v>112648</v>
      </c>
      <c r="H76" s="12">
        <v>243990</v>
      </c>
      <c r="I76" s="12">
        <v>224916</v>
      </c>
      <c r="J76" s="12">
        <v>245113</v>
      </c>
      <c r="K76" s="12">
        <v>262815</v>
      </c>
      <c r="L76" s="12">
        <v>225280</v>
      </c>
      <c r="M76" s="60">
        <v>278997</v>
      </c>
      <c r="N76" s="94">
        <f t="shared" si="2"/>
        <v>1970289</v>
      </c>
      <c r="O76" s="77">
        <v>2337079</v>
      </c>
    </row>
    <row r="77" spans="1:15" x14ac:dyDescent="0.15">
      <c r="A77" s="16" t="s">
        <v>76</v>
      </c>
      <c r="B77" s="48">
        <v>34</v>
      </c>
      <c r="C77" s="113">
        <v>13</v>
      </c>
      <c r="D77" s="99"/>
      <c r="E77" s="48">
        <v>19</v>
      </c>
      <c r="F77" s="13">
        <v>0</v>
      </c>
      <c r="G77" s="13">
        <v>0</v>
      </c>
      <c r="H77" s="13">
        <v>2</v>
      </c>
      <c r="I77" s="13">
        <v>7</v>
      </c>
      <c r="J77" s="13">
        <v>31</v>
      </c>
      <c r="K77" s="13">
        <v>14</v>
      </c>
      <c r="L77" s="13">
        <v>19</v>
      </c>
      <c r="M77" s="65">
        <v>20</v>
      </c>
      <c r="N77" s="99"/>
      <c r="O77" s="82">
        <v>159</v>
      </c>
    </row>
    <row r="78" spans="1:15" x14ac:dyDescent="0.15">
      <c r="A78" s="16" t="s">
        <v>77</v>
      </c>
      <c r="B78" s="49">
        <v>1</v>
      </c>
      <c r="C78" s="114"/>
      <c r="D78" s="100"/>
      <c r="E78" s="49"/>
      <c r="F78" s="14">
        <v>1</v>
      </c>
      <c r="G78" s="14"/>
      <c r="H78" s="14"/>
      <c r="I78" s="14">
        <v>1</v>
      </c>
      <c r="J78" s="14">
        <v>1</v>
      </c>
      <c r="K78" s="14">
        <v>3</v>
      </c>
      <c r="L78" s="14"/>
      <c r="M78" s="66">
        <v>1</v>
      </c>
      <c r="N78" s="100"/>
      <c r="O78" s="83"/>
    </row>
    <row r="79" spans="1:15" ht="14.25" thickBot="1" x14ac:dyDescent="0.2">
      <c r="A79" s="17" t="s">
        <v>78</v>
      </c>
      <c r="B79" s="50" t="s">
        <v>79</v>
      </c>
      <c r="C79" s="115" t="s">
        <v>79</v>
      </c>
      <c r="D79" s="101"/>
      <c r="E79" s="50" t="s">
        <v>79</v>
      </c>
      <c r="F79" s="18" t="s">
        <v>79</v>
      </c>
      <c r="G79" s="18" t="s">
        <v>79</v>
      </c>
      <c r="H79" s="18" t="s">
        <v>79</v>
      </c>
      <c r="I79" s="18" t="s">
        <v>79</v>
      </c>
      <c r="J79" s="18" t="s">
        <v>79</v>
      </c>
      <c r="K79" s="18" t="s">
        <v>79</v>
      </c>
      <c r="L79" s="18" t="s">
        <v>79</v>
      </c>
      <c r="M79" s="67" t="s">
        <v>79</v>
      </c>
      <c r="N79" s="101"/>
      <c r="O79" s="84"/>
    </row>
  </sheetData>
  <phoneticPr fontId="1"/>
  <pageMargins left="0.43307086614173229" right="0.35433070866141736" top="0.51181102362204722" bottom="0.35433070866141736" header="0.19685039370078741" footer="0.27559055118110237"/>
  <pageSetup paperSize="12" scale="68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2020-04-13T06:07:37Z</cp:lastPrinted>
  <dcterms:created xsi:type="dcterms:W3CDTF">2011-10-11T01:59:58Z</dcterms:created>
  <dcterms:modified xsi:type="dcterms:W3CDTF">2020-04-14T01:09:50Z</dcterms:modified>
</cp:coreProperties>
</file>