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08\"/>
    </mc:Choice>
  </mc:AlternateContent>
  <xr:revisionPtr revIDLastSave="0" documentId="13_ncr:1_{1DAA819F-BB3A-4000-A480-9948FE77161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(2)'!$A$1:$K$78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3" i="2"/>
  <c r="J22" i="2"/>
  <c r="J15" i="2"/>
  <c r="J14" i="2"/>
  <c r="J12" i="2"/>
  <c r="J10" i="2"/>
  <c r="J7" i="2"/>
  <c r="J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21" i="2"/>
  <c r="D13" i="2"/>
  <c r="D10" i="2"/>
  <c r="D6" i="2"/>
</calcChain>
</file>

<file path=xl/sharedStrings.xml><?xml version="1.0" encoding="utf-8"?>
<sst xmlns="http://schemas.openxmlformats.org/spreadsheetml/2006/main" count="107" uniqueCount="89">
  <si>
    <t>所　属</t>
  </si>
  <si>
    <t>社　員</t>
  </si>
  <si>
    <t>２０20年8月分</t>
  </si>
  <si>
    <t>若林運送株式会社</t>
  </si>
  <si>
    <t>締日:08/31</t>
  </si>
  <si>
    <t>支給日:09/15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</si>
  <si>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</si>
  <si>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</si>
  <si>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</si>
  <si>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</si>
  <si>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</si>
  <si>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</si>
  <si>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</si>
  <si>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</si>
  <si>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</si>
  <si>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</si>
  <si>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</si>
  <si>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</si>
  <si>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</si>
  <si>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</si>
  <si>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</si>
  <si>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</si>
  <si>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</si>
  <si>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</si>
  <si>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</si>
  <si>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</si>
  <si>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</si>
  <si>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</si>
  <si>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</si>
  <si>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</si>
  <si>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</si>
  <si>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</si>
  <si>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</si>
  <si>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</si>
  <si>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</si>
  <si>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</si>
  <si>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</si>
  <si>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</si>
  <si>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</si>
  <si>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</si>
  <si>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</si>
  <si>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</si>
  <si>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</si>
  <si>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</si>
  <si>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</si>
  <si>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</si>
  <si>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</si>
  <si>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</si>
  <si>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</si>
  <si>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</si>
  <si>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</si>
  <si>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</si>
  <si>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</si>
  <si>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</si>
  <si>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</si>
  <si>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</si>
  <si>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</si>
  <si>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</si>
  <si>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</si>
  <si>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</si>
  <si>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</si>
  <si>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</si>
  <si>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</si>
  <si>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</si>
  <si>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</si>
  <si>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</si>
  <si>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</si>
  <si>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</si>
  <si>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</si>
  <si>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</si>
  <si>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</si>
  <si>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</si>
  <si>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</si>
  <si>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</si>
  <si>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</si>
  <si>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</si>
  <si>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</si>
  <si>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</si>
  <si>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</si>
  <si>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</si>
  <si>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</si>
  <si>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</si>
  <si>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</si>
  <si>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</si>
  <si>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</si>
  <si>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</si>
  <si>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</si>
  <si>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5名</t>
    <rPh sb="1" eb="2">
      <t>メイ</t>
    </rPh>
    <phoneticPr fontId="1"/>
  </si>
  <si>
    <t>2名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</si>
</sst>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9" fontId="2" fillId="0" borderId="4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9FCD-703B-462C-ACB7-323A09886265}">
  <sheetPr>
    <pageSetUpPr fitToPage="1"/>
  </sheetPr>
  <dimension ref="A1:AK78"/>
  <sheetViews>
    <sheetView tabSelected="1" zoomScale="80" zoomScaleNormal="80" workbookViewId="0">
      <selection activeCell="A3" sqref="A3"/>
    </sheetView>
  </sheetViews>
  <sheetFormatPr defaultRowHeight="13.5" x14ac:dyDescent="0.15"/>
  <cols>
    <col min="1" max="1" width="17.625" style="2" customWidth="1"/>
    <col min="2" max="11" width="13.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7"/>
      <c r="F1" s="1"/>
      <c r="G1" s="1"/>
      <c r="H1" s="8"/>
      <c r="I1" s="1"/>
      <c r="J1" s="1"/>
      <c r="K1" s="1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 t="s">
        <v>5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6</v>
      </c>
      <c r="C3" s="100" t="s">
        <v>6</v>
      </c>
      <c r="D3" s="84" t="s">
        <v>86</v>
      </c>
      <c r="E3" s="36" t="s">
        <v>6</v>
      </c>
      <c r="F3" s="20" t="s">
        <v>6</v>
      </c>
      <c r="G3" s="20" t="s">
        <v>6</v>
      </c>
      <c r="H3" s="20" t="s">
        <v>6</v>
      </c>
      <c r="I3" s="52" t="s">
        <v>6</v>
      </c>
      <c r="J3" s="84" t="s">
        <v>86</v>
      </c>
      <c r="K3" s="67" t="s">
        <v>84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1031</v>
      </c>
      <c r="C4" s="101">
        <v>1089</v>
      </c>
      <c r="D4" s="85"/>
      <c r="E4" s="37">
        <v>1049</v>
      </c>
      <c r="F4" s="22">
        <v>1050</v>
      </c>
      <c r="G4" s="22">
        <v>1062</v>
      </c>
      <c r="H4" s="22">
        <v>1078</v>
      </c>
      <c r="I4" s="1">
        <v>1090</v>
      </c>
      <c r="J4" s="85"/>
      <c r="K4" s="6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7</v>
      </c>
      <c r="C5" s="101" t="s">
        <v>82</v>
      </c>
      <c r="D5" s="86" t="s">
        <v>88</v>
      </c>
      <c r="E5" s="37" t="s">
        <v>25</v>
      </c>
      <c r="F5" s="22" t="s">
        <v>26</v>
      </c>
      <c r="G5" s="22" t="s">
        <v>27</v>
      </c>
      <c r="H5" s="22" t="s">
        <v>28</v>
      </c>
      <c r="I5" s="1" t="s">
        <v>81</v>
      </c>
      <c r="J5" s="86" t="s">
        <v>87</v>
      </c>
      <c r="K5" s="69" t="s">
        <v>83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8</v>
      </c>
      <c r="B6" s="24">
        <v>17</v>
      </c>
      <c r="C6" s="102">
        <v>17</v>
      </c>
      <c r="D6" s="87">
        <f>SUM(B6:C6)</f>
        <v>34</v>
      </c>
      <c r="E6" s="38">
        <v>16</v>
      </c>
      <c r="F6" s="24">
        <v>16</v>
      </c>
      <c r="G6" s="24">
        <v>16</v>
      </c>
      <c r="H6" s="24">
        <v>18</v>
      </c>
      <c r="I6" s="53">
        <v>17</v>
      </c>
      <c r="J6" s="87">
        <f>SUM(E6:I6)</f>
        <v>83</v>
      </c>
      <c r="K6" s="70">
        <v>117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9</v>
      </c>
      <c r="B7" s="10"/>
      <c r="C7" s="103"/>
      <c r="D7" s="89"/>
      <c r="E7" s="39"/>
      <c r="F7" s="9">
        <v>1</v>
      </c>
      <c r="G7" s="9">
        <v>1</v>
      </c>
      <c r="H7" s="10"/>
      <c r="I7" s="54"/>
      <c r="J7" s="88">
        <f>SUM(E7:I7)</f>
        <v>2</v>
      </c>
      <c r="K7" s="71">
        <v>2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10</v>
      </c>
      <c r="B8" s="10"/>
      <c r="C8" s="103"/>
      <c r="D8" s="89"/>
      <c r="E8" s="39"/>
      <c r="F8" s="10"/>
      <c r="G8" s="10"/>
      <c r="H8" s="10"/>
      <c r="I8" s="54"/>
      <c r="J8" s="89"/>
      <c r="K8" s="7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11</v>
      </c>
      <c r="B9" s="10"/>
      <c r="C9" s="103"/>
      <c r="D9" s="89"/>
      <c r="E9" s="39"/>
      <c r="F9" s="10"/>
      <c r="G9" s="10"/>
      <c r="H9" s="10"/>
      <c r="I9" s="54"/>
      <c r="J9" s="89"/>
      <c r="K9" s="7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12</v>
      </c>
      <c r="B10" s="9">
        <v>3</v>
      </c>
      <c r="C10" s="104">
        <v>1</v>
      </c>
      <c r="D10" s="88">
        <f>SUM(B10:C10)</f>
        <v>4</v>
      </c>
      <c r="E10" s="39"/>
      <c r="F10" s="10"/>
      <c r="G10" s="10"/>
      <c r="H10" s="9">
        <v>2</v>
      </c>
      <c r="I10" s="54"/>
      <c r="J10" s="88">
        <f>SUM(E10:I10)</f>
        <v>2</v>
      </c>
      <c r="K10" s="71">
        <v>6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13</v>
      </c>
      <c r="B11" s="10"/>
      <c r="C11" s="103"/>
      <c r="D11" s="89"/>
      <c r="E11" s="39"/>
      <c r="F11" s="10"/>
      <c r="G11" s="10"/>
      <c r="H11" s="10"/>
      <c r="I11" s="54"/>
      <c r="J11" s="89"/>
      <c r="K11" s="7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14</v>
      </c>
      <c r="B12" s="10"/>
      <c r="C12" s="103"/>
      <c r="D12" s="89"/>
      <c r="E12" s="40">
        <v>4</v>
      </c>
      <c r="F12" s="9">
        <v>4</v>
      </c>
      <c r="G12" s="9">
        <v>4</v>
      </c>
      <c r="H12" s="10"/>
      <c r="I12" s="55">
        <v>3</v>
      </c>
      <c r="J12" s="88">
        <f>SUM(E12:I12)</f>
        <v>15</v>
      </c>
      <c r="K12" s="71">
        <v>15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15</v>
      </c>
      <c r="B13" s="10"/>
      <c r="C13" s="105">
        <v>2.2083333333333335</v>
      </c>
      <c r="D13" s="90">
        <f>SUM(B13:C13)</f>
        <v>2.2083333333333335</v>
      </c>
      <c r="E13" s="39"/>
      <c r="F13" s="10"/>
      <c r="G13" s="10"/>
      <c r="H13" s="10"/>
      <c r="I13" s="54"/>
      <c r="J13" s="89"/>
      <c r="K13" s="73">
        <v>2.2083333333333335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16</v>
      </c>
      <c r="B14" s="10"/>
      <c r="C14" s="103"/>
      <c r="D14" s="89"/>
      <c r="E14" s="41">
        <v>1.5</v>
      </c>
      <c r="F14" s="11">
        <v>1.8333333333333333</v>
      </c>
      <c r="G14" s="11">
        <v>1.625</v>
      </c>
      <c r="H14" s="10"/>
      <c r="I14" s="56">
        <v>1.9583333333333333</v>
      </c>
      <c r="J14" s="90">
        <f t="shared" ref="J14:J15" si="0">SUM(E14:I14)</f>
        <v>6.9166666666666661</v>
      </c>
      <c r="K14" s="73">
        <v>6.916666666666667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17</v>
      </c>
      <c r="B15" s="10"/>
      <c r="C15" s="103"/>
      <c r="D15" s="89"/>
      <c r="E15" s="39"/>
      <c r="F15" s="11">
        <v>0.16666666666666666</v>
      </c>
      <c r="G15" s="11">
        <v>0.33333333333333331</v>
      </c>
      <c r="H15" s="10"/>
      <c r="I15" s="54"/>
      <c r="J15" s="90">
        <f t="shared" si="0"/>
        <v>0.5</v>
      </c>
      <c r="K15" s="73">
        <v>0.5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18</v>
      </c>
      <c r="B16" s="10"/>
      <c r="C16" s="103"/>
      <c r="D16" s="89"/>
      <c r="E16" s="39"/>
      <c r="F16" s="10"/>
      <c r="G16" s="10"/>
      <c r="H16" s="10"/>
      <c r="I16" s="54"/>
      <c r="J16" s="89"/>
      <c r="K16" s="72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19</v>
      </c>
      <c r="B17" s="10"/>
      <c r="C17" s="103"/>
      <c r="D17" s="89"/>
      <c r="E17" s="39"/>
      <c r="F17" s="10"/>
      <c r="G17" s="10"/>
      <c r="H17" s="10"/>
      <c r="I17" s="54"/>
      <c r="J17" s="89"/>
      <c r="K17" s="72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20</v>
      </c>
      <c r="B18" s="10"/>
      <c r="C18" s="103"/>
      <c r="D18" s="89"/>
      <c r="E18" s="39"/>
      <c r="F18" s="10"/>
      <c r="G18" s="10"/>
      <c r="H18" s="10"/>
      <c r="I18" s="54"/>
      <c r="J18" s="89"/>
      <c r="K18" s="72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21</v>
      </c>
      <c r="B19" s="10"/>
      <c r="C19" s="103"/>
      <c r="D19" s="89"/>
      <c r="E19" s="39"/>
      <c r="F19" s="10"/>
      <c r="G19" s="10"/>
      <c r="H19" s="10"/>
      <c r="I19" s="54"/>
      <c r="J19" s="89"/>
      <c r="K19" s="72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22</v>
      </c>
      <c r="B20" s="10"/>
      <c r="C20" s="103"/>
      <c r="D20" s="89"/>
      <c r="E20" s="39"/>
      <c r="F20" s="10"/>
      <c r="G20" s="10"/>
      <c r="H20" s="10"/>
      <c r="I20" s="54"/>
      <c r="J20" s="89"/>
      <c r="K20" s="72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23</v>
      </c>
      <c r="B21" s="10"/>
      <c r="C21" s="105">
        <v>0.14583333333333334</v>
      </c>
      <c r="D21" s="89">
        <f>SUM(B21:C21)</f>
        <v>0.14583333333333334</v>
      </c>
      <c r="E21" s="39"/>
      <c r="F21" s="10"/>
      <c r="G21" s="10"/>
      <c r="H21" s="10"/>
      <c r="I21" s="54"/>
      <c r="J21" s="89"/>
      <c r="K21" s="73">
        <v>0.14583333333333334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24</v>
      </c>
      <c r="B22" s="26"/>
      <c r="C22" s="106"/>
      <c r="D22" s="116"/>
      <c r="E22" s="42">
        <v>0.125</v>
      </c>
      <c r="F22" s="27">
        <v>0.5</v>
      </c>
      <c r="G22" s="27">
        <v>0.25</v>
      </c>
      <c r="H22" s="26"/>
      <c r="I22" s="57">
        <v>0.375</v>
      </c>
      <c r="J22" s="90">
        <f t="shared" ref="J22" si="1">SUM(E22:I22)</f>
        <v>1.25</v>
      </c>
      <c r="K22" s="74">
        <v>1.25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29</v>
      </c>
      <c r="B23" s="28">
        <v>355000</v>
      </c>
      <c r="C23" s="107">
        <v>0</v>
      </c>
      <c r="D23" s="91">
        <f>SUM(B23:C23)</f>
        <v>355000</v>
      </c>
      <c r="E23" s="43">
        <v>177000</v>
      </c>
      <c r="F23" s="28">
        <v>187000</v>
      </c>
      <c r="G23" s="28">
        <v>165000</v>
      </c>
      <c r="H23" s="28">
        <v>355000</v>
      </c>
      <c r="I23" s="58">
        <v>187000</v>
      </c>
      <c r="J23" s="91">
        <f>SUM(E23:I23)</f>
        <v>1071000</v>
      </c>
      <c r="K23" s="75">
        <v>1426000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30</v>
      </c>
      <c r="B24" s="10">
        <v>0</v>
      </c>
      <c r="C24" s="103">
        <v>0</v>
      </c>
      <c r="D24" s="89">
        <f t="shared" ref="D24:D75" si="2">SUM(B24:C24)</f>
        <v>0</v>
      </c>
      <c r="E24" s="39">
        <v>5000</v>
      </c>
      <c r="F24" s="10">
        <v>0</v>
      </c>
      <c r="G24" s="10">
        <v>0</v>
      </c>
      <c r="H24" s="10">
        <v>0</v>
      </c>
      <c r="I24" s="54">
        <v>0</v>
      </c>
      <c r="J24" s="89">
        <f t="shared" ref="J24:J75" si="3">SUM(E24:I24)</f>
        <v>5000</v>
      </c>
      <c r="K24" s="72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31</v>
      </c>
      <c r="B25" s="10">
        <v>0</v>
      </c>
      <c r="C25" s="103">
        <v>0</v>
      </c>
      <c r="D25" s="89">
        <f t="shared" si="2"/>
        <v>0</v>
      </c>
      <c r="E25" s="39">
        <v>0</v>
      </c>
      <c r="F25" s="10">
        <v>0</v>
      </c>
      <c r="G25" s="10">
        <v>0</v>
      </c>
      <c r="H25" s="10">
        <v>0</v>
      </c>
      <c r="I25" s="54">
        <v>0</v>
      </c>
      <c r="J25" s="89">
        <f t="shared" si="3"/>
        <v>0</v>
      </c>
      <c r="K25" s="72">
        <v>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32</v>
      </c>
      <c r="B26" s="10">
        <v>50000</v>
      </c>
      <c r="C26" s="103">
        <v>0</v>
      </c>
      <c r="D26" s="89">
        <f t="shared" si="2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54">
        <v>50000</v>
      </c>
      <c r="J26" s="89">
        <f t="shared" si="3"/>
        <v>250000</v>
      </c>
      <c r="K26" s="72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33</v>
      </c>
      <c r="B27" s="10">
        <v>0</v>
      </c>
      <c r="C27" s="103">
        <v>0</v>
      </c>
      <c r="D27" s="89">
        <f t="shared" si="2"/>
        <v>0</v>
      </c>
      <c r="E27" s="39">
        <v>0</v>
      </c>
      <c r="F27" s="10">
        <v>0</v>
      </c>
      <c r="G27" s="10">
        <v>0</v>
      </c>
      <c r="H27" s="10">
        <v>0</v>
      </c>
      <c r="I27" s="54">
        <v>0</v>
      </c>
      <c r="J27" s="89">
        <f t="shared" si="3"/>
        <v>0</v>
      </c>
      <c r="K27" s="72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34</v>
      </c>
      <c r="B28" s="10">
        <v>0</v>
      </c>
      <c r="C28" s="103">
        <v>0</v>
      </c>
      <c r="D28" s="89">
        <f t="shared" si="2"/>
        <v>0</v>
      </c>
      <c r="E28" s="39">
        <v>0</v>
      </c>
      <c r="F28" s="10">
        <v>0</v>
      </c>
      <c r="G28" s="10">
        <v>0</v>
      </c>
      <c r="H28" s="10">
        <v>0</v>
      </c>
      <c r="I28" s="54">
        <v>0</v>
      </c>
      <c r="J28" s="89">
        <f t="shared" si="3"/>
        <v>0</v>
      </c>
      <c r="K28" s="72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35</v>
      </c>
      <c r="B29" s="10">
        <v>0</v>
      </c>
      <c r="C29" s="103">
        <v>0</v>
      </c>
      <c r="D29" s="89">
        <f t="shared" si="2"/>
        <v>0</v>
      </c>
      <c r="E29" s="39">
        <v>0</v>
      </c>
      <c r="F29" s="10">
        <v>0</v>
      </c>
      <c r="G29" s="10">
        <v>0</v>
      </c>
      <c r="H29" s="10">
        <v>0</v>
      </c>
      <c r="I29" s="54">
        <v>0</v>
      </c>
      <c r="J29" s="89">
        <f t="shared" si="3"/>
        <v>0</v>
      </c>
      <c r="K29" s="72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36</v>
      </c>
      <c r="B30" s="10">
        <v>0</v>
      </c>
      <c r="C30" s="103">
        <v>0</v>
      </c>
      <c r="D30" s="89">
        <f t="shared" si="2"/>
        <v>0</v>
      </c>
      <c r="E30" s="39">
        <v>0</v>
      </c>
      <c r="F30" s="10">
        <v>0</v>
      </c>
      <c r="G30" s="10">
        <v>0</v>
      </c>
      <c r="H30" s="10">
        <v>0</v>
      </c>
      <c r="I30" s="54">
        <v>0</v>
      </c>
      <c r="J30" s="89">
        <f t="shared" si="3"/>
        <v>0</v>
      </c>
      <c r="K30" s="72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37</v>
      </c>
      <c r="B31" s="10">
        <v>0</v>
      </c>
      <c r="C31" s="103">
        <v>56710</v>
      </c>
      <c r="D31" s="89">
        <f t="shared" si="2"/>
        <v>56710</v>
      </c>
      <c r="E31" s="39">
        <v>0</v>
      </c>
      <c r="F31" s="10">
        <v>0</v>
      </c>
      <c r="G31" s="10">
        <v>0</v>
      </c>
      <c r="H31" s="10">
        <v>0</v>
      </c>
      <c r="I31" s="54">
        <v>0</v>
      </c>
      <c r="J31" s="89">
        <f t="shared" si="3"/>
        <v>0</v>
      </c>
      <c r="K31" s="72">
        <v>56710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38</v>
      </c>
      <c r="B32" s="10">
        <v>0</v>
      </c>
      <c r="C32" s="103">
        <v>0</v>
      </c>
      <c r="D32" s="89">
        <f t="shared" si="2"/>
        <v>0</v>
      </c>
      <c r="E32" s="39">
        <v>0</v>
      </c>
      <c r="F32" s="10">
        <v>0</v>
      </c>
      <c r="G32" s="10">
        <v>0</v>
      </c>
      <c r="H32" s="10">
        <v>0</v>
      </c>
      <c r="I32" s="54">
        <v>0</v>
      </c>
      <c r="J32" s="89">
        <f t="shared" si="3"/>
        <v>0</v>
      </c>
      <c r="K32" s="72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39</v>
      </c>
      <c r="B33" s="10">
        <v>0</v>
      </c>
      <c r="C33" s="103">
        <v>0</v>
      </c>
      <c r="D33" s="89">
        <f t="shared" si="2"/>
        <v>0</v>
      </c>
      <c r="E33" s="39">
        <v>0</v>
      </c>
      <c r="F33" s="10">
        <v>0</v>
      </c>
      <c r="G33" s="10">
        <v>0</v>
      </c>
      <c r="H33" s="10">
        <v>0</v>
      </c>
      <c r="I33" s="54">
        <v>0</v>
      </c>
      <c r="J33" s="89">
        <f t="shared" si="3"/>
        <v>0</v>
      </c>
      <c r="K33" s="72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40</v>
      </c>
      <c r="B34" s="10">
        <v>0</v>
      </c>
      <c r="C34" s="103">
        <v>3745</v>
      </c>
      <c r="D34" s="89">
        <f t="shared" si="2"/>
        <v>3745</v>
      </c>
      <c r="E34" s="39">
        <v>0</v>
      </c>
      <c r="F34" s="10">
        <v>0</v>
      </c>
      <c r="G34" s="10">
        <v>0</v>
      </c>
      <c r="H34" s="10">
        <v>0</v>
      </c>
      <c r="I34" s="54">
        <v>0</v>
      </c>
      <c r="J34" s="89">
        <f t="shared" si="3"/>
        <v>0</v>
      </c>
      <c r="K34" s="72">
        <v>3745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41</v>
      </c>
      <c r="B35" s="10">
        <v>0</v>
      </c>
      <c r="C35" s="103">
        <v>0</v>
      </c>
      <c r="D35" s="89">
        <f t="shared" si="2"/>
        <v>0</v>
      </c>
      <c r="E35" s="39">
        <v>0</v>
      </c>
      <c r="F35" s="10">
        <v>0</v>
      </c>
      <c r="G35" s="10">
        <v>0</v>
      </c>
      <c r="H35" s="10">
        <v>0</v>
      </c>
      <c r="I35" s="54">
        <v>0</v>
      </c>
      <c r="J35" s="89">
        <f t="shared" si="3"/>
        <v>0</v>
      </c>
      <c r="K35" s="72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42</v>
      </c>
      <c r="B36" s="10">
        <v>0</v>
      </c>
      <c r="C36" s="103">
        <v>0</v>
      </c>
      <c r="D36" s="89">
        <f t="shared" si="2"/>
        <v>0</v>
      </c>
      <c r="E36" s="39">
        <v>0</v>
      </c>
      <c r="F36" s="10">
        <v>0</v>
      </c>
      <c r="G36" s="10">
        <v>0</v>
      </c>
      <c r="H36" s="10">
        <v>0</v>
      </c>
      <c r="I36" s="54">
        <v>0</v>
      </c>
      <c r="J36" s="89">
        <f t="shared" si="3"/>
        <v>0</v>
      </c>
      <c r="K36" s="72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43</v>
      </c>
      <c r="B37" s="10">
        <v>0</v>
      </c>
      <c r="C37" s="103">
        <v>0</v>
      </c>
      <c r="D37" s="89">
        <f t="shared" si="2"/>
        <v>0</v>
      </c>
      <c r="E37" s="39">
        <v>0</v>
      </c>
      <c r="F37" s="10">
        <v>0</v>
      </c>
      <c r="G37" s="10">
        <v>0</v>
      </c>
      <c r="H37" s="10">
        <v>0</v>
      </c>
      <c r="I37" s="54">
        <v>0</v>
      </c>
      <c r="J37" s="89">
        <f t="shared" si="3"/>
        <v>0</v>
      </c>
      <c r="K37" s="72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44</v>
      </c>
      <c r="B38" s="10">
        <v>0</v>
      </c>
      <c r="C38" s="103">
        <v>0</v>
      </c>
      <c r="D38" s="89">
        <f t="shared" si="2"/>
        <v>0</v>
      </c>
      <c r="E38" s="39">
        <v>0</v>
      </c>
      <c r="F38" s="10">
        <v>13000</v>
      </c>
      <c r="G38" s="10">
        <v>0</v>
      </c>
      <c r="H38" s="10">
        <v>0</v>
      </c>
      <c r="I38" s="54">
        <v>13000</v>
      </c>
      <c r="J38" s="89">
        <f t="shared" si="3"/>
        <v>26000</v>
      </c>
      <c r="K38" s="72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45</v>
      </c>
      <c r="B39" s="10">
        <v>0</v>
      </c>
      <c r="C39" s="103">
        <v>0</v>
      </c>
      <c r="D39" s="89">
        <f t="shared" si="2"/>
        <v>0</v>
      </c>
      <c r="E39" s="39">
        <v>0</v>
      </c>
      <c r="F39" s="10">
        <v>0</v>
      </c>
      <c r="G39" s="10">
        <v>0</v>
      </c>
      <c r="H39" s="10">
        <v>0</v>
      </c>
      <c r="I39" s="54">
        <v>0</v>
      </c>
      <c r="J39" s="89">
        <f t="shared" si="3"/>
        <v>0</v>
      </c>
      <c r="K39" s="72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46</v>
      </c>
      <c r="B40" s="10">
        <v>0</v>
      </c>
      <c r="C40" s="103">
        <v>0</v>
      </c>
      <c r="D40" s="89">
        <f t="shared" si="2"/>
        <v>0</v>
      </c>
      <c r="E40" s="39">
        <v>0</v>
      </c>
      <c r="F40" s="10">
        <v>0</v>
      </c>
      <c r="G40" s="10">
        <v>0</v>
      </c>
      <c r="H40" s="10">
        <v>0</v>
      </c>
      <c r="I40" s="54">
        <v>0</v>
      </c>
      <c r="J40" s="89">
        <f t="shared" si="3"/>
        <v>0</v>
      </c>
      <c r="K40" s="72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47</v>
      </c>
      <c r="B41" s="10">
        <v>0</v>
      </c>
      <c r="C41" s="103">
        <v>0</v>
      </c>
      <c r="D41" s="89">
        <f t="shared" si="2"/>
        <v>0</v>
      </c>
      <c r="E41" s="39">
        <v>-44400</v>
      </c>
      <c r="F41" s="10">
        <v>-47844</v>
      </c>
      <c r="G41" s="10">
        <v>-41148</v>
      </c>
      <c r="H41" s="10">
        <v>0</v>
      </c>
      <c r="I41" s="54">
        <v>-35883</v>
      </c>
      <c r="J41" s="89">
        <f t="shared" si="3"/>
        <v>-169275</v>
      </c>
      <c r="K41" s="72">
        <v>-169275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48</v>
      </c>
      <c r="B42" s="10">
        <v>0</v>
      </c>
      <c r="C42" s="103">
        <v>0</v>
      </c>
      <c r="D42" s="89">
        <f t="shared" si="2"/>
        <v>0</v>
      </c>
      <c r="E42" s="39">
        <v>0</v>
      </c>
      <c r="F42" s="10">
        <v>0</v>
      </c>
      <c r="G42" s="10">
        <v>0</v>
      </c>
      <c r="H42" s="10">
        <v>0</v>
      </c>
      <c r="I42" s="54">
        <v>0</v>
      </c>
      <c r="J42" s="89">
        <f t="shared" si="3"/>
        <v>0</v>
      </c>
      <c r="K42" s="72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16</v>
      </c>
      <c r="B43" s="10">
        <v>0</v>
      </c>
      <c r="C43" s="103">
        <v>0</v>
      </c>
      <c r="D43" s="89">
        <f t="shared" si="2"/>
        <v>0</v>
      </c>
      <c r="E43" s="39">
        <v>62496</v>
      </c>
      <c r="F43" s="10">
        <v>82324</v>
      </c>
      <c r="G43" s="10">
        <v>62751</v>
      </c>
      <c r="H43" s="10">
        <v>0</v>
      </c>
      <c r="I43" s="54">
        <v>87937</v>
      </c>
      <c r="J43" s="89">
        <f t="shared" si="3"/>
        <v>295508</v>
      </c>
      <c r="K43" s="72">
        <v>295508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9</v>
      </c>
      <c r="B44" s="10">
        <v>0</v>
      </c>
      <c r="C44" s="103">
        <v>0</v>
      </c>
      <c r="D44" s="89">
        <f t="shared" si="2"/>
        <v>0</v>
      </c>
      <c r="E44" s="39">
        <v>0</v>
      </c>
      <c r="F44" s="10">
        <v>8084</v>
      </c>
      <c r="G44" s="10">
        <v>13896</v>
      </c>
      <c r="H44" s="10">
        <v>0</v>
      </c>
      <c r="I44" s="54">
        <v>0</v>
      </c>
      <c r="J44" s="89">
        <f t="shared" si="3"/>
        <v>21980</v>
      </c>
      <c r="K44" s="72">
        <v>21980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10</v>
      </c>
      <c r="B45" s="10">
        <v>0</v>
      </c>
      <c r="C45" s="103">
        <v>0</v>
      </c>
      <c r="D45" s="89">
        <f t="shared" si="2"/>
        <v>0</v>
      </c>
      <c r="E45" s="39">
        <v>0</v>
      </c>
      <c r="F45" s="10">
        <v>0</v>
      </c>
      <c r="G45" s="10">
        <v>0</v>
      </c>
      <c r="H45" s="10">
        <v>0</v>
      </c>
      <c r="I45" s="54">
        <v>0</v>
      </c>
      <c r="J45" s="89">
        <f t="shared" si="3"/>
        <v>0</v>
      </c>
      <c r="K45" s="72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49</v>
      </c>
      <c r="B46" s="10">
        <v>0</v>
      </c>
      <c r="C46" s="103">
        <v>0</v>
      </c>
      <c r="D46" s="89">
        <f t="shared" si="2"/>
        <v>0</v>
      </c>
      <c r="E46" s="39">
        <v>0</v>
      </c>
      <c r="F46" s="10">
        <v>0</v>
      </c>
      <c r="G46" s="10">
        <v>0</v>
      </c>
      <c r="H46" s="10">
        <v>0</v>
      </c>
      <c r="I46" s="54">
        <v>0</v>
      </c>
      <c r="J46" s="89">
        <f t="shared" si="3"/>
        <v>0</v>
      </c>
      <c r="K46" s="72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50</v>
      </c>
      <c r="B47" s="10">
        <v>0</v>
      </c>
      <c r="C47" s="103">
        <v>0</v>
      </c>
      <c r="D47" s="89">
        <f t="shared" si="2"/>
        <v>0</v>
      </c>
      <c r="E47" s="39">
        <v>44400</v>
      </c>
      <c r="F47" s="10">
        <v>47844</v>
      </c>
      <c r="G47" s="10">
        <v>41148</v>
      </c>
      <c r="H47" s="10">
        <v>0</v>
      </c>
      <c r="I47" s="54">
        <v>35883</v>
      </c>
      <c r="J47" s="89">
        <f t="shared" si="3"/>
        <v>169275</v>
      </c>
      <c r="K47" s="72">
        <v>169275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20</v>
      </c>
      <c r="B48" s="10">
        <v>0</v>
      </c>
      <c r="C48" s="103">
        <v>0</v>
      </c>
      <c r="D48" s="89">
        <f t="shared" si="2"/>
        <v>0</v>
      </c>
      <c r="E48" s="39">
        <v>0</v>
      </c>
      <c r="F48" s="10">
        <v>0</v>
      </c>
      <c r="G48" s="10">
        <v>0</v>
      </c>
      <c r="H48" s="10">
        <v>0</v>
      </c>
      <c r="I48" s="54">
        <v>0</v>
      </c>
      <c r="J48" s="89">
        <f t="shared" si="3"/>
        <v>0</v>
      </c>
      <c r="K48" s="72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51</v>
      </c>
      <c r="B49" s="12">
        <v>0</v>
      </c>
      <c r="C49" s="108">
        <v>0</v>
      </c>
      <c r="D49" s="92">
        <f t="shared" si="2"/>
        <v>0</v>
      </c>
      <c r="E49" s="44">
        <v>0</v>
      </c>
      <c r="F49" s="12">
        <v>0</v>
      </c>
      <c r="G49" s="12">
        <v>0</v>
      </c>
      <c r="H49" s="12">
        <v>0</v>
      </c>
      <c r="I49" s="59">
        <v>0</v>
      </c>
      <c r="J49" s="92">
        <f t="shared" si="3"/>
        <v>0</v>
      </c>
      <c r="K49" s="76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24</v>
      </c>
      <c r="B50" s="12">
        <v>0</v>
      </c>
      <c r="C50" s="108">
        <v>0</v>
      </c>
      <c r="D50" s="92">
        <f t="shared" si="2"/>
        <v>0</v>
      </c>
      <c r="E50" s="44">
        <v>1041</v>
      </c>
      <c r="F50" s="12">
        <v>4488</v>
      </c>
      <c r="G50" s="12">
        <v>1932</v>
      </c>
      <c r="H50" s="12">
        <v>0</v>
      </c>
      <c r="I50" s="59">
        <v>3366</v>
      </c>
      <c r="J50" s="92">
        <f t="shared" si="3"/>
        <v>10827</v>
      </c>
      <c r="K50" s="76">
        <v>10827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52</v>
      </c>
      <c r="B51" s="31">
        <v>405000</v>
      </c>
      <c r="C51" s="109">
        <v>60455</v>
      </c>
      <c r="D51" s="93">
        <f t="shared" si="2"/>
        <v>465455</v>
      </c>
      <c r="E51" s="45">
        <v>295537</v>
      </c>
      <c r="F51" s="31">
        <v>344896</v>
      </c>
      <c r="G51" s="31">
        <v>293579</v>
      </c>
      <c r="H51" s="31">
        <v>405000</v>
      </c>
      <c r="I51" s="60">
        <v>341303</v>
      </c>
      <c r="J51" s="93">
        <f t="shared" si="3"/>
        <v>1680315</v>
      </c>
      <c r="K51" s="77">
        <v>2145770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53</v>
      </c>
      <c r="B52" s="30">
        <v>8922</v>
      </c>
      <c r="C52" s="110">
        <v>0</v>
      </c>
      <c r="D52" s="94">
        <f t="shared" si="2"/>
        <v>8922</v>
      </c>
      <c r="E52" s="46">
        <v>3917</v>
      </c>
      <c r="F52" s="30">
        <v>1030</v>
      </c>
      <c r="G52" s="30">
        <v>10672</v>
      </c>
      <c r="H52" s="30">
        <v>6904</v>
      </c>
      <c r="I52" s="61">
        <v>0</v>
      </c>
      <c r="J52" s="94">
        <f t="shared" si="3"/>
        <v>22523</v>
      </c>
      <c r="K52" s="78">
        <v>31445</v>
      </c>
      <c r="L52" s="6"/>
      <c r="M52" s="6"/>
      <c r="N52" s="6"/>
      <c r="O52" s="6"/>
      <c r="P52" s="6"/>
      <c r="Q52" s="6"/>
      <c r="R52" s="6"/>
    </row>
    <row r="53" spans="1:18" x14ac:dyDescent="0.15">
      <c r="A53" s="16" t="s">
        <v>54</v>
      </c>
      <c r="B53" s="12">
        <v>0</v>
      </c>
      <c r="C53" s="108">
        <v>0</v>
      </c>
      <c r="D53" s="92">
        <f t="shared" si="2"/>
        <v>0</v>
      </c>
      <c r="E53" s="44">
        <v>0</v>
      </c>
      <c r="F53" s="12">
        <v>0</v>
      </c>
      <c r="G53" s="12">
        <v>0</v>
      </c>
      <c r="H53" s="12">
        <v>0</v>
      </c>
      <c r="I53" s="59">
        <v>0</v>
      </c>
      <c r="J53" s="92">
        <f t="shared" si="3"/>
        <v>0</v>
      </c>
      <c r="K53" s="76">
        <v>0</v>
      </c>
    </row>
    <row r="54" spans="1:18" ht="14.25" thickBot="1" x14ac:dyDescent="0.2">
      <c r="A54" s="32" t="s">
        <v>55</v>
      </c>
      <c r="B54" s="33">
        <v>8922</v>
      </c>
      <c r="C54" s="111">
        <v>0</v>
      </c>
      <c r="D54" s="95">
        <f t="shared" si="2"/>
        <v>8922</v>
      </c>
      <c r="E54" s="47">
        <v>3917</v>
      </c>
      <c r="F54" s="33">
        <v>1030</v>
      </c>
      <c r="G54" s="33">
        <v>10672</v>
      </c>
      <c r="H54" s="33">
        <v>6904</v>
      </c>
      <c r="I54" s="62">
        <v>0</v>
      </c>
      <c r="J54" s="95">
        <f t="shared" si="3"/>
        <v>22523</v>
      </c>
      <c r="K54" s="79">
        <v>31445</v>
      </c>
    </row>
    <row r="55" spans="1:18" ht="14.25" thickBot="1" x14ac:dyDescent="0.2">
      <c r="A55" s="34" t="s">
        <v>56</v>
      </c>
      <c r="B55" s="35">
        <v>413922</v>
      </c>
      <c r="C55" s="112">
        <v>60455</v>
      </c>
      <c r="D55" s="96">
        <f t="shared" si="2"/>
        <v>474377</v>
      </c>
      <c r="E55" s="48">
        <v>299454</v>
      </c>
      <c r="F55" s="35">
        <v>345926</v>
      </c>
      <c r="G55" s="35">
        <v>304251</v>
      </c>
      <c r="H55" s="35">
        <v>411904</v>
      </c>
      <c r="I55" s="63">
        <v>341303</v>
      </c>
      <c r="J55" s="96">
        <f t="shared" si="3"/>
        <v>1702838</v>
      </c>
      <c r="K55" s="80">
        <v>2177215</v>
      </c>
    </row>
    <row r="56" spans="1:18" x14ac:dyDescent="0.15">
      <c r="A56" s="29" t="s">
        <v>57</v>
      </c>
      <c r="B56" s="30">
        <v>22440</v>
      </c>
      <c r="C56" s="110">
        <v>0</v>
      </c>
      <c r="D56" s="94">
        <f t="shared" si="2"/>
        <v>22440</v>
      </c>
      <c r="E56" s="46">
        <v>18360</v>
      </c>
      <c r="F56" s="30">
        <v>18360</v>
      </c>
      <c r="G56" s="30">
        <v>16320</v>
      </c>
      <c r="H56" s="30">
        <v>20910</v>
      </c>
      <c r="I56" s="61">
        <v>17340</v>
      </c>
      <c r="J56" s="94">
        <f t="shared" si="3"/>
        <v>91290</v>
      </c>
      <c r="K56" s="78">
        <v>113730</v>
      </c>
    </row>
    <row r="57" spans="1:18" x14ac:dyDescent="0.15">
      <c r="A57" s="16" t="s">
        <v>58</v>
      </c>
      <c r="B57" s="12">
        <v>0</v>
      </c>
      <c r="C57" s="108">
        <v>0</v>
      </c>
      <c r="D57" s="92">
        <f t="shared" si="2"/>
        <v>0</v>
      </c>
      <c r="E57" s="44">
        <v>3240</v>
      </c>
      <c r="F57" s="12">
        <v>3240</v>
      </c>
      <c r="G57" s="12">
        <v>2880</v>
      </c>
      <c r="H57" s="12">
        <v>3690</v>
      </c>
      <c r="I57" s="59">
        <v>3060</v>
      </c>
      <c r="J57" s="92">
        <f t="shared" si="3"/>
        <v>16110</v>
      </c>
      <c r="K57" s="76">
        <v>16110</v>
      </c>
    </row>
    <row r="58" spans="1:18" x14ac:dyDescent="0.15">
      <c r="A58" s="16" t="s">
        <v>59</v>
      </c>
      <c r="B58" s="12">
        <v>40260</v>
      </c>
      <c r="C58" s="108">
        <v>0</v>
      </c>
      <c r="D58" s="92">
        <f t="shared" si="2"/>
        <v>40260</v>
      </c>
      <c r="E58" s="44">
        <v>32940</v>
      </c>
      <c r="F58" s="12">
        <v>32940</v>
      </c>
      <c r="G58" s="12">
        <v>29280</v>
      </c>
      <c r="H58" s="12">
        <v>37515</v>
      </c>
      <c r="I58" s="59">
        <v>31110</v>
      </c>
      <c r="J58" s="92">
        <f t="shared" si="3"/>
        <v>163785</v>
      </c>
      <c r="K58" s="76">
        <v>204045</v>
      </c>
    </row>
    <row r="59" spans="1:18" x14ac:dyDescent="0.15">
      <c r="A59" s="16" t="s">
        <v>60</v>
      </c>
      <c r="B59" s="12">
        <v>0</v>
      </c>
      <c r="C59" s="108">
        <v>0</v>
      </c>
      <c r="D59" s="92">
        <f t="shared" si="2"/>
        <v>0</v>
      </c>
      <c r="E59" s="44">
        <v>0</v>
      </c>
      <c r="F59" s="12">
        <v>0</v>
      </c>
      <c r="G59" s="12">
        <v>0</v>
      </c>
      <c r="H59" s="12">
        <v>0</v>
      </c>
      <c r="I59" s="59">
        <v>0</v>
      </c>
      <c r="J59" s="92">
        <f t="shared" si="3"/>
        <v>0</v>
      </c>
      <c r="K59" s="76">
        <v>0</v>
      </c>
    </row>
    <row r="60" spans="1:18" x14ac:dyDescent="0.15">
      <c r="A60" s="16" t="s">
        <v>61</v>
      </c>
      <c r="B60" s="12">
        <v>1242</v>
      </c>
      <c r="C60" s="113" t="s">
        <v>85</v>
      </c>
      <c r="D60" s="92">
        <f t="shared" si="2"/>
        <v>1242</v>
      </c>
      <c r="E60" s="44">
        <v>898</v>
      </c>
      <c r="F60" s="12">
        <v>1038</v>
      </c>
      <c r="G60" s="12">
        <v>913</v>
      </c>
      <c r="H60" s="12">
        <v>1236</v>
      </c>
      <c r="I60" s="59">
        <v>1024</v>
      </c>
      <c r="J60" s="92">
        <f t="shared" si="3"/>
        <v>5109</v>
      </c>
      <c r="K60" s="76">
        <v>6351</v>
      </c>
    </row>
    <row r="61" spans="1:18" x14ac:dyDescent="0.15">
      <c r="A61" s="16" t="s">
        <v>62</v>
      </c>
      <c r="B61" s="12">
        <v>0</v>
      </c>
      <c r="C61" s="108">
        <v>0</v>
      </c>
      <c r="D61" s="92">
        <f t="shared" si="2"/>
        <v>0</v>
      </c>
      <c r="E61" s="44">
        <v>0</v>
      </c>
      <c r="F61" s="12">
        <v>0</v>
      </c>
      <c r="G61" s="12">
        <v>0</v>
      </c>
      <c r="H61" s="12">
        <v>0</v>
      </c>
      <c r="I61" s="59">
        <v>0</v>
      </c>
      <c r="J61" s="92">
        <f t="shared" si="3"/>
        <v>0</v>
      </c>
      <c r="K61" s="76">
        <v>0</v>
      </c>
    </row>
    <row r="62" spans="1:18" ht="14.25" thickBot="1" x14ac:dyDescent="0.2">
      <c r="A62" s="32" t="s">
        <v>63</v>
      </c>
      <c r="B62" s="33">
        <v>63942</v>
      </c>
      <c r="C62" s="111">
        <v>0</v>
      </c>
      <c r="D62" s="95">
        <f t="shared" si="2"/>
        <v>63942</v>
      </c>
      <c r="E62" s="47">
        <v>55438</v>
      </c>
      <c r="F62" s="33">
        <v>55578</v>
      </c>
      <c r="G62" s="33">
        <v>49393</v>
      </c>
      <c r="H62" s="33">
        <v>63351</v>
      </c>
      <c r="I62" s="62">
        <v>52534</v>
      </c>
      <c r="J62" s="95">
        <f t="shared" si="3"/>
        <v>276294</v>
      </c>
      <c r="K62" s="79">
        <v>340236</v>
      </c>
    </row>
    <row r="63" spans="1:18" ht="14.25" thickBot="1" x14ac:dyDescent="0.2">
      <c r="A63" s="34" t="s">
        <v>64</v>
      </c>
      <c r="B63" s="35">
        <v>341058</v>
      </c>
      <c r="C63" s="112">
        <v>60455</v>
      </c>
      <c r="D63" s="96">
        <f t="shared" si="2"/>
        <v>401513</v>
      </c>
      <c r="E63" s="48">
        <v>240099</v>
      </c>
      <c r="F63" s="35">
        <v>289318</v>
      </c>
      <c r="G63" s="35">
        <v>244186</v>
      </c>
      <c r="H63" s="35">
        <v>341649</v>
      </c>
      <c r="I63" s="63">
        <v>288769</v>
      </c>
      <c r="J63" s="96">
        <f t="shared" si="3"/>
        <v>1404021</v>
      </c>
      <c r="K63" s="80">
        <v>1805534</v>
      </c>
    </row>
    <row r="64" spans="1:18" x14ac:dyDescent="0.15">
      <c r="A64" s="29" t="s">
        <v>65</v>
      </c>
      <c r="B64" s="30">
        <v>8500</v>
      </c>
      <c r="C64" s="110">
        <v>0</v>
      </c>
      <c r="D64" s="94">
        <f t="shared" si="2"/>
        <v>8500</v>
      </c>
      <c r="E64" s="46">
        <v>6200</v>
      </c>
      <c r="F64" s="30">
        <v>7960</v>
      </c>
      <c r="G64" s="30">
        <v>6340</v>
      </c>
      <c r="H64" s="30">
        <v>6810</v>
      </c>
      <c r="I64" s="61">
        <v>4700</v>
      </c>
      <c r="J64" s="94">
        <f t="shared" si="3"/>
        <v>32010</v>
      </c>
      <c r="K64" s="78">
        <v>40510</v>
      </c>
    </row>
    <row r="65" spans="1:11" x14ac:dyDescent="0.15">
      <c r="A65" s="16" t="s">
        <v>66</v>
      </c>
      <c r="B65" s="12">
        <v>0</v>
      </c>
      <c r="C65" s="108">
        <v>0</v>
      </c>
      <c r="D65" s="92">
        <f t="shared" si="2"/>
        <v>0</v>
      </c>
      <c r="E65" s="44">
        <v>0</v>
      </c>
      <c r="F65" s="12">
        <v>0</v>
      </c>
      <c r="G65" s="12">
        <v>0</v>
      </c>
      <c r="H65" s="12">
        <v>0</v>
      </c>
      <c r="I65" s="59">
        <v>0</v>
      </c>
      <c r="J65" s="92">
        <f t="shared" si="3"/>
        <v>0</v>
      </c>
      <c r="K65" s="76">
        <v>0</v>
      </c>
    </row>
    <row r="66" spans="1:11" x14ac:dyDescent="0.15">
      <c r="A66" s="16" t="s">
        <v>67</v>
      </c>
      <c r="B66" s="12">
        <v>17900</v>
      </c>
      <c r="C66" s="108">
        <v>0</v>
      </c>
      <c r="D66" s="92">
        <f t="shared" si="2"/>
        <v>17900</v>
      </c>
      <c r="E66" s="44">
        <v>14200</v>
      </c>
      <c r="F66" s="12">
        <v>16600</v>
      </c>
      <c r="G66" s="12">
        <v>11500</v>
      </c>
      <c r="H66" s="12">
        <v>14200</v>
      </c>
      <c r="I66" s="59">
        <v>0</v>
      </c>
      <c r="J66" s="92">
        <f t="shared" si="3"/>
        <v>56500</v>
      </c>
      <c r="K66" s="76">
        <v>74400</v>
      </c>
    </row>
    <row r="67" spans="1:11" x14ac:dyDescent="0.15">
      <c r="A67" s="16" t="s">
        <v>68</v>
      </c>
      <c r="B67" s="12">
        <v>0</v>
      </c>
      <c r="C67" s="108">
        <v>0</v>
      </c>
      <c r="D67" s="92">
        <f t="shared" si="2"/>
        <v>0</v>
      </c>
      <c r="E67" s="44">
        <v>0</v>
      </c>
      <c r="F67" s="12">
        <v>0</v>
      </c>
      <c r="G67" s="12">
        <v>0</v>
      </c>
      <c r="H67" s="12">
        <v>0</v>
      </c>
      <c r="I67" s="59">
        <v>0</v>
      </c>
      <c r="J67" s="92">
        <f t="shared" si="3"/>
        <v>0</v>
      </c>
      <c r="K67" s="76">
        <v>0</v>
      </c>
    </row>
    <row r="68" spans="1:11" x14ac:dyDescent="0.15">
      <c r="A68" s="16" t="s">
        <v>69</v>
      </c>
      <c r="B68" s="12">
        <v>0</v>
      </c>
      <c r="C68" s="108">
        <v>0</v>
      </c>
      <c r="D68" s="92">
        <f t="shared" si="2"/>
        <v>0</v>
      </c>
      <c r="E68" s="44">
        <v>0</v>
      </c>
      <c r="F68" s="12">
        <v>0</v>
      </c>
      <c r="G68" s="12">
        <v>0</v>
      </c>
      <c r="H68" s="12">
        <v>0</v>
      </c>
      <c r="I68" s="59">
        <v>0</v>
      </c>
      <c r="J68" s="92">
        <f t="shared" si="3"/>
        <v>0</v>
      </c>
      <c r="K68" s="76">
        <v>0</v>
      </c>
    </row>
    <row r="69" spans="1:11" x14ac:dyDescent="0.15">
      <c r="A69" s="16" t="s">
        <v>70</v>
      </c>
      <c r="B69" s="12">
        <v>0</v>
      </c>
      <c r="C69" s="108">
        <v>0</v>
      </c>
      <c r="D69" s="92">
        <f t="shared" si="2"/>
        <v>0</v>
      </c>
      <c r="E69" s="44">
        <v>0</v>
      </c>
      <c r="F69" s="12">
        <v>0</v>
      </c>
      <c r="G69" s="12">
        <v>0</v>
      </c>
      <c r="H69" s="12">
        <v>0</v>
      </c>
      <c r="I69" s="59">
        <v>0</v>
      </c>
      <c r="J69" s="92">
        <f t="shared" si="3"/>
        <v>0</v>
      </c>
      <c r="K69" s="76">
        <v>0</v>
      </c>
    </row>
    <row r="70" spans="1:11" x14ac:dyDescent="0.15">
      <c r="A70" s="16" t="s">
        <v>71</v>
      </c>
      <c r="B70" s="12">
        <v>0</v>
      </c>
      <c r="C70" s="108">
        <v>0</v>
      </c>
      <c r="D70" s="92">
        <f t="shared" si="2"/>
        <v>0</v>
      </c>
      <c r="E70" s="44">
        <v>0</v>
      </c>
      <c r="F70" s="12">
        <v>0</v>
      </c>
      <c r="G70" s="12">
        <v>0</v>
      </c>
      <c r="H70" s="12">
        <v>0</v>
      </c>
      <c r="I70" s="59">
        <v>0</v>
      </c>
      <c r="J70" s="92">
        <f t="shared" si="3"/>
        <v>0</v>
      </c>
      <c r="K70" s="76">
        <v>0</v>
      </c>
    </row>
    <row r="71" spans="1:11" ht="14.25" thickBot="1" x14ac:dyDescent="0.2">
      <c r="A71" s="32" t="s">
        <v>72</v>
      </c>
      <c r="B71" s="33">
        <v>26400</v>
      </c>
      <c r="C71" s="111">
        <v>0</v>
      </c>
      <c r="D71" s="95">
        <f t="shared" si="2"/>
        <v>26400</v>
      </c>
      <c r="E71" s="47">
        <v>20400</v>
      </c>
      <c r="F71" s="33">
        <v>24560</v>
      </c>
      <c r="G71" s="33">
        <v>17840</v>
      </c>
      <c r="H71" s="33">
        <v>21010</v>
      </c>
      <c r="I71" s="62">
        <v>4700</v>
      </c>
      <c r="J71" s="95">
        <f t="shared" si="3"/>
        <v>88510</v>
      </c>
      <c r="K71" s="79">
        <v>114910</v>
      </c>
    </row>
    <row r="72" spans="1:11" ht="14.25" thickBot="1" x14ac:dyDescent="0.2">
      <c r="A72" s="34" t="s">
        <v>73</v>
      </c>
      <c r="B72" s="35">
        <v>90342</v>
      </c>
      <c r="C72" s="112">
        <v>0</v>
      </c>
      <c r="D72" s="96">
        <f t="shared" si="2"/>
        <v>90342</v>
      </c>
      <c r="E72" s="48">
        <v>75838</v>
      </c>
      <c r="F72" s="35">
        <v>80138</v>
      </c>
      <c r="G72" s="35">
        <v>67233</v>
      </c>
      <c r="H72" s="35">
        <v>84361</v>
      </c>
      <c r="I72" s="63">
        <v>57234</v>
      </c>
      <c r="J72" s="96">
        <f t="shared" si="3"/>
        <v>364804</v>
      </c>
      <c r="K72" s="80">
        <v>455146</v>
      </c>
    </row>
    <row r="73" spans="1:11" ht="14.25" thickBot="1" x14ac:dyDescent="0.2">
      <c r="A73" s="34" t="s">
        <v>74</v>
      </c>
      <c r="B73" s="35">
        <v>323580</v>
      </c>
      <c r="C73" s="112">
        <v>60455</v>
      </c>
      <c r="D73" s="96">
        <f t="shared" si="2"/>
        <v>384035</v>
      </c>
      <c r="E73" s="48">
        <v>223616</v>
      </c>
      <c r="F73" s="35">
        <v>265788</v>
      </c>
      <c r="G73" s="35">
        <v>237018</v>
      </c>
      <c r="H73" s="35">
        <v>327543</v>
      </c>
      <c r="I73" s="63">
        <v>284069</v>
      </c>
      <c r="J73" s="96">
        <f t="shared" si="3"/>
        <v>1338034</v>
      </c>
      <c r="K73" s="80">
        <v>1722069</v>
      </c>
    </row>
    <row r="74" spans="1:11" x14ac:dyDescent="0.15">
      <c r="A74" s="29" t="s">
        <v>75</v>
      </c>
      <c r="B74" s="30">
        <v>0</v>
      </c>
      <c r="C74" s="110">
        <v>0</v>
      </c>
      <c r="D74" s="94">
        <f t="shared" si="2"/>
        <v>0</v>
      </c>
      <c r="E74" s="46">
        <v>0</v>
      </c>
      <c r="F74" s="30">
        <v>0</v>
      </c>
      <c r="G74" s="30">
        <v>0</v>
      </c>
      <c r="H74" s="30">
        <v>0</v>
      </c>
      <c r="I74" s="61">
        <v>0</v>
      </c>
      <c r="J74" s="94">
        <f t="shared" si="3"/>
        <v>0</v>
      </c>
      <c r="K74" s="78">
        <v>0</v>
      </c>
    </row>
    <row r="75" spans="1:11" x14ac:dyDescent="0.15">
      <c r="A75" s="16" t="s">
        <v>76</v>
      </c>
      <c r="B75" s="12">
        <v>323580</v>
      </c>
      <c r="C75" s="108">
        <v>60455</v>
      </c>
      <c r="D75" s="92">
        <f t="shared" si="2"/>
        <v>384035</v>
      </c>
      <c r="E75" s="44">
        <v>223616</v>
      </c>
      <c r="F75" s="12">
        <v>265788</v>
      </c>
      <c r="G75" s="12">
        <v>237018</v>
      </c>
      <c r="H75" s="12">
        <v>327543</v>
      </c>
      <c r="I75" s="59">
        <v>284069</v>
      </c>
      <c r="J75" s="92">
        <f t="shared" si="3"/>
        <v>1338034</v>
      </c>
      <c r="K75" s="76">
        <v>1722069</v>
      </c>
    </row>
    <row r="76" spans="1:11" x14ac:dyDescent="0.15">
      <c r="A76" s="16" t="s">
        <v>77</v>
      </c>
      <c r="B76" s="13">
        <v>34</v>
      </c>
      <c r="C76" s="114">
        <v>6</v>
      </c>
      <c r="D76" s="97"/>
      <c r="E76" s="49">
        <v>12</v>
      </c>
      <c r="F76" s="13">
        <v>27</v>
      </c>
      <c r="G76" s="13">
        <v>18</v>
      </c>
      <c r="H76" s="13">
        <v>17</v>
      </c>
      <c r="I76" s="64">
        <v>10</v>
      </c>
      <c r="J76" s="97"/>
      <c r="K76" s="81">
        <v>124</v>
      </c>
    </row>
    <row r="77" spans="1:11" x14ac:dyDescent="0.15">
      <c r="A77" s="16" t="s">
        <v>78</v>
      </c>
      <c r="B77" s="14">
        <v>1</v>
      </c>
      <c r="C77" s="113"/>
      <c r="D77" s="98"/>
      <c r="E77" s="50"/>
      <c r="F77" s="14"/>
      <c r="G77" s="14"/>
      <c r="H77" s="14">
        <v>2</v>
      </c>
      <c r="I77" s="65">
        <v>2</v>
      </c>
      <c r="J77" s="98"/>
      <c r="K77" s="82"/>
    </row>
    <row r="78" spans="1:11" ht="14.25" thickBot="1" x14ac:dyDescent="0.2">
      <c r="A78" s="17" t="s">
        <v>79</v>
      </c>
      <c r="B78" s="18" t="s">
        <v>80</v>
      </c>
      <c r="C78" s="115" t="s">
        <v>80</v>
      </c>
      <c r="D78" s="99"/>
      <c r="E78" s="51" t="s">
        <v>80</v>
      </c>
      <c r="F78" s="18" t="s">
        <v>80</v>
      </c>
      <c r="G78" s="18" t="s">
        <v>80</v>
      </c>
      <c r="H78" s="18" t="s">
        <v>80</v>
      </c>
      <c r="I78" s="66" t="s">
        <v>80</v>
      </c>
      <c r="J78" s="99"/>
      <c r="K78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2020-09-11T08:18:15Z</cp:lastPrinted>
  <dcterms:created xsi:type="dcterms:W3CDTF">2011-10-11T01:59:58Z</dcterms:created>
  <dcterms:modified xsi:type="dcterms:W3CDTF">2020-09-12T00:05:58Z</dcterms:modified>
</cp:coreProperties>
</file>