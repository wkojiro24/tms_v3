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08\"/>
    </mc:Choice>
  </mc:AlternateContent>
  <xr:revisionPtr revIDLastSave="0" documentId="13_ncr:1_{8C3BA28D-5CB9-4DEA-9867-1033FAAB79C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(2)'!$A$1:$K$78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23" i="2"/>
  <c r="J21" i="2"/>
  <c r="J17" i="2"/>
  <c r="J14" i="2"/>
  <c r="J15" i="2"/>
  <c r="J13" i="2"/>
  <c r="J10" i="2"/>
  <c r="J9" i="2"/>
  <c r="J7" i="2"/>
  <c r="J6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</calcChain>
</file>

<file path=xl/sharedStrings.xml><?xml version="1.0" encoding="utf-8"?>
<sst xmlns="http://schemas.openxmlformats.org/spreadsheetml/2006/main" count="107" uniqueCount="90">
  <si>
    <t>所　属</t>
  </si>
  <si>
    <t>社　員</t>
  </si>
  <si>
    <t>２０20年8月分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</si>
  <si>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</si>
  <si>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</si>
  <si>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</si>
  <si>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</si>
  <si>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</si>
  <si>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</si>
  <si>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</si>
  <si>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</si>
  <si>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</si>
  <si>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</si>
  <si>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</si>
  <si>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</si>
  <si>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</si>
  <si>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</si>
  <si>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</si>
  <si>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</si>
  <si>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</si>
  <si>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</si>
  <si>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</si>
  <si>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本社/役員</t>
  </si>
  <si>
    <t>若林　権太郎</t>
  </si>
  <si>
    <t>若林　孝次郎</t>
  </si>
  <si>
    <t>若林　裕子</t>
  </si>
  <si>
    <t>本社/事務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</si>
  <si>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</si>
  <si>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</si>
  <si>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</si>
  <si>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</si>
  <si>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</si>
  <si>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</si>
  <si>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</si>
  <si>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</si>
  <si>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</si>
  <si>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</si>
  <si>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</si>
  <si>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</si>
  <si>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</si>
  <si>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</si>
  <si>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</si>
  <si>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</si>
  <si>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</si>
  <si>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</si>
  <si>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</si>
  <si>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</si>
  <si>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</si>
  <si>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</si>
  <si>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</si>
  <si>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</si>
  <si>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</si>
  <si>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</si>
  <si>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</si>
  <si>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</si>
  <si>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</si>
  <si>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</si>
  <si>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</si>
  <si>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</si>
  <si>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</si>
  <si>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</si>
  <si>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</si>
  <si>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</si>
  <si>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</si>
  <si>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</si>
  <si>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</si>
  <si>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</si>
  <si>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</si>
  <si>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</si>
  <si>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</si>
  <si>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</si>
  <si>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</si>
  <si>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</si>
  <si>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</si>
  <si>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</si>
  <si>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</si>
  <si>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</si>
  <si>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</si>
  <si>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</si>
  <si>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</si>
  <si>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</si>
  <si>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</si>
  <si>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</si>
  <si>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</si>
  <si>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</si>
  <si>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</si>
  <si>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</si>
  <si>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3名</t>
    <rPh sb="1" eb="2">
      <t>メイ</t>
    </rPh>
    <phoneticPr fontId="1"/>
  </si>
  <si>
    <t>　</t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</si>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</sst>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0" fontId="2" fillId="0" borderId="36" xfId="0" applyFont="1" applyFill="1" applyBorder="1">
      <alignment vertical="center"/>
    </xf>
    <xf numFmtId="0" fontId="2" fillId="0" borderId="37" xfId="0" applyFont="1" applyFill="1" applyBorder="1">
      <alignment vertical="center"/>
    </xf>
    <xf numFmtId="0" fontId="2" fillId="0" borderId="38" xfId="0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6736-2ED2-4197-A409-B0730DD4DECE}">
  <sheetPr>
    <pageSetUpPr fitToPage="1"/>
  </sheetPr>
  <dimension ref="A1:AK78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3" style="2" customWidth="1"/>
    <col min="12" max="18" width="10.5" style="2" customWidth="1"/>
    <col min="19" max="16384" width="9" style="2"/>
  </cols>
  <sheetData>
    <row r="1" spans="1:37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7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22</v>
      </c>
      <c r="C3" s="19" t="s">
        <v>22</v>
      </c>
      <c r="D3" s="49" t="s">
        <v>22</v>
      </c>
      <c r="E3" s="65" t="s">
        <v>86</v>
      </c>
      <c r="F3" s="34" t="s">
        <v>26</v>
      </c>
      <c r="G3" s="34" t="s">
        <v>26</v>
      </c>
      <c r="H3" s="19" t="s">
        <v>3</v>
      </c>
      <c r="I3" s="49" t="s">
        <v>26</v>
      </c>
      <c r="J3" s="65" t="s">
        <v>86</v>
      </c>
      <c r="K3" s="80" t="s">
        <v>85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1010</v>
      </c>
      <c r="C4" s="21">
        <v>1019</v>
      </c>
      <c r="D4" s="50">
        <v>1024</v>
      </c>
      <c r="E4" s="66"/>
      <c r="F4" s="35">
        <v>1020</v>
      </c>
      <c r="G4" s="35">
        <v>1041</v>
      </c>
      <c r="H4" s="21">
        <v>1053</v>
      </c>
      <c r="I4" s="50">
        <v>1036</v>
      </c>
      <c r="J4" s="66"/>
      <c r="K4" s="8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23</v>
      </c>
      <c r="C5" s="21" t="s">
        <v>24</v>
      </c>
      <c r="D5" s="50" t="s">
        <v>25</v>
      </c>
      <c r="E5" s="67" t="s">
        <v>87</v>
      </c>
      <c r="F5" s="35" t="s">
        <v>27</v>
      </c>
      <c r="G5" s="35" t="s">
        <v>82</v>
      </c>
      <c r="H5" s="21" t="s">
        <v>4</v>
      </c>
      <c r="I5" s="50" t="s">
        <v>83</v>
      </c>
      <c r="J5" s="67" t="s">
        <v>89</v>
      </c>
      <c r="K5" s="82" t="s">
        <v>84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5</v>
      </c>
      <c r="B6" s="24"/>
      <c r="C6" s="24"/>
      <c r="D6" s="56"/>
      <c r="E6" s="68"/>
      <c r="F6" s="36">
        <v>20</v>
      </c>
      <c r="G6" s="36">
        <v>17</v>
      </c>
      <c r="H6" s="23">
        <v>16</v>
      </c>
      <c r="I6" s="51">
        <v>15</v>
      </c>
      <c r="J6" s="97">
        <f>SUM(F6:I6)</f>
        <v>68</v>
      </c>
      <c r="K6" s="83">
        <v>68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6</v>
      </c>
      <c r="B7" s="9"/>
      <c r="C7" s="9"/>
      <c r="D7" s="52"/>
      <c r="E7" s="69"/>
      <c r="F7" s="37"/>
      <c r="G7" s="37"/>
      <c r="H7" s="8">
        <v>2</v>
      </c>
      <c r="I7" s="52"/>
      <c r="J7" s="98">
        <f>SUM(F7:I7)</f>
        <v>2</v>
      </c>
      <c r="K7" s="84">
        <v>2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7</v>
      </c>
      <c r="B8" s="9"/>
      <c r="C8" s="9"/>
      <c r="D8" s="52"/>
      <c r="E8" s="69"/>
      <c r="F8" s="37"/>
      <c r="G8" s="37"/>
      <c r="H8" s="9"/>
      <c r="I8" s="52"/>
      <c r="J8" s="71"/>
      <c r="K8" s="8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8</v>
      </c>
      <c r="B9" s="9"/>
      <c r="C9" s="9"/>
      <c r="D9" s="52"/>
      <c r="E9" s="69"/>
      <c r="F9" s="37"/>
      <c r="G9" s="37"/>
      <c r="H9" s="8">
        <v>1</v>
      </c>
      <c r="I9" s="52"/>
      <c r="J9" s="98">
        <f t="shared" ref="J9:J10" si="0">SUM(F9:I9)</f>
        <v>1</v>
      </c>
      <c r="K9" s="84">
        <v>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9</v>
      </c>
      <c r="B10" s="9"/>
      <c r="C10" s="9"/>
      <c r="D10" s="52"/>
      <c r="E10" s="69"/>
      <c r="F10" s="37"/>
      <c r="G10" s="38">
        <v>3</v>
      </c>
      <c r="H10" s="8">
        <v>4</v>
      </c>
      <c r="I10" s="53">
        <v>3</v>
      </c>
      <c r="J10" s="98">
        <f t="shared" si="0"/>
        <v>10</v>
      </c>
      <c r="K10" s="84">
        <v>10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10</v>
      </c>
      <c r="B11" s="9"/>
      <c r="C11" s="9"/>
      <c r="D11" s="52"/>
      <c r="E11" s="69"/>
      <c r="F11" s="37"/>
      <c r="G11" s="37"/>
      <c r="H11" s="9"/>
      <c r="I11" s="52"/>
      <c r="J11" s="71"/>
      <c r="K11" s="8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11</v>
      </c>
      <c r="B12" s="9"/>
      <c r="C12" s="9"/>
      <c r="D12" s="52"/>
      <c r="E12" s="69"/>
      <c r="F12" s="37"/>
      <c r="G12" s="37"/>
      <c r="H12" s="9"/>
      <c r="I12" s="52"/>
      <c r="J12" s="71"/>
      <c r="K12" s="8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12</v>
      </c>
      <c r="B13" s="9"/>
      <c r="C13" s="9"/>
      <c r="D13" s="52"/>
      <c r="E13" s="69"/>
      <c r="F13" s="37"/>
      <c r="G13" s="37"/>
      <c r="H13" s="9"/>
      <c r="I13" s="54">
        <v>3.1666666666666665</v>
      </c>
      <c r="J13" s="99">
        <f>SUM(F13:I13)</f>
        <v>3.1666666666666665</v>
      </c>
      <c r="K13" s="86">
        <v>3.1666666666666665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13</v>
      </c>
      <c r="B14" s="9"/>
      <c r="C14" s="9"/>
      <c r="D14" s="52"/>
      <c r="E14" s="69"/>
      <c r="F14" s="37"/>
      <c r="G14" s="37"/>
      <c r="H14" s="10">
        <v>0.41666666666666669</v>
      </c>
      <c r="I14" s="52"/>
      <c r="J14" s="99">
        <f t="shared" ref="J14:J17" si="1">SUM(F14:I14)</f>
        <v>0.41666666666666669</v>
      </c>
      <c r="K14" s="86">
        <v>0.41666666666666669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14</v>
      </c>
      <c r="B15" s="9"/>
      <c r="C15" s="9"/>
      <c r="D15" s="52"/>
      <c r="E15" s="69"/>
      <c r="F15" s="37"/>
      <c r="G15" s="37"/>
      <c r="H15" s="10">
        <v>0.29166666666666669</v>
      </c>
      <c r="I15" s="52"/>
      <c r="J15" s="99">
        <f t="shared" si="1"/>
        <v>0.29166666666666669</v>
      </c>
      <c r="K15" s="86">
        <v>0.29166666666666669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15</v>
      </c>
      <c r="B16" s="9"/>
      <c r="C16" s="9"/>
      <c r="D16" s="52"/>
      <c r="E16" s="69"/>
      <c r="F16" s="37"/>
      <c r="G16" s="37"/>
      <c r="H16" s="9"/>
      <c r="I16" s="52"/>
      <c r="J16" s="99"/>
      <c r="K16" s="85"/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16</v>
      </c>
      <c r="B17" s="9"/>
      <c r="C17" s="9"/>
      <c r="D17" s="52"/>
      <c r="E17" s="69"/>
      <c r="F17" s="37"/>
      <c r="G17" s="37"/>
      <c r="H17" s="10">
        <v>0.29166666666666669</v>
      </c>
      <c r="I17" s="52"/>
      <c r="J17" s="99">
        <f t="shared" si="1"/>
        <v>0.29166666666666669</v>
      </c>
      <c r="K17" s="86">
        <v>0.29166666666666669</v>
      </c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17</v>
      </c>
      <c r="B18" s="9"/>
      <c r="C18" s="9"/>
      <c r="D18" s="52"/>
      <c r="E18" s="69"/>
      <c r="F18" s="37"/>
      <c r="G18" s="37"/>
      <c r="H18" s="9"/>
      <c r="I18" s="52"/>
      <c r="J18" s="71"/>
      <c r="K18" s="85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18</v>
      </c>
      <c r="B19" s="9"/>
      <c r="C19" s="9"/>
      <c r="D19" s="52"/>
      <c r="E19" s="69"/>
      <c r="F19" s="37"/>
      <c r="G19" s="37"/>
      <c r="H19" s="9"/>
      <c r="I19" s="52"/>
      <c r="J19" s="71"/>
      <c r="K19" s="85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19</v>
      </c>
      <c r="B20" s="9"/>
      <c r="C20" s="9"/>
      <c r="D20" s="52"/>
      <c r="E20" s="69"/>
      <c r="F20" s="37"/>
      <c r="G20" s="37"/>
      <c r="H20" s="9"/>
      <c r="I20" s="52"/>
      <c r="J20" s="71"/>
      <c r="K20" s="85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20</v>
      </c>
      <c r="B21" s="9"/>
      <c r="C21" s="9"/>
      <c r="D21" s="52"/>
      <c r="E21" s="69"/>
      <c r="F21" s="37"/>
      <c r="G21" s="37"/>
      <c r="H21" s="9"/>
      <c r="I21" s="54">
        <v>0.625</v>
      </c>
      <c r="J21" s="99">
        <f t="shared" ref="J21" si="2">SUM(F21:I21)</f>
        <v>0.625</v>
      </c>
      <c r="K21" s="86">
        <v>0.625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5" t="s">
        <v>21</v>
      </c>
      <c r="B22" s="26"/>
      <c r="C22" s="26"/>
      <c r="D22" s="55"/>
      <c r="E22" s="70"/>
      <c r="F22" s="39"/>
      <c r="G22" s="39"/>
      <c r="H22" s="26"/>
      <c r="I22" s="55"/>
      <c r="J22" s="100"/>
      <c r="K22" s="87"/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28</v>
      </c>
      <c r="B23" s="24">
        <v>0</v>
      </c>
      <c r="C23" s="24">
        <v>0</v>
      </c>
      <c r="D23" s="56">
        <v>0</v>
      </c>
      <c r="E23" s="68"/>
      <c r="F23" s="40">
        <v>375000</v>
      </c>
      <c r="G23" s="40">
        <v>270000</v>
      </c>
      <c r="H23" s="24">
        <v>220000</v>
      </c>
      <c r="I23" s="56">
        <v>0</v>
      </c>
      <c r="J23" s="101">
        <f>SUM(F23:I23)</f>
        <v>865000</v>
      </c>
      <c r="K23" s="88">
        <v>865000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29</v>
      </c>
      <c r="B24" s="9">
        <v>0</v>
      </c>
      <c r="C24" s="9">
        <v>0</v>
      </c>
      <c r="D24" s="52">
        <v>0</v>
      </c>
      <c r="E24" s="69"/>
      <c r="F24" s="37">
        <v>0</v>
      </c>
      <c r="G24" s="37">
        <v>20000</v>
      </c>
      <c r="H24" s="9">
        <v>5000</v>
      </c>
      <c r="I24" s="52">
        <v>0</v>
      </c>
      <c r="J24" s="71">
        <f t="shared" ref="J24:J75" si="3">SUM(F24:I24)</f>
        <v>25000</v>
      </c>
      <c r="K24" s="85">
        <v>25000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30</v>
      </c>
      <c r="B25" s="9">
        <v>0</v>
      </c>
      <c r="C25" s="9">
        <v>0</v>
      </c>
      <c r="D25" s="52">
        <v>0</v>
      </c>
      <c r="E25" s="69"/>
      <c r="F25" s="37">
        <v>0</v>
      </c>
      <c r="G25" s="37">
        <v>0</v>
      </c>
      <c r="H25" s="9">
        <v>6000</v>
      </c>
      <c r="I25" s="52">
        <v>0</v>
      </c>
      <c r="J25" s="71">
        <f t="shared" si="3"/>
        <v>6000</v>
      </c>
      <c r="K25" s="85">
        <v>6000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31</v>
      </c>
      <c r="B26" s="9">
        <v>0</v>
      </c>
      <c r="C26" s="9">
        <v>0</v>
      </c>
      <c r="D26" s="52">
        <v>0</v>
      </c>
      <c r="E26" s="69"/>
      <c r="F26" s="37">
        <v>50000</v>
      </c>
      <c r="G26" s="37">
        <v>50000</v>
      </c>
      <c r="H26" s="9">
        <v>50000</v>
      </c>
      <c r="I26" s="52">
        <v>0</v>
      </c>
      <c r="J26" s="71">
        <f t="shared" si="3"/>
        <v>150000</v>
      </c>
      <c r="K26" s="85">
        <v>150000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32</v>
      </c>
      <c r="B27" s="9">
        <v>0</v>
      </c>
      <c r="C27" s="9">
        <v>0</v>
      </c>
      <c r="D27" s="52">
        <v>0</v>
      </c>
      <c r="E27" s="69"/>
      <c r="F27" s="37">
        <v>0</v>
      </c>
      <c r="G27" s="37">
        <v>0</v>
      </c>
      <c r="H27" s="9">
        <v>0</v>
      </c>
      <c r="I27" s="52">
        <v>0</v>
      </c>
      <c r="J27" s="71">
        <f t="shared" si="3"/>
        <v>0</v>
      </c>
      <c r="K27" s="85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33</v>
      </c>
      <c r="B28" s="9">
        <v>0</v>
      </c>
      <c r="C28" s="9">
        <v>0</v>
      </c>
      <c r="D28" s="52">
        <v>0</v>
      </c>
      <c r="E28" s="69"/>
      <c r="F28" s="37">
        <v>0</v>
      </c>
      <c r="G28" s="37">
        <v>0</v>
      </c>
      <c r="H28" s="9">
        <v>0</v>
      </c>
      <c r="I28" s="52">
        <v>0</v>
      </c>
      <c r="J28" s="71">
        <f t="shared" si="3"/>
        <v>0</v>
      </c>
      <c r="K28" s="85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34</v>
      </c>
      <c r="B29" s="9">
        <v>0</v>
      </c>
      <c r="C29" s="9">
        <v>0</v>
      </c>
      <c r="D29" s="52">
        <v>0</v>
      </c>
      <c r="E29" s="69"/>
      <c r="F29" s="37">
        <v>0</v>
      </c>
      <c r="G29" s="37">
        <v>0</v>
      </c>
      <c r="H29" s="9">
        <v>0</v>
      </c>
      <c r="I29" s="52">
        <v>0</v>
      </c>
      <c r="J29" s="71">
        <f t="shared" si="3"/>
        <v>0</v>
      </c>
      <c r="K29" s="85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35</v>
      </c>
      <c r="B30" s="9">
        <v>0</v>
      </c>
      <c r="C30" s="9">
        <v>0</v>
      </c>
      <c r="D30" s="52">
        <v>0</v>
      </c>
      <c r="E30" s="69"/>
      <c r="F30" s="37">
        <v>0</v>
      </c>
      <c r="G30" s="37">
        <v>0</v>
      </c>
      <c r="H30" s="9">
        <v>0</v>
      </c>
      <c r="I30" s="52">
        <v>0</v>
      </c>
      <c r="J30" s="71">
        <f t="shared" si="3"/>
        <v>0</v>
      </c>
      <c r="K30" s="85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36</v>
      </c>
      <c r="B31" s="9">
        <v>0</v>
      </c>
      <c r="C31" s="9">
        <v>0</v>
      </c>
      <c r="D31" s="52">
        <v>0</v>
      </c>
      <c r="E31" s="69"/>
      <c r="F31" s="37">
        <v>0</v>
      </c>
      <c r="G31" s="37">
        <v>0</v>
      </c>
      <c r="H31" s="9">
        <v>0</v>
      </c>
      <c r="I31" s="52">
        <v>85120</v>
      </c>
      <c r="J31" s="71">
        <f t="shared" si="3"/>
        <v>85120</v>
      </c>
      <c r="K31" s="85">
        <v>85120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37</v>
      </c>
      <c r="B32" s="9">
        <v>1315000</v>
      </c>
      <c r="C32" s="9">
        <v>250000</v>
      </c>
      <c r="D32" s="52">
        <v>100000</v>
      </c>
      <c r="E32" s="71" t="s">
        <v>88</v>
      </c>
      <c r="F32" s="37">
        <v>0</v>
      </c>
      <c r="G32" s="37">
        <v>0</v>
      </c>
      <c r="H32" s="9">
        <v>0</v>
      </c>
      <c r="I32" s="52">
        <v>0</v>
      </c>
      <c r="J32" s="71">
        <f t="shared" si="3"/>
        <v>0</v>
      </c>
      <c r="K32" s="85">
        <v>1665000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38</v>
      </c>
      <c r="B33" s="9">
        <v>0</v>
      </c>
      <c r="C33" s="9">
        <v>0</v>
      </c>
      <c r="D33" s="52">
        <v>0</v>
      </c>
      <c r="E33" s="71">
        <f t="shared" ref="E33:E75" si="4">SUM(B33:D33)</f>
        <v>0</v>
      </c>
      <c r="F33" s="37">
        <v>0</v>
      </c>
      <c r="G33" s="37">
        <v>0</v>
      </c>
      <c r="H33" s="9">
        <v>0</v>
      </c>
      <c r="I33" s="52">
        <v>0</v>
      </c>
      <c r="J33" s="71">
        <f t="shared" si="3"/>
        <v>0</v>
      </c>
      <c r="K33" s="85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39</v>
      </c>
      <c r="B34" s="9">
        <v>0</v>
      </c>
      <c r="C34" s="9">
        <v>0</v>
      </c>
      <c r="D34" s="52">
        <v>0</v>
      </c>
      <c r="E34" s="71">
        <f t="shared" si="4"/>
        <v>0</v>
      </c>
      <c r="F34" s="37">
        <v>0</v>
      </c>
      <c r="G34" s="37">
        <v>0</v>
      </c>
      <c r="H34" s="9">
        <v>0</v>
      </c>
      <c r="I34" s="52">
        <v>16800</v>
      </c>
      <c r="J34" s="71">
        <f t="shared" si="3"/>
        <v>16800</v>
      </c>
      <c r="K34" s="85">
        <v>16800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40</v>
      </c>
      <c r="B35" s="9">
        <v>0</v>
      </c>
      <c r="C35" s="9">
        <v>0</v>
      </c>
      <c r="D35" s="52">
        <v>0</v>
      </c>
      <c r="E35" s="71">
        <f t="shared" si="4"/>
        <v>0</v>
      </c>
      <c r="F35" s="37">
        <v>0</v>
      </c>
      <c r="G35" s="37">
        <v>0</v>
      </c>
      <c r="H35" s="9">
        <v>0</v>
      </c>
      <c r="I35" s="52">
        <v>0</v>
      </c>
      <c r="J35" s="71">
        <f t="shared" si="3"/>
        <v>0</v>
      </c>
      <c r="K35" s="85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41</v>
      </c>
      <c r="B36" s="9">
        <v>0</v>
      </c>
      <c r="C36" s="9">
        <v>0</v>
      </c>
      <c r="D36" s="52">
        <v>0</v>
      </c>
      <c r="E36" s="71">
        <f t="shared" si="4"/>
        <v>0</v>
      </c>
      <c r="F36" s="37">
        <v>0</v>
      </c>
      <c r="G36" s="37">
        <v>0</v>
      </c>
      <c r="H36" s="9">
        <v>0</v>
      </c>
      <c r="I36" s="52">
        <v>0</v>
      </c>
      <c r="J36" s="71">
        <f t="shared" si="3"/>
        <v>0</v>
      </c>
      <c r="K36" s="85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42</v>
      </c>
      <c r="B37" s="9">
        <v>0</v>
      </c>
      <c r="C37" s="9">
        <v>0</v>
      </c>
      <c r="D37" s="52">
        <v>0</v>
      </c>
      <c r="E37" s="71">
        <f t="shared" si="4"/>
        <v>0</v>
      </c>
      <c r="F37" s="37">
        <v>0</v>
      </c>
      <c r="G37" s="37">
        <v>0</v>
      </c>
      <c r="H37" s="9">
        <v>0</v>
      </c>
      <c r="I37" s="52">
        <v>0</v>
      </c>
      <c r="J37" s="71">
        <f t="shared" si="3"/>
        <v>0</v>
      </c>
      <c r="K37" s="85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43</v>
      </c>
      <c r="B38" s="9">
        <v>0</v>
      </c>
      <c r="C38" s="9">
        <v>0</v>
      </c>
      <c r="D38" s="52">
        <v>0</v>
      </c>
      <c r="E38" s="71">
        <f t="shared" si="4"/>
        <v>0</v>
      </c>
      <c r="F38" s="37">
        <v>0</v>
      </c>
      <c r="G38" s="37">
        <v>0</v>
      </c>
      <c r="H38" s="9">
        <v>0</v>
      </c>
      <c r="I38" s="52">
        <v>0</v>
      </c>
      <c r="J38" s="71">
        <f t="shared" si="3"/>
        <v>0</v>
      </c>
      <c r="K38" s="85">
        <v>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44</v>
      </c>
      <c r="B39" s="9">
        <v>0</v>
      </c>
      <c r="C39" s="9">
        <v>0</v>
      </c>
      <c r="D39" s="52">
        <v>0</v>
      </c>
      <c r="E39" s="71">
        <f t="shared" si="4"/>
        <v>0</v>
      </c>
      <c r="F39" s="37">
        <v>0</v>
      </c>
      <c r="G39" s="37">
        <v>0</v>
      </c>
      <c r="H39" s="9">
        <v>0</v>
      </c>
      <c r="I39" s="52">
        <v>0</v>
      </c>
      <c r="J39" s="71">
        <f t="shared" si="3"/>
        <v>0</v>
      </c>
      <c r="K39" s="85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45</v>
      </c>
      <c r="B40" s="9">
        <v>0</v>
      </c>
      <c r="C40" s="9">
        <v>0</v>
      </c>
      <c r="D40" s="52">
        <v>0</v>
      </c>
      <c r="E40" s="71">
        <f t="shared" si="4"/>
        <v>0</v>
      </c>
      <c r="F40" s="37">
        <v>0</v>
      </c>
      <c r="G40" s="37">
        <v>0</v>
      </c>
      <c r="H40" s="9">
        <v>0</v>
      </c>
      <c r="I40" s="52">
        <v>0</v>
      </c>
      <c r="J40" s="71">
        <f t="shared" si="3"/>
        <v>0</v>
      </c>
      <c r="K40" s="85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46</v>
      </c>
      <c r="B41" s="9">
        <v>0</v>
      </c>
      <c r="C41" s="9">
        <v>0</v>
      </c>
      <c r="D41" s="52">
        <v>0</v>
      </c>
      <c r="E41" s="71">
        <f t="shared" si="4"/>
        <v>0</v>
      </c>
      <c r="F41" s="37">
        <v>0</v>
      </c>
      <c r="G41" s="37">
        <v>0</v>
      </c>
      <c r="H41" s="9">
        <v>0</v>
      </c>
      <c r="I41" s="52">
        <v>0</v>
      </c>
      <c r="J41" s="71">
        <f t="shared" si="3"/>
        <v>0</v>
      </c>
      <c r="K41" s="85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47</v>
      </c>
      <c r="B42" s="9">
        <v>0</v>
      </c>
      <c r="C42" s="9">
        <v>0</v>
      </c>
      <c r="D42" s="52">
        <v>0</v>
      </c>
      <c r="E42" s="71">
        <f t="shared" si="4"/>
        <v>0</v>
      </c>
      <c r="F42" s="37">
        <v>0</v>
      </c>
      <c r="G42" s="37">
        <v>0</v>
      </c>
      <c r="H42" s="9">
        <v>0</v>
      </c>
      <c r="I42" s="52">
        <v>0</v>
      </c>
      <c r="J42" s="71">
        <f t="shared" si="3"/>
        <v>0</v>
      </c>
      <c r="K42" s="85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13</v>
      </c>
      <c r="B43" s="9">
        <v>0</v>
      </c>
      <c r="C43" s="9">
        <v>0</v>
      </c>
      <c r="D43" s="52">
        <v>0</v>
      </c>
      <c r="E43" s="71">
        <f t="shared" si="4"/>
        <v>0</v>
      </c>
      <c r="F43" s="37">
        <v>0</v>
      </c>
      <c r="G43" s="37">
        <v>0</v>
      </c>
      <c r="H43" s="9">
        <v>21040</v>
      </c>
      <c r="I43" s="52">
        <v>0</v>
      </c>
      <c r="J43" s="71">
        <f t="shared" si="3"/>
        <v>21040</v>
      </c>
      <c r="K43" s="85">
        <v>21040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6</v>
      </c>
      <c r="B44" s="9">
        <v>0</v>
      </c>
      <c r="C44" s="9">
        <v>0</v>
      </c>
      <c r="D44" s="52">
        <v>0</v>
      </c>
      <c r="E44" s="71">
        <f t="shared" si="4"/>
        <v>0</v>
      </c>
      <c r="F44" s="37">
        <v>0</v>
      </c>
      <c r="G44" s="37">
        <v>0</v>
      </c>
      <c r="H44" s="9">
        <v>15904</v>
      </c>
      <c r="I44" s="52">
        <v>0</v>
      </c>
      <c r="J44" s="71">
        <f t="shared" si="3"/>
        <v>15904</v>
      </c>
      <c r="K44" s="85">
        <v>15904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7</v>
      </c>
      <c r="B45" s="9">
        <v>0</v>
      </c>
      <c r="C45" s="9">
        <v>0</v>
      </c>
      <c r="D45" s="52">
        <v>0</v>
      </c>
      <c r="E45" s="71">
        <f t="shared" si="4"/>
        <v>0</v>
      </c>
      <c r="F45" s="37">
        <v>0</v>
      </c>
      <c r="G45" s="37">
        <v>0</v>
      </c>
      <c r="H45" s="9">
        <v>0</v>
      </c>
      <c r="I45" s="52">
        <v>0</v>
      </c>
      <c r="J45" s="71">
        <f t="shared" si="3"/>
        <v>0</v>
      </c>
      <c r="K45" s="85">
        <v>0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48</v>
      </c>
      <c r="B46" s="9">
        <v>0</v>
      </c>
      <c r="C46" s="9">
        <v>0</v>
      </c>
      <c r="D46" s="52">
        <v>0</v>
      </c>
      <c r="E46" s="71">
        <f t="shared" si="4"/>
        <v>0</v>
      </c>
      <c r="F46" s="37">
        <v>0</v>
      </c>
      <c r="G46" s="37">
        <v>0</v>
      </c>
      <c r="H46" s="9">
        <v>4123</v>
      </c>
      <c r="I46" s="52">
        <v>0</v>
      </c>
      <c r="J46" s="71">
        <f t="shared" si="3"/>
        <v>4123</v>
      </c>
      <c r="K46" s="85">
        <v>4123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49</v>
      </c>
      <c r="B47" s="9">
        <v>0</v>
      </c>
      <c r="C47" s="9">
        <v>0</v>
      </c>
      <c r="D47" s="52">
        <v>0</v>
      </c>
      <c r="E47" s="71">
        <f t="shared" si="4"/>
        <v>0</v>
      </c>
      <c r="F47" s="37">
        <v>0</v>
      </c>
      <c r="G47" s="37">
        <v>0</v>
      </c>
      <c r="H47" s="9">
        <v>0</v>
      </c>
      <c r="I47" s="52">
        <v>0</v>
      </c>
      <c r="J47" s="71">
        <f t="shared" si="3"/>
        <v>0</v>
      </c>
      <c r="K47" s="85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17</v>
      </c>
      <c r="B48" s="9">
        <v>0</v>
      </c>
      <c r="C48" s="9">
        <v>0</v>
      </c>
      <c r="D48" s="52">
        <v>0</v>
      </c>
      <c r="E48" s="71">
        <f t="shared" si="4"/>
        <v>0</v>
      </c>
      <c r="F48" s="37">
        <v>0</v>
      </c>
      <c r="G48" s="37">
        <v>0</v>
      </c>
      <c r="H48" s="9">
        <v>0</v>
      </c>
      <c r="I48" s="52">
        <v>0</v>
      </c>
      <c r="J48" s="71">
        <f t="shared" si="3"/>
        <v>0</v>
      </c>
      <c r="K48" s="85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50</v>
      </c>
      <c r="B49" s="11">
        <v>0</v>
      </c>
      <c r="C49" s="11">
        <v>0</v>
      </c>
      <c r="D49" s="57">
        <v>0</v>
      </c>
      <c r="E49" s="72">
        <f t="shared" si="4"/>
        <v>0</v>
      </c>
      <c r="F49" s="41">
        <v>0</v>
      </c>
      <c r="G49" s="41">
        <v>0</v>
      </c>
      <c r="H49" s="11">
        <v>0</v>
      </c>
      <c r="I49" s="57">
        <v>0</v>
      </c>
      <c r="J49" s="72">
        <f t="shared" si="3"/>
        <v>0</v>
      </c>
      <c r="K49" s="89">
        <v>0</v>
      </c>
      <c r="L49" s="6"/>
      <c r="M49" s="6"/>
      <c r="N49" s="6"/>
      <c r="O49" s="6"/>
      <c r="P49" s="6"/>
      <c r="Q49" s="6"/>
      <c r="R49" s="6"/>
    </row>
    <row r="50" spans="1:18" x14ac:dyDescent="0.15">
      <c r="A50" s="15" t="s">
        <v>21</v>
      </c>
      <c r="B50" s="11">
        <v>0</v>
      </c>
      <c r="C50" s="11">
        <v>0</v>
      </c>
      <c r="D50" s="57">
        <v>0</v>
      </c>
      <c r="E50" s="72">
        <f t="shared" si="4"/>
        <v>0</v>
      </c>
      <c r="F50" s="41">
        <v>0</v>
      </c>
      <c r="G50" s="41">
        <v>0</v>
      </c>
      <c r="H50" s="11">
        <v>0</v>
      </c>
      <c r="I50" s="57">
        <v>0</v>
      </c>
      <c r="J50" s="72">
        <f t="shared" si="3"/>
        <v>0</v>
      </c>
      <c r="K50" s="89">
        <v>0</v>
      </c>
      <c r="L50" s="6"/>
      <c r="M50" s="6"/>
      <c r="N50" s="6"/>
      <c r="O50" s="6"/>
      <c r="P50" s="6"/>
      <c r="Q50" s="6"/>
      <c r="R50" s="6"/>
    </row>
    <row r="51" spans="1:18" ht="14.25" thickBot="1" x14ac:dyDescent="0.2">
      <c r="A51" s="16" t="s">
        <v>51</v>
      </c>
      <c r="B51" s="29">
        <v>1315000</v>
      </c>
      <c r="C51" s="29">
        <v>250000</v>
      </c>
      <c r="D51" s="58">
        <v>100000</v>
      </c>
      <c r="E51" s="73">
        <f t="shared" si="4"/>
        <v>1665000</v>
      </c>
      <c r="F51" s="42">
        <v>425000</v>
      </c>
      <c r="G51" s="42">
        <v>340000</v>
      </c>
      <c r="H51" s="29">
        <v>322067</v>
      </c>
      <c r="I51" s="58">
        <v>101920</v>
      </c>
      <c r="J51" s="73">
        <f t="shared" si="3"/>
        <v>1188987</v>
      </c>
      <c r="K51" s="90">
        <v>2853987</v>
      </c>
      <c r="L51" s="6"/>
      <c r="M51" s="6"/>
      <c r="N51" s="6"/>
      <c r="O51" s="6"/>
      <c r="P51" s="6"/>
      <c r="Q51" s="6"/>
      <c r="R51" s="6"/>
    </row>
    <row r="52" spans="1:18" x14ac:dyDescent="0.15">
      <c r="A52" s="27" t="s">
        <v>52</v>
      </c>
      <c r="B52" s="28">
        <v>0</v>
      </c>
      <c r="C52" s="28">
        <v>0</v>
      </c>
      <c r="D52" s="59">
        <v>0</v>
      </c>
      <c r="E52" s="74">
        <f t="shared" si="4"/>
        <v>0</v>
      </c>
      <c r="F52" s="43">
        <v>1326</v>
      </c>
      <c r="G52" s="43">
        <v>7920</v>
      </c>
      <c r="H52" s="28">
        <v>2846</v>
      </c>
      <c r="I52" s="59">
        <v>0</v>
      </c>
      <c r="J52" s="74">
        <f t="shared" si="3"/>
        <v>12092</v>
      </c>
      <c r="K52" s="91">
        <v>12092</v>
      </c>
      <c r="L52" s="6"/>
      <c r="M52" s="6"/>
      <c r="N52" s="6"/>
      <c r="O52" s="6"/>
      <c r="P52" s="6"/>
      <c r="Q52" s="6"/>
      <c r="R52" s="6"/>
    </row>
    <row r="53" spans="1:18" x14ac:dyDescent="0.15">
      <c r="A53" s="15" t="s">
        <v>53</v>
      </c>
      <c r="B53" s="11">
        <v>0</v>
      </c>
      <c r="C53" s="11">
        <v>0</v>
      </c>
      <c r="D53" s="57">
        <v>0</v>
      </c>
      <c r="E53" s="72">
        <f t="shared" si="4"/>
        <v>0</v>
      </c>
      <c r="F53" s="41">
        <v>0</v>
      </c>
      <c r="G53" s="41">
        <v>0</v>
      </c>
      <c r="H53" s="11">
        <v>0</v>
      </c>
      <c r="I53" s="57">
        <v>0</v>
      </c>
      <c r="J53" s="72">
        <f t="shared" si="3"/>
        <v>0</v>
      </c>
      <c r="K53" s="89">
        <v>0</v>
      </c>
    </row>
    <row r="54" spans="1:18" ht="14.25" thickBot="1" x14ac:dyDescent="0.2">
      <c r="A54" s="30" t="s">
        <v>54</v>
      </c>
      <c r="B54" s="31">
        <v>0</v>
      </c>
      <c r="C54" s="31">
        <v>0</v>
      </c>
      <c r="D54" s="60">
        <v>0</v>
      </c>
      <c r="E54" s="75">
        <f t="shared" si="4"/>
        <v>0</v>
      </c>
      <c r="F54" s="44">
        <v>1326</v>
      </c>
      <c r="G54" s="44">
        <v>7920</v>
      </c>
      <c r="H54" s="31">
        <v>2846</v>
      </c>
      <c r="I54" s="60">
        <v>0</v>
      </c>
      <c r="J54" s="75">
        <f t="shared" si="3"/>
        <v>12092</v>
      </c>
      <c r="K54" s="92">
        <v>12092</v>
      </c>
    </row>
    <row r="55" spans="1:18" ht="14.25" thickBot="1" x14ac:dyDescent="0.2">
      <c r="A55" s="32" t="s">
        <v>55</v>
      </c>
      <c r="B55" s="33">
        <v>1315000</v>
      </c>
      <c r="C55" s="33">
        <v>250000</v>
      </c>
      <c r="D55" s="61">
        <v>100000</v>
      </c>
      <c r="E55" s="76">
        <f t="shared" si="4"/>
        <v>1665000</v>
      </c>
      <c r="F55" s="45">
        <v>426326</v>
      </c>
      <c r="G55" s="45">
        <v>347920</v>
      </c>
      <c r="H55" s="33">
        <v>324913</v>
      </c>
      <c r="I55" s="61">
        <v>101920</v>
      </c>
      <c r="J55" s="76">
        <f t="shared" si="3"/>
        <v>1201079</v>
      </c>
      <c r="K55" s="93">
        <v>2866079</v>
      </c>
    </row>
    <row r="56" spans="1:18" x14ac:dyDescent="0.15">
      <c r="A56" s="27" t="s">
        <v>56</v>
      </c>
      <c r="B56" s="28">
        <v>70890</v>
      </c>
      <c r="C56" s="28">
        <v>0</v>
      </c>
      <c r="D56" s="59">
        <v>0</v>
      </c>
      <c r="E56" s="74">
        <f t="shared" si="4"/>
        <v>70890</v>
      </c>
      <c r="F56" s="43">
        <v>22440</v>
      </c>
      <c r="G56" s="43">
        <v>17340</v>
      </c>
      <c r="H56" s="28">
        <v>17340</v>
      </c>
      <c r="I56" s="59">
        <v>0</v>
      </c>
      <c r="J56" s="74">
        <f t="shared" si="3"/>
        <v>57120</v>
      </c>
      <c r="K56" s="91">
        <v>128010</v>
      </c>
    </row>
    <row r="57" spans="1:18" x14ac:dyDescent="0.15">
      <c r="A57" s="15" t="s">
        <v>57</v>
      </c>
      <c r="B57" s="11">
        <v>12510</v>
      </c>
      <c r="C57" s="11">
        <v>0</v>
      </c>
      <c r="D57" s="57">
        <v>0</v>
      </c>
      <c r="E57" s="72">
        <f t="shared" si="4"/>
        <v>12510</v>
      </c>
      <c r="F57" s="41">
        <v>3960</v>
      </c>
      <c r="G57" s="41">
        <v>3060</v>
      </c>
      <c r="H57" s="11">
        <v>3060</v>
      </c>
      <c r="I57" s="57">
        <v>0</v>
      </c>
      <c r="J57" s="72">
        <f t="shared" si="3"/>
        <v>10080</v>
      </c>
      <c r="K57" s="89">
        <v>22590</v>
      </c>
    </row>
    <row r="58" spans="1:18" x14ac:dyDescent="0.15">
      <c r="A58" s="15" t="s">
        <v>58</v>
      </c>
      <c r="B58" s="11">
        <v>56730</v>
      </c>
      <c r="C58" s="11">
        <v>0</v>
      </c>
      <c r="D58" s="57">
        <v>0</v>
      </c>
      <c r="E58" s="72">
        <f t="shared" si="4"/>
        <v>56730</v>
      </c>
      <c r="F58" s="41">
        <v>40260</v>
      </c>
      <c r="G58" s="41">
        <v>31110</v>
      </c>
      <c r="H58" s="11">
        <v>31110</v>
      </c>
      <c r="I58" s="57">
        <v>0</v>
      </c>
      <c r="J58" s="72">
        <f t="shared" si="3"/>
        <v>102480</v>
      </c>
      <c r="K58" s="89">
        <v>159210</v>
      </c>
    </row>
    <row r="59" spans="1:18" x14ac:dyDescent="0.15">
      <c r="A59" s="15" t="s">
        <v>59</v>
      </c>
      <c r="B59" s="11">
        <v>0</v>
      </c>
      <c r="C59" s="11">
        <v>0</v>
      </c>
      <c r="D59" s="57">
        <v>0</v>
      </c>
      <c r="E59" s="72">
        <f t="shared" si="4"/>
        <v>0</v>
      </c>
      <c r="F59" s="41">
        <v>0</v>
      </c>
      <c r="G59" s="41">
        <v>0</v>
      </c>
      <c r="H59" s="11">
        <v>0</v>
      </c>
      <c r="I59" s="57">
        <v>0</v>
      </c>
      <c r="J59" s="72">
        <f t="shared" si="3"/>
        <v>0</v>
      </c>
      <c r="K59" s="89">
        <v>0</v>
      </c>
    </row>
    <row r="60" spans="1:18" x14ac:dyDescent="0.15">
      <c r="A60" s="15" t="s">
        <v>60</v>
      </c>
      <c r="B60" s="12" t="s">
        <v>61</v>
      </c>
      <c r="C60" s="12" t="s">
        <v>61</v>
      </c>
      <c r="D60" s="63" t="s">
        <v>61</v>
      </c>
      <c r="E60" s="77"/>
      <c r="F60" s="41">
        <v>1279</v>
      </c>
      <c r="G60" s="41">
        <v>1044</v>
      </c>
      <c r="H60" s="11">
        <v>975</v>
      </c>
      <c r="I60" s="57">
        <v>306</v>
      </c>
      <c r="J60" s="72">
        <f t="shared" si="3"/>
        <v>3604</v>
      </c>
      <c r="K60" s="89">
        <v>3604</v>
      </c>
    </row>
    <row r="61" spans="1:18" x14ac:dyDescent="0.15">
      <c r="A61" s="15" t="s">
        <v>62</v>
      </c>
      <c r="B61" s="11">
        <v>0</v>
      </c>
      <c r="C61" s="11">
        <v>0</v>
      </c>
      <c r="D61" s="57">
        <v>0</v>
      </c>
      <c r="E61" s="72">
        <f t="shared" si="4"/>
        <v>0</v>
      </c>
      <c r="F61" s="41">
        <v>0</v>
      </c>
      <c r="G61" s="41">
        <v>0</v>
      </c>
      <c r="H61" s="11">
        <v>0</v>
      </c>
      <c r="I61" s="57">
        <v>0</v>
      </c>
      <c r="J61" s="72">
        <f t="shared" si="3"/>
        <v>0</v>
      </c>
      <c r="K61" s="89">
        <v>0</v>
      </c>
    </row>
    <row r="62" spans="1:18" ht="14.25" thickBot="1" x14ac:dyDescent="0.2">
      <c r="A62" s="30" t="s">
        <v>63</v>
      </c>
      <c r="B62" s="31">
        <v>140130</v>
      </c>
      <c r="C62" s="31">
        <v>0</v>
      </c>
      <c r="D62" s="60">
        <v>0</v>
      </c>
      <c r="E62" s="75">
        <f t="shared" si="4"/>
        <v>140130</v>
      </c>
      <c r="F62" s="44">
        <v>67939</v>
      </c>
      <c r="G62" s="44">
        <v>52554</v>
      </c>
      <c r="H62" s="31">
        <v>52485</v>
      </c>
      <c r="I62" s="60">
        <v>306</v>
      </c>
      <c r="J62" s="75">
        <f t="shared" si="3"/>
        <v>173284</v>
      </c>
      <c r="K62" s="92">
        <v>313414</v>
      </c>
    </row>
    <row r="63" spans="1:18" ht="14.25" thickBot="1" x14ac:dyDescent="0.2">
      <c r="A63" s="32" t="s">
        <v>64</v>
      </c>
      <c r="B63" s="33">
        <v>1174870</v>
      </c>
      <c r="C63" s="33">
        <v>250000</v>
      </c>
      <c r="D63" s="61">
        <v>100000</v>
      </c>
      <c r="E63" s="76">
        <f t="shared" si="4"/>
        <v>1524870</v>
      </c>
      <c r="F63" s="45">
        <v>357061</v>
      </c>
      <c r="G63" s="45">
        <v>287446</v>
      </c>
      <c r="H63" s="33">
        <v>269582</v>
      </c>
      <c r="I63" s="61">
        <v>101614</v>
      </c>
      <c r="J63" s="76">
        <f t="shared" si="3"/>
        <v>1015703</v>
      </c>
      <c r="K63" s="93">
        <v>2540573</v>
      </c>
    </row>
    <row r="64" spans="1:18" x14ac:dyDescent="0.15">
      <c r="A64" s="27" t="s">
        <v>65</v>
      </c>
      <c r="B64" s="28">
        <v>186260</v>
      </c>
      <c r="C64" s="28">
        <v>36400</v>
      </c>
      <c r="D64" s="59">
        <v>720</v>
      </c>
      <c r="E64" s="74">
        <f t="shared" si="4"/>
        <v>223380</v>
      </c>
      <c r="F64" s="43">
        <v>13040</v>
      </c>
      <c r="G64" s="43">
        <v>7890</v>
      </c>
      <c r="H64" s="28">
        <v>7250</v>
      </c>
      <c r="I64" s="59">
        <v>810</v>
      </c>
      <c r="J64" s="74">
        <f t="shared" si="3"/>
        <v>28990</v>
      </c>
      <c r="K64" s="91">
        <v>252370</v>
      </c>
    </row>
    <row r="65" spans="1:11" x14ac:dyDescent="0.15">
      <c r="A65" s="15" t="s">
        <v>66</v>
      </c>
      <c r="B65" s="11">
        <v>0</v>
      </c>
      <c r="C65" s="11">
        <v>0</v>
      </c>
      <c r="D65" s="57">
        <v>0</v>
      </c>
      <c r="E65" s="72">
        <f t="shared" si="4"/>
        <v>0</v>
      </c>
      <c r="F65" s="41">
        <v>0</v>
      </c>
      <c r="G65" s="41">
        <v>0</v>
      </c>
      <c r="H65" s="11">
        <v>0</v>
      </c>
      <c r="I65" s="57">
        <v>0</v>
      </c>
      <c r="J65" s="72">
        <f t="shared" si="3"/>
        <v>0</v>
      </c>
      <c r="K65" s="89">
        <v>0</v>
      </c>
    </row>
    <row r="66" spans="1:11" x14ac:dyDescent="0.15">
      <c r="A66" s="15" t="s">
        <v>67</v>
      </c>
      <c r="B66" s="11">
        <v>100900</v>
      </c>
      <c r="C66" s="11">
        <v>0</v>
      </c>
      <c r="D66" s="57">
        <v>1000</v>
      </c>
      <c r="E66" s="72">
        <f t="shared" si="4"/>
        <v>101900</v>
      </c>
      <c r="F66" s="41">
        <v>23800</v>
      </c>
      <c r="G66" s="41">
        <v>8100</v>
      </c>
      <c r="H66" s="11">
        <v>12900</v>
      </c>
      <c r="I66" s="57">
        <v>2200</v>
      </c>
      <c r="J66" s="72">
        <f t="shared" si="3"/>
        <v>47000</v>
      </c>
      <c r="K66" s="89">
        <v>148900</v>
      </c>
    </row>
    <row r="67" spans="1:11" x14ac:dyDescent="0.15">
      <c r="A67" s="15" t="s">
        <v>68</v>
      </c>
      <c r="B67" s="11">
        <v>32000</v>
      </c>
      <c r="C67" s="11">
        <v>0</v>
      </c>
      <c r="D67" s="57">
        <v>0</v>
      </c>
      <c r="E67" s="72">
        <f t="shared" si="4"/>
        <v>32000</v>
      </c>
      <c r="F67" s="41">
        <v>0</v>
      </c>
      <c r="G67" s="41">
        <v>0</v>
      </c>
      <c r="H67" s="11">
        <v>0</v>
      </c>
      <c r="I67" s="57">
        <v>0</v>
      </c>
      <c r="J67" s="72">
        <f t="shared" si="3"/>
        <v>0</v>
      </c>
      <c r="K67" s="89">
        <v>32000</v>
      </c>
    </row>
    <row r="68" spans="1:11" x14ac:dyDescent="0.15">
      <c r="A68" s="15" t="s">
        <v>69</v>
      </c>
      <c r="B68" s="11">
        <v>0</v>
      </c>
      <c r="C68" s="11">
        <v>0</v>
      </c>
      <c r="D68" s="57">
        <v>0</v>
      </c>
      <c r="E68" s="72">
        <f t="shared" si="4"/>
        <v>0</v>
      </c>
      <c r="F68" s="41">
        <v>0</v>
      </c>
      <c r="G68" s="41">
        <v>0</v>
      </c>
      <c r="H68" s="11">
        <v>0</v>
      </c>
      <c r="I68" s="57">
        <v>0</v>
      </c>
      <c r="J68" s="72">
        <f t="shared" si="3"/>
        <v>0</v>
      </c>
      <c r="K68" s="89">
        <v>0</v>
      </c>
    </row>
    <row r="69" spans="1:11" x14ac:dyDescent="0.15">
      <c r="A69" s="15" t="s">
        <v>70</v>
      </c>
      <c r="B69" s="11">
        <v>0</v>
      </c>
      <c r="C69" s="11">
        <v>0</v>
      </c>
      <c r="D69" s="57">
        <v>0</v>
      </c>
      <c r="E69" s="72">
        <f t="shared" si="4"/>
        <v>0</v>
      </c>
      <c r="F69" s="41">
        <v>0</v>
      </c>
      <c r="G69" s="41">
        <v>0</v>
      </c>
      <c r="H69" s="11">
        <v>0</v>
      </c>
      <c r="I69" s="57">
        <v>0</v>
      </c>
      <c r="J69" s="72">
        <f t="shared" si="3"/>
        <v>0</v>
      </c>
      <c r="K69" s="89">
        <v>0</v>
      </c>
    </row>
    <row r="70" spans="1:11" x14ac:dyDescent="0.15">
      <c r="A70" s="15" t="s">
        <v>71</v>
      </c>
      <c r="B70" s="11">
        <v>0</v>
      </c>
      <c r="C70" s="11">
        <v>0</v>
      </c>
      <c r="D70" s="57">
        <v>0</v>
      </c>
      <c r="E70" s="72">
        <f t="shared" si="4"/>
        <v>0</v>
      </c>
      <c r="F70" s="41">
        <v>0</v>
      </c>
      <c r="G70" s="41">
        <v>0</v>
      </c>
      <c r="H70" s="11">
        <v>0</v>
      </c>
      <c r="I70" s="57">
        <v>0</v>
      </c>
      <c r="J70" s="72">
        <f t="shared" si="3"/>
        <v>0</v>
      </c>
      <c r="K70" s="89">
        <v>0</v>
      </c>
    </row>
    <row r="71" spans="1:11" ht="14.25" thickBot="1" x14ac:dyDescent="0.2">
      <c r="A71" s="30" t="s">
        <v>72</v>
      </c>
      <c r="B71" s="31">
        <v>319160</v>
      </c>
      <c r="C71" s="31">
        <v>36400</v>
      </c>
      <c r="D71" s="60">
        <v>1720</v>
      </c>
      <c r="E71" s="75">
        <f t="shared" si="4"/>
        <v>357280</v>
      </c>
      <c r="F71" s="44">
        <v>36840</v>
      </c>
      <c r="G71" s="44">
        <v>15990</v>
      </c>
      <c r="H71" s="31">
        <v>20150</v>
      </c>
      <c r="I71" s="60">
        <v>3010</v>
      </c>
      <c r="J71" s="75">
        <f t="shared" si="3"/>
        <v>75990</v>
      </c>
      <c r="K71" s="92">
        <v>433270</v>
      </c>
    </row>
    <row r="72" spans="1:11" ht="14.25" thickBot="1" x14ac:dyDescent="0.2">
      <c r="A72" s="32" t="s">
        <v>73</v>
      </c>
      <c r="B72" s="33">
        <v>459290</v>
      </c>
      <c r="C72" s="33">
        <v>36400</v>
      </c>
      <c r="D72" s="61">
        <v>1720</v>
      </c>
      <c r="E72" s="76">
        <f t="shared" si="4"/>
        <v>497410</v>
      </c>
      <c r="F72" s="45">
        <v>104779</v>
      </c>
      <c r="G72" s="45">
        <v>68544</v>
      </c>
      <c r="H72" s="33">
        <v>72635</v>
      </c>
      <c r="I72" s="61">
        <v>3316</v>
      </c>
      <c r="J72" s="76">
        <f t="shared" si="3"/>
        <v>249274</v>
      </c>
      <c r="K72" s="93">
        <v>746684</v>
      </c>
    </row>
    <row r="73" spans="1:11" ht="14.25" thickBot="1" x14ac:dyDescent="0.2">
      <c r="A73" s="32" t="s">
        <v>74</v>
      </c>
      <c r="B73" s="33">
        <v>855710</v>
      </c>
      <c r="C73" s="33">
        <v>213600</v>
      </c>
      <c r="D73" s="61">
        <v>98280</v>
      </c>
      <c r="E73" s="76">
        <f t="shared" si="4"/>
        <v>1167590</v>
      </c>
      <c r="F73" s="45">
        <v>321547</v>
      </c>
      <c r="G73" s="45">
        <v>279376</v>
      </c>
      <c r="H73" s="33">
        <v>252278</v>
      </c>
      <c r="I73" s="61">
        <v>98604</v>
      </c>
      <c r="J73" s="76">
        <f t="shared" si="3"/>
        <v>951805</v>
      </c>
      <c r="K73" s="93">
        <v>2119395</v>
      </c>
    </row>
    <row r="74" spans="1:11" x14ac:dyDescent="0.15">
      <c r="A74" s="27" t="s">
        <v>75</v>
      </c>
      <c r="B74" s="28">
        <v>0</v>
      </c>
      <c r="C74" s="28">
        <v>0</v>
      </c>
      <c r="D74" s="59">
        <v>98280</v>
      </c>
      <c r="E74" s="74">
        <f t="shared" si="4"/>
        <v>98280</v>
      </c>
      <c r="F74" s="43">
        <v>0</v>
      </c>
      <c r="G74" s="43">
        <v>0</v>
      </c>
      <c r="H74" s="28">
        <v>0</v>
      </c>
      <c r="I74" s="59">
        <v>0</v>
      </c>
      <c r="J74" s="74">
        <f t="shared" si="3"/>
        <v>0</v>
      </c>
      <c r="K74" s="91">
        <v>98280</v>
      </c>
    </row>
    <row r="75" spans="1:11" x14ac:dyDescent="0.15">
      <c r="A75" s="15" t="s">
        <v>76</v>
      </c>
      <c r="B75" s="11">
        <v>855710</v>
      </c>
      <c r="C75" s="11">
        <v>213600</v>
      </c>
      <c r="D75" s="57">
        <v>0</v>
      </c>
      <c r="E75" s="72">
        <f t="shared" si="4"/>
        <v>1069310</v>
      </c>
      <c r="F75" s="41">
        <v>321547</v>
      </c>
      <c r="G75" s="41">
        <v>279376</v>
      </c>
      <c r="H75" s="11">
        <v>252278</v>
      </c>
      <c r="I75" s="57">
        <v>98604</v>
      </c>
      <c r="J75" s="72">
        <f t="shared" si="3"/>
        <v>951805</v>
      </c>
      <c r="K75" s="89">
        <v>2021115</v>
      </c>
    </row>
    <row r="76" spans="1:11" x14ac:dyDescent="0.15">
      <c r="A76" s="15" t="s">
        <v>77</v>
      </c>
      <c r="B76" s="13"/>
      <c r="C76" s="13"/>
      <c r="D76" s="62"/>
      <c r="E76" s="78"/>
      <c r="F76" s="46">
        <v>33</v>
      </c>
      <c r="G76" s="46">
        <v>24</v>
      </c>
      <c r="H76" s="13">
        <v>18.5</v>
      </c>
      <c r="I76" s="62">
        <v>30</v>
      </c>
      <c r="J76" s="78"/>
      <c r="K76" s="94">
        <v>105.5</v>
      </c>
    </row>
    <row r="77" spans="1:11" x14ac:dyDescent="0.15">
      <c r="A77" s="15" t="s">
        <v>78</v>
      </c>
      <c r="B77" s="12">
        <v>1</v>
      </c>
      <c r="C77" s="12"/>
      <c r="D77" s="63"/>
      <c r="E77" s="77"/>
      <c r="F77" s="47"/>
      <c r="G77" s="47"/>
      <c r="H77" s="12"/>
      <c r="I77" s="63"/>
      <c r="J77" s="77"/>
      <c r="K77" s="95"/>
    </row>
    <row r="78" spans="1:11" ht="14.25" thickBot="1" x14ac:dyDescent="0.2">
      <c r="A78" s="16" t="s">
        <v>79</v>
      </c>
      <c r="B78" s="17" t="s">
        <v>80</v>
      </c>
      <c r="C78" s="17" t="s">
        <v>81</v>
      </c>
      <c r="D78" s="64" t="s">
        <v>80</v>
      </c>
      <c r="E78" s="79"/>
      <c r="F78" s="48" t="s">
        <v>80</v>
      </c>
      <c r="G78" s="48" t="s">
        <v>80</v>
      </c>
      <c r="H78" s="17" t="s">
        <v>80</v>
      </c>
      <c r="I78" s="64" t="s">
        <v>80</v>
      </c>
      <c r="J78" s="79"/>
      <c r="K78" s="96"/>
    </row>
  </sheetData>
  <phoneticPr fontId="1"/>
  <pageMargins left="0.43307086614173229" right="0.35433070866141736" top="0.51181102362204722" bottom="0.35433070866141736" header="0.19685039370078741" footer="0.27559055118110237"/>
  <pageSetup paperSize="12" scale="6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2020-09-11T06:40:11Z</cp:lastPrinted>
  <dcterms:created xsi:type="dcterms:W3CDTF">2011-10-11T01:59:58Z</dcterms:created>
  <dcterms:modified xsi:type="dcterms:W3CDTF">2020-09-12T00:06:16Z</dcterms:modified>
</cp:coreProperties>
</file>