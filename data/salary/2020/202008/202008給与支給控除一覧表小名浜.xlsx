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08\"/>
    </mc:Choice>
  </mc:AlternateContent>
  <xr:revisionPtr revIDLastSave="1" documentId="13_ncr:1_{01DB0114-7B01-42AB-B479-FE014F78F2C5}" xr6:coauthVersionLast="47" xr6:coauthVersionMax="47" xr10:uidLastSave="{71D10585-EAD7-44AA-B20B-AA74CE65CD4F}"/>
  <bookViews>
    <workbookView xWindow="-120" yWindow="-120" windowWidth="20730" windowHeight="11160" activeTab="1" xr2:uid="{00000000-000D-0000-FFFF-FFFF00000000}"/>
  </bookViews>
  <sheets>
    <sheet name="1頁 (3)" sheetId="3" r:id="rId1"/>
    <sheet name="1頁 (4)" sheetId="4" r:id="rId2"/>
  </sheets>
  <definedNames>
    <definedName name="_xlnm.Print_Area" localSheetId="0">'1頁 (3)'!$A$1:$M$76</definedName>
    <definedName name="_xlnm.Print_Area" localSheetId="1">'1頁 (4)'!$A$1:$S$76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3" i="4" l="1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16" i="4"/>
  <c r="S15" i="4"/>
  <c r="S14" i="4"/>
  <c r="S12" i="4"/>
  <c r="S8" i="4"/>
  <c r="S7" i="4"/>
  <c r="S6" i="4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14" i="3"/>
  <c r="L13" i="3"/>
  <c r="L10" i="3"/>
  <c r="L6" i="3"/>
</calcChain>
</file>

<file path=xl/sharedStrings.xml><?xml version="1.0" encoding="utf-8"?>
<sst xmlns="http://schemas.openxmlformats.org/spreadsheetml/2006/main" count="241" uniqueCount="108">
  <si>
    <t>２０20年8月分</t>
  </si>
  <si>
    <t>所　属</t>
  </si>
  <si>
    <t>小名浜営業所/事務</t>
  </si>
  <si>
    <t>小名浜営業所/整備</t>
  </si>
  <si>
    <t>小計</t>
    <rPh sb="0" eb="2">
      <t>ショウケイ</t>
    </rPh>
    <phoneticPr fontId="1"/>
  </si>
  <si>
    <t>全社計</t>
  </si>
  <si>
    <t>社　員</t>
  </si>
  <si>
    <t>小野　宏美</t>
  </si>
  <si>
    <t>金山　岳夫</t>
  </si>
  <si>
    <t>下山田　英治</t>
  </si>
  <si>
    <t>蛭田　孝子</t>
  </si>
  <si>
    <t>鈴木　紀子</t>
  </si>
  <si>
    <t>三澤　秀雄</t>
  </si>
  <si>
    <t>鈴木　重夫</t>
  </si>
  <si>
    <t>瀬野尾　勉</t>
  </si>
  <si>
    <t>渡辺　敏男</t>
  </si>
  <si>
    <t>佐原　三夫</t>
  </si>
  <si>
    <t>10名</t>
    <rPh sb="2" eb="3">
      <t>メイ</t>
    </rPh>
    <phoneticPr fontId="1"/>
  </si>
  <si>
    <t>27名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</si>
  <si>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</si>
  <si>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</si>
  <si>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</si>
  <si>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</si>
  <si>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</si>
  <si>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</si>
  <si>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</si>
  <si>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</si>
  <si>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</si>
  <si>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</si>
  <si>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</si>
  <si>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</si>
  <si>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</si>
  <si>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</si>
  <si>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</si>
  <si>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</si>
  <si>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</si>
  <si>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</si>
  <si>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</si>
  <si>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</si>
  <si>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</si>
  <si>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</si>
  <si>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</si>
  <si>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</si>
  <si>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</si>
  <si>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</si>
  <si>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</si>
  <si>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</si>
  <si>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</si>
  <si>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</si>
  <si>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</si>
  <si>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</si>
  <si>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</si>
  <si>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</si>
  <si>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</si>
  <si>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</si>
  <si>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</si>
  <si>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</si>
  <si>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</si>
  <si>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</si>
  <si>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</si>
  <si>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</si>
  <si>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</si>
  <si>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</si>
  <si>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</si>
  <si>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</si>
  <si>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</si>
  <si>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</si>
  <si>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</si>
  <si>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</si>
  <si>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</si>
  <si>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</si>
  <si>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</si>
  <si>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</si>
  <si>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</si>
  <si>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</si>
  <si>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</si>
  <si>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</si>
  <si>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</si>
  <si>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</si>
  <si>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</si>
  <si>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</si>
  <si>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</si>
  <si>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</si>
  <si>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</si>
  <si>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</si>
  <si>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</si>
  <si>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</si>
  <si>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若林運送株式会社</t>
  </si>
  <si>
    <t>小名浜営業所</t>
  </si>
  <si>
    <t>小名浜営業所/ドライバー</t>
  </si>
  <si>
    <t>渡邊　浩司</t>
  </si>
  <si>
    <t>松本　誠治</t>
  </si>
  <si>
    <t>小林　啓一</t>
  </si>
  <si>
    <t>鈴木　富雄</t>
  </si>
  <si>
    <t>雲藤　順</t>
  </si>
  <si>
    <t>鈴木　浩明</t>
  </si>
  <si>
    <t>青田　正一</t>
  </si>
  <si>
    <t>小沼　康</t>
  </si>
  <si>
    <t>鵜沼　芳昭</t>
  </si>
  <si>
    <t>大平　正勝</t>
  </si>
  <si>
    <t>味戸　隆典</t>
  </si>
  <si>
    <t>荒木　正朋</t>
  </si>
  <si>
    <t>吉田　哲司</t>
  </si>
  <si>
    <t>神永　香織</t>
  </si>
  <si>
    <t>齋藤　秀行</t>
  </si>
  <si>
    <t>菊地　秀和</t>
  </si>
  <si>
    <t>若松　美宏</t>
  </si>
  <si>
    <t>17名</t>
    <rPh sb="2" eb="3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</si>
</sst>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9" fontId="2" fillId="0" borderId="21" xfId="0" applyNumberFormat="1" applyFont="1" applyFill="1" applyBorder="1">
      <alignment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6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3935-6C5E-452E-960B-D1E2E9E6019B}">
  <sheetPr>
    <pageSetUpPr fitToPage="1"/>
  </sheetPr>
  <dimension ref="A1:AM76"/>
  <sheetViews>
    <sheetView zoomScale="80" zoomScaleNormal="80" workbookViewId="0">
      <pane xSplit="1" ySplit="5" topLeftCell="B6" activePane="bottomRight" state="frozen"/>
      <selection pane="bottomRight" activeCell="A5" sqref="A5"/>
      <selection pane="bottomLeft" activeCell="A6" sqref="A6"/>
      <selection pane="topRight" activeCell="B1" sqref="B1"/>
    </sheetView>
  </sheetViews>
  <sheetFormatPr defaultColWidth="9" defaultRowHeight="13.5"/>
  <cols>
    <col min="1" max="1" width="17.5703125" style="2" customWidth="1"/>
    <col min="2" max="13" width="13.140625" style="2" customWidth="1"/>
    <col min="14" max="20" width="10.42578125" style="2" customWidth="1"/>
    <col min="21" max="16384" width="9" style="2"/>
  </cols>
  <sheetData>
    <row r="1" spans="1:39" ht="18.75">
      <c r="A1" s="1" t="s">
        <v>0</v>
      </c>
      <c r="B1" s="1"/>
      <c r="C1" s="1"/>
      <c r="D1" s="1"/>
      <c r="E1" s="1"/>
      <c r="F1" s="1"/>
      <c r="G1" s="1"/>
      <c r="H1" s="1"/>
      <c r="I1" s="8"/>
      <c r="J1" s="1"/>
      <c r="K1" s="7"/>
      <c r="L1" s="7"/>
      <c r="M1" s="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4.25" thickBot="1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A3" s="19" t="s">
        <v>1</v>
      </c>
      <c r="B3" s="36" t="s">
        <v>2</v>
      </c>
      <c r="C3" s="20" t="s">
        <v>2</v>
      </c>
      <c r="D3" s="20" t="s">
        <v>3</v>
      </c>
      <c r="E3" s="20" t="s">
        <v>2</v>
      </c>
      <c r="F3" s="20" t="s">
        <v>2</v>
      </c>
      <c r="G3" s="20" t="s">
        <v>2</v>
      </c>
      <c r="H3" s="20" t="s">
        <v>2</v>
      </c>
      <c r="I3" s="20" t="s">
        <v>2</v>
      </c>
      <c r="J3" s="36" t="s">
        <v>2</v>
      </c>
      <c r="K3" s="53" t="s">
        <v>2</v>
      </c>
      <c r="L3" s="70" t="s">
        <v>4</v>
      </c>
      <c r="M3" s="87" t="s">
        <v>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>
      <c r="A4" s="21"/>
      <c r="B4" s="37">
        <v>1009</v>
      </c>
      <c r="C4" s="22">
        <v>1014</v>
      </c>
      <c r="D4" s="22">
        <v>1013</v>
      </c>
      <c r="E4" s="22">
        <v>1026</v>
      </c>
      <c r="F4" s="22">
        <v>1027</v>
      </c>
      <c r="G4" s="22">
        <v>1001</v>
      </c>
      <c r="H4" s="22">
        <v>1003</v>
      </c>
      <c r="I4" s="22">
        <v>1002</v>
      </c>
      <c r="J4" s="37">
        <v>1005</v>
      </c>
      <c r="K4" s="54">
        <v>1085</v>
      </c>
      <c r="L4" s="71"/>
      <c r="M4" s="88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ht="14.25" thickBot="1">
      <c r="A5" s="21" t="s">
        <v>6</v>
      </c>
      <c r="B5" s="37" t="s">
        <v>7</v>
      </c>
      <c r="C5" s="22" t="s">
        <v>8</v>
      </c>
      <c r="D5" s="22" t="s">
        <v>9</v>
      </c>
      <c r="E5" s="22" t="s">
        <v>10</v>
      </c>
      <c r="F5" s="22" t="s">
        <v>11</v>
      </c>
      <c r="G5" s="22" t="s">
        <v>12</v>
      </c>
      <c r="H5" s="22" t="s">
        <v>13</v>
      </c>
      <c r="I5" s="22" t="s">
        <v>14</v>
      </c>
      <c r="J5" s="37" t="s">
        <v>15</v>
      </c>
      <c r="K5" s="54" t="s">
        <v>16</v>
      </c>
      <c r="L5" s="72" t="s">
        <v>17</v>
      </c>
      <c r="M5" s="89" t="s">
        <v>18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23" t="s">
        <v>19</v>
      </c>
      <c r="B6" s="38">
        <v>18</v>
      </c>
      <c r="C6" s="24">
        <v>18</v>
      </c>
      <c r="D6" s="24">
        <v>18</v>
      </c>
      <c r="E6" s="24">
        <v>13</v>
      </c>
      <c r="F6" s="24">
        <v>14</v>
      </c>
      <c r="G6" s="24">
        <v>18</v>
      </c>
      <c r="H6" s="24">
        <v>11</v>
      </c>
      <c r="I6" s="24">
        <v>10</v>
      </c>
      <c r="J6" s="38">
        <v>10</v>
      </c>
      <c r="K6" s="55">
        <v>5</v>
      </c>
      <c r="L6" s="73">
        <f>SUM(B6:K6)</f>
        <v>135</v>
      </c>
      <c r="M6" s="90">
        <v>435</v>
      </c>
      <c r="N6" s="3"/>
      <c r="O6" s="3"/>
      <c r="P6" s="3"/>
      <c r="Q6" s="3"/>
      <c r="R6" s="3"/>
      <c r="S6" s="3"/>
      <c r="T6" s="3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15" t="s">
        <v>20</v>
      </c>
      <c r="B7" s="40"/>
      <c r="C7" s="10"/>
      <c r="D7" s="10"/>
      <c r="E7" s="10"/>
      <c r="F7" s="10"/>
      <c r="G7" s="10"/>
      <c r="H7" s="10"/>
      <c r="I7" s="10"/>
      <c r="J7" s="40"/>
      <c r="K7" s="56"/>
      <c r="L7" s="75"/>
      <c r="M7" s="91">
        <v>43</v>
      </c>
      <c r="N7" s="4"/>
      <c r="O7" s="4"/>
      <c r="P7" s="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A8" s="15" t="s">
        <v>21</v>
      </c>
      <c r="B8" s="40"/>
      <c r="C8" s="10"/>
      <c r="D8" s="10"/>
      <c r="E8" s="10"/>
      <c r="F8" s="10"/>
      <c r="G8" s="10"/>
      <c r="H8" s="10"/>
      <c r="I8" s="10"/>
      <c r="J8" s="40"/>
      <c r="K8" s="56"/>
      <c r="L8" s="75"/>
      <c r="M8" s="91">
        <v>32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>
      <c r="A9" s="15" t="s">
        <v>22</v>
      </c>
      <c r="B9" s="40"/>
      <c r="C9" s="10"/>
      <c r="D9" s="10"/>
      <c r="E9" s="10"/>
      <c r="F9" s="10"/>
      <c r="G9" s="10"/>
      <c r="H9" s="10"/>
      <c r="I9" s="10"/>
      <c r="J9" s="40"/>
      <c r="K9" s="56"/>
      <c r="L9" s="75"/>
      <c r="M9" s="9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>
      <c r="A10" s="15" t="s">
        <v>23</v>
      </c>
      <c r="B10" s="39">
        <v>2</v>
      </c>
      <c r="C10" s="9">
        <v>2</v>
      </c>
      <c r="D10" s="9">
        <v>2</v>
      </c>
      <c r="E10" s="9">
        <v>2</v>
      </c>
      <c r="F10" s="9">
        <v>1</v>
      </c>
      <c r="G10" s="10"/>
      <c r="H10" s="9">
        <v>1</v>
      </c>
      <c r="I10" s="9">
        <v>1</v>
      </c>
      <c r="J10" s="40"/>
      <c r="K10" s="56"/>
      <c r="L10" s="74">
        <f>SUM(B10:K10)</f>
        <v>11</v>
      </c>
      <c r="M10" s="91">
        <v>11</v>
      </c>
      <c r="N10" s="1"/>
      <c r="O10" s="3"/>
      <c r="P10" s="3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15" t="s">
        <v>24</v>
      </c>
      <c r="B11" s="40"/>
      <c r="C11" s="10"/>
      <c r="D11" s="10"/>
      <c r="E11" s="10"/>
      <c r="F11" s="10"/>
      <c r="G11" s="10"/>
      <c r="H11" s="10"/>
      <c r="I11" s="10"/>
      <c r="J11" s="40"/>
      <c r="K11" s="56"/>
      <c r="L11" s="75"/>
      <c r="M11" s="9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>
      <c r="A12" s="15" t="s">
        <v>25</v>
      </c>
      <c r="B12" s="40"/>
      <c r="C12" s="10"/>
      <c r="D12" s="10"/>
      <c r="E12" s="10"/>
      <c r="F12" s="10"/>
      <c r="G12" s="10"/>
      <c r="H12" s="10"/>
      <c r="I12" s="10"/>
      <c r="J12" s="40"/>
      <c r="K12" s="56"/>
      <c r="L12" s="75"/>
      <c r="M12" s="91">
        <v>40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15" t="s">
        <v>26</v>
      </c>
      <c r="B13" s="40"/>
      <c r="C13" s="10"/>
      <c r="D13" s="10"/>
      <c r="E13" s="11">
        <v>3.4166666666666665</v>
      </c>
      <c r="F13" s="11">
        <v>3.5833333333333335</v>
      </c>
      <c r="G13" s="11">
        <v>2.5</v>
      </c>
      <c r="H13" s="11">
        <v>3.25</v>
      </c>
      <c r="I13" s="11">
        <v>2.9583333333333335</v>
      </c>
      <c r="J13" s="41">
        <v>2.9166666666666665</v>
      </c>
      <c r="K13" s="57">
        <v>1.6666666666666667</v>
      </c>
      <c r="L13" s="76">
        <f>SUM(B13:K13)</f>
        <v>20.291666666666668</v>
      </c>
      <c r="M13" s="93">
        <v>20.291666666666668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15" t="s">
        <v>27</v>
      </c>
      <c r="B14" s="40"/>
      <c r="C14" s="10"/>
      <c r="D14" s="10"/>
      <c r="E14" s="10"/>
      <c r="F14" s="10"/>
      <c r="G14" s="10"/>
      <c r="H14" s="10"/>
      <c r="I14" s="10"/>
      <c r="J14" s="40"/>
      <c r="K14" s="57">
        <v>0.125</v>
      </c>
      <c r="L14" s="76">
        <f>SUM(B14:K14)</f>
        <v>0.125</v>
      </c>
      <c r="M14" s="93">
        <v>28.875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15" t="s">
        <v>28</v>
      </c>
      <c r="B15" s="40"/>
      <c r="C15" s="10"/>
      <c r="D15" s="10"/>
      <c r="E15" s="10"/>
      <c r="F15" s="10"/>
      <c r="G15" s="10"/>
      <c r="H15" s="10"/>
      <c r="I15" s="10"/>
      <c r="J15" s="40"/>
      <c r="K15" s="56"/>
      <c r="L15" s="75"/>
      <c r="M15" s="93">
        <v>15.125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15" t="s">
        <v>29</v>
      </c>
      <c r="B16" s="40"/>
      <c r="C16" s="10"/>
      <c r="D16" s="10"/>
      <c r="E16" s="10"/>
      <c r="F16" s="10"/>
      <c r="G16" s="10"/>
      <c r="H16" s="10"/>
      <c r="I16" s="10"/>
      <c r="J16" s="40"/>
      <c r="K16" s="56"/>
      <c r="L16" s="75"/>
      <c r="M16" s="93">
        <v>10.666666666666666</v>
      </c>
      <c r="N16" s="5"/>
      <c r="O16" s="5"/>
      <c r="P16" s="5"/>
      <c r="Q16" s="5"/>
      <c r="R16" s="5"/>
      <c r="S16" s="5"/>
      <c r="T16" s="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5" t="s">
        <v>30</v>
      </c>
      <c r="B17" s="40"/>
      <c r="C17" s="10"/>
      <c r="D17" s="10"/>
      <c r="E17" s="10"/>
      <c r="F17" s="10"/>
      <c r="G17" s="10"/>
      <c r="H17" s="10"/>
      <c r="I17" s="10"/>
      <c r="J17" s="40"/>
      <c r="K17" s="56"/>
      <c r="L17" s="75"/>
      <c r="M17" s="92"/>
      <c r="N17" s="5"/>
      <c r="O17" s="5"/>
      <c r="P17" s="5"/>
      <c r="Q17" s="5"/>
      <c r="R17" s="5"/>
      <c r="S17" s="5"/>
      <c r="T17" s="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15" t="s">
        <v>31</v>
      </c>
      <c r="B18" s="40"/>
      <c r="C18" s="10"/>
      <c r="D18" s="10"/>
      <c r="E18" s="10"/>
      <c r="F18" s="10"/>
      <c r="G18" s="10"/>
      <c r="H18" s="10"/>
      <c r="I18" s="10"/>
      <c r="J18" s="40"/>
      <c r="K18" s="56"/>
      <c r="L18" s="75"/>
      <c r="M18" s="92"/>
      <c r="N18" s="5"/>
      <c r="O18" s="5"/>
      <c r="P18" s="5"/>
      <c r="Q18" s="5"/>
      <c r="R18" s="5"/>
      <c r="S18" s="5"/>
      <c r="T18" s="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5" t="s">
        <v>32</v>
      </c>
      <c r="B19" s="40"/>
      <c r="C19" s="10"/>
      <c r="D19" s="10"/>
      <c r="E19" s="10"/>
      <c r="F19" s="10"/>
      <c r="G19" s="10"/>
      <c r="H19" s="10"/>
      <c r="I19" s="10"/>
      <c r="J19" s="40"/>
      <c r="K19" s="56"/>
      <c r="L19" s="75"/>
      <c r="M19" s="92"/>
      <c r="N19" s="5"/>
      <c r="O19" s="5"/>
      <c r="P19" s="5"/>
      <c r="Q19" s="5"/>
      <c r="R19" s="5"/>
      <c r="S19" s="5"/>
      <c r="T19" s="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5" t="s">
        <v>33</v>
      </c>
      <c r="B20" s="40"/>
      <c r="C20" s="10"/>
      <c r="D20" s="10"/>
      <c r="E20" s="10"/>
      <c r="F20" s="10"/>
      <c r="G20" s="10"/>
      <c r="H20" s="10"/>
      <c r="I20" s="10"/>
      <c r="J20" s="40"/>
      <c r="K20" s="56"/>
      <c r="L20" s="75"/>
      <c r="M20" s="92"/>
      <c r="N20" s="5"/>
      <c r="O20" s="5"/>
      <c r="P20" s="5"/>
      <c r="Q20" s="5"/>
      <c r="R20" s="5"/>
      <c r="S20" s="5"/>
      <c r="T20" s="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15" t="s">
        <v>34</v>
      </c>
      <c r="B21" s="40"/>
      <c r="C21" s="10"/>
      <c r="D21" s="10"/>
      <c r="E21" s="11">
        <v>0.58333333333333337</v>
      </c>
      <c r="F21" s="11">
        <v>0.29166666666666669</v>
      </c>
      <c r="G21" s="10"/>
      <c r="H21" s="11">
        <v>0.29166666666666669</v>
      </c>
      <c r="I21" s="11">
        <v>0.29166666666666669</v>
      </c>
      <c r="J21" s="40"/>
      <c r="K21" s="56"/>
      <c r="L21" s="76">
        <f>SUM(B21:K21)</f>
        <v>1.4583333333333335</v>
      </c>
      <c r="M21" s="93">
        <v>1.4583333333333333</v>
      </c>
      <c r="N21" s="5"/>
      <c r="O21" s="5"/>
      <c r="P21" s="5"/>
      <c r="Q21" s="5"/>
      <c r="R21" s="5"/>
      <c r="S21" s="5"/>
      <c r="T21" s="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14.25" thickBot="1">
      <c r="A22" s="25" t="s">
        <v>35</v>
      </c>
      <c r="B22" s="52"/>
      <c r="C22" s="35"/>
      <c r="D22" s="35"/>
      <c r="E22" s="35"/>
      <c r="F22" s="35"/>
      <c r="G22" s="35"/>
      <c r="H22" s="26">
        <v>2.2916666666666665</v>
      </c>
      <c r="I22" s="26">
        <v>2.0833333333333335</v>
      </c>
      <c r="J22" s="42">
        <v>2.0833333333333335</v>
      </c>
      <c r="K22" s="58"/>
      <c r="L22" s="76">
        <f>SUM(B22:K22)</f>
        <v>6.4583333333333339</v>
      </c>
      <c r="M22" s="94">
        <v>15.75</v>
      </c>
      <c r="N22" s="5"/>
      <c r="O22" s="5"/>
      <c r="P22" s="5"/>
      <c r="Q22" s="5"/>
      <c r="R22" s="5"/>
      <c r="S22" s="5"/>
      <c r="T22" s="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23" t="s">
        <v>36</v>
      </c>
      <c r="B23" s="43">
        <v>485000</v>
      </c>
      <c r="C23" s="27">
        <v>365000</v>
      </c>
      <c r="D23" s="27">
        <v>355000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43">
        <v>0</v>
      </c>
      <c r="K23" s="59">
        <v>0</v>
      </c>
      <c r="L23" s="78">
        <f>SUM(B23:K23)</f>
        <v>1205000</v>
      </c>
      <c r="M23" s="95">
        <v>4307000</v>
      </c>
      <c r="N23" s="5"/>
      <c r="O23" s="5"/>
      <c r="P23" s="5"/>
      <c r="Q23" s="5"/>
      <c r="R23" s="5"/>
      <c r="S23" s="5"/>
      <c r="T23" s="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5" t="s">
        <v>37</v>
      </c>
      <c r="B24" s="4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40">
        <v>0</v>
      </c>
      <c r="K24" s="56">
        <v>0</v>
      </c>
      <c r="L24" s="75">
        <f t="shared" ref="L24:L73" si="0">SUM(B24:K24)</f>
        <v>0</v>
      </c>
      <c r="M24" s="92">
        <v>50000</v>
      </c>
      <c r="N24" s="5"/>
      <c r="O24" s="5"/>
      <c r="P24" s="5"/>
      <c r="Q24" s="5"/>
      <c r="R24" s="5"/>
      <c r="S24" s="5"/>
      <c r="T24" s="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5" t="s">
        <v>38</v>
      </c>
      <c r="B25" s="4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40">
        <v>0</v>
      </c>
      <c r="K25" s="56">
        <v>0</v>
      </c>
      <c r="L25" s="75">
        <f t="shared" si="0"/>
        <v>0</v>
      </c>
      <c r="M25" s="92">
        <v>3000</v>
      </c>
      <c r="N25" s="5"/>
      <c r="O25" s="5"/>
      <c r="P25" s="5"/>
      <c r="Q25" s="5"/>
      <c r="R25" s="5"/>
      <c r="S25" s="5"/>
      <c r="T25" s="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5" t="s">
        <v>39</v>
      </c>
      <c r="B26" s="4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40">
        <v>0</v>
      </c>
      <c r="K26" s="56">
        <v>0</v>
      </c>
      <c r="L26" s="75">
        <f t="shared" si="0"/>
        <v>0</v>
      </c>
      <c r="M26" s="92">
        <v>0</v>
      </c>
      <c r="N26" s="5"/>
      <c r="O26" s="5"/>
      <c r="P26" s="5"/>
      <c r="Q26" s="5"/>
      <c r="R26" s="5"/>
      <c r="S26" s="5"/>
      <c r="T26" s="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5" t="s">
        <v>40</v>
      </c>
      <c r="B27" s="4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40">
        <v>0</v>
      </c>
      <c r="K27" s="56">
        <v>0</v>
      </c>
      <c r="L27" s="75">
        <f t="shared" si="0"/>
        <v>0</v>
      </c>
      <c r="M27" s="92">
        <v>0</v>
      </c>
      <c r="N27" s="5"/>
      <c r="O27" s="5"/>
      <c r="P27" s="5"/>
      <c r="Q27" s="5"/>
      <c r="R27" s="5"/>
      <c r="S27" s="5"/>
      <c r="T27" s="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5" t="s">
        <v>41</v>
      </c>
      <c r="B28" s="4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40">
        <v>0</v>
      </c>
      <c r="K28" s="56">
        <v>0</v>
      </c>
      <c r="L28" s="75">
        <f t="shared" si="0"/>
        <v>0</v>
      </c>
      <c r="M28" s="92">
        <v>0</v>
      </c>
      <c r="N28" s="5"/>
      <c r="O28" s="5"/>
      <c r="P28" s="5"/>
      <c r="Q28" s="5"/>
      <c r="R28" s="5"/>
      <c r="S28" s="5"/>
      <c r="T28" s="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5" t="s">
        <v>42</v>
      </c>
      <c r="B29" s="4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40">
        <v>0</v>
      </c>
      <c r="K29" s="56">
        <v>0</v>
      </c>
      <c r="L29" s="75">
        <f t="shared" si="0"/>
        <v>0</v>
      </c>
      <c r="M29" s="92">
        <v>0</v>
      </c>
      <c r="N29" s="5"/>
      <c r="O29" s="5"/>
      <c r="P29" s="5"/>
      <c r="Q29" s="5"/>
      <c r="R29" s="5"/>
      <c r="S29" s="5"/>
      <c r="T29" s="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5" t="s">
        <v>43</v>
      </c>
      <c r="B30" s="4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40">
        <v>0</v>
      </c>
      <c r="K30" s="56">
        <v>0</v>
      </c>
      <c r="L30" s="75">
        <f t="shared" si="0"/>
        <v>0</v>
      </c>
      <c r="M30" s="92">
        <v>0</v>
      </c>
      <c r="N30" s="5"/>
      <c r="O30" s="5"/>
      <c r="P30" s="5"/>
      <c r="Q30" s="5"/>
      <c r="R30" s="5"/>
      <c r="S30" s="5"/>
      <c r="T30" s="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5" t="s">
        <v>44</v>
      </c>
      <c r="B31" s="40">
        <v>0</v>
      </c>
      <c r="C31" s="10">
        <v>0</v>
      </c>
      <c r="D31" s="10">
        <v>0</v>
      </c>
      <c r="E31" s="10">
        <v>71340</v>
      </c>
      <c r="F31" s="10">
        <v>74820</v>
      </c>
      <c r="G31" s="10">
        <v>50400</v>
      </c>
      <c r="H31" s="10">
        <v>65520</v>
      </c>
      <c r="I31" s="10">
        <v>59640</v>
      </c>
      <c r="J31" s="40">
        <v>58800</v>
      </c>
      <c r="K31" s="56">
        <v>33200</v>
      </c>
      <c r="L31" s="75">
        <f t="shared" si="0"/>
        <v>413720</v>
      </c>
      <c r="M31" s="92">
        <v>413720</v>
      </c>
      <c r="N31" s="5"/>
      <c r="O31" s="5"/>
      <c r="P31" s="5"/>
      <c r="Q31" s="5"/>
      <c r="R31" s="5"/>
      <c r="S31" s="5"/>
      <c r="T31" s="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5" t="s">
        <v>45</v>
      </c>
      <c r="B32" s="4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40">
        <v>0</v>
      </c>
      <c r="K32" s="56">
        <v>0</v>
      </c>
      <c r="L32" s="75">
        <f t="shared" si="0"/>
        <v>0</v>
      </c>
      <c r="M32" s="92">
        <v>0</v>
      </c>
      <c r="N32" s="5"/>
      <c r="O32" s="5"/>
      <c r="P32" s="5"/>
      <c r="Q32" s="5"/>
      <c r="R32" s="5"/>
      <c r="S32" s="5"/>
      <c r="T32" s="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5" t="s">
        <v>46</v>
      </c>
      <c r="B33" s="4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40">
        <v>0</v>
      </c>
      <c r="K33" s="56">
        <v>0</v>
      </c>
      <c r="L33" s="75">
        <f t="shared" si="0"/>
        <v>0</v>
      </c>
      <c r="M33" s="92">
        <v>0</v>
      </c>
      <c r="N33" s="5"/>
      <c r="O33" s="5"/>
      <c r="P33" s="5"/>
      <c r="Q33" s="5"/>
      <c r="R33" s="5"/>
      <c r="S33" s="5"/>
      <c r="T33" s="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5" t="s">
        <v>47</v>
      </c>
      <c r="B34" s="40">
        <v>0</v>
      </c>
      <c r="C34" s="10">
        <v>0</v>
      </c>
      <c r="D34" s="10">
        <v>0</v>
      </c>
      <c r="E34" s="10">
        <v>12180</v>
      </c>
      <c r="F34" s="10">
        <v>6090</v>
      </c>
      <c r="G34" s="10">
        <v>0</v>
      </c>
      <c r="H34" s="10">
        <v>5880</v>
      </c>
      <c r="I34" s="10">
        <v>5880</v>
      </c>
      <c r="J34" s="40">
        <v>0</v>
      </c>
      <c r="K34" s="56">
        <v>0</v>
      </c>
      <c r="L34" s="75">
        <f t="shared" si="0"/>
        <v>30030</v>
      </c>
      <c r="M34" s="92">
        <v>30030</v>
      </c>
      <c r="N34" s="5"/>
      <c r="O34" s="5"/>
      <c r="P34" s="5"/>
      <c r="Q34" s="5"/>
      <c r="R34" s="5"/>
      <c r="S34" s="5"/>
      <c r="T34" s="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5" t="s">
        <v>48</v>
      </c>
      <c r="B35" s="4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40">
        <v>0</v>
      </c>
      <c r="K35" s="56">
        <v>0</v>
      </c>
      <c r="L35" s="75">
        <f t="shared" si="0"/>
        <v>0</v>
      </c>
      <c r="M35" s="92">
        <v>0</v>
      </c>
      <c r="N35" s="5"/>
      <c r="O35" s="5"/>
      <c r="P35" s="5"/>
      <c r="Q35" s="5"/>
      <c r="R35" s="5"/>
      <c r="S35" s="5"/>
      <c r="T35" s="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5" t="s">
        <v>49</v>
      </c>
      <c r="B36" s="4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40">
        <v>0</v>
      </c>
      <c r="K36" s="56">
        <v>0</v>
      </c>
      <c r="L36" s="75">
        <f t="shared" si="0"/>
        <v>0</v>
      </c>
      <c r="M36" s="92">
        <v>0</v>
      </c>
      <c r="N36" s="5"/>
      <c r="O36" s="5"/>
      <c r="P36" s="5"/>
      <c r="Q36" s="5"/>
      <c r="R36" s="5"/>
      <c r="S36" s="5"/>
      <c r="T36" s="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5" t="s">
        <v>50</v>
      </c>
      <c r="B37" s="4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40">
        <v>0</v>
      </c>
      <c r="K37" s="56">
        <v>0</v>
      </c>
      <c r="L37" s="75">
        <f t="shared" si="0"/>
        <v>0</v>
      </c>
      <c r="M37" s="92">
        <v>0</v>
      </c>
      <c r="N37" s="5"/>
      <c r="O37" s="5"/>
      <c r="P37" s="5"/>
      <c r="Q37" s="5"/>
      <c r="R37" s="5"/>
      <c r="S37" s="5"/>
      <c r="T37" s="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5" t="s">
        <v>51</v>
      </c>
      <c r="B38" s="4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40">
        <v>0</v>
      </c>
      <c r="K38" s="56">
        <v>0</v>
      </c>
      <c r="L38" s="75">
        <f t="shared" si="0"/>
        <v>0</v>
      </c>
      <c r="M38" s="92">
        <v>0</v>
      </c>
      <c r="N38" s="5"/>
      <c r="O38" s="5"/>
      <c r="P38" s="5"/>
      <c r="Q38" s="5"/>
      <c r="R38" s="5"/>
      <c r="S38" s="5"/>
      <c r="T38" s="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5" t="s">
        <v>52</v>
      </c>
      <c r="B39" s="4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40">
        <v>0</v>
      </c>
      <c r="K39" s="56">
        <v>0</v>
      </c>
      <c r="L39" s="75">
        <f t="shared" si="0"/>
        <v>0</v>
      </c>
      <c r="M39" s="92">
        <v>0</v>
      </c>
      <c r="N39" s="5"/>
      <c r="O39" s="5"/>
      <c r="P39" s="5"/>
      <c r="Q39" s="5"/>
      <c r="R39" s="5"/>
      <c r="S39" s="5"/>
      <c r="T39" s="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5" t="s">
        <v>53</v>
      </c>
      <c r="B40" s="4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40">
        <v>0</v>
      </c>
      <c r="K40" s="56">
        <v>0</v>
      </c>
      <c r="L40" s="75">
        <f t="shared" si="0"/>
        <v>0</v>
      </c>
      <c r="M40" s="92">
        <v>0</v>
      </c>
      <c r="N40" s="5"/>
      <c r="O40" s="5"/>
      <c r="P40" s="5"/>
      <c r="Q40" s="5"/>
      <c r="R40" s="5"/>
      <c r="S40" s="5"/>
      <c r="T40" s="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5" t="s">
        <v>54</v>
      </c>
      <c r="B41" s="4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40">
        <v>0</v>
      </c>
      <c r="K41" s="56">
        <v>0</v>
      </c>
      <c r="L41" s="75">
        <f t="shared" si="0"/>
        <v>0</v>
      </c>
      <c r="M41" s="92">
        <v>-351357</v>
      </c>
      <c r="N41" s="5"/>
      <c r="O41" s="5"/>
      <c r="P41" s="5"/>
      <c r="Q41" s="5"/>
      <c r="R41" s="5"/>
      <c r="S41" s="5"/>
      <c r="T41" s="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5" t="s">
        <v>55</v>
      </c>
      <c r="B42" s="4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40">
        <v>0</v>
      </c>
      <c r="K42" s="56">
        <v>0</v>
      </c>
      <c r="L42" s="75">
        <f t="shared" si="0"/>
        <v>0</v>
      </c>
      <c r="M42" s="92">
        <v>0</v>
      </c>
      <c r="N42" s="5"/>
      <c r="O42" s="5"/>
      <c r="P42" s="5"/>
      <c r="Q42" s="5"/>
      <c r="R42" s="5"/>
      <c r="S42" s="5"/>
      <c r="T42" s="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5" t="s">
        <v>27</v>
      </c>
      <c r="B43" s="4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40">
        <v>0</v>
      </c>
      <c r="K43" s="56">
        <v>3114</v>
      </c>
      <c r="L43" s="75">
        <f t="shared" si="0"/>
        <v>3114</v>
      </c>
      <c r="M43" s="92">
        <v>957409</v>
      </c>
      <c r="N43" s="5"/>
      <c r="O43" s="5"/>
      <c r="P43" s="5"/>
      <c r="Q43" s="5"/>
      <c r="R43" s="5"/>
      <c r="S43" s="5"/>
      <c r="T43" s="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5" t="s">
        <v>20</v>
      </c>
      <c r="B44" s="4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40">
        <v>0</v>
      </c>
      <c r="K44" s="56">
        <v>0</v>
      </c>
      <c r="L44" s="75">
        <f t="shared" si="0"/>
        <v>0</v>
      </c>
      <c r="M44" s="92">
        <v>546580</v>
      </c>
      <c r="N44" s="5"/>
      <c r="O44" s="5"/>
      <c r="P44" s="5"/>
      <c r="Q44" s="5"/>
      <c r="R44" s="5"/>
      <c r="S44" s="5"/>
      <c r="T44" s="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5" t="s">
        <v>21</v>
      </c>
      <c r="B45" s="4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40">
        <v>0</v>
      </c>
      <c r="K45" s="56">
        <v>0</v>
      </c>
      <c r="L45" s="75">
        <f t="shared" si="0"/>
        <v>0</v>
      </c>
      <c r="M45" s="92">
        <v>376400</v>
      </c>
      <c r="N45" s="5"/>
      <c r="O45" s="5"/>
      <c r="P45" s="5"/>
      <c r="Q45" s="5"/>
      <c r="R45" s="5"/>
      <c r="S45" s="5"/>
      <c r="T45" s="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5" t="s">
        <v>56</v>
      </c>
      <c r="B46" s="4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40">
        <v>0</v>
      </c>
      <c r="K46" s="56">
        <v>0</v>
      </c>
      <c r="L46" s="75">
        <f t="shared" si="0"/>
        <v>0</v>
      </c>
      <c r="M46" s="92">
        <v>0</v>
      </c>
      <c r="N46" s="5"/>
      <c r="O46" s="5"/>
      <c r="P46" s="5"/>
      <c r="Q46" s="5"/>
      <c r="R46" s="5"/>
      <c r="S46" s="5"/>
      <c r="T46" s="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5" t="s">
        <v>57</v>
      </c>
      <c r="B47" s="4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40">
        <v>0</v>
      </c>
      <c r="K47" s="56">
        <v>0</v>
      </c>
      <c r="L47" s="75">
        <f t="shared" si="0"/>
        <v>0</v>
      </c>
      <c r="M47" s="92">
        <v>351357</v>
      </c>
      <c r="N47" s="5"/>
      <c r="O47" s="5"/>
      <c r="P47" s="5"/>
      <c r="Q47" s="5"/>
      <c r="R47" s="5"/>
      <c r="S47" s="5"/>
      <c r="T47" s="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5" t="s">
        <v>31</v>
      </c>
      <c r="B48" s="4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40">
        <v>0</v>
      </c>
      <c r="K48" s="56">
        <v>0</v>
      </c>
      <c r="L48" s="75">
        <f t="shared" si="0"/>
        <v>0</v>
      </c>
      <c r="M48" s="92">
        <v>0</v>
      </c>
      <c r="N48" s="5"/>
      <c r="O48" s="5"/>
      <c r="P48" s="5"/>
      <c r="Q48" s="5"/>
      <c r="R48" s="5"/>
      <c r="S48" s="5"/>
      <c r="T48" s="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20">
      <c r="A49" s="16" t="s">
        <v>58</v>
      </c>
      <c r="B49" s="44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44">
        <v>0</v>
      </c>
      <c r="K49" s="60">
        <v>0</v>
      </c>
      <c r="L49" s="79">
        <f t="shared" si="0"/>
        <v>0</v>
      </c>
      <c r="M49" s="96">
        <v>0</v>
      </c>
      <c r="N49" s="6"/>
      <c r="O49" s="6"/>
      <c r="P49" s="6"/>
      <c r="Q49" s="6"/>
      <c r="R49" s="6"/>
      <c r="S49" s="6"/>
      <c r="T49" s="6"/>
    </row>
    <row r="50" spans="1:20">
      <c r="A50" s="16" t="s">
        <v>35</v>
      </c>
      <c r="B50" s="44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11550</v>
      </c>
      <c r="I50" s="12">
        <v>10500</v>
      </c>
      <c r="J50" s="44">
        <v>10500</v>
      </c>
      <c r="K50" s="60">
        <v>0</v>
      </c>
      <c r="L50" s="79">
        <f t="shared" si="0"/>
        <v>32550</v>
      </c>
      <c r="M50" s="96">
        <v>95255</v>
      </c>
      <c r="N50" s="6"/>
      <c r="O50" s="6"/>
      <c r="P50" s="6"/>
      <c r="Q50" s="6"/>
      <c r="R50" s="6"/>
      <c r="S50" s="6"/>
      <c r="T50" s="6"/>
    </row>
    <row r="51" spans="1:20" ht="14.25" thickBot="1">
      <c r="A51" s="17" t="s">
        <v>59</v>
      </c>
      <c r="B51" s="45">
        <v>485000</v>
      </c>
      <c r="C51" s="30">
        <v>365000</v>
      </c>
      <c r="D51" s="30">
        <v>355000</v>
      </c>
      <c r="E51" s="30">
        <v>83520</v>
      </c>
      <c r="F51" s="30">
        <v>80910</v>
      </c>
      <c r="G51" s="30">
        <v>50400</v>
      </c>
      <c r="H51" s="30">
        <v>82950</v>
      </c>
      <c r="I51" s="30">
        <v>76020</v>
      </c>
      <c r="J51" s="45">
        <v>69300</v>
      </c>
      <c r="K51" s="61">
        <v>36314</v>
      </c>
      <c r="L51" s="80">
        <f t="shared" si="0"/>
        <v>1684414</v>
      </c>
      <c r="M51" s="97">
        <v>6779394</v>
      </c>
      <c r="N51" s="6"/>
      <c r="O51" s="6"/>
      <c r="P51" s="6"/>
      <c r="Q51" s="6"/>
      <c r="R51" s="6"/>
      <c r="S51" s="6"/>
      <c r="T51" s="6"/>
    </row>
    <row r="52" spans="1:20">
      <c r="A52" s="28" t="s">
        <v>60</v>
      </c>
      <c r="B52" s="46">
        <v>5629</v>
      </c>
      <c r="C52" s="29">
        <v>4878</v>
      </c>
      <c r="D52" s="29">
        <v>4128</v>
      </c>
      <c r="E52" s="29">
        <v>2168</v>
      </c>
      <c r="F52" s="29">
        <v>1460</v>
      </c>
      <c r="G52" s="29">
        <v>5254</v>
      </c>
      <c r="H52" s="29">
        <v>3440</v>
      </c>
      <c r="I52" s="29">
        <v>2502</v>
      </c>
      <c r="J52" s="46">
        <v>3336</v>
      </c>
      <c r="K52" s="62">
        <v>1355</v>
      </c>
      <c r="L52" s="81">
        <f t="shared" si="0"/>
        <v>34150</v>
      </c>
      <c r="M52" s="98">
        <v>99219</v>
      </c>
      <c r="N52" s="6"/>
      <c r="O52" s="6"/>
      <c r="P52" s="6"/>
      <c r="Q52" s="6"/>
      <c r="R52" s="6"/>
      <c r="S52" s="6"/>
      <c r="T52" s="6"/>
    </row>
    <row r="53" spans="1:20" ht="14.25" thickBot="1">
      <c r="A53" s="31" t="s">
        <v>61</v>
      </c>
      <c r="B53" s="47">
        <v>5629</v>
      </c>
      <c r="C53" s="32">
        <v>4878</v>
      </c>
      <c r="D53" s="32">
        <v>4128</v>
      </c>
      <c r="E53" s="32">
        <v>2168</v>
      </c>
      <c r="F53" s="32">
        <v>1460</v>
      </c>
      <c r="G53" s="32">
        <v>5254</v>
      </c>
      <c r="H53" s="32">
        <v>3440</v>
      </c>
      <c r="I53" s="32">
        <v>2502</v>
      </c>
      <c r="J53" s="47">
        <v>3336</v>
      </c>
      <c r="K53" s="63">
        <v>1355</v>
      </c>
      <c r="L53" s="82">
        <f t="shared" si="0"/>
        <v>34150</v>
      </c>
      <c r="M53" s="99">
        <v>99219</v>
      </c>
    </row>
    <row r="54" spans="1:20" ht="14.25" thickBot="1">
      <c r="A54" s="33" t="s">
        <v>62</v>
      </c>
      <c r="B54" s="48">
        <v>490629</v>
      </c>
      <c r="C54" s="34">
        <v>369878</v>
      </c>
      <c r="D54" s="34">
        <v>359128</v>
      </c>
      <c r="E54" s="34">
        <v>85688</v>
      </c>
      <c r="F54" s="34">
        <v>82370</v>
      </c>
      <c r="G54" s="34">
        <v>55654</v>
      </c>
      <c r="H54" s="34">
        <v>86390</v>
      </c>
      <c r="I54" s="34">
        <v>78522</v>
      </c>
      <c r="J54" s="48">
        <v>72636</v>
      </c>
      <c r="K54" s="64">
        <v>37669</v>
      </c>
      <c r="L54" s="83">
        <f t="shared" si="0"/>
        <v>1718564</v>
      </c>
      <c r="M54" s="100">
        <v>6878613</v>
      </c>
    </row>
    <row r="55" spans="1:20">
      <c r="A55" s="28" t="s">
        <v>63</v>
      </c>
      <c r="B55" s="46">
        <v>25500</v>
      </c>
      <c r="C55" s="29">
        <v>19380</v>
      </c>
      <c r="D55" s="29">
        <v>18360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46">
        <v>0</v>
      </c>
      <c r="K55" s="62">
        <v>0</v>
      </c>
      <c r="L55" s="81">
        <f t="shared" si="0"/>
        <v>63240</v>
      </c>
      <c r="M55" s="98">
        <v>341700</v>
      </c>
    </row>
    <row r="56" spans="1:20">
      <c r="A56" s="16" t="s">
        <v>64</v>
      </c>
      <c r="B56" s="44">
        <v>4500</v>
      </c>
      <c r="C56" s="12">
        <v>3420</v>
      </c>
      <c r="D56" s="12">
        <v>3240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44">
        <v>0</v>
      </c>
      <c r="K56" s="60">
        <v>0</v>
      </c>
      <c r="L56" s="79">
        <f t="shared" si="0"/>
        <v>11160</v>
      </c>
      <c r="M56" s="96">
        <v>57600</v>
      </c>
    </row>
    <row r="57" spans="1:20">
      <c r="A57" s="16" t="s">
        <v>65</v>
      </c>
      <c r="B57" s="44">
        <v>45750</v>
      </c>
      <c r="C57" s="12">
        <v>34770</v>
      </c>
      <c r="D57" s="12">
        <v>32940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44">
        <v>0</v>
      </c>
      <c r="K57" s="60">
        <v>0</v>
      </c>
      <c r="L57" s="79">
        <f t="shared" si="0"/>
        <v>113460</v>
      </c>
      <c r="M57" s="96">
        <v>613050</v>
      </c>
    </row>
    <row r="58" spans="1:20">
      <c r="A58" s="16" t="s">
        <v>66</v>
      </c>
      <c r="B58" s="44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44">
        <v>0</v>
      </c>
      <c r="K58" s="60">
        <v>0</v>
      </c>
      <c r="L58" s="79">
        <f t="shared" si="0"/>
        <v>0</v>
      </c>
      <c r="M58" s="96">
        <v>0</v>
      </c>
    </row>
    <row r="59" spans="1:20">
      <c r="A59" s="16" t="s">
        <v>67</v>
      </c>
      <c r="B59" s="44">
        <v>1472</v>
      </c>
      <c r="C59" s="12">
        <v>1110</v>
      </c>
      <c r="D59" s="12">
        <v>1077</v>
      </c>
      <c r="E59" s="12">
        <v>257</v>
      </c>
      <c r="F59" s="12">
        <v>247</v>
      </c>
      <c r="G59" s="14" t="s">
        <v>68</v>
      </c>
      <c r="H59" s="14" t="s">
        <v>68</v>
      </c>
      <c r="I59" s="14" t="s">
        <v>68</v>
      </c>
      <c r="J59" s="50" t="s">
        <v>68</v>
      </c>
      <c r="K59" s="65" t="s">
        <v>68</v>
      </c>
      <c r="L59" s="79">
        <f t="shared" si="0"/>
        <v>4163</v>
      </c>
      <c r="M59" s="96">
        <v>19643</v>
      </c>
    </row>
    <row r="60" spans="1:20">
      <c r="A60" s="16" t="s">
        <v>69</v>
      </c>
      <c r="B60" s="44">
        <v>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44">
        <v>0</v>
      </c>
      <c r="K60" s="60">
        <v>0</v>
      </c>
      <c r="L60" s="79">
        <f t="shared" si="0"/>
        <v>0</v>
      </c>
      <c r="M60" s="96">
        <v>0</v>
      </c>
    </row>
    <row r="61" spans="1:20" ht="14.25" thickBot="1">
      <c r="A61" s="31" t="s">
        <v>70</v>
      </c>
      <c r="B61" s="47">
        <v>77222</v>
      </c>
      <c r="C61" s="32">
        <v>58680</v>
      </c>
      <c r="D61" s="32">
        <v>55617</v>
      </c>
      <c r="E61" s="32">
        <v>257</v>
      </c>
      <c r="F61" s="32">
        <v>247</v>
      </c>
      <c r="G61" s="32">
        <v>0</v>
      </c>
      <c r="H61" s="32">
        <v>0</v>
      </c>
      <c r="I61" s="32">
        <v>0</v>
      </c>
      <c r="J61" s="47">
        <v>0</v>
      </c>
      <c r="K61" s="63">
        <v>0</v>
      </c>
      <c r="L61" s="82">
        <f t="shared" si="0"/>
        <v>192023</v>
      </c>
      <c r="M61" s="99">
        <v>1031993</v>
      </c>
    </row>
    <row r="62" spans="1:20" ht="14.25" thickBot="1">
      <c r="A62" s="33" t="s">
        <v>71</v>
      </c>
      <c r="B62" s="48">
        <v>407778</v>
      </c>
      <c r="C62" s="34">
        <v>306320</v>
      </c>
      <c r="D62" s="34">
        <v>299383</v>
      </c>
      <c r="E62" s="34">
        <v>83263</v>
      </c>
      <c r="F62" s="34">
        <v>80663</v>
      </c>
      <c r="G62" s="34">
        <v>50400</v>
      </c>
      <c r="H62" s="34">
        <v>82950</v>
      </c>
      <c r="I62" s="34">
        <v>76020</v>
      </c>
      <c r="J62" s="48">
        <v>69300</v>
      </c>
      <c r="K62" s="64">
        <v>36314</v>
      </c>
      <c r="L62" s="83">
        <f t="shared" si="0"/>
        <v>1492391</v>
      </c>
      <c r="M62" s="100">
        <v>5747401</v>
      </c>
    </row>
    <row r="63" spans="1:20">
      <c r="A63" s="28" t="s">
        <v>72</v>
      </c>
      <c r="B63" s="46">
        <v>13950</v>
      </c>
      <c r="C63" s="29">
        <v>8900</v>
      </c>
      <c r="D63" s="29">
        <v>6700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46">
        <v>0</v>
      </c>
      <c r="K63" s="62">
        <v>0</v>
      </c>
      <c r="L63" s="81">
        <f t="shared" si="0"/>
        <v>29550</v>
      </c>
      <c r="M63" s="98">
        <v>129060</v>
      </c>
    </row>
    <row r="64" spans="1:20">
      <c r="A64" s="16" t="s">
        <v>73</v>
      </c>
      <c r="B64" s="44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44">
        <v>0</v>
      </c>
      <c r="K64" s="60">
        <v>0</v>
      </c>
      <c r="L64" s="79">
        <f t="shared" si="0"/>
        <v>0</v>
      </c>
      <c r="M64" s="96">
        <v>16900</v>
      </c>
    </row>
    <row r="65" spans="1:13">
      <c r="A65" s="16" t="s">
        <v>74</v>
      </c>
      <c r="B65" s="44">
        <v>21300</v>
      </c>
      <c r="C65" s="12">
        <v>15600</v>
      </c>
      <c r="D65" s="12">
        <v>15000</v>
      </c>
      <c r="E65" s="12">
        <v>600</v>
      </c>
      <c r="F65" s="12">
        <v>0</v>
      </c>
      <c r="G65" s="12">
        <v>1100</v>
      </c>
      <c r="H65" s="12">
        <v>3500</v>
      </c>
      <c r="I65" s="12">
        <v>0</v>
      </c>
      <c r="J65" s="44">
        <v>0</v>
      </c>
      <c r="K65" s="60">
        <v>0</v>
      </c>
      <c r="L65" s="79">
        <f t="shared" si="0"/>
        <v>57100</v>
      </c>
      <c r="M65" s="96">
        <v>242300</v>
      </c>
    </row>
    <row r="66" spans="1:13">
      <c r="A66" s="16" t="s">
        <v>75</v>
      </c>
      <c r="B66" s="44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44">
        <v>0</v>
      </c>
      <c r="K66" s="60">
        <v>0</v>
      </c>
      <c r="L66" s="79">
        <f t="shared" si="0"/>
        <v>0</v>
      </c>
      <c r="M66" s="96">
        <v>10000</v>
      </c>
    </row>
    <row r="67" spans="1:13">
      <c r="A67" s="16" t="s">
        <v>76</v>
      </c>
      <c r="B67" s="44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44">
        <v>0</v>
      </c>
      <c r="K67" s="60">
        <v>0</v>
      </c>
      <c r="L67" s="79">
        <f t="shared" si="0"/>
        <v>0</v>
      </c>
      <c r="M67" s="96">
        <v>0</v>
      </c>
    </row>
    <row r="68" spans="1:13">
      <c r="A68" s="16" t="s">
        <v>77</v>
      </c>
      <c r="B68" s="44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44">
        <v>0</v>
      </c>
      <c r="K68" s="60">
        <v>0</v>
      </c>
      <c r="L68" s="79">
        <f t="shared" si="0"/>
        <v>0</v>
      </c>
      <c r="M68" s="96">
        <v>0</v>
      </c>
    </row>
    <row r="69" spans="1:13" ht="14.25" thickBot="1">
      <c r="A69" s="31" t="s">
        <v>78</v>
      </c>
      <c r="B69" s="47">
        <v>35250</v>
      </c>
      <c r="C69" s="32">
        <v>24500</v>
      </c>
      <c r="D69" s="32">
        <v>21700</v>
      </c>
      <c r="E69" s="32">
        <v>600</v>
      </c>
      <c r="F69" s="32">
        <v>0</v>
      </c>
      <c r="G69" s="32">
        <v>1100</v>
      </c>
      <c r="H69" s="32">
        <v>3500</v>
      </c>
      <c r="I69" s="32">
        <v>0</v>
      </c>
      <c r="J69" s="47">
        <v>0</v>
      </c>
      <c r="K69" s="63">
        <v>0</v>
      </c>
      <c r="L69" s="82">
        <f t="shared" si="0"/>
        <v>86650</v>
      </c>
      <c r="M69" s="99">
        <v>398260</v>
      </c>
    </row>
    <row r="70" spans="1:13" ht="14.25" thickBot="1">
      <c r="A70" s="33" t="s">
        <v>79</v>
      </c>
      <c r="B70" s="48">
        <v>112472</v>
      </c>
      <c r="C70" s="34">
        <v>83180</v>
      </c>
      <c r="D70" s="34">
        <v>77317</v>
      </c>
      <c r="E70" s="34">
        <v>857</v>
      </c>
      <c r="F70" s="34">
        <v>247</v>
      </c>
      <c r="G70" s="34">
        <v>1100</v>
      </c>
      <c r="H70" s="34">
        <v>3500</v>
      </c>
      <c r="I70" s="34">
        <v>0</v>
      </c>
      <c r="J70" s="48">
        <v>0</v>
      </c>
      <c r="K70" s="64">
        <v>0</v>
      </c>
      <c r="L70" s="83">
        <f t="shared" si="0"/>
        <v>278673</v>
      </c>
      <c r="M70" s="100">
        <v>1430253</v>
      </c>
    </row>
    <row r="71" spans="1:13" ht="14.25" thickBot="1">
      <c r="A71" s="33" t="s">
        <v>80</v>
      </c>
      <c r="B71" s="48">
        <v>378157</v>
      </c>
      <c r="C71" s="34">
        <v>286698</v>
      </c>
      <c r="D71" s="34">
        <v>281811</v>
      </c>
      <c r="E71" s="34">
        <v>84831</v>
      </c>
      <c r="F71" s="34">
        <v>82123</v>
      </c>
      <c r="G71" s="34">
        <v>54554</v>
      </c>
      <c r="H71" s="34">
        <v>82890</v>
      </c>
      <c r="I71" s="34">
        <v>78522</v>
      </c>
      <c r="J71" s="48">
        <v>72636</v>
      </c>
      <c r="K71" s="64">
        <v>37669</v>
      </c>
      <c r="L71" s="83">
        <f t="shared" si="0"/>
        <v>1439891</v>
      </c>
      <c r="M71" s="100">
        <v>5448360</v>
      </c>
    </row>
    <row r="72" spans="1:13">
      <c r="A72" s="28" t="s">
        <v>81</v>
      </c>
      <c r="B72" s="46">
        <v>0</v>
      </c>
      <c r="C72" s="29">
        <v>0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46">
        <v>0</v>
      </c>
      <c r="K72" s="62">
        <v>0</v>
      </c>
      <c r="L72" s="81">
        <f t="shared" si="0"/>
        <v>0</v>
      </c>
      <c r="M72" s="98">
        <v>0</v>
      </c>
    </row>
    <row r="73" spans="1:13">
      <c r="A73" s="16" t="s">
        <v>82</v>
      </c>
      <c r="B73" s="44">
        <v>378157</v>
      </c>
      <c r="C73" s="12">
        <v>286698</v>
      </c>
      <c r="D73" s="12">
        <v>281811</v>
      </c>
      <c r="E73" s="12">
        <v>84831</v>
      </c>
      <c r="F73" s="12">
        <v>82123</v>
      </c>
      <c r="G73" s="12">
        <v>54554</v>
      </c>
      <c r="H73" s="12">
        <v>82890</v>
      </c>
      <c r="I73" s="12">
        <v>78522</v>
      </c>
      <c r="J73" s="44">
        <v>72636</v>
      </c>
      <c r="K73" s="60">
        <v>37669</v>
      </c>
      <c r="L73" s="79">
        <f t="shared" si="0"/>
        <v>1439891</v>
      </c>
      <c r="M73" s="96">
        <v>5448360</v>
      </c>
    </row>
    <row r="74" spans="1:13">
      <c r="A74" s="16" t="s">
        <v>83</v>
      </c>
      <c r="B74" s="49">
        <v>37</v>
      </c>
      <c r="C74" s="13">
        <v>32</v>
      </c>
      <c r="D74" s="13">
        <v>38</v>
      </c>
      <c r="E74" s="13">
        <v>18</v>
      </c>
      <c r="F74" s="13">
        <v>19</v>
      </c>
      <c r="G74" s="13">
        <v>22</v>
      </c>
      <c r="H74" s="13">
        <v>15</v>
      </c>
      <c r="I74" s="13">
        <v>17</v>
      </c>
      <c r="J74" s="49">
        <v>4</v>
      </c>
      <c r="K74" s="66">
        <v>3</v>
      </c>
      <c r="L74" s="84"/>
      <c r="M74" s="101">
        <v>665</v>
      </c>
    </row>
    <row r="75" spans="1:13">
      <c r="A75" s="16" t="s">
        <v>84</v>
      </c>
      <c r="B75" s="50">
        <v>1</v>
      </c>
      <c r="C75" s="14"/>
      <c r="D75" s="14">
        <v>1</v>
      </c>
      <c r="E75" s="14"/>
      <c r="F75" s="14"/>
      <c r="G75" s="14"/>
      <c r="H75" s="14">
        <v>1</v>
      </c>
      <c r="I75" s="14">
        <v>1</v>
      </c>
      <c r="J75" s="50">
        <v>1</v>
      </c>
      <c r="K75" s="65">
        <v>1</v>
      </c>
      <c r="L75" s="85"/>
      <c r="M75" s="102"/>
    </row>
    <row r="76" spans="1:13" ht="14.25" thickBot="1">
      <c r="A76" s="17" t="s">
        <v>85</v>
      </c>
      <c r="B76" s="51" t="s">
        <v>86</v>
      </c>
      <c r="C76" s="18" t="s">
        <v>86</v>
      </c>
      <c r="D76" s="18" t="s">
        <v>86</v>
      </c>
      <c r="E76" s="18" t="s">
        <v>86</v>
      </c>
      <c r="F76" s="18" t="s">
        <v>86</v>
      </c>
      <c r="G76" s="18" t="s">
        <v>86</v>
      </c>
      <c r="H76" s="18" t="s">
        <v>86</v>
      </c>
      <c r="I76" s="18" t="s">
        <v>86</v>
      </c>
      <c r="J76" s="51" t="s">
        <v>86</v>
      </c>
      <c r="K76" s="67" t="s">
        <v>86</v>
      </c>
      <c r="L76" s="86"/>
      <c r="M76" s="10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B4FC8-AD9D-4D5E-BDAA-7703BA145660}">
  <sheetPr>
    <pageSetUpPr fitToPage="1"/>
  </sheetPr>
  <dimension ref="A1:AS76"/>
  <sheetViews>
    <sheetView tabSelected="1" zoomScale="80" zoomScaleNormal="80" workbookViewId="0">
      <pane xSplit="1" ySplit="5" topLeftCell="B7" activePane="bottomRight" state="frozen"/>
      <selection pane="bottomRight"/>
      <selection pane="bottomLeft" activeCell="A6" sqref="A6"/>
      <selection pane="topRight" activeCell="B1" sqref="B1"/>
    </sheetView>
  </sheetViews>
  <sheetFormatPr defaultColWidth="9" defaultRowHeight="13.5"/>
  <cols>
    <col min="1" max="1" width="17.5703125" style="2" customWidth="1"/>
    <col min="2" max="18" width="10.5703125" style="2" customWidth="1"/>
    <col min="19" max="19" width="13.7109375" style="2" customWidth="1"/>
    <col min="20" max="26" width="10.42578125" style="2" customWidth="1"/>
    <col min="27" max="16384" width="9" style="2"/>
  </cols>
  <sheetData>
    <row r="1" spans="1:45" ht="18.75">
      <c r="A1" s="1" t="s">
        <v>0</v>
      </c>
      <c r="B1" s="1"/>
      <c r="C1" s="7"/>
      <c r="D1" s="1"/>
      <c r="E1" s="1"/>
      <c r="F1" s="8"/>
      <c r="G1" s="1"/>
      <c r="H1" s="7"/>
      <c r="I1" s="1"/>
      <c r="J1" s="1"/>
      <c r="K1" s="8"/>
      <c r="L1" s="1"/>
      <c r="M1" s="7"/>
      <c r="N1" s="1"/>
      <c r="O1" s="1"/>
      <c r="P1" s="8"/>
      <c r="Q1" s="1"/>
      <c r="R1" s="7"/>
      <c r="S1" s="7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4.25" thickBot="1">
      <c r="A2" s="1">
        <v>13</v>
      </c>
      <c r="B2" s="1" t="s">
        <v>87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>
      <c r="A3" s="19" t="s">
        <v>1</v>
      </c>
      <c r="B3" s="20" t="s">
        <v>88</v>
      </c>
      <c r="C3" s="20" t="s">
        <v>88</v>
      </c>
      <c r="D3" s="20" t="s">
        <v>89</v>
      </c>
      <c r="E3" s="20" t="s">
        <v>89</v>
      </c>
      <c r="F3" s="20" t="s">
        <v>89</v>
      </c>
      <c r="G3" s="36" t="s">
        <v>89</v>
      </c>
      <c r="H3" s="20" t="s">
        <v>89</v>
      </c>
      <c r="I3" s="20" t="s">
        <v>89</v>
      </c>
      <c r="J3" s="20" t="s">
        <v>89</v>
      </c>
      <c r="K3" s="20" t="s">
        <v>89</v>
      </c>
      <c r="L3" s="36" t="s">
        <v>89</v>
      </c>
      <c r="M3" s="20" t="s">
        <v>89</v>
      </c>
      <c r="N3" s="20" t="s">
        <v>89</v>
      </c>
      <c r="O3" s="20" t="s">
        <v>89</v>
      </c>
      <c r="P3" s="20" t="s">
        <v>89</v>
      </c>
      <c r="Q3" s="36" t="s">
        <v>89</v>
      </c>
      <c r="R3" s="53" t="s">
        <v>89</v>
      </c>
      <c r="S3" s="70" t="s">
        <v>4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>
      <c r="A4" s="21"/>
      <c r="B4" s="22">
        <v>1087</v>
      </c>
      <c r="C4" s="22">
        <v>1088</v>
      </c>
      <c r="D4" s="22">
        <v>1006</v>
      </c>
      <c r="E4" s="22">
        <v>1007</v>
      </c>
      <c r="F4" s="22">
        <v>1015</v>
      </c>
      <c r="G4" s="37">
        <v>1017</v>
      </c>
      <c r="H4" s="22">
        <v>1018</v>
      </c>
      <c r="I4" s="22">
        <v>1021</v>
      </c>
      <c r="J4" s="22">
        <v>1022</v>
      </c>
      <c r="K4" s="22">
        <v>1034</v>
      </c>
      <c r="L4" s="37">
        <v>1035</v>
      </c>
      <c r="M4" s="22">
        <v>1039</v>
      </c>
      <c r="N4" s="22">
        <v>1047</v>
      </c>
      <c r="O4" s="22">
        <v>1058</v>
      </c>
      <c r="P4" s="22">
        <v>1065</v>
      </c>
      <c r="Q4" s="37">
        <v>1077</v>
      </c>
      <c r="R4" s="54">
        <v>1080</v>
      </c>
      <c r="S4" s="7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14.25" thickBot="1">
      <c r="A5" s="21" t="s">
        <v>6</v>
      </c>
      <c r="B5" s="22" t="s">
        <v>90</v>
      </c>
      <c r="C5" s="22" t="s">
        <v>91</v>
      </c>
      <c r="D5" s="22" t="s">
        <v>92</v>
      </c>
      <c r="E5" s="22" t="s">
        <v>93</v>
      </c>
      <c r="F5" s="22" t="s">
        <v>94</v>
      </c>
      <c r="G5" s="37" t="s">
        <v>95</v>
      </c>
      <c r="H5" s="22" t="s">
        <v>96</v>
      </c>
      <c r="I5" s="22" t="s">
        <v>97</v>
      </c>
      <c r="J5" s="22" t="s">
        <v>98</v>
      </c>
      <c r="K5" s="22" t="s">
        <v>99</v>
      </c>
      <c r="L5" s="37" t="s">
        <v>100</v>
      </c>
      <c r="M5" s="22" t="s">
        <v>101</v>
      </c>
      <c r="N5" s="22" t="s">
        <v>102</v>
      </c>
      <c r="O5" s="22" t="s">
        <v>103</v>
      </c>
      <c r="P5" s="22" t="s">
        <v>104</v>
      </c>
      <c r="Q5" s="37" t="s">
        <v>105</v>
      </c>
      <c r="R5" s="54" t="s">
        <v>106</v>
      </c>
      <c r="S5" s="72" t="s">
        <v>107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>
      <c r="A6" s="23" t="s">
        <v>19</v>
      </c>
      <c r="B6" s="24">
        <v>18</v>
      </c>
      <c r="C6" s="24">
        <v>16</v>
      </c>
      <c r="D6" s="24">
        <v>15</v>
      </c>
      <c r="E6" s="24">
        <v>17</v>
      </c>
      <c r="F6" s="24">
        <v>20</v>
      </c>
      <c r="G6" s="38">
        <v>20</v>
      </c>
      <c r="H6" s="24">
        <v>18</v>
      </c>
      <c r="I6" s="24">
        <v>18</v>
      </c>
      <c r="J6" s="24">
        <v>18</v>
      </c>
      <c r="K6" s="24">
        <v>17</v>
      </c>
      <c r="L6" s="38">
        <v>18</v>
      </c>
      <c r="M6" s="24">
        <v>17</v>
      </c>
      <c r="N6" s="24">
        <v>20</v>
      </c>
      <c r="O6" s="24">
        <v>15</v>
      </c>
      <c r="P6" s="24">
        <v>16</v>
      </c>
      <c r="Q6" s="38">
        <v>20</v>
      </c>
      <c r="R6" s="55">
        <v>17</v>
      </c>
      <c r="S6" s="73">
        <f>SUM(B6:R6)</f>
        <v>300</v>
      </c>
      <c r="T6" s="3"/>
      <c r="U6" s="3"/>
      <c r="V6" s="3"/>
      <c r="W6" s="3"/>
      <c r="X6" s="3"/>
      <c r="Y6" s="3"/>
      <c r="Z6" s="3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>
      <c r="A7" s="15" t="s">
        <v>20</v>
      </c>
      <c r="B7" s="9">
        <v>3</v>
      </c>
      <c r="C7" s="9">
        <v>2</v>
      </c>
      <c r="D7" s="9">
        <v>1</v>
      </c>
      <c r="E7" s="9">
        <v>4</v>
      </c>
      <c r="F7" s="9">
        <v>3</v>
      </c>
      <c r="G7" s="39">
        <v>2</v>
      </c>
      <c r="H7" s="9">
        <v>4</v>
      </c>
      <c r="I7" s="9">
        <v>2</v>
      </c>
      <c r="J7" s="9">
        <v>3</v>
      </c>
      <c r="K7" s="9">
        <v>4</v>
      </c>
      <c r="L7" s="40"/>
      <c r="M7" s="9">
        <v>1</v>
      </c>
      <c r="N7" s="9">
        <v>2</v>
      </c>
      <c r="O7" s="9">
        <v>3</v>
      </c>
      <c r="P7" s="9">
        <v>2</v>
      </c>
      <c r="Q7" s="39">
        <v>4</v>
      </c>
      <c r="R7" s="68">
        <v>3</v>
      </c>
      <c r="S7" s="74">
        <f>SUM(B7:R7)</f>
        <v>43</v>
      </c>
      <c r="T7" s="4"/>
      <c r="U7" s="4"/>
      <c r="V7" s="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>
      <c r="A8" s="15" t="s">
        <v>21</v>
      </c>
      <c r="B8" s="9">
        <v>3</v>
      </c>
      <c r="C8" s="10"/>
      <c r="D8" s="9">
        <v>4</v>
      </c>
      <c r="E8" s="9">
        <v>4</v>
      </c>
      <c r="F8" s="10"/>
      <c r="G8" s="39">
        <v>1</v>
      </c>
      <c r="H8" s="9">
        <v>1</v>
      </c>
      <c r="I8" s="9">
        <v>4</v>
      </c>
      <c r="J8" s="9">
        <v>3</v>
      </c>
      <c r="K8" s="9">
        <v>1</v>
      </c>
      <c r="L8" s="39">
        <v>2</v>
      </c>
      <c r="M8" s="9">
        <v>2</v>
      </c>
      <c r="N8" s="9">
        <v>1</v>
      </c>
      <c r="O8" s="9">
        <v>1</v>
      </c>
      <c r="P8" s="9">
        <v>4</v>
      </c>
      <c r="Q8" s="39">
        <v>1</v>
      </c>
      <c r="R8" s="56"/>
      <c r="S8" s="74">
        <f>SUM(B8:R8)</f>
        <v>32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>
      <c r="A9" s="15" t="s">
        <v>22</v>
      </c>
      <c r="B9" s="10"/>
      <c r="C9" s="10"/>
      <c r="D9" s="10"/>
      <c r="E9" s="10"/>
      <c r="F9" s="10"/>
      <c r="G9" s="40"/>
      <c r="H9" s="10"/>
      <c r="I9" s="10"/>
      <c r="J9" s="10"/>
      <c r="K9" s="10"/>
      <c r="L9" s="40"/>
      <c r="M9" s="10"/>
      <c r="N9" s="10"/>
      <c r="O9" s="10"/>
      <c r="P9" s="10"/>
      <c r="Q9" s="40"/>
      <c r="R9" s="56"/>
      <c r="S9" s="75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>
      <c r="A10" s="15" t="s">
        <v>23</v>
      </c>
      <c r="B10" s="10"/>
      <c r="C10" s="10"/>
      <c r="D10" s="10"/>
      <c r="E10" s="10"/>
      <c r="F10" s="10"/>
      <c r="G10" s="40"/>
      <c r="H10" s="10"/>
      <c r="I10" s="10"/>
      <c r="J10" s="10"/>
      <c r="K10" s="10"/>
      <c r="L10" s="40"/>
      <c r="M10" s="10"/>
      <c r="N10" s="10"/>
      <c r="O10" s="10"/>
      <c r="P10" s="10"/>
      <c r="Q10" s="40"/>
      <c r="R10" s="56"/>
      <c r="S10" s="75"/>
      <c r="T10" s="1"/>
      <c r="U10" s="3"/>
      <c r="V10" s="3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>
      <c r="A11" s="15" t="s">
        <v>24</v>
      </c>
      <c r="B11" s="10"/>
      <c r="C11" s="10"/>
      <c r="D11" s="10"/>
      <c r="E11" s="10"/>
      <c r="F11" s="10"/>
      <c r="G11" s="40"/>
      <c r="H11" s="10"/>
      <c r="I11" s="10"/>
      <c r="J11" s="10"/>
      <c r="K11" s="10"/>
      <c r="L11" s="40"/>
      <c r="M11" s="10"/>
      <c r="N11" s="10"/>
      <c r="O11" s="10"/>
      <c r="P11" s="10"/>
      <c r="Q11" s="40"/>
      <c r="R11" s="56"/>
      <c r="S11" s="75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>
      <c r="A12" s="15" t="s">
        <v>25</v>
      </c>
      <c r="B12" s="9">
        <v>2</v>
      </c>
      <c r="C12" s="9">
        <v>4</v>
      </c>
      <c r="D12" s="9">
        <v>5</v>
      </c>
      <c r="E12" s="9">
        <v>3</v>
      </c>
      <c r="F12" s="10"/>
      <c r="G12" s="40"/>
      <c r="H12" s="9">
        <v>2</v>
      </c>
      <c r="I12" s="9">
        <v>2</v>
      </c>
      <c r="J12" s="9">
        <v>2</v>
      </c>
      <c r="K12" s="9">
        <v>3</v>
      </c>
      <c r="L12" s="39">
        <v>2</v>
      </c>
      <c r="M12" s="9">
        <v>3</v>
      </c>
      <c r="N12" s="10"/>
      <c r="O12" s="9">
        <v>5</v>
      </c>
      <c r="P12" s="9">
        <v>4</v>
      </c>
      <c r="Q12" s="40"/>
      <c r="R12" s="68">
        <v>3</v>
      </c>
      <c r="S12" s="74">
        <f>SUM(B12:R12)</f>
        <v>40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>
      <c r="A13" s="15" t="s">
        <v>26</v>
      </c>
      <c r="B13" s="10"/>
      <c r="C13" s="10"/>
      <c r="D13" s="10"/>
      <c r="E13" s="10"/>
      <c r="F13" s="10"/>
      <c r="G13" s="40"/>
      <c r="H13" s="10"/>
      <c r="I13" s="10"/>
      <c r="J13" s="10"/>
      <c r="K13" s="10"/>
      <c r="L13" s="40"/>
      <c r="M13" s="10"/>
      <c r="N13" s="10"/>
      <c r="O13" s="10"/>
      <c r="P13" s="10"/>
      <c r="Q13" s="40"/>
      <c r="R13" s="56"/>
      <c r="S13" s="75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>
      <c r="A14" s="15" t="s">
        <v>27</v>
      </c>
      <c r="B14" s="11">
        <v>2.5416666666666665</v>
      </c>
      <c r="C14" s="11">
        <v>0.20833333333333334</v>
      </c>
      <c r="D14" s="11">
        <v>0.83333333333333337</v>
      </c>
      <c r="E14" s="11">
        <v>1.75</v>
      </c>
      <c r="F14" s="11">
        <v>1.8333333333333333</v>
      </c>
      <c r="G14" s="41">
        <v>2.3333333333333335</v>
      </c>
      <c r="H14" s="11">
        <v>1.4583333333333333</v>
      </c>
      <c r="I14" s="11">
        <v>2.5833333333333335</v>
      </c>
      <c r="J14" s="11">
        <v>2.5416666666666665</v>
      </c>
      <c r="K14" s="11">
        <v>2.125</v>
      </c>
      <c r="L14" s="41">
        <v>1.2916666666666667</v>
      </c>
      <c r="M14" s="11">
        <v>2.0416666666666665</v>
      </c>
      <c r="N14" s="11">
        <v>2.8333333333333335</v>
      </c>
      <c r="O14" s="11">
        <v>0.45833333333333331</v>
      </c>
      <c r="P14" s="11">
        <v>1.2083333333333333</v>
      </c>
      <c r="Q14" s="41">
        <v>2.0416666666666665</v>
      </c>
      <c r="R14" s="57">
        <v>0.66666666666666663</v>
      </c>
      <c r="S14" s="76">
        <f>SUM(B14:R14)</f>
        <v>28.750000000000004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>
      <c r="A15" s="15" t="s">
        <v>28</v>
      </c>
      <c r="B15" s="11">
        <v>0.66666666666666663</v>
      </c>
      <c r="C15" s="11">
        <v>0.70833333333333337</v>
      </c>
      <c r="D15" s="11">
        <v>0.125</v>
      </c>
      <c r="E15" s="11">
        <v>1.125</v>
      </c>
      <c r="F15" s="11">
        <v>1.2083333333333333</v>
      </c>
      <c r="G15" s="41">
        <v>0.5</v>
      </c>
      <c r="H15" s="11">
        <v>2.25</v>
      </c>
      <c r="I15" s="11">
        <v>0.58333333333333337</v>
      </c>
      <c r="J15" s="11">
        <v>1.3333333333333333</v>
      </c>
      <c r="K15" s="11">
        <v>1.5</v>
      </c>
      <c r="L15" s="40"/>
      <c r="M15" s="11">
        <v>0.58333333333333337</v>
      </c>
      <c r="N15" s="11">
        <v>0.54166666666666663</v>
      </c>
      <c r="O15" s="11">
        <v>1.0416666666666667</v>
      </c>
      <c r="P15" s="11">
        <v>0.70833333333333337</v>
      </c>
      <c r="Q15" s="41">
        <v>1.1666666666666667</v>
      </c>
      <c r="R15" s="57">
        <v>1.0833333333333333</v>
      </c>
      <c r="S15" s="76">
        <f t="shared" ref="S15:S16" si="0">SUM(B15:R15)</f>
        <v>15.125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>
      <c r="A16" s="15" t="s">
        <v>29</v>
      </c>
      <c r="B16" s="11">
        <v>1.2916666666666667</v>
      </c>
      <c r="C16" s="10"/>
      <c r="D16" s="11">
        <v>1.1666666666666667</v>
      </c>
      <c r="E16" s="11">
        <v>1.2916666666666667</v>
      </c>
      <c r="F16" s="10"/>
      <c r="G16" s="41">
        <v>0.5</v>
      </c>
      <c r="H16" s="11">
        <v>0.375</v>
      </c>
      <c r="I16" s="11">
        <v>1.3333333333333333</v>
      </c>
      <c r="J16" s="11">
        <v>0.70833333333333337</v>
      </c>
      <c r="K16" s="11">
        <v>0.41666666666666669</v>
      </c>
      <c r="L16" s="41">
        <v>0.625</v>
      </c>
      <c r="M16" s="11">
        <v>0.79166666666666663</v>
      </c>
      <c r="N16" s="11">
        <v>0.375</v>
      </c>
      <c r="O16" s="11">
        <v>0.16666666666666666</v>
      </c>
      <c r="P16" s="11">
        <v>1.25</v>
      </c>
      <c r="Q16" s="41">
        <v>0.375</v>
      </c>
      <c r="R16" s="56"/>
      <c r="S16" s="76">
        <f t="shared" si="0"/>
        <v>10.666666666666666</v>
      </c>
      <c r="T16" s="5"/>
      <c r="U16" s="5"/>
      <c r="V16" s="5"/>
      <c r="W16" s="5"/>
      <c r="X16" s="5"/>
      <c r="Y16" s="5"/>
      <c r="Z16" s="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>
      <c r="A17" s="15" t="s">
        <v>30</v>
      </c>
      <c r="B17" s="10"/>
      <c r="C17" s="10"/>
      <c r="D17" s="10"/>
      <c r="E17" s="10"/>
      <c r="F17" s="10"/>
      <c r="G17" s="40"/>
      <c r="H17" s="10"/>
      <c r="I17" s="10"/>
      <c r="J17" s="10"/>
      <c r="K17" s="10"/>
      <c r="L17" s="40"/>
      <c r="M17" s="10"/>
      <c r="N17" s="10"/>
      <c r="O17" s="10"/>
      <c r="P17" s="10"/>
      <c r="Q17" s="40"/>
      <c r="R17" s="56"/>
      <c r="S17" s="75"/>
      <c r="T17" s="5"/>
      <c r="U17" s="5"/>
      <c r="V17" s="5"/>
      <c r="W17" s="5"/>
      <c r="X17" s="5"/>
      <c r="Y17" s="5"/>
      <c r="Z17" s="5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>
      <c r="A18" s="15" t="s">
        <v>31</v>
      </c>
      <c r="B18" s="10"/>
      <c r="C18" s="10"/>
      <c r="D18" s="10"/>
      <c r="E18" s="10"/>
      <c r="F18" s="10"/>
      <c r="G18" s="40"/>
      <c r="H18" s="10"/>
      <c r="I18" s="10"/>
      <c r="J18" s="10"/>
      <c r="K18" s="10"/>
      <c r="L18" s="40"/>
      <c r="M18" s="10"/>
      <c r="N18" s="10"/>
      <c r="O18" s="10"/>
      <c r="P18" s="10"/>
      <c r="Q18" s="40"/>
      <c r="R18" s="56"/>
      <c r="S18" s="75"/>
      <c r="T18" s="5"/>
      <c r="U18" s="5"/>
      <c r="V18" s="5"/>
      <c r="W18" s="5"/>
      <c r="X18" s="5"/>
      <c r="Y18" s="5"/>
      <c r="Z18" s="5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>
      <c r="A19" s="15" t="s">
        <v>32</v>
      </c>
      <c r="B19" s="10"/>
      <c r="C19" s="10"/>
      <c r="D19" s="10"/>
      <c r="E19" s="10"/>
      <c r="F19" s="10"/>
      <c r="G19" s="40"/>
      <c r="H19" s="10"/>
      <c r="I19" s="10"/>
      <c r="J19" s="10"/>
      <c r="K19" s="10"/>
      <c r="L19" s="40"/>
      <c r="M19" s="10"/>
      <c r="N19" s="10"/>
      <c r="O19" s="10"/>
      <c r="P19" s="10"/>
      <c r="Q19" s="40"/>
      <c r="R19" s="56"/>
      <c r="S19" s="75"/>
      <c r="T19" s="5"/>
      <c r="U19" s="5"/>
      <c r="V19" s="5"/>
      <c r="W19" s="5"/>
      <c r="X19" s="5"/>
      <c r="Y19" s="5"/>
      <c r="Z19" s="5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>
      <c r="A20" s="15" t="s">
        <v>33</v>
      </c>
      <c r="B20" s="10"/>
      <c r="C20" s="10"/>
      <c r="D20" s="10"/>
      <c r="E20" s="10"/>
      <c r="F20" s="10"/>
      <c r="G20" s="40"/>
      <c r="H20" s="10"/>
      <c r="I20" s="10"/>
      <c r="J20" s="10"/>
      <c r="K20" s="10"/>
      <c r="L20" s="40"/>
      <c r="M20" s="10"/>
      <c r="N20" s="10"/>
      <c r="O20" s="10"/>
      <c r="P20" s="10"/>
      <c r="Q20" s="40"/>
      <c r="R20" s="56"/>
      <c r="S20" s="75"/>
      <c r="T20" s="5"/>
      <c r="U20" s="5"/>
      <c r="V20" s="5"/>
      <c r="W20" s="5"/>
      <c r="X20" s="5"/>
      <c r="Y20" s="5"/>
      <c r="Z20" s="5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>
      <c r="A21" s="15" t="s">
        <v>34</v>
      </c>
      <c r="B21" s="10"/>
      <c r="C21" s="10"/>
      <c r="D21" s="10"/>
      <c r="E21" s="10"/>
      <c r="F21" s="10"/>
      <c r="G21" s="40"/>
      <c r="H21" s="10"/>
      <c r="I21" s="10"/>
      <c r="J21" s="10"/>
      <c r="K21" s="10"/>
      <c r="L21" s="40"/>
      <c r="M21" s="10"/>
      <c r="N21" s="10"/>
      <c r="O21" s="10"/>
      <c r="P21" s="10"/>
      <c r="Q21" s="40"/>
      <c r="R21" s="56"/>
      <c r="S21" s="75"/>
      <c r="T21" s="5"/>
      <c r="U21" s="5"/>
      <c r="V21" s="5"/>
      <c r="W21" s="5"/>
      <c r="X21" s="5"/>
      <c r="Y21" s="5"/>
      <c r="Z21" s="5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ht="14.25" thickBot="1">
      <c r="A22" s="25" t="s">
        <v>35</v>
      </c>
      <c r="B22" s="26">
        <v>1.25</v>
      </c>
      <c r="C22" s="26">
        <v>8.3333333333333329E-2</v>
      </c>
      <c r="D22" s="26">
        <v>0.20833333333333334</v>
      </c>
      <c r="E22" s="26">
        <v>0.29166666666666669</v>
      </c>
      <c r="F22" s="35"/>
      <c r="G22" s="42">
        <v>1.125</v>
      </c>
      <c r="H22" s="26">
        <v>1.5</v>
      </c>
      <c r="I22" s="26">
        <v>1.5833333333333333</v>
      </c>
      <c r="J22" s="26">
        <v>1.4583333333333333</v>
      </c>
      <c r="K22" s="26">
        <v>0.16666666666666666</v>
      </c>
      <c r="L22" s="52"/>
      <c r="M22" s="26">
        <v>0.41666666666666669</v>
      </c>
      <c r="N22" s="26">
        <v>0.45833333333333331</v>
      </c>
      <c r="O22" s="35"/>
      <c r="P22" s="26">
        <v>0.20833333333333334</v>
      </c>
      <c r="Q22" s="42">
        <v>0.33333333333333331</v>
      </c>
      <c r="R22" s="69">
        <v>0.20833333333333334</v>
      </c>
      <c r="S22" s="77">
        <f>SUM(B22:R22)</f>
        <v>9.2916666666666679</v>
      </c>
      <c r="T22" s="5"/>
      <c r="U22" s="5"/>
      <c r="V22" s="5"/>
      <c r="W22" s="5"/>
      <c r="X22" s="5"/>
      <c r="Y22" s="5"/>
      <c r="Z22" s="5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>
      <c r="A23" s="23" t="s">
        <v>36</v>
      </c>
      <c r="B23" s="27">
        <v>170000</v>
      </c>
      <c r="C23" s="27">
        <v>210000</v>
      </c>
      <c r="D23" s="27">
        <v>177000</v>
      </c>
      <c r="E23" s="27">
        <v>187000</v>
      </c>
      <c r="F23" s="27">
        <v>192000</v>
      </c>
      <c r="G23" s="43">
        <v>187000</v>
      </c>
      <c r="H23" s="27">
        <v>182000</v>
      </c>
      <c r="I23" s="27">
        <v>192000</v>
      </c>
      <c r="J23" s="27">
        <v>187000</v>
      </c>
      <c r="K23" s="27">
        <v>172000</v>
      </c>
      <c r="L23" s="43">
        <v>177000</v>
      </c>
      <c r="M23" s="27">
        <v>172000</v>
      </c>
      <c r="N23" s="27">
        <v>177000</v>
      </c>
      <c r="O23" s="27">
        <v>170000</v>
      </c>
      <c r="P23" s="27">
        <v>170000</v>
      </c>
      <c r="Q23" s="43">
        <v>170000</v>
      </c>
      <c r="R23" s="59">
        <v>210000</v>
      </c>
      <c r="S23" s="78">
        <f>SUM(B23:R23)</f>
        <v>3102000</v>
      </c>
      <c r="T23" s="5"/>
      <c r="U23" s="5"/>
      <c r="V23" s="5"/>
      <c r="W23" s="5"/>
      <c r="X23" s="5"/>
      <c r="Y23" s="5"/>
      <c r="Z23" s="5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>
      <c r="A24" s="15" t="s">
        <v>37</v>
      </c>
      <c r="B24" s="10">
        <v>0</v>
      </c>
      <c r="C24" s="10">
        <v>0</v>
      </c>
      <c r="D24" s="10">
        <v>0</v>
      </c>
      <c r="E24" s="10">
        <v>0</v>
      </c>
      <c r="F24" s="10">
        <v>20000</v>
      </c>
      <c r="G24" s="40">
        <v>5000</v>
      </c>
      <c r="H24" s="10">
        <v>0</v>
      </c>
      <c r="I24" s="10">
        <v>20000</v>
      </c>
      <c r="J24" s="10">
        <v>5000</v>
      </c>
      <c r="K24" s="10">
        <v>0</v>
      </c>
      <c r="L24" s="40">
        <v>0</v>
      </c>
      <c r="M24" s="10">
        <v>0</v>
      </c>
      <c r="N24" s="10">
        <v>0</v>
      </c>
      <c r="O24" s="10">
        <v>0</v>
      </c>
      <c r="P24" s="10">
        <v>0</v>
      </c>
      <c r="Q24" s="40">
        <v>0</v>
      </c>
      <c r="R24" s="56">
        <v>0</v>
      </c>
      <c r="S24" s="75">
        <f t="shared" ref="S24:S73" si="1">SUM(B24:R24)</f>
        <v>50000</v>
      </c>
      <c r="T24" s="5"/>
      <c r="U24" s="5"/>
      <c r="V24" s="5"/>
      <c r="W24" s="5"/>
      <c r="X24" s="5"/>
      <c r="Y24" s="5"/>
      <c r="Z24" s="5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>
      <c r="A25" s="15" t="s">
        <v>38</v>
      </c>
      <c r="B25" s="10">
        <v>0</v>
      </c>
      <c r="C25" s="10">
        <v>0</v>
      </c>
      <c r="D25" s="10">
        <v>0</v>
      </c>
      <c r="E25" s="10">
        <v>0</v>
      </c>
      <c r="F25" s="10">
        <v>3000</v>
      </c>
      <c r="G25" s="40">
        <v>0</v>
      </c>
      <c r="H25" s="10">
        <v>0</v>
      </c>
      <c r="I25" s="10">
        <v>0</v>
      </c>
      <c r="J25" s="10">
        <v>0</v>
      </c>
      <c r="K25" s="10">
        <v>0</v>
      </c>
      <c r="L25" s="40">
        <v>0</v>
      </c>
      <c r="M25" s="10">
        <v>0</v>
      </c>
      <c r="N25" s="10">
        <v>0</v>
      </c>
      <c r="O25" s="10">
        <v>0</v>
      </c>
      <c r="P25" s="10">
        <v>0</v>
      </c>
      <c r="Q25" s="40">
        <v>0</v>
      </c>
      <c r="R25" s="56">
        <v>0</v>
      </c>
      <c r="S25" s="75">
        <f t="shared" si="1"/>
        <v>3000</v>
      </c>
      <c r="T25" s="5"/>
      <c r="U25" s="5"/>
      <c r="V25" s="5"/>
      <c r="W25" s="5"/>
      <c r="X25" s="5"/>
      <c r="Y25" s="5"/>
      <c r="Z25" s="5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>
      <c r="A26" s="15" t="s">
        <v>39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40">
        <v>0</v>
      </c>
      <c r="H26" s="10">
        <v>0</v>
      </c>
      <c r="I26" s="10">
        <v>0</v>
      </c>
      <c r="J26" s="10">
        <v>0</v>
      </c>
      <c r="K26" s="10">
        <v>0</v>
      </c>
      <c r="L26" s="40">
        <v>0</v>
      </c>
      <c r="M26" s="10">
        <v>0</v>
      </c>
      <c r="N26" s="10">
        <v>0</v>
      </c>
      <c r="O26" s="10">
        <v>0</v>
      </c>
      <c r="P26" s="10">
        <v>0</v>
      </c>
      <c r="Q26" s="40">
        <v>0</v>
      </c>
      <c r="R26" s="56">
        <v>0</v>
      </c>
      <c r="S26" s="75">
        <f t="shared" si="1"/>
        <v>0</v>
      </c>
      <c r="T26" s="5"/>
      <c r="U26" s="5"/>
      <c r="V26" s="5"/>
      <c r="W26" s="5"/>
      <c r="X26" s="5"/>
      <c r="Y26" s="5"/>
      <c r="Z26" s="5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>
      <c r="A27" s="15" t="s">
        <v>40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40">
        <v>0</v>
      </c>
      <c r="H27" s="10">
        <v>0</v>
      </c>
      <c r="I27" s="10">
        <v>0</v>
      </c>
      <c r="J27" s="10">
        <v>0</v>
      </c>
      <c r="K27" s="10">
        <v>0</v>
      </c>
      <c r="L27" s="40">
        <v>0</v>
      </c>
      <c r="M27" s="10">
        <v>0</v>
      </c>
      <c r="N27" s="10">
        <v>0</v>
      </c>
      <c r="O27" s="10">
        <v>0</v>
      </c>
      <c r="P27" s="10">
        <v>0</v>
      </c>
      <c r="Q27" s="40">
        <v>0</v>
      </c>
      <c r="R27" s="56">
        <v>0</v>
      </c>
      <c r="S27" s="75">
        <f t="shared" si="1"/>
        <v>0</v>
      </c>
      <c r="T27" s="5"/>
      <c r="U27" s="5"/>
      <c r="V27" s="5"/>
      <c r="W27" s="5"/>
      <c r="X27" s="5"/>
      <c r="Y27" s="5"/>
      <c r="Z27" s="5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5" t="s">
        <v>41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40">
        <v>0</v>
      </c>
      <c r="H28" s="10">
        <v>0</v>
      </c>
      <c r="I28" s="10">
        <v>0</v>
      </c>
      <c r="J28" s="10">
        <v>0</v>
      </c>
      <c r="K28" s="10">
        <v>0</v>
      </c>
      <c r="L28" s="40">
        <v>0</v>
      </c>
      <c r="M28" s="10">
        <v>0</v>
      </c>
      <c r="N28" s="10">
        <v>0</v>
      </c>
      <c r="O28" s="10">
        <v>0</v>
      </c>
      <c r="P28" s="10">
        <v>0</v>
      </c>
      <c r="Q28" s="40">
        <v>0</v>
      </c>
      <c r="R28" s="56">
        <v>0</v>
      </c>
      <c r="S28" s="75">
        <f t="shared" si="1"/>
        <v>0</v>
      </c>
      <c r="T28" s="5"/>
      <c r="U28" s="5"/>
      <c r="V28" s="5"/>
      <c r="W28" s="5"/>
      <c r="X28" s="5"/>
      <c r="Y28" s="5"/>
      <c r="Z28" s="5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5" t="s">
        <v>42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40">
        <v>0</v>
      </c>
      <c r="H29" s="10">
        <v>0</v>
      </c>
      <c r="I29" s="10">
        <v>0</v>
      </c>
      <c r="J29" s="10">
        <v>0</v>
      </c>
      <c r="K29" s="10">
        <v>0</v>
      </c>
      <c r="L29" s="40">
        <v>0</v>
      </c>
      <c r="M29" s="10">
        <v>0</v>
      </c>
      <c r="N29" s="10">
        <v>0</v>
      </c>
      <c r="O29" s="10">
        <v>0</v>
      </c>
      <c r="P29" s="10">
        <v>0</v>
      </c>
      <c r="Q29" s="40">
        <v>0</v>
      </c>
      <c r="R29" s="56">
        <v>0</v>
      </c>
      <c r="S29" s="75">
        <f t="shared" si="1"/>
        <v>0</v>
      </c>
      <c r="T29" s="5"/>
      <c r="U29" s="5"/>
      <c r="V29" s="5"/>
      <c r="W29" s="5"/>
      <c r="X29" s="5"/>
      <c r="Y29" s="5"/>
      <c r="Z29" s="5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5" t="s">
        <v>43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40">
        <v>0</v>
      </c>
      <c r="H30" s="10">
        <v>0</v>
      </c>
      <c r="I30" s="10">
        <v>0</v>
      </c>
      <c r="J30" s="10">
        <v>0</v>
      </c>
      <c r="K30" s="10">
        <v>0</v>
      </c>
      <c r="L30" s="40">
        <v>0</v>
      </c>
      <c r="M30" s="10">
        <v>0</v>
      </c>
      <c r="N30" s="10">
        <v>0</v>
      </c>
      <c r="O30" s="10">
        <v>0</v>
      </c>
      <c r="P30" s="10">
        <v>0</v>
      </c>
      <c r="Q30" s="40">
        <v>0</v>
      </c>
      <c r="R30" s="56">
        <v>0</v>
      </c>
      <c r="S30" s="75">
        <f t="shared" si="1"/>
        <v>0</v>
      </c>
      <c r="T30" s="5"/>
      <c r="U30" s="5"/>
      <c r="V30" s="5"/>
      <c r="W30" s="5"/>
      <c r="X30" s="5"/>
      <c r="Y30" s="5"/>
      <c r="Z30" s="5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5" t="s">
        <v>44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40">
        <v>0</v>
      </c>
      <c r="H31" s="10">
        <v>0</v>
      </c>
      <c r="I31" s="10">
        <v>0</v>
      </c>
      <c r="J31" s="10">
        <v>0</v>
      </c>
      <c r="K31" s="10">
        <v>0</v>
      </c>
      <c r="L31" s="40">
        <v>0</v>
      </c>
      <c r="M31" s="10">
        <v>0</v>
      </c>
      <c r="N31" s="10">
        <v>0</v>
      </c>
      <c r="O31" s="10">
        <v>0</v>
      </c>
      <c r="P31" s="10">
        <v>0</v>
      </c>
      <c r="Q31" s="40">
        <v>0</v>
      </c>
      <c r="R31" s="56">
        <v>0</v>
      </c>
      <c r="S31" s="75">
        <f t="shared" si="1"/>
        <v>0</v>
      </c>
      <c r="T31" s="5"/>
      <c r="U31" s="5"/>
      <c r="V31" s="5"/>
      <c r="W31" s="5"/>
      <c r="X31" s="5"/>
      <c r="Y31" s="5"/>
      <c r="Z31" s="5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5" t="s">
        <v>45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40">
        <v>0</v>
      </c>
      <c r="H32" s="10">
        <v>0</v>
      </c>
      <c r="I32" s="10">
        <v>0</v>
      </c>
      <c r="J32" s="10">
        <v>0</v>
      </c>
      <c r="K32" s="10">
        <v>0</v>
      </c>
      <c r="L32" s="40">
        <v>0</v>
      </c>
      <c r="M32" s="10">
        <v>0</v>
      </c>
      <c r="N32" s="10">
        <v>0</v>
      </c>
      <c r="O32" s="10">
        <v>0</v>
      </c>
      <c r="P32" s="10">
        <v>0</v>
      </c>
      <c r="Q32" s="40">
        <v>0</v>
      </c>
      <c r="R32" s="56">
        <v>0</v>
      </c>
      <c r="S32" s="75">
        <f t="shared" si="1"/>
        <v>0</v>
      </c>
      <c r="T32" s="5"/>
      <c r="U32" s="5"/>
      <c r="V32" s="5"/>
      <c r="W32" s="5"/>
      <c r="X32" s="5"/>
      <c r="Y32" s="5"/>
      <c r="Z32" s="5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A33" s="15" t="s">
        <v>46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40">
        <v>0</v>
      </c>
      <c r="H33" s="10">
        <v>0</v>
      </c>
      <c r="I33" s="10">
        <v>0</v>
      </c>
      <c r="J33" s="10">
        <v>0</v>
      </c>
      <c r="K33" s="10">
        <v>0</v>
      </c>
      <c r="L33" s="40">
        <v>0</v>
      </c>
      <c r="M33" s="10">
        <v>0</v>
      </c>
      <c r="N33" s="10">
        <v>0</v>
      </c>
      <c r="O33" s="10">
        <v>0</v>
      </c>
      <c r="P33" s="10">
        <v>0</v>
      </c>
      <c r="Q33" s="40">
        <v>0</v>
      </c>
      <c r="R33" s="56">
        <v>0</v>
      </c>
      <c r="S33" s="75">
        <f t="shared" si="1"/>
        <v>0</v>
      </c>
      <c r="T33" s="5"/>
      <c r="U33" s="5"/>
      <c r="V33" s="5"/>
      <c r="W33" s="5"/>
      <c r="X33" s="5"/>
      <c r="Y33" s="5"/>
      <c r="Z33" s="5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>
      <c r="A34" s="15" t="s">
        <v>47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40">
        <v>0</v>
      </c>
      <c r="H34" s="10">
        <v>0</v>
      </c>
      <c r="I34" s="10">
        <v>0</v>
      </c>
      <c r="J34" s="10">
        <v>0</v>
      </c>
      <c r="K34" s="10">
        <v>0</v>
      </c>
      <c r="L34" s="40">
        <v>0</v>
      </c>
      <c r="M34" s="10">
        <v>0</v>
      </c>
      <c r="N34" s="10">
        <v>0</v>
      </c>
      <c r="O34" s="10">
        <v>0</v>
      </c>
      <c r="P34" s="10">
        <v>0</v>
      </c>
      <c r="Q34" s="40">
        <v>0</v>
      </c>
      <c r="R34" s="56">
        <v>0</v>
      </c>
      <c r="S34" s="75">
        <f t="shared" si="1"/>
        <v>0</v>
      </c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>
      <c r="A35" s="15" t="s">
        <v>48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40">
        <v>0</v>
      </c>
      <c r="H35" s="10">
        <v>0</v>
      </c>
      <c r="I35" s="10">
        <v>0</v>
      </c>
      <c r="J35" s="10">
        <v>0</v>
      </c>
      <c r="K35" s="10">
        <v>0</v>
      </c>
      <c r="L35" s="40">
        <v>0</v>
      </c>
      <c r="M35" s="10">
        <v>0</v>
      </c>
      <c r="N35" s="10">
        <v>0</v>
      </c>
      <c r="O35" s="10">
        <v>0</v>
      </c>
      <c r="P35" s="10">
        <v>0</v>
      </c>
      <c r="Q35" s="40">
        <v>0</v>
      </c>
      <c r="R35" s="56">
        <v>0</v>
      </c>
      <c r="S35" s="75">
        <f t="shared" si="1"/>
        <v>0</v>
      </c>
      <c r="T35" s="5"/>
      <c r="U35" s="5"/>
      <c r="V35" s="5"/>
      <c r="W35" s="5"/>
      <c r="X35" s="5"/>
      <c r="Y35" s="5"/>
      <c r="Z35" s="5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A36" s="15" t="s">
        <v>49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40">
        <v>0</v>
      </c>
      <c r="H36" s="10">
        <v>0</v>
      </c>
      <c r="I36" s="10">
        <v>0</v>
      </c>
      <c r="J36" s="10">
        <v>0</v>
      </c>
      <c r="K36" s="10">
        <v>0</v>
      </c>
      <c r="L36" s="40">
        <v>0</v>
      </c>
      <c r="M36" s="10">
        <v>0</v>
      </c>
      <c r="N36" s="10">
        <v>0</v>
      </c>
      <c r="O36" s="10">
        <v>0</v>
      </c>
      <c r="P36" s="10">
        <v>0</v>
      </c>
      <c r="Q36" s="40">
        <v>0</v>
      </c>
      <c r="R36" s="56">
        <v>0</v>
      </c>
      <c r="S36" s="75">
        <f t="shared" si="1"/>
        <v>0</v>
      </c>
      <c r="T36" s="5"/>
      <c r="U36" s="5"/>
      <c r="V36" s="5"/>
      <c r="W36" s="5"/>
      <c r="X36" s="5"/>
      <c r="Y36" s="5"/>
      <c r="Z36" s="5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>
      <c r="A37" s="15" t="s">
        <v>50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40">
        <v>0</v>
      </c>
      <c r="H37" s="10">
        <v>0</v>
      </c>
      <c r="I37" s="10">
        <v>0</v>
      </c>
      <c r="J37" s="10">
        <v>0</v>
      </c>
      <c r="K37" s="10">
        <v>0</v>
      </c>
      <c r="L37" s="40">
        <v>0</v>
      </c>
      <c r="M37" s="10">
        <v>0</v>
      </c>
      <c r="N37" s="10">
        <v>0</v>
      </c>
      <c r="O37" s="10">
        <v>0</v>
      </c>
      <c r="P37" s="10">
        <v>0</v>
      </c>
      <c r="Q37" s="40">
        <v>0</v>
      </c>
      <c r="R37" s="56">
        <v>0</v>
      </c>
      <c r="S37" s="75">
        <f t="shared" si="1"/>
        <v>0</v>
      </c>
      <c r="T37" s="5"/>
      <c r="U37" s="5"/>
      <c r="V37" s="5"/>
      <c r="W37" s="5"/>
      <c r="X37" s="5"/>
      <c r="Y37" s="5"/>
      <c r="Z37" s="5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A38" s="15" t="s">
        <v>51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40">
        <v>0</v>
      </c>
      <c r="H38" s="10">
        <v>0</v>
      </c>
      <c r="I38" s="10">
        <v>0</v>
      </c>
      <c r="J38" s="10">
        <v>0</v>
      </c>
      <c r="K38" s="10">
        <v>0</v>
      </c>
      <c r="L38" s="40">
        <v>0</v>
      </c>
      <c r="M38" s="10">
        <v>0</v>
      </c>
      <c r="N38" s="10">
        <v>0</v>
      </c>
      <c r="O38" s="10">
        <v>0</v>
      </c>
      <c r="P38" s="10">
        <v>0</v>
      </c>
      <c r="Q38" s="40">
        <v>0</v>
      </c>
      <c r="R38" s="56">
        <v>0</v>
      </c>
      <c r="S38" s="75">
        <f t="shared" si="1"/>
        <v>0</v>
      </c>
      <c r="T38" s="5"/>
      <c r="U38" s="5"/>
      <c r="V38" s="5"/>
      <c r="W38" s="5"/>
      <c r="X38" s="5"/>
      <c r="Y38" s="5"/>
      <c r="Z38" s="5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A39" s="15" t="s">
        <v>52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40">
        <v>0</v>
      </c>
      <c r="H39" s="10">
        <v>0</v>
      </c>
      <c r="I39" s="10">
        <v>0</v>
      </c>
      <c r="J39" s="10">
        <v>0</v>
      </c>
      <c r="K39" s="10">
        <v>0</v>
      </c>
      <c r="L39" s="40">
        <v>0</v>
      </c>
      <c r="M39" s="10">
        <v>0</v>
      </c>
      <c r="N39" s="10">
        <v>0</v>
      </c>
      <c r="O39" s="10">
        <v>0</v>
      </c>
      <c r="P39" s="10">
        <v>0</v>
      </c>
      <c r="Q39" s="40">
        <v>0</v>
      </c>
      <c r="R39" s="56">
        <v>0</v>
      </c>
      <c r="S39" s="75">
        <f t="shared" si="1"/>
        <v>0</v>
      </c>
      <c r="T39" s="5"/>
      <c r="U39" s="5"/>
      <c r="V39" s="5"/>
      <c r="W39" s="5"/>
      <c r="X39" s="5"/>
      <c r="Y39" s="5"/>
      <c r="Z39" s="5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A40" s="15" t="s">
        <v>53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40">
        <v>0</v>
      </c>
      <c r="H40" s="10">
        <v>0</v>
      </c>
      <c r="I40" s="10">
        <v>0</v>
      </c>
      <c r="J40" s="10">
        <v>0</v>
      </c>
      <c r="K40" s="10">
        <v>0</v>
      </c>
      <c r="L40" s="40">
        <v>0</v>
      </c>
      <c r="M40" s="10">
        <v>0</v>
      </c>
      <c r="N40" s="10">
        <v>0</v>
      </c>
      <c r="O40" s="10">
        <v>0</v>
      </c>
      <c r="P40" s="10">
        <v>0</v>
      </c>
      <c r="Q40" s="40">
        <v>0</v>
      </c>
      <c r="R40" s="56">
        <v>0</v>
      </c>
      <c r="S40" s="75">
        <f t="shared" si="1"/>
        <v>0</v>
      </c>
      <c r="T40" s="5"/>
      <c r="U40" s="5"/>
      <c r="V40" s="5"/>
      <c r="W40" s="5"/>
      <c r="X40" s="5"/>
      <c r="Y40" s="5"/>
      <c r="Z40" s="5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>
      <c r="A41" s="15" t="s">
        <v>54</v>
      </c>
      <c r="B41" s="10">
        <v>-16266</v>
      </c>
      <c r="C41" s="10">
        <v>-40188</v>
      </c>
      <c r="D41" s="10">
        <v>-42340</v>
      </c>
      <c r="E41" s="10">
        <v>-26841</v>
      </c>
      <c r="F41" s="10">
        <v>0</v>
      </c>
      <c r="G41" s="40">
        <v>0</v>
      </c>
      <c r="H41" s="10">
        <v>-17416</v>
      </c>
      <c r="I41" s="10">
        <v>-20286</v>
      </c>
      <c r="J41" s="10">
        <v>-18372</v>
      </c>
      <c r="K41" s="10">
        <v>-24687</v>
      </c>
      <c r="L41" s="40">
        <v>-16936</v>
      </c>
      <c r="M41" s="10">
        <v>-24687</v>
      </c>
      <c r="N41" s="10">
        <v>0</v>
      </c>
      <c r="O41" s="10">
        <v>-40665</v>
      </c>
      <c r="P41" s="10">
        <v>-32532</v>
      </c>
      <c r="Q41" s="40">
        <v>0</v>
      </c>
      <c r="R41" s="56">
        <v>-30141</v>
      </c>
      <c r="S41" s="75">
        <f t="shared" si="1"/>
        <v>-351357</v>
      </c>
      <c r="T41" s="5"/>
      <c r="U41" s="5"/>
      <c r="V41" s="5"/>
      <c r="W41" s="5"/>
      <c r="X41" s="5"/>
      <c r="Y41" s="5"/>
      <c r="Z41" s="5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>
      <c r="A42" s="15" t="s">
        <v>55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40">
        <v>0</v>
      </c>
      <c r="H42" s="10">
        <v>0</v>
      </c>
      <c r="I42" s="10">
        <v>0</v>
      </c>
      <c r="J42" s="10">
        <v>0</v>
      </c>
      <c r="K42" s="10">
        <v>0</v>
      </c>
      <c r="L42" s="40">
        <v>0</v>
      </c>
      <c r="M42" s="10">
        <v>0</v>
      </c>
      <c r="N42" s="10">
        <v>0</v>
      </c>
      <c r="O42" s="10">
        <v>0</v>
      </c>
      <c r="P42" s="10">
        <v>0</v>
      </c>
      <c r="Q42" s="40">
        <v>0</v>
      </c>
      <c r="R42" s="56">
        <v>0</v>
      </c>
      <c r="S42" s="75">
        <f t="shared" si="1"/>
        <v>0</v>
      </c>
      <c r="T42" s="5"/>
      <c r="U42" s="5"/>
      <c r="V42" s="5"/>
      <c r="W42" s="5"/>
      <c r="X42" s="5"/>
      <c r="Y42" s="5"/>
      <c r="Z42" s="5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>
      <c r="A43" s="15" t="s">
        <v>27</v>
      </c>
      <c r="B43" s="10">
        <v>77653</v>
      </c>
      <c r="C43" s="10">
        <v>7855</v>
      </c>
      <c r="D43" s="10">
        <v>26500</v>
      </c>
      <c r="E43" s="10">
        <v>58800</v>
      </c>
      <c r="F43" s="10">
        <v>70796</v>
      </c>
      <c r="G43" s="40">
        <v>80528</v>
      </c>
      <c r="H43" s="10">
        <v>47705</v>
      </c>
      <c r="I43" s="10">
        <v>98332</v>
      </c>
      <c r="J43" s="10">
        <v>87718</v>
      </c>
      <c r="K43" s="10">
        <v>65688</v>
      </c>
      <c r="L43" s="40">
        <v>41075</v>
      </c>
      <c r="M43" s="10">
        <v>63112</v>
      </c>
      <c r="N43" s="10">
        <v>90100</v>
      </c>
      <c r="O43" s="10">
        <v>14003</v>
      </c>
      <c r="P43" s="10">
        <v>36917</v>
      </c>
      <c r="Q43" s="40">
        <v>62377</v>
      </c>
      <c r="R43" s="56">
        <v>25136</v>
      </c>
      <c r="S43" s="75">
        <f t="shared" si="1"/>
        <v>954295</v>
      </c>
      <c r="T43" s="5"/>
      <c r="U43" s="5"/>
      <c r="V43" s="5"/>
      <c r="W43" s="5"/>
      <c r="X43" s="5"/>
      <c r="Y43" s="5"/>
      <c r="Z43" s="5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>
      <c r="A44" s="15" t="s">
        <v>20</v>
      </c>
      <c r="B44" s="10">
        <v>21984</v>
      </c>
      <c r="C44" s="10">
        <v>28849</v>
      </c>
      <c r="D44" s="10">
        <v>4293</v>
      </c>
      <c r="E44" s="10">
        <v>40824</v>
      </c>
      <c r="F44" s="10">
        <v>50373</v>
      </c>
      <c r="G44" s="40">
        <v>18636</v>
      </c>
      <c r="H44" s="10">
        <v>79488</v>
      </c>
      <c r="I44" s="10">
        <v>23982</v>
      </c>
      <c r="J44" s="10">
        <v>49696</v>
      </c>
      <c r="K44" s="10">
        <v>50076</v>
      </c>
      <c r="L44" s="40">
        <v>0</v>
      </c>
      <c r="M44" s="10">
        <v>19474</v>
      </c>
      <c r="N44" s="10">
        <v>18603</v>
      </c>
      <c r="O44" s="10">
        <v>34350</v>
      </c>
      <c r="P44" s="10">
        <v>23358</v>
      </c>
      <c r="Q44" s="40">
        <v>38472</v>
      </c>
      <c r="R44" s="56">
        <v>44122</v>
      </c>
      <c r="S44" s="75">
        <f t="shared" si="1"/>
        <v>546580</v>
      </c>
      <c r="T44" s="5"/>
      <c r="U44" s="5"/>
      <c r="V44" s="5"/>
      <c r="W44" s="5"/>
      <c r="X44" s="5"/>
      <c r="Y44" s="5"/>
      <c r="Z44" s="5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>
      <c r="A45" s="15" t="s">
        <v>21</v>
      </c>
      <c r="B45" s="10">
        <v>42594</v>
      </c>
      <c r="C45" s="10">
        <v>0</v>
      </c>
      <c r="D45" s="10">
        <v>40068</v>
      </c>
      <c r="E45" s="10">
        <v>46872</v>
      </c>
      <c r="F45" s="10">
        <v>0</v>
      </c>
      <c r="G45" s="40">
        <v>18636</v>
      </c>
      <c r="H45" s="10">
        <v>13248</v>
      </c>
      <c r="I45" s="10">
        <v>54816</v>
      </c>
      <c r="J45" s="10">
        <v>26401</v>
      </c>
      <c r="K45" s="10">
        <v>13910</v>
      </c>
      <c r="L45" s="40">
        <v>21465</v>
      </c>
      <c r="M45" s="10">
        <v>26429</v>
      </c>
      <c r="N45" s="10">
        <v>12879</v>
      </c>
      <c r="O45" s="10">
        <v>5496</v>
      </c>
      <c r="P45" s="10">
        <v>41220</v>
      </c>
      <c r="Q45" s="40">
        <v>12366</v>
      </c>
      <c r="R45" s="56">
        <v>0</v>
      </c>
      <c r="S45" s="75">
        <f t="shared" si="1"/>
        <v>376400</v>
      </c>
      <c r="T45" s="5"/>
      <c r="U45" s="5"/>
      <c r="V45" s="5"/>
      <c r="W45" s="5"/>
      <c r="X45" s="5"/>
      <c r="Y45" s="5"/>
      <c r="Z45" s="5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>
      <c r="A46" s="15" t="s">
        <v>56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40">
        <v>0</v>
      </c>
      <c r="H46" s="10">
        <v>0</v>
      </c>
      <c r="I46" s="10">
        <v>0</v>
      </c>
      <c r="J46" s="10">
        <v>0</v>
      </c>
      <c r="K46" s="10">
        <v>0</v>
      </c>
      <c r="L46" s="40">
        <v>0</v>
      </c>
      <c r="M46" s="10">
        <v>0</v>
      </c>
      <c r="N46" s="10">
        <v>0</v>
      </c>
      <c r="O46" s="10">
        <v>0</v>
      </c>
      <c r="P46" s="10">
        <v>0</v>
      </c>
      <c r="Q46" s="40">
        <v>0</v>
      </c>
      <c r="R46" s="56">
        <v>0</v>
      </c>
      <c r="S46" s="75">
        <f t="shared" si="1"/>
        <v>0</v>
      </c>
      <c r="T46" s="5"/>
      <c r="U46" s="5"/>
      <c r="V46" s="5"/>
      <c r="W46" s="5"/>
      <c r="X46" s="5"/>
      <c r="Y46" s="5"/>
      <c r="Z46" s="5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>
      <c r="A47" s="15" t="s">
        <v>57</v>
      </c>
      <c r="B47" s="10">
        <v>16266</v>
      </c>
      <c r="C47" s="10">
        <v>40188</v>
      </c>
      <c r="D47" s="10">
        <v>42340</v>
      </c>
      <c r="E47" s="10">
        <v>26841</v>
      </c>
      <c r="F47" s="10">
        <v>0</v>
      </c>
      <c r="G47" s="40">
        <v>0</v>
      </c>
      <c r="H47" s="10">
        <v>17416</v>
      </c>
      <c r="I47" s="10">
        <v>20286</v>
      </c>
      <c r="J47" s="10">
        <v>18372</v>
      </c>
      <c r="K47" s="10">
        <v>24687</v>
      </c>
      <c r="L47" s="40">
        <v>16936</v>
      </c>
      <c r="M47" s="10">
        <v>24687</v>
      </c>
      <c r="N47" s="10">
        <v>0</v>
      </c>
      <c r="O47" s="10">
        <v>40665</v>
      </c>
      <c r="P47" s="10">
        <v>32532</v>
      </c>
      <c r="Q47" s="40">
        <v>0</v>
      </c>
      <c r="R47" s="56">
        <v>30141</v>
      </c>
      <c r="S47" s="75">
        <f t="shared" si="1"/>
        <v>351357</v>
      </c>
      <c r="T47" s="5"/>
      <c r="U47" s="5"/>
      <c r="V47" s="5"/>
      <c r="W47" s="5"/>
      <c r="X47" s="5"/>
      <c r="Y47" s="5"/>
      <c r="Z47" s="5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>
      <c r="A48" s="15" t="s">
        <v>31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40">
        <v>0</v>
      </c>
      <c r="H48" s="10">
        <v>0</v>
      </c>
      <c r="I48" s="10">
        <v>0</v>
      </c>
      <c r="J48" s="10">
        <v>0</v>
      </c>
      <c r="K48" s="10">
        <v>0</v>
      </c>
      <c r="L48" s="40">
        <v>0</v>
      </c>
      <c r="M48" s="10">
        <v>0</v>
      </c>
      <c r="N48" s="10">
        <v>0</v>
      </c>
      <c r="O48" s="10">
        <v>0</v>
      </c>
      <c r="P48" s="10">
        <v>0</v>
      </c>
      <c r="Q48" s="40">
        <v>0</v>
      </c>
      <c r="R48" s="56">
        <v>0</v>
      </c>
      <c r="S48" s="75">
        <f t="shared" si="1"/>
        <v>0</v>
      </c>
      <c r="T48" s="5"/>
      <c r="U48" s="5"/>
      <c r="V48" s="5"/>
      <c r="W48" s="5"/>
      <c r="X48" s="5"/>
      <c r="Y48" s="5"/>
      <c r="Z48" s="5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26">
      <c r="A49" s="16" t="s">
        <v>58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44">
        <v>0</v>
      </c>
      <c r="H49" s="12">
        <v>0</v>
      </c>
      <c r="I49" s="12">
        <v>0</v>
      </c>
      <c r="J49" s="12">
        <v>0</v>
      </c>
      <c r="K49" s="12">
        <v>0</v>
      </c>
      <c r="L49" s="44">
        <v>0</v>
      </c>
      <c r="M49" s="12">
        <v>0</v>
      </c>
      <c r="N49" s="12">
        <v>0</v>
      </c>
      <c r="O49" s="12">
        <v>0</v>
      </c>
      <c r="P49" s="12">
        <v>0</v>
      </c>
      <c r="Q49" s="44">
        <v>0</v>
      </c>
      <c r="R49" s="60">
        <v>0</v>
      </c>
      <c r="S49" s="79">
        <f t="shared" si="1"/>
        <v>0</v>
      </c>
      <c r="T49" s="6"/>
      <c r="U49" s="6"/>
      <c r="V49" s="6"/>
      <c r="W49" s="6"/>
      <c r="X49" s="6"/>
      <c r="Y49" s="6"/>
      <c r="Z49" s="6"/>
    </row>
    <row r="50" spans="1:26">
      <c r="A50" s="16" t="s">
        <v>35</v>
      </c>
      <c r="B50" s="12">
        <v>7650</v>
      </c>
      <c r="C50" s="12">
        <v>628</v>
      </c>
      <c r="D50" s="12">
        <v>1325</v>
      </c>
      <c r="E50" s="12">
        <v>1960</v>
      </c>
      <c r="F50" s="12">
        <v>0</v>
      </c>
      <c r="G50" s="44">
        <v>7776</v>
      </c>
      <c r="H50" s="12">
        <v>9828</v>
      </c>
      <c r="I50" s="12">
        <v>12046</v>
      </c>
      <c r="J50" s="12">
        <v>10080</v>
      </c>
      <c r="K50" s="12">
        <v>1032</v>
      </c>
      <c r="L50" s="44">
        <v>0</v>
      </c>
      <c r="M50" s="12">
        <v>2580</v>
      </c>
      <c r="N50" s="12">
        <v>2915</v>
      </c>
      <c r="O50" s="12">
        <v>0</v>
      </c>
      <c r="P50" s="12">
        <v>1275</v>
      </c>
      <c r="Q50" s="44">
        <v>2040</v>
      </c>
      <c r="R50" s="60">
        <v>1570</v>
      </c>
      <c r="S50" s="79">
        <f t="shared" si="1"/>
        <v>62705</v>
      </c>
      <c r="T50" s="6"/>
      <c r="U50" s="6"/>
      <c r="V50" s="6"/>
      <c r="W50" s="6"/>
      <c r="X50" s="6"/>
      <c r="Y50" s="6"/>
      <c r="Z50" s="6"/>
    </row>
    <row r="51" spans="1:26" ht="14.25" thickBot="1">
      <c r="A51" s="17" t="s">
        <v>59</v>
      </c>
      <c r="B51" s="30">
        <v>319881</v>
      </c>
      <c r="C51" s="30">
        <v>247332</v>
      </c>
      <c r="D51" s="30">
        <v>249186</v>
      </c>
      <c r="E51" s="30">
        <v>335456</v>
      </c>
      <c r="F51" s="30">
        <v>336169</v>
      </c>
      <c r="G51" s="45">
        <v>317576</v>
      </c>
      <c r="H51" s="30">
        <v>332269</v>
      </c>
      <c r="I51" s="30">
        <v>401176</v>
      </c>
      <c r="J51" s="30">
        <v>365895</v>
      </c>
      <c r="K51" s="30">
        <v>302706</v>
      </c>
      <c r="L51" s="45">
        <v>239540</v>
      </c>
      <c r="M51" s="30">
        <v>283595</v>
      </c>
      <c r="N51" s="30">
        <v>301497</v>
      </c>
      <c r="O51" s="30">
        <v>223849</v>
      </c>
      <c r="P51" s="30">
        <v>272770</v>
      </c>
      <c r="Q51" s="45">
        <v>285255</v>
      </c>
      <c r="R51" s="61">
        <v>280828</v>
      </c>
      <c r="S51" s="80">
        <f t="shared" si="1"/>
        <v>5094980</v>
      </c>
      <c r="T51" s="6"/>
      <c r="U51" s="6"/>
      <c r="V51" s="6"/>
      <c r="W51" s="6"/>
      <c r="X51" s="6"/>
      <c r="Y51" s="6"/>
      <c r="Z51" s="6"/>
    </row>
    <row r="52" spans="1:26">
      <c r="A52" s="28" t="s">
        <v>60</v>
      </c>
      <c r="B52" s="29">
        <v>5004</v>
      </c>
      <c r="C52" s="29">
        <v>1501</v>
      </c>
      <c r="D52" s="29">
        <v>8339</v>
      </c>
      <c r="E52" s="29">
        <v>2606</v>
      </c>
      <c r="F52" s="29">
        <v>4316</v>
      </c>
      <c r="G52" s="46">
        <v>2398</v>
      </c>
      <c r="H52" s="29">
        <v>2877</v>
      </c>
      <c r="I52" s="29">
        <v>11508</v>
      </c>
      <c r="J52" s="29">
        <v>2002</v>
      </c>
      <c r="K52" s="29">
        <v>1835</v>
      </c>
      <c r="L52" s="46">
        <v>834</v>
      </c>
      <c r="M52" s="29">
        <v>2085</v>
      </c>
      <c r="N52" s="29">
        <v>3836</v>
      </c>
      <c r="O52" s="29">
        <v>3961</v>
      </c>
      <c r="P52" s="29">
        <v>3211</v>
      </c>
      <c r="Q52" s="46">
        <v>6254</v>
      </c>
      <c r="R52" s="62">
        <v>2502</v>
      </c>
      <c r="S52" s="81">
        <f t="shared" si="1"/>
        <v>65069</v>
      </c>
      <c r="T52" s="6"/>
      <c r="U52" s="6"/>
      <c r="V52" s="6"/>
      <c r="W52" s="6"/>
      <c r="X52" s="6"/>
      <c r="Y52" s="6"/>
      <c r="Z52" s="6"/>
    </row>
    <row r="53" spans="1:26" ht="14.25" thickBot="1">
      <c r="A53" s="31" t="s">
        <v>61</v>
      </c>
      <c r="B53" s="32">
        <v>5004</v>
      </c>
      <c r="C53" s="32">
        <v>1501</v>
      </c>
      <c r="D53" s="32">
        <v>8339</v>
      </c>
      <c r="E53" s="32">
        <v>2606</v>
      </c>
      <c r="F53" s="32">
        <v>4316</v>
      </c>
      <c r="G53" s="47">
        <v>2398</v>
      </c>
      <c r="H53" s="32">
        <v>2877</v>
      </c>
      <c r="I53" s="32">
        <v>11508</v>
      </c>
      <c r="J53" s="32">
        <v>2002</v>
      </c>
      <c r="K53" s="32">
        <v>1835</v>
      </c>
      <c r="L53" s="47">
        <v>834</v>
      </c>
      <c r="M53" s="32">
        <v>2085</v>
      </c>
      <c r="N53" s="32">
        <v>3836</v>
      </c>
      <c r="O53" s="32">
        <v>3961</v>
      </c>
      <c r="P53" s="32">
        <v>3211</v>
      </c>
      <c r="Q53" s="47">
        <v>6254</v>
      </c>
      <c r="R53" s="63">
        <v>2502</v>
      </c>
      <c r="S53" s="82">
        <f t="shared" si="1"/>
        <v>65069</v>
      </c>
    </row>
    <row r="54" spans="1:26" ht="14.25" thickBot="1">
      <c r="A54" s="33" t="s">
        <v>62</v>
      </c>
      <c r="B54" s="34">
        <v>324885</v>
      </c>
      <c r="C54" s="34">
        <v>248833</v>
      </c>
      <c r="D54" s="34">
        <v>257525</v>
      </c>
      <c r="E54" s="34">
        <v>338062</v>
      </c>
      <c r="F54" s="34">
        <v>340485</v>
      </c>
      <c r="G54" s="48">
        <v>319974</v>
      </c>
      <c r="H54" s="34">
        <v>335146</v>
      </c>
      <c r="I54" s="34">
        <v>412684</v>
      </c>
      <c r="J54" s="34">
        <v>367897</v>
      </c>
      <c r="K54" s="34">
        <v>304541</v>
      </c>
      <c r="L54" s="48">
        <v>240374</v>
      </c>
      <c r="M54" s="34">
        <v>285680</v>
      </c>
      <c r="N54" s="34">
        <v>305333</v>
      </c>
      <c r="O54" s="34">
        <v>227810</v>
      </c>
      <c r="P54" s="34">
        <v>275981</v>
      </c>
      <c r="Q54" s="48">
        <v>291509</v>
      </c>
      <c r="R54" s="64">
        <v>283330</v>
      </c>
      <c r="S54" s="83">
        <f t="shared" si="1"/>
        <v>5160049</v>
      </c>
    </row>
    <row r="55" spans="1:26">
      <c r="A55" s="28" t="s">
        <v>63</v>
      </c>
      <c r="B55" s="29">
        <v>14280</v>
      </c>
      <c r="C55" s="29">
        <v>12240</v>
      </c>
      <c r="D55" s="29">
        <v>15300</v>
      </c>
      <c r="E55" s="29">
        <v>17340</v>
      </c>
      <c r="F55" s="29">
        <v>19380</v>
      </c>
      <c r="G55" s="46">
        <v>19380</v>
      </c>
      <c r="H55" s="29">
        <v>19380</v>
      </c>
      <c r="I55" s="29">
        <v>19380</v>
      </c>
      <c r="J55" s="29">
        <v>18360</v>
      </c>
      <c r="K55" s="29">
        <v>16320</v>
      </c>
      <c r="L55" s="46">
        <v>16320</v>
      </c>
      <c r="M55" s="29">
        <v>16320</v>
      </c>
      <c r="N55" s="29">
        <v>16320</v>
      </c>
      <c r="O55" s="29">
        <v>13260</v>
      </c>
      <c r="P55" s="29">
        <v>15300</v>
      </c>
      <c r="Q55" s="46">
        <v>15300</v>
      </c>
      <c r="R55" s="62">
        <v>14280</v>
      </c>
      <c r="S55" s="81">
        <f t="shared" si="1"/>
        <v>278460</v>
      </c>
    </row>
    <row r="56" spans="1:26">
      <c r="A56" s="16" t="s">
        <v>64</v>
      </c>
      <c r="B56" s="12">
        <v>2520</v>
      </c>
      <c r="C56" s="12">
        <v>2160</v>
      </c>
      <c r="D56" s="12">
        <v>2700</v>
      </c>
      <c r="E56" s="12">
        <v>3060</v>
      </c>
      <c r="F56" s="12">
        <v>3420</v>
      </c>
      <c r="G56" s="44">
        <v>3420</v>
      </c>
      <c r="H56" s="12">
        <v>3420</v>
      </c>
      <c r="I56" s="12">
        <v>3420</v>
      </c>
      <c r="J56" s="12">
        <v>3240</v>
      </c>
      <c r="K56" s="12">
        <v>2880</v>
      </c>
      <c r="L56" s="44">
        <v>2880</v>
      </c>
      <c r="M56" s="12">
        <v>2880</v>
      </c>
      <c r="N56" s="12">
        <v>2880</v>
      </c>
      <c r="O56" s="12">
        <v>2340</v>
      </c>
      <c r="P56" s="12">
        <v>0</v>
      </c>
      <c r="Q56" s="44">
        <v>2700</v>
      </c>
      <c r="R56" s="60">
        <v>2520</v>
      </c>
      <c r="S56" s="79">
        <f t="shared" si="1"/>
        <v>46440</v>
      </c>
    </row>
    <row r="57" spans="1:26">
      <c r="A57" s="16" t="s">
        <v>65</v>
      </c>
      <c r="B57" s="12">
        <v>25620</v>
      </c>
      <c r="C57" s="12">
        <v>21960</v>
      </c>
      <c r="D57" s="12">
        <v>27450</v>
      </c>
      <c r="E57" s="12">
        <v>31110</v>
      </c>
      <c r="F57" s="12">
        <v>34770</v>
      </c>
      <c r="G57" s="44">
        <v>34770</v>
      </c>
      <c r="H57" s="12">
        <v>34770</v>
      </c>
      <c r="I57" s="12">
        <v>34770</v>
      </c>
      <c r="J57" s="12">
        <v>32940</v>
      </c>
      <c r="K57" s="12">
        <v>29280</v>
      </c>
      <c r="L57" s="44">
        <v>29280</v>
      </c>
      <c r="M57" s="12">
        <v>29280</v>
      </c>
      <c r="N57" s="12">
        <v>29280</v>
      </c>
      <c r="O57" s="12">
        <v>23790</v>
      </c>
      <c r="P57" s="12">
        <v>27450</v>
      </c>
      <c r="Q57" s="44">
        <v>27450</v>
      </c>
      <c r="R57" s="60">
        <v>25620</v>
      </c>
      <c r="S57" s="79">
        <f t="shared" si="1"/>
        <v>499590</v>
      </c>
    </row>
    <row r="58" spans="1:26">
      <c r="A58" s="16" t="s">
        <v>66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44">
        <v>0</v>
      </c>
      <c r="H58" s="12">
        <v>0</v>
      </c>
      <c r="I58" s="12">
        <v>0</v>
      </c>
      <c r="J58" s="12">
        <v>0</v>
      </c>
      <c r="K58" s="12">
        <v>0</v>
      </c>
      <c r="L58" s="44">
        <v>0</v>
      </c>
      <c r="M58" s="12">
        <v>0</v>
      </c>
      <c r="N58" s="12">
        <v>0</v>
      </c>
      <c r="O58" s="12">
        <v>0</v>
      </c>
      <c r="P58" s="12">
        <v>0</v>
      </c>
      <c r="Q58" s="44">
        <v>0</v>
      </c>
      <c r="R58" s="60">
        <v>0</v>
      </c>
      <c r="S58" s="79">
        <f t="shared" si="1"/>
        <v>0</v>
      </c>
    </row>
    <row r="59" spans="1:26">
      <c r="A59" s="16" t="s">
        <v>67</v>
      </c>
      <c r="B59" s="12">
        <v>975</v>
      </c>
      <c r="C59" s="12">
        <v>746</v>
      </c>
      <c r="D59" s="12">
        <v>773</v>
      </c>
      <c r="E59" s="12">
        <v>1014</v>
      </c>
      <c r="F59" s="12">
        <v>1021</v>
      </c>
      <c r="G59" s="44">
        <v>960</v>
      </c>
      <c r="H59" s="12">
        <v>1005</v>
      </c>
      <c r="I59" s="12">
        <v>1238</v>
      </c>
      <c r="J59" s="12">
        <v>1104</v>
      </c>
      <c r="K59" s="12">
        <v>914</v>
      </c>
      <c r="L59" s="44">
        <v>721</v>
      </c>
      <c r="M59" s="12">
        <v>857</v>
      </c>
      <c r="N59" s="12">
        <v>916</v>
      </c>
      <c r="O59" s="12">
        <v>683</v>
      </c>
      <c r="P59" s="12">
        <v>828</v>
      </c>
      <c r="Q59" s="44">
        <v>875</v>
      </c>
      <c r="R59" s="60">
        <v>850</v>
      </c>
      <c r="S59" s="79">
        <f t="shared" si="1"/>
        <v>15480</v>
      </c>
    </row>
    <row r="60" spans="1:26">
      <c r="A60" s="16" t="s">
        <v>69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44">
        <v>0</v>
      </c>
      <c r="H60" s="12">
        <v>0</v>
      </c>
      <c r="I60" s="12">
        <v>0</v>
      </c>
      <c r="J60" s="12">
        <v>0</v>
      </c>
      <c r="K60" s="12">
        <v>0</v>
      </c>
      <c r="L60" s="44">
        <v>0</v>
      </c>
      <c r="M60" s="12">
        <v>0</v>
      </c>
      <c r="N60" s="12">
        <v>0</v>
      </c>
      <c r="O60" s="12">
        <v>0</v>
      </c>
      <c r="P60" s="12">
        <v>0</v>
      </c>
      <c r="Q60" s="44">
        <v>0</v>
      </c>
      <c r="R60" s="60">
        <v>0</v>
      </c>
      <c r="S60" s="79">
        <f t="shared" si="1"/>
        <v>0</v>
      </c>
    </row>
    <row r="61" spans="1:26" ht="14.25" thickBot="1">
      <c r="A61" s="31" t="s">
        <v>70</v>
      </c>
      <c r="B61" s="32">
        <v>43395</v>
      </c>
      <c r="C61" s="32">
        <v>37106</v>
      </c>
      <c r="D61" s="32">
        <v>46223</v>
      </c>
      <c r="E61" s="32">
        <v>52524</v>
      </c>
      <c r="F61" s="32">
        <v>58591</v>
      </c>
      <c r="G61" s="47">
        <v>58530</v>
      </c>
      <c r="H61" s="32">
        <v>58575</v>
      </c>
      <c r="I61" s="32">
        <v>58808</v>
      </c>
      <c r="J61" s="32">
        <v>55644</v>
      </c>
      <c r="K61" s="32">
        <v>49394</v>
      </c>
      <c r="L61" s="47">
        <v>49201</v>
      </c>
      <c r="M61" s="32">
        <v>49337</v>
      </c>
      <c r="N61" s="32">
        <v>49396</v>
      </c>
      <c r="O61" s="32">
        <v>40073</v>
      </c>
      <c r="P61" s="32">
        <v>43578</v>
      </c>
      <c r="Q61" s="47">
        <v>46325</v>
      </c>
      <c r="R61" s="63">
        <v>43270</v>
      </c>
      <c r="S61" s="82">
        <f t="shared" si="1"/>
        <v>839970</v>
      </c>
    </row>
    <row r="62" spans="1:26" ht="14.25" thickBot="1">
      <c r="A62" s="33" t="s">
        <v>71</v>
      </c>
      <c r="B62" s="34">
        <v>276486</v>
      </c>
      <c r="C62" s="34">
        <v>210226</v>
      </c>
      <c r="D62" s="34">
        <v>202963</v>
      </c>
      <c r="E62" s="34">
        <v>282932</v>
      </c>
      <c r="F62" s="34">
        <v>277578</v>
      </c>
      <c r="G62" s="48">
        <v>259046</v>
      </c>
      <c r="H62" s="34">
        <v>273694</v>
      </c>
      <c r="I62" s="34">
        <v>342368</v>
      </c>
      <c r="J62" s="34">
        <v>310251</v>
      </c>
      <c r="K62" s="34">
        <v>253312</v>
      </c>
      <c r="L62" s="48">
        <v>190339</v>
      </c>
      <c r="M62" s="34">
        <v>234258</v>
      </c>
      <c r="N62" s="34">
        <v>252101</v>
      </c>
      <c r="O62" s="34">
        <v>183776</v>
      </c>
      <c r="P62" s="34">
        <v>229192</v>
      </c>
      <c r="Q62" s="48">
        <v>238930</v>
      </c>
      <c r="R62" s="64">
        <v>237558</v>
      </c>
      <c r="S62" s="83">
        <f t="shared" si="1"/>
        <v>4255010</v>
      </c>
    </row>
    <row r="63" spans="1:26">
      <c r="A63" s="28" t="s">
        <v>72</v>
      </c>
      <c r="B63" s="29">
        <v>2650</v>
      </c>
      <c r="C63" s="29">
        <v>5130</v>
      </c>
      <c r="D63" s="29">
        <v>3250</v>
      </c>
      <c r="E63" s="29">
        <v>7730</v>
      </c>
      <c r="F63" s="29">
        <v>5920</v>
      </c>
      <c r="G63" s="46">
        <v>6870</v>
      </c>
      <c r="H63" s="29">
        <v>5780</v>
      </c>
      <c r="I63" s="29">
        <v>8610</v>
      </c>
      <c r="J63" s="29">
        <v>9220</v>
      </c>
      <c r="K63" s="29">
        <v>6670</v>
      </c>
      <c r="L63" s="46">
        <v>2800</v>
      </c>
      <c r="M63" s="29">
        <v>5990</v>
      </c>
      <c r="N63" s="29">
        <v>6630</v>
      </c>
      <c r="O63" s="29">
        <v>4180</v>
      </c>
      <c r="P63" s="29">
        <v>5810</v>
      </c>
      <c r="Q63" s="46">
        <v>6160</v>
      </c>
      <c r="R63" s="62">
        <v>6110</v>
      </c>
      <c r="S63" s="81">
        <f t="shared" si="1"/>
        <v>99510</v>
      </c>
    </row>
    <row r="64" spans="1:26">
      <c r="A64" s="16" t="s">
        <v>73</v>
      </c>
      <c r="B64" s="12">
        <v>1300</v>
      </c>
      <c r="C64" s="12">
        <v>0</v>
      </c>
      <c r="D64" s="12">
        <v>1300</v>
      </c>
      <c r="E64" s="12">
        <v>1300</v>
      </c>
      <c r="F64" s="12">
        <v>1300</v>
      </c>
      <c r="G64" s="44">
        <v>0</v>
      </c>
      <c r="H64" s="12">
        <v>1300</v>
      </c>
      <c r="I64" s="12">
        <v>1300</v>
      </c>
      <c r="J64" s="12">
        <v>1300</v>
      </c>
      <c r="K64" s="12">
        <v>1300</v>
      </c>
      <c r="L64" s="44">
        <v>1300</v>
      </c>
      <c r="M64" s="12">
        <v>1300</v>
      </c>
      <c r="N64" s="12">
        <v>1300</v>
      </c>
      <c r="O64" s="12">
        <v>0</v>
      </c>
      <c r="P64" s="12">
        <v>0</v>
      </c>
      <c r="Q64" s="44">
        <v>1300</v>
      </c>
      <c r="R64" s="60">
        <v>1300</v>
      </c>
      <c r="S64" s="79">
        <f t="shared" si="1"/>
        <v>16900</v>
      </c>
    </row>
    <row r="65" spans="1:19">
      <c r="A65" s="16" t="s">
        <v>74</v>
      </c>
      <c r="B65" s="12">
        <v>2400</v>
      </c>
      <c r="C65" s="12">
        <v>0</v>
      </c>
      <c r="D65" s="12">
        <v>8100</v>
      </c>
      <c r="E65" s="12">
        <v>14700</v>
      </c>
      <c r="F65" s="12">
        <v>13700</v>
      </c>
      <c r="G65" s="44">
        <v>16600</v>
      </c>
      <c r="H65" s="12">
        <v>8000</v>
      </c>
      <c r="I65" s="12">
        <v>13400</v>
      </c>
      <c r="J65" s="12">
        <v>17300</v>
      </c>
      <c r="K65" s="12">
        <v>13600</v>
      </c>
      <c r="L65" s="44">
        <v>8100</v>
      </c>
      <c r="M65" s="12">
        <v>13300</v>
      </c>
      <c r="N65" s="12">
        <v>9200</v>
      </c>
      <c r="O65" s="12">
        <v>9600</v>
      </c>
      <c r="P65" s="12">
        <v>13700</v>
      </c>
      <c r="Q65" s="44">
        <v>12300</v>
      </c>
      <c r="R65" s="60">
        <v>11200</v>
      </c>
      <c r="S65" s="79">
        <f t="shared" si="1"/>
        <v>185200</v>
      </c>
    </row>
    <row r="66" spans="1:19">
      <c r="A66" s="16" t="s">
        <v>75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44">
        <v>10000</v>
      </c>
      <c r="H66" s="12">
        <v>0</v>
      </c>
      <c r="I66" s="12">
        <v>0</v>
      </c>
      <c r="J66" s="12">
        <v>0</v>
      </c>
      <c r="K66" s="12">
        <v>0</v>
      </c>
      <c r="L66" s="44">
        <v>0</v>
      </c>
      <c r="M66" s="12">
        <v>0</v>
      </c>
      <c r="N66" s="12">
        <v>0</v>
      </c>
      <c r="O66" s="12">
        <v>0</v>
      </c>
      <c r="P66" s="12">
        <v>0</v>
      </c>
      <c r="Q66" s="44">
        <v>0</v>
      </c>
      <c r="R66" s="60">
        <v>0</v>
      </c>
      <c r="S66" s="79">
        <f t="shared" si="1"/>
        <v>10000</v>
      </c>
    </row>
    <row r="67" spans="1:19">
      <c r="A67" s="16" t="s">
        <v>76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44">
        <v>0</v>
      </c>
      <c r="H67" s="12">
        <v>0</v>
      </c>
      <c r="I67" s="12">
        <v>0</v>
      </c>
      <c r="J67" s="12">
        <v>0</v>
      </c>
      <c r="K67" s="12">
        <v>0</v>
      </c>
      <c r="L67" s="44">
        <v>0</v>
      </c>
      <c r="M67" s="12">
        <v>0</v>
      </c>
      <c r="N67" s="12">
        <v>0</v>
      </c>
      <c r="O67" s="12">
        <v>0</v>
      </c>
      <c r="P67" s="12">
        <v>0</v>
      </c>
      <c r="Q67" s="44">
        <v>0</v>
      </c>
      <c r="R67" s="60">
        <v>0</v>
      </c>
      <c r="S67" s="79">
        <f t="shared" si="1"/>
        <v>0</v>
      </c>
    </row>
    <row r="68" spans="1:19">
      <c r="A68" s="16" t="s">
        <v>77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44">
        <v>0</v>
      </c>
      <c r="H68" s="12">
        <v>0</v>
      </c>
      <c r="I68" s="12">
        <v>0</v>
      </c>
      <c r="J68" s="12">
        <v>0</v>
      </c>
      <c r="K68" s="12">
        <v>0</v>
      </c>
      <c r="L68" s="44">
        <v>0</v>
      </c>
      <c r="M68" s="12">
        <v>0</v>
      </c>
      <c r="N68" s="12">
        <v>0</v>
      </c>
      <c r="O68" s="12">
        <v>0</v>
      </c>
      <c r="P68" s="12">
        <v>0</v>
      </c>
      <c r="Q68" s="44">
        <v>0</v>
      </c>
      <c r="R68" s="60">
        <v>0</v>
      </c>
      <c r="S68" s="79">
        <f t="shared" si="1"/>
        <v>0</v>
      </c>
    </row>
    <row r="69" spans="1:19" ht="14.25" thickBot="1">
      <c r="A69" s="31" t="s">
        <v>78</v>
      </c>
      <c r="B69" s="32">
        <v>6350</v>
      </c>
      <c r="C69" s="32">
        <v>5130</v>
      </c>
      <c r="D69" s="32">
        <v>12650</v>
      </c>
      <c r="E69" s="32">
        <v>23730</v>
      </c>
      <c r="F69" s="32">
        <v>20920</v>
      </c>
      <c r="G69" s="47">
        <v>33470</v>
      </c>
      <c r="H69" s="32">
        <v>15080</v>
      </c>
      <c r="I69" s="32">
        <v>23310</v>
      </c>
      <c r="J69" s="32">
        <v>27820</v>
      </c>
      <c r="K69" s="32">
        <v>21570</v>
      </c>
      <c r="L69" s="47">
        <v>12200</v>
      </c>
      <c r="M69" s="32">
        <v>20590</v>
      </c>
      <c r="N69" s="32">
        <v>17130</v>
      </c>
      <c r="O69" s="32">
        <v>13780</v>
      </c>
      <c r="P69" s="32">
        <v>19510</v>
      </c>
      <c r="Q69" s="47">
        <v>19760</v>
      </c>
      <c r="R69" s="63">
        <v>18610</v>
      </c>
      <c r="S69" s="82">
        <f t="shared" si="1"/>
        <v>311610</v>
      </c>
    </row>
    <row r="70" spans="1:19" ht="14.25" thickBot="1">
      <c r="A70" s="33" t="s">
        <v>79</v>
      </c>
      <c r="B70" s="34">
        <v>49745</v>
      </c>
      <c r="C70" s="34">
        <v>42236</v>
      </c>
      <c r="D70" s="34">
        <v>58873</v>
      </c>
      <c r="E70" s="34">
        <v>76254</v>
      </c>
      <c r="F70" s="34">
        <v>79511</v>
      </c>
      <c r="G70" s="48">
        <v>92000</v>
      </c>
      <c r="H70" s="34">
        <v>73655</v>
      </c>
      <c r="I70" s="34">
        <v>82118</v>
      </c>
      <c r="J70" s="34">
        <v>83464</v>
      </c>
      <c r="K70" s="34">
        <v>70964</v>
      </c>
      <c r="L70" s="48">
        <v>61401</v>
      </c>
      <c r="M70" s="34">
        <v>69927</v>
      </c>
      <c r="N70" s="34">
        <v>66526</v>
      </c>
      <c r="O70" s="34">
        <v>53853</v>
      </c>
      <c r="P70" s="34">
        <v>63088</v>
      </c>
      <c r="Q70" s="48">
        <v>66085</v>
      </c>
      <c r="R70" s="64">
        <v>61880</v>
      </c>
      <c r="S70" s="83">
        <f t="shared" si="1"/>
        <v>1151580</v>
      </c>
    </row>
    <row r="71" spans="1:19" ht="14.25" thickBot="1">
      <c r="A71" s="33" t="s">
        <v>80</v>
      </c>
      <c r="B71" s="34">
        <v>275140</v>
      </c>
      <c r="C71" s="34">
        <v>206597</v>
      </c>
      <c r="D71" s="34">
        <v>198652</v>
      </c>
      <c r="E71" s="34">
        <v>261808</v>
      </c>
      <c r="F71" s="34">
        <v>260974</v>
      </c>
      <c r="G71" s="48">
        <v>227974</v>
      </c>
      <c r="H71" s="34">
        <v>261491</v>
      </c>
      <c r="I71" s="34">
        <v>330566</v>
      </c>
      <c r="J71" s="34">
        <v>284433</v>
      </c>
      <c r="K71" s="34">
        <v>233577</v>
      </c>
      <c r="L71" s="48">
        <v>178973</v>
      </c>
      <c r="M71" s="34">
        <v>215753</v>
      </c>
      <c r="N71" s="34">
        <v>238807</v>
      </c>
      <c r="O71" s="34">
        <v>173957</v>
      </c>
      <c r="P71" s="34">
        <v>212893</v>
      </c>
      <c r="Q71" s="48">
        <v>225424</v>
      </c>
      <c r="R71" s="64">
        <v>221450</v>
      </c>
      <c r="S71" s="83">
        <f t="shared" si="1"/>
        <v>4008469</v>
      </c>
    </row>
    <row r="72" spans="1:19">
      <c r="A72" s="28" t="s">
        <v>81</v>
      </c>
      <c r="B72" s="29">
        <v>0</v>
      </c>
      <c r="C72" s="29">
        <v>0</v>
      </c>
      <c r="D72" s="29">
        <v>0</v>
      </c>
      <c r="E72" s="29">
        <v>0</v>
      </c>
      <c r="F72" s="29">
        <v>0</v>
      </c>
      <c r="G72" s="46">
        <v>0</v>
      </c>
      <c r="H72" s="29">
        <v>0</v>
      </c>
      <c r="I72" s="29">
        <v>0</v>
      </c>
      <c r="J72" s="29">
        <v>0</v>
      </c>
      <c r="K72" s="29">
        <v>0</v>
      </c>
      <c r="L72" s="46">
        <v>0</v>
      </c>
      <c r="M72" s="29">
        <v>0</v>
      </c>
      <c r="N72" s="29">
        <v>0</v>
      </c>
      <c r="O72" s="29">
        <v>0</v>
      </c>
      <c r="P72" s="29">
        <v>0</v>
      </c>
      <c r="Q72" s="46">
        <v>0</v>
      </c>
      <c r="R72" s="62">
        <v>0</v>
      </c>
      <c r="S72" s="81">
        <f t="shared" si="1"/>
        <v>0</v>
      </c>
    </row>
    <row r="73" spans="1:19">
      <c r="A73" s="16" t="s">
        <v>82</v>
      </c>
      <c r="B73" s="12">
        <v>275140</v>
      </c>
      <c r="C73" s="12">
        <v>206597</v>
      </c>
      <c r="D73" s="12">
        <v>198652</v>
      </c>
      <c r="E73" s="12">
        <v>261808</v>
      </c>
      <c r="F73" s="12">
        <v>260974</v>
      </c>
      <c r="G73" s="44">
        <v>227974</v>
      </c>
      <c r="H73" s="12">
        <v>261491</v>
      </c>
      <c r="I73" s="12">
        <v>330566</v>
      </c>
      <c r="J73" s="12">
        <v>284433</v>
      </c>
      <c r="K73" s="12">
        <v>233577</v>
      </c>
      <c r="L73" s="44">
        <v>178973</v>
      </c>
      <c r="M73" s="12">
        <v>215753</v>
      </c>
      <c r="N73" s="12">
        <v>238807</v>
      </c>
      <c r="O73" s="12">
        <v>173957</v>
      </c>
      <c r="P73" s="12">
        <v>212893</v>
      </c>
      <c r="Q73" s="44">
        <v>225424</v>
      </c>
      <c r="R73" s="60">
        <v>221450</v>
      </c>
      <c r="S73" s="79">
        <f t="shared" si="1"/>
        <v>4008469</v>
      </c>
    </row>
    <row r="74" spans="1:19">
      <c r="A74" s="16" t="s">
        <v>83</v>
      </c>
      <c r="B74" s="13">
        <v>16</v>
      </c>
      <c r="C74" s="13">
        <v>13</v>
      </c>
      <c r="D74" s="13">
        <v>33</v>
      </c>
      <c r="E74" s="13">
        <v>34</v>
      </c>
      <c r="F74" s="13">
        <v>39</v>
      </c>
      <c r="G74" s="49">
        <v>39</v>
      </c>
      <c r="H74" s="13">
        <v>30</v>
      </c>
      <c r="I74" s="13">
        <v>30</v>
      </c>
      <c r="J74" s="13">
        <v>35</v>
      </c>
      <c r="K74" s="13">
        <v>38</v>
      </c>
      <c r="L74" s="49">
        <v>39</v>
      </c>
      <c r="M74" s="13">
        <v>22</v>
      </c>
      <c r="N74" s="13">
        <v>31</v>
      </c>
      <c r="O74" s="13">
        <v>11</v>
      </c>
      <c r="P74" s="13">
        <v>16</v>
      </c>
      <c r="Q74" s="49">
        <v>22</v>
      </c>
      <c r="R74" s="66">
        <v>12</v>
      </c>
      <c r="S74" s="84"/>
    </row>
    <row r="75" spans="1:19">
      <c r="A75" s="16" t="s">
        <v>84</v>
      </c>
      <c r="B75" s="14">
        <v>3</v>
      </c>
      <c r="C75" s="14"/>
      <c r="D75" s="14">
        <v>1</v>
      </c>
      <c r="E75" s="14"/>
      <c r="F75" s="14">
        <v>1</v>
      </c>
      <c r="G75" s="50"/>
      <c r="H75" s="14">
        <v>1</v>
      </c>
      <c r="I75" s="14">
        <v>1</v>
      </c>
      <c r="J75" s="14"/>
      <c r="K75" s="14"/>
      <c r="L75" s="50">
        <v>1</v>
      </c>
      <c r="M75" s="14"/>
      <c r="N75" s="14"/>
      <c r="O75" s="14"/>
      <c r="P75" s="14"/>
      <c r="Q75" s="50"/>
      <c r="R75" s="65"/>
      <c r="S75" s="85"/>
    </row>
    <row r="76" spans="1:19" ht="14.25" thickBot="1">
      <c r="A76" s="17" t="s">
        <v>85</v>
      </c>
      <c r="B76" s="18" t="s">
        <v>86</v>
      </c>
      <c r="C76" s="18" t="s">
        <v>86</v>
      </c>
      <c r="D76" s="18" t="s">
        <v>86</v>
      </c>
      <c r="E76" s="18" t="s">
        <v>86</v>
      </c>
      <c r="F76" s="18" t="s">
        <v>86</v>
      </c>
      <c r="G76" s="51" t="s">
        <v>86</v>
      </c>
      <c r="H76" s="18" t="s">
        <v>86</v>
      </c>
      <c r="I76" s="18" t="s">
        <v>86</v>
      </c>
      <c r="J76" s="18" t="s">
        <v>86</v>
      </c>
      <c r="K76" s="18" t="s">
        <v>86</v>
      </c>
      <c r="L76" s="51" t="s">
        <v>86</v>
      </c>
      <c r="M76" s="18" t="s">
        <v>86</v>
      </c>
      <c r="N76" s="18" t="s">
        <v>86</v>
      </c>
      <c r="O76" s="18" t="s">
        <v>86</v>
      </c>
      <c r="P76" s="18" t="s">
        <v>86</v>
      </c>
      <c r="Q76" s="51" t="s">
        <v>86</v>
      </c>
      <c r="R76" s="67" t="s">
        <v>86</v>
      </c>
      <c r="S76" s="86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island</dc:creator>
  <cp:keywords/>
  <dc:description/>
  <cp:lastModifiedBy>若林孝次郎</cp:lastModifiedBy>
  <cp:revision/>
  <dcterms:created xsi:type="dcterms:W3CDTF">2011-10-11T01:59:58Z</dcterms:created>
  <dcterms:modified xsi:type="dcterms:W3CDTF">2025-09-24T05:36:53Z</dcterms:modified>
  <cp:category/>
  <cp:contentStatus/>
</cp:coreProperties>
</file>