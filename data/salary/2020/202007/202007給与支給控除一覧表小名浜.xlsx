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D941EC4D-252D-4C9F-84C9-3991C1BF369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  <sheet name="1頁 (3)" sheetId="3" r:id="rId2"/>
    <sheet name="1頁 (4)" sheetId="4" r:id="rId3"/>
  </sheets>
  <definedNames>
    <definedName name="_xlnm.Print_Area" localSheetId="1">'1頁 (3)'!$A$1:$M$76</definedName>
    <definedName name="_xlnm.Print_Area" localSheetId="2">'1頁 (4)'!$A$1:$S$76</definedName>
  </definedNames>
  <calcPr calcId="191029"/>
</workbook>
</file>

<file path=xl/calcChain.xml><?xml version="1.0" encoding="utf-8"?>
<calcChain xmlns="http://schemas.openxmlformats.org/spreadsheetml/2006/main">
  <c r="S73" i="4" l="1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16" i="4"/>
  <c r="S15" i="4"/>
  <c r="S14" i="4"/>
  <c r="S12" i="4"/>
  <c r="S8" i="4"/>
  <c r="S7" i="4"/>
  <c r="S6" i="4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14" i="3"/>
  <c r="L13" i="3"/>
  <c r="L10" i="3"/>
  <c r="L6" i="3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23" i="2"/>
  <c r="AD22" i="2"/>
  <c r="AD21" i="2"/>
  <c r="AD14" i="2"/>
  <c r="AD13" i="2"/>
  <c r="AD10" i="2"/>
  <c r="AD6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23" i="2"/>
  <c r="S22" i="2"/>
  <c r="S15" i="2"/>
  <c r="S16" i="2"/>
  <c r="S14" i="2"/>
  <c r="S12" i="2"/>
  <c r="S8" i="2"/>
  <c r="S7" i="2"/>
  <c r="S6" i="2"/>
</calcChain>
</file>

<file path=xl/sharedStrings.xml><?xml version="1.0" encoding="utf-8"?>
<sst xmlns="http://schemas.openxmlformats.org/spreadsheetml/2006/main" count="406" uniqueCount="107">
  <si>
    <t>所　属</t>
  </si>
  <si>
    <t>社　員</t>
  </si>
  <si>
    <t>２０20年7月分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</si>
  <si>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</si>
  <si>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</si>
  <si>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</si>
  <si>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</si>
  <si>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</si>
  <si>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</si>
  <si>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</si>
  <si>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</si>
  <si>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</si>
  <si>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</si>
  <si>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</si>
  <si>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</si>
  <si>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</si>
  <si>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</si>
  <si>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</si>
  <si>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</si>
  <si>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</si>
  <si>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</si>
  <si>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</si>
  <si>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</si>
  <si>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小名浜営業所/ドライバー</t>
  </si>
  <si>
    <t>小林　啓一</t>
  </si>
  <si>
    <t>鈴木　富雄</t>
  </si>
  <si>
    <t>雲藤　順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</si>
  <si>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</si>
  <si>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</si>
  <si>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</si>
  <si>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</si>
  <si>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</si>
  <si>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</si>
  <si>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</si>
  <si>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</si>
  <si>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</si>
  <si>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</si>
  <si>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</si>
  <si>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</si>
  <si>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</si>
  <si>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</si>
  <si>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</si>
  <si>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</si>
  <si>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</si>
  <si>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</si>
  <si>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</si>
  <si>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</si>
  <si>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</si>
  <si>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</si>
  <si>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</si>
  <si>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</si>
  <si>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</si>
  <si>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</si>
  <si>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</si>
  <si>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</si>
  <si>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</si>
  <si>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</si>
  <si>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</si>
  <si>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</si>
  <si>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</si>
  <si>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</si>
  <si>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</si>
  <si>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</si>
  <si>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</si>
  <si>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</si>
  <si>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</si>
  <si>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</si>
  <si>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</si>
  <si>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</si>
  <si>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</si>
  <si>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</si>
  <si>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</si>
  <si>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</si>
  <si>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</si>
  <si>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</si>
  <si>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</si>
  <si>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</si>
  <si>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鈴木　浩明</t>
  </si>
  <si>
    <t>青田　正一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</si>
  <si>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</si>
  <si>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</si>
  <si>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</si>
  <si>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</si>
  <si>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</si>
  <si>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</si>
  <si>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</si>
  <si>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</si>
  <si>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</si>
  <si>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</si>
  <si>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小名浜営業所/事務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</si>
  <si>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</si>
  <si>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</si>
  <si>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</si>
  <si>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</si>
  <si>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</si>
  <si>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</si>
  <si>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</si>
  <si>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</si>
  <si>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</si>
  <si>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</si>
  <si>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小名浜営業所/整備</t>
  </si>
  <si>
    <t>下山田　英治</t>
  </si>
  <si>
    <t>27名</t>
  </si>
  <si>
    <t>全社計</t>
  </si>
  <si>
    <t>小計</t>
    <rPh sb="0" eb="2">
      <t>ショウケイ</t>
    </rPh>
    <phoneticPr fontId="1"/>
  </si>
  <si>
    <t>17名</t>
    <rPh sb="2" eb="3">
      <t>メイ</t>
    </rPh>
    <phoneticPr fontId="1"/>
  </si>
  <si>
    <t>10名</t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</si>
</sst>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9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DEB2-64DF-4641-91FB-D49714CE8E7A}">
  <dimension ref="A1:BE76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31" width="10.625" style="2" customWidth="1"/>
    <col min="32" max="38" width="10.5" style="2" customWidth="1"/>
    <col min="39" max="16384" width="9" style="2"/>
  </cols>
  <sheetData>
    <row r="1" spans="1:57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7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15">
      <c r="A3" s="18" t="s">
        <v>0</v>
      </c>
      <c r="B3" s="19" t="s">
        <v>3</v>
      </c>
      <c r="C3" s="19" t="s">
        <v>3</v>
      </c>
      <c r="D3" s="19" t="s">
        <v>23</v>
      </c>
      <c r="E3" s="19" t="s">
        <v>23</v>
      </c>
      <c r="F3" s="19" t="s">
        <v>23</v>
      </c>
      <c r="G3" s="35" t="s">
        <v>23</v>
      </c>
      <c r="H3" s="19" t="s">
        <v>23</v>
      </c>
      <c r="I3" s="19" t="s">
        <v>23</v>
      </c>
      <c r="J3" s="19" t="s">
        <v>23</v>
      </c>
      <c r="K3" s="19" t="s">
        <v>23</v>
      </c>
      <c r="L3" s="35" t="s">
        <v>23</v>
      </c>
      <c r="M3" s="19" t="s">
        <v>23</v>
      </c>
      <c r="N3" s="19" t="s">
        <v>23</v>
      </c>
      <c r="O3" s="19" t="s">
        <v>23</v>
      </c>
      <c r="P3" s="19" t="s">
        <v>23</v>
      </c>
      <c r="Q3" s="35" t="s">
        <v>23</v>
      </c>
      <c r="R3" s="52" t="s">
        <v>23</v>
      </c>
      <c r="S3" s="69" t="s">
        <v>104</v>
      </c>
      <c r="T3" s="35" t="s">
        <v>89</v>
      </c>
      <c r="U3" s="19" t="s">
        <v>89</v>
      </c>
      <c r="V3" s="19" t="s">
        <v>100</v>
      </c>
      <c r="W3" s="19" t="s">
        <v>89</v>
      </c>
      <c r="X3" s="35" t="s">
        <v>89</v>
      </c>
      <c r="Y3" s="19" t="s">
        <v>89</v>
      </c>
      <c r="Z3" s="19" t="s">
        <v>89</v>
      </c>
      <c r="AA3" s="19" t="s">
        <v>89</v>
      </c>
      <c r="AB3" s="19" t="s">
        <v>89</v>
      </c>
      <c r="AC3" s="52" t="s">
        <v>89</v>
      </c>
      <c r="AD3" s="69" t="s">
        <v>104</v>
      </c>
      <c r="AE3" s="86" t="s">
        <v>103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15">
      <c r="A4" s="20"/>
      <c r="B4" s="21">
        <v>1087</v>
      </c>
      <c r="C4" s="21">
        <v>1088</v>
      </c>
      <c r="D4" s="21">
        <v>1006</v>
      </c>
      <c r="E4" s="21">
        <v>1007</v>
      </c>
      <c r="F4" s="21">
        <v>1015</v>
      </c>
      <c r="G4" s="36">
        <v>1017</v>
      </c>
      <c r="H4" s="21">
        <v>1018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0"/>
      <c r="T4" s="36">
        <v>1009</v>
      </c>
      <c r="U4" s="21">
        <v>1014</v>
      </c>
      <c r="V4" s="21">
        <v>1013</v>
      </c>
      <c r="W4" s="21">
        <v>1026</v>
      </c>
      <c r="X4" s="36">
        <v>1027</v>
      </c>
      <c r="Y4" s="21">
        <v>1001</v>
      </c>
      <c r="Z4" s="21">
        <v>1002</v>
      </c>
      <c r="AA4" s="21">
        <v>1003</v>
      </c>
      <c r="AB4" s="21">
        <v>1005</v>
      </c>
      <c r="AC4" s="53">
        <v>1085</v>
      </c>
      <c r="AD4" s="70"/>
      <c r="AE4" s="87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14.25" thickBot="1" x14ac:dyDescent="0.2">
      <c r="A5" s="20" t="s">
        <v>1</v>
      </c>
      <c r="B5" s="21" t="s">
        <v>4</v>
      </c>
      <c r="C5" s="21" t="s">
        <v>22</v>
      </c>
      <c r="D5" s="21" t="s">
        <v>24</v>
      </c>
      <c r="E5" s="21" t="s">
        <v>25</v>
      </c>
      <c r="F5" s="21" t="s">
        <v>26</v>
      </c>
      <c r="G5" s="36" t="s">
        <v>77</v>
      </c>
      <c r="H5" s="21" t="s">
        <v>78</v>
      </c>
      <c r="I5" s="21" t="s">
        <v>79</v>
      </c>
      <c r="J5" s="21" t="s">
        <v>80</v>
      </c>
      <c r="K5" s="21" t="s">
        <v>81</v>
      </c>
      <c r="L5" s="36" t="s">
        <v>82</v>
      </c>
      <c r="M5" s="21" t="s">
        <v>83</v>
      </c>
      <c r="N5" s="21" t="s">
        <v>84</v>
      </c>
      <c r="O5" s="21" t="s">
        <v>85</v>
      </c>
      <c r="P5" s="21" t="s">
        <v>86</v>
      </c>
      <c r="Q5" s="36" t="s">
        <v>87</v>
      </c>
      <c r="R5" s="53" t="s">
        <v>88</v>
      </c>
      <c r="S5" s="71" t="s">
        <v>105</v>
      </c>
      <c r="T5" s="36" t="s">
        <v>90</v>
      </c>
      <c r="U5" s="21" t="s">
        <v>91</v>
      </c>
      <c r="V5" s="21" t="s">
        <v>101</v>
      </c>
      <c r="W5" s="21" t="s">
        <v>96</v>
      </c>
      <c r="X5" s="36" t="s">
        <v>98</v>
      </c>
      <c r="Y5" s="21" t="s">
        <v>92</v>
      </c>
      <c r="Z5" s="21" t="s">
        <v>93</v>
      </c>
      <c r="AA5" s="21" t="s">
        <v>94</v>
      </c>
      <c r="AB5" s="21" t="s">
        <v>95</v>
      </c>
      <c r="AC5" s="53" t="s">
        <v>99</v>
      </c>
      <c r="AD5" s="71" t="s">
        <v>106</v>
      </c>
      <c r="AE5" s="88" t="s">
        <v>102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15">
      <c r="A6" s="22" t="s">
        <v>5</v>
      </c>
      <c r="B6" s="23">
        <v>21</v>
      </c>
      <c r="C6" s="23">
        <v>19</v>
      </c>
      <c r="D6" s="23">
        <v>21</v>
      </c>
      <c r="E6" s="23">
        <v>21</v>
      </c>
      <c r="F6" s="23">
        <v>22</v>
      </c>
      <c r="G6" s="37">
        <v>21</v>
      </c>
      <c r="H6" s="23">
        <v>21</v>
      </c>
      <c r="I6" s="23">
        <v>21</v>
      </c>
      <c r="J6" s="23">
        <v>19</v>
      </c>
      <c r="K6" s="23">
        <v>21</v>
      </c>
      <c r="L6" s="37">
        <v>21</v>
      </c>
      <c r="M6" s="23">
        <v>21</v>
      </c>
      <c r="N6" s="23">
        <v>21</v>
      </c>
      <c r="O6" s="23">
        <v>21</v>
      </c>
      <c r="P6" s="23">
        <v>18</v>
      </c>
      <c r="Q6" s="37">
        <v>21</v>
      </c>
      <c r="R6" s="54">
        <v>22</v>
      </c>
      <c r="S6" s="72">
        <f>SUM(B6:R6)</f>
        <v>352</v>
      </c>
      <c r="T6" s="37">
        <v>21</v>
      </c>
      <c r="U6" s="23">
        <v>22</v>
      </c>
      <c r="V6" s="23">
        <v>22</v>
      </c>
      <c r="W6" s="23">
        <v>14</v>
      </c>
      <c r="X6" s="37">
        <v>14</v>
      </c>
      <c r="Y6" s="23">
        <v>21</v>
      </c>
      <c r="Z6" s="23">
        <v>10</v>
      </c>
      <c r="AA6" s="23">
        <v>10</v>
      </c>
      <c r="AB6" s="23">
        <v>11</v>
      </c>
      <c r="AC6" s="54">
        <v>4</v>
      </c>
      <c r="AD6" s="72">
        <f>SUM(T6:AC6)</f>
        <v>149</v>
      </c>
      <c r="AE6" s="89">
        <v>501</v>
      </c>
      <c r="AF6" s="3"/>
      <c r="AG6" s="3"/>
      <c r="AH6" s="3"/>
      <c r="AI6" s="3"/>
      <c r="AJ6" s="3"/>
      <c r="AK6" s="3"/>
      <c r="AL6" s="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15">
      <c r="A7" s="14" t="s">
        <v>6</v>
      </c>
      <c r="B7" s="8">
        <v>2</v>
      </c>
      <c r="C7" s="9"/>
      <c r="D7" s="8">
        <v>1</v>
      </c>
      <c r="E7" s="8">
        <v>3</v>
      </c>
      <c r="F7" s="8">
        <v>2</v>
      </c>
      <c r="G7" s="38">
        <v>2</v>
      </c>
      <c r="H7" s="8">
        <v>3</v>
      </c>
      <c r="I7" s="8">
        <v>3</v>
      </c>
      <c r="J7" s="8">
        <v>3</v>
      </c>
      <c r="K7" s="8">
        <v>3</v>
      </c>
      <c r="L7" s="38">
        <v>2</v>
      </c>
      <c r="M7" s="8">
        <v>1</v>
      </c>
      <c r="N7" s="8">
        <v>2</v>
      </c>
      <c r="O7" s="8">
        <v>4</v>
      </c>
      <c r="P7" s="9"/>
      <c r="Q7" s="38">
        <v>2</v>
      </c>
      <c r="R7" s="67">
        <v>1</v>
      </c>
      <c r="S7" s="73">
        <f>SUM(B7:R7)</f>
        <v>34</v>
      </c>
      <c r="T7" s="39"/>
      <c r="U7" s="9"/>
      <c r="V7" s="9"/>
      <c r="W7" s="9"/>
      <c r="X7" s="39"/>
      <c r="Y7" s="9"/>
      <c r="Z7" s="9"/>
      <c r="AA7" s="9"/>
      <c r="AB7" s="9"/>
      <c r="AC7" s="55"/>
      <c r="AD7" s="74"/>
      <c r="AE7" s="90">
        <v>34</v>
      </c>
      <c r="AF7" s="4"/>
      <c r="AG7" s="4"/>
      <c r="AH7" s="4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15">
      <c r="A8" s="14" t="s">
        <v>7</v>
      </c>
      <c r="B8" s="8">
        <v>1</v>
      </c>
      <c r="C8" s="9"/>
      <c r="D8" s="8">
        <v>4</v>
      </c>
      <c r="E8" s="8">
        <v>2</v>
      </c>
      <c r="F8" s="8">
        <v>2</v>
      </c>
      <c r="G8" s="38">
        <v>3</v>
      </c>
      <c r="H8" s="8">
        <v>2</v>
      </c>
      <c r="I8" s="9"/>
      <c r="J8" s="8">
        <v>1</v>
      </c>
      <c r="K8" s="8">
        <v>2</v>
      </c>
      <c r="L8" s="38">
        <v>2</v>
      </c>
      <c r="M8" s="8">
        <v>5</v>
      </c>
      <c r="N8" s="8">
        <v>2</v>
      </c>
      <c r="O8" s="8">
        <v>1</v>
      </c>
      <c r="P8" s="8">
        <v>3</v>
      </c>
      <c r="Q8" s="38">
        <v>1</v>
      </c>
      <c r="R8" s="67">
        <v>2</v>
      </c>
      <c r="S8" s="73">
        <f>SUM(B8:R8)</f>
        <v>33</v>
      </c>
      <c r="T8" s="39"/>
      <c r="U8" s="9"/>
      <c r="V8" s="9"/>
      <c r="W8" s="9"/>
      <c r="X8" s="39"/>
      <c r="Y8" s="9"/>
      <c r="Z8" s="9"/>
      <c r="AA8" s="9"/>
      <c r="AB8" s="9"/>
      <c r="AC8" s="55"/>
      <c r="AD8" s="74"/>
      <c r="AE8" s="90">
        <v>33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15">
      <c r="A9" s="14" t="s">
        <v>8</v>
      </c>
      <c r="B9" s="9"/>
      <c r="C9" s="9"/>
      <c r="D9" s="9"/>
      <c r="E9" s="9"/>
      <c r="F9" s="9"/>
      <c r="G9" s="39"/>
      <c r="H9" s="9"/>
      <c r="I9" s="9"/>
      <c r="J9" s="9"/>
      <c r="K9" s="9"/>
      <c r="L9" s="39"/>
      <c r="M9" s="9"/>
      <c r="N9" s="9"/>
      <c r="O9" s="9"/>
      <c r="P9" s="9"/>
      <c r="Q9" s="39"/>
      <c r="R9" s="55"/>
      <c r="S9" s="74"/>
      <c r="T9" s="39"/>
      <c r="U9" s="9"/>
      <c r="V9" s="9"/>
      <c r="W9" s="9"/>
      <c r="X9" s="39"/>
      <c r="Y9" s="9"/>
      <c r="Z9" s="9"/>
      <c r="AA9" s="9"/>
      <c r="AB9" s="9"/>
      <c r="AC9" s="55"/>
      <c r="AD9" s="74"/>
      <c r="AE9" s="9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15">
      <c r="A10" s="14" t="s">
        <v>9</v>
      </c>
      <c r="B10" s="9"/>
      <c r="C10" s="9"/>
      <c r="D10" s="9"/>
      <c r="E10" s="9"/>
      <c r="F10" s="9"/>
      <c r="G10" s="39"/>
      <c r="H10" s="9"/>
      <c r="I10" s="9"/>
      <c r="J10" s="9"/>
      <c r="K10" s="9"/>
      <c r="L10" s="39"/>
      <c r="M10" s="9"/>
      <c r="N10" s="9"/>
      <c r="O10" s="9"/>
      <c r="P10" s="9"/>
      <c r="Q10" s="39"/>
      <c r="R10" s="55"/>
      <c r="S10" s="74"/>
      <c r="T10" s="38">
        <v>1</v>
      </c>
      <c r="U10" s="9"/>
      <c r="V10" s="9"/>
      <c r="W10" s="9"/>
      <c r="X10" s="39"/>
      <c r="Y10" s="9"/>
      <c r="Z10" s="8">
        <v>2</v>
      </c>
      <c r="AA10" s="8">
        <v>2</v>
      </c>
      <c r="AB10" s="9"/>
      <c r="AC10" s="55"/>
      <c r="AD10" s="73">
        <f>SUM(T10:AC10)</f>
        <v>5</v>
      </c>
      <c r="AE10" s="90">
        <v>5</v>
      </c>
      <c r="AF10" s="1"/>
      <c r="AG10" s="3"/>
      <c r="AH10" s="3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15">
      <c r="A11" s="14" t="s">
        <v>10</v>
      </c>
      <c r="B11" s="9"/>
      <c r="C11" s="9"/>
      <c r="D11" s="9"/>
      <c r="E11" s="9"/>
      <c r="F11" s="9"/>
      <c r="G11" s="39"/>
      <c r="H11" s="9"/>
      <c r="I11" s="9"/>
      <c r="J11" s="9"/>
      <c r="K11" s="9"/>
      <c r="L11" s="39"/>
      <c r="M11" s="9"/>
      <c r="N11" s="9"/>
      <c r="O11" s="9"/>
      <c r="P11" s="9"/>
      <c r="Q11" s="39"/>
      <c r="R11" s="55"/>
      <c r="S11" s="74"/>
      <c r="T11" s="39"/>
      <c r="U11" s="9"/>
      <c r="V11" s="9"/>
      <c r="W11" s="9"/>
      <c r="X11" s="39"/>
      <c r="Y11" s="9"/>
      <c r="Z11" s="9"/>
      <c r="AA11" s="9"/>
      <c r="AB11" s="9"/>
      <c r="AC11" s="55"/>
      <c r="AD11" s="74"/>
      <c r="AE11" s="9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15">
      <c r="A12" s="14" t="s">
        <v>11</v>
      </c>
      <c r="B12" s="8">
        <v>1</v>
      </c>
      <c r="C12" s="8">
        <v>3</v>
      </c>
      <c r="D12" s="8">
        <v>1</v>
      </c>
      <c r="E12" s="8">
        <v>1</v>
      </c>
      <c r="F12" s="9"/>
      <c r="G12" s="38">
        <v>1</v>
      </c>
      <c r="H12" s="8">
        <v>1</v>
      </c>
      <c r="I12" s="8">
        <v>1</v>
      </c>
      <c r="J12" s="8">
        <v>3</v>
      </c>
      <c r="K12" s="8">
        <v>1</v>
      </c>
      <c r="L12" s="38">
        <v>1</v>
      </c>
      <c r="M12" s="8">
        <v>1</v>
      </c>
      <c r="N12" s="8">
        <v>1</v>
      </c>
      <c r="O12" s="8">
        <v>1</v>
      </c>
      <c r="P12" s="8">
        <v>4</v>
      </c>
      <c r="Q12" s="38">
        <v>1</v>
      </c>
      <c r="R12" s="55"/>
      <c r="S12" s="73">
        <f>SUM(B12:R12)</f>
        <v>22</v>
      </c>
      <c r="T12" s="39"/>
      <c r="U12" s="9"/>
      <c r="V12" s="9"/>
      <c r="W12" s="9"/>
      <c r="X12" s="39"/>
      <c r="Y12" s="9"/>
      <c r="Z12" s="9"/>
      <c r="AA12" s="9"/>
      <c r="AB12" s="9"/>
      <c r="AC12" s="55"/>
      <c r="AD12" s="74"/>
      <c r="AE12" s="90">
        <v>22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15">
      <c r="A13" s="14" t="s">
        <v>12</v>
      </c>
      <c r="B13" s="9"/>
      <c r="C13" s="9"/>
      <c r="D13" s="9"/>
      <c r="E13" s="9"/>
      <c r="F13" s="9"/>
      <c r="G13" s="39"/>
      <c r="H13" s="9"/>
      <c r="I13" s="9"/>
      <c r="J13" s="9"/>
      <c r="K13" s="9"/>
      <c r="L13" s="39"/>
      <c r="M13" s="9"/>
      <c r="N13" s="9"/>
      <c r="O13" s="9"/>
      <c r="P13" s="9"/>
      <c r="Q13" s="39"/>
      <c r="R13" s="55"/>
      <c r="S13" s="74"/>
      <c r="T13" s="39"/>
      <c r="U13" s="9"/>
      <c r="V13" s="9"/>
      <c r="W13" s="10">
        <v>4.083333333333333</v>
      </c>
      <c r="X13" s="40">
        <v>3.9583333333333335</v>
      </c>
      <c r="Y13" s="10">
        <v>3.125</v>
      </c>
      <c r="Z13" s="10">
        <v>2.9583333333333335</v>
      </c>
      <c r="AA13" s="10">
        <v>2.9583333333333335</v>
      </c>
      <c r="AB13" s="10">
        <v>3.2083333333333335</v>
      </c>
      <c r="AC13" s="56">
        <v>1.2916666666666667</v>
      </c>
      <c r="AD13" s="75">
        <f>SUM(T13:AC13)</f>
        <v>21.583333333333332</v>
      </c>
      <c r="AE13" s="92">
        <v>21.583333333333332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15">
      <c r="A14" s="14" t="s">
        <v>13</v>
      </c>
      <c r="B14" s="10">
        <v>2.5416666666666665</v>
      </c>
      <c r="C14" s="10">
        <v>0.83333333333333337</v>
      </c>
      <c r="D14" s="10">
        <v>1.25</v>
      </c>
      <c r="E14" s="10">
        <v>2.0833333333333335</v>
      </c>
      <c r="F14" s="10">
        <v>2.0833333333333335</v>
      </c>
      <c r="G14" s="40">
        <v>2.9583333333333335</v>
      </c>
      <c r="H14" s="10">
        <v>2.5833333333333335</v>
      </c>
      <c r="I14" s="10">
        <v>2.4166666666666665</v>
      </c>
      <c r="J14" s="10">
        <v>2.25</v>
      </c>
      <c r="K14" s="10">
        <v>2.0416666666666665</v>
      </c>
      <c r="L14" s="40">
        <v>2.3333333333333335</v>
      </c>
      <c r="M14" s="10">
        <v>1.5833333333333333</v>
      </c>
      <c r="N14" s="10">
        <v>2.8333333333333335</v>
      </c>
      <c r="O14" s="10">
        <v>0.75</v>
      </c>
      <c r="P14" s="10">
        <v>1.3333333333333333</v>
      </c>
      <c r="Q14" s="40">
        <v>2.0416666666666665</v>
      </c>
      <c r="R14" s="56">
        <v>1.2083333333333333</v>
      </c>
      <c r="S14" s="75">
        <f>SUM(B14:R14)</f>
        <v>33.125</v>
      </c>
      <c r="T14" s="39"/>
      <c r="U14" s="9"/>
      <c r="V14" s="9"/>
      <c r="W14" s="9"/>
      <c r="X14" s="39"/>
      <c r="Y14" s="9"/>
      <c r="Z14" s="9"/>
      <c r="AA14" s="9"/>
      <c r="AB14" s="9"/>
      <c r="AC14" s="56">
        <v>0.125</v>
      </c>
      <c r="AD14" s="75">
        <f>SUM(T14:AC14)</f>
        <v>0.125</v>
      </c>
      <c r="AE14" s="92">
        <v>33.25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15">
      <c r="A15" s="14" t="s">
        <v>14</v>
      </c>
      <c r="B15" s="10">
        <v>0.75</v>
      </c>
      <c r="C15" s="9"/>
      <c r="D15" s="10">
        <v>0.41666666666666669</v>
      </c>
      <c r="E15" s="10">
        <v>1.0833333333333333</v>
      </c>
      <c r="F15" s="10">
        <v>0.75</v>
      </c>
      <c r="G15" s="40">
        <v>0.66666666666666663</v>
      </c>
      <c r="H15" s="10">
        <v>1.5833333333333333</v>
      </c>
      <c r="I15" s="10">
        <v>0.91666666666666663</v>
      </c>
      <c r="J15" s="10">
        <v>1.25</v>
      </c>
      <c r="K15" s="10">
        <v>1.125</v>
      </c>
      <c r="L15" s="40">
        <v>0.41666666666666669</v>
      </c>
      <c r="M15" s="10">
        <v>0.25</v>
      </c>
      <c r="N15" s="10">
        <v>0.41666666666666669</v>
      </c>
      <c r="O15" s="10">
        <v>1.1666666666666667</v>
      </c>
      <c r="P15" s="9"/>
      <c r="Q15" s="40">
        <v>0.79166666666666663</v>
      </c>
      <c r="R15" s="56">
        <v>0.33333333333333331</v>
      </c>
      <c r="S15" s="75">
        <f t="shared" ref="S15:S16" si="0">SUM(B15:R15)</f>
        <v>11.916666666666666</v>
      </c>
      <c r="T15" s="39"/>
      <c r="U15" s="9"/>
      <c r="V15" s="9"/>
      <c r="W15" s="9"/>
      <c r="X15" s="39"/>
      <c r="Y15" s="9"/>
      <c r="Z15" s="9"/>
      <c r="AA15" s="9"/>
      <c r="AB15" s="9"/>
      <c r="AC15" s="55"/>
      <c r="AD15" s="74"/>
      <c r="AE15" s="92">
        <v>11.916666666666666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15">
      <c r="A16" s="14" t="s">
        <v>15</v>
      </c>
      <c r="B16" s="10">
        <v>0.25</v>
      </c>
      <c r="C16" s="9"/>
      <c r="D16" s="10">
        <v>1.0833333333333333</v>
      </c>
      <c r="E16" s="10">
        <v>0.75</v>
      </c>
      <c r="F16" s="10">
        <v>0.75</v>
      </c>
      <c r="G16" s="40">
        <v>1.0833333333333333</v>
      </c>
      <c r="H16" s="10">
        <v>1</v>
      </c>
      <c r="I16" s="9"/>
      <c r="J16" s="10">
        <v>0.54166666666666663</v>
      </c>
      <c r="K16" s="10">
        <v>0.625</v>
      </c>
      <c r="L16" s="40">
        <v>0.75</v>
      </c>
      <c r="M16" s="10">
        <v>1.75</v>
      </c>
      <c r="N16" s="10">
        <v>0.70833333333333337</v>
      </c>
      <c r="O16" s="10">
        <v>0.25</v>
      </c>
      <c r="P16" s="10">
        <v>0.83333333333333337</v>
      </c>
      <c r="Q16" s="40">
        <v>0.25</v>
      </c>
      <c r="R16" s="56">
        <v>0.58333333333333337</v>
      </c>
      <c r="S16" s="75">
        <f t="shared" si="0"/>
        <v>11.208333333333334</v>
      </c>
      <c r="T16" s="39"/>
      <c r="U16" s="9"/>
      <c r="V16" s="9"/>
      <c r="W16" s="9"/>
      <c r="X16" s="39"/>
      <c r="Y16" s="9"/>
      <c r="Z16" s="9"/>
      <c r="AA16" s="9"/>
      <c r="AB16" s="9"/>
      <c r="AC16" s="55"/>
      <c r="AD16" s="74"/>
      <c r="AE16" s="92">
        <v>11.208333333333334</v>
      </c>
      <c r="AF16" s="5"/>
      <c r="AG16" s="5"/>
      <c r="AH16" s="5"/>
      <c r="AI16" s="5"/>
      <c r="AJ16" s="5"/>
      <c r="AK16" s="5"/>
      <c r="AL16" s="5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15">
      <c r="A17" s="14" t="s">
        <v>16</v>
      </c>
      <c r="B17" s="9"/>
      <c r="C17" s="9"/>
      <c r="D17" s="9"/>
      <c r="E17" s="9"/>
      <c r="F17" s="9"/>
      <c r="G17" s="39"/>
      <c r="H17" s="9"/>
      <c r="I17" s="9"/>
      <c r="J17" s="9"/>
      <c r="K17" s="9"/>
      <c r="L17" s="39"/>
      <c r="M17" s="9"/>
      <c r="N17" s="9"/>
      <c r="O17" s="9"/>
      <c r="P17" s="9"/>
      <c r="Q17" s="39"/>
      <c r="R17" s="55"/>
      <c r="S17" s="74"/>
      <c r="T17" s="39"/>
      <c r="U17" s="9"/>
      <c r="V17" s="9"/>
      <c r="W17" s="9"/>
      <c r="X17" s="39"/>
      <c r="Y17" s="9"/>
      <c r="Z17" s="9"/>
      <c r="AA17" s="9"/>
      <c r="AB17" s="9"/>
      <c r="AC17" s="55"/>
      <c r="AD17" s="74"/>
      <c r="AE17" s="91"/>
      <c r="AF17" s="5"/>
      <c r="AG17" s="5"/>
      <c r="AH17" s="5"/>
      <c r="AI17" s="5"/>
      <c r="AJ17" s="5"/>
      <c r="AK17" s="5"/>
      <c r="AL17" s="5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15">
      <c r="A18" s="14" t="s">
        <v>17</v>
      </c>
      <c r="B18" s="9"/>
      <c r="C18" s="9"/>
      <c r="D18" s="9"/>
      <c r="E18" s="9"/>
      <c r="F18" s="9"/>
      <c r="G18" s="39"/>
      <c r="H18" s="9"/>
      <c r="I18" s="9"/>
      <c r="J18" s="9"/>
      <c r="K18" s="9"/>
      <c r="L18" s="39"/>
      <c r="M18" s="9"/>
      <c r="N18" s="9"/>
      <c r="O18" s="9"/>
      <c r="P18" s="9"/>
      <c r="Q18" s="39"/>
      <c r="R18" s="55"/>
      <c r="S18" s="74"/>
      <c r="T18" s="39"/>
      <c r="U18" s="9"/>
      <c r="V18" s="9"/>
      <c r="W18" s="9"/>
      <c r="X18" s="39"/>
      <c r="Y18" s="9"/>
      <c r="Z18" s="9"/>
      <c r="AA18" s="9"/>
      <c r="AB18" s="9"/>
      <c r="AC18" s="55"/>
      <c r="AD18" s="74"/>
      <c r="AE18" s="91"/>
      <c r="AF18" s="5"/>
      <c r="AG18" s="5"/>
      <c r="AH18" s="5"/>
      <c r="AI18" s="5"/>
      <c r="AJ18" s="5"/>
      <c r="AK18" s="5"/>
      <c r="AL18" s="5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15">
      <c r="A19" s="14" t="s">
        <v>18</v>
      </c>
      <c r="B19" s="9"/>
      <c r="C19" s="9"/>
      <c r="D19" s="9"/>
      <c r="E19" s="9"/>
      <c r="F19" s="9"/>
      <c r="G19" s="39"/>
      <c r="H19" s="9"/>
      <c r="I19" s="9"/>
      <c r="J19" s="9"/>
      <c r="K19" s="9"/>
      <c r="L19" s="39"/>
      <c r="M19" s="9"/>
      <c r="N19" s="9"/>
      <c r="O19" s="9"/>
      <c r="P19" s="9"/>
      <c r="Q19" s="39"/>
      <c r="R19" s="55"/>
      <c r="S19" s="74"/>
      <c r="T19" s="39"/>
      <c r="U19" s="9"/>
      <c r="V19" s="9"/>
      <c r="W19" s="9"/>
      <c r="X19" s="39"/>
      <c r="Y19" s="9"/>
      <c r="Z19" s="9"/>
      <c r="AA19" s="9"/>
      <c r="AB19" s="9"/>
      <c r="AC19" s="55"/>
      <c r="AD19" s="74"/>
      <c r="AE19" s="91"/>
      <c r="AF19" s="5"/>
      <c r="AG19" s="5"/>
      <c r="AH19" s="5"/>
      <c r="AI19" s="5"/>
      <c r="AJ19" s="5"/>
      <c r="AK19" s="5"/>
      <c r="AL19" s="5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15">
      <c r="A20" s="14" t="s">
        <v>19</v>
      </c>
      <c r="B20" s="9"/>
      <c r="C20" s="9"/>
      <c r="D20" s="9"/>
      <c r="E20" s="9"/>
      <c r="F20" s="9"/>
      <c r="G20" s="39"/>
      <c r="H20" s="9"/>
      <c r="I20" s="9"/>
      <c r="J20" s="9"/>
      <c r="K20" s="9"/>
      <c r="L20" s="39"/>
      <c r="M20" s="9"/>
      <c r="N20" s="9"/>
      <c r="O20" s="9"/>
      <c r="P20" s="9"/>
      <c r="Q20" s="39"/>
      <c r="R20" s="55"/>
      <c r="S20" s="74"/>
      <c r="T20" s="39"/>
      <c r="U20" s="9"/>
      <c r="V20" s="9"/>
      <c r="W20" s="9"/>
      <c r="X20" s="39"/>
      <c r="Y20" s="9"/>
      <c r="Z20" s="9"/>
      <c r="AA20" s="9"/>
      <c r="AB20" s="9"/>
      <c r="AC20" s="55"/>
      <c r="AD20" s="74"/>
      <c r="AE20" s="91"/>
      <c r="AF20" s="5"/>
      <c r="AG20" s="5"/>
      <c r="AH20" s="5"/>
      <c r="AI20" s="5"/>
      <c r="AJ20" s="5"/>
      <c r="AK20" s="5"/>
      <c r="AL20" s="5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15">
      <c r="A21" s="14" t="s">
        <v>20</v>
      </c>
      <c r="B21" s="9"/>
      <c r="C21" s="9"/>
      <c r="D21" s="9"/>
      <c r="E21" s="9"/>
      <c r="F21" s="9"/>
      <c r="G21" s="39"/>
      <c r="H21" s="9"/>
      <c r="I21" s="9"/>
      <c r="J21" s="9"/>
      <c r="K21" s="9"/>
      <c r="L21" s="39"/>
      <c r="M21" s="9"/>
      <c r="N21" s="9"/>
      <c r="O21" s="9"/>
      <c r="P21" s="9"/>
      <c r="Q21" s="39"/>
      <c r="R21" s="55"/>
      <c r="S21" s="74"/>
      <c r="T21" s="39"/>
      <c r="U21" s="9"/>
      <c r="V21" s="9"/>
      <c r="W21" s="9"/>
      <c r="X21" s="39"/>
      <c r="Y21" s="9"/>
      <c r="Z21" s="10">
        <v>0.58333333333333337</v>
      </c>
      <c r="AA21" s="10">
        <v>0.58333333333333337</v>
      </c>
      <c r="AB21" s="9"/>
      <c r="AC21" s="55"/>
      <c r="AD21" s="75">
        <f>SUM(T21:AC21)</f>
        <v>1.1666666666666667</v>
      </c>
      <c r="AE21" s="92">
        <v>1.1666666666666667</v>
      </c>
      <c r="AF21" s="5"/>
      <c r="AG21" s="5"/>
      <c r="AH21" s="5"/>
      <c r="AI21" s="5"/>
      <c r="AJ21" s="5"/>
      <c r="AK21" s="5"/>
      <c r="AL21" s="5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ht="14.25" thickBot="1" x14ac:dyDescent="0.2">
      <c r="A22" s="24" t="s">
        <v>21</v>
      </c>
      <c r="B22" s="25">
        <v>0.95833333333333337</v>
      </c>
      <c r="C22" s="26"/>
      <c r="D22" s="25">
        <v>0.29166666666666669</v>
      </c>
      <c r="E22" s="25">
        <v>0.29166666666666669</v>
      </c>
      <c r="F22" s="26"/>
      <c r="G22" s="41">
        <v>1.375</v>
      </c>
      <c r="H22" s="25">
        <v>1.9583333333333333</v>
      </c>
      <c r="I22" s="25">
        <v>1.3333333333333333</v>
      </c>
      <c r="J22" s="25">
        <v>1</v>
      </c>
      <c r="K22" s="25">
        <v>4.1666666666666664E-2</v>
      </c>
      <c r="L22" s="41">
        <v>0.16666666666666666</v>
      </c>
      <c r="M22" s="25">
        <v>4.1666666666666664E-2</v>
      </c>
      <c r="N22" s="25">
        <v>0.45833333333333331</v>
      </c>
      <c r="O22" s="25">
        <v>4.1666666666666664E-2</v>
      </c>
      <c r="P22" s="25">
        <v>0.75</v>
      </c>
      <c r="Q22" s="41">
        <v>0.125</v>
      </c>
      <c r="R22" s="68">
        <v>0.79166666666666663</v>
      </c>
      <c r="S22" s="76">
        <f>SUM(B22:R22)</f>
        <v>9.625</v>
      </c>
      <c r="T22" s="41">
        <v>0.125</v>
      </c>
      <c r="U22" s="26"/>
      <c r="V22" s="25">
        <v>4.1666666666666664E-2</v>
      </c>
      <c r="W22" s="26"/>
      <c r="X22" s="51"/>
      <c r="Y22" s="26"/>
      <c r="Z22" s="25">
        <v>2.0833333333333335</v>
      </c>
      <c r="AA22" s="25">
        <v>2.0833333333333335</v>
      </c>
      <c r="AB22" s="25">
        <v>2.2916666666666665</v>
      </c>
      <c r="AC22" s="57"/>
      <c r="AD22" s="75">
        <f>SUM(T22:AC22)</f>
        <v>6.625</v>
      </c>
      <c r="AE22" s="93">
        <v>16.25</v>
      </c>
      <c r="AF22" s="5"/>
      <c r="AG22" s="5"/>
      <c r="AH22" s="5"/>
      <c r="AI22" s="5"/>
      <c r="AJ22" s="5"/>
      <c r="AK22" s="5"/>
      <c r="AL22" s="5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15">
      <c r="A23" s="22" t="s">
        <v>27</v>
      </c>
      <c r="B23" s="27">
        <v>170000</v>
      </c>
      <c r="C23" s="27">
        <v>210000</v>
      </c>
      <c r="D23" s="27">
        <v>177000</v>
      </c>
      <c r="E23" s="27">
        <v>187000</v>
      </c>
      <c r="F23" s="27">
        <v>192000</v>
      </c>
      <c r="G23" s="42">
        <v>187000</v>
      </c>
      <c r="H23" s="27">
        <v>182000</v>
      </c>
      <c r="I23" s="27">
        <v>192000</v>
      </c>
      <c r="J23" s="27">
        <v>187000</v>
      </c>
      <c r="K23" s="27">
        <v>172000</v>
      </c>
      <c r="L23" s="42">
        <v>177000</v>
      </c>
      <c r="M23" s="27">
        <v>172000</v>
      </c>
      <c r="N23" s="27">
        <v>177000</v>
      </c>
      <c r="O23" s="27">
        <v>170000</v>
      </c>
      <c r="P23" s="27">
        <v>170000</v>
      </c>
      <c r="Q23" s="42">
        <v>170000</v>
      </c>
      <c r="R23" s="58">
        <v>210000</v>
      </c>
      <c r="S23" s="77">
        <f>SUM(B23:R23)</f>
        <v>3102000</v>
      </c>
      <c r="T23" s="42">
        <v>485000</v>
      </c>
      <c r="U23" s="27">
        <v>365000</v>
      </c>
      <c r="V23" s="27">
        <v>355000</v>
      </c>
      <c r="W23" s="27">
        <v>0</v>
      </c>
      <c r="X23" s="42">
        <v>0</v>
      </c>
      <c r="Y23" s="27">
        <v>0</v>
      </c>
      <c r="Z23" s="27">
        <v>0</v>
      </c>
      <c r="AA23" s="27">
        <v>0</v>
      </c>
      <c r="AB23" s="27">
        <v>0</v>
      </c>
      <c r="AC23" s="58">
        <v>0</v>
      </c>
      <c r="AD23" s="77">
        <f>SUM(T23:AC23)</f>
        <v>1205000</v>
      </c>
      <c r="AE23" s="94">
        <v>4307000</v>
      </c>
      <c r="AF23" s="5"/>
      <c r="AG23" s="5"/>
      <c r="AH23" s="5"/>
      <c r="AI23" s="5"/>
      <c r="AJ23" s="5"/>
      <c r="AK23" s="5"/>
      <c r="AL23" s="5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15">
      <c r="A24" s="14" t="s">
        <v>28</v>
      </c>
      <c r="B24" s="9">
        <v>0</v>
      </c>
      <c r="C24" s="9">
        <v>0</v>
      </c>
      <c r="D24" s="9">
        <v>0</v>
      </c>
      <c r="E24" s="9">
        <v>0</v>
      </c>
      <c r="F24" s="9">
        <v>20000</v>
      </c>
      <c r="G24" s="39">
        <v>5000</v>
      </c>
      <c r="H24" s="9">
        <v>0</v>
      </c>
      <c r="I24" s="9">
        <v>20000</v>
      </c>
      <c r="J24" s="9">
        <v>5000</v>
      </c>
      <c r="K24" s="9">
        <v>0</v>
      </c>
      <c r="L24" s="39">
        <v>0</v>
      </c>
      <c r="M24" s="9">
        <v>0</v>
      </c>
      <c r="N24" s="9">
        <v>0</v>
      </c>
      <c r="O24" s="9">
        <v>0</v>
      </c>
      <c r="P24" s="9">
        <v>0</v>
      </c>
      <c r="Q24" s="39">
        <v>0</v>
      </c>
      <c r="R24" s="55">
        <v>0</v>
      </c>
      <c r="S24" s="74">
        <f t="shared" ref="S24:S73" si="1">SUM(B24:R24)</f>
        <v>50000</v>
      </c>
      <c r="T24" s="39">
        <v>0</v>
      </c>
      <c r="U24" s="9">
        <v>0</v>
      </c>
      <c r="V24" s="9">
        <v>0</v>
      </c>
      <c r="W24" s="9">
        <v>0</v>
      </c>
      <c r="X24" s="39">
        <v>0</v>
      </c>
      <c r="Y24" s="9">
        <v>0</v>
      </c>
      <c r="Z24" s="9">
        <v>0</v>
      </c>
      <c r="AA24" s="9">
        <v>0</v>
      </c>
      <c r="AB24" s="9">
        <v>0</v>
      </c>
      <c r="AC24" s="55">
        <v>0</v>
      </c>
      <c r="AD24" s="74">
        <f t="shared" ref="AD24:AD73" si="2">SUM(T24:AC24)</f>
        <v>0</v>
      </c>
      <c r="AE24" s="91">
        <v>50000</v>
      </c>
      <c r="AF24" s="5"/>
      <c r="AG24" s="5"/>
      <c r="AH24" s="5"/>
      <c r="AI24" s="5"/>
      <c r="AJ24" s="5"/>
      <c r="AK24" s="5"/>
      <c r="AL24" s="5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15">
      <c r="A25" s="14" t="s">
        <v>29</v>
      </c>
      <c r="B25" s="9">
        <v>0</v>
      </c>
      <c r="C25" s="9">
        <v>0</v>
      </c>
      <c r="D25" s="9">
        <v>0</v>
      </c>
      <c r="E25" s="9">
        <v>0</v>
      </c>
      <c r="F25" s="9">
        <v>3000</v>
      </c>
      <c r="G25" s="39">
        <v>0</v>
      </c>
      <c r="H25" s="9">
        <v>0</v>
      </c>
      <c r="I25" s="9">
        <v>0</v>
      </c>
      <c r="J25" s="9">
        <v>0</v>
      </c>
      <c r="K25" s="9">
        <v>0</v>
      </c>
      <c r="L25" s="39">
        <v>0</v>
      </c>
      <c r="M25" s="9">
        <v>0</v>
      </c>
      <c r="N25" s="9">
        <v>0</v>
      </c>
      <c r="O25" s="9">
        <v>0</v>
      </c>
      <c r="P25" s="9">
        <v>0</v>
      </c>
      <c r="Q25" s="39">
        <v>0</v>
      </c>
      <c r="R25" s="55">
        <v>0</v>
      </c>
      <c r="S25" s="74">
        <f t="shared" si="1"/>
        <v>3000</v>
      </c>
      <c r="T25" s="39">
        <v>0</v>
      </c>
      <c r="U25" s="9">
        <v>0</v>
      </c>
      <c r="V25" s="9">
        <v>0</v>
      </c>
      <c r="W25" s="9">
        <v>0</v>
      </c>
      <c r="X25" s="39">
        <v>0</v>
      </c>
      <c r="Y25" s="9">
        <v>0</v>
      </c>
      <c r="Z25" s="9">
        <v>0</v>
      </c>
      <c r="AA25" s="9">
        <v>0</v>
      </c>
      <c r="AB25" s="9">
        <v>0</v>
      </c>
      <c r="AC25" s="55">
        <v>0</v>
      </c>
      <c r="AD25" s="74">
        <f t="shared" si="2"/>
        <v>0</v>
      </c>
      <c r="AE25" s="91">
        <v>3000</v>
      </c>
      <c r="AF25" s="5"/>
      <c r="AG25" s="5"/>
      <c r="AH25" s="5"/>
      <c r="AI25" s="5"/>
      <c r="AJ25" s="5"/>
      <c r="AK25" s="5"/>
      <c r="AL25" s="5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15">
      <c r="A26" s="14" t="s">
        <v>30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39">
        <v>0</v>
      </c>
      <c r="H26" s="9">
        <v>0</v>
      </c>
      <c r="I26" s="9">
        <v>0</v>
      </c>
      <c r="J26" s="9">
        <v>0</v>
      </c>
      <c r="K26" s="9">
        <v>0</v>
      </c>
      <c r="L26" s="39">
        <v>0</v>
      </c>
      <c r="M26" s="9">
        <v>0</v>
      </c>
      <c r="N26" s="9">
        <v>0</v>
      </c>
      <c r="O26" s="9">
        <v>0</v>
      </c>
      <c r="P26" s="9">
        <v>0</v>
      </c>
      <c r="Q26" s="39">
        <v>0</v>
      </c>
      <c r="R26" s="55">
        <v>0</v>
      </c>
      <c r="S26" s="74">
        <f t="shared" si="1"/>
        <v>0</v>
      </c>
      <c r="T26" s="39">
        <v>0</v>
      </c>
      <c r="U26" s="9">
        <v>0</v>
      </c>
      <c r="V26" s="9">
        <v>0</v>
      </c>
      <c r="W26" s="9">
        <v>0</v>
      </c>
      <c r="X26" s="39">
        <v>0</v>
      </c>
      <c r="Y26" s="9">
        <v>0</v>
      </c>
      <c r="Z26" s="9">
        <v>0</v>
      </c>
      <c r="AA26" s="9">
        <v>0</v>
      </c>
      <c r="AB26" s="9">
        <v>0</v>
      </c>
      <c r="AC26" s="55">
        <v>0</v>
      </c>
      <c r="AD26" s="74">
        <f t="shared" si="2"/>
        <v>0</v>
      </c>
      <c r="AE26" s="91">
        <v>0</v>
      </c>
      <c r="AF26" s="5"/>
      <c r="AG26" s="5"/>
      <c r="AH26" s="5"/>
      <c r="AI26" s="5"/>
      <c r="AJ26" s="5"/>
      <c r="AK26" s="5"/>
      <c r="AL26" s="5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15">
      <c r="A27" s="14" t="s">
        <v>31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9">
        <v>0</v>
      </c>
      <c r="H27" s="9">
        <v>0</v>
      </c>
      <c r="I27" s="9">
        <v>0</v>
      </c>
      <c r="J27" s="9">
        <v>0</v>
      </c>
      <c r="K27" s="9">
        <v>0</v>
      </c>
      <c r="L27" s="39">
        <v>0</v>
      </c>
      <c r="M27" s="9">
        <v>0</v>
      </c>
      <c r="N27" s="9">
        <v>0</v>
      </c>
      <c r="O27" s="9">
        <v>0</v>
      </c>
      <c r="P27" s="9">
        <v>0</v>
      </c>
      <c r="Q27" s="39">
        <v>0</v>
      </c>
      <c r="R27" s="55">
        <v>0</v>
      </c>
      <c r="S27" s="74">
        <f t="shared" si="1"/>
        <v>0</v>
      </c>
      <c r="T27" s="39">
        <v>0</v>
      </c>
      <c r="U27" s="9">
        <v>0</v>
      </c>
      <c r="V27" s="9">
        <v>0</v>
      </c>
      <c r="W27" s="9">
        <v>0</v>
      </c>
      <c r="X27" s="39">
        <v>0</v>
      </c>
      <c r="Y27" s="9">
        <v>0</v>
      </c>
      <c r="Z27" s="9">
        <v>0</v>
      </c>
      <c r="AA27" s="9">
        <v>0</v>
      </c>
      <c r="AB27" s="9">
        <v>0</v>
      </c>
      <c r="AC27" s="55">
        <v>0</v>
      </c>
      <c r="AD27" s="74">
        <f t="shared" si="2"/>
        <v>0</v>
      </c>
      <c r="AE27" s="91">
        <v>0</v>
      </c>
      <c r="AF27" s="5"/>
      <c r="AG27" s="5"/>
      <c r="AH27" s="5"/>
      <c r="AI27" s="5"/>
      <c r="AJ27" s="5"/>
      <c r="AK27" s="5"/>
      <c r="AL27" s="5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15">
      <c r="A28" s="14" t="s">
        <v>32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39">
        <v>0</v>
      </c>
      <c r="H28" s="9">
        <v>0</v>
      </c>
      <c r="I28" s="9">
        <v>0</v>
      </c>
      <c r="J28" s="9">
        <v>0</v>
      </c>
      <c r="K28" s="9">
        <v>0</v>
      </c>
      <c r="L28" s="39">
        <v>0</v>
      </c>
      <c r="M28" s="9">
        <v>0</v>
      </c>
      <c r="N28" s="9">
        <v>0</v>
      </c>
      <c r="O28" s="9">
        <v>0</v>
      </c>
      <c r="P28" s="9">
        <v>0</v>
      </c>
      <c r="Q28" s="39">
        <v>0</v>
      </c>
      <c r="R28" s="55">
        <v>0</v>
      </c>
      <c r="S28" s="74">
        <f t="shared" si="1"/>
        <v>0</v>
      </c>
      <c r="T28" s="39">
        <v>0</v>
      </c>
      <c r="U28" s="9">
        <v>0</v>
      </c>
      <c r="V28" s="9">
        <v>0</v>
      </c>
      <c r="W28" s="9">
        <v>0</v>
      </c>
      <c r="X28" s="39">
        <v>0</v>
      </c>
      <c r="Y28" s="9">
        <v>0</v>
      </c>
      <c r="Z28" s="9">
        <v>0</v>
      </c>
      <c r="AA28" s="9">
        <v>0</v>
      </c>
      <c r="AB28" s="9">
        <v>0</v>
      </c>
      <c r="AC28" s="55">
        <v>0</v>
      </c>
      <c r="AD28" s="74">
        <f t="shared" si="2"/>
        <v>0</v>
      </c>
      <c r="AE28" s="91">
        <v>0</v>
      </c>
      <c r="AF28" s="5"/>
      <c r="AG28" s="5"/>
      <c r="AH28" s="5"/>
      <c r="AI28" s="5"/>
      <c r="AJ28" s="5"/>
      <c r="AK28" s="5"/>
      <c r="AL28" s="5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15">
      <c r="A29" s="14" t="s">
        <v>33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39">
        <v>0</v>
      </c>
      <c r="H29" s="9">
        <v>0</v>
      </c>
      <c r="I29" s="9">
        <v>0</v>
      </c>
      <c r="J29" s="9">
        <v>0</v>
      </c>
      <c r="K29" s="9">
        <v>0</v>
      </c>
      <c r="L29" s="39">
        <v>0</v>
      </c>
      <c r="M29" s="9">
        <v>0</v>
      </c>
      <c r="N29" s="9">
        <v>0</v>
      </c>
      <c r="O29" s="9">
        <v>0</v>
      </c>
      <c r="P29" s="9">
        <v>0</v>
      </c>
      <c r="Q29" s="39">
        <v>0</v>
      </c>
      <c r="R29" s="55">
        <v>0</v>
      </c>
      <c r="S29" s="74">
        <f t="shared" si="1"/>
        <v>0</v>
      </c>
      <c r="T29" s="39">
        <v>0</v>
      </c>
      <c r="U29" s="9">
        <v>0</v>
      </c>
      <c r="V29" s="9">
        <v>0</v>
      </c>
      <c r="W29" s="9">
        <v>0</v>
      </c>
      <c r="X29" s="39">
        <v>0</v>
      </c>
      <c r="Y29" s="9">
        <v>0</v>
      </c>
      <c r="Z29" s="9">
        <v>0</v>
      </c>
      <c r="AA29" s="9">
        <v>0</v>
      </c>
      <c r="AB29" s="9">
        <v>0</v>
      </c>
      <c r="AC29" s="55">
        <v>0</v>
      </c>
      <c r="AD29" s="74">
        <f t="shared" si="2"/>
        <v>0</v>
      </c>
      <c r="AE29" s="91">
        <v>0</v>
      </c>
      <c r="AF29" s="5"/>
      <c r="AG29" s="5"/>
      <c r="AH29" s="5"/>
      <c r="AI29" s="5"/>
      <c r="AJ29" s="5"/>
      <c r="AK29" s="5"/>
      <c r="AL29" s="5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15">
      <c r="A30" s="14" t="s">
        <v>34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39">
        <v>0</v>
      </c>
      <c r="H30" s="9">
        <v>0</v>
      </c>
      <c r="I30" s="9">
        <v>0</v>
      </c>
      <c r="J30" s="9">
        <v>0</v>
      </c>
      <c r="K30" s="9">
        <v>0</v>
      </c>
      <c r="L30" s="39">
        <v>0</v>
      </c>
      <c r="M30" s="9">
        <v>0</v>
      </c>
      <c r="N30" s="9">
        <v>0</v>
      </c>
      <c r="O30" s="9">
        <v>0</v>
      </c>
      <c r="P30" s="9">
        <v>0</v>
      </c>
      <c r="Q30" s="39">
        <v>0</v>
      </c>
      <c r="R30" s="55">
        <v>0</v>
      </c>
      <c r="S30" s="74">
        <f t="shared" si="1"/>
        <v>0</v>
      </c>
      <c r="T30" s="39">
        <v>0</v>
      </c>
      <c r="U30" s="9">
        <v>0</v>
      </c>
      <c r="V30" s="9">
        <v>0</v>
      </c>
      <c r="W30" s="9">
        <v>0</v>
      </c>
      <c r="X30" s="39">
        <v>0</v>
      </c>
      <c r="Y30" s="9">
        <v>0</v>
      </c>
      <c r="Z30" s="9">
        <v>0</v>
      </c>
      <c r="AA30" s="9">
        <v>0</v>
      </c>
      <c r="AB30" s="9">
        <v>0</v>
      </c>
      <c r="AC30" s="55">
        <v>0</v>
      </c>
      <c r="AD30" s="74">
        <f t="shared" si="2"/>
        <v>0</v>
      </c>
      <c r="AE30" s="91">
        <v>0</v>
      </c>
      <c r="AF30" s="5"/>
      <c r="AG30" s="5"/>
      <c r="AH30" s="5"/>
      <c r="AI30" s="5"/>
      <c r="AJ30" s="5"/>
      <c r="AK30" s="5"/>
      <c r="AL30" s="5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15">
      <c r="A31" s="14" t="s">
        <v>35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39">
        <v>0</v>
      </c>
      <c r="H31" s="9">
        <v>0</v>
      </c>
      <c r="I31" s="9">
        <v>0</v>
      </c>
      <c r="J31" s="9">
        <v>0</v>
      </c>
      <c r="K31" s="9">
        <v>0</v>
      </c>
      <c r="L31" s="39">
        <v>0</v>
      </c>
      <c r="M31" s="9">
        <v>0</v>
      </c>
      <c r="N31" s="9">
        <v>0</v>
      </c>
      <c r="O31" s="9">
        <v>0</v>
      </c>
      <c r="P31" s="9">
        <v>0</v>
      </c>
      <c r="Q31" s="39">
        <v>0</v>
      </c>
      <c r="R31" s="55">
        <v>0</v>
      </c>
      <c r="S31" s="74">
        <f t="shared" si="1"/>
        <v>0</v>
      </c>
      <c r="T31" s="39">
        <v>0</v>
      </c>
      <c r="U31" s="9">
        <v>0</v>
      </c>
      <c r="V31" s="9">
        <v>0</v>
      </c>
      <c r="W31" s="9">
        <v>85260</v>
      </c>
      <c r="X31" s="39">
        <v>82650</v>
      </c>
      <c r="Y31" s="9">
        <v>63000</v>
      </c>
      <c r="Z31" s="9">
        <v>59640</v>
      </c>
      <c r="AA31" s="9">
        <v>59640</v>
      </c>
      <c r="AB31" s="9">
        <v>64680</v>
      </c>
      <c r="AC31" s="55">
        <v>25730</v>
      </c>
      <c r="AD31" s="74">
        <f t="shared" si="2"/>
        <v>440600</v>
      </c>
      <c r="AE31" s="91">
        <v>440600</v>
      </c>
      <c r="AF31" s="5"/>
      <c r="AG31" s="5"/>
      <c r="AH31" s="5"/>
      <c r="AI31" s="5"/>
      <c r="AJ31" s="5"/>
      <c r="AK31" s="5"/>
      <c r="AL31" s="5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15">
      <c r="A32" s="14" t="s">
        <v>36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39">
        <v>0</v>
      </c>
      <c r="H32" s="9">
        <v>0</v>
      </c>
      <c r="I32" s="9">
        <v>0</v>
      </c>
      <c r="J32" s="9">
        <v>0</v>
      </c>
      <c r="K32" s="9">
        <v>0</v>
      </c>
      <c r="L32" s="39">
        <v>0</v>
      </c>
      <c r="M32" s="9">
        <v>0</v>
      </c>
      <c r="N32" s="9">
        <v>0</v>
      </c>
      <c r="O32" s="9">
        <v>0</v>
      </c>
      <c r="P32" s="9">
        <v>0</v>
      </c>
      <c r="Q32" s="39">
        <v>0</v>
      </c>
      <c r="R32" s="55">
        <v>0</v>
      </c>
      <c r="S32" s="74">
        <f t="shared" si="1"/>
        <v>0</v>
      </c>
      <c r="T32" s="39">
        <v>0</v>
      </c>
      <c r="U32" s="9">
        <v>0</v>
      </c>
      <c r="V32" s="9">
        <v>0</v>
      </c>
      <c r="W32" s="9">
        <v>0</v>
      </c>
      <c r="X32" s="39">
        <v>0</v>
      </c>
      <c r="Y32" s="9">
        <v>0</v>
      </c>
      <c r="Z32" s="9">
        <v>0</v>
      </c>
      <c r="AA32" s="9">
        <v>0</v>
      </c>
      <c r="AB32" s="9">
        <v>0</v>
      </c>
      <c r="AC32" s="55">
        <v>0</v>
      </c>
      <c r="AD32" s="74">
        <f t="shared" si="2"/>
        <v>0</v>
      </c>
      <c r="AE32" s="91">
        <v>0</v>
      </c>
      <c r="AF32" s="5"/>
      <c r="AG32" s="5"/>
      <c r="AH32" s="5"/>
      <c r="AI32" s="5"/>
      <c r="AJ32" s="5"/>
      <c r="AK32" s="5"/>
      <c r="AL32" s="5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15">
      <c r="A33" s="14" t="s">
        <v>37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39">
        <v>0</v>
      </c>
      <c r="H33" s="9">
        <v>0</v>
      </c>
      <c r="I33" s="9">
        <v>0</v>
      </c>
      <c r="J33" s="9">
        <v>0</v>
      </c>
      <c r="K33" s="9">
        <v>0</v>
      </c>
      <c r="L33" s="39">
        <v>0</v>
      </c>
      <c r="M33" s="9">
        <v>0</v>
      </c>
      <c r="N33" s="9">
        <v>0</v>
      </c>
      <c r="O33" s="9">
        <v>0</v>
      </c>
      <c r="P33" s="9">
        <v>0</v>
      </c>
      <c r="Q33" s="39">
        <v>0</v>
      </c>
      <c r="R33" s="55">
        <v>0</v>
      </c>
      <c r="S33" s="74">
        <f t="shared" si="1"/>
        <v>0</v>
      </c>
      <c r="T33" s="39">
        <v>0</v>
      </c>
      <c r="U33" s="9">
        <v>0</v>
      </c>
      <c r="V33" s="9">
        <v>0</v>
      </c>
      <c r="W33" s="9">
        <v>0</v>
      </c>
      <c r="X33" s="39">
        <v>0</v>
      </c>
      <c r="Y33" s="9">
        <v>0</v>
      </c>
      <c r="Z33" s="9">
        <v>0</v>
      </c>
      <c r="AA33" s="9">
        <v>0</v>
      </c>
      <c r="AB33" s="9">
        <v>0</v>
      </c>
      <c r="AC33" s="55">
        <v>0</v>
      </c>
      <c r="AD33" s="74">
        <f t="shared" si="2"/>
        <v>0</v>
      </c>
      <c r="AE33" s="91">
        <v>0</v>
      </c>
      <c r="AF33" s="5"/>
      <c r="AG33" s="5"/>
      <c r="AH33" s="5"/>
      <c r="AI33" s="5"/>
      <c r="AJ33" s="5"/>
      <c r="AK33" s="5"/>
      <c r="AL33" s="5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15">
      <c r="A34" s="14" t="s">
        <v>38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39">
        <v>0</v>
      </c>
      <c r="H34" s="9">
        <v>0</v>
      </c>
      <c r="I34" s="9">
        <v>0</v>
      </c>
      <c r="J34" s="9">
        <v>0</v>
      </c>
      <c r="K34" s="9">
        <v>0</v>
      </c>
      <c r="L34" s="39">
        <v>0</v>
      </c>
      <c r="M34" s="9">
        <v>0</v>
      </c>
      <c r="N34" s="9">
        <v>0</v>
      </c>
      <c r="O34" s="9">
        <v>0</v>
      </c>
      <c r="P34" s="9">
        <v>0</v>
      </c>
      <c r="Q34" s="39">
        <v>0</v>
      </c>
      <c r="R34" s="55">
        <v>0</v>
      </c>
      <c r="S34" s="74">
        <f t="shared" si="1"/>
        <v>0</v>
      </c>
      <c r="T34" s="39">
        <v>0</v>
      </c>
      <c r="U34" s="9">
        <v>0</v>
      </c>
      <c r="V34" s="9">
        <v>0</v>
      </c>
      <c r="W34" s="9">
        <v>0</v>
      </c>
      <c r="X34" s="39">
        <v>0</v>
      </c>
      <c r="Y34" s="9">
        <v>0</v>
      </c>
      <c r="Z34" s="9">
        <v>11760</v>
      </c>
      <c r="AA34" s="9">
        <v>11760</v>
      </c>
      <c r="AB34" s="9">
        <v>0</v>
      </c>
      <c r="AC34" s="55">
        <v>0</v>
      </c>
      <c r="AD34" s="74">
        <f t="shared" si="2"/>
        <v>23520</v>
      </c>
      <c r="AE34" s="91">
        <v>23520</v>
      </c>
      <c r="AF34" s="5"/>
      <c r="AG34" s="5"/>
      <c r="AH34" s="5"/>
      <c r="AI34" s="5"/>
      <c r="AJ34" s="5"/>
      <c r="AK34" s="5"/>
      <c r="AL34" s="5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15">
      <c r="A35" s="14" t="s">
        <v>39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39">
        <v>0</v>
      </c>
      <c r="H35" s="9">
        <v>0</v>
      </c>
      <c r="I35" s="9">
        <v>0</v>
      </c>
      <c r="J35" s="9">
        <v>0</v>
      </c>
      <c r="K35" s="9">
        <v>0</v>
      </c>
      <c r="L35" s="39">
        <v>0</v>
      </c>
      <c r="M35" s="9">
        <v>0</v>
      </c>
      <c r="N35" s="9">
        <v>0</v>
      </c>
      <c r="O35" s="9">
        <v>0</v>
      </c>
      <c r="P35" s="9">
        <v>0</v>
      </c>
      <c r="Q35" s="39">
        <v>0</v>
      </c>
      <c r="R35" s="55">
        <v>0</v>
      </c>
      <c r="S35" s="74">
        <f t="shared" si="1"/>
        <v>0</v>
      </c>
      <c r="T35" s="39">
        <v>0</v>
      </c>
      <c r="U35" s="9">
        <v>0</v>
      </c>
      <c r="V35" s="9">
        <v>0</v>
      </c>
      <c r="W35" s="9">
        <v>0</v>
      </c>
      <c r="X35" s="39">
        <v>0</v>
      </c>
      <c r="Y35" s="9">
        <v>0</v>
      </c>
      <c r="Z35" s="9">
        <v>0</v>
      </c>
      <c r="AA35" s="9">
        <v>0</v>
      </c>
      <c r="AB35" s="9">
        <v>0</v>
      </c>
      <c r="AC35" s="55">
        <v>0</v>
      </c>
      <c r="AD35" s="74">
        <f t="shared" si="2"/>
        <v>0</v>
      </c>
      <c r="AE35" s="91">
        <v>0</v>
      </c>
      <c r="AF35" s="5"/>
      <c r="AG35" s="5"/>
      <c r="AH35" s="5"/>
      <c r="AI35" s="5"/>
      <c r="AJ35" s="5"/>
      <c r="AK35" s="5"/>
      <c r="AL35" s="5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15">
      <c r="A36" s="14" t="s">
        <v>40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39">
        <v>0</v>
      </c>
      <c r="H36" s="9">
        <v>0</v>
      </c>
      <c r="I36" s="9">
        <v>0</v>
      </c>
      <c r="J36" s="9">
        <v>0</v>
      </c>
      <c r="K36" s="9">
        <v>0</v>
      </c>
      <c r="L36" s="39">
        <v>0</v>
      </c>
      <c r="M36" s="9">
        <v>0</v>
      </c>
      <c r="N36" s="9">
        <v>0</v>
      </c>
      <c r="O36" s="9">
        <v>0</v>
      </c>
      <c r="P36" s="9">
        <v>0</v>
      </c>
      <c r="Q36" s="39">
        <v>0</v>
      </c>
      <c r="R36" s="55">
        <v>0</v>
      </c>
      <c r="S36" s="74">
        <f t="shared" si="1"/>
        <v>0</v>
      </c>
      <c r="T36" s="39">
        <v>0</v>
      </c>
      <c r="U36" s="9">
        <v>0</v>
      </c>
      <c r="V36" s="9">
        <v>0</v>
      </c>
      <c r="W36" s="9">
        <v>0</v>
      </c>
      <c r="X36" s="39">
        <v>0</v>
      </c>
      <c r="Y36" s="9">
        <v>0</v>
      </c>
      <c r="Z36" s="9">
        <v>0</v>
      </c>
      <c r="AA36" s="9">
        <v>0</v>
      </c>
      <c r="AB36" s="9">
        <v>0</v>
      </c>
      <c r="AC36" s="55">
        <v>0</v>
      </c>
      <c r="AD36" s="74">
        <f t="shared" si="2"/>
        <v>0</v>
      </c>
      <c r="AE36" s="91">
        <v>0</v>
      </c>
      <c r="AF36" s="5"/>
      <c r="AG36" s="5"/>
      <c r="AH36" s="5"/>
      <c r="AI36" s="5"/>
      <c r="AJ36" s="5"/>
      <c r="AK36" s="5"/>
      <c r="AL36" s="5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15">
      <c r="A37" s="14" t="s">
        <v>41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39">
        <v>0</v>
      </c>
      <c r="H37" s="9">
        <v>0</v>
      </c>
      <c r="I37" s="9">
        <v>0</v>
      </c>
      <c r="J37" s="9">
        <v>0</v>
      </c>
      <c r="K37" s="9">
        <v>0</v>
      </c>
      <c r="L37" s="39">
        <v>0</v>
      </c>
      <c r="M37" s="9">
        <v>0</v>
      </c>
      <c r="N37" s="9">
        <v>0</v>
      </c>
      <c r="O37" s="9">
        <v>0</v>
      </c>
      <c r="P37" s="9">
        <v>0</v>
      </c>
      <c r="Q37" s="39">
        <v>0</v>
      </c>
      <c r="R37" s="55">
        <v>0</v>
      </c>
      <c r="S37" s="74">
        <f t="shared" si="1"/>
        <v>0</v>
      </c>
      <c r="T37" s="39">
        <v>0</v>
      </c>
      <c r="U37" s="9">
        <v>0</v>
      </c>
      <c r="V37" s="9">
        <v>0</v>
      </c>
      <c r="W37" s="9">
        <v>0</v>
      </c>
      <c r="X37" s="39">
        <v>0</v>
      </c>
      <c r="Y37" s="9">
        <v>0</v>
      </c>
      <c r="Z37" s="9">
        <v>0</v>
      </c>
      <c r="AA37" s="9">
        <v>0</v>
      </c>
      <c r="AB37" s="9">
        <v>0</v>
      </c>
      <c r="AC37" s="55">
        <v>0</v>
      </c>
      <c r="AD37" s="74">
        <f t="shared" si="2"/>
        <v>0</v>
      </c>
      <c r="AE37" s="91">
        <v>0</v>
      </c>
      <c r="AF37" s="5"/>
      <c r="AG37" s="5"/>
      <c r="AH37" s="5"/>
      <c r="AI37" s="5"/>
      <c r="AJ37" s="5"/>
      <c r="AK37" s="5"/>
      <c r="AL37" s="5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15">
      <c r="A38" s="14" t="s">
        <v>42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39">
        <v>0</v>
      </c>
      <c r="H38" s="9">
        <v>0</v>
      </c>
      <c r="I38" s="9">
        <v>0</v>
      </c>
      <c r="J38" s="9">
        <v>0</v>
      </c>
      <c r="K38" s="9">
        <v>0</v>
      </c>
      <c r="L38" s="39">
        <v>0</v>
      </c>
      <c r="M38" s="9">
        <v>0</v>
      </c>
      <c r="N38" s="9">
        <v>0</v>
      </c>
      <c r="O38" s="9">
        <v>0</v>
      </c>
      <c r="P38" s="9">
        <v>0</v>
      </c>
      <c r="Q38" s="39">
        <v>0</v>
      </c>
      <c r="R38" s="55">
        <v>0</v>
      </c>
      <c r="S38" s="74">
        <f t="shared" si="1"/>
        <v>0</v>
      </c>
      <c r="T38" s="39">
        <v>0</v>
      </c>
      <c r="U38" s="9">
        <v>0</v>
      </c>
      <c r="V38" s="9">
        <v>0</v>
      </c>
      <c r="W38" s="9">
        <v>0</v>
      </c>
      <c r="X38" s="39">
        <v>0</v>
      </c>
      <c r="Y38" s="9">
        <v>0</v>
      </c>
      <c r="Z38" s="9">
        <v>0</v>
      </c>
      <c r="AA38" s="9">
        <v>0</v>
      </c>
      <c r="AB38" s="9">
        <v>0</v>
      </c>
      <c r="AC38" s="55">
        <v>0</v>
      </c>
      <c r="AD38" s="74">
        <f t="shared" si="2"/>
        <v>0</v>
      </c>
      <c r="AE38" s="91">
        <v>0</v>
      </c>
      <c r="AF38" s="5"/>
      <c r="AG38" s="5"/>
      <c r="AH38" s="5"/>
      <c r="AI38" s="5"/>
      <c r="AJ38" s="5"/>
      <c r="AK38" s="5"/>
      <c r="AL38" s="5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15">
      <c r="A39" s="14" t="s">
        <v>43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39">
        <v>0</v>
      </c>
      <c r="H39" s="9">
        <v>0</v>
      </c>
      <c r="I39" s="9">
        <v>0</v>
      </c>
      <c r="J39" s="9">
        <v>0</v>
      </c>
      <c r="K39" s="9">
        <v>0</v>
      </c>
      <c r="L39" s="39">
        <v>0</v>
      </c>
      <c r="M39" s="9">
        <v>0</v>
      </c>
      <c r="N39" s="9">
        <v>0</v>
      </c>
      <c r="O39" s="9">
        <v>0</v>
      </c>
      <c r="P39" s="9">
        <v>0</v>
      </c>
      <c r="Q39" s="39">
        <v>0</v>
      </c>
      <c r="R39" s="55">
        <v>0</v>
      </c>
      <c r="S39" s="74">
        <f t="shared" si="1"/>
        <v>0</v>
      </c>
      <c r="T39" s="39">
        <v>0</v>
      </c>
      <c r="U39" s="9">
        <v>0</v>
      </c>
      <c r="V39" s="9">
        <v>0</v>
      </c>
      <c r="W39" s="9">
        <v>0</v>
      </c>
      <c r="X39" s="39">
        <v>0</v>
      </c>
      <c r="Y39" s="9">
        <v>0</v>
      </c>
      <c r="Z39" s="9">
        <v>0</v>
      </c>
      <c r="AA39" s="9">
        <v>0</v>
      </c>
      <c r="AB39" s="9">
        <v>0</v>
      </c>
      <c r="AC39" s="55">
        <v>0</v>
      </c>
      <c r="AD39" s="74">
        <f t="shared" si="2"/>
        <v>0</v>
      </c>
      <c r="AE39" s="91">
        <v>0</v>
      </c>
      <c r="AF39" s="5"/>
      <c r="AG39" s="5"/>
      <c r="AH39" s="5"/>
      <c r="AI39" s="5"/>
      <c r="AJ39" s="5"/>
      <c r="AK39" s="5"/>
      <c r="AL39" s="5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15">
      <c r="A40" s="14" t="s">
        <v>44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39">
        <v>0</v>
      </c>
      <c r="H40" s="9">
        <v>0</v>
      </c>
      <c r="I40" s="9">
        <v>0</v>
      </c>
      <c r="J40" s="9">
        <v>0</v>
      </c>
      <c r="K40" s="9">
        <v>0</v>
      </c>
      <c r="L40" s="39">
        <v>0</v>
      </c>
      <c r="M40" s="9">
        <v>0</v>
      </c>
      <c r="N40" s="9">
        <v>0</v>
      </c>
      <c r="O40" s="9">
        <v>0</v>
      </c>
      <c r="P40" s="9">
        <v>0</v>
      </c>
      <c r="Q40" s="39">
        <v>0</v>
      </c>
      <c r="R40" s="55">
        <v>0</v>
      </c>
      <c r="S40" s="74">
        <f t="shared" si="1"/>
        <v>0</v>
      </c>
      <c r="T40" s="39">
        <v>0</v>
      </c>
      <c r="U40" s="9">
        <v>0</v>
      </c>
      <c r="V40" s="9">
        <v>0</v>
      </c>
      <c r="W40" s="9">
        <v>0</v>
      </c>
      <c r="X40" s="39">
        <v>0</v>
      </c>
      <c r="Y40" s="9">
        <v>0</v>
      </c>
      <c r="Z40" s="9">
        <v>0</v>
      </c>
      <c r="AA40" s="9">
        <v>0</v>
      </c>
      <c r="AB40" s="9">
        <v>0</v>
      </c>
      <c r="AC40" s="55">
        <v>0</v>
      </c>
      <c r="AD40" s="74">
        <f t="shared" si="2"/>
        <v>0</v>
      </c>
      <c r="AE40" s="91">
        <v>0</v>
      </c>
      <c r="AF40" s="5"/>
      <c r="AG40" s="5"/>
      <c r="AH40" s="5"/>
      <c r="AI40" s="5"/>
      <c r="AJ40" s="5"/>
      <c r="AK40" s="5"/>
      <c r="AL40" s="5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15">
      <c r="A41" s="14" t="s">
        <v>45</v>
      </c>
      <c r="B41" s="9">
        <v>-8133</v>
      </c>
      <c r="C41" s="9">
        <v>-30141</v>
      </c>
      <c r="D41" s="9">
        <v>-8468</v>
      </c>
      <c r="E41" s="9">
        <v>-8947</v>
      </c>
      <c r="F41" s="9">
        <v>0</v>
      </c>
      <c r="G41" s="39">
        <v>-9186</v>
      </c>
      <c r="H41" s="9">
        <v>-8708</v>
      </c>
      <c r="I41" s="9">
        <v>-10143</v>
      </c>
      <c r="J41" s="9">
        <v>-27558</v>
      </c>
      <c r="K41" s="9">
        <v>-8229</v>
      </c>
      <c r="L41" s="39">
        <v>-8468</v>
      </c>
      <c r="M41" s="9">
        <v>-8229</v>
      </c>
      <c r="N41" s="9">
        <v>-8468</v>
      </c>
      <c r="O41" s="9">
        <v>-8133</v>
      </c>
      <c r="P41" s="9">
        <v>-32532</v>
      </c>
      <c r="Q41" s="39">
        <v>-8133</v>
      </c>
      <c r="R41" s="55">
        <v>0</v>
      </c>
      <c r="S41" s="74">
        <f t="shared" si="1"/>
        <v>-193476</v>
      </c>
      <c r="T41" s="39">
        <v>0</v>
      </c>
      <c r="U41" s="9">
        <v>0</v>
      </c>
      <c r="V41" s="9">
        <v>0</v>
      </c>
      <c r="W41" s="9">
        <v>0</v>
      </c>
      <c r="X41" s="39">
        <v>0</v>
      </c>
      <c r="Y41" s="9">
        <v>0</v>
      </c>
      <c r="Z41" s="9">
        <v>0</v>
      </c>
      <c r="AA41" s="9">
        <v>0</v>
      </c>
      <c r="AB41" s="9">
        <v>0</v>
      </c>
      <c r="AC41" s="55">
        <v>0</v>
      </c>
      <c r="AD41" s="74">
        <f t="shared" si="2"/>
        <v>0</v>
      </c>
      <c r="AE41" s="91">
        <v>-193476</v>
      </c>
      <c r="AF41" s="5"/>
      <c r="AG41" s="5"/>
      <c r="AH41" s="5"/>
      <c r="AI41" s="5"/>
      <c r="AJ41" s="5"/>
      <c r="AK41" s="5"/>
      <c r="AL41" s="5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15">
      <c r="A42" s="14" t="s">
        <v>46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39">
        <v>0</v>
      </c>
      <c r="H42" s="9">
        <v>0</v>
      </c>
      <c r="I42" s="9">
        <v>0</v>
      </c>
      <c r="J42" s="9">
        <v>0</v>
      </c>
      <c r="K42" s="9">
        <v>0</v>
      </c>
      <c r="L42" s="39">
        <v>0</v>
      </c>
      <c r="M42" s="9">
        <v>0</v>
      </c>
      <c r="N42" s="9">
        <v>0</v>
      </c>
      <c r="O42" s="9">
        <v>0</v>
      </c>
      <c r="P42" s="9">
        <v>0</v>
      </c>
      <c r="Q42" s="39">
        <v>0</v>
      </c>
      <c r="R42" s="55">
        <v>0</v>
      </c>
      <c r="S42" s="74">
        <f t="shared" si="1"/>
        <v>0</v>
      </c>
      <c r="T42" s="39">
        <v>0</v>
      </c>
      <c r="U42" s="9">
        <v>0</v>
      </c>
      <c r="V42" s="9">
        <v>0</v>
      </c>
      <c r="W42" s="9">
        <v>0</v>
      </c>
      <c r="X42" s="39">
        <v>0</v>
      </c>
      <c r="Y42" s="9">
        <v>0</v>
      </c>
      <c r="Z42" s="9">
        <v>0</v>
      </c>
      <c r="AA42" s="9">
        <v>0</v>
      </c>
      <c r="AB42" s="9">
        <v>0</v>
      </c>
      <c r="AC42" s="55">
        <v>0</v>
      </c>
      <c r="AD42" s="74">
        <f t="shared" si="2"/>
        <v>0</v>
      </c>
      <c r="AE42" s="91">
        <v>0</v>
      </c>
      <c r="AF42" s="5"/>
      <c r="AG42" s="5"/>
      <c r="AH42" s="5"/>
      <c r="AI42" s="5"/>
      <c r="AJ42" s="5"/>
      <c r="AK42" s="5"/>
      <c r="AL42" s="5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15">
      <c r="A43" s="14" t="s">
        <v>13</v>
      </c>
      <c r="B43" s="9">
        <v>77653</v>
      </c>
      <c r="C43" s="9">
        <v>31420</v>
      </c>
      <c r="D43" s="9">
        <v>39750</v>
      </c>
      <c r="E43" s="9">
        <v>70000</v>
      </c>
      <c r="F43" s="9">
        <v>80450</v>
      </c>
      <c r="G43" s="39">
        <v>102098</v>
      </c>
      <c r="H43" s="9">
        <v>84506</v>
      </c>
      <c r="I43" s="9">
        <v>91988</v>
      </c>
      <c r="J43" s="9">
        <v>77652</v>
      </c>
      <c r="K43" s="9">
        <v>63112</v>
      </c>
      <c r="L43" s="39">
        <v>74200</v>
      </c>
      <c r="M43" s="9">
        <v>48944</v>
      </c>
      <c r="N43" s="9">
        <v>90100</v>
      </c>
      <c r="O43" s="9">
        <v>22914</v>
      </c>
      <c r="P43" s="9">
        <v>40736</v>
      </c>
      <c r="Q43" s="39">
        <v>62377</v>
      </c>
      <c r="R43" s="55">
        <v>45559</v>
      </c>
      <c r="S43" s="74">
        <f t="shared" si="1"/>
        <v>1103459</v>
      </c>
      <c r="T43" s="39">
        <v>0</v>
      </c>
      <c r="U43" s="9">
        <v>0</v>
      </c>
      <c r="V43" s="9">
        <v>0</v>
      </c>
      <c r="W43" s="9">
        <v>0</v>
      </c>
      <c r="X43" s="39">
        <v>0</v>
      </c>
      <c r="Y43" s="9">
        <v>0</v>
      </c>
      <c r="Z43" s="9">
        <v>0</v>
      </c>
      <c r="AA43" s="9">
        <v>0</v>
      </c>
      <c r="AB43" s="9">
        <v>0</v>
      </c>
      <c r="AC43" s="55">
        <v>3114</v>
      </c>
      <c r="AD43" s="74">
        <f t="shared" si="2"/>
        <v>3114</v>
      </c>
      <c r="AE43" s="91">
        <v>1106573</v>
      </c>
      <c r="AF43" s="5"/>
      <c r="AG43" s="5"/>
      <c r="AH43" s="5"/>
      <c r="AI43" s="5"/>
      <c r="AJ43" s="5"/>
      <c r="AK43" s="5"/>
      <c r="AL43" s="5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15">
      <c r="A44" s="14" t="s">
        <v>6</v>
      </c>
      <c r="B44" s="9">
        <v>24732</v>
      </c>
      <c r="C44" s="9">
        <v>0</v>
      </c>
      <c r="D44" s="9">
        <v>14310</v>
      </c>
      <c r="E44" s="9">
        <v>39312</v>
      </c>
      <c r="F44" s="9">
        <v>31266</v>
      </c>
      <c r="G44" s="39">
        <v>24848</v>
      </c>
      <c r="H44" s="9">
        <v>55936</v>
      </c>
      <c r="I44" s="9">
        <v>37686</v>
      </c>
      <c r="J44" s="9">
        <v>46590</v>
      </c>
      <c r="K44" s="9">
        <v>37557</v>
      </c>
      <c r="L44" s="39">
        <v>14310</v>
      </c>
      <c r="M44" s="9">
        <v>8346</v>
      </c>
      <c r="N44" s="9">
        <v>14310</v>
      </c>
      <c r="O44" s="9">
        <v>38472</v>
      </c>
      <c r="P44" s="9">
        <v>0</v>
      </c>
      <c r="Q44" s="39">
        <v>26106</v>
      </c>
      <c r="R44" s="55">
        <v>13576</v>
      </c>
      <c r="S44" s="74">
        <f t="shared" si="1"/>
        <v>427357</v>
      </c>
      <c r="T44" s="39">
        <v>0</v>
      </c>
      <c r="U44" s="9">
        <v>0</v>
      </c>
      <c r="V44" s="9">
        <v>0</v>
      </c>
      <c r="W44" s="9">
        <v>0</v>
      </c>
      <c r="X44" s="39">
        <v>0</v>
      </c>
      <c r="Y44" s="9">
        <v>0</v>
      </c>
      <c r="Z44" s="9">
        <v>0</v>
      </c>
      <c r="AA44" s="9">
        <v>0</v>
      </c>
      <c r="AB44" s="9">
        <v>0</v>
      </c>
      <c r="AC44" s="55">
        <v>0</v>
      </c>
      <c r="AD44" s="74">
        <f t="shared" si="2"/>
        <v>0</v>
      </c>
      <c r="AE44" s="91">
        <v>427357</v>
      </c>
      <c r="AF44" s="5"/>
      <c r="AG44" s="5"/>
      <c r="AH44" s="5"/>
      <c r="AI44" s="5"/>
      <c r="AJ44" s="5"/>
      <c r="AK44" s="5"/>
      <c r="AL44" s="5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15">
      <c r="A45" s="14" t="s">
        <v>7</v>
      </c>
      <c r="B45" s="9">
        <v>8244</v>
      </c>
      <c r="C45" s="9">
        <v>0</v>
      </c>
      <c r="D45" s="9">
        <v>37206</v>
      </c>
      <c r="E45" s="9">
        <v>27216</v>
      </c>
      <c r="F45" s="9">
        <v>31266</v>
      </c>
      <c r="G45" s="39">
        <v>40378</v>
      </c>
      <c r="H45" s="9">
        <v>35328</v>
      </c>
      <c r="I45" s="9">
        <v>0</v>
      </c>
      <c r="J45" s="9">
        <v>20189</v>
      </c>
      <c r="K45" s="9">
        <v>20865</v>
      </c>
      <c r="L45" s="39">
        <v>25758</v>
      </c>
      <c r="M45" s="9">
        <v>58422</v>
      </c>
      <c r="N45" s="9">
        <v>24327</v>
      </c>
      <c r="O45" s="9">
        <v>8244</v>
      </c>
      <c r="P45" s="9">
        <v>27480</v>
      </c>
      <c r="Q45" s="39">
        <v>8244</v>
      </c>
      <c r="R45" s="55">
        <v>23758</v>
      </c>
      <c r="S45" s="74">
        <f t="shared" si="1"/>
        <v>396925</v>
      </c>
      <c r="T45" s="39">
        <v>0</v>
      </c>
      <c r="U45" s="9">
        <v>0</v>
      </c>
      <c r="V45" s="9">
        <v>0</v>
      </c>
      <c r="W45" s="9">
        <v>0</v>
      </c>
      <c r="X45" s="39">
        <v>0</v>
      </c>
      <c r="Y45" s="9">
        <v>0</v>
      </c>
      <c r="Z45" s="9">
        <v>0</v>
      </c>
      <c r="AA45" s="9">
        <v>0</v>
      </c>
      <c r="AB45" s="9">
        <v>0</v>
      </c>
      <c r="AC45" s="55">
        <v>0</v>
      </c>
      <c r="AD45" s="74">
        <f t="shared" si="2"/>
        <v>0</v>
      </c>
      <c r="AE45" s="91">
        <v>396925</v>
      </c>
      <c r="AF45" s="5"/>
      <c r="AG45" s="5"/>
      <c r="AH45" s="5"/>
      <c r="AI45" s="5"/>
      <c r="AJ45" s="5"/>
      <c r="AK45" s="5"/>
      <c r="AL45" s="5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15">
      <c r="A46" s="14" t="s">
        <v>47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39">
        <v>0</v>
      </c>
      <c r="H46" s="9">
        <v>0</v>
      </c>
      <c r="I46" s="9">
        <v>0</v>
      </c>
      <c r="J46" s="9">
        <v>0</v>
      </c>
      <c r="K46" s="9">
        <v>0</v>
      </c>
      <c r="L46" s="39">
        <v>0</v>
      </c>
      <c r="M46" s="9">
        <v>0</v>
      </c>
      <c r="N46" s="9">
        <v>0</v>
      </c>
      <c r="O46" s="9">
        <v>0</v>
      </c>
      <c r="P46" s="9">
        <v>0</v>
      </c>
      <c r="Q46" s="39">
        <v>0</v>
      </c>
      <c r="R46" s="55">
        <v>0</v>
      </c>
      <c r="S46" s="74">
        <f t="shared" si="1"/>
        <v>0</v>
      </c>
      <c r="T46" s="39">
        <v>0</v>
      </c>
      <c r="U46" s="9">
        <v>0</v>
      </c>
      <c r="V46" s="9">
        <v>0</v>
      </c>
      <c r="W46" s="9">
        <v>0</v>
      </c>
      <c r="X46" s="39">
        <v>0</v>
      </c>
      <c r="Y46" s="9">
        <v>0</v>
      </c>
      <c r="Z46" s="9">
        <v>0</v>
      </c>
      <c r="AA46" s="9">
        <v>0</v>
      </c>
      <c r="AB46" s="9">
        <v>0</v>
      </c>
      <c r="AC46" s="55">
        <v>0</v>
      </c>
      <c r="AD46" s="74">
        <f t="shared" si="2"/>
        <v>0</v>
      </c>
      <c r="AE46" s="91">
        <v>0</v>
      </c>
      <c r="AF46" s="5"/>
      <c r="AG46" s="5"/>
      <c r="AH46" s="5"/>
      <c r="AI46" s="5"/>
      <c r="AJ46" s="5"/>
      <c r="AK46" s="5"/>
      <c r="AL46" s="5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15">
      <c r="A47" s="14" t="s">
        <v>48</v>
      </c>
      <c r="B47" s="9">
        <v>8133</v>
      </c>
      <c r="C47" s="9">
        <v>30141</v>
      </c>
      <c r="D47" s="9">
        <v>8468</v>
      </c>
      <c r="E47" s="9">
        <v>8947</v>
      </c>
      <c r="F47" s="9">
        <v>0</v>
      </c>
      <c r="G47" s="39">
        <v>9186</v>
      </c>
      <c r="H47" s="9">
        <v>8708</v>
      </c>
      <c r="I47" s="9">
        <v>10143</v>
      </c>
      <c r="J47" s="9">
        <v>27558</v>
      </c>
      <c r="K47" s="9">
        <v>8229</v>
      </c>
      <c r="L47" s="39">
        <v>8468</v>
      </c>
      <c r="M47" s="9">
        <v>8229</v>
      </c>
      <c r="N47" s="9">
        <v>8468</v>
      </c>
      <c r="O47" s="9">
        <v>8133</v>
      </c>
      <c r="P47" s="9">
        <v>32532</v>
      </c>
      <c r="Q47" s="39">
        <v>8133</v>
      </c>
      <c r="R47" s="55">
        <v>0</v>
      </c>
      <c r="S47" s="74">
        <f t="shared" si="1"/>
        <v>193476</v>
      </c>
      <c r="T47" s="39">
        <v>0</v>
      </c>
      <c r="U47" s="9">
        <v>0</v>
      </c>
      <c r="V47" s="9">
        <v>0</v>
      </c>
      <c r="W47" s="9">
        <v>0</v>
      </c>
      <c r="X47" s="39">
        <v>0</v>
      </c>
      <c r="Y47" s="9">
        <v>0</v>
      </c>
      <c r="Z47" s="9">
        <v>0</v>
      </c>
      <c r="AA47" s="9">
        <v>0</v>
      </c>
      <c r="AB47" s="9">
        <v>0</v>
      </c>
      <c r="AC47" s="55">
        <v>0</v>
      </c>
      <c r="AD47" s="74">
        <f t="shared" si="2"/>
        <v>0</v>
      </c>
      <c r="AE47" s="91">
        <v>193476</v>
      </c>
      <c r="AF47" s="5"/>
      <c r="AG47" s="5"/>
      <c r="AH47" s="5"/>
      <c r="AI47" s="5"/>
      <c r="AJ47" s="5"/>
      <c r="AK47" s="5"/>
      <c r="AL47" s="5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15">
      <c r="A48" s="14" t="s">
        <v>17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39">
        <v>0</v>
      </c>
      <c r="H48" s="9">
        <v>0</v>
      </c>
      <c r="I48" s="9">
        <v>0</v>
      </c>
      <c r="J48" s="9">
        <v>0</v>
      </c>
      <c r="K48" s="9">
        <v>0</v>
      </c>
      <c r="L48" s="39">
        <v>0</v>
      </c>
      <c r="M48" s="9">
        <v>0</v>
      </c>
      <c r="N48" s="9">
        <v>0</v>
      </c>
      <c r="O48" s="9">
        <v>0</v>
      </c>
      <c r="P48" s="9">
        <v>0</v>
      </c>
      <c r="Q48" s="39">
        <v>0</v>
      </c>
      <c r="R48" s="55">
        <v>0</v>
      </c>
      <c r="S48" s="74">
        <f t="shared" si="1"/>
        <v>0</v>
      </c>
      <c r="T48" s="39">
        <v>0</v>
      </c>
      <c r="U48" s="9">
        <v>0</v>
      </c>
      <c r="V48" s="9">
        <v>0</v>
      </c>
      <c r="W48" s="9">
        <v>0</v>
      </c>
      <c r="X48" s="39">
        <v>0</v>
      </c>
      <c r="Y48" s="9">
        <v>0</v>
      </c>
      <c r="Z48" s="9">
        <v>0</v>
      </c>
      <c r="AA48" s="9">
        <v>0</v>
      </c>
      <c r="AB48" s="9">
        <v>0</v>
      </c>
      <c r="AC48" s="55">
        <v>0</v>
      </c>
      <c r="AD48" s="74">
        <f t="shared" si="2"/>
        <v>0</v>
      </c>
      <c r="AE48" s="91">
        <v>0</v>
      </c>
      <c r="AF48" s="5"/>
      <c r="AG48" s="5"/>
      <c r="AH48" s="5"/>
      <c r="AI48" s="5"/>
      <c r="AJ48" s="5"/>
      <c r="AK48" s="5"/>
      <c r="AL48" s="5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38" x14ac:dyDescent="0.15">
      <c r="A49" s="15" t="s">
        <v>49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43">
        <v>0</v>
      </c>
      <c r="H49" s="11">
        <v>0</v>
      </c>
      <c r="I49" s="11">
        <v>0</v>
      </c>
      <c r="J49" s="11">
        <v>0</v>
      </c>
      <c r="K49" s="11">
        <v>0</v>
      </c>
      <c r="L49" s="43">
        <v>0</v>
      </c>
      <c r="M49" s="11">
        <v>0</v>
      </c>
      <c r="N49" s="11">
        <v>0</v>
      </c>
      <c r="O49" s="11">
        <v>0</v>
      </c>
      <c r="P49" s="11">
        <v>0</v>
      </c>
      <c r="Q49" s="43">
        <v>0</v>
      </c>
      <c r="R49" s="59">
        <v>0</v>
      </c>
      <c r="S49" s="78">
        <f t="shared" si="1"/>
        <v>0</v>
      </c>
      <c r="T49" s="43">
        <v>0</v>
      </c>
      <c r="U49" s="11">
        <v>0</v>
      </c>
      <c r="V49" s="11">
        <v>0</v>
      </c>
      <c r="W49" s="11">
        <v>0</v>
      </c>
      <c r="X49" s="43">
        <v>0</v>
      </c>
      <c r="Y49" s="11">
        <v>0</v>
      </c>
      <c r="Z49" s="11">
        <v>0</v>
      </c>
      <c r="AA49" s="11">
        <v>0</v>
      </c>
      <c r="AB49" s="11">
        <v>0</v>
      </c>
      <c r="AC49" s="59">
        <v>0</v>
      </c>
      <c r="AD49" s="78">
        <f t="shared" si="2"/>
        <v>0</v>
      </c>
      <c r="AE49" s="95">
        <v>0</v>
      </c>
      <c r="AF49" s="6"/>
      <c r="AG49" s="6"/>
      <c r="AH49" s="6"/>
      <c r="AI49" s="6"/>
      <c r="AJ49" s="6"/>
      <c r="AK49" s="6"/>
      <c r="AL49" s="6"/>
    </row>
    <row r="50" spans="1:38" x14ac:dyDescent="0.15">
      <c r="A50" s="15" t="s">
        <v>21</v>
      </c>
      <c r="B50" s="11">
        <v>5865</v>
      </c>
      <c r="C50" s="11">
        <v>0</v>
      </c>
      <c r="D50" s="11">
        <v>1855</v>
      </c>
      <c r="E50" s="11">
        <v>1960</v>
      </c>
      <c r="F50" s="11">
        <v>0</v>
      </c>
      <c r="G50" s="43">
        <v>9504</v>
      </c>
      <c r="H50" s="11">
        <v>12831</v>
      </c>
      <c r="I50" s="11">
        <v>10144</v>
      </c>
      <c r="J50" s="11">
        <v>6912</v>
      </c>
      <c r="K50" s="11">
        <v>258</v>
      </c>
      <c r="L50" s="43">
        <v>1060</v>
      </c>
      <c r="M50" s="11">
        <v>258</v>
      </c>
      <c r="N50" s="11">
        <v>2915</v>
      </c>
      <c r="O50" s="11">
        <v>255</v>
      </c>
      <c r="P50" s="11">
        <v>4590</v>
      </c>
      <c r="Q50" s="43">
        <v>765</v>
      </c>
      <c r="R50" s="59">
        <v>5966</v>
      </c>
      <c r="S50" s="78">
        <f t="shared" si="1"/>
        <v>65138</v>
      </c>
      <c r="T50" s="43">
        <v>2178</v>
      </c>
      <c r="U50" s="11">
        <v>0</v>
      </c>
      <c r="V50" s="11">
        <v>532</v>
      </c>
      <c r="W50" s="11">
        <v>0</v>
      </c>
      <c r="X50" s="43">
        <v>0</v>
      </c>
      <c r="Y50" s="11">
        <v>0</v>
      </c>
      <c r="Z50" s="11">
        <v>10500</v>
      </c>
      <c r="AA50" s="11">
        <v>10500</v>
      </c>
      <c r="AB50" s="11">
        <v>11550</v>
      </c>
      <c r="AC50" s="59">
        <v>0</v>
      </c>
      <c r="AD50" s="78">
        <f t="shared" si="2"/>
        <v>35260</v>
      </c>
      <c r="AE50" s="95">
        <v>100398</v>
      </c>
      <c r="AF50" s="6"/>
      <c r="AG50" s="6"/>
      <c r="AH50" s="6"/>
      <c r="AI50" s="6"/>
      <c r="AJ50" s="6"/>
      <c r="AK50" s="6"/>
      <c r="AL50" s="6"/>
    </row>
    <row r="51" spans="1:38" ht="14.25" thickBot="1" x14ac:dyDescent="0.2">
      <c r="A51" s="16" t="s">
        <v>50</v>
      </c>
      <c r="B51" s="30">
        <v>286494</v>
      </c>
      <c r="C51" s="30">
        <v>241420</v>
      </c>
      <c r="D51" s="30">
        <v>270121</v>
      </c>
      <c r="E51" s="30">
        <v>325488</v>
      </c>
      <c r="F51" s="30">
        <v>357982</v>
      </c>
      <c r="G51" s="44">
        <v>368828</v>
      </c>
      <c r="H51" s="30">
        <v>370601</v>
      </c>
      <c r="I51" s="30">
        <v>351818</v>
      </c>
      <c r="J51" s="30">
        <v>343343</v>
      </c>
      <c r="K51" s="30">
        <v>293792</v>
      </c>
      <c r="L51" s="44">
        <v>292328</v>
      </c>
      <c r="M51" s="30">
        <v>287970</v>
      </c>
      <c r="N51" s="30">
        <v>308652</v>
      </c>
      <c r="O51" s="30">
        <v>239885</v>
      </c>
      <c r="P51" s="30">
        <v>242806</v>
      </c>
      <c r="Q51" s="44">
        <v>267492</v>
      </c>
      <c r="R51" s="60">
        <v>298859</v>
      </c>
      <c r="S51" s="79">
        <f t="shared" si="1"/>
        <v>5147879</v>
      </c>
      <c r="T51" s="44">
        <v>487178</v>
      </c>
      <c r="U51" s="30">
        <v>365000</v>
      </c>
      <c r="V51" s="30">
        <v>355532</v>
      </c>
      <c r="W51" s="30">
        <v>85260</v>
      </c>
      <c r="X51" s="44">
        <v>82650</v>
      </c>
      <c r="Y51" s="30">
        <v>63000</v>
      </c>
      <c r="Z51" s="30">
        <v>81900</v>
      </c>
      <c r="AA51" s="30">
        <v>81900</v>
      </c>
      <c r="AB51" s="30">
        <v>76230</v>
      </c>
      <c r="AC51" s="60">
        <v>28844</v>
      </c>
      <c r="AD51" s="79">
        <f t="shared" si="2"/>
        <v>1707494</v>
      </c>
      <c r="AE51" s="96">
        <v>6855373</v>
      </c>
      <c r="AF51" s="6"/>
      <c r="AG51" s="6"/>
      <c r="AH51" s="6"/>
      <c r="AI51" s="6"/>
      <c r="AJ51" s="6"/>
      <c r="AK51" s="6"/>
      <c r="AL51" s="6"/>
    </row>
    <row r="52" spans="1:38" x14ac:dyDescent="0.15">
      <c r="A52" s="28" t="s">
        <v>51</v>
      </c>
      <c r="B52" s="29">
        <v>5004</v>
      </c>
      <c r="C52" s="29">
        <v>1585</v>
      </c>
      <c r="D52" s="29">
        <v>10840</v>
      </c>
      <c r="E52" s="29">
        <v>2710</v>
      </c>
      <c r="F52" s="29">
        <v>4878</v>
      </c>
      <c r="G52" s="45">
        <v>2710</v>
      </c>
      <c r="H52" s="29">
        <v>3252</v>
      </c>
      <c r="I52" s="29">
        <v>11508</v>
      </c>
      <c r="J52" s="29">
        <v>1918</v>
      </c>
      <c r="K52" s="29">
        <v>2168</v>
      </c>
      <c r="L52" s="45">
        <v>1043</v>
      </c>
      <c r="M52" s="29">
        <v>2815</v>
      </c>
      <c r="N52" s="29">
        <v>4170</v>
      </c>
      <c r="O52" s="29">
        <v>5420</v>
      </c>
      <c r="P52" s="29">
        <v>3065</v>
      </c>
      <c r="Q52" s="45">
        <v>6004</v>
      </c>
      <c r="R52" s="61">
        <v>3127</v>
      </c>
      <c r="S52" s="80">
        <f t="shared" si="1"/>
        <v>72217</v>
      </c>
      <c r="T52" s="45">
        <v>6880</v>
      </c>
      <c r="U52" s="29">
        <v>6233</v>
      </c>
      <c r="V52" s="29">
        <v>4691</v>
      </c>
      <c r="W52" s="29">
        <v>2335</v>
      </c>
      <c r="X52" s="45">
        <v>1460</v>
      </c>
      <c r="Y52" s="29">
        <v>6129</v>
      </c>
      <c r="Z52" s="29">
        <v>2502</v>
      </c>
      <c r="AA52" s="29">
        <v>3127</v>
      </c>
      <c r="AB52" s="29">
        <v>3669</v>
      </c>
      <c r="AC52" s="61">
        <v>1084</v>
      </c>
      <c r="AD52" s="80">
        <f t="shared" si="2"/>
        <v>38110</v>
      </c>
      <c r="AE52" s="97">
        <v>110327</v>
      </c>
      <c r="AF52" s="6"/>
      <c r="AG52" s="6"/>
      <c r="AH52" s="6"/>
      <c r="AI52" s="6"/>
      <c r="AJ52" s="6"/>
      <c r="AK52" s="6"/>
      <c r="AL52" s="6"/>
    </row>
    <row r="53" spans="1:38" ht="14.25" thickBot="1" x14ac:dyDescent="0.2">
      <c r="A53" s="31" t="s">
        <v>52</v>
      </c>
      <c r="B53" s="32">
        <v>5004</v>
      </c>
      <c r="C53" s="32">
        <v>1585</v>
      </c>
      <c r="D53" s="32">
        <v>10840</v>
      </c>
      <c r="E53" s="32">
        <v>2710</v>
      </c>
      <c r="F53" s="32">
        <v>4878</v>
      </c>
      <c r="G53" s="46">
        <v>2710</v>
      </c>
      <c r="H53" s="32">
        <v>3252</v>
      </c>
      <c r="I53" s="32">
        <v>11508</v>
      </c>
      <c r="J53" s="32">
        <v>1918</v>
      </c>
      <c r="K53" s="32">
        <v>2168</v>
      </c>
      <c r="L53" s="46">
        <v>1043</v>
      </c>
      <c r="M53" s="32">
        <v>2815</v>
      </c>
      <c r="N53" s="32">
        <v>4170</v>
      </c>
      <c r="O53" s="32">
        <v>5420</v>
      </c>
      <c r="P53" s="32">
        <v>3065</v>
      </c>
      <c r="Q53" s="46">
        <v>6004</v>
      </c>
      <c r="R53" s="62">
        <v>3127</v>
      </c>
      <c r="S53" s="81">
        <f t="shared" si="1"/>
        <v>72217</v>
      </c>
      <c r="T53" s="46">
        <v>6880</v>
      </c>
      <c r="U53" s="32">
        <v>6233</v>
      </c>
      <c r="V53" s="32">
        <v>4691</v>
      </c>
      <c r="W53" s="32">
        <v>2335</v>
      </c>
      <c r="X53" s="46">
        <v>1460</v>
      </c>
      <c r="Y53" s="32">
        <v>6129</v>
      </c>
      <c r="Z53" s="32">
        <v>2502</v>
      </c>
      <c r="AA53" s="32">
        <v>3127</v>
      </c>
      <c r="AB53" s="32">
        <v>3669</v>
      </c>
      <c r="AC53" s="62">
        <v>1084</v>
      </c>
      <c r="AD53" s="81">
        <f t="shared" si="2"/>
        <v>38110</v>
      </c>
      <c r="AE53" s="98">
        <v>110327</v>
      </c>
    </row>
    <row r="54" spans="1:38" ht="14.25" thickBot="1" x14ac:dyDescent="0.2">
      <c r="A54" s="33" t="s">
        <v>53</v>
      </c>
      <c r="B54" s="34">
        <v>291498</v>
      </c>
      <c r="C54" s="34">
        <v>243005</v>
      </c>
      <c r="D54" s="34">
        <v>280961</v>
      </c>
      <c r="E54" s="34">
        <v>328198</v>
      </c>
      <c r="F54" s="34">
        <v>362860</v>
      </c>
      <c r="G54" s="47">
        <v>371538</v>
      </c>
      <c r="H54" s="34">
        <v>373853</v>
      </c>
      <c r="I54" s="34">
        <v>363326</v>
      </c>
      <c r="J54" s="34">
        <v>345261</v>
      </c>
      <c r="K54" s="34">
        <v>295960</v>
      </c>
      <c r="L54" s="47">
        <v>293371</v>
      </c>
      <c r="M54" s="34">
        <v>290785</v>
      </c>
      <c r="N54" s="34">
        <v>312822</v>
      </c>
      <c r="O54" s="34">
        <v>245305</v>
      </c>
      <c r="P54" s="34">
        <v>245871</v>
      </c>
      <c r="Q54" s="47">
        <v>273496</v>
      </c>
      <c r="R54" s="63">
        <v>301986</v>
      </c>
      <c r="S54" s="82">
        <f t="shared" si="1"/>
        <v>5220096</v>
      </c>
      <c r="T54" s="47">
        <v>494058</v>
      </c>
      <c r="U54" s="34">
        <v>371233</v>
      </c>
      <c r="V54" s="34">
        <v>360223</v>
      </c>
      <c r="W54" s="34">
        <v>87595</v>
      </c>
      <c r="X54" s="47">
        <v>84110</v>
      </c>
      <c r="Y54" s="34">
        <v>69129</v>
      </c>
      <c r="Z54" s="34">
        <v>84402</v>
      </c>
      <c r="AA54" s="34">
        <v>85027</v>
      </c>
      <c r="AB54" s="34">
        <v>79899</v>
      </c>
      <c r="AC54" s="63">
        <v>29928</v>
      </c>
      <c r="AD54" s="82">
        <f t="shared" si="2"/>
        <v>1745604</v>
      </c>
      <c r="AE54" s="99">
        <v>6965700</v>
      </c>
    </row>
    <row r="55" spans="1:38" x14ac:dyDescent="0.15">
      <c r="A55" s="28" t="s">
        <v>54</v>
      </c>
      <c r="B55" s="29">
        <v>14280</v>
      </c>
      <c r="C55" s="29">
        <v>12240</v>
      </c>
      <c r="D55" s="29">
        <v>15300</v>
      </c>
      <c r="E55" s="29">
        <v>17340</v>
      </c>
      <c r="F55" s="29">
        <v>19380</v>
      </c>
      <c r="G55" s="45">
        <v>19380</v>
      </c>
      <c r="H55" s="29">
        <v>19380</v>
      </c>
      <c r="I55" s="29">
        <v>19380</v>
      </c>
      <c r="J55" s="29">
        <v>18360</v>
      </c>
      <c r="K55" s="29">
        <v>16320</v>
      </c>
      <c r="L55" s="45">
        <v>16320</v>
      </c>
      <c r="M55" s="29">
        <v>16320</v>
      </c>
      <c r="N55" s="29">
        <v>16320</v>
      </c>
      <c r="O55" s="29">
        <v>13260</v>
      </c>
      <c r="P55" s="29">
        <v>15300</v>
      </c>
      <c r="Q55" s="45">
        <v>15300</v>
      </c>
      <c r="R55" s="61">
        <v>14280</v>
      </c>
      <c r="S55" s="80">
        <f t="shared" si="1"/>
        <v>278460</v>
      </c>
      <c r="T55" s="45">
        <v>25500</v>
      </c>
      <c r="U55" s="29">
        <v>19380</v>
      </c>
      <c r="V55" s="29">
        <v>18360</v>
      </c>
      <c r="W55" s="29">
        <v>0</v>
      </c>
      <c r="X55" s="45">
        <v>0</v>
      </c>
      <c r="Y55" s="29">
        <v>0</v>
      </c>
      <c r="Z55" s="29">
        <v>0</v>
      </c>
      <c r="AA55" s="29">
        <v>0</v>
      </c>
      <c r="AB55" s="29">
        <v>0</v>
      </c>
      <c r="AC55" s="61">
        <v>0</v>
      </c>
      <c r="AD55" s="80">
        <f t="shared" si="2"/>
        <v>63240</v>
      </c>
      <c r="AE55" s="97">
        <v>341700</v>
      </c>
    </row>
    <row r="56" spans="1:38" x14ac:dyDescent="0.15">
      <c r="A56" s="15" t="s">
        <v>55</v>
      </c>
      <c r="B56" s="11">
        <v>2520</v>
      </c>
      <c r="C56" s="11">
        <v>2160</v>
      </c>
      <c r="D56" s="11">
        <v>2700</v>
      </c>
      <c r="E56" s="11">
        <v>3060</v>
      </c>
      <c r="F56" s="11">
        <v>3420</v>
      </c>
      <c r="G56" s="43">
        <v>3420</v>
      </c>
      <c r="H56" s="11">
        <v>3420</v>
      </c>
      <c r="I56" s="11">
        <v>3420</v>
      </c>
      <c r="J56" s="11">
        <v>3240</v>
      </c>
      <c r="K56" s="11">
        <v>2880</v>
      </c>
      <c r="L56" s="43">
        <v>2880</v>
      </c>
      <c r="M56" s="11">
        <v>2880</v>
      </c>
      <c r="N56" s="11">
        <v>2880</v>
      </c>
      <c r="O56" s="11">
        <v>2340</v>
      </c>
      <c r="P56" s="11">
        <v>0</v>
      </c>
      <c r="Q56" s="43">
        <v>2700</v>
      </c>
      <c r="R56" s="59">
        <v>2520</v>
      </c>
      <c r="S56" s="78">
        <f t="shared" si="1"/>
        <v>46440</v>
      </c>
      <c r="T56" s="43">
        <v>4500</v>
      </c>
      <c r="U56" s="11">
        <v>3420</v>
      </c>
      <c r="V56" s="11">
        <v>3240</v>
      </c>
      <c r="W56" s="11">
        <v>0</v>
      </c>
      <c r="X56" s="43">
        <v>0</v>
      </c>
      <c r="Y56" s="11">
        <v>0</v>
      </c>
      <c r="Z56" s="11">
        <v>0</v>
      </c>
      <c r="AA56" s="11">
        <v>0</v>
      </c>
      <c r="AB56" s="11">
        <v>0</v>
      </c>
      <c r="AC56" s="59">
        <v>0</v>
      </c>
      <c r="AD56" s="78">
        <f t="shared" si="2"/>
        <v>11160</v>
      </c>
      <c r="AE56" s="95">
        <v>57600</v>
      </c>
    </row>
    <row r="57" spans="1:38" x14ac:dyDescent="0.15">
      <c r="A57" s="15" t="s">
        <v>56</v>
      </c>
      <c r="B57" s="11">
        <v>25620</v>
      </c>
      <c r="C57" s="11">
        <v>21960</v>
      </c>
      <c r="D57" s="11">
        <v>27450</v>
      </c>
      <c r="E57" s="11">
        <v>31110</v>
      </c>
      <c r="F57" s="11">
        <v>34770</v>
      </c>
      <c r="G57" s="43">
        <v>34770</v>
      </c>
      <c r="H57" s="11">
        <v>34770</v>
      </c>
      <c r="I57" s="11">
        <v>34770</v>
      </c>
      <c r="J57" s="11">
        <v>32940</v>
      </c>
      <c r="K57" s="11">
        <v>29280</v>
      </c>
      <c r="L57" s="43">
        <v>29280</v>
      </c>
      <c r="M57" s="11">
        <v>29280</v>
      </c>
      <c r="N57" s="11">
        <v>29280</v>
      </c>
      <c r="O57" s="11">
        <v>23790</v>
      </c>
      <c r="P57" s="11">
        <v>27450</v>
      </c>
      <c r="Q57" s="43">
        <v>27450</v>
      </c>
      <c r="R57" s="59">
        <v>25620</v>
      </c>
      <c r="S57" s="78">
        <f t="shared" si="1"/>
        <v>499590</v>
      </c>
      <c r="T57" s="43">
        <v>45750</v>
      </c>
      <c r="U57" s="11">
        <v>34770</v>
      </c>
      <c r="V57" s="11">
        <v>32940</v>
      </c>
      <c r="W57" s="11">
        <v>0</v>
      </c>
      <c r="X57" s="43">
        <v>0</v>
      </c>
      <c r="Y57" s="11">
        <v>0</v>
      </c>
      <c r="Z57" s="11">
        <v>0</v>
      </c>
      <c r="AA57" s="11">
        <v>0</v>
      </c>
      <c r="AB57" s="11">
        <v>0</v>
      </c>
      <c r="AC57" s="59">
        <v>0</v>
      </c>
      <c r="AD57" s="78">
        <f t="shared" si="2"/>
        <v>113460</v>
      </c>
      <c r="AE57" s="95">
        <v>613050</v>
      </c>
    </row>
    <row r="58" spans="1:38" x14ac:dyDescent="0.15">
      <c r="A58" s="15" t="s">
        <v>57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43">
        <v>0</v>
      </c>
      <c r="H58" s="11">
        <v>0</v>
      </c>
      <c r="I58" s="11">
        <v>0</v>
      </c>
      <c r="J58" s="11">
        <v>0</v>
      </c>
      <c r="K58" s="11">
        <v>0</v>
      </c>
      <c r="L58" s="43">
        <v>0</v>
      </c>
      <c r="M58" s="11">
        <v>0</v>
      </c>
      <c r="N58" s="11">
        <v>0</v>
      </c>
      <c r="O58" s="11">
        <v>0</v>
      </c>
      <c r="P58" s="11">
        <v>0</v>
      </c>
      <c r="Q58" s="43">
        <v>0</v>
      </c>
      <c r="R58" s="59">
        <v>0</v>
      </c>
      <c r="S58" s="78">
        <f t="shared" si="1"/>
        <v>0</v>
      </c>
      <c r="T58" s="43">
        <v>0</v>
      </c>
      <c r="U58" s="11">
        <v>0</v>
      </c>
      <c r="V58" s="11">
        <v>0</v>
      </c>
      <c r="W58" s="11">
        <v>0</v>
      </c>
      <c r="X58" s="43">
        <v>0</v>
      </c>
      <c r="Y58" s="11">
        <v>0</v>
      </c>
      <c r="Z58" s="11">
        <v>0</v>
      </c>
      <c r="AA58" s="11">
        <v>0</v>
      </c>
      <c r="AB58" s="11">
        <v>0</v>
      </c>
      <c r="AC58" s="59">
        <v>0</v>
      </c>
      <c r="AD58" s="78">
        <f t="shared" si="2"/>
        <v>0</v>
      </c>
      <c r="AE58" s="95">
        <v>0</v>
      </c>
    </row>
    <row r="59" spans="1:38" x14ac:dyDescent="0.15">
      <c r="A59" s="15" t="s">
        <v>58</v>
      </c>
      <c r="B59" s="11">
        <v>874</v>
      </c>
      <c r="C59" s="11">
        <v>729</v>
      </c>
      <c r="D59" s="11">
        <v>843</v>
      </c>
      <c r="E59" s="11">
        <v>985</v>
      </c>
      <c r="F59" s="11">
        <v>1089</v>
      </c>
      <c r="G59" s="43">
        <v>1115</v>
      </c>
      <c r="H59" s="11">
        <v>1122</v>
      </c>
      <c r="I59" s="11">
        <v>1090</v>
      </c>
      <c r="J59" s="11">
        <v>1036</v>
      </c>
      <c r="K59" s="11">
        <v>888</v>
      </c>
      <c r="L59" s="43">
        <v>880</v>
      </c>
      <c r="M59" s="11">
        <v>872</v>
      </c>
      <c r="N59" s="11">
        <v>938</v>
      </c>
      <c r="O59" s="11">
        <v>736</v>
      </c>
      <c r="P59" s="11">
        <v>738</v>
      </c>
      <c r="Q59" s="43">
        <v>820</v>
      </c>
      <c r="R59" s="59">
        <v>906</v>
      </c>
      <c r="S59" s="78">
        <f t="shared" si="1"/>
        <v>15661</v>
      </c>
      <c r="T59" s="43">
        <v>1482</v>
      </c>
      <c r="U59" s="11">
        <v>1114</v>
      </c>
      <c r="V59" s="11">
        <v>1081</v>
      </c>
      <c r="W59" s="11">
        <v>263</v>
      </c>
      <c r="X59" s="43">
        <v>252</v>
      </c>
      <c r="Y59" s="13" t="s">
        <v>97</v>
      </c>
      <c r="Z59" s="13" t="s">
        <v>97</v>
      </c>
      <c r="AA59" s="13" t="s">
        <v>97</v>
      </c>
      <c r="AB59" s="13" t="s">
        <v>97</v>
      </c>
      <c r="AC59" s="64" t="s">
        <v>97</v>
      </c>
      <c r="AD59" s="78">
        <f t="shared" si="2"/>
        <v>4192</v>
      </c>
      <c r="AE59" s="95">
        <v>19853</v>
      </c>
    </row>
    <row r="60" spans="1:38" x14ac:dyDescent="0.15">
      <c r="A60" s="15" t="s">
        <v>59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43">
        <v>0</v>
      </c>
      <c r="H60" s="11">
        <v>0</v>
      </c>
      <c r="I60" s="11">
        <v>0</v>
      </c>
      <c r="J60" s="11">
        <v>0</v>
      </c>
      <c r="K60" s="11">
        <v>0</v>
      </c>
      <c r="L60" s="43">
        <v>0</v>
      </c>
      <c r="M60" s="11">
        <v>0</v>
      </c>
      <c r="N60" s="11">
        <v>0</v>
      </c>
      <c r="O60" s="11">
        <v>0</v>
      </c>
      <c r="P60" s="11">
        <v>0</v>
      </c>
      <c r="Q60" s="43">
        <v>0</v>
      </c>
      <c r="R60" s="59">
        <v>0</v>
      </c>
      <c r="S60" s="78">
        <f t="shared" si="1"/>
        <v>0</v>
      </c>
      <c r="T60" s="43">
        <v>0</v>
      </c>
      <c r="U60" s="11">
        <v>0</v>
      </c>
      <c r="V60" s="11">
        <v>0</v>
      </c>
      <c r="W60" s="11">
        <v>0</v>
      </c>
      <c r="X60" s="43">
        <v>0</v>
      </c>
      <c r="Y60" s="11">
        <v>0</v>
      </c>
      <c r="Z60" s="11">
        <v>0</v>
      </c>
      <c r="AA60" s="11">
        <v>0</v>
      </c>
      <c r="AB60" s="11">
        <v>0</v>
      </c>
      <c r="AC60" s="59">
        <v>0</v>
      </c>
      <c r="AD60" s="78">
        <f t="shared" si="2"/>
        <v>0</v>
      </c>
      <c r="AE60" s="95">
        <v>0</v>
      </c>
    </row>
    <row r="61" spans="1:38" ht="14.25" thickBot="1" x14ac:dyDescent="0.2">
      <c r="A61" s="31" t="s">
        <v>60</v>
      </c>
      <c r="B61" s="32">
        <v>43294</v>
      </c>
      <c r="C61" s="32">
        <v>37089</v>
      </c>
      <c r="D61" s="32">
        <v>46293</v>
      </c>
      <c r="E61" s="32">
        <v>52495</v>
      </c>
      <c r="F61" s="32">
        <v>58659</v>
      </c>
      <c r="G61" s="46">
        <v>58685</v>
      </c>
      <c r="H61" s="32">
        <v>58692</v>
      </c>
      <c r="I61" s="32">
        <v>58660</v>
      </c>
      <c r="J61" s="32">
        <v>55576</v>
      </c>
      <c r="K61" s="32">
        <v>49368</v>
      </c>
      <c r="L61" s="46">
        <v>49360</v>
      </c>
      <c r="M61" s="32">
        <v>49352</v>
      </c>
      <c r="N61" s="32">
        <v>49418</v>
      </c>
      <c r="O61" s="32">
        <v>40126</v>
      </c>
      <c r="P61" s="32">
        <v>43488</v>
      </c>
      <c r="Q61" s="46">
        <v>46270</v>
      </c>
      <c r="R61" s="62">
        <v>43326</v>
      </c>
      <c r="S61" s="81">
        <f t="shared" si="1"/>
        <v>840151</v>
      </c>
      <c r="T61" s="46">
        <v>77232</v>
      </c>
      <c r="U61" s="32">
        <v>58684</v>
      </c>
      <c r="V61" s="32">
        <v>55621</v>
      </c>
      <c r="W61" s="32">
        <v>263</v>
      </c>
      <c r="X61" s="46">
        <v>252</v>
      </c>
      <c r="Y61" s="32">
        <v>0</v>
      </c>
      <c r="Z61" s="32">
        <v>0</v>
      </c>
      <c r="AA61" s="32">
        <v>0</v>
      </c>
      <c r="AB61" s="32">
        <v>0</v>
      </c>
      <c r="AC61" s="62">
        <v>0</v>
      </c>
      <c r="AD61" s="81">
        <f t="shared" si="2"/>
        <v>192052</v>
      </c>
      <c r="AE61" s="98">
        <v>1032203</v>
      </c>
    </row>
    <row r="62" spans="1:38" ht="14.25" thickBot="1" x14ac:dyDescent="0.2">
      <c r="A62" s="33" t="s">
        <v>61</v>
      </c>
      <c r="B62" s="34">
        <v>243200</v>
      </c>
      <c r="C62" s="34">
        <v>204331</v>
      </c>
      <c r="D62" s="34">
        <v>223828</v>
      </c>
      <c r="E62" s="34">
        <v>272993</v>
      </c>
      <c r="F62" s="34">
        <v>299323</v>
      </c>
      <c r="G62" s="47">
        <v>310143</v>
      </c>
      <c r="H62" s="34">
        <v>311909</v>
      </c>
      <c r="I62" s="34">
        <v>293158</v>
      </c>
      <c r="J62" s="34">
        <v>287767</v>
      </c>
      <c r="K62" s="34">
        <v>244424</v>
      </c>
      <c r="L62" s="47">
        <v>242968</v>
      </c>
      <c r="M62" s="34">
        <v>238618</v>
      </c>
      <c r="N62" s="34">
        <v>259234</v>
      </c>
      <c r="O62" s="34">
        <v>199759</v>
      </c>
      <c r="P62" s="34">
        <v>199318</v>
      </c>
      <c r="Q62" s="47">
        <v>221222</v>
      </c>
      <c r="R62" s="63">
        <v>255533</v>
      </c>
      <c r="S62" s="82">
        <f t="shared" si="1"/>
        <v>4307728</v>
      </c>
      <c r="T62" s="47">
        <v>409946</v>
      </c>
      <c r="U62" s="34">
        <v>306316</v>
      </c>
      <c r="V62" s="34">
        <v>299911</v>
      </c>
      <c r="W62" s="34">
        <v>84997</v>
      </c>
      <c r="X62" s="47">
        <v>82398</v>
      </c>
      <c r="Y62" s="34">
        <v>63000</v>
      </c>
      <c r="Z62" s="34">
        <v>81900</v>
      </c>
      <c r="AA62" s="34">
        <v>81900</v>
      </c>
      <c r="AB62" s="34">
        <v>76230</v>
      </c>
      <c r="AC62" s="63">
        <v>28844</v>
      </c>
      <c r="AD62" s="82">
        <f t="shared" si="2"/>
        <v>1515442</v>
      </c>
      <c r="AE62" s="99">
        <v>5823170</v>
      </c>
    </row>
    <row r="63" spans="1:38" x14ac:dyDescent="0.15">
      <c r="A63" s="28" t="s">
        <v>62</v>
      </c>
      <c r="B63" s="29">
        <v>1460</v>
      </c>
      <c r="C63" s="29">
        <v>4920</v>
      </c>
      <c r="D63" s="29">
        <v>4000</v>
      </c>
      <c r="E63" s="29">
        <v>7370</v>
      </c>
      <c r="F63" s="29">
        <v>6700</v>
      </c>
      <c r="G63" s="45">
        <v>9210</v>
      </c>
      <c r="H63" s="29">
        <v>7210</v>
      </c>
      <c r="I63" s="29">
        <v>6480</v>
      </c>
      <c r="J63" s="29">
        <v>7900</v>
      </c>
      <c r="K63" s="29">
        <v>6350</v>
      </c>
      <c r="L63" s="45">
        <v>4680</v>
      </c>
      <c r="M63" s="29">
        <v>6140</v>
      </c>
      <c r="N63" s="29">
        <v>6880</v>
      </c>
      <c r="O63" s="29">
        <v>4760</v>
      </c>
      <c r="P63" s="29">
        <v>4740</v>
      </c>
      <c r="Q63" s="45">
        <v>5520</v>
      </c>
      <c r="R63" s="61">
        <v>6750</v>
      </c>
      <c r="S63" s="80">
        <f t="shared" si="1"/>
        <v>101070</v>
      </c>
      <c r="T63" s="45">
        <v>14130</v>
      </c>
      <c r="U63" s="29">
        <v>8900</v>
      </c>
      <c r="V63" s="29">
        <v>6720</v>
      </c>
      <c r="W63" s="29">
        <v>0</v>
      </c>
      <c r="X63" s="45">
        <v>0</v>
      </c>
      <c r="Y63" s="29">
        <v>0</v>
      </c>
      <c r="Z63" s="29">
        <v>0</v>
      </c>
      <c r="AA63" s="29">
        <v>0</v>
      </c>
      <c r="AB63" s="29">
        <v>0</v>
      </c>
      <c r="AC63" s="61">
        <v>0</v>
      </c>
      <c r="AD63" s="80">
        <f t="shared" si="2"/>
        <v>29750</v>
      </c>
      <c r="AE63" s="97">
        <v>130820</v>
      </c>
    </row>
    <row r="64" spans="1:38" x14ac:dyDescent="0.15">
      <c r="A64" s="15" t="s">
        <v>63</v>
      </c>
      <c r="B64" s="11">
        <v>1300</v>
      </c>
      <c r="C64" s="11">
        <v>0</v>
      </c>
      <c r="D64" s="11">
        <v>1300</v>
      </c>
      <c r="E64" s="11">
        <v>1300</v>
      </c>
      <c r="F64" s="11">
        <v>1300</v>
      </c>
      <c r="G64" s="43">
        <v>0</v>
      </c>
      <c r="H64" s="11">
        <v>1300</v>
      </c>
      <c r="I64" s="11">
        <v>1300</v>
      </c>
      <c r="J64" s="11">
        <v>1300</v>
      </c>
      <c r="K64" s="11">
        <v>1300</v>
      </c>
      <c r="L64" s="43">
        <v>1300</v>
      </c>
      <c r="M64" s="11">
        <v>1300</v>
      </c>
      <c r="N64" s="11">
        <v>1300</v>
      </c>
      <c r="O64" s="11">
        <v>0</v>
      </c>
      <c r="P64" s="11">
        <v>0</v>
      </c>
      <c r="Q64" s="43">
        <v>1300</v>
      </c>
      <c r="R64" s="59">
        <v>1300</v>
      </c>
      <c r="S64" s="78">
        <f t="shared" si="1"/>
        <v>16900</v>
      </c>
      <c r="T64" s="43">
        <v>0</v>
      </c>
      <c r="U64" s="11">
        <v>0</v>
      </c>
      <c r="V64" s="11">
        <v>0</v>
      </c>
      <c r="W64" s="11">
        <v>0</v>
      </c>
      <c r="X64" s="43">
        <v>0</v>
      </c>
      <c r="Y64" s="11">
        <v>0</v>
      </c>
      <c r="Z64" s="11">
        <v>0</v>
      </c>
      <c r="AA64" s="11">
        <v>0</v>
      </c>
      <c r="AB64" s="11">
        <v>0</v>
      </c>
      <c r="AC64" s="59">
        <v>0</v>
      </c>
      <c r="AD64" s="78">
        <f t="shared" si="2"/>
        <v>0</v>
      </c>
      <c r="AE64" s="95">
        <v>16900</v>
      </c>
    </row>
    <row r="65" spans="1:31" x14ac:dyDescent="0.15">
      <c r="A65" s="15" t="s">
        <v>64</v>
      </c>
      <c r="B65" s="11">
        <v>2400</v>
      </c>
      <c r="C65" s="11">
        <v>0</v>
      </c>
      <c r="D65" s="11">
        <v>8100</v>
      </c>
      <c r="E65" s="11">
        <v>14700</v>
      </c>
      <c r="F65" s="11">
        <v>13700</v>
      </c>
      <c r="G65" s="43">
        <v>16600</v>
      </c>
      <c r="H65" s="11">
        <v>8000</v>
      </c>
      <c r="I65" s="11">
        <v>13400</v>
      </c>
      <c r="J65" s="11">
        <v>17300</v>
      </c>
      <c r="K65" s="11">
        <v>13600</v>
      </c>
      <c r="L65" s="43">
        <v>8100</v>
      </c>
      <c r="M65" s="11">
        <v>13300</v>
      </c>
      <c r="N65" s="11">
        <v>9200</v>
      </c>
      <c r="O65" s="11">
        <v>9600</v>
      </c>
      <c r="P65" s="11">
        <v>13700</v>
      </c>
      <c r="Q65" s="43">
        <v>12300</v>
      </c>
      <c r="R65" s="59">
        <v>11200</v>
      </c>
      <c r="S65" s="78">
        <f t="shared" si="1"/>
        <v>185200</v>
      </c>
      <c r="T65" s="43">
        <v>21300</v>
      </c>
      <c r="U65" s="11">
        <v>15600</v>
      </c>
      <c r="V65" s="11">
        <v>15000</v>
      </c>
      <c r="W65" s="11">
        <v>600</v>
      </c>
      <c r="X65" s="43">
        <v>0</v>
      </c>
      <c r="Y65" s="11">
        <v>1100</v>
      </c>
      <c r="Z65" s="11">
        <v>0</v>
      </c>
      <c r="AA65" s="11">
        <v>3500</v>
      </c>
      <c r="AB65" s="11">
        <v>0</v>
      </c>
      <c r="AC65" s="59">
        <v>0</v>
      </c>
      <c r="AD65" s="78">
        <f t="shared" si="2"/>
        <v>57100</v>
      </c>
      <c r="AE65" s="95">
        <v>242300</v>
      </c>
    </row>
    <row r="66" spans="1:31" x14ac:dyDescent="0.15">
      <c r="A66" s="15" t="s">
        <v>65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43">
        <v>10000</v>
      </c>
      <c r="H66" s="11">
        <v>0</v>
      </c>
      <c r="I66" s="11">
        <v>0</v>
      </c>
      <c r="J66" s="11">
        <v>0</v>
      </c>
      <c r="K66" s="11">
        <v>0</v>
      </c>
      <c r="L66" s="43">
        <v>0</v>
      </c>
      <c r="M66" s="11">
        <v>0</v>
      </c>
      <c r="N66" s="11">
        <v>0</v>
      </c>
      <c r="O66" s="11">
        <v>0</v>
      </c>
      <c r="P66" s="11">
        <v>0</v>
      </c>
      <c r="Q66" s="43">
        <v>0</v>
      </c>
      <c r="R66" s="59">
        <v>0</v>
      </c>
      <c r="S66" s="78">
        <f t="shared" si="1"/>
        <v>10000</v>
      </c>
      <c r="T66" s="43">
        <v>0</v>
      </c>
      <c r="U66" s="11">
        <v>0</v>
      </c>
      <c r="V66" s="11">
        <v>0</v>
      </c>
      <c r="W66" s="11">
        <v>0</v>
      </c>
      <c r="X66" s="43">
        <v>0</v>
      </c>
      <c r="Y66" s="11">
        <v>0</v>
      </c>
      <c r="Z66" s="11">
        <v>0</v>
      </c>
      <c r="AA66" s="11">
        <v>0</v>
      </c>
      <c r="AB66" s="11">
        <v>0</v>
      </c>
      <c r="AC66" s="59">
        <v>0</v>
      </c>
      <c r="AD66" s="78">
        <f t="shared" si="2"/>
        <v>0</v>
      </c>
      <c r="AE66" s="95">
        <v>10000</v>
      </c>
    </row>
    <row r="67" spans="1:31" x14ac:dyDescent="0.15">
      <c r="A67" s="15" t="s">
        <v>66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43">
        <v>0</v>
      </c>
      <c r="H67" s="11">
        <v>0</v>
      </c>
      <c r="I67" s="11">
        <v>0</v>
      </c>
      <c r="J67" s="11">
        <v>0</v>
      </c>
      <c r="K67" s="11">
        <v>0</v>
      </c>
      <c r="L67" s="43">
        <v>0</v>
      </c>
      <c r="M67" s="11">
        <v>0</v>
      </c>
      <c r="N67" s="11">
        <v>0</v>
      </c>
      <c r="O67" s="11">
        <v>0</v>
      </c>
      <c r="P67" s="11">
        <v>0</v>
      </c>
      <c r="Q67" s="43">
        <v>0</v>
      </c>
      <c r="R67" s="59">
        <v>0</v>
      </c>
      <c r="S67" s="78">
        <f t="shared" si="1"/>
        <v>0</v>
      </c>
      <c r="T67" s="43">
        <v>0</v>
      </c>
      <c r="U67" s="11">
        <v>0</v>
      </c>
      <c r="V67" s="11">
        <v>0</v>
      </c>
      <c r="W67" s="11">
        <v>0</v>
      </c>
      <c r="X67" s="43">
        <v>0</v>
      </c>
      <c r="Y67" s="11">
        <v>0</v>
      </c>
      <c r="Z67" s="11">
        <v>0</v>
      </c>
      <c r="AA67" s="11">
        <v>0</v>
      </c>
      <c r="AB67" s="11">
        <v>0</v>
      </c>
      <c r="AC67" s="59">
        <v>0</v>
      </c>
      <c r="AD67" s="78">
        <f t="shared" si="2"/>
        <v>0</v>
      </c>
      <c r="AE67" s="95">
        <v>0</v>
      </c>
    </row>
    <row r="68" spans="1:31" x14ac:dyDescent="0.15">
      <c r="A68" s="15" t="s">
        <v>67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43">
        <v>0</v>
      </c>
      <c r="H68" s="11">
        <v>0</v>
      </c>
      <c r="I68" s="11">
        <v>0</v>
      </c>
      <c r="J68" s="11">
        <v>0</v>
      </c>
      <c r="K68" s="11">
        <v>0</v>
      </c>
      <c r="L68" s="43">
        <v>0</v>
      </c>
      <c r="M68" s="11">
        <v>0</v>
      </c>
      <c r="N68" s="11">
        <v>0</v>
      </c>
      <c r="O68" s="11">
        <v>0</v>
      </c>
      <c r="P68" s="11">
        <v>0</v>
      </c>
      <c r="Q68" s="43">
        <v>0</v>
      </c>
      <c r="R68" s="59">
        <v>0</v>
      </c>
      <c r="S68" s="78">
        <f t="shared" si="1"/>
        <v>0</v>
      </c>
      <c r="T68" s="43">
        <v>0</v>
      </c>
      <c r="U68" s="11">
        <v>0</v>
      </c>
      <c r="V68" s="11">
        <v>0</v>
      </c>
      <c r="W68" s="11">
        <v>0</v>
      </c>
      <c r="X68" s="43">
        <v>0</v>
      </c>
      <c r="Y68" s="11">
        <v>0</v>
      </c>
      <c r="Z68" s="11">
        <v>0</v>
      </c>
      <c r="AA68" s="11">
        <v>0</v>
      </c>
      <c r="AB68" s="11">
        <v>0</v>
      </c>
      <c r="AC68" s="59">
        <v>0</v>
      </c>
      <c r="AD68" s="78">
        <f t="shared" si="2"/>
        <v>0</v>
      </c>
      <c r="AE68" s="95">
        <v>0</v>
      </c>
    </row>
    <row r="69" spans="1:31" ht="14.25" thickBot="1" x14ac:dyDescent="0.2">
      <c r="A69" s="31" t="s">
        <v>68</v>
      </c>
      <c r="B69" s="32">
        <v>5160</v>
      </c>
      <c r="C69" s="32">
        <v>4920</v>
      </c>
      <c r="D69" s="32">
        <v>13400</v>
      </c>
      <c r="E69" s="32">
        <v>23370</v>
      </c>
      <c r="F69" s="32">
        <v>21700</v>
      </c>
      <c r="G69" s="46">
        <v>35810</v>
      </c>
      <c r="H69" s="32">
        <v>16510</v>
      </c>
      <c r="I69" s="32">
        <v>21180</v>
      </c>
      <c r="J69" s="32">
        <v>26500</v>
      </c>
      <c r="K69" s="32">
        <v>21250</v>
      </c>
      <c r="L69" s="46">
        <v>14080</v>
      </c>
      <c r="M69" s="32">
        <v>20740</v>
      </c>
      <c r="N69" s="32">
        <v>17380</v>
      </c>
      <c r="O69" s="32">
        <v>14360</v>
      </c>
      <c r="P69" s="32">
        <v>18440</v>
      </c>
      <c r="Q69" s="46">
        <v>19120</v>
      </c>
      <c r="R69" s="62">
        <v>19250</v>
      </c>
      <c r="S69" s="81">
        <f t="shared" si="1"/>
        <v>313170</v>
      </c>
      <c r="T69" s="46">
        <v>35430</v>
      </c>
      <c r="U69" s="32">
        <v>24500</v>
      </c>
      <c r="V69" s="32">
        <v>21720</v>
      </c>
      <c r="W69" s="32">
        <v>600</v>
      </c>
      <c r="X69" s="46">
        <v>0</v>
      </c>
      <c r="Y69" s="32">
        <v>1100</v>
      </c>
      <c r="Z69" s="32">
        <v>0</v>
      </c>
      <c r="AA69" s="32">
        <v>3500</v>
      </c>
      <c r="AB69" s="32">
        <v>0</v>
      </c>
      <c r="AC69" s="62">
        <v>0</v>
      </c>
      <c r="AD69" s="81">
        <f t="shared" si="2"/>
        <v>86850</v>
      </c>
      <c r="AE69" s="98">
        <v>400020</v>
      </c>
    </row>
    <row r="70" spans="1:31" ht="14.25" thickBot="1" x14ac:dyDescent="0.2">
      <c r="A70" s="33" t="s">
        <v>69</v>
      </c>
      <c r="B70" s="34">
        <v>48454</v>
      </c>
      <c r="C70" s="34">
        <v>42009</v>
      </c>
      <c r="D70" s="34">
        <v>59693</v>
      </c>
      <c r="E70" s="34">
        <v>75865</v>
      </c>
      <c r="F70" s="34">
        <v>80359</v>
      </c>
      <c r="G70" s="47">
        <v>94495</v>
      </c>
      <c r="H70" s="34">
        <v>75202</v>
      </c>
      <c r="I70" s="34">
        <v>79840</v>
      </c>
      <c r="J70" s="34">
        <v>82076</v>
      </c>
      <c r="K70" s="34">
        <v>70618</v>
      </c>
      <c r="L70" s="47">
        <v>63440</v>
      </c>
      <c r="M70" s="34">
        <v>70092</v>
      </c>
      <c r="N70" s="34">
        <v>66798</v>
      </c>
      <c r="O70" s="34">
        <v>54486</v>
      </c>
      <c r="P70" s="34">
        <v>61928</v>
      </c>
      <c r="Q70" s="47">
        <v>65390</v>
      </c>
      <c r="R70" s="63">
        <v>62576</v>
      </c>
      <c r="S70" s="82">
        <f t="shared" si="1"/>
        <v>1153321</v>
      </c>
      <c r="T70" s="47">
        <v>112662</v>
      </c>
      <c r="U70" s="34">
        <v>83184</v>
      </c>
      <c r="V70" s="34">
        <v>77341</v>
      </c>
      <c r="W70" s="34">
        <v>863</v>
      </c>
      <c r="X70" s="47">
        <v>252</v>
      </c>
      <c r="Y70" s="34">
        <v>1100</v>
      </c>
      <c r="Z70" s="34">
        <v>0</v>
      </c>
      <c r="AA70" s="34">
        <v>3500</v>
      </c>
      <c r="AB70" s="34">
        <v>0</v>
      </c>
      <c r="AC70" s="63">
        <v>0</v>
      </c>
      <c r="AD70" s="82">
        <f t="shared" si="2"/>
        <v>278902</v>
      </c>
      <c r="AE70" s="99">
        <v>1432223</v>
      </c>
    </row>
    <row r="71" spans="1:31" ht="14.25" thickBot="1" x14ac:dyDescent="0.2">
      <c r="A71" s="33" t="s">
        <v>70</v>
      </c>
      <c r="B71" s="34">
        <v>243044</v>
      </c>
      <c r="C71" s="34">
        <v>200996</v>
      </c>
      <c r="D71" s="34">
        <v>221268</v>
      </c>
      <c r="E71" s="34">
        <v>252333</v>
      </c>
      <c r="F71" s="34">
        <v>282501</v>
      </c>
      <c r="G71" s="47">
        <v>277043</v>
      </c>
      <c r="H71" s="34">
        <v>298651</v>
      </c>
      <c r="I71" s="34">
        <v>283486</v>
      </c>
      <c r="J71" s="34">
        <v>263185</v>
      </c>
      <c r="K71" s="34">
        <v>225342</v>
      </c>
      <c r="L71" s="47">
        <v>229931</v>
      </c>
      <c r="M71" s="34">
        <v>220693</v>
      </c>
      <c r="N71" s="34">
        <v>246024</v>
      </c>
      <c r="O71" s="34">
        <v>190819</v>
      </c>
      <c r="P71" s="34">
        <v>183943</v>
      </c>
      <c r="Q71" s="47">
        <v>208106</v>
      </c>
      <c r="R71" s="63">
        <v>239410</v>
      </c>
      <c r="S71" s="82">
        <f t="shared" si="1"/>
        <v>4066775</v>
      </c>
      <c r="T71" s="47">
        <v>381396</v>
      </c>
      <c r="U71" s="34">
        <v>288049</v>
      </c>
      <c r="V71" s="34">
        <v>282882</v>
      </c>
      <c r="W71" s="34">
        <v>86732</v>
      </c>
      <c r="X71" s="47">
        <v>83858</v>
      </c>
      <c r="Y71" s="34">
        <v>68029</v>
      </c>
      <c r="Z71" s="34">
        <v>84402</v>
      </c>
      <c r="AA71" s="34">
        <v>81527</v>
      </c>
      <c r="AB71" s="34">
        <v>79899</v>
      </c>
      <c r="AC71" s="63">
        <v>29928</v>
      </c>
      <c r="AD71" s="82">
        <f t="shared" si="2"/>
        <v>1466702</v>
      </c>
      <c r="AE71" s="99">
        <v>5533477</v>
      </c>
    </row>
    <row r="72" spans="1:31" x14ac:dyDescent="0.15">
      <c r="A72" s="28" t="s">
        <v>71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45">
        <v>0</v>
      </c>
      <c r="H72" s="29">
        <v>0</v>
      </c>
      <c r="I72" s="29">
        <v>0</v>
      </c>
      <c r="J72" s="29">
        <v>0</v>
      </c>
      <c r="K72" s="29">
        <v>0</v>
      </c>
      <c r="L72" s="45">
        <v>0</v>
      </c>
      <c r="M72" s="29">
        <v>0</v>
      </c>
      <c r="N72" s="29">
        <v>0</v>
      </c>
      <c r="O72" s="29">
        <v>0</v>
      </c>
      <c r="P72" s="29">
        <v>0</v>
      </c>
      <c r="Q72" s="45">
        <v>0</v>
      </c>
      <c r="R72" s="61">
        <v>0</v>
      </c>
      <c r="S72" s="80">
        <f t="shared" si="1"/>
        <v>0</v>
      </c>
      <c r="T72" s="45">
        <v>0</v>
      </c>
      <c r="U72" s="29">
        <v>0</v>
      </c>
      <c r="V72" s="29">
        <v>0</v>
      </c>
      <c r="W72" s="29">
        <v>0</v>
      </c>
      <c r="X72" s="45">
        <v>0</v>
      </c>
      <c r="Y72" s="29">
        <v>0</v>
      </c>
      <c r="Z72" s="29">
        <v>0</v>
      </c>
      <c r="AA72" s="29">
        <v>0</v>
      </c>
      <c r="AB72" s="29">
        <v>0</v>
      </c>
      <c r="AC72" s="61">
        <v>0</v>
      </c>
      <c r="AD72" s="80">
        <f t="shared" si="2"/>
        <v>0</v>
      </c>
      <c r="AE72" s="97">
        <v>0</v>
      </c>
    </row>
    <row r="73" spans="1:31" x14ac:dyDescent="0.15">
      <c r="A73" s="15" t="s">
        <v>72</v>
      </c>
      <c r="B73" s="11">
        <v>243044</v>
      </c>
      <c r="C73" s="11">
        <v>200996</v>
      </c>
      <c r="D73" s="11">
        <v>221268</v>
      </c>
      <c r="E73" s="11">
        <v>252333</v>
      </c>
      <c r="F73" s="11">
        <v>282501</v>
      </c>
      <c r="G73" s="43">
        <v>277043</v>
      </c>
      <c r="H73" s="11">
        <v>298651</v>
      </c>
      <c r="I73" s="11">
        <v>283486</v>
      </c>
      <c r="J73" s="11">
        <v>263185</v>
      </c>
      <c r="K73" s="11">
        <v>225342</v>
      </c>
      <c r="L73" s="43">
        <v>229931</v>
      </c>
      <c r="M73" s="11">
        <v>220693</v>
      </c>
      <c r="N73" s="11">
        <v>246024</v>
      </c>
      <c r="O73" s="11">
        <v>190819</v>
      </c>
      <c r="P73" s="11">
        <v>183943</v>
      </c>
      <c r="Q73" s="43">
        <v>208106</v>
      </c>
      <c r="R73" s="59">
        <v>239410</v>
      </c>
      <c r="S73" s="78">
        <f t="shared" si="1"/>
        <v>4066775</v>
      </c>
      <c r="T73" s="43">
        <v>381396</v>
      </c>
      <c r="U73" s="11">
        <v>288049</v>
      </c>
      <c r="V73" s="11">
        <v>282882</v>
      </c>
      <c r="W73" s="11">
        <v>86732</v>
      </c>
      <c r="X73" s="43">
        <v>83858</v>
      </c>
      <c r="Y73" s="11">
        <v>68029</v>
      </c>
      <c r="Z73" s="11">
        <v>84402</v>
      </c>
      <c r="AA73" s="11">
        <v>81527</v>
      </c>
      <c r="AB73" s="11">
        <v>79899</v>
      </c>
      <c r="AC73" s="59">
        <v>29928</v>
      </c>
      <c r="AD73" s="78">
        <f t="shared" si="2"/>
        <v>1466702</v>
      </c>
      <c r="AE73" s="95">
        <v>5533477</v>
      </c>
    </row>
    <row r="74" spans="1:31" x14ac:dyDescent="0.15">
      <c r="A74" s="15" t="s">
        <v>73</v>
      </c>
      <c r="B74" s="12">
        <v>16</v>
      </c>
      <c r="C74" s="12">
        <v>13</v>
      </c>
      <c r="D74" s="12">
        <v>33</v>
      </c>
      <c r="E74" s="12">
        <v>34</v>
      </c>
      <c r="F74" s="12">
        <v>39</v>
      </c>
      <c r="G74" s="48">
        <v>39</v>
      </c>
      <c r="H74" s="12">
        <v>30</v>
      </c>
      <c r="I74" s="12">
        <v>30</v>
      </c>
      <c r="J74" s="12">
        <v>35</v>
      </c>
      <c r="K74" s="12">
        <v>38</v>
      </c>
      <c r="L74" s="48">
        <v>39</v>
      </c>
      <c r="M74" s="12">
        <v>22</v>
      </c>
      <c r="N74" s="12">
        <v>31</v>
      </c>
      <c r="O74" s="12">
        <v>11</v>
      </c>
      <c r="P74" s="12">
        <v>16</v>
      </c>
      <c r="Q74" s="48">
        <v>22</v>
      </c>
      <c r="R74" s="65">
        <v>12</v>
      </c>
      <c r="S74" s="83"/>
      <c r="T74" s="48">
        <v>39</v>
      </c>
      <c r="U74" s="12">
        <v>34</v>
      </c>
      <c r="V74" s="12">
        <v>40</v>
      </c>
      <c r="W74" s="12">
        <v>20</v>
      </c>
      <c r="X74" s="48">
        <v>20</v>
      </c>
      <c r="Y74" s="12">
        <v>22</v>
      </c>
      <c r="Z74" s="12">
        <v>18</v>
      </c>
      <c r="AA74" s="12">
        <v>16</v>
      </c>
      <c r="AB74" s="12">
        <v>4</v>
      </c>
      <c r="AC74" s="65">
        <v>3</v>
      </c>
      <c r="AD74" s="83"/>
      <c r="AE74" s="100">
        <v>676</v>
      </c>
    </row>
    <row r="75" spans="1:31" x14ac:dyDescent="0.15">
      <c r="A75" s="15" t="s">
        <v>74</v>
      </c>
      <c r="B75" s="13">
        <v>3</v>
      </c>
      <c r="C75" s="13"/>
      <c r="D75" s="13">
        <v>1</v>
      </c>
      <c r="E75" s="13"/>
      <c r="F75" s="13">
        <v>1</v>
      </c>
      <c r="G75" s="49"/>
      <c r="H75" s="13">
        <v>1</v>
      </c>
      <c r="I75" s="13">
        <v>1</v>
      </c>
      <c r="J75" s="13"/>
      <c r="K75" s="13"/>
      <c r="L75" s="49">
        <v>1</v>
      </c>
      <c r="M75" s="13"/>
      <c r="N75" s="13"/>
      <c r="O75" s="13"/>
      <c r="P75" s="13"/>
      <c r="Q75" s="49"/>
      <c r="R75" s="64"/>
      <c r="S75" s="84"/>
      <c r="T75" s="49">
        <v>1</v>
      </c>
      <c r="U75" s="13"/>
      <c r="V75" s="13">
        <v>1</v>
      </c>
      <c r="W75" s="13"/>
      <c r="X75" s="49"/>
      <c r="Y75" s="13"/>
      <c r="Z75" s="13">
        <v>1</v>
      </c>
      <c r="AA75" s="13">
        <v>1</v>
      </c>
      <c r="AB75" s="13">
        <v>1</v>
      </c>
      <c r="AC75" s="64">
        <v>1</v>
      </c>
      <c r="AD75" s="84"/>
      <c r="AE75" s="101"/>
    </row>
    <row r="76" spans="1:31" ht="14.25" thickBot="1" x14ac:dyDescent="0.2">
      <c r="A76" s="16" t="s">
        <v>75</v>
      </c>
      <c r="B76" s="17" t="s">
        <v>76</v>
      </c>
      <c r="C76" s="17" t="s">
        <v>76</v>
      </c>
      <c r="D76" s="17" t="s">
        <v>76</v>
      </c>
      <c r="E76" s="17" t="s">
        <v>76</v>
      </c>
      <c r="F76" s="17" t="s">
        <v>76</v>
      </c>
      <c r="G76" s="50" t="s">
        <v>76</v>
      </c>
      <c r="H76" s="17" t="s">
        <v>76</v>
      </c>
      <c r="I76" s="17" t="s">
        <v>76</v>
      </c>
      <c r="J76" s="17" t="s">
        <v>76</v>
      </c>
      <c r="K76" s="17" t="s">
        <v>76</v>
      </c>
      <c r="L76" s="50" t="s">
        <v>76</v>
      </c>
      <c r="M76" s="17" t="s">
        <v>76</v>
      </c>
      <c r="N76" s="17" t="s">
        <v>76</v>
      </c>
      <c r="O76" s="17" t="s">
        <v>76</v>
      </c>
      <c r="P76" s="17" t="s">
        <v>76</v>
      </c>
      <c r="Q76" s="50" t="s">
        <v>76</v>
      </c>
      <c r="R76" s="66" t="s">
        <v>76</v>
      </c>
      <c r="S76" s="85"/>
      <c r="T76" s="50" t="s">
        <v>76</v>
      </c>
      <c r="U76" s="17" t="s">
        <v>76</v>
      </c>
      <c r="V76" s="17" t="s">
        <v>76</v>
      </c>
      <c r="W76" s="17" t="s">
        <v>76</v>
      </c>
      <c r="X76" s="50" t="s">
        <v>76</v>
      </c>
      <c r="Y76" s="17" t="s">
        <v>76</v>
      </c>
      <c r="Z76" s="17" t="s">
        <v>76</v>
      </c>
      <c r="AA76" s="17" t="s">
        <v>76</v>
      </c>
      <c r="AB76" s="17" t="s">
        <v>76</v>
      </c>
      <c r="AC76" s="66" t="s">
        <v>76</v>
      </c>
      <c r="AD76" s="85"/>
      <c r="AE76" s="102"/>
    </row>
  </sheetData>
  <phoneticPr fontId="1"/>
  <pageMargins left="0.45" right="0.37" top="0.5" bottom="0.36" header="0.21" footer="0.26"/>
  <pageSetup paperSize="9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6416-7DB9-4AFA-AAB2-C888D7E6C6FC}">
  <sheetPr>
    <pageSetUpPr fitToPage="1"/>
  </sheetPr>
  <dimension ref="A1:AM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3" width="11.875" style="2" customWidth="1"/>
    <col min="14" max="20" width="10.5" style="2" customWidth="1"/>
    <col min="21" max="16384" width="9" style="2"/>
  </cols>
  <sheetData>
    <row r="1" spans="1:39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15">
      <c r="A3" s="18" t="s">
        <v>0</v>
      </c>
      <c r="B3" s="35" t="s">
        <v>89</v>
      </c>
      <c r="C3" s="19" t="s">
        <v>89</v>
      </c>
      <c r="D3" s="19" t="s">
        <v>100</v>
      </c>
      <c r="E3" s="19" t="s">
        <v>89</v>
      </c>
      <c r="F3" s="35" t="s">
        <v>89</v>
      </c>
      <c r="G3" s="19" t="s">
        <v>89</v>
      </c>
      <c r="H3" s="19" t="s">
        <v>89</v>
      </c>
      <c r="I3" s="19" t="s">
        <v>89</v>
      </c>
      <c r="J3" s="19" t="s">
        <v>89</v>
      </c>
      <c r="K3" s="52" t="s">
        <v>89</v>
      </c>
      <c r="L3" s="69" t="s">
        <v>104</v>
      </c>
      <c r="M3" s="86" t="s">
        <v>103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15">
      <c r="A4" s="20"/>
      <c r="B4" s="36">
        <v>1009</v>
      </c>
      <c r="C4" s="21">
        <v>1014</v>
      </c>
      <c r="D4" s="21">
        <v>1013</v>
      </c>
      <c r="E4" s="21">
        <v>1026</v>
      </c>
      <c r="F4" s="36">
        <v>1027</v>
      </c>
      <c r="G4" s="21">
        <v>1001</v>
      </c>
      <c r="H4" s="21">
        <v>1002</v>
      </c>
      <c r="I4" s="21">
        <v>1003</v>
      </c>
      <c r="J4" s="21">
        <v>1005</v>
      </c>
      <c r="K4" s="53">
        <v>1085</v>
      </c>
      <c r="L4" s="70"/>
      <c r="M4" s="8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4.25" thickBot="1" x14ac:dyDescent="0.2">
      <c r="A5" s="20" t="s">
        <v>1</v>
      </c>
      <c r="B5" s="36" t="s">
        <v>90</v>
      </c>
      <c r="C5" s="21" t="s">
        <v>91</v>
      </c>
      <c r="D5" s="21" t="s">
        <v>101</v>
      </c>
      <c r="E5" s="21" t="s">
        <v>96</v>
      </c>
      <c r="F5" s="36" t="s">
        <v>98</v>
      </c>
      <c r="G5" s="21" t="s">
        <v>92</v>
      </c>
      <c r="H5" s="21" t="s">
        <v>93</v>
      </c>
      <c r="I5" s="21" t="s">
        <v>94</v>
      </c>
      <c r="J5" s="21" t="s">
        <v>95</v>
      </c>
      <c r="K5" s="53" t="s">
        <v>99</v>
      </c>
      <c r="L5" s="71" t="s">
        <v>106</v>
      </c>
      <c r="M5" s="88" t="s">
        <v>102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15">
      <c r="A6" s="22" t="s">
        <v>5</v>
      </c>
      <c r="B6" s="37">
        <v>21</v>
      </c>
      <c r="C6" s="23">
        <v>22</v>
      </c>
      <c r="D6" s="23">
        <v>22</v>
      </c>
      <c r="E6" s="23">
        <v>14</v>
      </c>
      <c r="F6" s="37">
        <v>14</v>
      </c>
      <c r="G6" s="23">
        <v>21</v>
      </c>
      <c r="H6" s="23">
        <v>10</v>
      </c>
      <c r="I6" s="23">
        <v>10</v>
      </c>
      <c r="J6" s="23">
        <v>11</v>
      </c>
      <c r="K6" s="54">
        <v>4</v>
      </c>
      <c r="L6" s="72">
        <f>SUM(B6:K6)</f>
        <v>149</v>
      </c>
      <c r="M6" s="89">
        <v>501</v>
      </c>
      <c r="N6" s="3"/>
      <c r="O6" s="3"/>
      <c r="P6" s="3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15">
      <c r="A7" s="14" t="s">
        <v>6</v>
      </c>
      <c r="B7" s="39"/>
      <c r="C7" s="9"/>
      <c r="D7" s="9"/>
      <c r="E7" s="9"/>
      <c r="F7" s="39"/>
      <c r="G7" s="9"/>
      <c r="H7" s="9"/>
      <c r="I7" s="9"/>
      <c r="J7" s="9"/>
      <c r="K7" s="55"/>
      <c r="L7" s="74"/>
      <c r="M7" s="90">
        <v>34</v>
      </c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15">
      <c r="A8" s="14" t="s">
        <v>7</v>
      </c>
      <c r="B8" s="39"/>
      <c r="C8" s="9"/>
      <c r="D8" s="9"/>
      <c r="E8" s="9"/>
      <c r="F8" s="39"/>
      <c r="G8" s="9"/>
      <c r="H8" s="9"/>
      <c r="I8" s="9"/>
      <c r="J8" s="9"/>
      <c r="K8" s="55"/>
      <c r="L8" s="74"/>
      <c r="M8" s="90">
        <v>33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15">
      <c r="A9" s="14" t="s">
        <v>8</v>
      </c>
      <c r="B9" s="39"/>
      <c r="C9" s="9"/>
      <c r="D9" s="9"/>
      <c r="E9" s="9"/>
      <c r="F9" s="39"/>
      <c r="G9" s="9"/>
      <c r="H9" s="9"/>
      <c r="I9" s="9"/>
      <c r="J9" s="9"/>
      <c r="K9" s="55"/>
      <c r="L9" s="74"/>
      <c r="M9" s="9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15">
      <c r="A10" s="14" t="s">
        <v>9</v>
      </c>
      <c r="B10" s="38">
        <v>1</v>
      </c>
      <c r="C10" s="9"/>
      <c r="D10" s="9"/>
      <c r="E10" s="9"/>
      <c r="F10" s="39"/>
      <c r="G10" s="9"/>
      <c r="H10" s="8">
        <v>2</v>
      </c>
      <c r="I10" s="8">
        <v>2</v>
      </c>
      <c r="J10" s="9"/>
      <c r="K10" s="55"/>
      <c r="L10" s="73">
        <f>SUM(B10:K10)</f>
        <v>5</v>
      </c>
      <c r="M10" s="90">
        <v>5</v>
      </c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15">
      <c r="A11" s="14" t="s">
        <v>10</v>
      </c>
      <c r="B11" s="39"/>
      <c r="C11" s="9"/>
      <c r="D11" s="9"/>
      <c r="E11" s="9"/>
      <c r="F11" s="39"/>
      <c r="G11" s="9"/>
      <c r="H11" s="9"/>
      <c r="I11" s="9"/>
      <c r="J11" s="9"/>
      <c r="K11" s="55"/>
      <c r="L11" s="74"/>
      <c r="M11" s="9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15">
      <c r="A12" s="14" t="s">
        <v>11</v>
      </c>
      <c r="B12" s="39"/>
      <c r="C12" s="9"/>
      <c r="D12" s="9"/>
      <c r="E12" s="9"/>
      <c r="F12" s="39"/>
      <c r="G12" s="9"/>
      <c r="H12" s="9"/>
      <c r="I12" s="9"/>
      <c r="J12" s="9"/>
      <c r="K12" s="55"/>
      <c r="L12" s="74"/>
      <c r="M12" s="90">
        <v>22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15">
      <c r="A13" s="14" t="s">
        <v>12</v>
      </c>
      <c r="B13" s="39"/>
      <c r="C13" s="9"/>
      <c r="D13" s="9"/>
      <c r="E13" s="10">
        <v>4.083333333333333</v>
      </c>
      <c r="F13" s="40">
        <v>3.9583333333333335</v>
      </c>
      <c r="G13" s="10">
        <v>3.125</v>
      </c>
      <c r="H13" s="10">
        <v>2.9583333333333335</v>
      </c>
      <c r="I13" s="10">
        <v>2.9583333333333335</v>
      </c>
      <c r="J13" s="10">
        <v>3.2083333333333335</v>
      </c>
      <c r="K13" s="56">
        <v>1.2916666666666667</v>
      </c>
      <c r="L13" s="75">
        <f>SUM(B13:K13)</f>
        <v>21.583333333333332</v>
      </c>
      <c r="M13" s="92">
        <v>21.583333333333332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15">
      <c r="A14" s="14" t="s">
        <v>13</v>
      </c>
      <c r="B14" s="39"/>
      <c r="C14" s="9"/>
      <c r="D14" s="9"/>
      <c r="E14" s="9"/>
      <c r="F14" s="39"/>
      <c r="G14" s="9"/>
      <c r="H14" s="9"/>
      <c r="I14" s="9"/>
      <c r="J14" s="9"/>
      <c r="K14" s="56">
        <v>0.125</v>
      </c>
      <c r="L14" s="75">
        <f>SUM(B14:K14)</f>
        <v>0.125</v>
      </c>
      <c r="M14" s="92">
        <v>33.25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15">
      <c r="A15" s="14" t="s">
        <v>14</v>
      </c>
      <c r="B15" s="39"/>
      <c r="C15" s="9"/>
      <c r="D15" s="9"/>
      <c r="E15" s="9"/>
      <c r="F15" s="39"/>
      <c r="G15" s="9"/>
      <c r="H15" s="9"/>
      <c r="I15" s="9"/>
      <c r="J15" s="9"/>
      <c r="K15" s="55"/>
      <c r="L15" s="74"/>
      <c r="M15" s="92">
        <v>11.916666666666666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15">
      <c r="A16" s="14" t="s">
        <v>15</v>
      </c>
      <c r="B16" s="39"/>
      <c r="C16" s="9"/>
      <c r="D16" s="9"/>
      <c r="E16" s="9"/>
      <c r="F16" s="39"/>
      <c r="G16" s="9"/>
      <c r="H16" s="9"/>
      <c r="I16" s="9"/>
      <c r="J16" s="9"/>
      <c r="K16" s="55"/>
      <c r="L16" s="74"/>
      <c r="M16" s="92">
        <v>11.208333333333334</v>
      </c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15">
      <c r="A17" s="14" t="s">
        <v>16</v>
      </c>
      <c r="B17" s="39"/>
      <c r="C17" s="9"/>
      <c r="D17" s="9"/>
      <c r="E17" s="9"/>
      <c r="F17" s="39"/>
      <c r="G17" s="9"/>
      <c r="H17" s="9"/>
      <c r="I17" s="9"/>
      <c r="J17" s="9"/>
      <c r="K17" s="55"/>
      <c r="L17" s="74"/>
      <c r="M17" s="91"/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15">
      <c r="A18" s="14" t="s">
        <v>17</v>
      </c>
      <c r="B18" s="39"/>
      <c r="C18" s="9"/>
      <c r="D18" s="9"/>
      <c r="E18" s="9"/>
      <c r="F18" s="39"/>
      <c r="G18" s="9"/>
      <c r="H18" s="9"/>
      <c r="I18" s="9"/>
      <c r="J18" s="9"/>
      <c r="K18" s="55"/>
      <c r="L18" s="74"/>
      <c r="M18" s="91"/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15">
      <c r="A19" s="14" t="s">
        <v>18</v>
      </c>
      <c r="B19" s="39"/>
      <c r="C19" s="9"/>
      <c r="D19" s="9"/>
      <c r="E19" s="9"/>
      <c r="F19" s="39"/>
      <c r="G19" s="9"/>
      <c r="H19" s="9"/>
      <c r="I19" s="9"/>
      <c r="J19" s="9"/>
      <c r="K19" s="55"/>
      <c r="L19" s="74"/>
      <c r="M19" s="91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15">
      <c r="A20" s="14" t="s">
        <v>19</v>
      </c>
      <c r="B20" s="39"/>
      <c r="C20" s="9"/>
      <c r="D20" s="9"/>
      <c r="E20" s="9"/>
      <c r="F20" s="39"/>
      <c r="G20" s="9"/>
      <c r="H20" s="9"/>
      <c r="I20" s="9"/>
      <c r="J20" s="9"/>
      <c r="K20" s="55"/>
      <c r="L20" s="74"/>
      <c r="M20" s="91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15">
      <c r="A21" s="14" t="s">
        <v>20</v>
      </c>
      <c r="B21" s="39"/>
      <c r="C21" s="9"/>
      <c r="D21" s="9"/>
      <c r="E21" s="9"/>
      <c r="F21" s="39"/>
      <c r="G21" s="9"/>
      <c r="H21" s="10">
        <v>0.58333333333333337</v>
      </c>
      <c r="I21" s="10">
        <v>0.58333333333333337</v>
      </c>
      <c r="J21" s="9"/>
      <c r="K21" s="55"/>
      <c r="L21" s="75">
        <f>SUM(B21:K21)</f>
        <v>1.1666666666666667</v>
      </c>
      <c r="M21" s="92">
        <v>1.1666666666666667</v>
      </c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4.25" thickBot="1" x14ac:dyDescent="0.2">
      <c r="A22" s="24" t="s">
        <v>21</v>
      </c>
      <c r="B22" s="41">
        <v>0.125</v>
      </c>
      <c r="C22" s="26"/>
      <c r="D22" s="25">
        <v>4.1666666666666664E-2</v>
      </c>
      <c r="E22" s="26"/>
      <c r="F22" s="51"/>
      <c r="G22" s="26"/>
      <c r="H22" s="25">
        <v>2.0833333333333335</v>
      </c>
      <c r="I22" s="25">
        <v>2.0833333333333335</v>
      </c>
      <c r="J22" s="25">
        <v>2.2916666666666665</v>
      </c>
      <c r="K22" s="57"/>
      <c r="L22" s="75">
        <f>SUM(B22:K22)</f>
        <v>6.625</v>
      </c>
      <c r="M22" s="93">
        <v>16.25</v>
      </c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15">
      <c r="A23" s="22" t="s">
        <v>27</v>
      </c>
      <c r="B23" s="42">
        <v>485000</v>
      </c>
      <c r="C23" s="27">
        <v>365000</v>
      </c>
      <c r="D23" s="27">
        <v>355000</v>
      </c>
      <c r="E23" s="27">
        <v>0</v>
      </c>
      <c r="F23" s="42">
        <v>0</v>
      </c>
      <c r="G23" s="27">
        <v>0</v>
      </c>
      <c r="H23" s="27">
        <v>0</v>
      </c>
      <c r="I23" s="27">
        <v>0</v>
      </c>
      <c r="J23" s="27">
        <v>0</v>
      </c>
      <c r="K23" s="58">
        <v>0</v>
      </c>
      <c r="L23" s="77">
        <f>SUM(B23:K23)</f>
        <v>1205000</v>
      </c>
      <c r="M23" s="94">
        <v>4307000</v>
      </c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15">
      <c r="A24" s="14" t="s">
        <v>28</v>
      </c>
      <c r="B24" s="39">
        <v>0</v>
      </c>
      <c r="C24" s="9">
        <v>0</v>
      </c>
      <c r="D24" s="9">
        <v>0</v>
      </c>
      <c r="E24" s="9">
        <v>0</v>
      </c>
      <c r="F24" s="39">
        <v>0</v>
      </c>
      <c r="G24" s="9">
        <v>0</v>
      </c>
      <c r="H24" s="9">
        <v>0</v>
      </c>
      <c r="I24" s="9">
        <v>0</v>
      </c>
      <c r="J24" s="9">
        <v>0</v>
      </c>
      <c r="K24" s="55">
        <v>0</v>
      </c>
      <c r="L24" s="74">
        <f t="shared" ref="L24:L73" si="0">SUM(B24:K24)</f>
        <v>0</v>
      </c>
      <c r="M24" s="91">
        <v>50000</v>
      </c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15">
      <c r="A25" s="14" t="s">
        <v>29</v>
      </c>
      <c r="B25" s="39">
        <v>0</v>
      </c>
      <c r="C25" s="9">
        <v>0</v>
      </c>
      <c r="D25" s="9">
        <v>0</v>
      </c>
      <c r="E25" s="9">
        <v>0</v>
      </c>
      <c r="F25" s="39">
        <v>0</v>
      </c>
      <c r="G25" s="9">
        <v>0</v>
      </c>
      <c r="H25" s="9">
        <v>0</v>
      </c>
      <c r="I25" s="9">
        <v>0</v>
      </c>
      <c r="J25" s="9">
        <v>0</v>
      </c>
      <c r="K25" s="55">
        <v>0</v>
      </c>
      <c r="L25" s="74">
        <f t="shared" si="0"/>
        <v>0</v>
      </c>
      <c r="M25" s="91">
        <v>3000</v>
      </c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15">
      <c r="A26" s="14" t="s">
        <v>30</v>
      </c>
      <c r="B26" s="39">
        <v>0</v>
      </c>
      <c r="C26" s="9">
        <v>0</v>
      </c>
      <c r="D26" s="9">
        <v>0</v>
      </c>
      <c r="E26" s="9">
        <v>0</v>
      </c>
      <c r="F26" s="39">
        <v>0</v>
      </c>
      <c r="G26" s="9">
        <v>0</v>
      </c>
      <c r="H26" s="9">
        <v>0</v>
      </c>
      <c r="I26" s="9">
        <v>0</v>
      </c>
      <c r="J26" s="9">
        <v>0</v>
      </c>
      <c r="K26" s="55">
        <v>0</v>
      </c>
      <c r="L26" s="74">
        <f t="shared" si="0"/>
        <v>0</v>
      </c>
      <c r="M26" s="91">
        <v>0</v>
      </c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15">
      <c r="A27" s="14" t="s">
        <v>31</v>
      </c>
      <c r="B27" s="39">
        <v>0</v>
      </c>
      <c r="C27" s="9">
        <v>0</v>
      </c>
      <c r="D27" s="9">
        <v>0</v>
      </c>
      <c r="E27" s="9">
        <v>0</v>
      </c>
      <c r="F27" s="39">
        <v>0</v>
      </c>
      <c r="G27" s="9">
        <v>0</v>
      </c>
      <c r="H27" s="9">
        <v>0</v>
      </c>
      <c r="I27" s="9">
        <v>0</v>
      </c>
      <c r="J27" s="9">
        <v>0</v>
      </c>
      <c r="K27" s="55">
        <v>0</v>
      </c>
      <c r="L27" s="74">
        <f t="shared" si="0"/>
        <v>0</v>
      </c>
      <c r="M27" s="91">
        <v>0</v>
      </c>
      <c r="N27" s="5"/>
      <c r="O27" s="5"/>
      <c r="P27" s="5"/>
      <c r="Q27" s="5"/>
      <c r="R27" s="5"/>
      <c r="S27" s="5"/>
      <c r="T27" s="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15">
      <c r="A28" s="14" t="s">
        <v>32</v>
      </c>
      <c r="B28" s="39">
        <v>0</v>
      </c>
      <c r="C28" s="9">
        <v>0</v>
      </c>
      <c r="D28" s="9">
        <v>0</v>
      </c>
      <c r="E28" s="9">
        <v>0</v>
      </c>
      <c r="F28" s="39">
        <v>0</v>
      </c>
      <c r="G28" s="9">
        <v>0</v>
      </c>
      <c r="H28" s="9">
        <v>0</v>
      </c>
      <c r="I28" s="9">
        <v>0</v>
      </c>
      <c r="J28" s="9">
        <v>0</v>
      </c>
      <c r="K28" s="55">
        <v>0</v>
      </c>
      <c r="L28" s="74">
        <f t="shared" si="0"/>
        <v>0</v>
      </c>
      <c r="M28" s="91">
        <v>0</v>
      </c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15">
      <c r="A29" s="14" t="s">
        <v>33</v>
      </c>
      <c r="B29" s="39">
        <v>0</v>
      </c>
      <c r="C29" s="9">
        <v>0</v>
      </c>
      <c r="D29" s="9">
        <v>0</v>
      </c>
      <c r="E29" s="9">
        <v>0</v>
      </c>
      <c r="F29" s="39">
        <v>0</v>
      </c>
      <c r="G29" s="9">
        <v>0</v>
      </c>
      <c r="H29" s="9">
        <v>0</v>
      </c>
      <c r="I29" s="9">
        <v>0</v>
      </c>
      <c r="J29" s="9">
        <v>0</v>
      </c>
      <c r="K29" s="55">
        <v>0</v>
      </c>
      <c r="L29" s="74">
        <f t="shared" si="0"/>
        <v>0</v>
      </c>
      <c r="M29" s="91">
        <v>0</v>
      </c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15">
      <c r="A30" s="14" t="s">
        <v>34</v>
      </c>
      <c r="B30" s="39">
        <v>0</v>
      </c>
      <c r="C30" s="9">
        <v>0</v>
      </c>
      <c r="D30" s="9">
        <v>0</v>
      </c>
      <c r="E30" s="9">
        <v>0</v>
      </c>
      <c r="F30" s="39">
        <v>0</v>
      </c>
      <c r="G30" s="9">
        <v>0</v>
      </c>
      <c r="H30" s="9">
        <v>0</v>
      </c>
      <c r="I30" s="9">
        <v>0</v>
      </c>
      <c r="J30" s="9">
        <v>0</v>
      </c>
      <c r="K30" s="55">
        <v>0</v>
      </c>
      <c r="L30" s="74">
        <f t="shared" si="0"/>
        <v>0</v>
      </c>
      <c r="M30" s="91">
        <v>0</v>
      </c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15">
      <c r="A31" s="14" t="s">
        <v>35</v>
      </c>
      <c r="B31" s="39">
        <v>0</v>
      </c>
      <c r="C31" s="9">
        <v>0</v>
      </c>
      <c r="D31" s="9">
        <v>0</v>
      </c>
      <c r="E31" s="9">
        <v>85260</v>
      </c>
      <c r="F31" s="39">
        <v>82650</v>
      </c>
      <c r="G31" s="9">
        <v>63000</v>
      </c>
      <c r="H31" s="9">
        <v>59640</v>
      </c>
      <c r="I31" s="9">
        <v>59640</v>
      </c>
      <c r="J31" s="9">
        <v>64680</v>
      </c>
      <c r="K31" s="55">
        <v>25730</v>
      </c>
      <c r="L31" s="74">
        <f t="shared" si="0"/>
        <v>440600</v>
      </c>
      <c r="M31" s="91">
        <v>440600</v>
      </c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15">
      <c r="A32" s="14" t="s">
        <v>36</v>
      </c>
      <c r="B32" s="39">
        <v>0</v>
      </c>
      <c r="C32" s="9">
        <v>0</v>
      </c>
      <c r="D32" s="9">
        <v>0</v>
      </c>
      <c r="E32" s="9">
        <v>0</v>
      </c>
      <c r="F32" s="39">
        <v>0</v>
      </c>
      <c r="G32" s="9">
        <v>0</v>
      </c>
      <c r="H32" s="9">
        <v>0</v>
      </c>
      <c r="I32" s="9">
        <v>0</v>
      </c>
      <c r="J32" s="9">
        <v>0</v>
      </c>
      <c r="K32" s="55">
        <v>0</v>
      </c>
      <c r="L32" s="74">
        <f t="shared" si="0"/>
        <v>0</v>
      </c>
      <c r="M32" s="91">
        <v>0</v>
      </c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15">
      <c r="A33" s="14" t="s">
        <v>37</v>
      </c>
      <c r="B33" s="39">
        <v>0</v>
      </c>
      <c r="C33" s="9">
        <v>0</v>
      </c>
      <c r="D33" s="9">
        <v>0</v>
      </c>
      <c r="E33" s="9">
        <v>0</v>
      </c>
      <c r="F33" s="39">
        <v>0</v>
      </c>
      <c r="G33" s="9">
        <v>0</v>
      </c>
      <c r="H33" s="9">
        <v>0</v>
      </c>
      <c r="I33" s="9">
        <v>0</v>
      </c>
      <c r="J33" s="9">
        <v>0</v>
      </c>
      <c r="K33" s="55">
        <v>0</v>
      </c>
      <c r="L33" s="74">
        <f t="shared" si="0"/>
        <v>0</v>
      </c>
      <c r="M33" s="91">
        <v>0</v>
      </c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15">
      <c r="A34" s="14" t="s">
        <v>38</v>
      </c>
      <c r="B34" s="39">
        <v>0</v>
      </c>
      <c r="C34" s="9">
        <v>0</v>
      </c>
      <c r="D34" s="9">
        <v>0</v>
      </c>
      <c r="E34" s="9">
        <v>0</v>
      </c>
      <c r="F34" s="39">
        <v>0</v>
      </c>
      <c r="G34" s="9">
        <v>0</v>
      </c>
      <c r="H34" s="9">
        <v>11760</v>
      </c>
      <c r="I34" s="9">
        <v>11760</v>
      </c>
      <c r="J34" s="9">
        <v>0</v>
      </c>
      <c r="K34" s="55">
        <v>0</v>
      </c>
      <c r="L34" s="74">
        <f t="shared" si="0"/>
        <v>23520</v>
      </c>
      <c r="M34" s="91">
        <v>23520</v>
      </c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15">
      <c r="A35" s="14" t="s">
        <v>39</v>
      </c>
      <c r="B35" s="39">
        <v>0</v>
      </c>
      <c r="C35" s="9">
        <v>0</v>
      </c>
      <c r="D35" s="9">
        <v>0</v>
      </c>
      <c r="E35" s="9">
        <v>0</v>
      </c>
      <c r="F35" s="39">
        <v>0</v>
      </c>
      <c r="G35" s="9">
        <v>0</v>
      </c>
      <c r="H35" s="9">
        <v>0</v>
      </c>
      <c r="I35" s="9">
        <v>0</v>
      </c>
      <c r="J35" s="9">
        <v>0</v>
      </c>
      <c r="K35" s="55">
        <v>0</v>
      </c>
      <c r="L35" s="74">
        <f t="shared" si="0"/>
        <v>0</v>
      </c>
      <c r="M35" s="91">
        <v>0</v>
      </c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15">
      <c r="A36" s="14" t="s">
        <v>40</v>
      </c>
      <c r="B36" s="39">
        <v>0</v>
      </c>
      <c r="C36" s="9">
        <v>0</v>
      </c>
      <c r="D36" s="9">
        <v>0</v>
      </c>
      <c r="E36" s="9">
        <v>0</v>
      </c>
      <c r="F36" s="39">
        <v>0</v>
      </c>
      <c r="G36" s="9">
        <v>0</v>
      </c>
      <c r="H36" s="9">
        <v>0</v>
      </c>
      <c r="I36" s="9">
        <v>0</v>
      </c>
      <c r="J36" s="9">
        <v>0</v>
      </c>
      <c r="K36" s="55">
        <v>0</v>
      </c>
      <c r="L36" s="74">
        <f t="shared" si="0"/>
        <v>0</v>
      </c>
      <c r="M36" s="91">
        <v>0</v>
      </c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15">
      <c r="A37" s="14" t="s">
        <v>41</v>
      </c>
      <c r="B37" s="39">
        <v>0</v>
      </c>
      <c r="C37" s="9">
        <v>0</v>
      </c>
      <c r="D37" s="9">
        <v>0</v>
      </c>
      <c r="E37" s="9">
        <v>0</v>
      </c>
      <c r="F37" s="39">
        <v>0</v>
      </c>
      <c r="G37" s="9">
        <v>0</v>
      </c>
      <c r="H37" s="9">
        <v>0</v>
      </c>
      <c r="I37" s="9">
        <v>0</v>
      </c>
      <c r="J37" s="9">
        <v>0</v>
      </c>
      <c r="K37" s="55">
        <v>0</v>
      </c>
      <c r="L37" s="74">
        <f t="shared" si="0"/>
        <v>0</v>
      </c>
      <c r="M37" s="91">
        <v>0</v>
      </c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15">
      <c r="A38" s="14" t="s">
        <v>42</v>
      </c>
      <c r="B38" s="39">
        <v>0</v>
      </c>
      <c r="C38" s="9">
        <v>0</v>
      </c>
      <c r="D38" s="9">
        <v>0</v>
      </c>
      <c r="E38" s="9">
        <v>0</v>
      </c>
      <c r="F38" s="39">
        <v>0</v>
      </c>
      <c r="G38" s="9">
        <v>0</v>
      </c>
      <c r="H38" s="9">
        <v>0</v>
      </c>
      <c r="I38" s="9">
        <v>0</v>
      </c>
      <c r="J38" s="9">
        <v>0</v>
      </c>
      <c r="K38" s="55">
        <v>0</v>
      </c>
      <c r="L38" s="74">
        <f t="shared" si="0"/>
        <v>0</v>
      </c>
      <c r="M38" s="91">
        <v>0</v>
      </c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15">
      <c r="A39" s="14" t="s">
        <v>43</v>
      </c>
      <c r="B39" s="39">
        <v>0</v>
      </c>
      <c r="C39" s="9">
        <v>0</v>
      </c>
      <c r="D39" s="9">
        <v>0</v>
      </c>
      <c r="E39" s="9">
        <v>0</v>
      </c>
      <c r="F39" s="39">
        <v>0</v>
      </c>
      <c r="G39" s="9">
        <v>0</v>
      </c>
      <c r="H39" s="9">
        <v>0</v>
      </c>
      <c r="I39" s="9">
        <v>0</v>
      </c>
      <c r="J39" s="9">
        <v>0</v>
      </c>
      <c r="K39" s="55">
        <v>0</v>
      </c>
      <c r="L39" s="74">
        <f t="shared" si="0"/>
        <v>0</v>
      </c>
      <c r="M39" s="91">
        <v>0</v>
      </c>
      <c r="N39" s="5"/>
      <c r="O39" s="5"/>
      <c r="P39" s="5"/>
      <c r="Q39" s="5"/>
      <c r="R39" s="5"/>
      <c r="S39" s="5"/>
      <c r="T39" s="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15">
      <c r="A40" s="14" t="s">
        <v>44</v>
      </c>
      <c r="B40" s="39">
        <v>0</v>
      </c>
      <c r="C40" s="9">
        <v>0</v>
      </c>
      <c r="D40" s="9">
        <v>0</v>
      </c>
      <c r="E40" s="9">
        <v>0</v>
      </c>
      <c r="F40" s="39">
        <v>0</v>
      </c>
      <c r="G40" s="9">
        <v>0</v>
      </c>
      <c r="H40" s="9">
        <v>0</v>
      </c>
      <c r="I40" s="9">
        <v>0</v>
      </c>
      <c r="J40" s="9">
        <v>0</v>
      </c>
      <c r="K40" s="55">
        <v>0</v>
      </c>
      <c r="L40" s="74">
        <f t="shared" si="0"/>
        <v>0</v>
      </c>
      <c r="M40" s="91">
        <v>0</v>
      </c>
      <c r="N40" s="5"/>
      <c r="O40" s="5"/>
      <c r="P40" s="5"/>
      <c r="Q40" s="5"/>
      <c r="R40" s="5"/>
      <c r="S40" s="5"/>
      <c r="T40" s="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15">
      <c r="A41" s="14" t="s">
        <v>45</v>
      </c>
      <c r="B41" s="39">
        <v>0</v>
      </c>
      <c r="C41" s="9">
        <v>0</v>
      </c>
      <c r="D41" s="9">
        <v>0</v>
      </c>
      <c r="E41" s="9">
        <v>0</v>
      </c>
      <c r="F41" s="39">
        <v>0</v>
      </c>
      <c r="G41" s="9">
        <v>0</v>
      </c>
      <c r="H41" s="9">
        <v>0</v>
      </c>
      <c r="I41" s="9">
        <v>0</v>
      </c>
      <c r="J41" s="9">
        <v>0</v>
      </c>
      <c r="K41" s="55">
        <v>0</v>
      </c>
      <c r="L41" s="74">
        <f t="shared" si="0"/>
        <v>0</v>
      </c>
      <c r="M41" s="91">
        <v>-193476</v>
      </c>
      <c r="N41" s="5"/>
      <c r="O41" s="5"/>
      <c r="P41" s="5"/>
      <c r="Q41" s="5"/>
      <c r="R41" s="5"/>
      <c r="S41" s="5"/>
      <c r="T41" s="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15">
      <c r="A42" s="14" t="s">
        <v>46</v>
      </c>
      <c r="B42" s="39">
        <v>0</v>
      </c>
      <c r="C42" s="9">
        <v>0</v>
      </c>
      <c r="D42" s="9">
        <v>0</v>
      </c>
      <c r="E42" s="9">
        <v>0</v>
      </c>
      <c r="F42" s="39">
        <v>0</v>
      </c>
      <c r="G42" s="9">
        <v>0</v>
      </c>
      <c r="H42" s="9">
        <v>0</v>
      </c>
      <c r="I42" s="9">
        <v>0</v>
      </c>
      <c r="J42" s="9">
        <v>0</v>
      </c>
      <c r="K42" s="55">
        <v>0</v>
      </c>
      <c r="L42" s="74">
        <f t="shared" si="0"/>
        <v>0</v>
      </c>
      <c r="M42" s="91">
        <v>0</v>
      </c>
      <c r="N42" s="5"/>
      <c r="O42" s="5"/>
      <c r="P42" s="5"/>
      <c r="Q42" s="5"/>
      <c r="R42" s="5"/>
      <c r="S42" s="5"/>
      <c r="T42" s="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15">
      <c r="A43" s="14" t="s">
        <v>13</v>
      </c>
      <c r="B43" s="39">
        <v>0</v>
      </c>
      <c r="C43" s="9">
        <v>0</v>
      </c>
      <c r="D43" s="9">
        <v>0</v>
      </c>
      <c r="E43" s="9">
        <v>0</v>
      </c>
      <c r="F43" s="39">
        <v>0</v>
      </c>
      <c r="G43" s="9">
        <v>0</v>
      </c>
      <c r="H43" s="9">
        <v>0</v>
      </c>
      <c r="I43" s="9">
        <v>0</v>
      </c>
      <c r="J43" s="9">
        <v>0</v>
      </c>
      <c r="K43" s="55">
        <v>3114</v>
      </c>
      <c r="L43" s="74">
        <f t="shared" si="0"/>
        <v>3114</v>
      </c>
      <c r="M43" s="91">
        <v>1106573</v>
      </c>
      <c r="N43" s="5"/>
      <c r="O43" s="5"/>
      <c r="P43" s="5"/>
      <c r="Q43" s="5"/>
      <c r="R43" s="5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15">
      <c r="A44" s="14" t="s">
        <v>6</v>
      </c>
      <c r="B44" s="39">
        <v>0</v>
      </c>
      <c r="C44" s="9">
        <v>0</v>
      </c>
      <c r="D44" s="9">
        <v>0</v>
      </c>
      <c r="E44" s="9">
        <v>0</v>
      </c>
      <c r="F44" s="39">
        <v>0</v>
      </c>
      <c r="G44" s="9">
        <v>0</v>
      </c>
      <c r="H44" s="9">
        <v>0</v>
      </c>
      <c r="I44" s="9">
        <v>0</v>
      </c>
      <c r="J44" s="9">
        <v>0</v>
      </c>
      <c r="K44" s="55">
        <v>0</v>
      </c>
      <c r="L44" s="74">
        <f t="shared" si="0"/>
        <v>0</v>
      </c>
      <c r="M44" s="91">
        <v>427357</v>
      </c>
      <c r="N44" s="5"/>
      <c r="O44" s="5"/>
      <c r="P44" s="5"/>
      <c r="Q44" s="5"/>
      <c r="R44" s="5"/>
      <c r="S44" s="5"/>
      <c r="T44" s="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15">
      <c r="A45" s="14" t="s">
        <v>7</v>
      </c>
      <c r="B45" s="39">
        <v>0</v>
      </c>
      <c r="C45" s="9">
        <v>0</v>
      </c>
      <c r="D45" s="9">
        <v>0</v>
      </c>
      <c r="E45" s="9">
        <v>0</v>
      </c>
      <c r="F45" s="39">
        <v>0</v>
      </c>
      <c r="G45" s="9">
        <v>0</v>
      </c>
      <c r="H45" s="9">
        <v>0</v>
      </c>
      <c r="I45" s="9">
        <v>0</v>
      </c>
      <c r="J45" s="9">
        <v>0</v>
      </c>
      <c r="K45" s="55">
        <v>0</v>
      </c>
      <c r="L45" s="74">
        <f t="shared" si="0"/>
        <v>0</v>
      </c>
      <c r="M45" s="91">
        <v>396925</v>
      </c>
      <c r="N45" s="5"/>
      <c r="O45" s="5"/>
      <c r="P45" s="5"/>
      <c r="Q45" s="5"/>
      <c r="R45" s="5"/>
      <c r="S45" s="5"/>
      <c r="T45" s="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15">
      <c r="A46" s="14" t="s">
        <v>47</v>
      </c>
      <c r="B46" s="39">
        <v>0</v>
      </c>
      <c r="C46" s="9">
        <v>0</v>
      </c>
      <c r="D46" s="9">
        <v>0</v>
      </c>
      <c r="E46" s="9">
        <v>0</v>
      </c>
      <c r="F46" s="39">
        <v>0</v>
      </c>
      <c r="G46" s="9">
        <v>0</v>
      </c>
      <c r="H46" s="9">
        <v>0</v>
      </c>
      <c r="I46" s="9">
        <v>0</v>
      </c>
      <c r="J46" s="9">
        <v>0</v>
      </c>
      <c r="K46" s="55">
        <v>0</v>
      </c>
      <c r="L46" s="74">
        <f t="shared" si="0"/>
        <v>0</v>
      </c>
      <c r="M46" s="91">
        <v>0</v>
      </c>
      <c r="N46" s="5"/>
      <c r="O46" s="5"/>
      <c r="P46" s="5"/>
      <c r="Q46" s="5"/>
      <c r="R46" s="5"/>
      <c r="S46" s="5"/>
      <c r="T46" s="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15">
      <c r="A47" s="14" t="s">
        <v>48</v>
      </c>
      <c r="B47" s="39">
        <v>0</v>
      </c>
      <c r="C47" s="9">
        <v>0</v>
      </c>
      <c r="D47" s="9">
        <v>0</v>
      </c>
      <c r="E47" s="9">
        <v>0</v>
      </c>
      <c r="F47" s="39">
        <v>0</v>
      </c>
      <c r="G47" s="9">
        <v>0</v>
      </c>
      <c r="H47" s="9">
        <v>0</v>
      </c>
      <c r="I47" s="9">
        <v>0</v>
      </c>
      <c r="J47" s="9">
        <v>0</v>
      </c>
      <c r="K47" s="55">
        <v>0</v>
      </c>
      <c r="L47" s="74">
        <f t="shared" si="0"/>
        <v>0</v>
      </c>
      <c r="M47" s="91">
        <v>193476</v>
      </c>
      <c r="N47" s="5"/>
      <c r="O47" s="5"/>
      <c r="P47" s="5"/>
      <c r="Q47" s="5"/>
      <c r="R47" s="5"/>
      <c r="S47" s="5"/>
      <c r="T47" s="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15">
      <c r="A48" s="14" t="s">
        <v>17</v>
      </c>
      <c r="B48" s="39">
        <v>0</v>
      </c>
      <c r="C48" s="9">
        <v>0</v>
      </c>
      <c r="D48" s="9">
        <v>0</v>
      </c>
      <c r="E48" s="9">
        <v>0</v>
      </c>
      <c r="F48" s="39">
        <v>0</v>
      </c>
      <c r="G48" s="9">
        <v>0</v>
      </c>
      <c r="H48" s="9">
        <v>0</v>
      </c>
      <c r="I48" s="9">
        <v>0</v>
      </c>
      <c r="J48" s="9">
        <v>0</v>
      </c>
      <c r="K48" s="55">
        <v>0</v>
      </c>
      <c r="L48" s="74">
        <f t="shared" si="0"/>
        <v>0</v>
      </c>
      <c r="M48" s="91">
        <v>0</v>
      </c>
      <c r="N48" s="5"/>
      <c r="O48" s="5"/>
      <c r="P48" s="5"/>
      <c r="Q48" s="5"/>
      <c r="R48" s="5"/>
      <c r="S48" s="5"/>
      <c r="T48" s="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20" x14ac:dyDescent="0.15">
      <c r="A49" s="15" t="s">
        <v>49</v>
      </c>
      <c r="B49" s="43">
        <v>0</v>
      </c>
      <c r="C49" s="11">
        <v>0</v>
      </c>
      <c r="D49" s="11">
        <v>0</v>
      </c>
      <c r="E49" s="11">
        <v>0</v>
      </c>
      <c r="F49" s="43">
        <v>0</v>
      </c>
      <c r="G49" s="11">
        <v>0</v>
      </c>
      <c r="H49" s="11">
        <v>0</v>
      </c>
      <c r="I49" s="11">
        <v>0</v>
      </c>
      <c r="J49" s="11">
        <v>0</v>
      </c>
      <c r="K49" s="59">
        <v>0</v>
      </c>
      <c r="L49" s="78">
        <f t="shared" si="0"/>
        <v>0</v>
      </c>
      <c r="M49" s="95">
        <v>0</v>
      </c>
      <c r="N49" s="6"/>
      <c r="O49" s="6"/>
      <c r="P49" s="6"/>
      <c r="Q49" s="6"/>
      <c r="R49" s="6"/>
      <c r="S49" s="6"/>
      <c r="T49" s="6"/>
    </row>
    <row r="50" spans="1:20" x14ac:dyDescent="0.15">
      <c r="A50" s="15" t="s">
        <v>21</v>
      </c>
      <c r="B50" s="43">
        <v>2178</v>
      </c>
      <c r="C50" s="11">
        <v>0</v>
      </c>
      <c r="D50" s="11">
        <v>532</v>
      </c>
      <c r="E50" s="11">
        <v>0</v>
      </c>
      <c r="F50" s="43">
        <v>0</v>
      </c>
      <c r="G50" s="11">
        <v>0</v>
      </c>
      <c r="H50" s="11">
        <v>10500</v>
      </c>
      <c r="I50" s="11">
        <v>10500</v>
      </c>
      <c r="J50" s="11">
        <v>11550</v>
      </c>
      <c r="K50" s="59">
        <v>0</v>
      </c>
      <c r="L50" s="78">
        <f t="shared" si="0"/>
        <v>35260</v>
      </c>
      <c r="M50" s="95">
        <v>100398</v>
      </c>
      <c r="N50" s="6"/>
      <c r="O50" s="6"/>
      <c r="P50" s="6"/>
      <c r="Q50" s="6"/>
      <c r="R50" s="6"/>
      <c r="S50" s="6"/>
      <c r="T50" s="6"/>
    </row>
    <row r="51" spans="1:20" ht="14.25" thickBot="1" x14ac:dyDescent="0.2">
      <c r="A51" s="16" t="s">
        <v>50</v>
      </c>
      <c r="B51" s="44">
        <v>487178</v>
      </c>
      <c r="C51" s="30">
        <v>365000</v>
      </c>
      <c r="D51" s="30">
        <v>355532</v>
      </c>
      <c r="E51" s="30">
        <v>85260</v>
      </c>
      <c r="F51" s="44">
        <v>82650</v>
      </c>
      <c r="G51" s="30">
        <v>63000</v>
      </c>
      <c r="H51" s="30">
        <v>81900</v>
      </c>
      <c r="I51" s="30">
        <v>81900</v>
      </c>
      <c r="J51" s="30">
        <v>76230</v>
      </c>
      <c r="K51" s="60">
        <v>28844</v>
      </c>
      <c r="L51" s="79">
        <f t="shared" si="0"/>
        <v>1707494</v>
      </c>
      <c r="M51" s="96">
        <v>6855373</v>
      </c>
      <c r="N51" s="6"/>
      <c r="O51" s="6"/>
      <c r="P51" s="6"/>
      <c r="Q51" s="6"/>
      <c r="R51" s="6"/>
      <c r="S51" s="6"/>
      <c r="T51" s="6"/>
    </row>
    <row r="52" spans="1:20" x14ac:dyDescent="0.15">
      <c r="A52" s="28" t="s">
        <v>51</v>
      </c>
      <c r="B52" s="45">
        <v>6880</v>
      </c>
      <c r="C52" s="29">
        <v>6233</v>
      </c>
      <c r="D52" s="29">
        <v>4691</v>
      </c>
      <c r="E52" s="29">
        <v>2335</v>
      </c>
      <c r="F52" s="45">
        <v>1460</v>
      </c>
      <c r="G52" s="29">
        <v>6129</v>
      </c>
      <c r="H52" s="29">
        <v>2502</v>
      </c>
      <c r="I52" s="29">
        <v>3127</v>
      </c>
      <c r="J52" s="29">
        <v>3669</v>
      </c>
      <c r="K52" s="61">
        <v>1084</v>
      </c>
      <c r="L52" s="80">
        <f t="shared" si="0"/>
        <v>38110</v>
      </c>
      <c r="M52" s="97">
        <v>110327</v>
      </c>
      <c r="N52" s="6"/>
      <c r="O52" s="6"/>
      <c r="P52" s="6"/>
      <c r="Q52" s="6"/>
      <c r="R52" s="6"/>
      <c r="S52" s="6"/>
      <c r="T52" s="6"/>
    </row>
    <row r="53" spans="1:20" ht="14.25" thickBot="1" x14ac:dyDescent="0.2">
      <c r="A53" s="31" t="s">
        <v>52</v>
      </c>
      <c r="B53" s="46">
        <v>6880</v>
      </c>
      <c r="C53" s="32">
        <v>6233</v>
      </c>
      <c r="D53" s="32">
        <v>4691</v>
      </c>
      <c r="E53" s="32">
        <v>2335</v>
      </c>
      <c r="F53" s="46">
        <v>1460</v>
      </c>
      <c r="G53" s="32">
        <v>6129</v>
      </c>
      <c r="H53" s="32">
        <v>2502</v>
      </c>
      <c r="I53" s="32">
        <v>3127</v>
      </c>
      <c r="J53" s="32">
        <v>3669</v>
      </c>
      <c r="K53" s="62">
        <v>1084</v>
      </c>
      <c r="L53" s="81">
        <f t="shared" si="0"/>
        <v>38110</v>
      </c>
      <c r="M53" s="98">
        <v>110327</v>
      </c>
    </row>
    <row r="54" spans="1:20" ht="14.25" thickBot="1" x14ac:dyDescent="0.2">
      <c r="A54" s="33" t="s">
        <v>53</v>
      </c>
      <c r="B54" s="47">
        <v>494058</v>
      </c>
      <c r="C54" s="34">
        <v>371233</v>
      </c>
      <c r="D54" s="34">
        <v>360223</v>
      </c>
      <c r="E54" s="34">
        <v>87595</v>
      </c>
      <c r="F54" s="47">
        <v>84110</v>
      </c>
      <c r="G54" s="34">
        <v>69129</v>
      </c>
      <c r="H54" s="34">
        <v>84402</v>
      </c>
      <c r="I54" s="34">
        <v>85027</v>
      </c>
      <c r="J54" s="34">
        <v>79899</v>
      </c>
      <c r="K54" s="63">
        <v>29928</v>
      </c>
      <c r="L54" s="82">
        <f t="shared" si="0"/>
        <v>1745604</v>
      </c>
      <c r="M54" s="99">
        <v>6965700</v>
      </c>
    </row>
    <row r="55" spans="1:20" x14ac:dyDescent="0.15">
      <c r="A55" s="28" t="s">
        <v>54</v>
      </c>
      <c r="B55" s="45">
        <v>25500</v>
      </c>
      <c r="C55" s="29">
        <v>19380</v>
      </c>
      <c r="D55" s="29">
        <v>18360</v>
      </c>
      <c r="E55" s="29">
        <v>0</v>
      </c>
      <c r="F55" s="45">
        <v>0</v>
      </c>
      <c r="G55" s="29">
        <v>0</v>
      </c>
      <c r="H55" s="29">
        <v>0</v>
      </c>
      <c r="I55" s="29">
        <v>0</v>
      </c>
      <c r="J55" s="29">
        <v>0</v>
      </c>
      <c r="K55" s="61">
        <v>0</v>
      </c>
      <c r="L55" s="80">
        <f t="shared" si="0"/>
        <v>63240</v>
      </c>
      <c r="M55" s="97">
        <v>341700</v>
      </c>
    </row>
    <row r="56" spans="1:20" x14ac:dyDescent="0.15">
      <c r="A56" s="15" t="s">
        <v>55</v>
      </c>
      <c r="B56" s="43">
        <v>4500</v>
      </c>
      <c r="C56" s="11">
        <v>3420</v>
      </c>
      <c r="D56" s="11">
        <v>3240</v>
      </c>
      <c r="E56" s="11">
        <v>0</v>
      </c>
      <c r="F56" s="43">
        <v>0</v>
      </c>
      <c r="G56" s="11">
        <v>0</v>
      </c>
      <c r="H56" s="11">
        <v>0</v>
      </c>
      <c r="I56" s="11">
        <v>0</v>
      </c>
      <c r="J56" s="11">
        <v>0</v>
      </c>
      <c r="K56" s="59">
        <v>0</v>
      </c>
      <c r="L56" s="78">
        <f t="shared" si="0"/>
        <v>11160</v>
      </c>
      <c r="M56" s="95">
        <v>57600</v>
      </c>
    </row>
    <row r="57" spans="1:20" x14ac:dyDescent="0.15">
      <c r="A57" s="15" t="s">
        <v>56</v>
      </c>
      <c r="B57" s="43">
        <v>45750</v>
      </c>
      <c r="C57" s="11">
        <v>34770</v>
      </c>
      <c r="D57" s="11">
        <v>32940</v>
      </c>
      <c r="E57" s="11">
        <v>0</v>
      </c>
      <c r="F57" s="43">
        <v>0</v>
      </c>
      <c r="G57" s="11">
        <v>0</v>
      </c>
      <c r="H57" s="11">
        <v>0</v>
      </c>
      <c r="I57" s="11">
        <v>0</v>
      </c>
      <c r="J57" s="11">
        <v>0</v>
      </c>
      <c r="K57" s="59">
        <v>0</v>
      </c>
      <c r="L57" s="78">
        <f t="shared" si="0"/>
        <v>113460</v>
      </c>
      <c r="M57" s="95">
        <v>613050</v>
      </c>
    </row>
    <row r="58" spans="1:20" x14ac:dyDescent="0.15">
      <c r="A58" s="15" t="s">
        <v>57</v>
      </c>
      <c r="B58" s="43">
        <v>0</v>
      </c>
      <c r="C58" s="11">
        <v>0</v>
      </c>
      <c r="D58" s="11">
        <v>0</v>
      </c>
      <c r="E58" s="11">
        <v>0</v>
      </c>
      <c r="F58" s="43">
        <v>0</v>
      </c>
      <c r="G58" s="11">
        <v>0</v>
      </c>
      <c r="H58" s="11">
        <v>0</v>
      </c>
      <c r="I58" s="11">
        <v>0</v>
      </c>
      <c r="J58" s="11">
        <v>0</v>
      </c>
      <c r="K58" s="59">
        <v>0</v>
      </c>
      <c r="L58" s="78">
        <f t="shared" si="0"/>
        <v>0</v>
      </c>
      <c r="M58" s="95">
        <v>0</v>
      </c>
    </row>
    <row r="59" spans="1:20" x14ac:dyDescent="0.15">
      <c r="A59" s="15" t="s">
        <v>58</v>
      </c>
      <c r="B59" s="43">
        <v>1482</v>
      </c>
      <c r="C59" s="11">
        <v>1114</v>
      </c>
      <c r="D59" s="11">
        <v>1081</v>
      </c>
      <c r="E59" s="11">
        <v>263</v>
      </c>
      <c r="F59" s="43">
        <v>252</v>
      </c>
      <c r="G59" s="13" t="s">
        <v>97</v>
      </c>
      <c r="H59" s="13" t="s">
        <v>97</v>
      </c>
      <c r="I59" s="13" t="s">
        <v>97</v>
      </c>
      <c r="J59" s="13" t="s">
        <v>97</v>
      </c>
      <c r="K59" s="64" t="s">
        <v>97</v>
      </c>
      <c r="L59" s="78">
        <f t="shared" si="0"/>
        <v>4192</v>
      </c>
      <c r="M59" s="95">
        <v>19853</v>
      </c>
    </row>
    <row r="60" spans="1:20" x14ac:dyDescent="0.15">
      <c r="A60" s="15" t="s">
        <v>59</v>
      </c>
      <c r="B60" s="43">
        <v>0</v>
      </c>
      <c r="C60" s="11">
        <v>0</v>
      </c>
      <c r="D60" s="11">
        <v>0</v>
      </c>
      <c r="E60" s="11">
        <v>0</v>
      </c>
      <c r="F60" s="43">
        <v>0</v>
      </c>
      <c r="G60" s="11">
        <v>0</v>
      </c>
      <c r="H60" s="11">
        <v>0</v>
      </c>
      <c r="I60" s="11">
        <v>0</v>
      </c>
      <c r="J60" s="11">
        <v>0</v>
      </c>
      <c r="K60" s="59">
        <v>0</v>
      </c>
      <c r="L60" s="78">
        <f t="shared" si="0"/>
        <v>0</v>
      </c>
      <c r="M60" s="95">
        <v>0</v>
      </c>
    </row>
    <row r="61" spans="1:20" ht="14.25" thickBot="1" x14ac:dyDescent="0.2">
      <c r="A61" s="31" t="s">
        <v>60</v>
      </c>
      <c r="B61" s="46">
        <v>77232</v>
      </c>
      <c r="C61" s="32">
        <v>58684</v>
      </c>
      <c r="D61" s="32">
        <v>55621</v>
      </c>
      <c r="E61" s="32">
        <v>263</v>
      </c>
      <c r="F61" s="46">
        <v>252</v>
      </c>
      <c r="G61" s="32">
        <v>0</v>
      </c>
      <c r="H61" s="32">
        <v>0</v>
      </c>
      <c r="I61" s="32">
        <v>0</v>
      </c>
      <c r="J61" s="32">
        <v>0</v>
      </c>
      <c r="K61" s="62">
        <v>0</v>
      </c>
      <c r="L61" s="81">
        <f t="shared" si="0"/>
        <v>192052</v>
      </c>
      <c r="M61" s="98">
        <v>1032203</v>
      </c>
    </row>
    <row r="62" spans="1:20" ht="14.25" thickBot="1" x14ac:dyDescent="0.2">
      <c r="A62" s="33" t="s">
        <v>61</v>
      </c>
      <c r="B62" s="47">
        <v>409946</v>
      </c>
      <c r="C62" s="34">
        <v>306316</v>
      </c>
      <c r="D62" s="34">
        <v>299911</v>
      </c>
      <c r="E62" s="34">
        <v>84997</v>
      </c>
      <c r="F62" s="47">
        <v>82398</v>
      </c>
      <c r="G62" s="34">
        <v>63000</v>
      </c>
      <c r="H62" s="34">
        <v>81900</v>
      </c>
      <c r="I62" s="34">
        <v>81900</v>
      </c>
      <c r="J62" s="34">
        <v>76230</v>
      </c>
      <c r="K62" s="63">
        <v>28844</v>
      </c>
      <c r="L62" s="82">
        <f t="shared" si="0"/>
        <v>1515442</v>
      </c>
      <c r="M62" s="99">
        <v>5823170</v>
      </c>
    </row>
    <row r="63" spans="1:20" x14ac:dyDescent="0.15">
      <c r="A63" s="28" t="s">
        <v>62</v>
      </c>
      <c r="B63" s="45">
        <v>14130</v>
      </c>
      <c r="C63" s="29">
        <v>8900</v>
      </c>
      <c r="D63" s="29">
        <v>6720</v>
      </c>
      <c r="E63" s="29">
        <v>0</v>
      </c>
      <c r="F63" s="45">
        <v>0</v>
      </c>
      <c r="G63" s="29">
        <v>0</v>
      </c>
      <c r="H63" s="29">
        <v>0</v>
      </c>
      <c r="I63" s="29">
        <v>0</v>
      </c>
      <c r="J63" s="29">
        <v>0</v>
      </c>
      <c r="K63" s="61">
        <v>0</v>
      </c>
      <c r="L63" s="80">
        <f t="shared" si="0"/>
        <v>29750</v>
      </c>
      <c r="M63" s="97">
        <v>130820</v>
      </c>
    </row>
    <row r="64" spans="1:20" x14ac:dyDescent="0.15">
      <c r="A64" s="15" t="s">
        <v>63</v>
      </c>
      <c r="B64" s="43">
        <v>0</v>
      </c>
      <c r="C64" s="11">
        <v>0</v>
      </c>
      <c r="D64" s="11">
        <v>0</v>
      </c>
      <c r="E64" s="11">
        <v>0</v>
      </c>
      <c r="F64" s="43">
        <v>0</v>
      </c>
      <c r="G64" s="11">
        <v>0</v>
      </c>
      <c r="H64" s="11">
        <v>0</v>
      </c>
      <c r="I64" s="11">
        <v>0</v>
      </c>
      <c r="J64" s="11">
        <v>0</v>
      </c>
      <c r="K64" s="59">
        <v>0</v>
      </c>
      <c r="L64" s="78">
        <f t="shared" si="0"/>
        <v>0</v>
      </c>
      <c r="M64" s="95">
        <v>16900</v>
      </c>
    </row>
    <row r="65" spans="1:13" x14ac:dyDescent="0.15">
      <c r="A65" s="15" t="s">
        <v>64</v>
      </c>
      <c r="B65" s="43">
        <v>21300</v>
      </c>
      <c r="C65" s="11">
        <v>15600</v>
      </c>
      <c r="D65" s="11">
        <v>15000</v>
      </c>
      <c r="E65" s="11">
        <v>600</v>
      </c>
      <c r="F65" s="43">
        <v>0</v>
      </c>
      <c r="G65" s="11">
        <v>1100</v>
      </c>
      <c r="H65" s="11">
        <v>0</v>
      </c>
      <c r="I65" s="11">
        <v>3500</v>
      </c>
      <c r="J65" s="11">
        <v>0</v>
      </c>
      <c r="K65" s="59">
        <v>0</v>
      </c>
      <c r="L65" s="78">
        <f t="shared" si="0"/>
        <v>57100</v>
      </c>
      <c r="M65" s="95">
        <v>242300</v>
      </c>
    </row>
    <row r="66" spans="1:13" x14ac:dyDescent="0.15">
      <c r="A66" s="15" t="s">
        <v>65</v>
      </c>
      <c r="B66" s="43">
        <v>0</v>
      </c>
      <c r="C66" s="11">
        <v>0</v>
      </c>
      <c r="D66" s="11">
        <v>0</v>
      </c>
      <c r="E66" s="11">
        <v>0</v>
      </c>
      <c r="F66" s="43">
        <v>0</v>
      </c>
      <c r="G66" s="11">
        <v>0</v>
      </c>
      <c r="H66" s="11">
        <v>0</v>
      </c>
      <c r="I66" s="11">
        <v>0</v>
      </c>
      <c r="J66" s="11">
        <v>0</v>
      </c>
      <c r="K66" s="59">
        <v>0</v>
      </c>
      <c r="L66" s="78">
        <f t="shared" si="0"/>
        <v>0</v>
      </c>
      <c r="M66" s="95">
        <v>10000</v>
      </c>
    </row>
    <row r="67" spans="1:13" x14ac:dyDescent="0.15">
      <c r="A67" s="15" t="s">
        <v>66</v>
      </c>
      <c r="B67" s="43">
        <v>0</v>
      </c>
      <c r="C67" s="11">
        <v>0</v>
      </c>
      <c r="D67" s="11">
        <v>0</v>
      </c>
      <c r="E67" s="11">
        <v>0</v>
      </c>
      <c r="F67" s="43">
        <v>0</v>
      </c>
      <c r="G67" s="11">
        <v>0</v>
      </c>
      <c r="H67" s="11">
        <v>0</v>
      </c>
      <c r="I67" s="11">
        <v>0</v>
      </c>
      <c r="J67" s="11">
        <v>0</v>
      </c>
      <c r="K67" s="59">
        <v>0</v>
      </c>
      <c r="L67" s="78">
        <f t="shared" si="0"/>
        <v>0</v>
      </c>
      <c r="M67" s="95">
        <v>0</v>
      </c>
    </row>
    <row r="68" spans="1:13" x14ac:dyDescent="0.15">
      <c r="A68" s="15" t="s">
        <v>67</v>
      </c>
      <c r="B68" s="43">
        <v>0</v>
      </c>
      <c r="C68" s="11">
        <v>0</v>
      </c>
      <c r="D68" s="11">
        <v>0</v>
      </c>
      <c r="E68" s="11">
        <v>0</v>
      </c>
      <c r="F68" s="43">
        <v>0</v>
      </c>
      <c r="G68" s="11">
        <v>0</v>
      </c>
      <c r="H68" s="11">
        <v>0</v>
      </c>
      <c r="I68" s="11">
        <v>0</v>
      </c>
      <c r="J68" s="11">
        <v>0</v>
      </c>
      <c r="K68" s="59">
        <v>0</v>
      </c>
      <c r="L68" s="78">
        <f t="shared" si="0"/>
        <v>0</v>
      </c>
      <c r="M68" s="95">
        <v>0</v>
      </c>
    </row>
    <row r="69" spans="1:13" ht="14.25" thickBot="1" x14ac:dyDescent="0.2">
      <c r="A69" s="31" t="s">
        <v>68</v>
      </c>
      <c r="B69" s="46">
        <v>35430</v>
      </c>
      <c r="C69" s="32">
        <v>24500</v>
      </c>
      <c r="D69" s="32">
        <v>21720</v>
      </c>
      <c r="E69" s="32">
        <v>600</v>
      </c>
      <c r="F69" s="46">
        <v>0</v>
      </c>
      <c r="G69" s="32">
        <v>1100</v>
      </c>
      <c r="H69" s="32">
        <v>0</v>
      </c>
      <c r="I69" s="32">
        <v>3500</v>
      </c>
      <c r="J69" s="32">
        <v>0</v>
      </c>
      <c r="K69" s="62">
        <v>0</v>
      </c>
      <c r="L69" s="81">
        <f t="shared" si="0"/>
        <v>86850</v>
      </c>
      <c r="M69" s="98">
        <v>400020</v>
      </c>
    </row>
    <row r="70" spans="1:13" ht="14.25" thickBot="1" x14ac:dyDescent="0.2">
      <c r="A70" s="33" t="s">
        <v>69</v>
      </c>
      <c r="B70" s="47">
        <v>112662</v>
      </c>
      <c r="C70" s="34">
        <v>83184</v>
      </c>
      <c r="D70" s="34">
        <v>77341</v>
      </c>
      <c r="E70" s="34">
        <v>863</v>
      </c>
      <c r="F70" s="47">
        <v>252</v>
      </c>
      <c r="G70" s="34">
        <v>1100</v>
      </c>
      <c r="H70" s="34">
        <v>0</v>
      </c>
      <c r="I70" s="34">
        <v>3500</v>
      </c>
      <c r="J70" s="34">
        <v>0</v>
      </c>
      <c r="K70" s="63">
        <v>0</v>
      </c>
      <c r="L70" s="82">
        <f t="shared" si="0"/>
        <v>278902</v>
      </c>
      <c r="M70" s="99">
        <v>1432223</v>
      </c>
    </row>
    <row r="71" spans="1:13" ht="14.25" thickBot="1" x14ac:dyDescent="0.2">
      <c r="A71" s="33" t="s">
        <v>70</v>
      </c>
      <c r="B71" s="47">
        <v>381396</v>
      </c>
      <c r="C71" s="34">
        <v>288049</v>
      </c>
      <c r="D71" s="34">
        <v>282882</v>
      </c>
      <c r="E71" s="34">
        <v>86732</v>
      </c>
      <c r="F71" s="47">
        <v>83858</v>
      </c>
      <c r="G71" s="34">
        <v>68029</v>
      </c>
      <c r="H71" s="34">
        <v>84402</v>
      </c>
      <c r="I71" s="34">
        <v>81527</v>
      </c>
      <c r="J71" s="34">
        <v>79899</v>
      </c>
      <c r="K71" s="63">
        <v>29928</v>
      </c>
      <c r="L71" s="82">
        <f t="shared" si="0"/>
        <v>1466702</v>
      </c>
      <c r="M71" s="99">
        <v>5533477</v>
      </c>
    </row>
    <row r="72" spans="1:13" x14ac:dyDescent="0.15">
      <c r="A72" s="28" t="s">
        <v>71</v>
      </c>
      <c r="B72" s="45">
        <v>0</v>
      </c>
      <c r="C72" s="29">
        <v>0</v>
      </c>
      <c r="D72" s="29">
        <v>0</v>
      </c>
      <c r="E72" s="29">
        <v>0</v>
      </c>
      <c r="F72" s="45">
        <v>0</v>
      </c>
      <c r="G72" s="29">
        <v>0</v>
      </c>
      <c r="H72" s="29">
        <v>0</v>
      </c>
      <c r="I72" s="29">
        <v>0</v>
      </c>
      <c r="J72" s="29">
        <v>0</v>
      </c>
      <c r="K72" s="61">
        <v>0</v>
      </c>
      <c r="L72" s="80">
        <f t="shared" si="0"/>
        <v>0</v>
      </c>
      <c r="M72" s="97">
        <v>0</v>
      </c>
    </row>
    <row r="73" spans="1:13" x14ac:dyDescent="0.15">
      <c r="A73" s="15" t="s">
        <v>72</v>
      </c>
      <c r="B73" s="43">
        <v>381396</v>
      </c>
      <c r="C73" s="11">
        <v>288049</v>
      </c>
      <c r="D73" s="11">
        <v>282882</v>
      </c>
      <c r="E73" s="11">
        <v>86732</v>
      </c>
      <c r="F73" s="43">
        <v>83858</v>
      </c>
      <c r="G73" s="11">
        <v>68029</v>
      </c>
      <c r="H73" s="11">
        <v>84402</v>
      </c>
      <c r="I73" s="11">
        <v>81527</v>
      </c>
      <c r="J73" s="11">
        <v>79899</v>
      </c>
      <c r="K73" s="59">
        <v>29928</v>
      </c>
      <c r="L73" s="78">
        <f t="shared" si="0"/>
        <v>1466702</v>
      </c>
      <c r="M73" s="95">
        <v>5533477</v>
      </c>
    </row>
    <row r="74" spans="1:13" x14ac:dyDescent="0.15">
      <c r="A74" s="15" t="s">
        <v>73</v>
      </c>
      <c r="B74" s="48">
        <v>39</v>
      </c>
      <c r="C74" s="12">
        <v>34</v>
      </c>
      <c r="D74" s="12">
        <v>40</v>
      </c>
      <c r="E74" s="12">
        <v>20</v>
      </c>
      <c r="F74" s="48">
        <v>20</v>
      </c>
      <c r="G74" s="12">
        <v>22</v>
      </c>
      <c r="H74" s="12">
        <v>18</v>
      </c>
      <c r="I74" s="12">
        <v>16</v>
      </c>
      <c r="J74" s="12">
        <v>4</v>
      </c>
      <c r="K74" s="65">
        <v>3</v>
      </c>
      <c r="L74" s="83"/>
      <c r="M74" s="100">
        <v>676</v>
      </c>
    </row>
    <row r="75" spans="1:13" x14ac:dyDescent="0.15">
      <c r="A75" s="15" t="s">
        <v>74</v>
      </c>
      <c r="B75" s="49">
        <v>1</v>
      </c>
      <c r="C75" s="13"/>
      <c r="D75" s="13">
        <v>1</v>
      </c>
      <c r="E75" s="13"/>
      <c r="F75" s="49"/>
      <c r="G75" s="13"/>
      <c r="H75" s="13">
        <v>1</v>
      </c>
      <c r="I75" s="13">
        <v>1</v>
      </c>
      <c r="J75" s="13">
        <v>1</v>
      </c>
      <c r="K75" s="64">
        <v>1</v>
      </c>
      <c r="L75" s="84"/>
      <c r="M75" s="101"/>
    </row>
    <row r="76" spans="1:13" ht="14.25" thickBot="1" x14ac:dyDescent="0.2">
      <c r="A76" s="16" t="s">
        <v>75</v>
      </c>
      <c r="B76" s="50" t="s">
        <v>76</v>
      </c>
      <c r="C76" s="17" t="s">
        <v>76</v>
      </c>
      <c r="D76" s="17" t="s">
        <v>76</v>
      </c>
      <c r="E76" s="17" t="s">
        <v>76</v>
      </c>
      <c r="F76" s="50" t="s">
        <v>76</v>
      </c>
      <c r="G76" s="17" t="s">
        <v>76</v>
      </c>
      <c r="H76" s="17" t="s">
        <v>76</v>
      </c>
      <c r="I76" s="17" t="s">
        <v>76</v>
      </c>
      <c r="J76" s="17" t="s">
        <v>76</v>
      </c>
      <c r="K76" s="66" t="s">
        <v>76</v>
      </c>
      <c r="L76" s="85"/>
      <c r="M76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5C6E-EB5D-4867-90EF-6A9F5B325D4B}">
  <sheetPr>
    <pageSetUpPr fitToPage="1"/>
  </sheetPr>
  <dimension ref="A1:AS76"/>
  <sheetViews>
    <sheetView zoomScale="80" zoomScaleNormal="80" workbookViewId="0">
      <pane xSplit="1" ySplit="5" topLeftCell="D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5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8" t="s">
        <v>0</v>
      </c>
      <c r="B3" s="19" t="s">
        <v>3</v>
      </c>
      <c r="C3" s="19" t="s">
        <v>3</v>
      </c>
      <c r="D3" s="19" t="s">
        <v>23</v>
      </c>
      <c r="E3" s="19" t="s">
        <v>23</v>
      </c>
      <c r="F3" s="19" t="s">
        <v>23</v>
      </c>
      <c r="G3" s="35" t="s">
        <v>23</v>
      </c>
      <c r="H3" s="19" t="s">
        <v>23</v>
      </c>
      <c r="I3" s="19" t="s">
        <v>23</v>
      </c>
      <c r="J3" s="19" t="s">
        <v>23</v>
      </c>
      <c r="K3" s="19" t="s">
        <v>23</v>
      </c>
      <c r="L3" s="35" t="s">
        <v>23</v>
      </c>
      <c r="M3" s="19" t="s">
        <v>23</v>
      </c>
      <c r="N3" s="19" t="s">
        <v>23</v>
      </c>
      <c r="O3" s="19" t="s">
        <v>23</v>
      </c>
      <c r="P3" s="19" t="s">
        <v>23</v>
      </c>
      <c r="Q3" s="35" t="s">
        <v>23</v>
      </c>
      <c r="R3" s="52" t="s">
        <v>23</v>
      </c>
      <c r="S3" s="69" t="s">
        <v>104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0"/>
      <c r="B4" s="21">
        <v>1087</v>
      </c>
      <c r="C4" s="21">
        <v>1088</v>
      </c>
      <c r="D4" s="21">
        <v>1006</v>
      </c>
      <c r="E4" s="21">
        <v>1007</v>
      </c>
      <c r="F4" s="21">
        <v>1015</v>
      </c>
      <c r="G4" s="36">
        <v>1017</v>
      </c>
      <c r="H4" s="21">
        <v>1018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0" t="s">
        <v>1</v>
      </c>
      <c r="B5" s="21" t="s">
        <v>4</v>
      </c>
      <c r="C5" s="21" t="s">
        <v>22</v>
      </c>
      <c r="D5" s="21" t="s">
        <v>24</v>
      </c>
      <c r="E5" s="21" t="s">
        <v>25</v>
      </c>
      <c r="F5" s="21" t="s">
        <v>26</v>
      </c>
      <c r="G5" s="36" t="s">
        <v>77</v>
      </c>
      <c r="H5" s="21" t="s">
        <v>78</v>
      </c>
      <c r="I5" s="21" t="s">
        <v>79</v>
      </c>
      <c r="J5" s="21" t="s">
        <v>80</v>
      </c>
      <c r="K5" s="21" t="s">
        <v>81</v>
      </c>
      <c r="L5" s="36" t="s">
        <v>82</v>
      </c>
      <c r="M5" s="21" t="s">
        <v>83</v>
      </c>
      <c r="N5" s="21" t="s">
        <v>84</v>
      </c>
      <c r="O5" s="21" t="s">
        <v>85</v>
      </c>
      <c r="P5" s="21" t="s">
        <v>86</v>
      </c>
      <c r="Q5" s="36" t="s">
        <v>87</v>
      </c>
      <c r="R5" s="53" t="s">
        <v>88</v>
      </c>
      <c r="S5" s="71" t="s">
        <v>105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2" t="s">
        <v>5</v>
      </c>
      <c r="B6" s="23">
        <v>21</v>
      </c>
      <c r="C6" s="23">
        <v>19</v>
      </c>
      <c r="D6" s="23">
        <v>21</v>
      </c>
      <c r="E6" s="23">
        <v>21</v>
      </c>
      <c r="F6" s="23">
        <v>22</v>
      </c>
      <c r="G6" s="37">
        <v>21</v>
      </c>
      <c r="H6" s="23">
        <v>21</v>
      </c>
      <c r="I6" s="23">
        <v>21</v>
      </c>
      <c r="J6" s="23">
        <v>19</v>
      </c>
      <c r="K6" s="23">
        <v>21</v>
      </c>
      <c r="L6" s="37">
        <v>21</v>
      </c>
      <c r="M6" s="23">
        <v>21</v>
      </c>
      <c r="N6" s="23">
        <v>21</v>
      </c>
      <c r="O6" s="23">
        <v>21</v>
      </c>
      <c r="P6" s="23">
        <v>18</v>
      </c>
      <c r="Q6" s="37">
        <v>21</v>
      </c>
      <c r="R6" s="54">
        <v>22</v>
      </c>
      <c r="S6" s="72">
        <f>SUM(B6:R6)</f>
        <v>352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4" t="s">
        <v>6</v>
      </c>
      <c r="B7" s="8">
        <v>2</v>
      </c>
      <c r="C7" s="9"/>
      <c r="D7" s="8">
        <v>1</v>
      </c>
      <c r="E7" s="8">
        <v>3</v>
      </c>
      <c r="F7" s="8">
        <v>2</v>
      </c>
      <c r="G7" s="38">
        <v>2</v>
      </c>
      <c r="H7" s="8">
        <v>3</v>
      </c>
      <c r="I7" s="8">
        <v>3</v>
      </c>
      <c r="J7" s="8">
        <v>3</v>
      </c>
      <c r="K7" s="8">
        <v>3</v>
      </c>
      <c r="L7" s="38">
        <v>2</v>
      </c>
      <c r="M7" s="8">
        <v>1</v>
      </c>
      <c r="N7" s="8">
        <v>2</v>
      </c>
      <c r="O7" s="8">
        <v>4</v>
      </c>
      <c r="P7" s="9"/>
      <c r="Q7" s="38">
        <v>2</v>
      </c>
      <c r="R7" s="67">
        <v>1</v>
      </c>
      <c r="S7" s="73">
        <f>SUM(B7:R7)</f>
        <v>34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4" t="s">
        <v>7</v>
      </c>
      <c r="B8" s="8">
        <v>1</v>
      </c>
      <c r="C8" s="9"/>
      <c r="D8" s="8">
        <v>4</v>
      </c>
      <c r="E8" s="8">
        <v>2</v>
      </c>
      <c r="F8" s="8">
        <v>2</v>
      </c>
      <c r="G8" s="38">
        <v>3</v>
      </c>
      <c r="H8" s="8">
        <v>2</v>
      </c>
      <c r="I8" s="9"/>
      <c r="J8" s="8">
        <v>1</v>
      </c>
      <c r="K8" s="8">
        <v>2</v>
      </c>
      <c r="L8" s="38">
        <v>2</v>
      </c>
      <c r="M8" s="8">
        <v>5</v>
      </c>
      <c r="N8" s="8">
        <v>2</v>
      </c>
      <c r="O8" s="8">
        <v>1</v>
      </c>
      <c r="P8" s="8">
        <v>3</v>
      </c>
      <c r="Q8" s="38">
        <v>1</v>
      </c>
      <c r="R8" s="67">
        <v>2</v>
      </c>
      <c r="S8" s="73">
        <f>SUM(B8:R8)</f>
        <v>33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4" t="s">
        <v>8</v>
      </c>
      <c r="B9" s="9"/>
      <c r="C9" s="9"/>
      <c r="D9" s="9"/>
      <c r="E9" s="9"/>
      <c r="F9" s="9"/>
      <c r="G9" s="39"/>
      <c r="H9" s="9"/>
      <c r="I9" s="9"/>
      <c r="J9" s="9"/>
      <c r="K9" s="9"/>
      <c r="L9" s="39"/>
      <c r="M9" s="9"/>
      <c r="N9" s="9"/>
      <c r="O9" s="9"/>
      <c r="P9" s="9"/>
      <c r="Q9" s="39"/>
      <c r="R9" s="55"/>
      <c r="S9" s="74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4" t="s">
        <v>9</v>
      </c>
      <c r="B10" s="9"/>
      <c r="C10" s="9"/>
      <c r="D10" s="9"/>
      <c r="E10" s="9"/>
      <c r="F10" s="9"/>
      <c r="G10" s="39"/>
      <c r="H10" s="9"/>
      <c r="I10" s="9"/>
      <c r="J10" s="9"/>
      <c r="K10" s="9"/>
      <c r="L10" s="39"/>
      <c r="M10" s="9"/>
      <c r="N10" s="9"/>
      <c r="O10" s="9"/>
      <c r="P10" s="9"/>
      <c r="Q10" s="39"/>
      <c r="R10" s="55"/>
      <c r="S10" s="74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4" t="s">
        <v>10</v>
      </c>
      <c r="B11" s="9"/>
      <c r="C11" s="9"/>
      <c r="D11" s="9"/>
      <c r="E11" s="9"/>
      <c r="F11" s="9"/>
      <c r="G11" s="39"/>
      <c r="H11" s="9"/>
      <c r="I11" s="9"/>
      <c r="J11" s="9"/>
      <c r="K11" s="9"/>
      <c r="L11" s="39"/>
      <c r="M11" s="9"/>
      <c r="N11" s="9"/>
      <c r="O11" s="9"/>
      <c r="P11" s="9"/>
      <c r="Q11" s="39"/>
      <c r="R11" s="55"/>
      <c r="S11" s="7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4" t="s">
        <v>11</v>
      </c>
      <c r="B12" s="8">
        <v>1</v>
      </c>
      <c r="C12" s="8">
        <v>3</v>
      </c>
      <c r="D12" s="8">
        <v>1</v>
      </c>
      <c r="E12" s="8">
        <v>1</v>
      </c>
      <c r="F12" s="9"/>
      <c r="G12" s="38">
        <v>1</v>
      </c>
      <c r="H12" s="8">
        <v>1</v>
      </c>
      <c r="I12" s="8">
        <v>1</v>
      </c>
      <c r="J12" s="8">
        <v>3</v>
      </c>
      <c r="K12" s="8">
        <v>1</v>
      </c>
      <c r="L12" s="38">
        <v>1</v>
      </c>
      <c r="M12" s="8">
        <v>1</v>
      </c>
      <c r="N12" s="8">
        <v>1</v>
      </c>
      <c r="O12" s="8">
        <v>1</v>
      </c>
      <c r="P12" s="8">
        <v>4</v>
      </c>
      <c r="Q12" s="38">
        <v>1</v>
      </c>
      <c r="R12" s="55"/>
      <c r="S12" s="73">
        <f>SUM(B12:R12)</f>
        <v>22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4" t="s">
        <v>12</v>
      </c>
      <c r="B13" s="9"/>
      <c r="C13" s="9"/>
      <c r="D13" s="9"/>
      <c r="E13" s="9"/>
      <c r="F13" s="9"/>
      <c r="G13" s="39"/>
      <c r="H13" s="9"/>
      <c r="I13" s="9"/>
      <c r="J13" s="9"/>
      <c r="K13" s="9"/>
      <c r="L13" s="39"/>
      <c r="M13" s="9"/>
      <c r="N13" s="9"/>
      <c r="O13" s="9"/>
      <c r="P13" s="9"/>
      <c r="Q13" s="39"/>
      <c r="R13" s="55"/>
      <c r="S13" s="7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4" t="s">
        <v>13</v>
      </c>
      <c r="B14" s="10">
        <v>2.5416666666666665</v>
      </c>
      <c r="C14" s="10">
        <v>0.83333333333333337</v>
      </c>
      <c r="D14" s="10">
        <v>1.25</v>
      </c>
      <c r="E14" s="10">
        <v>2.0833333333333335</v>
      </c>
      <c r="F14" s="10">
        <v>2.0833333333333335</v>
      </c>
      <c r="G14" s="40">
        <v>2.9583333333333335</v>
      </c>
      <c r="H14" s="10">
        <v>2.5833333333333335</v>
      </c>
      <c r="I14" s="10">
        <v>2.4166666666666665</v>
      </c>
      <c r="J14" s="10">
        <v>2.25</v>
      </c>
      <c r="K14" s="10">
        <v>2.0416666666666665</v>
      </c>
      <c r="L14" s="40">
        <v>2.3333333333333335</v>
      </c>
      <c r="M14" s="10">
        <v>1.5833333333333333</v>
      </c>
      <c r="N14" s="10">
        <v>2.8333333333333335</v>
      </c>
      <c r="O14" s="10">
        <v>0.75</v>
      </c>
      <c r="P14" s="10">
        <v>1.3333333333333333</v>
      </c>
      <c r="Q14" s="40">
        <v>2.0416666666666665</v>
      </c>
      <c r="R14" s="56">
        <v>1.2083333333333333</v>
      </c>
      <c r="S14" s="75">
        <f>SUM(B14:R14)</f>
        <v>33.125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4" t="s">
        <v>14</v>
      </c>
      <c r="B15" s="10">
        <v>0.75</v>
      </c>
      <c r="C15" s="9"/>
      <c r="D15" s="10">
        <v>0.41666666666666669</v>
      </c>
      <c r="E15" s="10">
        <v>1.0833333333333333</v>
      </c>
      <c r="F15" s="10">
        <v>0.75</v>
      </c>
      <c r="G15" s="40">
        <v>0.66666666666666663</v>
      </c>
      <c r="H15" s="10">
        <v>1.5833333333333333</v>
      </c>
      <c r="I15" s="10">
        <v>0.91666666666666663</v>
      </c>
      <c r="J15" s="10">
        <v>1.25</v>
      </c>
      <c r="K15" s="10">
        <v>1.125</v>
      </c>
      <c r="L15" s="40">
        <v>0.41666666666666669</v>
      </c>
      <c r="M15" s="10">
        <v>0.25</v>
      </c>
      <c r="N15" s="10">
        <v>0.41666666666666669</v>
      </c>
      <c r="O15" s="10">
        <v>1.1666666666666667</v>
      </c>
      <c r="P15" s="9"/>
      <c r="Q15" s="40">
        <v>0.79166666666666663</v>
      </c>
      <c r="R15" s="56">
        <v>0.33333333333333331</v>
      </c>
      <c r="S15" s="75">
        <f t="shared" ref="S15:S16" si="0">SUM(B15:R15)</f>
        <v>11.916666666666666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4" t="s">
        <v>15</v>
      </c>
      <c r="B16" s="10">
        <v>0.25</v>
      </c>
      <c r="C16" s="9"/>
      <c r="D16" s="10">
        <v>1.0833333333333333</v>
      </c>
      <c r="E16" s="10">
        <v>0.75</v>
      </c>
      <c r="F16" s="10">
        <v>0.75</v>
      </c>
      <c r="G16" s="40">
        <v>1.0833333333333333</v>
      </c>
      <c r="H16" s="10">
        <v>1</v>
      </c>
      <c r="I16" s="9"/>
      <c r="J16" s="10">
        <v>0.54166666666666663</v>
      </c>
      <c r="K16" s="10">
        <v>0.625</v>
      </c>
      <c r="L16" s="40">
        <v>0.75</v>
      </c>
      <c r="M16" s="10">
        <v>1.75</v>
      </c>
      <c r="N16" s="10">
        <v>0.70833333333333337</v>
      </c>
      <c r="O16" s="10">
        <v>0.25</v>
      </c>
      <c r="P16" s="10">
        <v>0.83333333333333337</v>
      </c>
      <c r="Q16" s="40">
        <v>0.25</v>
      </c>
      <c r="R16" s="56">
        <v>0.58333333333333337</v>
      </c>
      <c r="S16" s="75">
        <f t="shared" si="0"/>
        <v>11.208333333333334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4" t="s">
        <v>16</v>
      </c>
      <c r="B17" s="9"/>
      <c r="C17" s="9"/>
      <c r="D17" s="9"/>
      <c r="E17" s="9"/>
      <c r="F17" s="9"/>
      <c r="G17" s="39"/>
      <c r="H17" s="9"/>
      <c r="I17" s="9"/>
      <c r="J17" s="9"/>
      <c r="K17" s="9"/>
      <c r="L17" s="39"/>
      <c r="M17" s="9"/>
      <c r="N17" s="9"/>
      <c r="O17" s="9"/>
      <c r="P17" s="9"/>
      <c r="Q17" s="39"/>
      <c r="R17" s="55"/>
      <c r="S17" s="74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4" t="s">
        <v>17</v>
      </c>
      <c r="B18" s="9"/>
      <c r="C18" s="9"/>
      <c r="D18" s="9"/>
      <c r="E18" s="9"/>
      <c r="F18" s="9"/>
      <c r="G18" s="39"/>
      <c r="H18" s="9"/>
      <c r="I18" s="9"/>
      <c r="J18" s="9"/>
      <c r="K18" s="9"/>
      <c r="L18" s="39"/>
      <c r="M18" s="9"/>
      <c r="N18" s="9"/>
      <c r="O18" s="9"/>
      <c r="P18" s="9"/>
      <c r="Q18" s="39"/>
      <c r="R18" s="55"/>
      <c r="S18" s="74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4" t="s">
        <v>18</v>
      </c>
      <c r="B19" s="9"/>
      <c r="C19" s="9"/>
      <c r="D19" s="9"/>
      <c r="E19" s="9"/>
      <c r="F19" s="9"/>
      <c r="G19" s="39"/>
      <c r="H19" s="9"/>
      <c r="I19" s="9"/>
      <c r="J19" s="9"/>
      <c r="K19" s="9"/>
      <c r="L19" s="39"/>
      <c r="M19" s="9"/>
      <c r="N19" s="9"/>
      <c r="O19" s="9"/>
      <c r="P19" s="9"/>
      <c r="Q19" s="39"/>
      <c r="R19" s="55"/>
      <c r="S19" s="74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4" t="s">
        <v>19</v>
      </c>
      <c r="B20" s="9"/>
      <c r="C20" s="9"/>
      <c r="D20" s="9"/>
      <c r="E20" s="9"/>
      <c r="F20" s="9"/>
      <c r="G20" s="39"/>
      <c r="H20" s="9"/>
      <c r="I20" s="9"/>
      <c r="J20" s="9"/>
      <c r="K20" s="9"/>
      <c r="L20" s="39"/>
      <c r="M20" s="9"/>
      <c r="N20" s="9"/>
      <c r="O20" s="9"/>
      <c r="P20" s="9"/>
      <c r="Q20" s="39"/>
      <c r="R20" s="55"/>
      <c r="S20" s="74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4" t="s">
        <v>20</v>
      </c>
      <c r="B21" s="9"/>
      <c r="C21" s="9"/>
      <c r="D21" s="9"/>
      <c r="E21" s="9"/>
      <c r="F21" s="9"/>
      <c r="G21" s="39"/>
      <c r="H21" s="9"/>
      <c r="I21" s="9"/>
      <c r="J21" s="9"/>
      <c r="K21" s="9"/>
      <c r="L21" s="39"/>
      <c r="M21" s="9"/>
      <c r="N21" s="9"/>
      <c r="O21" s="9"/>
      <c r="P21" s="9"/>
      <c r="Q21" s="39"/>
      <c r="R21" s="55"/>
      <c r="S21" s="74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4" t="s">
        <v>21</v>
      </c>
      <c r="B22" s="25">
        <v>0.95833333333333337</v>
      </c>
      <c r="C22" s="26"/>
      <c r="D22" s="25">
        <v>0.29166666666666669</v>
      </c>
      <c r="E22" s="25">
        <v>0.29166666666666669</v>
      </c>
      <c r="F22" s="26"/>
      <c r="G22" s="41">
        <v>1.375</v>
      </c>
      <c r="H22" s="25">
        <v>1.9583333333333333</v>
      </c>
      <c r="I22" s="25">
        <v>1.3333333333333333</v>
      </c>
      <c r="J22" s="25">
        <v>1</v>
      </c>
      <c r="K22" s="25">
        <v>4.1666666666666664E-2</v>
      </c>
      <c r="L22" s="41">
        <v>0.16666666666666666</v>
      </c>
      <c r="M22" s="25">
        <v>4.1666666666666664E-2</v>
      </c>
      <c r="N22" s="25">
        <v>0.45833333333333331</v>
      </c>
      <c r="O22" s="25">
        <v>4.1666666666666664E-2</v>
      </c>
      <c r="P22" s="25">
        <v>0.75</v>
      </c>
      <c r="Q22" s="41">
        <v>0.125</v>
      </c>
      <c r="R22" s="68">
        <v>0.79166666666666663</v>
      </c>
      <c r="S22" s="76">
        <f>SUM(B22:R22)</f>
        <v>9.625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2" t="s">
        <v>27</v>
      </c>
      <c r="B23" s="27">
        <v>170000</v>
      </c>
      <c r="C23" s="27">
        <v>210000</v>
      </c>
      <c r="D23" s="27">
        <v>177000</v>
      </c>
      <c r="E23" s="27">
        <v>187000</v>
      </c>
      <c r="F23" s="27">
        <v>192000</v>
      </c>
      <c r="G23" s="42">
        <v>187000</v>
      </c>
      <c r="H23" s="27">
        <v>182000</v>
      </c>
      <c r="I23" s="27">
        <v>192000</v>
      </c>
      <c r="J23" s="27">
        <v>187000</v>
      </c>
      <c r="K23" s="27">
        <v>172000</v>
      </c>
      <c r="L23" s="42">
        <v>177000</v>
      </c>
      <c r="M23" s="27">
        <v>172000</v>
      </c>
      <c r="N23" s="27">
        <v>177000</v>
      </c>
      <c r="O23" s="27">
        <v>170000</v>
      </c>
      <c r="P23" s="27">
        <v>170000</v>
      </c>
      <c r="Q23" s="42">
        <v>170000</v>
      </c>
      <c r="R23" s="58">
        <v>210000</v>
      </c>
      <c r="S23" s="77">
        <f>SUM(B23:R23)</f>
        <v>3102000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4" t="s">
        <v>28</v>
      </c>
      <c r="B24" s="9">
        <v>0</v>
      </c>
      <c r="C24" s="9">
        <v>0</v>
      </c>
      <c r="D24" s="9">
        <v>0</v>
      </c>
      <c r="E24" s="9">
        <v>0</v>
      </c>
      <c r="F24" s="9">
        <v>20000</v>
      </c>
      <c r="G24" s="39">
        <v>5000</v>
      </c>
      <c r="H24" s="9">
        <v>0</v>
      </c>
      <c r="I24" s="9">
        <v>20000</v>
      </c>
      <c r="J24" s="9">
        <v>5000</v>
      </c>
      <c r="K24" s="9">
        <v>0</v>
      </c>
      <c r="L24" s="39">
        <v>0</v>
      </c>
      <c r="M24" s="9">
        <v>0</v>
      </c>
      <c r="N24" s="9">
        <v>0</v>
      </c>
      <c r="O24" s="9">
        <v>0</v>
      </c>
      <c r="P24" s="9">
        <v>0</v>
      </c>
      <c r="Q24" s="39">
        <v>0</v>
      </c>
      <c r="R24" s="55">
        <v>0</v>
      </c>
      <c r="S24" s="74">
        <f t="shared" ref="S24:S73" si="1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4" t="s">
        <v>29</v>
      </c>
      <c r="B25" s="9">
        <v>0</v>
      </c>
      <c r="C25" s="9">
        <v>0</v>
      </c>
      <c r="D25" s="9">
        <v>0</v>
      </c>
      <c r="E25" s="9">
        <v>0</v>
      </c>
      <c r="F25" s="9">
        <v>3000</v>
      </c>
      <c r="G25" s="39">
        <v>0</v>
      </c>
      <c r="H25" s="9">
        <v>0</v>
      </c>
      <c r="I25" s="9">
        <v>0</v>
      </c>
      <c r="J25" s="9">
        <v>0</v>
      </c>
      <c r="K25" s="9">
        <v>0</v>
      </c>
      <c r="L25" s="39">
        <v>0</v>
      </c>
      <c r="M25" s="9">
        <v>0</v>
      </c>
      <c r="N25" s="9">
        <v>0</v>
      </c>
      <c r="O25" s="9">
        <v>0</v>
      </c>
      <c r="P25" s="9">
        <v>0</v>
      </c>
      <c r="Q25" s="39">
        <v>0</v>
      </c>
      <c r="R25" s="55">
        <v>0</v>
      </c>
      <c r="S25" s="74">
        <f t="shared" si="1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4" t="s">
        <v>30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39">
        <v>0</v>
      </c>
      <c r="H26" s="9">
        <v>0</v>
      </c>
      <c r="I26" s="9">
        <v>0</v>
      </c>
      <c r="J26" s="9">
        <v>0</v>
      </c>
      <c r="K26" s="9">
        <v>0</v>
      </c>
      <c r="L26" s="39">
        <v>0</v>
      </c>
      <c r="M26" s="9">
        <v>0</v>
      </c>
      <c r="N26" s="9">
        <v>0</v>
      </c>
      <c r="O26" s="9">
        <v>0</v>
      </c>
      <c r="P26" s="9">
        <v>0</v>
      </c>
      <c r="Q26" s="39">
        <v>0</v>
      </c>
      <c r="R26" s="55">
        <v>0</v>
      </c>
      <c r="S26" s="74">
        <f t="shared" si="1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4" t="s">
        <v>31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9">
        <v>0</v>
      </c>
      <c r="H27" s="9">
        <v>0</v>
      </c>
      <c r="I27" s="9">
        <v>0</v>
      </c>
      <c r="J27" s="9">
        <v>0</v>
      </c>
      <c r="K27" s="9">
        <v>0</v>
      </c>
      <c r="L27" s="39">
        <v>0</v>
      </c>
      <c r="M27" s="9">
        <v>0</v>
      </c>
      <c r="N27" s="9">
        <v>0</v>
      </c>
      <c r="O27" s="9">
        <v>0</v>
      </c>
      <c r="P27" s="9">
        <v>0</v>
      </c>
      <c r="Q27" s="39">
        <v>0</v>
      </c>
      <c r="R27" s="55">
        <v>0</v>
      </c>
      <c r="S27" s="74">
        <f t="shared" si="1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4" t="s">
        <v>32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39">
        <v>0</v>
      </c>
      <c r="H28" s="9">
        <v>0</v>
      </c>
      <c r="I28" s="9">
        <v>0</v>
      </c>
      <c r="J28" s="9">
        <v>0</v>
      </c>
      <c r="K28" s="9">
        <v>0</v>
      </c>
      <c r="L28" s="39">
        <v>0</v>
      </c>
      <c r="M28" s="9">
        <v>0</v>
      </c>
      <c r="N28" s="9">
        <v>0</v>
      </c>
      <c r="O28" s="9">
        <v>0</v>
      </c>
      <c r="P28" s="9">
        <v>0</v>
      </c>
      <c r="Q28" s="39">
        <v>0</v>
      </c>
      <c r="R28" s="55">
        <v>0</v>
      </c>
      <c r="S28" s="74">
        <f t="shared" si="1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4" t="s">
        <v>33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39">
        <v>0</v>
      </c>
      <c r="H29" s="9">
        <v>0</v>
      </c>
      <c r="I29" s="9">
        <v>0</v>
      </c>
      <c r="J29" s="9">
        <v>0</v>
      </c>
      <c r="K29" s="9">
        <v>0</v>
      </c>
      <c r="L29" s="39">
        <v>0</v>
      </c>
      <c r="M29" s="9">
        <v>0</v>
      </c>
      <c r="N29" s="9">
        <v>0</v>
      </c>
      <c r="O29" s="9">
        <v>0</v>
      </c>
      <c r="P29" s="9">
        <v>0</v>
      </c>
      <c r="Q29" s="39">
        <v>0</v>
      </c>
      <c r="R29" s="55">
        <v>0</v>
      </c>
      <c r="S29" s="74">
        <f t="shared" si="1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4" t="s">
        <v>34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39">
        <v>0</v>
      </c>
      <c r="H30" s="9">
        <v>0</v>
      </c>
      <c r="I30" s="9">
        <v>0</v>
      </c>
      <c r="J30" s="9">
        <v>0</v>
      </c>
      <c r="K30" s="9">
        <v>0</v>
      </c>
      <c r="L30" s="39">
        <v>0</v>
      </c>
      <c r="M30" s="9">
        <v>0</v>
      </c>
      <c r="N30" s="9">
        <v>0</v>
      </c>
      <c r="O30" s="9">
        <v>0</v>
      </c>
      <c r="P30" s="9">
        <v>0</v>
      </c>
      <c r="Q30" s="39">
        <v>0</v>
      </c>
      <c r="R30" s="55">
        <v>0</v>
      </c>
      <c r="S30" s="74">
        <f t="shared" si="1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4" t="s">
        <v>35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39">
        <v>0</v>
      </c>
      <c r="H31" s="9">
        <v>0</v>
      </c>
      <c r="I31" s="9">
        <v>0</v>
      </c>
      <c r="J31" s="9">
        <v>0</v>
      </c>
      <c r="K31" s="9">
        <v>0</v>
      </c>
      <c r="L31" s="39">
        <v>0</v>
      </c>
      <c r="M31" s="9">
        <v>0</v>
      </c>
      <c r="N31" s="9">
        <v>0</v>
      </c>
      <c r="O31" s="9">
        <v>0</v>
      </c>
      <c r="P31" s="9">
        <v>0</v>
      </c>
      <c r="Q31" s="39">
        <v>0</v>
      </c>
      <c r="R31" s="55">
        <v>0</v>
      </c>
      <c r="S31" s="74">
        <f t="shared" si="1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4" t="s">
        <v>36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39">
        <v>0</v>
      </c>
      <c r="H32" s="9">
        <v>0</v>
      </c>
      <c r="I32" s="9">
        <v>0</v>
      </c>
      <c r="J32" s="9">
        <v>0</v>
      </c>
      <c r="K32" s="9">
        <v>0</v>
      </c>
      <c r="L32" s="39">
        <v>0</v>
      </c>
      <c r="M32" s="9">
        <v>0</v>
      </c>
      <c r="N32" s="9">
        <v>0</v>
      </c>
      <c r="O32" s="9">
        <v>0</v>
      </c>
      <c r="P32" s="9">
        <v>0</v>
      </c>
      <c r="Q32" s="39">
        <v>0</v>
      </c>
      <c r="R32" s="55">
        <v>0</v>
      </c>
      <c r="S32" s="74">
        <f t="shared" si="1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4" t="s">
        <v>37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39">
        <v>0</v>
      </c>
      <c r="H33" s="9">
        <v>0</v>
      </c>
      <c r="I33" s="9">
        <v>0</v>
      </c>
      <c r="J33" s="9">
        <v>0</v>
      </c>
      <c r="K33" s="9">
        <v>0</v>
      </c>
      <c r="L33" s="39">
        <v>0</v>
      </c>
      <c r="M33" s="9">
        <v>0</v>
      </c>
      <c r="N33" s="9">
        <v>0</v>
      </c>
      <c r="O33" s="9">
        <v>0</v>
      </c>
      <c r="P33" s="9">
        <v>0</v>
      </c>
      <c r="Q33" s="39">
        <v>0</v>
      </c>
      <c r="R33" s="55">
        <v>0</v>
      </c>
      <c r="S33" s="74">
        <f t="shared" si="1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4" t="s">
        <v>38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39">
        <v>0</v>
      </c>
      <c r="H34" s="9">
        <v>0</v>
      </c>
      <c r="I34" s="9">
        <v>0</v>
      </c>
      <c r="J34" s="9">
        <v>0</v>
      </c>
      <c r="K34" s="9">
        <v>0</v>
      </c>
      <c r="L34" s="39">
        <v>0</v>
      </c>
      <c r="M34" s="9">
        <v>0</v>
      </c>
      <c r="N34" s="9">
        <v>0</v>
      </c>
      <c r="O34" s="9">
        <v>0</v>
      </c>
      <c r="P34" s="9">
        <v>0</v>
      </c>
      <c r="Q34" s="39">
        <v>0</v>
      </c>
      <c r="R34" s="55">
        <v>0</v>
      </c>
      <c r="S34" s="74">
        <f t="shared" si="1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4" t="s">
        <v>39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39">
        <v>0</v>
      </c>
      <c r="H35" s="9">
        <v>0</v>
      </c>
      <c r="I35" s="9">
        <v>0</v>
      </c>
      <c r="J35" s="9">
        <v>0</v>
      </c>
      <c r="K35" s="9">
        <v>0</v>
      </c>
      <c r="L35" s="39">
        <v>0</v>
      </c>
      <c r="M35" s="9">
        <v>0</v>
      </c>
      <c r="N35" s="9">
        <v>0</v>
      </c>
      <c r="O35" s="9">
        <v>0</v>
      </c>
      <c r="P35" s="9">
        <v>0</v>
      </c>
      <c r="Q35" s="39">
        <v>0</v>
      </c>
      <c r="R35" s="55">
        <v>0</v>
      </c>
      <c r="S35" s="74">
        <f t="shared" si="1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4" t="s">
        <v>40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39">
        <v>0</v>
      </c>
      <c r="H36" s="9">
        <v>0</v>
      </c>
      <c r="I36" s="9">
        <v>0</v>
      </c>
      <c r="J36" s="9">
        <v>0</v>
      </c>
      <c r="K36" s="9">
        <v>0</v>
      </c>
      <c r="L36" s="39">
        <v>0</v>
      </c>
      <c r="M36" s="9">
        <v>0</v>
      </c>
      <c r="N36" s="9">
        <v>0</v>
      </c>
      <c r="O36" s="9">
        <v>0</v>
      </c>
      <c r="P36" s="9">
        <v>0</v>
      </c>
      <c r="Q36" s="39">
        <v>0</v>
      </c>
      <c r="R36" s="55">
        <v>0</v>
      </c>
      <c r="S36" s="74">
        <f t="shared" si="1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4" t="s">
        <v>41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39">
        <v>0</v>
      </c>
      <c r="H37" s="9">
        <v>0</v>
      </c>
      <c r="I37" s="9">
        <v>0</v>
      </c>
      <c r="J37" s="9">
        <v>0</v>
      </c>
      <c r="K37" s="9">
        <v>0</v>
      </c>
      <c r="L37" s="39">
        <v>0</v>
      </c>
      <c r="M37" s="9">
        <v>0</v>
      </c>
      <c r="N37" s="9">
        <v>0</v>
      </c>
      <c r="O37" s="9">
        <v>0</v>
      </c>
      <c r="P37" s="9">
        <v>0</v>
      </c>
      <c r="Q37" s="39">
        <v>0</v>
      </c>
      <c r="R37" s="55">
        <v>0</v>
      </c>
      <c r="S37" s="74">
        <f t="shared" si="1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4" t="s">
        <v>42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39">
        <v>0</v>
      </c>
      <c r="H38" s="9">
        <v>0</v>
      </c>
      <c r="I38" s="9">
        <v>0</v>
      </c>
      <c r="J38" s="9">
        <v>0</v>
      </c>
      <c r="K38" s="9">
        <v>0</v>
      </c>
      <c r="L38" s="39">
        <v>0</v>
      </c>
      <c r="M38" s="9">
        <v>0</v>
      </c>
      <c r="N38" s="9">
        <v>0</v>
      </c>
      <c r="O38" s="9">
        <v>0</v>
      </c>
      <c r="P38" s="9">
        <v>0</v>
      </c>
      <c r="Q38" s="39">
        <v>0</v>
      </c>
      <c r="R38" s="55">
        <v>0</v>
      </c>
      <c r="S38" s="74">
        <f t="shared" si="1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4" t="s">
        <v>43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39">
        <v>0</v>
      </c>
      <c r="H39" s="9">
        <v>0</v>
      </c>
      <c r="I39" s="9">
        <v>0</v>
      </c>
      <c r="J39" s="9">
        <v>0</v>
      </c>
      <c r="K39" s="9">
        <v>0</v>
      </c>
      <c r="L39" s="39">
        <v>0</v>
      </c>
      <c r="M39" s="9">
        <v>0</v>
      </c>
      <c r="N39" s="9">
        <v>0</v>
      </c>
      <c r="O39" s="9">
        <v>0</v>
      </c>
      <c r="P39" s="9">
        <v>0</v>
      </c>
      <c r="Q39" s="39">
        <v>0</v>
      </c>
      <c r="R39" s="55">
        <v>0</v>
      </c>
      <c r="S39" s="74">
        <f t="shared" si="1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4" t="s">
        <v>44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39">
        <v>0</v>
      </c>
      <c r="H40" s="9">
        <v>0</v>
      </c>
      <c r="I40" s="9">
        <v>0</v>
      </c>
      <c r="J40" s="9">
        <v>0</v>
      </c>
      <c r="K40" s="9">
        <v>0</v>
      </c>
      <c r="L40" s="39">
        <v>0</v>
      </c>
      <c r="M40" s="9">
        <v>0</v>
      </c>
      <c r="N40" s="9">
        <v>0</v>
      </c>
      <c r="O40" s="9">
        <v>0</v>
      </c>
      <c r="P40" s="9">
        <v>0</v>
      </c>
      <c r="Q40" s="39">
        <v>0</v>
      </c>
      <c r="R40" s="55">
        <v>0</v>
      </c>
      <c r="S40" s="74">
        <f t="shared" si="1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4" t="s">
        <v>45</v>
      </c>
      <c r="B41" s="9">
        <v>-8133</v>
      </c>
      <c r="C41" s="9">
        <v>-30141</v>
      </c>
      <c r="D41" s="9">
        <v>-8468</v>
      </c>
      <c r="E41" s="9">
        <v>-8947</v>
      </c>
      <c r="F41" s="9">
        <v>0</v>
      </c>
      <c r="G41" s="39">
        <v>-9186</v>
      </c>
      <c r="H41" s="9">
        <v>-8708</v>
      </c>
      <c r="I41" s="9">
        <v>-10143</v>
      </c>
      <c r="J41" s="9">
        <v>-27558</v>
      </c>
      <c r="K41" s="9">
        <v>-8229</v>
      </c>
      <c r="L41" s="39">
        <v>-8468</v>
      </c>
      <c r="M41" s="9">
        <v>-8229</v>
      </c>
      <c r="N41" s="9">
        <v>-8468</v>
      </c>
      <c r="O41" s="9">
        <v>-8133</v>
      </c>
      <c r="P41" s="9">
        <v>-32532</v>
      </c>
      <c r="Q41" s="39">
        <v>-8133</v>
      </c>
      <c r="R41" s="55">
        <v>0</v>
      </c>
      <c r="S41" s="74">
        <f t="shared" si="1"/>
        <v>-193476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4" t="s">
        <v>46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39">
        <v>0</v>
      </c>
      <c r="H42" s="9">
        <v>0</v>
      </c>
      <c r="I42" s="9">
        <v>0</v>
      </c>
      <c r="J42" s="9">
        <v>0</v>
      </c>
      <c r="K42" s="9">
        <v>0</v>
      </c>
      <c r="L42" s="39">
        <v>0</v>
      </c>
      <c r="M42" s="9">
        <v>0</v>
      </c>
      <c r="N42" s="9">
        <v>0</v>
      </c>
      <c r="O42" s="9">
        <v>0</v>
      </c>
      <c r="P42" s="9">
        <v>0</v>
      </c>
      <c r="Q42" s="39">
        <v>0</v>
      </c>
      <c r="R42" s="55">
        <v>0</v>
      </c>
      <c r="S42" s="74">
        <f t="shared" si="1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4" t="s">
        <v>13</v>
      </c>
      <c r="B43" s="9">
        <v>77653</v>
      </c>
      <c r="C43" s="9">
        <v>31420</v>
      </c>
      <c r="D43" s="9">
        <v>39750</v>
      </c>
      <c r="E43" s="9">
        <v>70000</v>
      </c>
      <c r="F43" s="9">
        <v>80450</v>
      </c>
      <c r="G43" s="39">
        <v>102098</v>
      </c>
      <c r="H43" s="9">
        <v>84506</v>
      </c>
      <c r="I43" s="9">
        <v>91988</v>
      </c>
      <c r="J43" s="9">
        <v>77652</v>
      </c>
      <c r="K43" s="9">
        <v>63112</v>
      </c>
      <c r="L43" s="39">
        <v>74200</v>
      </c>
      <c r="M43" s="9">
        <v>48944</v>
      </c>
      <c r="N43" s="9">
        <v>90100</v>
      </c>
      <c r="O43" s="9">
        <v>22914</v>
      </c>
      <c r="P43" s="9">
        <v>40736</v>
      </c>
      <c r="Q43" s="39">
        <v>62377</v>
      </c>
      <c r="R43" s="55">
        <v>45559</v>
      </c>
      <c r="S43" s="74">
        <f t="shared" si="1"/>
        <v>1103459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4" t="s">
        <v>6</v>
      </c>
      <c r="B44" s="9">
        <v>24732</v>
      </c>
      <c r="C44" s="9">
        <v>0</v>
      </c>
      <c r="D44" s="9">
        <v>14310</v>
      </c>
      <c r="E44" s="9">
        <v>39312</v>
      </c>
      <c r="F44" s="9">
        <v>31266</v>
      </c>
      <c r="G44" s="39">
        <v>24848</v>
      </c>
      <c r="H44" s="9">
        <v>55936</v>
      </c>
      <c r="I44" s="9">
        <v>37686</v>
      </c>
      <c r="J44" s="9">
        <v>46590</v>
      </c>
      <c r="K44" s="9">
        <v>37557</v>
      </c>
      <c r="L44" s="39">
        <v>14310</v>
      </c>
      <c r="M44" s="9">
        <v>8346</v>
      </c>
      <c r="N44" s="9">
        <v>14310</v>
      </c>
      <c r="O44" s="9">
        <v>38472</v>
      </c>
      <c r="P44" s="9">
        <v>0</v>
      </c>
      <c r="Q44" s="39">
        <v>26106</v>
      </c>
      <c r="R44" s="55">
        <v>13576</v>
      </c>
      <c r="S44" s="74">
        <f t="shared" si="1"/>
        <v>427357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4" t="s">
        <v>7</v>
      </c>
      <c r="B45" s="9">
        <v>8244</v>
      </c>
      <c r="C45" s="9">
        <v>0</v>
      </c>
      <c r="D45" s="9">
        <v>37206</v>
      </c>
      <c r="E45" s="9">
        <v>27216</v>
      </c>
      <c r="F45" s="9">
        <v>31266</v>
      </c>
      <c r="G45" s="39">
        <v>40378</v>
      </c>
      <c r="H45" s="9">
        <v>35328</v>
      </c>
      <c r="I45" s="9">
        <v>0</v>
      </c>
      <c r="J45" s="9">
        <v>20189</v>
      </c>
      <c r="K45" s="9">
        <v>20865</v>
      </c>
      <c r="L45" s="39">
        <v>25758</v>
      </c>
      <c r="M45" s="9">
        <v>58422</v>
      </c>
      <c r="N45" s="9">
        <v>24327</v>
      </c>
      <c r="O45" s="9">
        <v>8244</v>
      </c>
      <c r="P45" s="9">
        <v>27480</v>
      </c>
      <c r="Q45" s="39">
        <v>8244</v>
      </c>
      <c r="R45" s="55">
        <v>23758</v>
      </c>
      <c r="S45" s="74">
        <f t="shared" si="1"/>
        <v>396925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4" t="s">
        <v>47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39">
        <v>0</v>
      </c>
      <c r="H46" s="9">
        <v>0</v>
      </c>
      <c r="I46" s="9">
        <v>0</v>
      </c>
      <c r="J46" s="9">
        <v>0</v>
      </c>
      <c r="K46" s="9">
        <v>0</v>
      </c>
      <c r="L46" s="39">
        <v>0</v>
      </c>
      <c r="M46" s="9">
        <v>0</v>
      </c>
      <c r="N46" s="9">
        <v>0</v>
      </c>
      <c r="O46" s="9">
        <v>0</v>
      </c>
      <c r="P46" s="9">
        <v>0</v>
      </c>
      <c r="Q46" s="39">
        <v>0</v>
      </c>
      <c r="R46" s="55">
        <v>0</v>
      </c>
      <c r="S46" s="74">
        <f t="shared" si="1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4" t="s">
        <v>48</v>
      </c>
      <c r="B47" s="9">
        <v>8133</v>
      </c>
      <c r="C47" s="9">
        <v>30141</v>
      </c>
      <c r="D47" s="9">
        <v>8468</v>
      </c>
      <c r="E47" s="9">
        <v>8947</v>
      </c>
      <c r="F47" s="9">
        <v>0</v>
      </c>
      <c r="G47" s="39">
        <v>9186</v>
      </c>
      <c r="H47" s="9">
        <v>8708</v>
      </c>
      <c r="I47" s="9">
        <v>10143</v>
      </c>
      <c r="J47" s="9">
        <v>27558</v>
      </c>
      <c r="K47" s="9">
        <v>8229</v>
      </c>
      <c r="L47" s="39">
        <v>8468</v>
      </c>
      <c r="M47" s="9">
        <v>8229</v>
      </c>
      <c r="N47" s="9">
        <v>8468</v>
      </c>
      <c r="O47" s="9">
        <v>8133</v>
      </c>
      <c r="P47" s="9">
        <v>32532</v>
      </c>
      <c r="Q47" s="39">
        <v>8133</v>
      </c>
      <c r="R47" s="55">
        <v>0</v>
      </c>
      <c r="S47" s="74">
        <f t="shared" si="1"/>
        <v>193476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4" t="s">
        <v>17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39">
        <v>0</v>
      </c>
      <c r="H48" s="9">
        <v>0</v>
      </c>
      <c r="I48" s="9">
        <v>0</v>
      </c>
      <c r="J48" s="9">
        <v>0</v>
      </c>
      <c r="K48" s="9">
        <v>0</v>
      </c>
      <c r="L48" s="39">
        <v>0</v>
      </c>
      <c r="M48" s="9">
        <v>0</v>
      </c>
      <c r="N48" s="9">
        <v>0</v>
      </c>
      <c r="O48" s="9">
        <v>0</v>
      </c>
      <c r="P48" s="9">
        <v>0</v>
      </c>
      <c r="Q48" s="39">
        <v>0</v>
      </c>
      <c r="R48" s="55">
        <v>0</v>
      </c>
      <c r="S48" s="74">
        <f t="shared" si="1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5" t="s">
        <v>49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43">
        <v>0</v>
      </c>
      <c r="H49" s="11">
        <v>0</v>
      </c>
      <c r="I49" s="11">
        <v>0</v>
      </c>
      <c r="J49" s="11">
        <v>0</v>
      </c>
      <c r="K49" s="11">
        <v>0</v>
      </c>
      <c r="L49" s="43">
        <v>0</v>
      </c>
      <c r="M49" s="11">
        <v>0</v>
      </c>
      <c r="N49" s="11">
        <v>0</v>
      </c>
      <c r="O49" s="11">
        <v>0</v>
      </c>
      <c r="P49" s="11">
        <v>0</v>
      </c>
      <c r="Q49" s="43">
        <v>0</v>
      </c>
      <c r="R49" s="59">
        <v>0</v>
      </c>
      <c r="S49" s="78">
        <f t="shared" si="1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5" t="s">
        <v>21</v>
      </c>
      <c r="B50" s="11">
        <v>5865</v>
      </c>
      <c r="C50" s="11">
        <v>0</v>
      </c>
      <c r="D50" s="11">
        <v>1855</v>
      </c>
      <c r="E50" s="11">
        <v>1960</v>
      </c>
      <c r="F50" s="11">
        <v>0</v>
      </c>
      <c r="G50" s="43">
        <v>9504</v>
      </c>
      <c r="H50" s="11">
        <v>12831</v>
      </c>
      <c r="I50" s="11">
        <v>10144</v>
      </c>
      <c r="J50" s="11">
        <v>6912</v>
      </c>
      <c r="K50" s="11">
        <v>258</v>
      </c>
      <c r="L50" s="43">
        <v>1060</v>
      </c>
      <c r="M50" s="11">
        <v>258</v>
      </c>
      <c r="N50" s="11">
        <v>2915</v>
      </c>
      <c r="O50" s="11">
        <v>255</v>
      </c>
      <c r="P50" s="11">
        <v>4590</v>
      </c>
      <c r="Q50" s="43">
        <v>765</v>
      </c>
      <c r="R50" s="59">
        <v>5966</v>
      </c>
      <c r="S50" s="78">
        <f t="shared" si="1"/>
        <v>65138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6" t="s">
        <v>50</v>
      </c>
      <c r="B51" s="30">
        <v>286494</v>
      </c>
      <c r="C51" s="30">
        <v>241420</v>
      </c>
      <c r="D51" s="30">
        <v>270121</v>
      </c>
      <c r="E51" s="30">
        <v>325488</v>
      </c>
      <c r="F51" s="30">
        <v>357982</v>
      </c>
      <c r="G51" s="44">
        <v>368828</v>
      </c>
      <c r="H51" s="30">
        <v>370601</v>
      </c>
      <c r="I51" s="30">
        <v>351818</v>
      </c>
      <c r="J51" s="30">
        <v>343343</v>
      </c>
      <c r="K51" s="30">
        <v>293792</v>
      </c>
      <c r="L51" s="44">
        <v>292328</v>
      </c>
      <c r="M51" s="30">
        <v>287970</v>
      </c>
      <c r="N51" s="30">
        <v>308652</v>
      </c>
      <c r="O51" s="30">
        <v>239885</v>
      </c>
      <c r="P51" s="30">
        <v>242806</v>
      </c>
      <c r="Q51" s="44">
        <v>267492</v>
      </c>
      <c r="R51" s="60">
        <v>298859</v>
      </c>
      <c r="S51" s="79">
        <f t="shared" si="1"/>
        <v>5147879</v>
      </c>
      <c r="T51" s="6"/>
      <c r="U51" s="6"/>
      <c r="V51" s="6"/>
      <c r="W51" s="6"/>
      <c r="X51" s="6"/>
      <c r="Y51" s="6"/>
      <c r="Z51" s="6"/>
    </row>
    <row r="52" spans="1:26" x14ac:dyDescent="0.15">
      <c r="A52" s="28" t="s">
        <v>51</v>
      </c>
      <c r="B52" s="29">
        <v>5004</v>
      </c>
      <c r="C52" s="29">
        <v>1585</v>
      </c>
      <c r="D52" s="29">
        <v>10840</v>
      </c>
      <c r="E52" s="29">
        <v>2710</v>
      </c>
      <c r="F52" s="29">
        <v>4878</v>
      </c>
      <c r="G52" s="45">
        <v>2710</v>
      </c>
      <c r="H52" s="29">
        <v>3252</v>
      </c>
      <c r="I52" s="29">
        <v>11508</v>
      </c>
      <c r="J52" s="29">
        <v>1918</v>
      </c>
      <c r="K52" s="29">
        <v>2168</v>
      </c>
      <c r="L52" s="45">
        <v>1043</v>
      </c>
      <c r="M52" s="29">
        <v>2815</v>
      </c>
      <c r="N52" s="29">
        <v>4170</v>
      </c>
      <c r="O52" s="29">
        <v>5420</v>
      </c>
      <c r="P52" s="29">
        <v>3065</v>
      </c>
      <c r="Q52" s="45">
        <v>6004</v>
      </c>
      <c r="R52" s="61">
        <v>3127</v>
      </c>
      <c r="S52" s="80">
        <f t="shared" si="1"/>
        <v>72217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1" t="s">
        <v>52</v>
      </c>
      <c r="B53" s="32">
        <v>5004</v>
      </c>
      <c r="C53" s="32">
        <v>1585</v>
      </c>
      <c r="D53" s="32">
        <v>10840</v>
      </c>
      <c r="E53" s="32">
        <v>2710</v>
      </c>
      <c r="F53" s="32">
        <v>4878</v>
      </c>
      <c r="G53" s="46">
        <v>2710</v>
      </c>
      <c r="H53" s="32">
        <v>3252</v>
      </c>
      <c r="I53" s="32">
        <v>11508</v>
      </c>
      <c r="J53" s="32">
        <v>1918</v>
      </c>
      <c r="K53" s="32">
        <v>2168</v>
      </c>
      <c r="L53" s="46">
        <v>1043</v>
      </c>
      <c r="M53" s="32">
        <v>2815</v>
      </c>
      <c r="N53" s="32">
        <v>4170</v>
      </c>
      <c r="O53" s="32">
        <v>5420</v>
      </c>
      <c r="P53" s="32">
        <v>3065</v>
      </c>
      <c r="Q53" s="46">
        <v>6004</v>
      </c>
      <c r="R53" s="62">
        <v>3127</v>
      </c>
      <c r="S53" s="81">
        <f t="shared" si="1"/>
        <v>72217</v>
      </c>
    </row>
    <row r="54" spans="1:26" ht="14.25" thickBot="1" x14ac:dyDescent="0.2">
      <c r="A54" s="33" t="s">
        <v>53</v>
      </c>
      <c r="B54" s="34">
        <v>291498</v>
      </c>
      <c r="C54" s="34">
        <v>243005</v>
      </c>
      <c r="D54" s="34">
        <v>280961</v>
      </c>
      <c r="E54" s="34">
        <v>328198</v>
      </c>
      <c r="F54" s="34">
        <v>362860</v>
      </c>
      <c r="G54" s="47">
        <v>371538</v>
      </c>
      <c r="H54" s="34">
        <v>373853</v>
      </c>
      <c r="I54" s="34">
        <v>363326</v>
      </c>
      <c r="J54" s="34">
        <v>345261</v>
      </c>
      <c r="K54" s="34">
        <v>295960</v>
      </c>
      <c r="L54" s="47">
        <v>293371</v>
      </c>
      <c r="M54" s="34">
        <v>290785</v>
      </c>
      <c r="N54" s="34">
        <v>312822</v>
      </c>
      <c r="O54" s="34">
        <v>245305</v>
      </c>
      <c r="P54" s="34">
        <v>245871</v>
      </c>
      <c r="Q54" s="47">
        <v>273496</v>
      </c>
      <c r="R54" s="63">
        <v>301986</v>
      </c>
      <c r="S54" s="82">
        <f t="shared" si="1"/>
        <v>5220096</v>
      </c>
    </row>
    <row r="55" spans="1:26" x14ac:dyDescent="0.15">
      <c r="A55" s="28" t="s">
        <v>54</v>
      </c>
      <c r="B55" s="29">
        <v>14280</v>
      </c>
      <c r="C55" s="29">
        <v>12240</v>
      </c>
      <c r="D55" s="29">
        <v>15300</v>
      </c>
      <c r="E55" s="29">
        <v>17340</v>
      </c>
      <c r="F55" s="29">
        <v>19380</v>
      </c>
      <c r="G55" s="45">
        <v>19380</v>
      </c>
      <c r="H55" s="29">
        <v>19380</v>
      </c>
      <c r="I55" s="29">
        <v>19380</v>
      </c>
      <c r="J55" s="29">
        <v>18360</v>
      </c>
      <c r="K55" s="29">
        <v>16320</v>
      </c>
      <c r="L55" s="45">
        <v>16320</v>
      </c>
      <c r="M55" s="29">
        <v>16320</v>
      </c>
      <c r="N55" s="29">
        <v>16320</v>
      </c>
      <c r="O55" s="29">
        <v>13260</v>
      </c>
      <c r="P55" s="29">
        <v>15300</v>
      </c>
      <c r="Q55" s="45">
        <v>15300</v>
      </c>
      <c r="R55" s="61">
        <v>14280</v>
      </c>
      <c r="S55" s="80">
        <f t="shared" si="1"/>
        <v>278460</v>
      </c>
    </row>
    <row r="56" spans="1:26" x14ac:dyDescent="0.15">
      <c r="A56" s="15" t="s">
        <v>55</v>
      </c>
      <c r="B56" s="11">
        <v>2520</v>
      </c>
      <c r="C56" s="11">
        <v>2160</v>
      </c>
      <c r="D56" s="11">
        <v>2700</v>
      </c>
      <c r="E56" s="11">
        <v>3060</v>
      </c>
      <c r="F56" s="11">
        <v>3420</v>
      </c>
      <c r="G56" s="43">
        <v>3420</v>
      </c>
      <c r="H56" s="11">
        <v>3420</v>
      </c>
      <c r="I56" s="11">
        <v>3420</v>
      </c>
      <c r="J56" s="11">
        <v>3240</v>
      </c>
      <c r="K56" s="11">
        <v>2880</v>
      </c>
      <c r="L56" s="43">
        <v>2880</v>
      </c>
      <c r="M56" s="11">
        <v>2880</v>
      </c>
      <c r="N56" s="11">
        <v>2880</v>
      </c>
      <c r="O56" s="11">
        <v>2340</v>
      </c>
      <c r="P56" s="11">
        <v>0</v>
      </c>
      <c r="Q56" s="43">
        <v>2700</v>
      </c>
      <c r="R56" s="59">
        <v>2520</v>
      </c>
      <c r="S56" s="78">
        <f t="shared" si="1"/>
        <v>46440</v>
      </c>
    </row>
    <row r="57" spans="1:26" x14ac:dyDescent="0.15">
      <c r="A57" s="15" t="s">
        <v>56</v>
      </c>
      <c r="B57" s="11">
        <v>25620</v>
      </c>
      <c r="C57" s="11">
        <v>21960</v>
      </c>
      <c r="D57" s="11">
        <v>27450</v>
      </c>
      <c r="E57" s="11">
        <v>31110</v>
      </c>
      <c r="F57" s="11">
        <v>34770</v>
      </c>
      <c r="G57" s="43">
        <v>34770</v>
      </c>
      <c r="H57" s="11">
        <v>34770</v>
      </c>
      <c r="I57" s="11">
        <v>34770</v>
      </c>
      <c r="J57" s="11">
        <v>32940</v>
      </c>
      <c r="K57" s="11">
        <v>29280</v>
      </c>
      <c r="L57" s="43">
        <v>29280</v>
      </c>
      <c r="M57" s="11">
        <v>29280</v>
      </c>
      <c r="N57" s="11">
        <v>29280</v>
      </c>
      <c r="O57" s="11">
        <v>23790</v>
      </c>
      <c r="P57" s="11">
        <v>27450</v>
      </c>
      <c r="Q57" s="43">
        <v>27450</v>
      </c>
      <c r="R57" s="59">
        <v>25620</v>
      </c>
      <c r="S57" s="78">
        <f t="shared" si="1"/>
        <v>499590</v>
      </c>
    </row>
    <row r="58" spans="1:26" x14ac:dyDescent="0.15">
      <c r="A58" s="15" t="s">
        <v>57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43">
        <v>0</v>
      </c>
      <c r="H58" s="11">
        <v>0</v>
      </c>
      <c r="I58" s="11">
        <v>0</v>
      </c>
      <c r="J58" s="11">
        <v>0</v>
      </c>
      <c r="K58" s="11">
        <v>0</v>
      </c>
      <c r="L58" s="43">
        <v>0</v>
      </c>
      <c r="M58" s="11">
        <v>0</v>
      </c>
      <c r="N58" s="11">
        <v>0</v>
      </c>
      <c r="O58" s="11">
        <v>0</v>
      </c>
      <c r="P58" s="11">
        <v>0</v>
      </c>
      <c r="Q58" s="43">
        <v>0</v>
      </c>
      <c r="R58" s="59">
        <v>0</v>
      </c>
      <c r="S58" s="78">
        <f t="shared" si="1"/>
        <v>0</v>
      </c>
    </row>
    <row r="59" spans="1:26" x14ac:dyDescent="0.15">
      <c r="A59" s="15" t="s">
        <v>58</v>
      </c>
      <c r="B59" s="11">
        <v>874</v>
      </c>
      <c r="C59" s="11">
        <v>729</v>
      </c>
      <c r="D59" s="11">
        <v>843</v>
      </c>
      <c r="E59" s="11">
        <v>985</v>
      </c>
      <c r="F59" s="11">
        <v>1089</v>
      </c>
      <c r="G59" s="43">
        <v>1115</v>
      </c>
      <c r="H59" s="11">
        <v>1122</v>
      </c>
      <c r="I59" s="11">
        <v>1090</v>
      </c>
      <c r="J59" s="11">
        <v>1036</v>
      </c>
      <c r="K59" s="11">
        <v>888</v>
      </c>
      <c r="L59" s="43">
        <v>880</v>
      </c>
      <c r="M59" s="11">
        <v>872</v>
      </c>
      <c r="N59" s="11">
        <v>938</v>
      </c>
      <c r="O59" s="11">
        <v>736</v>
      </c>
      <c r="P59" s="11">
        <v>738</v>
      </c>
      <c r="Q59" s="43">
        <v>820</v>
      </c>
      <c r="R59" s="59">
        <v>906</v>
      </c>
      <c r="S59" s="78">
        <f t="shared" si="1"/>
        <v>15661</v>
      </c>
    </row>
    <row r="60" spans="1:26" x14ac:dyDescent="0.15">
      <c r="A60" s="15" t="s">
        <v>59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43">
        <v>0</v>
      </c>
      <c r="H60" s="11">
        <v>0</v>
      </c>
      <c r="I60" s="11">
        <v>0</v>
      </c>
      <c r="J60" s="11">
        <v>0</v>
      </c>
      <c r="K60" s="11">
        <v>0</v>
      </c>
      <c r="L60" s="43">
        <v>0</v>
      </c>
      <c r="M60" s="11">
        <v>0</v>
      </c>
      <c r="N60" s="11">
        <v>0</v>
      </c>
      <c r="O60" s="11">
        <v>0</v>
      </c>
      <c r="P60" s="11">
        <v>0</v>
      </c>
      <c r="Q60" s="43">
        <v>0</v>
      </c>
      <c r="R60" s="59">
        <v>0</v>
      </c>
      <c r="S60" s="78">
        <f t="shared" si="1"/>
        <v>0</v>
      </c>
    </row>
    <row r="61" spans="1:26" ht="14.25" thickBot="1" x14ac:dyDescent="0.2">
      <c r="A61" s="31" t="s">
        <v>60</v>
      </c>
      <c r="B61" s="32">
        <v>43294</v>
      </c>
      <c r="C61" s="32">
        <v>37089</v>
      </c>
      <c r="D61" s="32">
        <v>46293</v>
      </c>
      <c r="E61" s="32">
        <v>52495</v>
      </c>
      <c r="F61" s="32">
        <v>58659</v>
      </c>
      <c r="G61" s="46">
        <v>58685</v>
      </c>
      <c r="H61" s="32">
        <v>58692</v>
      </c>
      <c r="I61" s="32">
        <v>58660</v>
      </c>
      <c r="J61" s="32">
        <v>55576</v>
      </c>
      <c r="K61" s="32">
        <v>49368</v>
      </c>
      <c r="L61" s="46">
        <v>49360</v>
      </c>
      <c r="M61" s="32">
        <v>49352</v>
      </c>
      <c r="N61" s="32">
        <v>49418</v>
      </c>
      <c r="O61" s="32">
        <v>40126</v>
      </c>
      <c r="P61" s="32">
        <v>43488</v>
      </c>
      <c r="Q61" s="46">
        <v>46270</v>
      </c>
      <c r="R61" s="62">
        <v>43326</v>
      </c>
      <c r="S61" s="81">
        <f t="shared" si="1"/>
        <v>840151</v>
      </c>
    </row>
    <row r="62" spans="1:26" ht="14.25" thickBot="1" x14ac:dyDescent="0.2">
      <c r="A62" s="33" t="s">
        <v>61</v>
      </c>
      <c r="B62" s="34">
        <v>243200</v>
      </c>
      <c r="C62" s="34">
        <v>204331</v>
      </c>
      <c r="D62" s="34">
        <v>223828</v>
      </c>
      <c r="E62" s="34">
        <v>272993</v>
      </c>
      <c r="F62" s="34">
        <v>299323</v>
      </c>
      <c r="G62" s="47">
        <v>310143</v>
      </c>
      <c r="H62" s="34">
        <v>311909</v>
      </c>
      <c r="I62" s="34">
        <v>293158</v>
      </c>
      <c r="J62" s="34">
        <v>287767</v>
      </c>
      <c r="K62" s="34">
        <v>244424</v>
      </c>
      <c r="L62" s="47">
        <v>242968</v>
      </c>
      <c r="M62" s="34">
        <v>238618</v>
      </c>
      <c r="N62" s="34">
        <v>259234</v>
      </c>
      <c r="O62" s="34">
        <v>199759</v>
      </c>
      <c r="P62" s="34">
        <v>199318</v>
      </c>
      <c r="Q62" s="47">
        <v>221222</v>
      </c>
      <c r="R62" s="63">
        <v>255533</v>
      </c>
      <c r="S62" s="82">
        <f t="shared" si="1"/>
        <v>4307728</v>
      </c>
    </row>
    <row r="63" spans="1:26" x14ac:dyDescent="0.15">
      <c r="A63" s="28" t="s">
        <v>62</v>
      </c>
      <c r="B63" s="29">
        <v>1460</v>
      </c>
      <c r="C63" s="29">
        <v>4920</v>
      </c>
      <c r="D63" s="29">
        <v>4000</v>
      </c>
      <c r="E63" s="29">
        <v>7370</v>
      </c>
      <c r="F63" s="29">
        <v>6700</v>
      </c>
      <c r="G63" s="45">
        <v>9210</v>
      </c>
      <c r="H63" s="29">
        <v>7210</v>
      </c>
      <c r="I63" s="29">
        <v>6480</v>
      </c>
      <c r="J63" s="29">
        <v>7900</v>
      </c>
      <c r="K63" s="29">
        <v>6350</v>
      </c>
      <c r="L63" s="45">
        <v>4680</v>
      </c>
      <c r="M63" s="29">
        <v>6140</v>
      </c>
      <c r="N63" s="29">
        <v>6880</v>
      </c>
      <c r="O63" s="29">
        <v>4760</v>
      </c>
      <c r="P63" s="29">
        <v>4740</v>
      </c>
      <c r="Q63" s="45">
        <v>5520</v>
      </c>
      <c r="R63" s="61">
        <v>6750</v>
      </c>
      <c r="S63" s="80">
        <f t="shared" si="1"/>
        <v>101070</v>
      </c>
    </row>
    <row r="64" spans="1:26" x14ac:dyDescent="0.15">
      <c r="A64" s="15" t="s">
        <v>63</v>
      </c>
      <c r="B64" s="11">
        <v>1300</v>
      </c>
      <c r="C64" s="11">
        <v>0</v>
      </c>
      <c r="D64" s="11">
        <v>1300</v>
      </c>
      <c r="E64" s="11">
        <v>1300</v>
      </c>
      <c r="F64" s="11">
        <v>1300</v>
      </c>
      <c r="G64" s="43">
        <v>0</v>
      </c>
      <c r="H64" s="11">
        <v>1300</v>
      </c>
      <c r="I64" s="11">
        <v>1300</v>
      </c>
      <c r="J64" s="11">
        <v>1300</v>
      </c>
      <c r="K64" s="11">
        <v>1300</v>
      </c>
      <c r="L64" s="43">
        <v>1300</v>
      </c>
      <c r="M64" s="11">
        <v>1300</v>
      </c>
      <c r="N64" s="11">
        <v>1300</v>
      </c>
      <c r="O64" s="11">
        <v>0</v>
      </c>
      <c r="P64" s="11">
        <v>0</v>
      </c>
      <c r="Q64" s="43">
        <v>1300</v>
      </c>
      <c r="R64" s="59">
        <v>1300</v>
      </c>
      <c r="S64" s="78">
        <f t="shared" si="1"/>
        <v>16900</v>
      </c>
    </row>
    <row r="65" spans="1:19" x14ac:dyDescent="0.15">
      <c r="A65" s="15" t="s">
        <v>64</v>
      </c>
      <c r="B65" s="11">
        <v>2400</v>
      </c>
      <c r="C65" s="11">
        <v>0</v>
      </c>
      <c r="D65" s="11">
        <v>8100</v>
      </c>
      <c r="E65" s="11">
        <v>14700</v>
      </c>
      <c r="F65" s="11">
        <v>13700</v>
      </c>
      <c r="G65" s="43">
        <v>16600</v>
      </c>
      <c r="H65" s="11">
        <v>8000</v>
      </c>
      <c r="I65" s="11">
        <v>13400</v>
      </c>
      <c r="J65" s="11">
        <v>17300</v>
      </c>
      <c r="K65" s="11">
        <v>13600</v>
      </c>
      <c r="L65" s="43">
        <v>8100</v>
      </c>
      <c r="M65" s="11">
        <v>13300</v>
      </c>
      <c r="N65" s="11">
        <v>9200</v>
      </c>
      <c r="O65" s="11">
        <v>9600</v>
      </c>
      <c r="P65" s="11">
        <v>13700</v>
      </c>
      <c r="Q65" s="43">
        <v>12300</v>
      </c>
      <c r="R65" s="59">
        <v>11200</v>
      </c>
      <c r="S65" s="78">
        <f t="shared" si="1"/>
        <v>185200</v>
      </c>
    </row>
    <row r="66" spans="1:19" x14ac:dyDescent="0.15">
      <c r="A66" s="15" t="s">
        <v>65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43">
        <v>10000</v>
      </c>
      <c r="H66" s="11">
        <v>0</v>
      </c>
      <c r="I66" s="11">
        <v>0</v>
      </c>
      <c r="J66" s="11">
        <v>0</v>
      </c>
      <c r="K66" s="11">
        <v>0</v>
      </c>
      <c r="L66" s="43">
        <v>0</v>
      </c>
      <c r="M66" s="11">
        <v>0</v>
      </c>
      <c r="N66" s="11">
        <v>0</v>
      </c>
      <c r="O66" s="11">
        <v>0</v>
      </c>
      <c r="P66" s="11">
        <v>0</v>
      </c>
      <c r="Q66" s="43">
        <v>0</v>
      </c>
      <c r="R66" s="59">
        <v>0</v>
      </c>
      <c r="S66" s="78">
        <f t="shared" si="1"/>
        <v>10000</v>
      </c>
    </row>
    <row r="67" spans="1:19" x14ac:dyDescent="0.15">
      <c r="A67" s="15" t="s">
        <v>66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43">
        <v>0</v>
      </c>
      <c r="H67" s="11">
        <v>0</v>
      </c>
      <c r="I67" s="11">
        <v>0</v>
      </c>
      <c r="J67" s="11">
        <v>0</v>
      </c>
      <c r="K67" s="11">
        <v>0</v>
      </c>
      <c r="L67" s="43">
        <v>0</v>
      </c>
      <c r="M67" s="11">
        <v>0</v>
      </c>
      <c r="N67" s="11">
        <v>0</v>
      </c>
      <c r="O67" s="11">
        <v>0</v>
      </c>
      <c r="P67" s="11">
        <v>0</v>
      </c>
      <c r="Q67" s="43">
        <v>0</v>
      </c>
      <c r="R67" s="59">
        <v>0</v>
      </c>
      <c r="S67" s="78">
        <f t="shared" si="1"/>
        <v>0</v>
      </c>
    </row>
    <row r="68" spans="1:19" x14ac:dyDescent="0.15">
      <c r="A68" s="15" t="s">
        <v>67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43">
        <v>0</v>
      </c>
      <c r="H68" s="11">
        <v>0</v>
      </c>
      <c r="I68" s="11">
        <v>0</v>
      </c>
      <c r="J68" s="11">
        <v>0</v>
      </c>
      <c r="K68" s="11">
        <v>0</v>
      </c>
      <c r="L68" s="43">
        <v>0</v>
      </c>
      <c r="M68" s="11">
        <v>0</v>
      </c>
      <c r="N68" s="11">
        <v>0</v>
      </c>
      <c r="O68" s="11">
        <v>0</v>
      </c>
      <c r="P68" s="11">
        <v>0</v>
      </c>
      <c r="Q68" s="43">
        <v>0</v>
      </c>
      <c r="R68" s="59">
        <v>0</v>
      </c>
      <c r="S68" s="78">
        <f t="shared" si="1"/>
        <v>0</v>
      </c>
    </row>
    <row r="69" spans="1:19" ht="14.25" thickBot="1" x14ac:dyDescent="0.2">
      <c r="A69" s="31" t="s">
        <v>68</v>
      </c>
      <c r="B69" s="32">
        <v>5160</v>
      </c>
      <c r="C69" s="32">
        <v>4920</v>
      </c>
      <c r="D69" s="32">
        <v>13400</v>
      </c>
      <c r="E69" s="32">
        <v>23370</v>
      </c>
      <c r="F69" s="32">
        <v>21700</v>
      </c>
      <c r="G69" s="46">
        <v>35810</v>
      </c>
      <c r="H69" s="32">
        <v>16510</v>
      </c>
      <c r="I69" s="32">
        <v>21180</v>
      </c>
      <c r="J69" s="32">
        <v>26500</v>
      </c>
      <c r="K69" s="32">
        <v>21250</v>
      </c>
      <c r="L69" s="46">
        <v>14080</v>
      </c>
      <c r="M69" s="32">
        <v>20740</v>
      </c>
      <c r="N69" s="32">
        <v>17380</v>
      </c>
      <c r="O69" s="32">
        <v>14360</v>
      </c>
      <c r="P69" s="32">
        <v>18440</v>
      </c>
      <c r="Q69" s="46">
        <v>19120</v>
      </c>
      <c r="R69" s="62">
        <v>19250</v>
      </c>
      <c r="S69" s="81">
        <f t="shared" si="1"/>
        <v>313170</v>
      </c>
    </row>
    <row r="70" spans="1:19" ht="14.25" thickBot="1" x14ac:dyDescent="0.2">
      <c r="A70" s="33" t="s">
        <v>69</v>
      </c>
      <c r="B70" s="34">
        <v>48454</v>
      </c>
      <c r="C70" s="34">
        <v>42009</v>
      </c>
      <c r="D70" s="34">
        <v>59693</v>
      </c>
      <c r="E70" s="34">
        <v>75865</v>
      </c>
      <c r="F70" s="34">
        <v>80359</v>
      </c>
      <c r="G70" s="47">
        <v>94495</v>
      </c>
      <c r="H70" s="34">
        <v>75202</v>
      </c>
      <c r="I70" s="34">
        <v>79840</v>
      </c>
      <c r="J70" s="34">
        <v>82076</v>
      </c>
      <c r="K70" s="34">
        <v>70618</v>
      </c>
      <c r="L70" s="47">
        <v>63440</v>
      </c>
      <c r="M70" s="34">
        <v>70092</v>
      </c>
      <c r="N70" s="34">
        <v>66798</v>
      </c>
      <c r="O70" s="34">
        <v>54486</v>
      </c>
      <c r="P70" s="34">
        <v>61928</v>
      </c>
      <c r="Q70" s="47">
        <v>65390</v>
      </c>
      <c r="R70" s="63">
        <v>62576</v>
      </c>
      <c r="S70" s="82">
        <f t="shared" si="1"/>
        <v>1153321</v>
      </c>
    </row>
    <row r="71" spans="1:19" ht="14.25" thickBot="1" x14ac:dyDescent="0.2">
      <c r="A71" s="33" t="s">
        <v>70</v>
      </c>
      <c r="B71" s="34">
        <v>243044</v>
      </c>
      <c r="C71" s="34">
        <v>200996</v>
      </c>
      <c r="D71" s="34">
        <v>221268</v>
      </c>
      <c r="E71" s="34">
        <v>252333</v>
      </c>
      <c r="F71" s="34">
        <v>282501</v>
      </c>
      <c r="G71" s="47">
        <v>277043</v>
      </c>
      <c r="H71" s="34">
        <v>298651</v>
      </c>
      <c r="I71" s="34">
        <v>283486</v>
      </c>
      <c r="J71" s="34">
        <v>263185</v>
      </c>
      <c r="K71" s="34">
        <v>225342</v>
      </c>
      <c r="L71" s="47">
        <v>229931</v>
      </c>
      <c r="M71" s="34">
        <v>220693</v>
      </c>
      <c r="N71" s="34">
        <v>246024</v>
      </c>
      <c r="O71" s="34">
        <v>190819</v>
      </c>
      <c r="P71" s="34">
        <v>183943</v>
      </c>
      <c r="Q71" s="47">
        <v>208106</v>
      </c>
      <c r="R71" s="63">
        <v>239410</v>
      </c>
      <c r="S71" s="82">
        <f t="shared" si="1"/>
        <v>4066775</v>
      </c>
    </row>
    <row r="72" spans="1:19" x14ac:dyDescent="0.15">
      <c r="A72" s="28" t="s">
        <v>71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45">
        <v>0</v>
      </c>
      <c r="H72" s="29">
        <v>0</v>
      </c>
      <c r="I72" s="29">
        <v>0</v>
      </c>
      <c r="J72" s="29">
        <v>0</v>
      </c>
      <c r="K72" s="29">
        <v>0</v>
      </c>
      <c r="L72" s="45">
        <v>0</v>
      </c>
      <c r="M72" s="29">
        <v>0</v>
      </c>
      <c r="N72" s="29">
        <v>0</v>
      </c>
      <c r="O72" s="29">
        <v>0</v>
      </c>
      <c r="P72" s="29">
        <v>0</v>
      </c>
      <c r="Q72" s="45">
        <v>0</v>
      </c>
      <c r="R72" s="61">
        <v>0</v>
      </c>
      <c r="S72" s="80">
        <f t="shared" si="1"/>
        <v>0</v>
      </c>
    </row>
    <row r="73" spans="1:19" x14ac:dyDescent="0.15">
      <c r="A73" s="15" t="s">
        <v>72</v>
      </c>
      <c r="B73" s="11">
        <v>243044</v>
      </c>
      <c r="C73" s="11">
        <v>200996</v>
      </c>
      <c r="D73" s="11">
        <v>221268</v>
      </c>
      <c r="E73" s="11">
        <v>252333</v>
      </c>
      <c r="F73" s="11">
        <v>282501</v>
      </c>
      <c r="G73" s="43">
        <v>277043</v>
      </c>
      <c r="H73" s="11">
        <v>298651</v>
      </c>
      <c r="I73" s="11">
        <v>283486</v>
      </c>
      <c r="J73" s="11">
        <v>263185</v>
      </c>
      <c r="K73" s="11">
        <v>225342</v>
      </c>
      <c r="L73" s="43">
        <v>229931</v>
      </c>
      <c r="M73" s="11">
        <v>220693</v>
      </c>
      <c r="N73" s="11">
        <v>246024</v>
      </c>
      <c r="O73" s="11">
        <v>190819</v>
      </c>
      <c r="P73" s="11">
        <v>183943</v>
      </c>
      <c r="Q73" s="43">
        <v>208106</v>
      </c>
      <c r="R73" s="59">
        <v>239410</v>
      </c>
      <c r="S73" s="78">
        <f t="shared" si="1"/>
        <v>4066775</v>
      </c>
    </row>
    <row r="74" spans="1:19" x14ac:dyDescent="0.15">
      <c r="A74" s="15" t="s">
        <v>73</v>
      </c>
      <c r="B74" s="12">
        <v>16</v>
      </c>
      <c r="C74" s="12">
        <v>13</v>
      </c>
      <c r="D74" s="12">
        <v>33</v>
      </c>
      <c r="E74" s="12">
        <v>34</v>
      </c>
      <c r="F74" s="12">
        <v>39</v>
      </c>
      <c r="G74" s="48">
        <v>39</v>
      </c>
      <c r="H74" s="12">
        <v>30</v>
      </c>
      <c r="I74" s="12">
        <v>30</v>
      </c>
      <c r="J74" s="12">
        <v>35</v>
      </c>
      <c r="K74" s="12">
        <v>38</v>
      </c>
      <c r="L74" s="48">
        <v>39</v>
      </c>
      <c r="M74" s="12">
        <v>22</v>
      </c>
      <c r="N74" s="12">
        <v>31</v>
      </c>
      <c r="O74" s="12">
        <v>11</v>
      </c>
      <c r="P74" s="12">
        <v>16</v>
      </c>
      <c r="Q74" s="48">
        <v>22</v>
      </c>
      <c r="R74" s="65">
        <v>12</v>
      </c>
      <c r="S74" s="83"/>
    </row>
    <row r="75" spans="1:19" x14ac:dyDescent="0.15">
      <c r="A75" s="15" t="s">
        <v>74</v>
      </c>
      <c r="B75" s="13">
        <v>3</v>
      </c>
      <c r="C75" s="13"/>
      <c r="D75" s="13">
        <v>1</v>
      </c>
      <c r="E75" s="13"/>
      <c r="F75" s="13">
        <v>1</v>
      </c>
      <c r="G75" s="49"/>
      <c r="H75" s="13">
        <v>1</v>
      </c>
      <c r="I75" s="13">
        <v>1</v>
      </c>
      <c r="J75" s="13"/>
      <c r="K75" s="13"/>
      <c r="L75" s="49">
        <v>1</v>
      </c>
      <c r="M75" s="13"/>
      <c r="N75" s="13"/>
      <c r="O75" s="13"/>
      <c r="P75" s="13"/>
      <c r="Q75" s="49"/>
      <c r="R75" s="64"/>
      <c r="S75" s="84"/>
    </row>
    <row r="76" spans="1:19" ht="14.25" thickBot="1" x14ac:dyDescent="0.2">
      <c r="A76" s="16" t="s">
        <v>75</v>
      </c>
      <c r="B76" s="17" t="s">
        <v>76</v>
      </c>
      <c r="C76" s="17" t="s">
        <v>76</v>
      </c>
      <c r="D76" s="17" t="s">
        <v>76</v>
      </c>
      <c r="E76" s="17" t="s">
        <v>76</v>
      </c>
      <c r="F76" s="17" t="s">
        <v>76</v>
      </c>
      <c r="G76" s="50" t="s">
        <v>76</v>
      </c>
      <c r="H76" s="17" t="s">
        <v>76</v>
      </c>
      <c r="I76" s="17" t="s">
        <v>76</v>
      </c>
      <c r="J76" s="17" t="s">
        <v>76</v>
      </c>
      <c r="K76" s="17" t="s">
        <v>76</v>
      </c>
      <c r="L76" s="50" t="s">
        <v>76</v>
      </c>
      <c r="M76" s="17" t="s">
        <v>76</v>
      </c>
      <c r="N76" s="17" t="s">
        <v>76</v>
      </c>
      <c r="O76" s="17" t="s">
        <v>76</v>
      </c>
      <c r="P76" s="17" t="s">
        <v>76</v>
      </c>
      <c r="Q76" s="50" t="s">
        <v>76</v>
      </c>
      <c r="R76" s="66" t="s">
        <v>76</v>
      </c>
      <c r="S76" s="85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1頁 (2)</vt:lpstr>
      <vt:lpstr>1頁 (3)</vt:lpstr>
      <vt:lpstr>1頁 (4)</vt:lpstr>
      <vt:lpstr>'1頁 (3)'!Print_Area</vt:lpstr>
      <vt:lpstr>'1頁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2020-08-12T00:50:39Z</cp:lastPrinted>
  <dcterms:created xsi:type="dcterms:W3CDTF">2011-10-11T01:59:58Z</dcterms:created>
  <dcterms:modified xsi:type="dcterms:W3CDTF">2020-08-12T01:47:08Z</dcterms:modified>
</cp:coreProperties>
</file>