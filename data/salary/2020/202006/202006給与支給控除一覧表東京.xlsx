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ocuments\"/>
    </mc:Choice>
  </mc:AlternateContent>
  <xr:revisionPtr revIDLastSave="0" documentId="13_ncr:1_{50E6F7D9-08F0-4CFA-846B-DBCD3A38B6D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2" l="1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25" i="2"/>
  <c r="K24" i="2"/>
  <c r="K15" i="2"/>
  <c r="K14" i="2"/>
  <c r="K10" i="2"/>
  <c r="K7" i="2"/>
  <c r="K6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25" i="2"/>
  <c r="D24" i="2"/>
  <c r="D23" i="2"/>
  <c r="D13" i="2"/>
  <c r="D10" i="2"/>
  <c r="D6" i="2"/>
</calcChain>
</file>

<file path=xl/sharedStrings.xml><?xml version="1.0" encoding="utf-8"?>
<sst xmlns="http://schemas.openxmlformats.org/spreadsheetml/2006/main" count="110" uniqueCount="93">
  <si>
    <t>所　属</t>
  </si>
  <si>
    <t>社　員</t>
  </si>
  <si>
    <t>２０20年6月分</t>
  </si>
  <si>
    <t>若林運送株式会社</t>
  </si>
  <si>
    <t>東京営業所/ドライバー</t>
  </si>
  <si>
    <t>宮腰　真也</t>
  </si>
  <si>
    <t>出勤日数</t>
  </si>
  <si>
    <t>法定休日出勤</t>
  </si>
  <si>
    <t>社定特定休日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</si>
  <si>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</si>
  <si>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</si>
  <si>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</si>
  <si>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</si>
  <si>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</si>
  <si>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</si>
  <si>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</si>
  <si>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祝日年末年始</t>
  </si>
  <si>
    <t>社定休日残業</t>
  </si>
  <si>
    <t>法定代休残業</t>
  </si>
  <si>
    <t>社定代休残業</t>
  </si>
  <si>
    <t>社定代休2残業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</si>
  <si>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</si>
  <si>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</si>
  <si>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</si>
  <si>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</si>
  <si>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</si>
  <si>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</si>
  <si>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</si>
  <si>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</si>
  <si>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</si>
  <si>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</si>
  <si>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</si>
  <si>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</si>
  <si>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</si>
  <si>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</si>
  <si>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</si>
  <si>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</si>
  <si>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</si>
  <si>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</si>
  <si>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</si>
  <si>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</si>
  <si>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</si>
  <si>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</si>
  <si>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</si>
  <si>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</si>
  <si>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</si>
  <si>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</si>
  <si>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</si>
  <si>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</si>
  <si>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法定休日</t>
  </si>
  <si>
    <t>社定休日</t>
  </si>
  <si>
    <t>法定代休有残業</t>
  </si>
  <si>
    <t>社定代休有残業</t>
  </si>
  <si>
    <t>社定代休有2残業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</si>
  <si>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</si>
  <si>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</si>
  <si>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</si>
  <si>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</si>
  <si>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</si>
  <si>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</si>
  <si>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</si>
  <si>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</si>
  <si>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</si>
  <si>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</si>
  <si>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</si>
  <si>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</si>
  <si>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</si>
  <si>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</si>
  <si>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</si>
  <si>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</si>
  <si>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</si>
  <si>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</si>
  <si>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</si>
  <si>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</si>
  <si>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</si>
  <si>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</si>
  <si>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</si>
  <si>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</si>
  <si>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</si>
  <si>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</si>
  <si>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</si>
  <si>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</si>
  <si>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</si>
  <si>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</si>
  <si>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</si>
  <si>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</si>
  <si>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東京営業所/事務</t>
  </si>
  <si>
    <t>新治　泰子</t>
  </si>
  <si>
    <t>8名</t>
  </si>
  <si>
    <t>全社計</t>
  </si>
  <si>
    <t>小計</t>
    <rPh sb="0" eb="2">
      <t>ショウケイ</t>
    </rPh>
    <phoneticPr fontId="1"/>
  </si>
  <si>
    <t>2名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</si>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</sst>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7" fontId="2" fillId="0" borderId="4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BBE5-3E28-4AC1-B043-4D2CEC30096B}">
  <sheetPr>
    <pageSetUpPr fitToPage="1"/>
  </sheetPr>
  <dimension ref="A1:AL81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8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4</v>
      </c>
      <c r="C3" s="52" t="s">
        <v>86</v>
      </c>
      <c r="D3" s="69" t="s">
        <v>90</v>
      </c>
      <c r="E3" s="36" t="s">
        <v>4</v>
      </c>
      <c r="F3" s="20" t="s">
        <v>4</v>
      </c>
      <c r="G3" s="20" t="s">
        <v>4</v>
      </c>
      <c r="H3" s="20" t="s">
        <v>4</v>
      </c>
      <c r="I3" s="36" t="s">
        <v>4</v>
      </c>
      <c r="J3" s="52" t="s">
        <v>4</v>
      </c>
      <c r="K3" s="69" t="s">
        <v>90</v>
      </c>
      <c r="L3" s="86" t="s">
        <v>89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3">
        <v>1033</v>
      </c>
      <c r="D4" s="70"/>
      <c r="E4" s="37">
        <v>1011</v>
      </c>
      <c r="F4" s="22">
        <v>1025</v>
      </c>
      <c r="G4" s="22">
        <v>1030</v>
      </c>
      <c r="H4" s="22">
        <v>1052</v>
      </c>
      <c r="I4" s="37">
        <v>1054</v>
      </c>
      <c r="J4" s="53">
        <v>1060</v>
      </c>
      <c r="K4" s="70"/>
      <c r="L4" s="8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26</v>
      </c>
      <c r="C5" s="53" t="s">
        <v>87</v>
      </c>
      <c r="D5" s="71" t="s">
        <v>91</v>
      </c>
      <c r="E5" s="37" t="s">
        <v>5</v>
      </c>
      <c r="F5" s="22" t="s">
        <v>25</v>
      </c>
      <c r="G5" s="22" t="s">
        <v>27</v>
      </c>
      <c r="H5" s="22" t="s">
        <v>28</v>
      </c>
      <c r="I5" s="37" t="s">
        <v>84</v>
      </c>
      <c r="J5" s="53" t="s">
        <v>85</v>
      </c>
      <c r="K5" s="71" t="s">
        <v>92</v>
      </c>
      <c r="L5" s="88" t="s">
        <v>88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6</v>
      </c>
      <c r="B6" s="24">
        <v>21</v>
      </c>
      <c r="C6" s="54">
        <v>12</v>
      </c>
      <c r="D6" s="72">
        <f>SUM(B6:C6)</f>
        <v>33</v>
      </c>
      <c r="E6" s="38">
        <v>21</v>
      </c>
      <c r="F6" s="24">
        <v>21</v>
      </c>
      <c r="G6" s="25"/>
      <c r="H6" s="24">
        <v>21</v>
      </c>
      <c r="I6" s="38">
        <v>23</v>
      </c>
      <c r="J6" s="54">
        <v>23</v>
      </c>
      <c r="K6" s="72">
        <f>SUM(E6:J6)</f>
        <v>109</v>
      </c>
      <c r="L6" s="89">
        <v>142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10"/>
      <c r="C7" s="56"/>
      <c r="D7" s="73"/>
      <c r="E7" s="39">
        <v>1</v>
      </c>
      <c r="F7" s="9">
        <v>1</v>
      </c>
      <c r="G7" s="10"/>
      <c r="H7" s="9">
        <v>1</v>
      </c>
      <c r="I7" s="39">
        <v>3</v>
      </c>
      <c r="J7" s="55">
        <v>1</v>
      </c>
      <c r="K7" s="74">
        <f>SUM(E7:J7)</f>
        <v>7</v>
      </c>
      <c r="L7" s="90">
        <v>7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6"/>
      <c r="D8" s="73"/>
      <c r="E8" s="40"/>
      <c r="F8" s="10"/>
      <c r="G8" s="10"/>
      <c r="H8" s="10"/>
      <c r="I8" s="40"/>
      <c r="J8" s="56"/>
      <c r="K8" s="77"/>
      <c r="L8" s="9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6"/>
      <c r="D9" s="73"/>
      <c r="E9" s="40"/>
      <c r="F9" s="10"/>
      <c r="G9" s="10"/>
      <c r="H9" s="10"/>
      <c r="I9" s="40"/>
      <c r="J9" s="56"/>
      <c r="K9" s="77"/>
      <c r="L9" s="9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9">
        <v>2</v>
      </c>
      <c r="C10" s="55">
        <v>1</v>
      </c>
      <c r="D10" s="74">
        <f>SUM(B10:C10)</f>
        <v>3</v>
      </c>
      <c r="E10" s="39">
        <v>2</v>
      </c>
      <c r="F10" s="9">
        <v>2</v>
      </c>
      <c r="G10" s="10"/>
      <c r="H10" s="9">
        <v>2</v>
      </c>
      <c r="I10" s="40"/>
      <c r="J10" s="56"/>
      <c r="K10" s="74">
        <f>SUM(E10:J10)</f>
        <v>6</v>
      </c>
      <c r="L10" s="90">
        <v>9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6"/>
      <c r="D11" s="73"/>
      <c r="E11" s="40"/>
      <c r="F11" s="10"/>
      <c r="G11" s="10"/>
      <c r="H11" s="10"/>
      <c r="I11" s="40"/>
      <c r="J11" s="56"/>
      <c r="K11" s="77"/>
      <c r="L11" s="9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6"/>
      <c r="D12" s="73"/>
      <c r="E12" s="40"/>
      <c r="F12" s="10"/>
      <c r="G12" s="10"/>
      <c r="H12" s="10"/>
      <c r="I12" s="40"/>
      <c r="J12" s="56"/>
      <c r="K12" s="77"/>
      <c r="L12" s="9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7">
        <v>3.4166666666666665</v>
      </c>
      <c r="D13" s="75">
        <f>SUM(B13:C13)</f>
        <v>3.4166666666666665</v>
      </c>
      <c r="E13" s="40"/>
      <c r="F13" s="10"/>
      <c r="G13" s="10"/>
      <c r="H13" s="10"/>
      <c r="I13" s="40"/>
      <c r="J13" s="56"/>
      <c r="K13" s="77"/>
      <c r="L13" s="92">
        <v>3.4166666666666665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6"/>
      <c r="D14" s="73"/>
      <c r="E14" s="41">
        <v>1.625</v>
      </c>
      <c r="F14" s="11">
        <v>2.25</v>
      </c>
      <c r="G14" s="10"/>
      <c r="H14" s="11">
        <v>1.875</v>
      </c>
      <c r="I14" s="41">
        <v>1.3333333333333333</v>
      </c>
      <c r="J14" s="57">
        <v>1.3333333333333333</v>
      </c>
      <c r="K14" s="75">
        <f>SUM(E14:J14)</f>
        <v>8.4166666666666661</v>
      </c>
      <c r="L14" s="92">
        <v>8.4166666666666661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6"/>
      <c r="D15" s="73"/>
      <c r="E15" s="41">
        <v>0.20833333333333334</v>
      </c>
      <c r="F15" s="11">
        <v>0.16666666666666666</v>
      </c>
      <c r="G15" s="10"/>
      <c r="H15" s="11">
        <v>0.20833333333333334</v>
      </c>
      <c r="I15" s="41">
        <v>1.125</v>
      </c>
      <c r="J15" s="57">
        <v>0.375</v>
      </c>
      <c r="K15" s="75">
        <f>SUM(E15:J15)</f>
        <v>2.0833333333333335</v>
      </c>
      <c r="L15" s="92">
        <v>2.0833333333333335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6"/>
      <c r="D16" s="73"/>
      <c r="E16" s="40"/>
      <c r="F16" s="10"/>
      <c r="G16" s="10"/>
      <c r="H16" s="10"/>
      <c r="I16" s="40"/>
      <c r="J16" s="56"/>
      <c r="K16" s="77"/>
      <c r="L16" s="91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6"/>
      <c r="D17" s="73"/>
      <c r="E17" s="40"/>
      <c r="F17" s="10"/>
      <c r="G17" s="10"/>
      <c r="H17" s="10"/>
      <c r="I17" s="40"/>
      <c r="J17" s="56"/>
      <c r="K17" s="77"/>
      <c r="L17" s="91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6"/>
      <c r="D18" s="73"/>
      <c r="E18" s="40"/>
      <c r="F18" s="10"/>
      <c r="G18" s="10"/>
      <c r="H18" s="10"/>
      <c r="I18" s="40"/>
      <c r="J18" s="56"/>
      <c r="K18" s="77"/>
      <c r="L18" s="91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6"/>
      <c r="D19" s="73"/>
      <c r="E19" s="40"/>
      <c r="F19" s="10"/>
      <c r="G19" s="10"/>
      <c r="H19" s="10"/>
      <c r="I19" s="40"/>
      <c r="J19" s="56"/>
      <c r="K19" s="77"/>
      <c r="L19" s="91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6"/>
      <c r="D20" s="73"/>
      <c r="E20" s="40"/>
      <c r="F20" s="10"/>
      <c r="G20" s="10"/>
      <c r="H20" s="10"/>
      <c r="I20" s="40"/>
      <c r="J20" s="56"/>
      <c r="K20" s="77"/>
      <c r="L20" s="91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6"/>
      <c r="D21" s="73"/>
      <c r="E21" s="40"/>
      <c r="F21" s="10"/>
      <c r="G21" s="10"/>
      <c r="H21" s="10"/>
      <c r="I21" s="40"/>
      <c r="J21" s="56"/>
      <c r="K21" s="77"/>
      <c r="L21" s="91"/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15">
      <c r="A22" s="15" t="s">
        <v>22</v>
      </c>
      <c r="B22" s="10"/>
      <c r="C22" s="56"/>
      <c r="D22" s="73"/>
      <c r="E22" s="40"/>
      <c r="F22" s="10"/>
      <c r="G22" s="10"/>
      <c r="H22" s="10"/>
      <c r="I22" s="40"/>
      <c r="J22" s="56"/>
      <c r="K22" s="77"/>
      <c r="L22" s="91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15" t="s">
        <v>23</v>
      </c>
      <c r="B23" s="10"/>
      <c r="C23" s="57">
        <v>0.29166666666666669</v>
      </c>
      <c r="D23" s="75">
        <f>SUM(B23:C23)</f>
        <v>0.29166666666666669</v>
      </c>
      <c r="E23" s="40"/>
      <c r="F23" s="10"/>
      <c r="G23" s="10"/>
      <c r="H23" s="10"/>
      <c r="I23" s="40"/>
      <c r="J23" s="56"/>
      <c r="K23" s="77"/>
      <c r="L23" s="92">
        <v>0.29166666666666669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4.25" thickBot="1" x14ac:dyDescent="0.2">
      <c r="A24" s="26" t="s">
        <v>24</v>
      </c>
      <c r="B24" s="27">
        <v>8.3333333333333329E-2</v>
      </c>
      <c r="C24" s="68"/>
      <c r="D24" s="75">
        <f>SUM(B24:C24)</f>
        <v>8.3333333333333329E-2</v>
      </c>
      <c r="E24" s="42">
        <v>0.625</v>
      </c>
      <c r="F24" s="27">
        <v>1</v>
      </c>
      <c r="G24" s="28"/>
      <c r="H24" s="27">
        <v>0.79166666666666663</v>
      </c>
      <c r="I24" s="42">
        <v>0.375</v>
      </c>
      <c r="J24" s="58">
        <v>0.41666666666666669</v>
      </c>
      <c r="K24" s="103">
        <f>SUM(E24:J24)</f>
        <v>3.208333333333333</v>
      </c>
      <c r="L24" s="93">
        <v>3.2916666666666665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23" t="s">
        <v>29</v>
      </c>
      <c r="B25" s="25">
        <v>355000</v>
      </c>
      <c r="C25" s="59">
        <v>0</v>
      </c>
      <c r="D25" s="76">
        <f>SUM(B25:C25)</f>
        <v>355000</v>
      </c>
      <c r="E25" s="43">
        <v>177000</v>
      </c>
      <c r="F25" s="25">
        <v>187000</v>
      </c>
      <c r="G25" s="25">
        <v>0</v>
      </c>
      <c r="H25" s="25">
        <v>170000</v>
      </c>
      <c r="I25" s="43">
        <v>175000</v>
      </c>
      <c r="J25" s="59">
        <v>170000</v>
      </c>
      <c r="K25" s="76">
        <f>SUM(E25:J25)</f>
        <v>879000</v>
      </c>
      <c r="L25" s="94">
        <v>1234000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0</v>
      </c>
      <c r="C26" s="56">
        <v>0</v>
      </c>
      <c r="D26" s="77">
        <f t="shared" ref="D26:D78" si="0">SUM(B26:C26)</f>
        <v>0</v>
      </c>
      <c r="E26" s="40">
        <v>0</v>
      </c>
      <c r="F26" s="10">
        <v>5000</v>
      </c>
      <c r="G26" s="10">
        <v>0</v>
      </c>
      <c r="H26" s="10">
        <v>0</v>
      </c>
      <c r="I26" s="40">
        <v>0</v>
      </c>
      <c r="J26" s="56">
        <v>0</v>
      </c>
      <c r="K26" s="77">
        <f t="shared" ref="K26:K78" si="1">SUM(E26:J26)</f>
        <v>5000</v>
      </c>
      <c r="L26" s="91">
        <v>5000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6">
        <v>0</v>
      </c>
      <c r="D27" s="77">
        <f t="shared" si="0"/>
        <v>0</v>
      </c>
      <c r="E27" s="40">
        <v>6000</v>
      </c>
      <c r="F27" s="10">
        <v>0</v>
      </c>
      <c r="G27" s="10">
        <v>0</v>
      </c>
      <c r="H27" s="10">
        <v>0</v>
      </c>
      <c r="I27" s="40">
        <v>0</v>
      </c>
      <c r="J27" s="56">
        <v>0</v>
      </c>
      <c r="K27" s="77">
        <f t="shared" si="1"/>
        <v>6000</v>
      </c>
      <c r="L27" s="91">
        <v>6000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50000</v>
      </c>
      <c r="C28" s="56">
        <v>0</v>
      </c>
      <c r="D28" s="77">
        <f t="shared" si="0"/>
        <v>50000</v>
      </c>
      <c r="E28" s="40">
        <v>50000</v>
      </c>
      <c r="F28" s="10">
        <v>50000</v>
      </c>
      <c r="G28" s="10">
        <v>0</v>
      </c>
      <c r="H28" s="10">
        <v>50000</v>
      </c>
      <c r="I28" s="40">
        <v>50000</v>
      </c>
      <c r="J28" s="56">
        <v>50000</v>
      </c>
      <c r="K28" s="77">
        <f t="shared" si="1"/>
        <v>250000</v>
      </c>
      <c r="L28" s="91">
        <v>300000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6">
        <v>0</v>
      </c>
      <c r="D29" s="77">
        <f t="shared" si="0"/>
        <v>0</v>
      </c>
      <c r="E29" s="40">
        <v>0</v>
      </c>
      <c r="F29" s="10">
        <v>0</v>
      </c>
      <c r="G29" s="10">
        <v>0</v>
      </c>
      <c r="H29" s="10">
        <v>0</v>
      </c>
      <c r="I29" s="40">
        <v>0</v>
      </c>
      <c r="J29" s="56">
        <v>0</v>
      </c>
      <c r="K29" s="77">
        <f t="shared" si="1"/>
        <v>0</v>
      </c>
      <c r="L29" s="91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6">
        <v>0</v>
      </c>
      <c r="D30" s="77">
        <f t="shared" si="0"/>
        <v>0</v>
      </c>
      <c r="E30" s="40">
        <v>0</v>
      </c>
      <c r="F30" s="10">
        <v>0</v>
      </c>
      <c r="G30" s="10">
        <v>0</v>
      </c>
      <c r="H30" s="10">
        <v>0</v>
      </c>
      <c r="I30" s="40">
        <v>0</v>
      </c>
      <c r="J30" s="56">
        <v>0</v>
      </c>
      <c r="K30" s="77">
        <f t="shared" si="1"/>
        <v>0</v>
      </c>
      <c r="L30" s="91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6">
        <v>0</v>
      </c>
      <c r="D31" s="77">
        <f t="shared" si="0"/>
        <v>0</v>
      </c>
      <c r="E31" s="40">
        <v>0</v>
      </c>
      <c r="F31" s="10">
        <v>0</v>
      </c>
      <c r="G31" s="10">
        <v>0</v>
      </c>
      <c r="H31" s="10">
        <v>0</v>
      </c>
      <c r="I31" s="40">
        <v>0</v>
      </c>
      <c r="J31" s="56">
        <v>0</v>
      </c>
      <c r="K31" s="77">
        <f t="shared" si="1"/>
        <v>0</v>
      </c>
      <c r="L31" s="91">
        <v>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6">
        <v>0</v>
      </c>
      <c r="D32" s="77">
        <f t="shared" si="0"/>
        <v>0</v>
      </c>
      <c r="E32" s="40">
        <v>0</v>
      </c>
      <c r="F32" s="10">
        <v>0</v>
      </c>
      <c r="G32" s="10">
        <v>0</v>
      </c>
      <c r="H32" s="10">
        <v>0</v>
      </c>
      <c r="I32" s="40">
        <v>0</v>
      </c>
      <c r="J32" s="56">
        <v>0</v>
      </c>
      <c r="K32" s="77">
        <f t="shared" si="1"/>
        <v>0</v>
      </c>
      <c r="L32" s="91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6">
        <v>89380</v>
      </c>
      <c r="D33" s="77">
        <f t="shared" si="0"/>
        <v>89380</v>
      </c>
      <c r="E33" s="40">
        <v>0</v>
      </c>
      <c r="F33" s="10">
        <v>0</v>
      </c>
      <c r="G33" s="10">
        <v>0</v>
      </c>
      <c r="H33" s="10">
        <v>0</v>
      </c>
      <c r="I33" s="40">
        <v>0</v>
      </c>
      <c r="J33" s="56">
        <v>0</v>
      </c>
      <c r="K33" s="77">
        <f t="shared" si="1"/>
        <v>0</v>
      </c>
      <c r="L33" s="91">
        <v>89380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6">
        <v>0</v>
      </c>
      <c r="D34" s="77">
        <f t="shared" si="0"/>
        <v>0</v>
      </c>
      <c r="E34" s="40">
        <v>0</v>
      </c>
      <c r="F34" s="10">
        <v>0</v>
      </c>
      <c r="G34" s="10">
        <v>0</v>
      </c>
      <c r="H34" s="10">
        <v>0</v>
      </c>
      <c r="I34" s="40">
        <v>0</v>
      </c>
      <c r="J34" s="56">
        <v>0</v>
      </c>
      <c r="K34" s="77">
        <f t="shared" si="1"/>
        <v>0</v>
      </c>
      <c r="L34" s="91">
        <v>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6">
        <v>0</v>
      </c>
      <c r="D35" s="77">
        <f t="shared" si="0"/>
        <v>0</v>
      </c>
      <c r="E35" s="40">
        <v>0</v>
      </c>
      <c r="F35" s="10">
        <v>0</v>
      </c>
      <c r="G35" s="10">
        <v>0</v>
      </c>
      <c r="H35" s="10">
        <v>0</v>
      </c>
      <c r="I35" s="40">
        <v>0</v>
      </c>
      <c r="J35" s="56">
        <v>0</v>
      </c>
      <c r="K35" s="77">
        <f t="shared" si="1"/>
        <v>0</v>
      </c>
      <c r="L35" s="91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6">
        <v>7630</v>
      </c>
      <c r="D36" s="77">
        <f t="shared" si="0"/>
        <v>7630</v>
      </c>
      <c r="E36" s="40">
        <v>0</v>
      </c>
      <c r="F36" s="10">
        <v>0</v>
      </c>
      <c r="G36" s="10">
        <v>0</v>
      </c>
      <c r="H36" s="10">
        <v>0</v>
      </c>
      <c r="I36" s="40">
        <v>0</v>
      </c>
      <c r="J36" s="56">
        <v>0</v>
      </c>
      <c r="K36" s="77">
        <f t="shared" si="1"/>
        <v>0</v>
      </c>
      <c r="L36" s="91">
        <v>7630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6">
        <v>0</v>
      </c>
      <c r="D37" s="77">
        <f t="shared" si="0"/>
        <v>0</v>
      </c>
      <c r="E37" s="40">
        <v>0</v>
      </c>
      <c r="F37" s="10">
        <v>0</v>
      </c>
      <c r="G37" s="10">
        <v>0</v>
      </c>
      <c r="H37" s="10">
        <v>0</v>
      </c>
      <c r="I37" s="40">
        <v>0</v>
      </c>
      <c r="J37" s="56">
        <v>0</v>
      </c>
      <c r="K37" s="77">
        <f t="shared" si="1"/>
        <v>0</v>
      </c>
      <c r="L37" s="91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6">
        <v>0</v>
      </c>
      <c r="D38" s="77">
        <f t="shared" si="0"/>
        <v>0</v>
      </c>
      <c r="E38" s="40">
        <v>0</v>
      </c>
      <c r="F38" s="10">
        <v>0</v>
      </c>
      <c r="G38" s="10">
        <v>0</v>
      </c>
      <c r="H38" s="10">
        <v>0</v>
      </c>
      <c r="I38" s="40">
        <v>0</v>
      </c>
      <c r="J38" s="56">
        <v>0</v>
      </c>
      <c r="K38" s="77">
        <f t="shared" si="1"/>
        <v>0</v>
      </c>
      <c r="L38" s="91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6">
        <v>0</v>
      </c>
      <c r="D39" s="77">
        <f t="shared" si="0"/>
        <v>0</v>
      </c>
      <c r="E39" s="40">
        <v>0</v>
      </c>
      <c r="F39" s="10">
        <v>0</v>
      </c>
      <c r="G39" s="10">
        <v>0</v>
      </c>
      <c r="H39" s="10">
        <v>0</v>
      </c>
      <c r="I39" s="40">
        <v>0</v>
      </c>
      <c r="J39" s="56">
        <v>0</v>
      </c>
      <c r="K39" s="77">
        <f t="shared" si="1"/>
        <v>0</v>
      </c>
      <c r="L39" s="91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6">
        <v>0</v>
      </c>
      <c r="D40" s="77">
        <f t="shared" si="0"/>
        <v>0</v>
      </c>
      <c r="E40" s="40">
        <v>37300</v>
      </c>
      <c r="F40" s="10">
        <v>10500</v>
      </c>
      <c r="G40" s="10">
        <v>0</v>
      </c>
      <c r="H40" s="10">
        <v>15000</v>
      </c>
      <c r="I40" s="40">
        <v>15000</v>
      </c>
      <c r="J40" s="56">
        <v>15000</v>
      </c>
      <c r="K40" s="77">
        <f t="shared" si="1"/>
        <v>92800</v>
      </c>
      <c r="L40" s="91">
        <v>92800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6">
        <v>0</v>
      </c>
      <c r="D41" s="77">
        <f t="shared" si="0"/>
        <v>0</v>
      </c>
      <c r="E41" s="40">
        <v>0</v>
      </c>
      <c r="F41" s="10">
        <v>0</v>
      </c>
      <c r="G41" s="10">
        <v>0</v>
      </c>
      <c r="H41" s="10">
        <v>0</v>
      </c>
      <c r="I41" s="40">
        <v>0</v>
      </c>
      <c r="J41" s="56">
        <v>0</v>
      </c>
      <c r="K41" s="77">
        <f t="shared" si="1"/>
        <v>0</v>
      </c>
      <c r="L41" s="91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6">
        <v>0</v>
      </c>
      <c r="D42" s="77">
        <f t="shared" si="0"/>
        <v>0</v>
      </c>
      <c r="E42" s="40">
        <v>0</v>
      </c>
      <c r="F42" s="10">
        <v>0</v>
      </c>
      <c r="G42" s="10">
        <v>0</v>
      </c>
      <c r="H42" s="10">
        <v>0</v>
      </c>
      <c r="I42" s="40">
        <v>0</v>
      </c>
      <c r="J42" s="56">
        <v>0</v>
      </c>
      <c r="K42" s="77">
        <f t="shared" si="1"/>
        <v>0</v>
      </c>
      <c r="L42" s="91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47</v>
      </c>
      <c r="B43" s="10">
        <v>0</v>
      </c>
      <c r="C43" s="56">
        <v>0</v>
      </c>
      <c r="D43" s="77">
        <f t="shared" si="0"/>
        <v>0</v>
      </c>
      <c r="E43" s="40">
        <v>0</v>
      </c>
      <c r="F43" s="10">
        <v>0</v>
      </c>
      <c r="G43" s="10">
        <v>0</v>
      </c>
      <c r="H43" s="10">
        <v>0</v>
      </c>
      <c r="I43" s="40">
        <v>0</v>
      </c>
      <c r="J43" s="56">
        <v>0</v>
      </c>
      <c r="K43" s="77">
        <f t="shared" si="1"/>
        <v>0</v>
      </c>
      <c r="L43" s="91">
        <v>0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48</v>
      </c>
      <c r="B44" s="10">
        <v>0</v>
      </c>
      <c r="C44" s="56">
        <v>0</v>
      </c>
      <c r="D44" s="77">
        <f t="shared" si="0"/>
        <v>0</v>
      </c>
      <c r="E44" s="40">
        <v>0</v>
      </c>
      <c r="F44" s="10">
        <v>0</v>
      </c>
      <c r="G44" s="10">
        <v>0</v>
      </c>
      <c r="H44" s="10">
        <v>0</v>
      </c>
      <c r="I44" s="40">
        <v>0</v>
      </c>
      <c r="J44" s="56">
        <v>0</v>
      </c>
      <c r="K44" s="77">
        <f t="shared" si="1"/>
        <v>0</v>
      </c>
      <c r="L44" s="91">
        <v>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14</v>
      </c>
      <c r="B45" s="10">
        <v>0</v>
      </c>
      <c r="C45" s="56">
        <v>0</v>
      </c>
      <c r="D45" s="77">
        <f t="shared" si="0"/>
        <v>0</v>
      </c>
      <c r="E45" s="40">
        <v>78936</v>
      </c>
      <c r="F45" s="10">
        <v>102060</v>
      </c>
      <c r="G45" s="10">
        <v>0</v>
      </c>
      <c r="H45" s="10">
        <v>79155</v>
      </c>
      <c r="I45" s="40">
        <v>57472</v>
      </c>
      <c r="J45" s="56">
        <v>56288</v>
      </c>
      <c r="K45" s="77">
        <f t="shared" si="1"/>
        <v>373911</v>
      </c>
      <c r="L45" s="91">
        <v>373911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49</v>
      </c>
      <c r="B46" s="10">
        <v>0</v>
      </c>
      <c r="C46" s="56">
        <v>0</v>
      </c>
      <c r="D46" s="77">
        <f t="shared" si="0"/>
        <v>0</v>
      </c>
      <c r="E46" s="40">
        <v>10930</v>
      </c>
      <c r="F46" s="10">
        <v>8164</v>
      </c>
      <c r="G46" s="10">
        <v>0</v>
      </c>
      <c r="H46" s="10">
        <v>9495</v>
      </c>
      <c r="I46" s="40">
        <v>52380</v>
      </c>
      <c r="J46" s="56">
        <v>17091</v>
      </c>
      <c r="K46" s="77">
        <f t="shared" si="1"/>
        <v>98060</v>
      </c>
      <c r="L46" s="91">
        <v>98060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16</v>
      </c>
      <c r="B47" s="10">
        <v>0</v>
      </c>
      <c r="C47" s="56">
        <v>0</v>
      </c>
      <c r="D47" s="77">
        <f t="shared" si="0"/>
        <v>0</v>
      </c>
      <c r="E47" s="40">
        <v>0</v>
      </c>
      <c r="F47" s="10">
        <v>0</v>
      </c>
      <c r="G47" s="10">
        <v>0</v>
      </c>
      <c r="H47" s="10">
        <v>0</v>
      </c>
      <c r="I47" s="40">
        <v>0</v>
      </c>
      <c r="J47" s="56">
        <v>0</v>
      </c>
      <c r="K47" s="77">
        <f t="shared" si="1"/>
        <v>0</v>
      </c>
      <c r="L47" s="91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50</v>
      </c>
      <c r="B48" s="10">
        <v>0</v>
      </c>
      <c r="C48" s="56">
        <v>0</v>
      </c>
      <c r="D48" s="77">
        <f t="shared" si="0"/>
        <v>0</v>
      </c>
      <c r="E48" s="40">
        <v>0</v>
      </c>
      <c r="F48" s="10">
        <v>0</v>
      </c>
      <c r="G48" s="10">
        <v>0</v>
      </c>
      <c r="H48" s="10">
        <v>0</v>
      </c>
      <c r="I48" s="40">
        <v>0</v>
      </c>
      <c r="J48" s="56">
        <v>0</v>
      </c>
      <c r="K48" s="77">
        <f t="shared" si="1"/>
        <v>0</v>
      </c>
      <c r="L48" s="91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51</v>
      </c>
      <c r="B49" s="12">
        <v>0</v>
      </c>
      <c r="C49" s="60">
        <v>0</v>
      </c>
      <c r="D49" s="78">
        <f t="shared" si="0"/>
        <v>0</v>
      </c>
      <c r="E49" s="44">
        <v>0</v>
      </c>
      <c r="F49" s="12">
        <v>0</v>
      </c>
      <c r="G49" s="12">
        <v>0</v>
      </c>
      <c r="H49" s="12">
        <v>0</v>
      </c>
      <c r="I49" s="44">
        <v>0</v>
      </c>
      <c r="J49" s="60">
        <v>0</v>
      </c>
      <c r="K49" s="78">
        <f t="shared" si="1"/>
        <v>0</v>
      </c>
      <c r="L49" s="95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52</v>
      </c>
      <c r="B50" s="12">
        <v>0</v>
      </c>
      <c r="C50" s="60">
        <v>0</v>
      </c>
      <c r="D50" s="78">
        <f t="shared" si="0"/>
        <v>0</v>
      </c>
      <c r="E50" s="44">
        <v>0</v>
      </c>
      <c r="F50" s="12">
        <v>0</v>
      </c>
      <c r="G50" s="12">
        <v>0</v>
      </c>
      <c r="H50" s="12">
        <v>0</v>
      </c>
      <c r="I50" s="44">
        <v>0</v>
      </c>
      <c r="J50" s="60">
        <v>0</v>
      </c>
      <c r="K50" s="78">
        <f t="shared" si="1"/>
        <v>0</v>
      </c>
      <c r="L50" s="95">
        <v>0</v>
      </c>
      <c r="M50" s="6"/>
      <c r="N50" s="6"/>
      <c r="O50" s="6"/>
      <c r="P50" s="6"/>
      <c r="Q50" s="6"/>
      <c r="R50" s="6"/>
      <c r="S50" s="6"/>
    </row>
    <row r="51" spans="1:19" x14ac:dyDescent="0.15">
      <c r="A51" s="16" t="s">
        <v>53</v>
      </c>
      <c r="B51" s="12">
        <v>0</v>
      </c>
      <c r="C51" s="60">
        <v>0</v>
      </c>
      <c r="D51" s="78">
        <f t="shared" si="0"/>
        <v>0</v>
      </c>
      <c r="E51" s="44">
        <v>0</v>
      </c>
      <c r="F51" s="12">
        <v>0</v>
      </c>
      <c r="G51" s="12">
        <v>0</v>
      </c>
      <c r="H51" s="12">
        <v>0</v>
      </c>
      <c r="I51" s="44">
        <v>0</v>
      </c>
      <c r="J51" s="60">
        <v>0</v>
      </c>
      <c r="K51" s="78">
        <f t="shared" si="1"/>
        <v>0</v>
      </c>
      <c r="L51" s="95">
        <v>0</v>
      </c>
      <c r="M51" s="6"/>
      <c r="N51" s="6"/>
      <c r="O51" s="6"/>
      <c r="P51" s="6"/>
      <c r="Q51" s="6"/>
      <c r="R51" s="6"/>
      <c r="S51" s="6"/>
    </row>
    <row r="52" spans="1:19" x14ac:dyDescent="0.15">
      <c r="A52" s="16" t="s">
        <v>54</v>
      </c>
      <c r="B52" s="12">
        <v>0</v>
      </c>
      <c r="C52" s="60">
        <v>0</v>
      </c>
      <c r="D52" s="78">
        <f t="shared" si="0"/>
        <v>0</v>
      </c>
      <c r="E52" s="44">
        <v>0</v>
      </c>
      <c r="F52" s="12">
        <v>0</v>
      </c>
      <c r="G52" s="12">
        <v>0</v>
      </c>
      <c r="H52" s="12">
        <v>0</v>
      </c>
      <c r="I52" s="44">
        <v>0</v>
      </c>
      <c r="J52" s="60">
        <v>0</v>
      </c>
      <c r="K52" s="78">
        <f t="shared" si="1"/>
        <v>0</v>
      </c>
      <c r="L52" s="95">
        <v>0</v>
      </c>
      <c r="M52" s="6"/>
      <c r="N52" s="6"/>
      <c r="O52" s="6"/>
      <c r="P52" s="6"/>
      <c r="Q52" s="6"/>
      <c r="R52" s="6"/>
      <c r="S52" s="6"/>
    </row>
    <row r="53" spans="1:19" x14ac:dyDescent="0.15">
      <c r="A53" s="16" t="s">
        <v>24</v>
      </c>
      <c r="B53" s="12">
        <v>1212</v>
      </c>
      <c r="C53" s="60">
        <v>0</v>
      </c>
      <c r="D53" s="78">
        <f t="shared" si="0"/>
        <v>1212</v>
      </c>
      <c r="E53" s="44">
        <v>6075</v>
      </c>
      <c r="F53" s="12">
        <v>9072</v>
      </c>
      <c r="G53" s="12">
        <v>0</v>
      </c>
      <c r="H53" s="12">
        <v>6688</v>
      </c>
      <c r="I53" s="44">
        <v>3231</v>
      </c>
      <c r="J53" s="60">
        <v>3520</v>
      </c>
      <c r="K53" s="78">
        <f t="shared" si="1"/>
        <v>28586</v>
      </c>
      <c r="L53" s="95">
        <v>29798</v>
      </c>
    </row>
    <row r="54" spans="1:19" ht="14.25" thickBot="1" x14ac:dyDescent="0.2">
      <c r="A54" s="17" t="s">
        <v>55</v>
      </c>
      <c r="B54" s="31">
        <v>406212</v>
      </c>
      <c r="C54" s="61">
        <v>97010</v>
      </c>
      <c r="D54" s="79">
        <f t="shared" si="0"/>
        <v>503222</v>
      </c>
      <c r="E54" s="45">
        <v>366241</v>
      </c>
      <c r="F54" s="31">
        <v>371796</v>
      </c>
      <c r="G54" s="31">
        <v>0</v>
      </c>
      <c r="H54" s="31">
        <v>330338</v>
      </c>
      <c r="I54" s="45">
        <v>353083</v>
      </c>
      <c r="J54" s="61">
        <v>311899</v>
      </c>
      <c r="K54" s="79">
        <f t="shared" si="1"/>
        <v>1733357</v>
      </c>
      <c r="L54" s="96">
        <v>2236579</v>
      </c>
    </row>
    <row r="55" spans="1:19" x14ac:dyDescent="0.15">
      <c r="A55" s="29" t="s">
        <v>56</v>
      </c>
      <c r="B55" s="30">
        <v>10422</v>
      </c>
      <c r="C55" s="62">
        <v>3240</v>
      </c>
      <c r="D55" s="80">
        <f t="shared" si="0"/>
        <v>13662</v>
      </c>
      <c r="E55" s="46">
        <v>4777</v>
      </c>
      <c r="F55" s="30">
        <v>4343</v>
      </c>
      <c r="G55" s="30">
        <v>0</v>
      </c>
      <c r="H55" s="30">
        <v>4040</v>
      </c>
      <c r="I55" s="46">
        <v>3593</v>
      </c>
      <c r="J55" s="62">
        <v>4738</v>
      </c>
      <c r="K55" s="80">
        <f t="shared" si="1"/>
        <v>21491</v>
      </c>
      <c r="L55" s="97">
        <v>35153</v>
      </c>
    </row>
    <row r="56" spans="1:19" x14ac:dyDescent="0.15">
      <c r="A56" s="16" t="s">
        <v>57</v>
      </c>
      <c r="B56" s="12">
        <v>0</v>
      </c>
      <c r="C56" s="60">
        <v>0</v>
      </c>
      <c r="D56" s="78">
        <f t="shared" si="0"/>
        <v>0</v>
      </c>
      <c r="E56" s="44">
        <v>0</v>
      </c>
      <c r="F56" s="12">
        <v>0</v>
      </c>
      <c r="G56" s="12">
        <v>0</v>
      </c>
      <c r="H56" s="12">
        <v>0</v>
      </c>
      <c r="I56" s="44">
        <v>0</v>
      </c>
      <c r="J56" s="60">
        <v>0</v>
      </c>
      <c r="K56" s="78">
        <f t="shared" si="1"/>
        <v>0</v>
      </c>
      <c r="L56" s="95">
        <v>0</v>
      </c>
    </row>
    <row r="57" spans="1:19" ht="14.25" thickBot="1" x14ac:dyDescent="0.2">
      <c r="A57" s="32" t="s">
        <v>58</v>
      </c>
      <c r="B57" s="33">
        <v>10422</v>
      </c>
      <c r="C57" s="63">
        <v>3240</v>
      </c>
      <c r="D57" s="81">
        <f t="shared" si="0"/>
        <v>13662</v>
      </c>
      <c r="E57" s="47">
        <v>4777</v>
      </c>
      <c r="F57" s="33">
        <v>4343</v>
      </c>
      <c r="G57" s="33">
        <v>0</v>
      </c>
      <c r="H57" s="33">
        <v>4040</v>
      </c>
      <c r="I57" s="47">
        <v>3593</v>
      </c>
      <c r="J57" s="63">
        <v>4738</v>
      </c>
      <c r="K57" s="81">
        <f t="shared" si="1"/>
        <v>21491</v>
      </c>
      <c r="L57" s="98">
        <v>35153</v>
      </c>
    </row>
    <row r="58" spans="1:19" ht="14.25" thickBot="1" x14ac:dyDescent="0.2">
      <c r="A58" s="34" t="s">
        <v>59</v>
      </c>
      <c r="B58" s="35">
        <v>416634</v>
      </c>
      <c r="C58" s="64">
        <v>100250</v>
      </c>
      <c r="D58" s="82">
        <f t="shared" si="0"/>
        <v>516884</v>
      </c>
      <c r="E58" s="48">
        <v>371018</v>
      </c>
      <c r="F58" s="35">
        <v>376139</v>
      </c>
      <c r="G58" s="35">
        <v>0</v>
      </c>
      <c r="H58" s="35">
        <v>334378</v>
      </c>
      <c r="I58" s="48">
        <v>356676</v>
      </c>
      <c r="J58" s="64">
        <v>316637</v>
      </c>
      <c r="K58" s="82">
        <f t="shared" si="1"/>
        <v>1754848</v>
      </c>
      <c r="L58" s="99">
        <v>2271732</v>
      </c>
    </row>
    <row r="59" spans="1:19" x14ac:dyDescent="0.15">
      <c r="A59" s="29" t="s">
        <v>60</v>
      </c>
      <c r="B59" s="30">
        <v>22440</v>
      </c>
      <c r="C59" s="62">
        <v>0</v>
      </c>
      <c r="D59" s="80">
        <f t="shared" si="0"/>
        <v>22440</v>
      </c>
      <c r="E59" s="46">
        <v>20910</v>
      </c>
      <c r="F59" s="30">
        <v>18360</v>
      </c>
      <c r="G59" s="30">
        <v>18360</v>
      </c>
      <c r="H59" s="30">
        <v>17340</v>
      </c>
      <c r="I59" s="46">
        <v>18360</v>
      </c>
      <c r="J59" s="62">
        <v>20910</v>
      </c>
      <c r="K59" s="80">
        <f t="shared" si="1"/>
        <v>114240</v>
      </c>
      <c r="L59" s="97">
        <v>136680</v>
      </c>
    </row>
    <row r="60" spans="1:19" x14ac:dyDescent="0.15">
      <c r="A60" s="16" t="s">
        <v>61</v>
      </c>
      <c r="B60" s="12">
        <v>3960</v>
      </c>
      <c r="C60" s="60">
        <v>0</v>
      </c>
      <c r="D60" s="78">
        <f t="shared" si="0"/>
        <v>3960</v>
      </c>
      <c r="E60" s="44">
        <v>3690</v>
      </c>
      <c r="F60" s="12">
        <v>3240</v>
      </c>
      <c r="G60" s="12">
        <v>3240</v>
      </c>
      <c r="H60" s="12">
        <v>3060</v>
      </c>
      <c r="I60" s="44">
        <v>3240</v>
      </c>
      <c r="J60" s="60">
        <v>3690</v>
      </c>
      <c r="K60" s="78">
        <f t="shared" si="1"/>
        <v>20160</v>
      </c>
      <c r="L60" s="95">
        <v>24120</v>
      </c>
    </row>
    <row r="61" spans="1:19" x14ac:dyDescent="0.15">
      <c r="A61" s="16" t="s">
        <v>62</v>
      </c>
      <c r="B61" s="12">
        <v>40260</v>
      </c>
      <c r="C61" s="60">
        <v>0</v>
      </c>
      <c r="D61" s="78">
        <f t="shared" si="0"/>
        <v>40260</v>
      </c>
      <c r="E61" s="44">
        <v>37515</v>
      </c>
      <c r="F61" s="12">
        <v>32940</v>
      </c>
      <c r="G61" s="12">
        <v>32940</v>
      </c>
      <c r="H61" s="12">
        <v>31110</v>
      </c>
      <c r="I61" s="44">
        <v>32940</v>
      </c>
      <c r="J61" s="60">
        <v>37515</v>
      </c>
      <c r="K61" s="78">
        <f t="shared" si="1"/>
        <v>204960</v>
      </c>
      <c r="L61" s="95">
        <v>245220</v>
      </c>
    </row>
    <row r="62" spans="1:19" x14ac:dyDescent="0.15">
      <c r="A62" s="16" t="s">
        <v>63</v>
      </c>
      <c r="B62" s="12">
        <v>0</v>
      </c>
      <c r="C62" s="60">
        <v>0</v>
      </c>
      <c r="D62" s="78">
        <f t="shared" si="0"/>
        <v>0</v>
      </c>
      <c r="E62" s="44">
        <v>0</v>
      </c>
      <c r="F62" s="12">
        <v>0</v>
      </c>
      <c r="G62" s="12">
        <v>0</v>
      </c>
      <c r="H62" s="12">
        <v>0</v>
      </c>
      <c r="I62" s="44">
        <v>0</v>
      </c>
      <c r="J62" s="60">
        <v>0</v>
      </c>
      <c r="K62" s="78">
        <f t="shared" si="1"/>
        <v>0</v>
      </c>
      <c r="L62" s="95">
        <v>0</v>
      </c>
    </row>
    <row r="63" spans="1:19" x14ac:dyDescent="0.15">
      <c r="A63" s="16" t="s">
        <v>64</v>
      </c>
      <c r="B63" s="12">
        <v>1250</v>
      </c>
      <c r="C63" s="60">
        <v>301</v>
      </c>
      <c r="D63" s="78">
        <f t="shared" si="0"/>
        <v>1551</v>
      </c>
      <c r="E63" s="44">
        <v>1113</v>
      </c>
      <c r="F63" s="12">
        <v>1128</v>
      </c>
      <c r="G63" s="12">
        <v>0</v>
      </c>
      <c r="H63" s="12">
        <v>1003</v>
      </c>
      <c r="I63" s="44">
        <v>1070</v>
      </c>
      <c r="J63" s="60">
        <v>950</v>
      </c>
      <c r="K63" s="78">
        <f t="shared" si="1"/>
        <v>5264</v>
      </c>
      <c r="L63" s="95">
        <v>6815</v>
      </c>
    </row>
    <row r="64" spans="1:19" x14ac:dyDescent="0.15">
      <c r="A64" s="16" t="s">
        <v>65</v>
      </c>
      <c r="B64" s="12">
        <v>0</v>
      </c>
      <c r="C64" s="60">
        <v>0</v>
      </c>
      <c r="D64" s="78">
        <f t="shared" si="0"/>
        <v>0</v>
      </c>
      <c r="E64" s="44">
        <v>0</v>
      </c>
      <c r="F64" s="12">
        <v>0</v>
      </c>
      <c r="G64" s="12">
        <v>0</v>
      </c>
      <c r="H64" s="12">
        <v>0</v>
      </c>
      <c r="I64" s="44">
        <v>0</v>
      </c>
      <c r="J64" s="60">
        <v>0</v>
      </c>
      <c r="K64" s="78">
        <f t="shared" si="1"/>
        <v>0</v>
      </c>
      <c r="L64" s="95">
        <v>0</v>
      </c>
    </row>
    <row r="65" spans="1:12" ht="14.25" thickBot="1" x14ac:dyDescent="0.2">
      <c r="A65" s="32" t="s">
        <v>66</v>
      </c>
      <c r="B65" s="33">
        <v>67910</v>
      </c>
      <c r="C65" s="63">
        <v>301</v>
      </c>
      <c r="D65" s="81">
        <f t="shared" si="0"/>
        <v>68211</v>
      </c>
      <c r="E65" s="47">
        <v>63228</v>
      </c>
      <c r="F65" s="33">
        <v>55668</v>
      </c>
      <c r="G65" s="33">
        <v>54540</v>
      </c>
      <c r="H65" s="33">
        <v>52513</v>
      </c>
      <c r="I65" s="47">
        <v>55610</v>
      </c>
      <c r="J65" s="63">
        <v>63065</v>
      </c>
      <c r="K65" s="81">
        <f t="shared" si="1"/>
        <v>344624</v>
      </c>
      <c r="L65" s="98">
        <v>412835</v>
      </c>
    </row>
    <row r="66" spans="1:12" ht="14.25" thickBot="1" x14ac:dyDescent="0.2">
      <c r="A66" s="34" t="s">
        <v>67</v>
      </c>
      <c r="B66" s="35">
        <v>338302</v>
      </c>
      <c r="C66" s="64">
        <v>96709</v>
      </c>
      <c r="D66" s="82">
        <f t="shared" si="0"/>
        <v>435011</v>
      </c>
      <c r="E66" s="48">
        <v>303013</v>
      </c>
      <c r="F66" s="35">
        <v>316128</v>
      </c>
      <c r="G66" s="35">
        <v>0</v>
      </c>
      <c r="H66" s="35">
        <v>277825</v>
      </c>
      <c r="I66" s="48">
        <v>297473</v>
      </c>
      <c r="J66" s="64">
        <v>248834</v>
      </c>
      <c r="K66" s="82">
        <f t="shared" si="1"/>
        <v>1443273</v>
      </c>
      <c r="L66" s="99">
        <v>1878284</v>
      </c>
    </row>
    <row r="67" spans="1:12" x14ac:dyDescent="0.15">
      <c r="A67" s="29" t="s">
        <v>68</v>
      </c>
      <c r="B67" s="30">
        <v>8290</v>
      </c>
      <c r="C67" s="62">
        <v>560</v>
      </c>
      <c r="D67" s="80">
        <f t="shared" si="0"/>
        <v>8850</v>
      </c>
      <c r="E67" s="46">
        <v>6840</v>
      </c>
      <c r="F67" s="30">
        <v>9700</v>
      </c>
      <c r="G67" s="30">
        <v>0</v>
      </c>
      <c r="H67" s="30">
        <v>4310</v>
      </c>
      <c r="I67" s="46">
        <v>8250</v>
      </c>
      <c r="J67" s="62">
        <v>3280</v>
      </c>
      <c r="K67" s="80">
        <f t="shared" si="1"/>
        <v>32380</v>
      </c>
      <c r="L67" s="97">
        <v>41230</v>
      </c>
    </row>
    <row r="68" spans="1:12" x14ac:dyDescent="0.15">
      <c r="A68" s="16" t="s">
        <v>69</v>
      </c>
      <c r="B68" s="12">
        <v>0</v>
      </c>
      <c r="C68" s="60">
        <v>0</v>
      </c>
      <c r="D68" s="78">
        <f t="shared" si="0"/>
        <v>0</v>
      </c>
      <c r="E68" s="44">
        <v>0</v>
      </c>
      <c r="F68" s="12">
        <v>0</v>
      </c>
      <c r="G68" s="12">
        <v>0</v>
      </c>
      <c r="H68" s="12">
        <v>0</v>
      </c>
      <c r="I68" s="44">
        <v>0</v>
      </c>
      <c r="J68" s="60">
        <v>0</v>
      </c>
      <c r="K68" s="78">
        <f t="shared" si="1"/>
        <v>0</v>
      </c>
      <c r="L68" s="95">
        <v>0</v>
      </c>
    </row>
    <row r="69" spans="1:12" x14ac:dyDescent="0.15">
      <c r="A69" s="16" t="s">
        <v>70</v>
      </c>
      <c r="B69" s="12">
        <v>26000</v>
      </c>
      <c r="C69" s="60">
        <v>1100</v>
      </c>
      <c r="D69" s="78">
        <f t="shared" si="0"/>
        <v>27100</v>
      </c>
      <c r="E69" s="44">
        <v>17400</v>
      </c>
      <c r="F69" s="12">
        <v>17700</v>
      </c>
      <c r="G69" s="12">
        <v>14300</v>
      </c>
      <c r="H69" s="12">
        <v>10200</v>
      </c>
      <c r="I69" s="44">
        <v>16900</v>
      </c>
      <c r="J69" s="60">
        <v>11800</v>
      </c>
      <c r="K69" s="78">
        <f t="shared" si="1"/>
        <v>88300</v>
      </c>
      <c r="L69" s="95">
        <v>115400</v>
      </c>
    </row>
    <row r="70" spans="1:12" x14ac:dyDescent="0.15">
      <c r="A70" s="16" t="s">
        <v>71</v>
      </c>
      <c r="B70" s="12">
        <v>0</v>
      </c>
      <c r="C70" s="60">
        <v>0</v>
      </c>
      <c r="D70" s="78">
        <f t="shared" si="0"/>
        <v>0</v>
      </c>
      <c r="E70" s="44">
        <v>0</v>
      </c>
      <c r="F70" s="12">
        <v>0</v>
      </c>
      <c r="G70" s="12">
        <v>0</v>
      </c>
      <c r="H70" s="12">
        <v>0</v>
      </c>
      <c r="I70" s="44">
        <v>0</v>
      </c>
      <c r="J70" s="60">
        <v>0</v>
      </c>
      <c r="K70" s="78">
        <f t="shared" si="1"/>
        <v>0</v>
      </c>
      <c r="L70" s="95">
        <v>0</v>
      </c>
    </row>
    <row r="71" spans="1:12" x14ac:dyDescent="0.15">
      <c r="A71" s="16" t="s">
        <v>72</v>
      </c>
      <c r="B71" s="12">
        <v>0</v>
      </c>
      <c r="C71" s="60">
        <v>0</v>
      </c>
      <c r="D71" s="78">
        <f t="shared" si="0"/>
        <v>0</v>
      </c>
      <c r="E71" s="44">
        <v>0</v>
      </c>
      <c r="F71" s="12">
        <v>0</v>
      </c>
      <c r="G71" s="12">
        <v>0</v>
      </c>
      <c r="H71" s="12">
        <v>0</v>
      </c>
      <c r="I71" s="44">
        <v>0</v>
      </c>
      <c r="J71" s="60">
        <v>0</v>
      </c>
      <c r="K71" s="78">
        <f t="shared" si="1"/>
        <v>0</v>
      </c>
      <c r="L71" s="95">
        <v>0</v>
      </c>
    </row>
    <row r="72" spans="1:12" x14ac:dyDescent="0.15">
      <c r="A72" s="16" t="s">
        <v>73</v>
      </c>
      <c r="B72" s="12">
        <v>0</v>
      </c>
      <c r="C72" s="60">
        <v>0</v>
      </c>
      <c r="D72" s="78">
        <f t="shared" si="0"/>
        <v>0</v>
      </c>
      <c r="E72" s="44">
        <v>0</v>
      </c>
      <c r="F72" s="12">
        <v>0</v>
      </c>
      <c r="G72" s="12">
        <v>0</v>
      </c>
      <c r="H72" s="12">
        <v>0</v>
      </c>
      <c r="I72" s="44">
        <v>0</v>
      </c>
      <c r="J72" s="60">
        <v>0</v>
      </c>
      <c r="K72" s="78">
        <f t="shared" si="1"/>
        <v>0</v>
      </c>
      <c r="L72" s="95">
        <v>0</v>
      </c>
    </row>
    <row r="73" spans="1:12" x14ac:dyDescent="0.15">
      <c r="A73" s="16" t="s">
        <v>74</v>
      </c>
      <c r="B73" s="12">
        <v>0</v>
      </c>
      <c r="C73" s="60">
        <v>0</v>
      </c>
      <c r="D73" s="78">
        <f t="shared" si="0"/>
        <v>0</v>
      </c>
      <c r="E73" s="44">
        <v>0</v>
      </c>
      <c r="F73" s="12">
        <v>0</v>
      </c>
      <c r="G73" s="12">
        <v>0</v>
      </c>
      <c r="H73" s="12">
        <v>0</v>
      </c>
      <c r="I73" s="44">
        <v>0</v>
      </c>
      <c r="J73" s="60">
        <v>0</v>
      </c>
      <c r="K73" s="78">
        <f t="shared" si="1"/>
        <v>0</v>
      </c>
      <c r="L73" s="95">
        <v>0</v>
      </c>
    </row>
    <row r="74" spans="1:12" ht="14.25" thickBot="1" x14ac:dyDescent="0.2">
      <c r="A74" s="32" t="s">
        <v>75</v>
      </c>
      <c r="B74" s="33">
        <v>34290</v>
      </c>
      <c r="C74" s="63">
        <v>1660</v>
      </c>
      <c r="D74" s="81">
        <f t="shared" si="0"/>
        <v>35950</v>
      </c>
      <c r="E74" s="47">
        <v>24240</v>
      </c>
      <c r="F74" s="33">
        <v>27400</v>
      </c>
      <c r="G74" s="33">
        <v>14300</v>
      </c>
      <c r="H74" s="33">
        <v>14510</v>
      </c>
      <c r="I74" s="47">
        <v>25150</v>
      </c>
      <c r="J74" s="63">
        <v>15080</v>
      </c>
      <c r="K74" s="81">
        <f t="shared" si="1"/>
        <v>120680</v>
      </c>
      <c r="L74" s="98">
        <v>156630</v>
      </c>
    </row>
    <row r="75" spans="1:12" ht="14.25" thickBot="1" x14ac:dyDescent="0.2">
      <c r="A75" s="34" t="s">
        <v>76</v>
      </c>
      <c r="B75" s="35">
        <v>102200</v>
      </c>
      <c r="C75" s="64">
        <v>1961</v>
      </c>
      <c r="D75" s="82">
        <f t="shared" si="0"/>
        <v>104161</v>
      </c>
      <c r="E75" s="48">
        <v>87468</v>
      </c>
      <c r="F75" s="35">
        <v>83068</v>
      </c>
      <c r="G75" s="35">
        <v>68840</v>
      </c>
      <c r="H75" s="35">
        <v>67023</v>
      </c>
      <c r="I75" s="48">
        <v>80760</v>
      </c>
      <c r="J75" s="64">
        <v>78145</v>
      </c>
      <c r="K75" s="82">
        <f t="shared" si="1"/>
        <v>465304</v>
      </c>
      <c r="L75" s="99">
        <v>569465</v>
      </c>
    </row>
    <row r="76" spans="1:12" ht="14.25" thickBot="1" x14ac:dyDescent="0.2">
      <c r="A76" s="34" t="s">
        <v>77</v>
      </c>
      <c r="B76" s="35">
        <v>314434</v>
      </c>
      <c r="C76" s="64">
        <v>98289</v>
      </c>
      <c r="D76" s="82">
        <f t="shared" si="0"/>
        <v>412723</v>
      </c>
      <c r="E76" s="48">
        <v>283550</v>
      </c>
      <c r="F76" s="35">
        <v>293071</v>
      </c>
      <c r="G76" s="35">
        <v>-68840</v>
      </c>
      <c r="H76" s="35">
        <v>267355</v>
      </c>
      <c r="I76" s="48">
        <v>275916</v>
      </c>
      <c r="J76" s="64">
        <v>238492</v>
      </c>
      <c r="K76" s="82">
        <f t="shared" si="1"/>
        <v>1289544</v>
      </c>
      <c r="L76" s="99">
        <v>1702267</v>
      </c>
    </row>
    <row r="77" spans="1:12" x14ac:dyDescent="0.15">
      <c r="A77" s="29" t="s">
        <v>78</v>
      </c>
      <c r="B77" s="30">
        <v>0</v>
      </c>
      <c r="C77" s="62">
        <v>0</v>
      </c>
      <c r="D77" s="80">
        <f t="shared" si="0"/>
        <v>0</v>
      </c>
      <c r="E77" s="46">
        <v>0</v>
      </c>
      <c r="F77" s="30">
        <v>0</v>
      </c>
      <c r="G77" s="30">
        <v>-68840</v>
      </c>
      <c r="H77" s="30">
        <v>0</v>
      </c>
      <c r="I77" s="46">
        <v>0</v>
      </c>
      <c r="J77" s="62">
        <v>0</v>
      </c>
      <c r="K77" s="80">
        <f t="shared" si="1"/>
        <v>-68840</v>
      </c>
      <c r="L77" s="97">
        <v>-68840</v>
      </c>
    </row>
    <row r="78" spans="1:12" x14ac:dyDescent="0.15">
      <c r="A78" s="16" t="s">
        <v>79</v>
      </c>
      <c r="B78" s="12">
        <v>314434</v>
      </c>
      <c r="C78" s="60">
        <v>98289</v>
      </c>
      <c r="D78" s="78">
        <f t="shared" si="0"/>
        <v>412723</v>
      </c>
      <c r="E78" s="44">
        <v>283550</v>
      </c>
      <c r="F78" s="12">
        <v>293071</v>
      </c>
      <c r="G78" s="12">
        <v>0</v>
      </c>
      <c r="H78" s="12">
        <v>267355</v>
      </c>
      <c r="I78" s="44">
        <v>275916</v>
      </c>
      <c r="J78" s="60">
        <v>238492</v>
      </c>
      <c r="K78" s="78">
        <f t="shared" si="1"/>
        <v>1358384</v>
      </c>
      <c r="L78" s="95">
        <v>1771107</v>
      </c>
    </row>
    <row r="79" spans="1:12" x14ac:dyDescent="0.15">
      <c r="A79" s="16" t="s">
        <v>80</v>
      </c>
      <c r="B79" s="13">
        <v>37</v>
      </c>
      <c r="C79" s="65">
        <v>15</v>
      </c>
      <c r="D79" s="83"/>
      <c r="E79" s="49">
        <v>36</v>
      </c>
      <c r="F79" s="13">
        <v>37</v>
      </c>
      <c r="G79" s="13">
        <v>43</v>
      </c>
      <c r="H79" s="13">
        <v>19</v>
      </c>
      <c r="I79" s="49">
        <v>25</v>
      </c>
      <c r="J79" s="65">
        <v>25</v>
      </c>
      <c r="K79" s="83"/>
      <c r="L79" s="100">
        <v>237</v>
      </c>
    </row>
    <row r="80" spans="1:12" x14ac:dyDescent="0.15">
      <c r="A80" s="16" t="s">
        <v>81</v>
      </c>
      <c r="B80" s="14">
        <v>1</v>
      </c>
      <c r="C80" s="66"/>
      <c r="D80" s="84"/>
      <c r="E80" s="50">
        <v>1</v>
      </c>
      <c r="F80" s="14"/>
      <c r="G80" s="14">
        <v>1</v>
      </c>
      <c r="H80" s="14">
        <v>2</v>
      </c>
      <c r="I80" s="50"/>
      <c r="J80" s="66">
        <v>2</v>
      </c>
      <c r="K80" s="84"/>
      <c r="L80" s="101"/>
    </row>
    <row r="81" spans="1:12" ht="14.25" thickBot="1" x14ac:dyDescent="0.2">
      <c r="A81" s="17" t="s">
        <v>82</v>
      </c>
      <c r="B81" s="18" t="s">
        <v>83</v>
      </c>
      <c r="C81" s="67" t="s">
        <v>83</v>
      </c>
      <c r="D81" s="85"/>
      <c r="E81" s="51" t="s">
        <v>83</v>
      </c>
      <c r="F81" s="18" t="s">
        <v>83</v>
      </c>
      <c r="G81" s="18" t="s">
        <v>83</v>
      </c>
      <c r="H81" s="18" t="s">
        <v>83</v>
      </c>
      <c r="I81" s="51" t="s">
        <v>83</v>
      </c>
      <c r="J81" s="67" t="s">
        <v>83</v>
      </c>
      <c r="K81" s="85"/>
      <c r="L81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2020-07-13T07:25:26Z</cp:lastPrinted>
  <dcterms:created xsi:type="dcterms:W3CDTF">2011-10-11T01:59:58Z</dcterms:created>
  <dcterms:modified xsi:type="dcterms:W3CDTF">2020-07-14T01:27:05Z</dcterms:modified>
</cp:coreProperties>
</file>