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C7186355-B776-4B3B-B7B1-4165171D5D3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(2)'!$A$1:$K$81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6" i="2" l="1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25" i="2"/>
  <c r="J24" i="2"/>
  <c r="J14" i="2"/>
  <c r="J13" i="2"/>
  <c r="J10" i="2"/>
  <c r="J7" i="2"/>
  <c r="J6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25" i="2"/>
  <c r="D23" i="2"/>
  <c r="D13" i="2"/>
  <c r="D10" i="2"/>
  <c r="D6" i="2"/>
</calcChain>
</file>

<file path=xl/sharedStrings.xml><?xml version="1.0" encoding="utf-8"?>
<sst xmlns="http://schemas.openxmlformats.org/spreadsheetml/2006/main" count="108" uniqueCount="92">
  <si>
    <t>所　属</t>
  </si>
  <si>
    <t>社　員</t>
  </si>
  <si>
    <t>２０20年6月分</t>
  </si>
  <si>
    <t>若林運送株式会社</t>
  </si>
  <si>
    <t>川崎</t>
  </si>
  <si>
    <t>松岡　敏夫</t>
  </si>
  <si>
    <t>出勤日数</t>
  </si>
  <si>
    <t>法定休日出勤</t>
  </si>
  <si>
    <t>社定特定休日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</si>
  <si>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</si>
  <si>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</si>
  <si>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</si>
  <si>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</si>
  <si>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</si>
  <si>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</si>
  <si>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</si>
  <si>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祝日年末年始</t>
  </si>
  <si>
    <t>社定休日残業</t>
  </si>
  <si>
    <t>法定代休残業</t>
  </si>
  <si>
    <t>社定代休残業</t>
  </si>
  <si>
    <t>社定代休2残業</t>
  </si>
  <si>
    <t>所定時間内残業</t>
  </si>
  <si>
    <t>遅早時間</t>
  </si>
  <si>
    <t>有給休暇時間</t>
  </si>
  <si>
    <t>深夜残業</t>
  </si>
  <si>
    <t>菅原　幸志</t>
  </si>
  <si>
    <t>伊藤　正典</t>
  </si>
  <si>
    <t>上野　誠也</t>
  </si>
  <si>
    <t>伊藤　尚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</si>
  <si>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</si>
  <si>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</si>
  <si>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</si>
  <si>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</si>
  <si>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</si>
  <si>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</si>
  <si>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</si>
  <si>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</si>
  <si>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</si>
  <si>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</si>
  <si>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</si>
  <si>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</si>
  <si>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</si>
  <si>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</si>
  <si>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</si>
  <si>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</si>
  <si>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</si>
  <si>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</si>
  <si>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</si>
  <si>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</si>
  <si>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法定休日</t>
  </si>
  <si>
    <t>社定休日</t>
  </si>
  <si>
    <t>法定代休有残業</t>
  </si>
  <si>
    <t>社定代休有残業</t>
  </si>
  <si>
    <t>社定代休有2残業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</si>
  <si>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</si>
  <si>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</si>
  <si>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</si>
  <si>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</si>
  <si>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</si>
  <si>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</si>
  <si>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</si>
  <si>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</si>
  <si>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</si>
  <si>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</si>
  <si>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</si>
  <si>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</si>
  <si>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</si>
  <si>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</si>
  <si>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</si>
  <si>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</si>
  <si>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</si>
  <si>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</si>
  <si>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</si>
  <si>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</si>
  <si>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</si>
  <si>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</si>
  <si>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</si>
  <si>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</si>
  <si>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</si>
  <si>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</si>
  <si>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</si>
  <si>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</si>
  <si>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</si>
  <si>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</si>
  <si>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橋本　淳志</t>
  </si>
  <si>
    <t>秋田　愛美</t>
  </si>
  <si>
    <t>7名</t>
  </si>
  <si>
    <t>全社計</t>
  </si>
  <si>
    <t>非加入</t>
  </si>
  <si>
    <t>小計</t>
    <rPh sb="0" eb="2">
      <t>ショウケイ</t>
    </rPh>
    <phoneticPr fontId="1"/>
  </si>
  <si>
    <t>2名</t>
    <rPh sb="1" eb="2">
      <t>メイ</t>
    </rPh>
    <phoneticPr fontId="1"/>
  </si>
  <si>
    <t>5名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</si>
</sst>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6" fontId="2" fillId="0" borderId="25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7" fontId="2" fillId="0" borderId="26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5" xfId="0" applyNumberFormat="1" applyFont="1" applyFill="1" applyBorder="1">
      <alignment vertical="center"/>
    </xf>
    <xf numFmtId="179" fontId="2" fillId="0" borderId="26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Fill="1" applyBorder="1">
      <alignment vertical="center"/>
    </xf>
    <xf numFmtId="176" fontId="2" fillId="0" borderId="33" xfId="0" applyNumberFormat="1" applyFont="1" applyFill="1" applyBorder="1">
      <alignment vertical="center"/>
    </xf>
    <xf numFmtId="179" fontId="2" fillId="0" borderId="34" xfId="0" applyNumberFormat="1" applyFont="1" applyFill="1" applyBorder="1">
      <alignment vertical="center"/>
    </xf>
    <xf numFmtId="177" fontId="2" fillId="0" borderId="34" xfId="0" applyNumberFormat="1" applyFont="1" applyFill="1" applyBorder="1">
      <alignment vertical="center"/>
    </xf>
    <xf numFmtId="177" fontId="2" fillId="0" borderId="35" xfId="0" applyNumberFormat="1" applyFont="1" applyFill="1" applyBorder="1">
      <alignment vertical="center"/>
    </xf>
    <xf numFmtId="179" fontId="2" fillId="0" borderId="33" xfId="0" applyNumberFormat="1" applyFont="1" applyFill="1" applyBorder="1">
      <alignment vertical="center"/>
    </xf>
    <xf numFmtId="179" fontId="2" fillId="0" borderId="34" xfId="0" applyNumberFormat="1" applyFont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5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0" fontId="2" fillId="0" borderId="34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9" xfId="0" applyFont="1" applyFill="1" applyBorder="1">
      <alignment vertical="center"/>
    </xf>
    <xf numFmtId="0" fontId="2" fillId="0" borderId="40" xfId="0" applyFont="1" applyFill="1" applyBorder="1">
      <alignment vertical="center"/>
    </xf>
    <xf numFmtId="0" fontId="2" fillId="0" borderId="40" xfId="0" applyFont="1" applyFill="1" applyBorder="1" applyAlignment="1">
      <alignment horizontal="right" vertical="center"/>
    </xf>
    <xf numFmtId="176" fontId="2" fillId="0" borderId="41" xfId="0" applyNumberFormat="1" applyFont="1" applyFill="1" applyBorder="1">
      <alignment vertical="center"/>
    </xf>
    <xf numFmtId="176" fontId="2" fillId="0" borderId="42" xfId="0" applyNumberFormat="1" applyFont="1" applyFill="1" applyBorder="1">
      <alignment vertical="center"/>
    </xf>
    <xf numFmtId="179" fontId="2" fillId="0" borderId="42" xfId="0" applyNumberFormat="1" applyFont="1" applyFill="1" applyBorder="1">
      <alignment vertical="center"/>
    </xf>
    <xf numFmtId="177" fontId="2" fillId="0" borderId="42" xfId="0" applyNumberFormat="1" applyFont="1" applyFill="1" applyBorder="1">
      <alignment vertical="center"/>
    </xf>
    <xf numFmtId="177" fontId="2" fillId="0" borderId="43" xfId="0" applyNumberFormat="1" applyFont="1" applyFill="1" applyBorder="1">
      <alignment vertical="center"/>
    </xf>
    <xf numFmtId="179" fontId="2" fillId="0" borderId="41" xfId="0" applyNumberFormat="1" applyFont="1" applyFill="1" applyBorder="1">
      <alignment vertical="center"/>
    </xf>
    <xf numFmtId="179" fontId="2" fillId="0" borderId="42" xfId="0" applyNumberFormat="1" applyFont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3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0" fontId="2" fillId="0" borderId="42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7" xfId="0" applyFont="1" applyFill="1" applyBorder="1">
      <alignment vertical="center"/>
    </xf>
    <xf numFmtId="0" fontId="2" fillId="0" borderId="48" xfId="0" applyFont="1" applyFill="1" applyBorder="1">
      <alignment vertical="center"/>
    </xf>
    <xf numFmtId="0" fontId="2" fillId="0" borderId="48" xfId="0" applyFont="1" applyFill="1" applyBorder="1" applyAlignment="1">
      <alignment horizontal="right" vertical="center"/>
    </xf>
    <xf numFmtId="176" fontId="2" fillId="0" borderId="49" xfId="0" applyNumberFormat="1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7" fontId="2" fillId="0" borderId="50" xfId="0" applyNumberFormat="1" applyFont="1" applyFill="1" applyBorder="1">
      <alignment vertical="center"/>
    </xf>
    <xf numFmtId="179" fontId="2" fillId="0" borderId="49" xfId="0" applyNumberFormat="1" applyFont="1" applyFill="1" applyBorder="1">
      <alignment vertical="center"/>
    </xf>
    <xf numFmtId="179" fontId="2" fillId="0" borderId="50" xfId="0" applyNumberFormat="1" applyFont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50" xfId="0" applyNumberFormat="1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4" xfId="0" applyFont="1" applyFill="1" applyBorder="1">
      <alignment vertical="center"/>
    </xf>
    <xf numFmtId="0" fontId="2" fillId="0" borderId="55" xfId="0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53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06BC-385A-4976-B52C-7E1D5E34FF13}">
  <sheetPr>
    <pageSetUpPr fitToPage="1"/>
  </sheetPr>
  <dimension ref="A1:AK81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2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7"/>
      <c r="F1" s="1"/>
      <c r="G1" s="1"/>
      <c r="H1" s="8"/>
      <c r="I1" s="1"/>
      <c r="J1" s="1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4</v>
      </c>
      <c r="C3" s="112" t="s">
        <v>4</v>
      </c>
      <c r="D3" s="96" t="s">
        <v>89</v>
      </c>
      <c r="E3" s="36" t="s">
        <v>4</v>
      </c>
      <c r="F3" s="20" t="s">
        <v>4</v>
      </c>
      <c r="G3" s="20" t="s">
        <v>4</v>
      </c>
      <c r="H3" s="20" t="s">
        <v>4</v>
      </c>
      <c r="I3" s="65" t="s">
        <v>4</v>
      </c>
      <c r="J3" s="96" t="s">
        <v>89</v>
      </c>
      <c r="K3" s="79" t="s">
        <v>87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1031</v>
      </c>
      <c r="C4" s="113">
        <v>1089</v>
      </c>
      <c r="D4" s="97"/>
      <c r="E4" s="37">
        <v>1049</v>
      </c>
      <c r="F4" s="22">
        <v>1050</v>
      </c>
      <c r="G4" s="22">
        <v>1062</v>
      </c>
      <c r="H4" s="22">
        <v>1078</v>
      </c>
      <c r="I4" s="1">
        <v>1090</v>
      </c>
      <c r="J4" s="97"/>
      <c r="K4" s="8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5</v>
      </c>
      <c r="C5" s="113" t="s">
        <v>85</v>
      </c>
      <c r="D5" s="98" t="s">
        <v>90</v>
      </c>
      <c r="E5" s="37" t="s">
        <v>25</v>
      </c>
      <c r="F5" s="22" t="s">
        <v>26</v>
      </c>
      <c r="G5" s="22" t="s">
        <v>27</v>
      </c>
      <c r="H5" s="22" t="s">
        <v>28</v>
      </c>
      <c r="I5" s="1" t="s">
        <v>84</v>
      </c>
      <c r="J5" s="98" t="s">
        <v>91</v>
      </c>
      <c r="K5" s="81" t="s">
        <v>86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6</v>
      </c>
      <c r="B6" s="24">
        <v>21</v>
      </c>
      <c r="C6" s="51">
        <v>21</v>
      </c>
      <c r="D6" s="99">
        <f>SUM(B6:C6)</f>
        <v>42</v>
      </c>
      <c r="E6" s="38">
        <v>22</v>
      </c>
      <c r="F6" s="24">
        <v>22</v>
      </c>
      <c r="G6" s="24">
        <v>23</v>
      </c>
      <c r="H6" s="24">
        <v>23</v>
      </c>
      <c r="I6" s="66">
        <v>23</v>
      </c>
      <c r="J6" s="99">
        <f>SUM(E6:I6)</f>
        <v>113</v>
      </c>
      <c r="K6" s="82">
        <v>155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7</v>
      </c>
      <c r="B7" s="10"/>
      <c r="C7" s="52"/>
      <c r="D7" s="101"/>
      <c r="E7" s="114">
        <v>1</v>
      </c>
      <c r="F7" s="9">
        <v>2</v>
      </c>
      <c r="G7" s="10"/>
      <c r="H7" s="10"/>
      <c r="I7" s="67"/>
      <c r="J7" s="100">
        <f>SUM(E7:I7)</f>
        <v>3</v>
      </c>
      <c r="K7" s="83">
        <v>3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8</v>
      </c>
      <c r="B8" s="10"/>
      <c r="C8" s="52"/>
      <c r="D8" s="101"/>
      <c r="E8" s="39"/>
      <c r="F8" s="10"/>
      <c r="G8" s="10"/>
      <c r="H8" s="10"/>
      <c r="I8" s="67"/>
      <c r="J8" s="101"/>
      <c r="K8" s="8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9</v>
      </c>
      <c r="B9" s="10"/>
      <c r="C9" s="52"/>
      <c r="D9" s="101"/>
      <c r="E9" s="39"/>
      <c r="F9" s="10"/>
      <c r="G9" s="10"/>
      <c r="H9" s="10"/>
      <c r="I9" s="67"/>
      <c r="J9" s="101"/>
      <c r="K9" s="8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10</v>
      </c>
      <c r="B10" s="9">
        <v>1</v>
      </c>
      <c r="C10" s="53">
        <v>1</v>
      </c>
      <c r="D10" s="100">
        <f>SUM(B10:C10)</f>
        <v>2</v>
      </c>
      <c r="E10" s="114">
        <v>1</v>
      </c>
      <c r="F10" s="9">
        <v>1</v>
      </c>
      <c r="G10" s="10"/>
      <c r="H10" s="10"/>
      <c r="I10" s="67"/>
      <c r="J10" s="100">
        <f>SUM(E10:I10)</f>
        <v>2</v>
      </c>
      <c r="K10" s="83">
        <v>4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11</v>
      </c>
      <c r="B11" s="10"/>
      <c r="C11" s="52"/>
      <c r="D11" s="101"/>
      <c r="E11" s="39"/>
      <c r="F11" s="10"/>
      <c r="G11" s="10"/>
      <c r="H11" s="10"/>
      <c r="I11" s="67"/>
      <c r="J11" s="101"/>
      <c r="K11" s="8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5" t="s">
        <v>12</v>
      </c>
      <c r="B12" s="10"/>
      <c r="C12" s="52"/>
      <c r="D12" s="101"/>
      <c r="E12" s="39"/>
      <c r="F12" s="10"/>
      <c r="G12" s="10"/>
      <c r="H12" s="10"/>
      <c r="I12" s="67"/>
      <c r="J12" s="101"/>
      <c r="K12" s="8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13</v>
      </c>
      <c r="B13" s="10"/>
      <c r="C13" s="54">
        <v>2.5</v>
      </c>
      <c r="D13" s="102">
        <f>SUM(B13:C13)</f>
        <v>2.5</v>
      </c>
      <c r="E13" s="39"/>
      <c r="F13" s="10"/>
      <c r="G13" s="10"/>
      <c r="H13" s="10"/>
      <c r="I13" s="67"/>
      <c r="J13" s="102">
        <f>SUM(E13:I13)</f>
        <v>0</v>
      </c>
      <c r="K13" s="85">
        <v>2.5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14</v>
      </c>
      <c r="B14" s="10"/>
      <c r="C14" s="52"/>
      <c r="D14" s="101"/>
      <c r="E14" s="40">
        <v>1.9583333333333333</v>
      </c>
      <c r="F14" s="11">
        <v>1.9583333333333333</v>
      </c>
      <c r="G14" s="11">
        <v>2.1666666666666665</v>
      </c>
      <c r="H14" s="10"/>
      <c r="I14" s="68">
        <v>2.0833333333333335</v>
      </c>
      <c r="J14" s="102">
        <f>SUM(E14:I14)</f>
        <v>8.1666666666666661</v>
      </c>
      <c r="K14" s="85">
        <v>8.1666666666666661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15</v>
      </c>
      <c r="B15" s="10"/>
      <c r="C15" s="52"/>
      <c r="D15" s="101"/>
      <c r="E15" s="40">
        <v>0.125</v>
      </c>
      <c r="F15" s="11">
        <v>0.20833333333333334</v>
      </c>
      <c r="G15" s="10"/>
      <c r="H15" s="10"/>
      <c r="I15" s="67"/>
      <c r="J15" s="101"/>
      <c r="K15" s="85">
        <v>0.33333333333333331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16</v>
      </c>
      <c r="B16" s="10"/>
      <c r="C16" s="52"/>
      <c r="D16" s="101"/>
      <c r="E16" s="39"/>
      <c r="F16" s="10"/>
      <c r="G16" s="10"/>
      <c r="H16" s="10"/>
      <c r="I16" s="67"/>
      <c r="J16" s="101"/>
      <c r="K16" s="84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17</v>
      </c>
      <c r="B17" s="10"/>
      <c r="C17" s="52"/>
      <c r="D17" s="101"/>
      <c r="E17" s="39"/>
      <c r="F17" s="10"/>
      <c r="G17" s="10"/>
      <c r="H17" s="10"/>
      <c r="I17" s="67"/>
      <c r="J17" s="101"/>
      <c r="K17" s="84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18</v>
      </c>
      <c r="B18" s="10"/>
      <c r="C18" s="52"/>
      <c r="D18" s="101"/>
      <c r="E18" s="39"/>
      <c r="F18" s="10"/>
      <c r="G18" s="10"/>
      <c r="H18" s="10"/>
      <c r="I18" s="67"/>
      <c r="J18" s="101"/>
      <c r="K18" s="84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19</v>
      </c>
      <c r="B19" s="10"/>
      <c r="C19" s="52"/>
      <c r="D19" s="101"/>
      <c r="E19" s="39"/>
      <c r="F19" s="10"/>
      <c r="G19" s="10"/>
      <c r="H19" s="10"/>
      <c r="I19" s="67"/>
      <c r="J19" s="101"/>
      <c r="K19" s="84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20</v>
      </c>
      <c r="B20" s="10"/>
      <c r="C20" s="52"/>
      <c r="D20" s="101"/>
      <c r="E20" s="39"/>
      <c r="F20" s="10"/>
      <c r="G20" s="10"/>
      <c r="H20" s="10"/>
      <c r="I20" s="67"/>
      <c r="J20" s="101"/>
      <c r="K20" s="84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21</v>
      </c>
      <c r="B21" s="10"/>
      <c r="C21" s="52"/>
      <c r="D21" s="101"/>
      <c r="E21" s="39"/>
      <c r="F21" s="10"/>
      <c r="G21" s="10"/>
      <c r="H21" s="10"/>
      <c r="I21" s="67"/>
      <c r="J21" s="101"/>
      <c r="K21" s="84"/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15">
      <c r="A22" s="15" t="s">
        <v>22</v>
      </c>
      <c r="B22" s="10"/>
      <c r="C22" s="52"/>
      <c r="D22" s="101"/>
      <c r="E22" s="39"/>
      <c r="F22" s="10"/>
      <c r="G22" s="10"/>
      <c r="H22" s="10"/>
      <c r="I22" s="67"/>
      <c r="J22" s="101"/>
      <c r="K22" s="84"/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15" t="s">
        <v>23</v>
      </c>
      <c r="B23" s="10"/>
      <c r="C23" s="54">
        <v>0.14583333333333334</v>
      </c>
      <c r="D23" s="102">
        <f>SUM(B23:C23)</f>
        <v>0.14583333333333334</v>
      </c>
      <c r="E23" s="39"/>
      <c r="F23" s="10"/>
      <c r="G23" s="10"/>
      <c r="H23" s="10"/>
      <c r="I23" s="67"/>
      <c r="J23" s="102"/>
      <c r="K23" s="85">
        <v>0.14583333333333334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4.25" thickBot="1" x14ac:dyDescent="0.2">
      <c r="A24" s="25" t="s">
        <v>24</v>
      </c>
      <c r="B24" s="26"/>
      <c r="C24" s="55"/>
      <c r="D24" s="115"/>
      <c r="E24" s="41">
        <v>0.29166666666666669</v>
      </c>
      <c r="F24" s="27">
        <v>0.5</v>
      </c>
      <c r="G24" s="27">
        <v>0.5</v>
      </c>
      <c r="H24" s="27">
        <v>0.16666666666666666</v>
      </c>
      <c r="I24" s="69">
        <v>0.41666666666666669</v>
      </c>
      <c r="J24" s="102">
        <f>SUM(E24:I24)</f>
        <v>1.8750000000000002</v>
      </c>
      <c r="K24" s="86">
        <v>1.875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23" t="s">
        <v>29</v>
      </c>
      <c r="B25" s="28">
        <v>355000</v>
      </c>
      <c r="C25" s="56">
        <v>0</v>
      </c>
      <c r="D25" s="103">
        <f>SUM(B25:C25)</f>
        <v>355000</v>
      </c>
      <c r="E25" s="42">
        <v>177000</v>
      </c>
      <c r="F25" s="28">
        <v>187000</v>
      </c>
      <c r="G25" s="28">
        <v>165000</v>
      </c>
      <c r="H25" s="28">
        <v>355000</v>
      </c>
      <c r="I25" s="70">
        <v>187000</v>
      </c>
      <c r="J25" s="103">
        <f>SUM(E25:I25)</f>
        <v>1071000</v>
      </c>
      <c r="K25" s="87">
        <v>1426000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30</v>
      </c>
      <c r="B26" s="10">
        <v>0</v>
      </c>
      <c r="C26" s="52">
        <v>0</v>
      </c>
      <c r="D26" s="101">
        <f t="shared" ref="D26:D78" si="0">SUM(B26:C26)</f>
        <v>0</v>
      </c>
      <c r="E26" s="39">
        <v>5000</v>
      </c>
      <c r="F26" s="10">
        <v>0</v>
      </c>
      <c r="G26" s="10">
        <v>0</v>
      </c>
      <c r="H26" s="10">
        <v>0</v>
      </c>
      <c r="I26" s="67">
        <v>0</v>
      </c>
      <c r="J26" s="101">
        <f t="shared" ref="J26:J78" si="1">SUM(E26:I26)</f>
        <v>5000</v>
      </c>
      <c r="K26" s="84">
        <v>5000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31</v>
      </c>
      <c r="B27" s="10">
        <v>0</v>
      </c>
      <c r="C27" s="52">
        <v>0</v>
      </c>
      <c r="D27" s="101">
        <f t="shared" si="0"/>
        <v>0</v>
      </c>
      <c r="E27" s="39">
        <v>0</v>
      </c>
      <c r="F27" s="10">
        <v>0</v>
      </c>
      <c r="G27" s="10">
        <v>0</v>
      </c>
      <c r="H27" s="10">
        <v>0</v>
      </c>
      <c r="I27" s="67">
        <v>0</v>
      </c>
      <c r="J27" s="101">
        <f t="shared" si="1"/>
        <v>0</v>
      </c>
      <c r="K27" s="84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32</v>
      </c>
      <c r="B28" s="10">
        <v>50000</v>
      </c>
      <c r="C28" s="52">
        <v>0</v>
      </c>
      <c r="D28" s="101">
        <f t="shared" si="0"/>
        <v>50000</v>
      </c>
      <c r="E28" s="39">
        <v>50000</v>
      </c>
      <c r="F28" s="10">
        <v>50000</v>
      </c>
      <c r="G28" s="10">
        <v>50000</v>
      </c>
      <c r="H28" s="10">
        <v>50000</v>
      </c>
      <c r="I28" s="67">
        <v>50000</v>
      </c>
      <c r="J28" s="101">
        <f t="shared" si="1"/>
        <v>250000</v>
      </c>
      <c r="K28" s="84">
        <v>300000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33</v>
      </c>
      <c r="B29" s="10">
        <v>0</v>
      </c>
      <c r="C29" s="52">
        <v>0</v>
      </c>
      <c r="D29" s="101">
        <f t="shared" si="0"/>
        <v>0</v>
      </c>
      <c r="E29" s="39">
        <v>0</v>
      </c>
      <c r="F29" s="10">
        <v>0</v>
      </c>
      <c r="G29" s="10">
        <v>0</v>
      </c>
      <c r="H29" s="10">
        <v>0</v>
      </c>
      <c r="I29" s="67">
        <v>0</v>
      </c>
      <c r="J29" s="101">
        <f t="shared" si="1"/>
        <v>0</v>
      </c>
      <c r="K29" s="84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34</v>
      </c>
      <c r="B30" s="10">
        <v>0</v>
      </c>
      <c r="C30" s="52">
        <v>0</v>
      </c>
      <c r="D30" s="101">
        <f t="shared" si="0"/>
        <v>0</v>
      </c>
      <c r="E30" s="39">
        <v>0</v>
      </c>
      <c r="F30" s="10">
        <v>0</v>
      </c>
      <c r="G30" s="10">
        <v>0</v>
      </c>
      <c r="H30" s="10">
        <v>0</v>
      </c>
      <c r="I30" s="67">
        <v>0</v>
      </c>
      <c r="J30" s="101">
        <f t="shared" si="1"/>
        <v>0</v>
      </c>
      <c r="K30" s="84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35</v>
      </c>
      <c r="B31" s="10">
        <v>0</v>
      </c>
      <c r="C31" s="52">
        <v>0</v>
      </c>
      <c r="D31" s="101">
        <f t="shared" si="0"/>
        <v>0</v>
      </c>
      <c r="E31" s="39">
        <v>0</v>
      </c>
      <c r="F31" s="10">
        <v>0</v>
      </c>
      <c r="G31" s="10">
        <v>0</v>
      </c>
      <c r="H31" s="10">
        <v>0</v>
      </c>
      <c r="I31" s="67">
        <v>0</v>
      </c>
      <c r="J31" s="101">
        <f t="shared" si="1"/>
        <v>0</v>
      </c>
      <c r="K31" s="84">
        <v>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36</v>
      </c>
      <c r="B32" s="10">
        <v>0</v>
      </c>
      <c r="C32" s="52">
        <v>0</v>
      </c>
      <c r="D32" s="101">
        <f t="shared" si="0"/>
        <v>0</v>
      </c>
      <c r="E32" s="39">
        <v>0</v>
      </c>
      <c r="F32" s="10">
        <v>0</v>
      </c>
      <c r="G32" s="10">
        <v>0</v>
      </c>
      <c r="H32" s="10">
        <v>0</v>
      </c>
      <c r="I32" s="67">
        <v>0</v>
      </c>
      <c r="J32" s="101">
        <f t="shared" si="1"/>
        <v>0</v>
      </c>
      <c r="K32" s="84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37</v>
      </c>
      <c r="B33" s="10">
        <v>0</v>
      </c>
      <c r="C33" s="52">
        <v>64200</v>
      </c>
      <c r="D33" s="101">
        <f t="shared" si="0"/>
        <v>64200</v>
      </c>
      <c r="E33" s="39">
        <v>0</v>
      </c>
      <c r="F33" s="10">
        <v>0</v>
      </c>
      <c r="G33" s="10">
        <v>0</v>
      </c>
      <c r="H33" s="10">
        <v>0</v>
      </c>
      <c r="I33" s="67">
        <v>0</v>
      </c>
      <c r="J33" s="101">
        <f t="shared" si="1"/>
        <v>0</v>
      </c>
      <c r="K33" s="84">
        <v>64200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38</v>
      </c>
      <c r="B34" s="10">
        <v>0</v>
      </c>
      <c r="C34" s="52">
        <v>0</v>
      </c>
      <c r="D34" s="101">
        <f t="shared" si="0"/>
        <v>0</v>
      </c>
      <c r="E34" s="39">
        <v>0</v>
      </c>
      <c r="F34" s="10">
        <v>0</v>
      </c>
      <c r="G34" s="10">
        <v>0</v>
      </c>
      <c r="H34" s="10">
        <v>0</v>
      </c>
      <c r="I34" s="67">
        <v>0</v>
      </c>
      <c r="J34" s="101">
        <f t="shared" si="1"/>
        <v>0</v>
      </c>
      <c r="K34" s="84">
        <v>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39</v>
      </c>
      <c r="B35" s="10">
        <v>0</v>
      </c>
      <c r="C35" s="52">
        <v>0</v>
      </c>
      <c r="D35" s="101">
        <f t="shared" si="0"/>
        <v>0</v>
      </c>
      <c r="E35" s="39">
        <v>0</v>
      </c>
      <c r="F35" s="10">
        <v>0</v>
      </c>
      <c r="G35" s="10">
        <v>0</v>
      </c>
      <c r="H35" s="10">
        <v>0</v>
      </c>
      <c r="I35" s="67">
        <v>0</v>
      </c>
      <c r="J35" s="101">
        <f t="shared" si="1"/>
        <v>0</v>
      </c>
      <c r="K35" s="84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40</v>
      </c>
      <c r="B36" s="10">
        <v>0</v>
      </c>
      <c r="C36" s="52">
        <v>3745</v>
      </c>
      <c r="D36" s="101">
        <f t="shared" si="0"/>
        <v>3745</v>
      </c>
      <c r="E36" s="39">
        <v>0</v>
      </c>
      <c r="F36" s="10">
        <v>0</v>
      </c>
      <c r="G36" s="10">
        <v>0</v>
      </c>
      <c r="H36" s="10">
        <v>0</v>
      </c>
      <c r="I36" s="67">
        <v>0</v>
      </c>
      <c r="J36" s="101">
        <f t="shared" si="1"/>
        <v>0</v>
      </c>
      <c r="K36" s="84">
        <v>3745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41</v>
      </c>
      <c r="B37" s="10">
        <v>0</v>
      </c>
      <c r="C37" s="52">
        <v>0</v>
      </c>
      <c r="D37" s="101">
        <f t="shared" si="0"/>
        <v>0</v>
      </c>
      <c r="E37" s="39">
        <v>0</v>
      </c>
      <c r="F37" s="10">
        <v>0</v>
      </c>
      <c r="G37" s="10">
        <v>0</v>
      </c>
      <c r="H37" s="10">
        <v>0</v>
      </c>
      <c r="I37" s="67">
        <v>0</v>
      </c>
      <c r="J37" s="101">
        <f t="shared" si="1"/>
        <v>0</v>
      </c>
      <c r="K37" s="84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42</v>
      </c>
      <c r="B38" s="10">
        <v>0</v>
      </c>
      <c r="C38" s="52">
        <v>0</v>
      </c>
      <c r="D38" s="101">
        <f t="shared" si="0"/>
        <v>0</v>
      </c>
      <c r="E38" s="39">
        <v>0</v>
      </c>
      <c r="F38" s="10">
        <v>0</v>
      </c>
      <c r="G38" s="10">
        <v>0</v>
      </c>
      <c r="H38" s="10">
        <v>0</v>
      </c>
      <c r="I38" s="67">
        <v>0</v>
      </c>
      <c r="J38" s="101">
        <f t="shared" si="1"/>
        <v>0</v>
      </c>
      <c r="K38" s="84">
        <v>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43</v>
      </c>
      <c r="B39" s="10">
        <v>0</v>
      </c>
      <c r="C39" s="52">
        <v>0</v>
      </c>
      <c r="D39" s="101">
        <f t="shared" si="0"/>
        <v>0</v>
      </c>
      <c r="E39" s="39">
        <v>0</v>
      </c>
      <c r="F39" s="10">
        <v>0</v>
      </c>
      <c r="G39" s="10">
        <v>0</v>
      </c>
      <c r="H39" s="10">
        <v>0</v>
      </c>
      <c r="I39" s="67">
        <v>0</v>
      </c>
      <c r="J39" s="101">
        <f t="shared" si="1"/>
        <v>0</v>
      </c>
      <c r="K39" s="84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44</v>
      </c>
      <c r="B40" s="10">
        <v>0</v>
      </c>
      <c r="C40" s="52">
        <v>0</v>
      </c>
      <c r="D40" s="101">
        <f t="shared" si="0"/>
        <v>0</v>
      </c>
      <c r="E40" s="39">
        <v>0</v>
      </c>
      <c r="F40" s="10">
        <v>13000</v>
      </c>
      <c r="G40" s="10">
        <v>0</v>
      </c>
      <c r="H40" s="10">
        <v>0</v>
      </c>
      <c r="I40" s="67">
        <v>13000</v>
      </c>
      <c r="J40" s="101">
        <f t="shared" si="1"/>
        <v>26000</v>
      </c>
      <c r="K40" s="84">
        <v>26000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45</v>
      </c>
      <c r="B41" s="10">
        <v>0</v>
      </c>
      <c r="C41" s="52">
        <v>0</v>
      </c>
      <c r="D41" s="101">
        <f t="shared" si="0"/>
        <v>0</v>
      </c>
      <c r="E41" s="39">
        <v>0</v>
      </c>
      <c r="F41" s="10">
        <v>0</v>
      </c>
      <c r="G41" s="10">
        <v>0</v>
      </c>
      <c r="H41" s="10">
        <v>0</v>
      </c>
      <c r="I41" s="67">
        <v>0</v>
      </c>
      <c r="J41" s="101">
        <f t="shared" si="1"/>
        <v>0</v>
      </c>
      <c r="K41" s="84">
        <v>0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46</v>
      </c>
      <c r="B42" s="10">
        <v>0</v>
      </c>
      <c r="C42" s="52">
        <v>0</v>
      </c>
      <c r="D42" s="101">
        <f t="shared" si="0"/>
        <v>0</v>
      </c>
      <c r="E42" s="39">
        <v>0</v>
      </c>
      <c r="F42" s="10">
        <v>0</v>
      </c>
      <c r="G42" s="10">
        <v>0</v>
      </c>
      <c r="H42" s="10">
        <v>0</v>
      </c>
      <c r="I42" s="67">
        <v>0</v>
      </c>
      <c r="J42" s="101">
        <f t="shared" si="1"/>
        <v>0</v>
      </c>
      <c r="K42" s="84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47</v>
      </c>
      <c r="B43" s="10">
        <v>0</v>
      </c>
      <c r="C43" s="52">
        <v>0</v>
      </c>
      <c r="D43" s="101">
        <f t="shared" si="0"/>
        <v>0</v>
      </c>
      <c r="E43" s="39">
        <v>0</v>
      </c>
      <c r="F43" s="10">
        <v>0</v>
      </c>
      <c r="G43" s="10">
        <v>0</v>
      </c>
      <c r="H43" s="10">
        <v>0</v>
      </c>
      <c r="I43" s="67">
        <v>0</v>
      </c>
      <c r="J43" s="101">
        <f t="shared" si="1"/>
        <v>0</v>
      </c>
      <c r="K43" s="84">
        <v>0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48</v>
      </c>
      <c r="B44" s="10">
        <v>0</v>
      </c>
      <c r="C44" s="52">
        <v>0</v>
      </c>
      <c r="D44" s="101">
        <f t="shared" si="0"/>
        <v>0</v>
      </c>
      <c r="E44" s="39">
        <v>0</v>
      </c>
      <c r="F44" s="10">
        <v>0</v>
      </c>
      <c r="G44" s="10">
        <v>0</v>
      </c>
      <c r="H44" s="10">
        <v>0</v>
      </c>
      <c r="I44" s="67">
        <v>0</v>
      </c>
      <c r="J44" s="101">
        <f t="shared" si="1"/>
        <v>0</v>
      </c>
      <c r="K44" s="84">
        <v>0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14</v>
      </c>
      <c r="B45" s="10">
        <v>0</v>
      </c>
      <c r="C45" s="52">
        <v>0</v>
      </c>
      <c r="D45" s="101">
        <f t="shared" si="0"/>
        <v>0</v>
      </c>
      <c r="E45" s="39">
        <v>81592</v>
      </c>
      <c r="F45" s="10">
        <v>87937</v>
      </c>
      <c r="G45" s="10">
        <v>83668</v>
      </c>
      <c r="H45" s="10">
        <v>0</v>
      </c>
      <c r="I45" s="67">
        <v>93550</v>
      </c>
      <c r="J45" s="101">
        <f t="shared" si="1"/>
        <v>346747</v>
      </c>
      <c r="K45" s="84">
        <v>346747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49</v>
      </c>
      <c r="B46" s="10">
        <v>0</v>
      </c>
      <c r="C46" s="52">
        <v>0</v>
      </c>
      <c r="D46" s="101">
        <f t="shared" si="0"/>
        <v>0</v>
      </c>
      <c r="E46" s="39">
        <v>5625</v>
      </c>
      <c r="F46" s="10">
        <v>10105</v>
      </c>
      <c r="G46" s="10">
        <v>0</v>
      </c>
      <c r="H46" s="10">
        <v>0</v>
      </c>
      <c r="I46" s="67">
        <v>0</v>
      </c>
      <c r="J46" s="101">
        <f t="shared" si="1"/>
        <v>15730</v>
      </c>
      <c r="K46" s="84">
        <v>15730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5" t="s">
        <v>16</v>
      </c>
      <c r="B47" s="10">
        <v>0</v>
      </c>
      <c r="C47" s="52">
        <v>0</v>
      </c>
      <c r="D47" s="101">
        <f t="shared" si="0"/>
        <v>0</v>
      </c>
      <c r="E47" s="39">
        <v>0</v>
      </c>
      <c r="F47" s="10">
        <v>0</v>
      </c>
      <c r="G47" s="10">
        <v>0</v>
      </c>
      <c r="H47" s="10">
        <v>0</v>
      </c>
      <c r="I47" s="67">
        <v>0</v>
      </c>
      <c r="J47" s="101">
        <f t="shared" si="1"/>
        <v>0</v>
      </c>
      <c r="K47" s="84">
        <v>0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50</v>
      </c>
      <c r="B48" s="10">
        <v>0</v>
      </c>
      <c r="C48" s="52">
        <v>0</v>
      </c>
      <c r="D48" s="101">
        <f t="shared" si="0"/>
        <v>0</v>
      </c>
      <c r="E48" s="39">
        <v>0</v>
      </c>
      <c r="F48" s="10">
        <v>0</v>
      </c>
      <c r="G48" s="10">
        <v>0</v>
      </c>
      <c r="H48" s="10">
        <v>0</v>
      </c>
      <c r="I48" s="67">
        <v>0</v>
      </c>
      <c r="J48" s="101">
        <f t="shared" si="1"/>
        <v>0</v>
      </c>
      <c r="K48" s="84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51</v>
      </c>
      <c r="B49" s="12">
        <v>0</v>
      </c>
      <c r="C49" s="57">
        <v>0</v>
      </c>
      <c r="D49" s="104">
        <f t="shared" si="0"/>
        <v>0</v>
      </c>
      <c r="E49" s="43">
        <v>0</v>
      </c>
      <c r="F49" s="12">
        <v>0</v>
      </c>
      <c r="G49" s="12">
        <v>0</v>
      </c>
      <c r="H49" s="12">
        <v>0</v>
      </c>
      <c r="I49" s="71">
        <v>0</v>
      </c>
      <c r="J49" s="104">
        <f t="shared" si="1"/>
        <v>0</v>
      </c>
      <c r="K49" s="88">
        <v>0</v>
      </c>
      <c r="L49" s="6"/>
      <c r="M49" s="6"/>
      <c r="N49" s="6"/>
      <c r="O49" s="6"/>
      <c r="P49" s="6"/>
      <c r="Q49" s="6"/>
      <c r="R49" s="6"/>
    </row>
    <row r="50" spans="1:18" x14ac:dyDescent="0.15">
      <c r="A50" s="16" t="s">
        <v>52</v>
      </c>
      <c r="B50" s="12">
        <v>0</v>
      </c>
      <c r="C50" s="57">
        <v>0</v>
      </c>
      <c r="D50" s="104">
        <f t="shared" si="0"/>
        <v>0</v>
      </c>
      <c r="E50" s="43">
        <v>0</v>
      </c>
      <c r="F50" s="12">
        <v>0</v>
      </c>
      <c r="G50" s="12">
        <v>0</v>
      </c>
      <c r="H50" s="12">
        <v>0</v>
      </c>
      <c r="I50" s="71">
        <v>0</v>
      </c>
      <c r="J50" s="104">
        <f t="shared" si="1"/>
        <v>0</v>
      </c>
      <c r="K50" s="88">
        <v>0</v>
      </c>
      <c r="L50" s="6"/>
      <c r="M50" s="6"/>
      <c r="N50" s="6"/>
      <c r="O50" s="6"/>
      <c r="P50" s="6"/>
      <c r="Q50" s="6"/>
      <c r="R50" s="6"/>
    </row>
    <row r="51" spans="1:18" x14ac:dyDescent="0.15">
      <c r="A51" s="16" t="s">
        <v>53</v>
      </c>
      <c r="B51" s="12">
        <v>0</v>
      </c>
      <c r="C51" s="57">
        <v>0</v>
      </c>
      <c r="D51" s="104">
        <f t="shared" si="0"/>
        <v>0</v>
      </c>
      <c r="E51" s="43">
        <v>0</v>
      </c>
      <c r="F51" s="12">
        <v>0</v>
      </c>
      <c r="G51" s="12">
        <v>0</v>
      </c>
      <c r="H51" s="12">
        <v>0</v>
      </c>
      <c r="I51" s="71">
        <v>0</v>
      </c>
      <c r="J51" s="104">
        <f t="shared" si="1"/>
        <v>0</v>
      </c>
      <c r="K51" s="88">
        <v>0</v>
      </c>
      <c r="L51" s="6"/>
      <c r="M51" s="6"/>
      <c r="N51" s="6"/>
      <c r="O51" s="6"/>
      <c r="P51" s="6"/>
      <c r="Q51" s="6"/>
      <c r="R51" s="6"/>
    </row>
    <row r="52" spans="1:18" x14ac:dyDescent="0.15">
      <c r="A52" s="16" t="s">
        <v>54</v>
      </c>
      <c r="B52" s="12">
        <v>0</v>
      </c>
      <c r="C52" s="57">
        <v>0</v>
      </c>
      <c r="D52" s="104">
        <f t="shared" si="0"/>
        <v>0</v>
      </c>
      <c r="E52" s="43">
        <v>0</v>
      </c>
      <c r="F52" s="12">
        <v>0</v>
      </c>
      <c r="G52" s="12">
        <v>0</v>
      </c>
      <c r="H52" s="12">
        <v>0</v>
      </c>
      <c r="I52" s="71">
        <v>0</v>
      </c>
      <c r="J52" s="104">
        <f t="shared" si="1"/>
        <v>0</v>
      </c>
      <c r="K52" s="88">
        <v>0</v>
      </c>
      <c r="L52" s="6"/>
      <c r="M52" s="6"/>
      <c r="N52" s="6"/>
      <c r="O52" s="6"/>
      <c r="P52" s="6"/>
      <c r="Q52" s="6"/>
      <c r="R52" s="6"/>
    </row>
    <row r="53" spans="1:18" x14ac:dyDescent="0.15">
      <c r="A53" s="16" t="s">
        <v>24</v>
      </c>
      <c r="B53" s="12">
        <v>0</v>
      </c>
      <c r="C53" s="57">
        <v>0</v>
      </c>
      <c r="D53" s="104">
        <f t="shared" si="0"/>
        <v>0</v>
      </c>
      <c r="E53" s="43">
        <v>2429</v>
      </c>
      <c r="F53" s="12">
        <v>4488</v>
      </c>
      <c r="G53" s="12">
        <v>3864</v>
      </c>
      <c r="H53" s="12">
        <v>2424</v>
      </c>
      <c r="I53" s="71">
        <v>3740</v>
      </c>
      <c r="J53" s="104">
        <f t="shared" si="1"/>
        <v>16945</v>
      </c>
      <c r="K53" s="88">
        <v>16945</v>
      </c>
    </row>
    <row r="54" spans="1:18" ht="14.25" thickBot="1" x14ac:dyDescent="0.2">
      <c r="A54" s="17" t="s">
        <v>55</v>
      </c>
      <c r="B54" s="31">
        <v>405000</v>
      </c>
      <c r="C54" s="58">
        <v>67945</v>
      </c>
      <c r="D54" s="105">
        <f t="shared" si="0"/>
        <v>472945</v>
      </c>
      <c r="E54" s="44">
        <v>321646</v>
      </c>
      <c r="F54" s="31">
        <v>352530</v>
      </c>
      <c r="G54" s="31">
        <v>302532</v>
      </c>
      <c r="H54" s="31">
        <v>407424</v>
      </c>
      <c r="I54" s="72">
        <v>347290</v>
      </c>
      <c r="J54" s="105">
        <f t="shared" si="1"/>
        <v>1731422</v>
      </c>
      <c r="K54" s="89">
        <v>2204367</v>
      </c>
    </row>
    <row r="55" spans="1:18" x14ac:dyDescent="0.15">
      <c r="A55" s="29" t="s">
        <v>56</v>
      </c>
      <c r="B55" s="30">
        <v>11021</v>
      </c>
      <c r="C55" s="59">
        <v>0</v>
      </c>
      <c r="D55" s="106">
        <f t="shared" si="0"/>
        <v>11021</v>
      </c>
      <c r="E55" s="45">
        <v>7038</v>
      </c>
      <c r="F55" s="30">
        <v>1454</v>
      </c>
      <c r="G55" s="30">
        <v>14439</v>
      </c>
      <c r="H55" s="30">
        <v>9205</v>
      </c>
      <c r="I55" s="73">
        <v>0</v>
      </c>
      <c r="J55" s="106">
        <f t="shared" si="1"/>
        <v>32136</v>
      </c>
      <c r="K55" s="90">
        <v>43157</v>
      </c>
    </row>
    <row r="56" spans="1:18" x14ac:dyDescent="0.15">
      <c r="A56" s="16" t="s">
        <v>57</v>
      </c>
      <c r="B56" s="12">
        <v>0</v>
      </c>
      <c r="C56" s="57">
        <v>0</v>
      </c>
      <c r="D56" s="104">
        <f t="shared" si="0"/>
        <v>0</v>
      </c>
      <c r="E56" s="43">
        <v>0</v>
      </c>
      <c r="F56" s="12">
        <v>0</v>
      </c>
      <c r="G56" s="12">
        <v>0</v>
      </c>
      <c r="H56" s="12">
        <v>0</v>
      </c>
      <c r="I56" s="71">
        <v>0</v>
      </c>
      <c r="J56" s="104">
        <f t="shared" si="1"/>
        <v>0</v>
      </c>
      <c r="K56" s="88">
        <v>0</v>
      </c>
    </row>
    <row r="57" spans="1:18" ht="14.25" thickBot="1" x14ac:dyDescent="0.2">
      <c r="A57" s="32" t="s">
        <v>58</v>
      </c>
      <c r="B57" s="33">
        <v>11021</v>
      </c>
      <c r="C57" s="60">
        <v>0</v>
      </c>
      <c r="D57" s="107">
        <f t="shared" si="0"/>
        <v>11021</v>
      </c>
      <c r="E57" s="46">
        <v>7038</v>
      </c>
      <c r="F57" s="33">
        <v>1454</v>
      </c>
      <c r="G57" s="33">
        <v>14439</v>
      </c>
      <c r="H57" s="33">
        <v>9205</v>
      </c>
      <c r="I57" s="74">
        <v>0</v>
      </c>
      <c r="J57" s="107">
        <f t="shared" si="1"/>
        <v>32136</v>
      </c>
      <c r="K57" s="91">
        <v>43157</v>
      </c>
    </row>
    <row r="58" spans="1:18" ht="14.25" thickBot="1" x14ac:dyDescent="0.2">
      <c r="A58" s="34" t="s">
        <v>59</v>
      </c>
      <c r="B58" s="35">
        <v>416021</v>
      </c>
      <c r="C58" s="61">
        <v>67945</v>
      </c>
      <c r="D58" s="108">
        <f t="shared" si="0"/>
        <v>483966</v>
      </c>
      <c r="E58" s="47">
        <v>328684</v>
      </c>
      <c r="F58" s="35">
        <v>353984</v>
      </c>
      <c r="G58" s="35">
        <v>316971</v>
      </c>
      <c r="H58" s="35">
        <v>416629</v>
      </c>
      <c r="I58" s="75">
        <v>347290</v>
      </c>
      <c r="J58" s="108">
        <f t="shared" si="1"/>
        <v>1763558</v>
      </c>
      <c r="K58" s="92">
        <v>2247524</v>
      </c>
    </row>
    <row r="59" spans="1:18" x14ac:dyDescent="0.15">
      <c r="A59" s="29" t="s">
        <v>60</v>
      </c>
      <c r="B59" s="30">
        <v>22440</v>
      </c>
      <c r="C59" s="59">
        <v>0</v>
      </c>
      <c r="D59" s="106">
        <f t="shared" si="0"/>
        <v>22440</v>
      </c>
      <c r="E59" s="45">
        <v>18360</v>
      </c>
      <c r="F59" s="30">
        <v>18360</v>
      </c>
      <c r="G59" s="30">
        <v>16320</v>
      </c>
      <c r="H59" s="30">
        <v>20910</v>
      </c>
      <c r="I59" s="73">
        <v>17340</v>
      </c>
      <c r="J59" s="106">
        <f t="shared" si="1"/>
        <v>91290</v>
      </c>
      <c r="K59" s="90">
        <v>113730</v>
      </c>
    </row>
    <row r="60" spans="1:18" x14ac:dyDescent="0.15">
      <c r="A60" s="16" t="s">
        <v>61</v>
      </c>
      <c r="B60" s="12">
        <v>0</v>
      </c>
      <c r="C60" s="57">
        <v>0</v>
      </c>
      <c r="D60" s="104">
        <f t="shared" si="0"/>
        <v>0</v>
      </c>
      <c r="E60" s="43">
        <v>3240</v>
      </c>
      <c r="F60" s="12">
        <v>3240</v>
      </c>
      <c r="G60" s="12">
        <v>2880</v>
      </c>
      <c r="H60" s="12">
        <v>3690</v>
      </c>
      <c r="I60" s="71">
        <v>3060</v>
      </c>
      <c r="J60" s="104">
        <f t="shared" si="1"/>
        <v>16110</v>
      </c>
      <c r="K60" s="88">
        <v>16110</v>
      </c>
    </row>
    <row r="61" spans="1:18" x14ac:dyDescent="0.15">
      <c r="A61" s="16" t="s">
        <v>62</v>
      </c>
      <c r="B61" s="12">
        <v>40260</v>
      </c>
      <c r="C61" s="57">
        <v>0</v>
      </c>
      <c r="D61" s="104">
        <f t="shared" si="0"/>
        <v>40260</v>
      </c>
      <c r="E61" s="43">
        <v>32940</v>
      </c>
      <c r="F61" s="12">
        <v>32940</v>
      </c>
      <c r="G61" s="12">
        <v>29280</v>
      </c>
      <c r="H61" s="12">
        <v>37515</v>
      </c>
      <c r="I61" s="71">
        <v>31110</v>
      </c>
      <c r="J61" s="104">
        <f t="shared" si="1"/>
        <v>163785</v>
      </c>
      <c r="K61" s="88">
        <v>204045</v>
      </c>
    </row>
    <row r="62" spans="1:18" x14ac:dyDescent="0.15">
      <c r="A62" s="16" t="s">
        <v>63</v>
      </c>
      <c r="B62" s="12">
        <v>0</v>
      </c>
      <c r="C62" s="57">
        <v>0</v>
      </c>
      <c r="D62" s="104">
        <f t="shared" si="0"/>
        <v>0</v>
      </c>
      <c r="E62" s="43">
        <v>0</v>
      </c>
      <c r="F62" s="12">
        <v>0</v>
      </c>
      <c r="G62" s="12">
        <v>0</v>
      </c>
      <c r="H62" s="12">
        <v>0</v>
      </c>
      <c r="I62" s="71">
        <v>0</v>
      </c>
      <c r="J62" s="104">
        <f t="shared" si="1"/>
        <v>0</v>
      </c>
      <c r="K62" s="88">
        <v>0</v>
      </c>
    </row>
    <row r="63" spans="1:18" x14ac:dyDescent="0.15">
      <c r="A63" s="16" t="s">
        <v>64</v>
      </c>
      <c r="B63" s="12">
        <v>1248</v>
      </c>
      <c r="C63" s="62" t="s">
        <v>88</v>
      </c>
      <c r="D63" s="110">
        <f t="shared" si="0"/>
        <v>1248</v>
      </c>
      <c r="E63" s="43">
        <v>986</v>
      </c>
      <c r="F63" s="12">
        <v>1062</v>
      </c>
      <c r="G63" s="12">
        <v>951</v>
      </c>
      <c r="H63" s="12">
        <v>1250</v>
      </c>
      <c r="I63" s="71">
        <v>1042</v>
      </c>
      <c r="J63" s="104">
        <f t="shared" si="1"/>
        <v>5291</v>
      </c>
      <c r="K63" s="88">
        <v>6539</v>
      </c>
    </row>
    <row r="64" spans="1:18" x14ac:dyDescent="0.15">
      <c r="A64" s="16" t="s">
        <v>65</v>
      </c>
      <c r="B64" s="12">
        <v>0</v>
      </c>
      <c r="C64" s="57">
        <v>0</v>
      </c>
      <c r="D64" s="104">
        <f t="shared" si="0"/>
        <v>0</v>
      </c>
      <c r="E64" s="43">
        <v>0</v>
      </c>
      <c r="F64" s="12">
        <v>0</v>
      </c>
      <c r="G64" s="12">
        <v>0</v>
      </c>
      <c r="H64" s="12">
        <v>0</v>
      </c>
      <c r="I64" s="71">
        <v>0</v>
      </c>
      <c r="J64" s="104">
        <f t="shared" si="1"/>
        <v>0</v>
      </c>
      <c r="K64" s="88">
        <v>0</v>
      </c>
    </row>
    <row r="65" spans="1:11" ht="14.25" thickBot="1" x14ac:dyDescent="0.2">
      <c r="A65" s="32" t="s">
        <v>66</v>
      </c>
      <c r="B65" s="33">
        <v>63948</v>
      </c>
      <c r="C65" s="60">
        <v>0</v>
      </c>
      <c r="D65" s="107">
        <f t="shared" si="0"/>
        <v>63948</v>
      </c>
      <c r="E65" s="46">
        <v>55526</v>
      </c>
      <c r="F65" s="33">
        <v>55602</v>
      </c>
      <c r="G65" s="33">
        <v>49431</v>
      </c>
      <c r="H65" s="33">
        <v>63365</v>
      </c>
      <c r="I65" s="74">
        <v>52552</v>
      </c>
      <c r="J65" s="107">
        <f t="shared" si="1"/>
        <v>276476</v>
      </c>
      <c r="K65" s="91">
        <v>340424</v>
      </c>
    </row>
    <row r="66" spans="1:11" ht="14.25" thickBot="1" x14ac:dyDescent="0.2">
      <c r="A66" s="34" t="s">
        <v>67</v>
      </c>
      <c r="B66" s="35">
        <v>341052</v>
      </c>
      <c r="C66" s="61">
        <v>67945</v>
      </c>
      <c r="D66" s="108">
        <f t="shared" si="0"/>
        <v>408997</v>
      </c>
      <c r="E66" s="47">
        <v>266120</v>
      </c>
      <c r="F66" s="35">
        <v>296928</v>
      </c>
      <c r="G66" s="35">
        <v>253101</v>
      </c>
      <c r="H66" s="35">
        <v>344059</v>
      </c>
      <c r="I66" s="75">
        <v>294738</v>
      </c>
      <c r="J66" s="108">
        <f t="shared" si="1"/>
        <v>1454946</v>
      </c>
      <c r="K66" s="92">
        <v>1863943</v>
      </c>
    </row>
    <row r="67" spans="1:11" x14ac:dyDescent="0.15">
      <c r="A67" s="29" t="s">
        <v>68</v>
      </c>
      <c r="B67" s="30">
        <v>8500</v>
      </c>
      <c r="C67" s="59">
        <v>0</v>
      </c>
      <c r="D67" s="106">
        <f t="shared" si="0"/>
        <v>8500</v>
      </c>
      <c r="E67" s="45">
        <v>7130</v>
      </c>
      <c r="F67" s="30">
        <v>8230</v>
      </c>
      <c r="G67" s="30">
        <v>6660</v>
      </c>
      <c r="H67" s="30">
        <v>6900</v>
      </c>
      <c r="I67" s="73">
        <v>4920</v>
      </c>
      <c r="J67" s="106">
        <f t="shared" si="1"/>
        <v>33840</v>
      </c>
      <c r="K67" s="90">
        <v>42340</v>
      </c>
    </row>
    <row r="68" spans="1:11" x14ac:dyDescent="0.15">
      <c r="A68" s="16" t="s">
        <v>69</v>
      </c>
      <c r="B68" s="12">
        <v>0</v>
      </c>
      <c r="C68" s="57">
        <v>0</v>
      </c>
      <c r="D68" s="104">
        <f t="shared" si="0"/>
        <v>0</v>
      </c>
      <c r="E68" s="43">
        <v>0</v>
      </c>
      <c r="F68" s="12">
        <v>0</v>
      </c>
      <c r="G68" s="12">
        <v>0</v>
      </c>
      <c r="H68" s="12">
        <v>0</v>
      </c>
      <c r="I68" s="71">
        <v>0</v>
      </c>
      <c r="J68" s="104">
        <f t="shared" si="1"/>
        <v>0</v>
      </c>
      <c r="K68" s="88">
        <v>0</v>
      </c>
    </row>
    <row r="69" spans="1:11" x14ac:dyDescent="0.15">
      <c r="A69" s="16" t="s">
        <v>70</v>
      </c>
      <c r="B69" s="12">
        <v>19000</v>
      </c>
      <c r="C69" s="57">
        <v>0</v>
      </c>
      <c r="D69" s="104">
        <f t="shared" si="0"/>
        <v>19000</v>
      </c>
      <c r="E69" s="43">
        <v>15100</v>
      </c>
      <c r="F69" s="12">
        <v>17300</v>
      </c>
      <c r="G69" s="12">
        <v>11600</v>
      </c>
      <c r="H69" s="12">
        <v>14400</v>
      </c>
      <c r="I69" s="71">
        <v>0</v>
      </c>
      <c r="J69" s="104">
        <f t="shared" si="1"/>
        <v>58400</v>
      </c>
      <c r="K69" s="88">
        <v>77400</v>
      </c>
    </row>
    <row r="70" spans="1:11" x14ac:dyDescent="0.15">
      <c r="A70" s="16" t="s">
        <v>71</v>
      </c>
      <c r="B70" s="12">
        <v>0</v>
      </c>
      <c r="C70" s="57">
        <v>0</v>
      </c>
      <c r="D70" s="104">
        <f t="shared" si="0"/>
        <v>0</v>
      </c>
      <c r="E70" s="43">
        <v>0</v>
      </c>
      <c r="F70" s="12">
        <v>0</v>
      </c>
      <c r="G70" s="12">
        <v>0</v>
      </c>
      <c r="H70" s="12">
        <v>0</v>
      </c>
      <c r="I70" s="71">
        <v>0</v>
      </c>
      <c r="J70" s="104">
        <f t="shared" si="1"/>
        <v>0</v>
      </c>
      <c r="K70" s="88">
        <v>0</v>
      </c>
    </row>
    <row r="71" spans="1:11" x14ac:dyDescent="0.15">
      <c r="A71" s="16" t="s">
        <v>72</v>
      </c>
      <c r="B71" s="12">
        <v>0</v>
      </c>
      <c r="C71" s="57">
        <v>0</v>
      </c>
      <c r="D71" s="104">
        <f t="shared" si="0"/>
        <v>0</v>
      </c>
      <c r="E71" s="43">
        <v>0</v>
      </c>
      <c r="F71" s="12">
        <v>0</v>
      </c>
      <c r="G71" s="12">
        <v>0</v>
      </c>
      <c r="H71" s="12">
        <v>0</v>
      </c>
      <c r="I71" s="71">
        <v>0</v>
      </c>
      <c r="J71" s="104">
        <f t="shared" si="1"/>
        <v>0</v>
      </c>
      <c r="K71" s="88">
        <v>0</v>
      </c>
    </row>
    <row r="72" spans="1:11" x14ac:dyDescent="0.15">
      <c r="A72" s="16" t="s">
        <v>73</v>
      </c>
      <c r="B72" s="12">
        <v>0</v>
      </c>
      <c r="C72" s="57">
        <v>0</v>
      </c>
      <c r="D72" s="104">
        <f t="shared" si="0"/>
        <v>0</v>
      </c>
      <c r="E72" s="43">
        <v>0</v>
      </c>
      <c r="F72" s="12">
        <v>0</v>
      </c>
      <c r="G72" s="12">
        <v>0</v>
      </c>
      <c r="H72" s="12">
        <v>0</v>
      </c>
      <c r="I72" s="71">
        <v>0</v>
      </c>
      <c r="J72" s="104">
        <f t="shared" si="1"/>
        <v>0</v>
      </c>
      <c r="K72" s="88">
        <v>0</v>
      </c>
    </row>
    <row r="73" spans="1:11" x14ac:dyDescent="0.15">
      <c r="A73" s="16" t="s">
        <v>74</v>
      </c>
      <c r="B73" s="12">
        <v>0</v>
      </c>
      <c r="C73" s="57">
        <v>0</v>
      </c>
      <c r="D73" s="104">
        <f t="shared" si="0"/>
        <v>0</v>
      </c>
      <c r="E73" s="43">
        <v>0</v>
      </c>
      <c r="F73" s="12">
        <v>0</v>
      </c>
      <c r="G73" s="12">
        <v>0</v>
      </c>
      <c r="H73" s="12">
        <v>0</v>
      </c>
      <c r="I73" s="71">
        <v>0</v>
      </c>
      <c r="J73" s="104">
        <f t="shared" si="1"/>
        <v>0</v>
      </c>
      <c r="K73" s="88">
        <v>0</v>
      </c>
    </row>
    <row r="74" spans="1:11" ht="14.25" thickBot="1" x14ac:dyDescent="0.2">
      <c r="A74" s="32" t="s">
        <v>75</v>
      </c>
      <c r="B74" s="33">
        <v>27500</v>
      </c>
      <c r="C74" s="60">
        <v>0</v>
      </c>
      <c r="D74" s="107">
        <f t="shared" si="0"/>
        <v>27500</v>
      </c>
      <c r="E74" s="46">
        <v>22230</v>
      </c>
      <c r="F74" s="33">
        <v>25530</v>
      </c>
      <c r="G74" s="33">
        <v>18260</v>
      </c>
      <c r="H74" s="33">
        <v>21300</v>
      </c>
      <c r="I74" s="74">
        <v>4920</v>
      </c>
      <c r="J74" s="107">
        <f t="shared" si="1"/>
        <v>92240</v>
      </c>
      <c r="K74" s="91">
        <v>119740</v>
      </c>
    </row>
    <row r="75" spans="1:11" ht="14.25" thickBot="1" x14ac:dyDescent="0.2">
      <c r="A75" s="34" t="s">
        <v>76</v>
      </c>
      <c r="B75" s="35">
        <v>91448</v>
      </c>
      <c r="C75" s="61">
        <v>0</v>
      </c>
      <c r="D75" s="108">
        <f t="shared" si="0"/>
        <v>91448</v>
      </c>
      <c r="E75" s="47">
        <v>77756</v>
      </c>
      <c r="F75" s="35">
        <v>81132</v>
      </c>
      <c r="G75" s="35">
        <v>67691</v>
      </c>
      <c r="H75" s="35">
        <v>84665</v>
      </c>
      <c r="I75" s="75">
        <v>57472</v>
      </c>
      <c r="J75" s="108">
        <f t="shared" si="1"/>
        <v>368716</v>
      </c>
      <c r="K75" s="92">
        <v>460164</v>
      </c>
    </row>
    <row r="76" spans="1:11" ht="14.25" thickBot="1" x14ac:dyDescent="0.2">
      <c r="A76" s="34" t="s">
        <v>77</v>
      </c>
      <c r="B76" s="35">
        <v>324573</v>
      </c>
      <c r="C76" s="61">
        <v>67945</v>
      </c>
      <c r="D76" s="108">
        <f t="shared" si="0"/>
        <v>392518</v>
      </c>
      <c r="E76" s="47">
        <v>250928</v>
      </c>
      <c r="F76" s="35">
        <v>272852</v>
      </c>
      <c r="G76" s="35">
        <v>249280</v>
      </c>
      <c r="H76" s="35">
        <v>331964</v>
      </c>
      <c r="I76" s="75">
        <v>289818</v>
      </c>
      <c r="J76" s="108">
        <f t="shared" si="1"/>
        <v>1394842</v>
      </c>
      <c r="K76" s="92">
        <v>1787360</v>
      </c>
    </row>
    <row r="77" spans="1:11" x14ac:dyDescent="0.15">
      <c r="A77" s="29" t="s">
        <v>78</v>
      </c>
      <c r="B77" s="30">
        <v>0</v>
      </c>
      <c r="C77" s="59">
        <v>0</v>
      </c>
      <c r="D77" s="106">
        <f t="shared" si="0"/>
        <v>0</v>
      </c>
      <c r="E77" s="45">
        <v>0</v>
      </c>
      <c r="F77" s="30">
        <v>0</v>
      </c>
      <c r="G77" s="30">
        <v>0</v>
      </c>
      <c r="H77" s="30">
        <v>0</v>
      </c>
      <c r="I77" s="73">
        <v>0</v>
      </c>
      <c r="J77" s="106">
        <f t="shared" si="1"/>
        <v>0</v>
      </c>
      <c r="K77" s="90">
        <v>0</v>
      </c>
    </row>
    <row r="78" spans="1:11" x14ac:dyDescent="0.15">
      <c r="A78" s="16" t="s">
        <v>79</v>
      </c>
      <c r="B78" s="12">
        <v>324573</v>
      </c>
      <c r="C78" s="57">
        <v>67945</v>
      </c>
      <c r="D78" s="104">
        <f t="shared" si="0"/>
        <v>392518</v>
      </c>
      <c r="E78" s="43">
        <v>250928</v>
      </c>
      <c r="F78" s="12">
        <v>272852</v>
      </c>
      <c r="G78" s="12">
        <v>249280</v>
      </c>
      <c r="H78" s="12">
        <v>331964</v>
      </c>
      <c r="I78" s="71">
        <v>289818</v>
      </c>
      <c r="J78" s="104">
        <f t="shared" si="1"/>
        <v>1394842</v>
      </c>
      <c r="K78" s="88">
        <v>1787360</v>
      </c>
    </row>
    <row r="79" spans="1:11" x14ac:dyDescent="0.15">
      <c r="A79" s="16" t="s">
        <v>80</v>
      </c>
      <c r="B79" s="13">
        <v>39</v>
      </c>
      <c r="C79" s="63">
        <v>10</v>
      </c>
      <c r="D79" s="109"/>
      <c r="E79" s="48">
        <v>12</v>
      </c>
      <c r="F79" s="13">
        <v>27</v>
      </c>
      <c r="G79" s="13">
        <v>17</v>
      </c>
      <c r="H79" s="13">
        <v>19</v>
      </c>
      <c r="I79" s="76"/>
      <c r="J79" s="109"/>
      <c r="K79" s="93">
        <v>124</v>
      </c>
    </row>
    <row r="80" spans="1:11" x14ac:dyDescent="0.15">
      <c r="A80" s="16" t="s">
        <v>81</v>
      </c>
      <c r="B80" s="14">
        <v>1</v>
      </c>
      <c r="C80" s="62"/>
      <c r="D80" s="110"/>
      <c r="E80" s="49"/>
      <c r="F80" s="14"/>
      <c r="G80" s="14"/>
      <c r="H80" s="14">
        <v>2</v>
      </c>
      <c r="I80" s="77">
        <v>2</v>
      </c>
      <c r="J80" s="110"/>
      <c r="K80" s="94"/>
    </row>
    <row r="81" spans="1:11" ht="14.25" thickBot="1" x14ac:dyDescent="0.2">
      <c r="A81" s="17" t="s">
        <v>82</v>
      </c>
      <c r="B81" s="18" t="s">
        <v>83</v>
      </c>
      <c r="C81" s="64" t="s">
        <v>83</v>
      </c>
      <c r="D81" s="111"/>
      <c r="E81" s="50" t="s">
        <v>83</v>
      </c>
      <c r="F81" s="18" t="s">
        <v>83</v>
      </c>
      <c r="G81" s="18" t="s">
        <v>83</v>
      </c>
      <c r="H81" s="18" t="s">
        <v>83</v>
      </c>
      <c r="I81" s="78" t="s">
        <v>83</v>
      </c>
      <c r="J81" s="111"/>
      <c r="K81" s="95"/>
    </row>
  </sheetData>
  <phoneticPr fontId="1"/>
  <pageMargins left="0.43307086614173229" right="0.35433070866141736" top="0.51181102362204722" bottom="0.35433070866141736" header="0.19685039370078741" footer="0.27559055118110237"/>
  <pageSetup paperSize="12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2020-07-13T07:52:10Z</cp:lastPrinted>
  <dcterms:created xsi:type="dcterms:W3CDTF">2011-10-11T01:59:58Z</dcterms:created>
  <dcterms:modified xsi:type="dcterms:W3CDTF">2020-07-14T01:27:30Z</dcterms:modified>
</cp:coreProperties>
</file>