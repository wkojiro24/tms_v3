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51D497E9-73B1-4514-A062-E4D665188C2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(2)'!$A$1:$M$79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6" i="2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25" i="2"/>
  <c r="L24" i="2"/>
  <c r="L18" i="2"/>
  <c r="L17" i="2"/>
  <c r="L15" i="2"/>
  <c r="L14" i="2"/>
  <c r="L8" i="2"/>
  <c r="L9" i="2"/>
  <c r="L10" i="2"/>
  <c r="L7" i="2"/>
  <c r="L6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25" i="2"/>
  <c r="D23" i="2"/>
  <c r="D13" i="2"/>
  <c r="D10" i="2"/>
  <c r="D6" i="2"/>
</calcChain>
</file>

<file path=xl/sharedStrings.xml><?xml version="1.0" encoding="utf-8"?>
<sst xmlns="http://schemas.openxmlformats.org/spreadsheetml/2006/main" count="111" uniqueCount="93">
  <si>
    <t>社　員</t>
  </si>
  <si>
    <t>２０20年6月分</t>
  </si>
  <si>
    <t>若林運送株式会社</t>
  </si>
  <si>
    <t>仙台営業所</t>
  </si>
  <si>
    <t>井上　隆良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</si>
  <si>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</si>
  <si>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</si>
  <si>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</si>
  <si>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</si>
  <si>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</si>
  <si>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</si>
  <si>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</si>
  <si>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</si>
  <si>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</si>
  <si>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</si>
  <si>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祝日年末年始</t>
  </si>
  <si>
    <t>社定休日残業</t>
  </si>
  <si>
    <t>法定代休残業</t>
  </si>
  <si>
    <t>社定代休残業</t>
  </si>
  <si>
    <t>社定代休2残業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</si>
  <si>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</si>
  <si>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</si>
  <si>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</si>
  <si>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</si>
  <si>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</si>
  <si>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</si>
  <si>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仙台営業所/ドライバー</t>
  </si>
  <si>
    <t>鎌倉　昭治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</si>
  <si>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</si>
  <si>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</si>
  <si>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</si>
  <si>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</si>
  <si>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</si>
  <si>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</si>
  <si>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</si>
  <si>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</si>
  <si>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</si>
  <si>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</si>
  <si>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</si>
  <si>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</si>
  <si>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</si>
  <si>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</si>
  <si>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</si>
  <si>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</si>
  <si>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</si>
  <si>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</si>
  <si>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</si>
  <si>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</si>
  <si>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</si>
  <si>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法定休日</t>
  </si>
  <si>
    <t>社定休日</t>
  </si>
  <si>
    <t>法定代休有残業</t>
  </si>
  <si>
    <t>社定代休有残業</t>
  </si>
  <si>
    <t>社定代休有2残業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</si>
  <si>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</si>
  <si>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</si>
  <si>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</si>
  <si>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</si>
  <si>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</si>
  <si>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</si>
  <si>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</si>
  <si>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</si>
  <si>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</si>
  <si>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</si>
  <si>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</si>
  <si>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</si>
  <si>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</si>
  <si>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</si>
  <si>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</si>
  <si>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</si>
  <si>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</si>
  <si>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</si>
  <si>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</si>
  <si>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</si>
  <si>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</si>
  <si>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</si>
  <si>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</si>
  <si>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</si>
  <si>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</si>
  <si>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</si>
  <si>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</si>
  <si>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</si>
  <si>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</si>
  <si>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</si>
  <si>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</si>
  <si>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仙台営業所/事務</t>
  </si>
  <si>
    <t>佐藤　ゆうこ</t>
  </si>
  <si>
    <t>9名</t>
  </si>
  <si>
    <t>全社計</t>
  </si>
  <si>
    <t>所　属</t>
    <phoneticPr fontId="1"/>
  </si>
  <si>
    <t>小計</t>
    <rPh sb="0" eb="2">
      <t>ショウケイ</t>
    </rPh>
    <phoneticPr fontId="1"/>
  </si>
  <si>
    <t>2名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</si>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</sst>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  <xf numFmtId="0" fontId="2" fillId="0" borderId="46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1809-227E-496F-B59F-491A71E0C1D7}">
  <sheetPr>
    <pageSetUpPr fitToPage="1"/>
  </sheetPr>
  <dimension ref="A1:AM79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3" width="11.875" style="2" customWidth="1"/>
    <col min="14" max="20" width="10.5" style="2" customWidth="1"/>
    <col min="21" max="16384" width="9" style="2"/>
  </cols>
  <sheetData>
    <row r="1" spans="1:39" ht="18.75" x14ac:dyDescent="0.15">
      <c r="A1" s="1" t="s">
        <v>1</v>
      </c>
      <c r="B1" s="1"/>
      <c r="C1" s="1"/>
      <c r="D1" s="1"/>
      <c r="E1" s="1"/>
      <c r="F1" s="7"/>
      <c r="G1" s="1"/>
      <c r="H1" s="8"/>
      <c r="I1" s="1"/>
      <c r="J1" s="7"/>
      <c r="K1" s="1"/>
      <c r="L1" s="1"/>
      <c r="M1" s="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25" thickBot="1" x14ac:dyDescent="0.2">
      <c r="A2" s="1">
        <v>13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15">
      <c r="A3" s="19" t="s">
        <v>89</v>
      </c>
      <c r="B3" s="20" t="s">
        <v>26</v>
      </c>
      <c r="C3" s="52" t="s">
        <v>85</v>
      </c>
      <c r="D3" s="85" t="s">
        <v>90</v>
      </c>
      <c r="E3" s="36" t="s">
        <v>3</v>
      </c>
      <c r="F3" s="20" t="s">
        <v>3</v>
      </c>
      <c r="G3" s="20" t="s">
        <v>3</v>
      </c>
      <c r="H3" s="20" t="s">
        <v>26</v>
      </c>
      <c r="I3" s="36" t="s">
        <v>26</v>
      </c>
      <c r="J3" s="20" t="s">
        <v>26</v>
      </c>
      <c r="K3" s="52" t="s">
        <v>26</v>
      </c>
      <c r="L3" s="85" t="s">
        <v>90</v>
      </c>
      <c r="M3" s="68" t="s">
        <v>88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15">
      <c r="A4" s="21"/>
      <c r="B4" s="22">
        <v>1023</v>
      </c>
      <c r="C4" s="53">
        <v>1072</v>
      </c>
      <c r="D4" s="86"/>
      <c r="E4" s="37">
        <v>1046</v>
      </c>
      <c r="F4" s="22">
        <v>1083</v>
      </c>
      <c r="G4" s="22">
        <v>1084</v>
      </c>
      <c r="H4" s="22">
        <v>1037</v>
      </c>
      <c r="I4" s="37">
        <v>1038</v>
      </c>
      <c r="J4" s="22">
        <v>1042</v>
      </c>
      <c r="K4" s="53">
        <v>1043</v>
      </c>
      <c r="L4" s="86"/>
      <c r="M4" s="6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4.25" thickBot="1" x14ac:dyDescent="0.2">
      <c r="A5" s="21" t="s">
        <v>0</v>
      </c>
      <c r="B5" s="22" t="s">
        <v>27</v>
      </c>
      <c r="C5" s="53" t="s">
        <v>86</v>
      </c>
      <c r="D5" s="87" t="s">
        <v>91</v>
      </c>
      <c r="E5" s="37" t="s">
        <v>4</v>
      </c>
      <c r="F5" s="22" t="s">
        <v>24</v>
      </c>
      <c r="G5" s="22" t="s">
        <v>25</v>
      </c>
      <c r="H5" s="22" t="s">
        <v>28</v>
      </c>
      <c r="I5" s="37" t="s">
        <v>82</v>
      </c>
      <c r="J5" s="22" t="s">
        <v>83</v>
      </c>
      <c r="K5" s="53" t="s">
        <v>84</v>
      </c>
      <c r="L5" s="87" t="s">
        <v>92</v>
      </c>
      <c r="M5" s="70" t="s">
        <v>87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15">
      <c r="A6" s="23" t="s">
        <v>5</v>
      </c>
      <c r="B6" s="24">
        <v>22</v>
      </c>
      <c r="C6" s="54">
        <v>20</v>
      </c>
      <c r="D6" s="88">
        <f>SUM(B6:C6)</f>
        <v>42</v>
      </c>
      <c r="E6" s="38">
        <v>23</v>
      </c>
      <c r="F6" s="24">
        <v>21</v>
      </c>
      <c r="G6" s="24">
        <v>22</v>
      </c>
      <c r="H6" s="24">
        <v>20</v>
      </c>
      <c r="I6" s="38">
        <v>21</v>
      </c>
      <c r="J6" s="24">
        <v>19</v>
      </c>
      <c r="K6" s="54">
        <v>22</v>
      </c>
      <c r="L6" s="88">
        <f>SUM(E6:K6)</f>
        <v>148</v>
      </c>
      <c r="M6" s="71">
        <v>190</v>
      </c>
      <c r="N6" s="3"/>
      <c r="O6" s="3"/>
      <c r="P6" s="3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15">
      <c r="A7" s="15" t="s">
        <v>6</v>
      </c>
      <c r="B7" s="10"/>
      <c r="C7" s="56"/>
      <c r="D7" s="103"/>
      <c r="E7" s="39">
        <v>3</v>
      </c>
      <c r="F7" s="9">
        <v>3</v>
      </c>
      <c r="G7" s="9">
        <v>3</v>
      </c>
      <c r="H7" s="9">
        <v>3</v>
      </c>
      <c r="I7" s="39">
        <v>1</v>
      </c>
      <c r="J7" s="9">
        <v>2</v>
      </c>
      <c r="K7" s="55">
        <v>1</v>
      </c>
      <c r="L7" s="89">
        <f>SUM(E7:K7)</f>
        <v>16</v>
      </c>
      <c r="M7" s="72">
        <v>16</v>
      </c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15">
      <c r="A8" s="15" t="s">
        <v>7</v>
      </c>
      <c r="B8" s="10"/>
      <c r="C8" s="56"/>
      <c r="D8" s="103"/>
      <c r="E8" s="40"/>
      <c r="F8" s="10"/>
      <c r="G8" s="10"/>
      <c r="H8" s="9">
        <v>3</v>
      </c>
      <c r="I8" s="39">
        <v>2</v>
      </c>
      <c r="J8" s="9">
        <v>1</v>
      </c>
      <c r="K8" s="56"/>
      <c r="L8" s="89">
        <f t="shared" ref="L8:L10" si="0">SUM(E8:K8)</f>
        <v>6</v>
      </c>
      <c r="M8" s="72">
        <v>6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15">
      <c r="A9" s="15" t="s">
        <v>8</v>
      </c>
      <c r="B9" s="10"/>
      <c r="C9" s="56"/>
      <c r="D9" s="103"/>
      <c r="E9" s="40"/>
      <c r="F9" s="10"/>
      <c r="G9" s="10"/>
      <c r="H9" s="10"/>
      <c r="I9" s="40"/>
      <c r="J9" s="9">
        <v>1</v>
      </c>
      <c r="K9" s="56"/>
      <c r="L9" s="89">
        <f t="shared" si="0"/>
        <v>1</v>
      </c>
      <c r="M9" s="72">
        <v>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15">
      <c r="A10" s="15" t="s">
        <v>9</v>
      </c>
      <c r="B10" s="9">
        <v>1</v>
      </c>
      <c r="C10" s="55">
        <v>2</v>
      </c>
      <c r="D10" s="89">
        <f>SUM(B10:C10)</f>
        <v>3</v>
      </c>
      <c r="E10" s="40"/>
      <c r="F10" s="9">
        <v>2</v>
      </c>
      <c r="G10" s="9">
        <v>1</v>
      </c>
      <c r="H10" s="9">
        <v>3</v>
      </c>
      <c r="I10" s="39">
        <v>2</v>
      </c>
      <c r="J10" s="9">
        <v>3</v>
      </c>
      <c r="K10" s="55">
        <v>1</v>
      </c>
      <c r="L10" s="89">
        <f t="shared" si="0"/>
        <v>12</v>
      </c>
      <c r="M10" s="72">
        <v>15</v>
      </c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15">
      <c r="A11" s="15" t="s">
        <v>10</v>
      </c>
      <c r="B11" s="10"/>
      <c r="C11" s="56"/>
      <c r="D11" s="103"/>
      <c r="E11" s="40"/>
      <c r="F11" s="10"/>
      <c r="G11" s="10"/>
      <c r="H11" s="10"/>
      <c r="I11" s="40"/>
      <c r="J11" s="10"/>
      <c r="K11" s="56"/>
      <c r="L11" s="90"/>
      <c r="M11" s="7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15">
      <c r="A12" s="15" t="s">
        <v>11</v>
      </c>
      <c r="B12" s="10"/>
      <c r="C12" s="56"/>
      <c r="D12" s="103"/>
      <c r="E12" s="40"/>
      <c r="F12" s="10"/>
      <c r="G12" s="10"/>
      <c r="H12" s="10"/>
      <c r="I12" s="40"/>
      <c r="J12" s="10"/>
      <c r="K12" s="56"/>
      <c r="L12" s="90"/>
      <c r="M12" s="7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15">
      <c r="A13" s="15" t="s">
        <v>12</v>
      </c>
      <c r="B13" s="10"/>
      <c r="C13" s="57">
        <v>4.25</v>
      </c>
      <c r="D13" s="91">
        <f>SUM(B13:C13)</f>
        <v>4.25</v>
      </c>
      <c r="E13" s="40"/>
      <c r="F13" s="10"/>
      <c r="G13" s="10"/>
      <c r="H13" s="10"/>
      <c r="I13" s="40"/>
      <c r="J13" s="10"/>
      <c r="K13" s="56"/>
      <c r="L13" s="90"/>
      <c r="M13" s="74">
        <v>4.25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15">
      <c r="A14" s="15" t="s">
        <v>13</v>
      </c>
      <c r="B14" s="10"/>
      <c r="C14" s="56"/>
      <c r="D14" s="103"/>
      <c r="E14" s="41">
        <v>1.75</v>
      </c>
      <c r="F14" s="11">
        <v>1.25</v>
      </c>
      <c r="G14" s="11">
        <v>2.0833333333333335</v>
      </c>
      <c r="H14" s="11">
        <v>1</v>
      </c>
      <c r="I14" s="41">
        <v>0.58333333333333337</v>
      </c>
      <c r="J14" s="11">
        <v>1.2083333333333333</v>
      </c>
      <c r="K14" s="57">
        <v>2.5833333333333335</v>
      </c>
      <c r="L14" s="91">
        <f>SUM(E14:K14)</f>
        <v>10.458333333333334</v>
      </c>
      <c r="M14" s="74">
        <v>10.458333333333334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15">
      <c r="A15" s="15" t="s">
        <v>14</v>
      </c>
      <c r="B15" s="10"/>
      <c r="C15" s="56"/>
      <c r="D15" s="103"/>
      <c r="E15" s="41">
        <v>0.95833333333333337</v>
      </c>
      <c r="F15" s="11">
        <v>1</v>
      </c>
      <c r="G15" s="11">
        <v>0.83333333333333337</v>
      </c>
      <c r="H15" s="11">
        <v>1</v>
      </c>
      <c r="I15" s="41">
        <v>0.29166666666666669</v>
      </c>
      <c r="J15" s="11">
        <v>0.70833333333333337</v>
      </c>
      <c r="K15" s="57">
        <v>0.58333333333333337</v>
      </c>
      <c r="L15" s="91">
        <f>SUM(E15:K15)</f>
        <v>5.375</v>
      </c>
      <c r="M15" s="74">
        <v>5.375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15">
      <c r="A16" s="15" t="s">
        <v>15</v>
      </c>
      <c r="B16" s="10"/>
      <c r="C16" s="56"/>
      <c r="D16" s="103"/>
      <c r="E16" s="40"/>
      <c r="F16" s="10"/>
      <c r="G16" s="10"/>
      <c r="H16" s="10"/>
      <c r="I16" s="40"/>
      <c r="J16" s="10"/>
      <c r="K16" s="56"/>
      <c r="L16" s="90"/>
      <c r="M16" s="73"/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15">
      <c r="A17" s="15" t="s">
        <v>16</v>
      </c>
      <c r="B17" s="10"/>
      <c r="C17" s="56"/>
      <c r="D17" s="103"/>
      <c r="E17" s="40"/>
      <c r="F17" s="10"/>
      <c r="G17" s="10"/>
      <c r="H17" s="11">
        <v>0.70833333333333337</v>
      </c>
      <c r="I17" s="41">
        <v>0.625</v>
      </c>
      <c r="J17" s="11">
        <v>0.33333333333333331</v>
      </c>
      <c r="K17" s="56"/>
      <c r="L17" s="91">
        <f>SUM(E17:K17)</f>
        <v>1.6666666666666667</v>
      </c>
      <c r="M17" s="74">
        <v>1.6666666666666667</v>
      </c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15">
      <c r="A18" s="15" t="s">
        <v>17</v>
      </c>
      <c r="B18" s="10"/>
      <c r="C18" s="56"/>
      <c r="D18" s="103"/>
      <c r="E18" s="40"/>
      <c r="F18" s="10"/>
      <c r="G18" s="10"/>
      <c r="H18" s="10"/>
      <c r="I18" s="40"/>
      <c r="J18" s="11">
        <v>0.33333333333333331</v>
      </c>
      <c r="K18" s="56"/>
      <c r="L18" s="91">
        <f>SUM(E18:K18)</f>
        <v>0.33333333333333331</v>
      </c>
      <c r="M18" s="74">
        <v>0.33333333333333331</v>
      </c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15">
      <c r="A19" s="15" t="s">
        <v>18</v>
      </c>
      <c r="B19" s="10"/>
      <c r="C19" s="56"/>
      <c r="D19" s="103"/>
      <c r="E19" s="40"/>
      <c r="F19" s="10"/>
      <c r="G19" s="10"/>
      <c r="H19" s="10"/>
      <c r="I19" s="40"/>
      <c r="J19" s="10"/>
      <c r="K19" s="56"/>
      <c r="L19" s="90"/>
      <c r="M19" s="73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15">
      <c r="A20" s="15" t="s">
        <v>19</v>
      </c>
      <c r="B20" s="10"/>
      <c r="C20" s="56"/>
      <c r="D20" s="103"/>
      <c r="E20" s="40"/>
      <c r="F20" s="10"/>
      <c r="G20" s="10"/>
      <c r="H20" s="10"/>
      <c r="I20" s="40"/>
      <c r="J20" s="10"/>
      <c r="K20" s="56"/>
      <c r="L20" s="90"/>
      <c r="M20" s="73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15">
      <c r="A21" s="15" t="s">
        <v>20</v>
      </c>
      <c r="B21" s="10"/>
      <c r="C21" s="56"/>
      <c r="D21" s="103"/>
      <c r="E21" s="40"/>
      <c r="F21" s="10"/>
      <c r="G21" s="10"/>
      <c r="H21" s="10"/>
      <c r="I21" s="40"/>
      <c r="J21" s="10"/>
      <c r="K21" s="56"/>
      <c r="L21" s="90"/>
      <c r="M21" s="73"/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15">
      <c r="A22" s="15" t="s">
        <v>21</v>
      </c>
      <c r="B22" s="10"/>
      <c r="C22" s="56"/>
      <c r="D22" s="103"/>
      <c r="E22" s="40"/>
      <c r="F22" s="10"/>
      <c r="G22" s="10"/>
      <c r="H22" s="10"/>
      <c r="I22" s="40"/>
      <c r="J22" s="10"/>
      <c r="K22" s="56"/>
      <c r="L22" s="90"/>
      <c r="M22" s="73"/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15">
      <c r="A23" s="15" t="s">
        <v>22</v>
      </c>
      <c r="B23" s="10"/>
      <c r="C23" s="57">
        <v>0.41666666666666669</v>
      </c>
      <c r="D23" s="91">
        <f>SUM(B23:C23)</f>
        <v>0.41666666666666669</v>
      </c>
      <c r="E23" s="40"/>
      <c r="F23" s="10"/>
      <c r="G23" s="10"/>
      <c r="H23" s="10"/>
      <c r="I23" s="40"/>
      <c r="J23" s="10"/>
      <c r="K23" s="56"/>
      <c r="L23" s="90"/>
      <c r="M23" s="74">
        <v>0.41666666666666669</v>
      </c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4.25" thickBot="1" x14ac:dyDescent="0.2">
      <c r="A24" s="25" t="s">
        <v>23</v>
      </c>
      <c r="B24" s="27"/>
      <c r="C24" s="102"/>
      <c r="D24" s="104"/>
      <c r="E24" s="42">
        <v>0.54166666666666663</v>
      </c>
      <c r="F24" s="26">
        <v>0.75</v>
      </c>
      <c r="G24" s="26">
        <v>0.75</v>
      </c>
      <c r="H24" s="26">
        <v>0.70833333333333337</v>
      </c>
      <c r="I24" s="42">
        <v>3.2083333333333335</v>
      </c>
      <c r="J24" s="26">
        <v>2.2083333333333335</v>
      </c>
      <c r="K24" s="58">
        <v>1.125</v>
      </c>
      <c r="L24" s="92">
        <f>SUM(E24:K24)</f>
        <v>9.2916666666666679</v>
      </c>
      <c r="M24" s="75">
        <v>9.2916666666666661</v>
      </c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15">
      <c r="A25" s="23" t="s">
        <v>29</v>
      </c>
      <c r="B25" s="28">
        <v>355000</v>
      </c>
      <c r="C25" s="59">
        <v>0</v>
      </c>
      <c r="D25" s="93">
        <f>SUM(B25:C25)</f>
        <v>355000</v>
      </c>
      <c r="E25" s="43">
        <v>177000</v>
      </c>
      <c r="F25" s="28">
        <v>170000</v>
      </c>
      <c r="G25" s="28">
        <v>170000</v>
      </c>
      <c r="H25" s="28">
        <v>177000</v>
      </c>
      <c r="I25" s="43">
        <v>182000</v>
      </c>
      <c r="J25" s="28">
        <v>177000</v>
      </c>
      <c r="K25" s="59">
        <v>182000</v>
      </c>
      <c r="L25" s="93">
        <f>SUM(E25:K25)</f>
        <v>1235000</v>
      </c>
      <c r="M25" s="76">
        <v>1590000</v>
      </c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15">
      <c r="A26" s="15" t="s">
        <v>30</v>
      </c>
      <c r="B26" s="10">
        <v>0</v>
      </c>
      <c r="C26" s="56">
        <v>0</v>
      </c>
      <c r="D26" s="90">
        <f t="shared" ref="D26:D76" si="1">SUM(B26:C26)</f>
        <v>0</v>
      </c>
      <c r="E26" s="40">
        <v>0</v>
      </c>
      <c r="F26" s="10">
        <v>0</v>
      </c>
      <c r="G26" s="10">
        <v>0</v>
      </c>
      <c r="H26" s="10">
        <v>5000</v>
      </c>
      <c r="I26" s="40">
        <v>0</v>
      </c>
      <c r="J26" s="10">
        <v>0</v>
      </c>
      <c r="K26" s="56">
        <v>0</v>
      </c>
      <c r="L26" s="90">
        <f t="shared" ref="L26:L76" si="2">SUM(E26:K26)</f>
        <v>5000</v>
      </c>
      <c r="M26" s="73">
        <v>5000</v>
      </c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15">
      <c r="A27" s="15" t="s">
        <v>31</v>
      </c>
      <c r="B27" s="10">
        <v>0</v>
      </c>
      <c r="C27" s="56">
        <v>0</v>
      </c>
      <c r="D27" s="90">
        <f t="shared" si="1"/>
        <v>0</v>
      </c>
      <c r="E27" s="40">
        <v>0</v>
      </c>
      <c r="F27" s="10">
        <v>0</v>
      </c>
      <c r="G27" s="10">
        <v>0</v>
      </c>
      <c r="H27" s="10">
        <v>3000</v>
      </c>
      <c r="I27" s="40">
        <v>10000</v>
      </c>
      <c r="J27" s="10">
        <v>0</v>
      </c>
      <c r="K27" s="56">
        <v>3000</v>
      </c>
      <c r="L27" s="90">
        <f t="shared" si="2"/>
        <v>16000</v>
      </c>
      <c r="M27" s="73">
        <v>16000</v>
      </c>
      <c r="N27" s="5"/>
      <c r="O27" s="5"/>
      <c r="P27" s="5"/>
      <c r="Q27" s="5"/>
      <c r="R27" s="5"/>
      <c r="S27" s="5"/>
      <c r="T27" s="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15">
      <c r="A28" s="15" t="s">
        <v>32</v>
      </c>
      <c r="B28" s="10">
        <v>0</v>
      </c>
      <c r="C28" s="56">
        <v>0</v>
      </c>
      <c r="D28" s="90">
        <f t="shared" si="1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10">
        <v>0</v>
      </c>
      <c r="K28" s="56">
        <v>0</v>
      </c>
      <c r="L28" s="90">
        <f t="shared" si="2"/>
        <v>0</v>
      </c>
      <c r="M28" s="73">
        <v>0</v>
      </c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15">
      <c r="A29" s="15" t="s">
        <v>33</v>
      </c>
      <c r="B29" s="10">
        <v>0</v>
      </c>
      <c r="C29" s="56">
        <v>0</v>
      </c>
      <c r="D29" s="90">
        <f t="shared" si="1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10">
        <v>0</v>
      </c>
      <c r="K29" s="56">
        <v>0</v>
      </c>
      <c r="L29" s="90">
        <f t="shared" si="2"/>
        <v>0</v>
      </c>
      <c r="M29" s="73">
        <v>0</v>
      </c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15">
      <c r="A30" s="15" t="s">
        <v>34</v>
      </c>
      <c r="B30" s="10">
        <v>0</v>
      </c>
      <c r="C30" s="56">
        <v>0</v>
      </c>
      <c r="D30" s="90">
        <f t="shared" si="1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10">
        <v>0</v>
      </c>
      <c r="K30" s="56">
        <v>0</v>
      </c>
      <c r="L30" s="90">
        <f t="shared" si="2"/>
        <v>0</v>
      </c>
      <c r="M30" s="73">
        <v>0</v>
      </c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15">
      <c r="A31" s="15" t="s">
        <v>35</v>
      </c>
      <c r="B31" s="10">
        <v>0</v>
      </c>
      <c r="C31" s="56">
        <v>0</v>
      </c>
      <c r="D31" s="90">
        <f t="shared" si="1"/>
        <v>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10">
        <v>0</v>
      </c>
      <c r="K31" s="56">
        <v>0</v>
      </c>
      <c r="L31" s="90">
        <f t="shared" si="2"/>
        <v>0</v>
      </c>
      <c r="M31" s="73">
        <v>0</v>
      </c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15">
      <c r="A32" s="15" t="s">
        <v>36</v>
      </c>
      <c r="B32" s="10">
        <v>0</v>
      </c>
      <c r="C32" s="56">
        <v>0</v>
      </c>
      <c r="D32" s="90">
        <f t="shared" si="1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10">
        <v>0</v>
      </c>
      <c r="K32" s="56">
        <v>0</v>
      </c>
      <c r="L32" s="90">
        <f t="shared" si="2"/>
        <v>0</v>
      </c>
      <c r="M32" s="73">
        <v>0</v>
      </c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15">
      <c r="A33" s="15" t="s">
        <v>37</v>
      </c>
      <c r="B33" s="10">
        <v>0</v>
      </c>
      <c r="C33" s="56">
        <v>85867</v>
      </c>
      <c r="D33" s="90">
        <f t="shared" si="1"/>
        <v>85867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10">
        <v>0</v>
      </c>
      <c r="K33" s="56">
        <v>0</v>
      </c>
      <c r="L33" s="90">
        <f t="shared" si="2"/>
        <v>0</v>
      </c>
      <c r="M33" s="73">
        <v>85867</v>
      </c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15">
      <c r="A34" s="15" t="s">
        <v>38</v>
      </c>
      <c r="B34" s="10">
        <v>0</v>
      </c>
      <c r="C34" s="56">
        <v>0</v>
      </c>
      <c r="D34" s="90">
        <f t="shared" si="1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10">
        <v>0</v>
      </c>
      <c r="K34" s="56">
        <v>0</v>
      </c>
      <c r="L34" s="90">
        <f t="shared" si="2"/>
        <v>0</v>
      </c>
      <c r="M34" s="73">
        <v>0</v>
      </c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15">
      <c r="A35" s="15" t="s">
        <v>39</v>
      </c>
      <c r="B35" s="10">
        <v>0</v>
      </c>
      <c r="C35" s="56">
        <v>0</v>
      </c>
      <c r="D35" s="90">
        <f t="shared" si="1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10">
        <v>0</v>
      </c>
      <c r="K35" s="56">
        <v>0</v>
      </c>
      <c r="L35" s="90">
        <f t="shared" si="2"/>
        <v>0</v>
      </c>
      <c r="M35" s="73">
        <v>0</v>
      </c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15">
      <c r="A36" s="15" t="s">
        <v>40</v>
      </c>
      <c r="B36" s="10">
        <v>0</v>
      </c>
      <c r="C36" s="56">
        <v>8500</v>
      </c>
      <c r="D36" s="90">
        <f t="shared" si="1"/>
        <v>8500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10">
        <v>0</v>
      </c>
      <c r="K36" s="56">
        <v>0</v>
      </c>
      <c r="L36" s="90">
        <f t="shared" si="2"/>
        <v>0</v>
      </c>
      <c r="M36" s="73">
        <v>8500</v>
      </c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15">
      <c r="A37" s="15" t="s">
        <v>41</v>
      </c>
      <c r="B37" s="10">
        <v>0</v>
      </c>
      <c r="C37" s="56">
        <v>0</v>
      </c>
      <c r="D37" s="90">
        <f t="shared" si="1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10">
        <v>0</v>
      </c>
      <c r="K37" s="56">
        <v>0</v>
      </c>
      <c r="L37" s="90">
        <f t="shared" si="2"/>
        <v>0</v>
      </c>
      <c r="M37" s="73">
        <v>0</v>
      </c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15">
      <c r="A38" s="15" t="s">
        <v>42</v>
      </c>
      <c r="B38" s="10">
        <v>0</v>
      </c>
      <c r="C38" s="56">
        <v>0</v>
      </c>
      <c r="D38" s="90">
        <f t="shared" si="1"/>
        <v>0</v>
      </c>
      <c r="E38" s="40">
        <v>0</v>
      </c>
      <c r="F38" s="10">
        <v>0</v>
      </c>
      <c r="G38" s="10">
        <v>0</v>
      </c>
      <c r="H38" s="10">
        <v>0</v>
      </c>
      <c r="I38" s="40">
        <v>0</v>
      </c>
      <c r="J38" s="10">
        <v>0</v>
      </c>
      <c r="K38" s="56">
        <v>0</v>
      </c>
      <c r="L38" s="90">
        <f t="shared" si="2"/>
        <v>0</v>
      </c>
      <c r="M38" s="73">
        <v>0</v>
      </c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15">
      <c r="A39" s="15" t="s">
        <v>43</v>
      </c>
      <c r="B39" s="10">
        <v>0</v>
      </c>
      <c r="C39" s="56">
        <v>0</v>
      </c>
      <c r="D39" s="90">
        <f t="shared" si="1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10">
        <v>0</v>
      </c>
      <c r="K39" s="56">
        <v>0</v>
      </c>
      <c r="L39" s="90">
        <f t="shared" si="2"/>
        <v>0</v>
      </c>
      <c r="M39" s="73">
        <v>0</v>
      </c>
      <c r="N39" s="5"/>
      <c r="O39" s="5"/>
      <c r="P39" s="5"/>
      <c r="Q39" s="5"/>
      <c r="R39" s="5"/>
      <c r="S39" s="5"/>
      <c r="T39" s="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15">
      <c r="A40" s="15" t="s">
        <v>44</v>
      </c>
      <c r="B40" s="10">
        <v>0</v>
      </c>
      <c r="C40" s="56">
        <v>0</v>
      </c>
      <c r="D40" s="90">
        <f t="shared" si="1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12600</v>
      </c>
      <c r="J40" s="10">
        <v>0</v>
      </c>
      <c r="K40" s="56">
        <v>0</v>
      </c>
      <c r="L40" s="90">
        <f t="shared" si="2"/>
        <v>12600</v>
      </c>
      <c r="M40" s="73">
        <v>12600</v>
      </c>
      <c r="N40" s="5"/>
      <c r="O40" s="5"/>
      <c r="P40" s="5"/>
      <c r="Q40" s="5"/>
      <c r="R40" s="5"/>
      <c r="S40" s="5"/>
      <c r="T40" s="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15">
      <c r="A41" s="15" t="s">
        <v>45</v>
      </c>
      <c r="B41" s="10">
        <v>0</v>
      </c>
      <c r="C41" s="56">
        <v>0</v>
      </c>
      <c r="D41" s="90">
        <f t="shared" si="1"/>
        <v>0</v>
      </c>
      <c r="E41" s="40">
        <v>0</v>
      </c>
      <c r="F41" s="10">
        <v>0</v>
      </c>
      <c r="G41" s="10">
        <v>0</v>
      </c>
      <c r="H41" s="10">
        <v>0</v>
      </c>
      <c r="I41" s="40">
        <v>0</v>
      </c>
      <c r="J41" s="10">
        <v>0</v>
      </c>
      <c r="K41" s="56">
        <v>0</v>
      </c>
      <c r="L41" s="90">
        <f t="shared" si="2"/>
        <v>0</v>
      </c>
      <c r="M41" s="73">
        <v>0</v>
      </c>
      <c r="N41" s="5"/>
      <c r="O41" s="5"/>
      <c r="P41" s="5"/>
      <c r="Q41" s="5"/>
      <c r="R41" s="5"/>
      <c r="S41" s="5"/>
      <c r="T41" s="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15">
      <c r="A42" s="15" t="s">
        <v>46</v>
      </c>
      <c r="B42" s="10">
        <v>0</v>
      </c>
      <c r="C42" s="56">
        <v>0</v>
      </c>
      <c r="D42" s="90">
        <f t="shared" si="1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10">
        <v>0</v>
      </c>
      <c r="K42" s="56">
        <v>0</v>
      </c>
      <c r="L42" s="90">
        <f t="shared" si="2"/>
        <v>0</v>
      </c>
      <c r="M42" s="73">
        <v>0</v>
      </c>
      <c r="N42" s="5"/>
      <c r="O42" s="5"/>
      <c r="P42" s="5"/>
      <c r="Q42" s="5"/>
      <c r="R42" s="5"/>
      <c r="S42" s="5"/>
      <c r="T42" s="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15">
      <c r="A43" s="15" t="s">
        <v>47</v>
      </c>
      <c r="B43" s="10">
        <v>0</v>
      </c>
      <c r="C43" s="56">
        <v>0</v>
      </c>
      <c r="D43" s="90">
        <f t="shared" si="1"/>
        <v>0</v>
      </c>
      <c r="E43" s="40">
        <v>0</v>
      </c>
      <c r="F43" s="10">
        <v>0</v>
      </c>
      <c r="G43" s="10">
        <v>0</v>
      </c>
      <c r="H43" s="10">
        <v>0</v>
      </c>
      <c r="I43" s="40">
        <v>0</v>
      </c>
      <c r="J43" s="10">
        <v>0</v>
      </c>
      <c r="K43" s="56">
        <v>0</v>
      </c>
      <c r="L43" s="90">
        <f t="shared" si="2"/>
        <v>0</v>
      </c>
      <c r="M43" s="73">
        <v>0</v>
      </c>
      <c r="N43" s="5"/>
      <c r="O43" s="5"/>
      <c r="P43" s="5"/>
      <c r="Q43" s="5"/>
      <c r="R43" s="5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15">
      <c r="A44" s="15" t="s">
        <v>48</v>
      </c>
      <c r="B44" s="10">
        <v>0</v>
      </c>
      <c r="C44" s="56">
        <v>0</v>
      </c>
      <c r="D44" s="90">
        <f t="shared" si="1"/>
        <v>0</v>
      </c>
      <c r="E44" s="40">
        <v>0</v>
      </c>
      <c r="F44" s="10">
        <v>0</v>
      </c>
      <c r="G44" s="10">
        <v>0</v>
      </c>
      <c r="H44" s="10">
        <v>0</v>
      </c>
      <c r="I44" s="40">
        <v>0</v>
      </c>
      <c r="J44" s="10">
        <v>0</v>
      </c>
      <c r="K44" s="56">
        <v>0</v>
      </c>
      <c r="L44" s="90">
        <f t="shared" si="2"/>
        <v>0</v>
      </c>
      <c r="M44" s="73">
        <v>0</v>
      </c>
      <c r="N44" s="5"/>
      <c r="O44" s="5"/>
      <c r="P44" s="5"/>
      <c r="Q44" s="5"/>
      <c r="R44" s="5"/>
      <c r="S44" s="5"/>
      <c r="T44" s="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15">
      <c r="A45" s="15" t="s">
        <v>13</v>
      </c>
      <c r="B45" s="10">
        <v>0</v>
      </c>
      <c r="C45" s="56">
        <v>0</v>
      </c>
      <c r="D45" s="90">
        <f t="shared" si="1"/>
        <v>0</v>
      </c>
      <c r="E45" s="40">
        <v>55650</v>
      </c>
      <c r="F45" s="10">
        <v>38190</v>
      </c>
      <c r="G45" s="10">
        <v>63650</v>
      </c>
      <c r="H45" s="10">
        <v>33240</v>
      </c>
      <c r="I45" s="40">
        <v>21434</v>
      </c>
      <c r="J45" s="10">
        <v>38425</v>
      </c>
      <c r="K45" s="56">
        <v>85870</v>
      </c>
      <c r="L45" s="90">
        <f t="shared" si="2"/>
        <v>336459</v>
      </c>
      <c r="M45" s="73">
        <v>336459</v>
      </c>
      <c r="N45" s="5"/>
      <c r="O45" s="5"/>
      <c r="P45" s="5"/>
      <c r="Q45" s="5"/>
      <c r="R45" s="5"/>
      <c r="S45" s="5"/>
      <c r="T45" s="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15">
      <c r="A46" s="15" t="s">
        <v>49</v>
      </c>
      <c r="B46" s="10">
        <v>0</v>
      </c>
      <c r="C46" s="56">
        <v>0</v>
      </c>
      <c r="D46" s="90">
        <f t="shared" si="1"/>
        <v>0</v>
      </c>
      <c r="E46" s="40">
        <v>32913</v>
      </c>
      <c r="F46" s="10">
        <v>32976</v>
      </c>
      <c r="G46" s="10">
        <v>27480</v>
      </c>
      <c r="H46" s="10">
        <v>35904</v>
      </c>
      <c r="I46" s="40">
        <v>11578</v>
      </c>
      <c r="J46" s="10">
        <v>24327</v>
      </c>
      <c r="K46" s="56">
        <v>20944</v>
      </c>
      <c r="L46" s="90">
        <f t="shared" si="2"/>
        <v>186122</v>
      </c>
      <c r="M46" s="73">
        <v>186122</v>
      </c>
      <c r="N46" s="5"/>
      <c r="O46" s="5"/>
      <c r="P46" s="5"/>
      <c r="Q46" s="5"/>
      <c r="R46" s="5"/>
      <c r="S46" s="5"/>
      <c r="T46" s="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15">
      <c r="A47" s="15" t="s">
        <v>15</v>
      </c>
      <c r="B47" s="10">
        <v>0</v>
      </c>
      <c r="C47" s="56">
        <v>0</v>
      </c>
      <c r="D47" s="90">
        <f t="shared" si="1"/>
        <v>0</v>
      </c>
      <c r="E47" s="40">
        <v>0</v>
      </c>
      <c r="F47" s="10">
        <v>0</v>
      </c>
      <c r="G47" s="10">
        <v>0</v>
      </c>
      <c r="H47" s="10">
        <v>0</v>
      </c>
      <c r="I47" s="40">
        <v>0</v>
      </c>
      <c r="J47" s="10">
        <v>0</v>
      </c>
      <c r="K47" s="56">
        <v>0</v>
      </c>
      <c r="L47" s="90">
        <f t="shared" si="2"/>
        <v>0</v>
      </c>
      <c r="M47" s="73">
        <v>0</v>
      </c>
      <c r="N47" s="5"/>
      <c r="O47" s="5"/>
      <c r="P47" s="5"/>
      <c r="Q47" s="5"/>
      <c r="R47" s="5"/>
      <c r="S47" s="5"/>
      <c r="T47" s="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15">
      <c r="A48" s="15" t="s">
        <v>50</v>
      </c>
      <c r="B48" s="10">
        <v>0</v>
      </c>
      <c r="C48" s="56">
        <v>0</v>
      </c>
      <c r="D48" s="90">
        <f t="shared" si="1"/>
        <v>0</v>
      </c>
      <c r="E48" s="40">
        <v>0</v>
      </c>
      <c r="F48" s="10">
        <v>0</v>
      </c>
      <c r="G48" s="10">
        <v>0</v>
      </c>
      <c r="H48" s="10">
        <v>25432</v>
      </c>
      <c r="I48" s="40">
        <v>24810</v>
      </c>
      <c r="J48" s="10">
        <v>11448</v>
      </c>
      <c r="K48" s="56">
        <v>0</v>
      </c>
      <c r="L48" s="90">
        <f t="shared" si="2"/>
        <v>61690</v>
      </c>
      <c r="M48" s="73">
        <v>61690</v>
      </c>
      <c r="N48" s="5"/>
      <c r="O48" s="5"/>
      <c r="P48" s="5"/>
      <c r="Q48" s="5"/>
      <c r="R48" s="5"/>
      <c r="S48" s="5"/>
      <c r="T48" s="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20" x14ac:dyDescent="0.15">
      <c r="A49" s="16" t="s">
        <v>51</v>
      </c>
      <c r="B49" s="12">
        <v>0</v>
      </c>
      <c r="C49" s="60">
        <v>0</v>
      </c>
      <c r="D49" s="94">
        <f t="shared" si="1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12">
        <v>2968</v>
      </c>
      <c r="K49" s="60">
        <v>0</v>
      </c>
      <c r="L49" s="94">
        <f t="shared" si="2"/>
        <v>2968</v>
      </c>
      <c r="M49" s="77">
        <v>2968</v>
      </c>
      <c r="N49" s="6"/>
      <c r="O49" s="6"/>
      <c r="P49" s="6"/>
      <c r="Q49" s="6"/>
      <c r="R49" s="6"/>
      <c r="S49" s="6"/>
      <c r="T49" s="6"/>
    </row>
    <row r="50" spans="1:20" x14ac:dyDescent="0.15">
      <c r="A50" s="16" t="s">
        <v>52</v>
      </c>
      <c r="B50" s="12">
        <v>0</v>
      </c>
      <c r="C50" s="60">
        <v>0</v>
      </c>
      <c r="D50" s="94">
        <f t="shared" si="1"/>
        <v>0</v>
      </c>
      <c r="E50" s="44">
        <v>0</v>
      </c>
      <c r="F50" s="12">
        <v>0</v>
      </c>
      <c r="G50" s="12">
        <v>0</v>
      </c>
      <c r="H50" s="12">
        <v>0</v>
      </c>
      <c r="I50" s="44">
        <v>0</v>
      </c>
      <c r="J50" s="12">
        <v>0</v>
      </c>
      <c r="K50" s="60">
        <v>0</v>
      </c>
      <c r="L50" s="94">
        <f t="shared" si="2"/>
        <v>0</v>
      </c>
      <c r="M50" s="77">
        <v>0</v>
      </c>
      <c r="N50" s="6"/>
      <c r="O50" s="6"/>
      <c r="P50" s="6"/>
      <c r="Q50" s="6"/>
      <c r="R50" s="6"/>
      <c r="S50" s="6"/>
      <c r="T50" s="6"/>
    </row>
    <row r="51" spans="1:20" x14ac:dyDescent="0.15">
      <c r="A51" s="16" t="s">
        <v>53</v>
      </c>
      <c r="B51" s="12">
        <v>0</v>
      </c>
      <c r="C51" s="60">
        <v>0</v>
      </c>
      <c r="D51" s="94">
        <f t="shared" si="1"/>
        <v>0</v>
      </c>
      <c r="E51" s="44">
        <v>0</v>
      </c>
      <c r="F51" s="12">
        <v>0</v>
      </c>
      <c r="G51" s="12">
        <v>0</v>
      </c>
      <c r="H51" s="12">
        <v>0</v>
      </c>
      <c r="I51" s="44">
        <v>0</v>
      </c>
      <c r="J51" s="12">
        <v>0</v>
      </c>
      <c r="K51" s="60">
        <v>0</v>
      </c>
      <c r="L51" s="94">
        <f t="shared" si="2"/>
        <v>0</v>
      </c>
      <c r="M51" s="77">
        <v>0</v>
      </c>
      <c r="N51" s="6"/>
      <c r="O51" s="6"/>
      <c r="P51" s="6"/>
      <c r="Q51" s="6"/>
      <c r="R51" s="6"/>
      <c r="S51" s="6"/>
      <c r="T51" s="6"/>
    </row>
    <row r="52" spans="1:20" x14ac:dyDescent="0.15">
      <c r="A52" s="16" t="s">
        <v>54</v>
      </c>
      <c r="B52" s="12">
        <v>0</v>
      </c>
      <c r="C52" s="60">
        <v>0</v>
      </c>
      <c r="D52" s="94">
        <f t="shared" si="1"/>
        <v>0</v>
      </c>
      <c r="E52" s="44">
        <v>0</v>
      </c>
      <c r="F52" s="12">
        <v>0</v>
      </c>
      <c r="G52" s="12">
        <v>0</v>
      </c>
      <c r="H52" s="12">
        <v>0</v>
      </c>
      <c r="I52" s="44">
        <v>0</v>
      </c>
      <c r="J52" s="12">
        <v>0</v>
      </c>
      <c r="K52" s="60">
        <v>0</v>
      </c>
      <c r="L52" s="94">
        <f t="shared" si="2"/>
        <v>0</v>
      </c>
      <c r="M52" s="77">
        <v>0</v>
      </c>
      <c r="N52" s="6"/>
      <c r="O52" s="6"/>
      <c r="P52" s="6"/>
      <c r="Q52" s="6"/>
      <c r="R52" s="6"/>
      <c r="S52" s="6"/>
      <c r="T52" s="6"/>
    </row>
    <row r="53" spans="1:20" x14ac:dyDescent="0.15">
      <c r="A53" s="16" t="s">
        <v>23</v>
      </c>
      <c r="B53" s="12">
        <v>0</v>
      </c>
      <c r="C53" s="60">
        <v>0</v>
      </c>
      <c r="D53" s="94">
        <f t="shared" si="1"/>
        <v>0</v>
      </c>
      <c r="E53" s="44">
        <v>3445</v>
      </c>
      <c r="F53" s="12">
        <v>4590</v>
      </c>
      <c r="G53" s="12">
        <v>4590</v>
      </c>
      <c r="H53" s="12">
        <v>4709</v>
      </c>
      <c r="I53" s="44">
        <v>23562</v>
      </c>
      <c r="J53" s="12">
        <v>14045</v>
      </c>
      <c r="K53" s="60">
        <v>7479</v>
      </c>
      <c r="L53" s="94">
        <f t="shared" si="2"/>
        <v>62420</v>
      </c>
      <c r="M53" s="77">
        <v>62420</v>
      </c>
    </row>
    <row r="54" spans="1:20" ht="14.25" thickBot="1" x14ac:dyDescent="0.2">
      <c r="A54" s="17" t="s">
        <v>55</v>
      </c>
      <c r="B54" s="31">
        <v>355000</v>
      </c>
      <c r="C54" s="61">
        <v>94367</v>
      </c>
      <c r="D54" s="95">
        <f t="shared" si="1"/>
        <v>449367</v>
      </c>
      <c r="E54" s="45">
        <v>269008</v>
      </c>
      <c r="F54" s="31">
        <v>245756</v>
      </c>
      <c r="G54" s="31">
        <v>265720</v>
      </c>
      <c r="H54" s="31">
        <v>284285</v>
      </c>
      <c r="I54" s="45">
        <v>285984</v>
      </c>
      <c r="J54" s="31">
        <v>268213</v>
      </c>
      <c r="K54" s="61">
        <v>299293</v>
      </c>
      <c r="L54" s="95">
        <f t="shared" si="2"/>
        <v>1918259</v>
      </c>
      <c r="M54" s="78">
        <v>2367626</v>
      </c>
    </row>
    <row r="55" spans="1:20" x14ac:dyDescent="0.15">
      <c r="A55" s="29" t="s">
        <v>56</v>
      </c>
      <c r="B55" s="30">
        <v>470</v>
      </c>
      <c r="C55" s="62">
        <v>409</v>
      </c>
      <c r="D55" s="96">
        <f t="shared" si="1"/>
        <v>879</v>
      </c>
      <c r="E55" s="46">
        <v>11147</v>
      </c>
      <c r="F55" s="30">
        <v>1470</v>
      </c>
      <c r="G55" s="30">
        <v>4594</v>
      </c>
      <c r="H55" s="30">
        <v>7962</v>
      </c>
      <c r="I55" s="46">
        <v>1960</v>
      </c>
      <c r="J55" s="30">
        <v>1879</v>
      </c>
      <c r="K55" s="62">
        <v>6105</v>
      </c>
      <c r="L55" s="96">
        <f t="shared" si="2"/>
        <v>35117</v>
      </c>
      <c r="M55" s="79">
        <v>35996</v>
      </c>
    </row>
    <row r="56" spans="1:20" ht="14.25" thickBot="1" x14ac:dyDescent="0.2">
      <c r="A56" s="32" t="s">
        <v>57</v>
      </c>
      <c r="B56" s="33">
        <v>470</v>
      </c>
      <c r="C56" s="63">
        <v>409</v>
      </c>
      <c r="D56" s="97">
        <f t="shared" si="1"/>
        <v>879</v>
      </c>
      <c r="E56" s="47">
        <v>11147</v>
      </c>
      <c r="F56" s="33">
        <v>1470</v>
      </c>
      <c r="G56" s="33">
        <v>4594</v>
      </c>
      <c r="H56" s="33">
        <v>7962</v>
      </c>
      <c r="I56" s="47">
        <v>1960</v>
      </c>
      <c r="J56" s="33">
        <v>1879</v>
      </c>
      <c r="K56" s="63">
        <v>6105</v>
      </c>
      <c r="L56" s="97">
        <f t="shared" si="2"/>
        <v>35117</v>
      </c>
      <c r="M56" s="80">
        <v>35996</v>
      </c>
    </row>
    <row r="57" spans="1:20" ht="14.25" thickBot="1" x14ac:dyDescent="0.2">
      <c r="A57" s="34" t="s">
        <v>58</v>
      </c>
      <c r="B57" s="35">
        <v>355470</v>
      </c>
      <c r="C57" s="64">
        <v>94776</v>
      </c>
      <c r="D57" s="98">
        <f t="shared" si="1"/>
        <v>450246</v>
      </c>
      <c r="E57" s="48">
        <v>280155</v>
      </c>
      <c r="F57" s="35">
        <v>247226</v>
      </c>
      <c r="G57" s="35">
        <v>270314</v>
      </c>
      <c r="H57" s="35">
        <v>292247</v>
      </c>
      <c r="I57" s="48">
        <v>287944</v>
      </c>
      <c r="J57" s="35">
        <v>270092</v>
      </c>
      <c r="K57" s="64">
        <v>305398</v>
      </c>
      <c r="L57" s="98">
        <f t="shared" si="2"/>
        <v>1953376</v>
      </c>
      <c r="M57" s="81">
        <v>2403622</v>
      </c>
    </row>
    <row r="58" spans="1:20" x14ac:dyDescent="0.15">
      <c r="A58" s="29" t="s">
        <v>59</v>
      </c>
      <c r="B58" s="30">
        <v>20910</v>
      </c>
      <c r="C58" s="62">
        <v>0</v>
      </c>
      <c r="D58" s="96">
        <f t="shared" si="1"/>
        <v>20910</v>
      </c>
      <c r="E58" s="46">
        <v>16320</v>
      </c>
      <c r="F58" s="30">
        <v>12240</v>
      </c>
      <c r="G58" s="30">
        <v>12240</v>
      </c>
      <c r="H58" s="30">
        <v>18360</v>
      </c>
      <c r="I58" s="46">
        <v>17340</v>
      </c>
      <c r="J58" s="30">
        <v>15300</v>
      </c>
      <c r="K58" s="62">
        <v>17340</v>
      </c>
      <c r="L58" s="96">
        <f t="shared" si="2"/>
        <v>109140</v>
      </c>
      <c r="M58" s="79">
        <v>130050</v>
      </c>
    </row>
    <row r="59" spans="1:20" x14ac:dyDescent="0.15">
      <c r="A59" s="16" t="s">
        <v>60</v>
      </c>
      <c r="B59" s="12">
        <v>3690</v>
      </c>
      <c r="C59" s="60">
        <v>0</v>
      </c>
      <c r="D59" s="94">
        <f t="shared" si="1"/>
        <v>3690</v>
      </c>
      <c r="E59" s="44">
        <v>2880</v>
      </c>
      <c r="F59" s="12">
        <v>2160</v>
      </c>
      <c r="G59" s="12">
        <v>2160</v>
      </c>
      <c r="H59" s="12">
        <v>3240</v>
      </c>
      <c r="I59" s="44">
        <v>3060</v>
      </c>
      <c r="J59" s="12">
        <v>2700</v>
      </c>
      <c r="K59" s="60">
        <v>3060</v>
      </c>
      <c r="L59" s="94">
        <f t="shared" si="2"/>
        <v>19260</v>
      </c>
      <c r="M59" s="77">
        <v>22950</v>
      </c>
    </row>
    <row r="60" spans="1:20" x14ac:dyDescent="0.15">
      <c r="A60" s="16" t="s">
        <v>61</v>
      </c>
      <c r="B60" s="12">
        <v>37515</v>
      </c>
      <c r="C60" s="60">
        <v>0</v>
      </c>
      <c r="D60" s="94">
        <f t="shared" si="1"/>
        <v>37515</v>
      </c>
      <c r="E60" s="44">
        <v>29280</v>
      </c>
      <c r="F60" s="12">
        <v>21960</v>
      </c>
      <c r="G60" s="12">
        <v>21960</v>
      </c>
      <c r="H60" s="12">
        <v>32940</v>
      </c>
      <c r="I60" s="44">
        <v>31110</v>
      </c>
      <c r="J60" s="12">
        <v>27450</v>
      </c>
      <c r="K60" s="60">
        <v>31110</v>
      </c>
      <c r="L60" s="94">
        <f t="shared" si="2"/>
        <v>195810</v>
      </c>
      <c r="M60" s="77">
        <v>233325</v>
      </c>
    </row>
    <row r="61" spans="1:20" x14ac:dyDescent="0.15">
      <c r="A61" s="16" t="s">
        <v>62</v>
      </c>
      <c r="B61" s="12">
        <v>0</v>
      </c>
      <c r="C61" s="60">
        <v>0</v>
      </c>
      <c r="D61" s="94">
        <f t="shared" si="1"/>
        <v>0</v>
      </c>
      <c r="E61" s="44">
        <v>0</v>
      </c>
      <c r="F61" s="12">
        <v>0</v>
      </c>
      <c r="G61" s="12">
        <v>0</v>
      </c>
      <c r="H61" s="12">
        <v>0</v>
      </c>
      <c r="I61" s="44">
        <v>0</v>
      </c>
      <c r="J61" s="12">
        <v>0</v>
      </c>
      <c r="K61" s="60">
        <v>0</v>
      </c>
      <c r="L61" s="94">
        <f t="shared" si="2"/>
        <v>0</v>
      </c>
      <c r="M61" s="77">
        <v>0</v>
      </c>
    </row>
    <row r="62" spans="1:20" x14ac:dyDescent="0.15">
      <c r="A62" s="16" t="s">
        <v>63</v>
      </c>
      <c r="B62" s="12">
        <v>1066</v>
      </c>
      <c r="C62" s="60">
        <v>284</v>
      </c>
      <c r="D62" s="94">
        <f t="shared" si="1"/>
        <v>1350</v>
      </c>
      <c r="E62" s="44">
        <v>840</v>
      </c>
      <c r="F62" s="12">
        <v>742</v>
      </c>
      <c r="G62" s="12">
        <v>811</v>
      </c>
      <c r="H62" s="12">
        <v>877</v>
      </c>
      <c r="I62" s="44">
        <v>864</v>
      </c>
      <c r="J62" s="12">
        <v>810</v>
      </c>
      <c r="K62" s="60">
        <v>916</v>
      </c>
      <c r="L62" s="94">
        <f t="shared" si="2"/>
        <v>5860</v>
      </c>
      <c r="M62" s="77">
        <v>7210</v>
      </c>
    </row>
    <row r="63" spans="1:20" x14ac:dyDescent="0.15">
      <c r="A63" s="16" t="s">
        <v>64</v>
      </c>
      <c r="B63" s="12">
        <v>0</v>
      </c>
      <c r="C63" s="60">
        <v>0</v>
      </c>
      <c r="D63" s="94">
        <f t="shared" si="1"/>
        <v>0</v>
      </c>
      <c r="E63" s="44">
        <v>0</v>
      </c>
      <c r="F63" s="12">
        <v>0</v>
      </c>
      <c r="G63" s="12">
        <v>0</v>
      </c>
      <c r="H63" s="12">
        <v>0</v>
      </c>
      <c r="I63" s="44">
        <v>0</v>
      </c>
      <c r="J63" s="12">
        <v>0</v>
      </c>
      <c r="K63" s="60">
        <v>0</v>
      </c>
      <c r="L63" s="94">
        <f t="shared" si="2"/>
        <v>0</v>
      </c>
      <c r="M63" s="77">
        <v>0</v>
      </c>
    </row>
    <row r="64" spans="1:20" ht="14.25" thickBot="1" x14ac:dyDescent="0.2">
      <c r="A64" s="32" t="s">
        <v>65</v>
      </c>
      <c r="B64" s="33">
        <v>63181</v>
      </c>
      <c r="C64" s="63">
        <v>284</v>
      </c>
      <c r="D64" s="97">
        <f t="shared" si="1"/>
        <v>63465</v>
      </c>
      <c r="E64" s="47">
        <v>49320</v>
      </c>
      <c r="F64" s="33">
        <v>37102</v>
      </c>
      <c r="G64" s="33">
        <v>37171</v>
      </c>
      <c r="H64" s="33">
        <v>55417</v>
      </c>
      <c r="I64" s="47">
        <v>52374</v>
      </c>
      <c r="J64" s="33">
        <v>46260</v>
      </c>
      <c r="K64" s="63">
        <v>52426</v>
      </c>
      <c r="L64" s="97">
        <f t="shared" si="2"/>
        <v>330070</v>
      </c>
      <c r="M64" s="80">
        <v>393535</v>
      </c>
    </row>
    <row r="65" spans="1:13" ht="14.25" thickBot="1" x14ac:dyDescent="0.2">
      <c r="A65" s="34" t="s">
        <v>66</v>
      </c>
      <c r="B65" s="35">
        <v>291819</v>
      </c>
      <c r="C65" s="64">
        <v>94083</v>
      </c>
      <c r="D65" s="98">
        <f t="shared" si="1"/>
        <v>385902</v>
      </c>
      <c r="E65" s="48">
        <v>219688</v>
      </c>
      <c r="F65" s="35">
        <v>208654</v>
      </c>
      <c r="G65" s="35">
        <v>228549</v>
      </c>
      <c r="H65" s="35">
        <v>228868</v>
      </c>
      <c r="I65" s="48">
        <v>233610</v>
      </c>
      <c r="J65" s="35">
        <v>221953</v>
      </c>
      <c r="K65" s="64">
        <v>246867</v>
      </c>
      <c r="L65" s="98">
        <f t="shared" si="2"/>
        <v>1588189</v>
      </c>
      <c r="M65" s="81">
        <v>1974091</v>
      </c>
    </row>
    <row r="66" spans="1:13" x14ac:dyDescent="0.15">
      <c r="A66" s="29" t="s">
        <v>67</v>
      </c>
      <c r="B66" s="30">
        <v>6430</v>
      </c>
      <c r="C66" s="62">
        <v>420</v>
      </c>
      <c r="D66" s="96">
        <f t="shared" si="1"/>
        <v>6850</v>
      </c>
      <c r="E66" s="46">
        <v>5470</v>
      </c>
      <c r="F66" s="30">
        <v>5070</v>
      </c>
      <c r="G66" s="30">
        <v>4170</v>
      </c>
      <c r="H66" s="30">
        <v>4180</v>
      </c>
      <c r="I66" s="46">
        <v>2730</v>
      </c>
      <c r="J66" s="30">
        <v>5550</v>
      </c>
      <c r="K66" s="62">
        <v>4820</v>
      </c>
      <c r="L66" s="96">
        <f t="shared" si="2"/>
        <v>31990</v>
      </c>
      <c r="M66" s="79">
        <v>38840</v>
      </c>
    </row>
    <row r="67" spans="1:13" x14ac:dyDescent="0.15">
      <c r="A67" s="16" t="s">
        <v>68</v>
      </c>
      <c r="B67" s="12">
        <v>0</v>
      </c>
      <c r="C67" s="60">
        <v>0</v>
      </c>
      <c r="D67" s="94">
        <f t="shared" si="1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12">
        <v>0</v>
      </c>
      <c r="K67" s="60">
        <v>0</v>
      </c>
      <c r="L67" s="94">
        <f t="shared" si="2"/>
        <v>0</v>
      </c>
      <c r="M67" s="77">
        <v>0</v>
      </c>
    </row>
    <row r="68" spans="1:13" x14ac:dyDescent="0.15">
      <c r="A68" s="16" t="s">
        <v>69</v>
      </c>
      <c r="B68" s="12">
        <v>17100</v>
      </c>
      <c r="C68" s="60">
        <v>0</v>
      </c>
      <c r="D68" s="94">
        <f t="shared" si="1"/>
        <v>17100</v>
      </c>
      <c r="E68" s="44">
        <v>15200</v>
      </c>
      <c r="F68" s="12">
        <v>7100</v>
      </c>
      <c r="G68" s="12">
        <v>10000</v>
      </c>
      <c r="H68" s="12">
        <v>12800</v>
      </c>
      <c r="I68" s="44">
        <v>6900</v>
      </c>
      <c r="J68" s="12">
        <v>13700</v>
      </c>
      <c r="K68" s="60">
        <v>10000</v>
      </c>
      <c r="L68" s="94">
        <f t="shared" si="2"/>
        <v>75700</v>
      </c>
      <c r="M68" s="77">
        <v>92800</v>
      </c>
    </row>
    <row r="69" spans="1:13" x14ac:dyDescent="0.15">
      <c r="A69" s="16" t="s">
        <v>70</v>
      </c>
      <c r="B69" s="12">
        <v>0</v>
      </c>
      <c r="C69" s="60">
        <v>0</v>
      </c>
      <c r="D69" s="94">
        <f t="shared" si="1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12">
        <v>0</v>
      </c>
      <c r="K69" s="60">
        <v>0</v>
      </c>
      <c r="L69" s="94">
        <f t="shared" si="2"/>
        <v>0</v>
      </c>
      <c r="M69" s="77">
        <v>0</v>
      </c>
    </row>
    <row r="70" spans="1:13" x14ac:dyDescent="0.15">
      <c r="A70" s="16" t="s">
        <v>71</v>
      </c>
      <c r="B70" s="12">
        <v>0</v>
      </c>
      <c r="C70" s="60">
        <v>0</v>
      </c>
      <c r="D70" s="94">
        <f t="shared" si="1"/>
        <v>0</v>
      </c>
      <c r="E70" s="44">
        <v>0</v>
      </c>
      <c r="F70" s="12">
        <v>0</v>
      </c>
      <c r="G70" s="12">
        <v>0</v>
      </c>
      <c r="H70" s="12">
        <v>0</v>
      </c>
      <c r="I70" s="44">
        <v>0</v>
      </c>
      <c r="J70" s="12">
        <v>0</v>
      </c>
      <c r="K70" s="60">
        <v>0</v>
      </c>
      <c r="L70" s="94">
        <f t="shared" si="2"/>
        <v>0</v>
      </c>
      <c r="M70" s="77">
        <v>0</v>
      </c>
    </row>
    <row r="71" spans="1:13" x14ac:dyDescent="0.15">
      <c r="A71" s="16" t="s">
        <v>72</v>
      </c>
      <c r="B71" s="12">
        <v>0</v>
      </c>
      <c r="C71" s="60">
        <v>0</v>
      </c>
      <c r="D71" s="94">
        <f t="shared" si="1"/>
        <v>0</v>
      </c>
      <c r="E71" s="44">
        <v>0</v>
      </c>
      <c r="F71" s="12">
        <v>0</v>
      </c>
      <c r="G71" s="12">
        <v>0</v>
      </c>
      <c r="H71" s="12">
        <v>0</v>
      </c>
      <c r="I71" s="44">
        <v>0</v>
      </c>
      <c r="J71" s="12">
        <v>0</v>
      </c>
      <c r="K71" s="60">
        <v>0</v>
      </c>
      <c r="L71" s="94">
        <f t="shared" si="2"/>
        <v>0</v>
      </c>
      <c r="M71" s="77">
        <v>0</v>
      </c>
    </row>
    <row r="72" spans="1:13" ht="14.25" thickBot="1" x14ac:dyDescent="0.2">
      <c r="A72" s="32" t="s">
        <v>73</v>
      </c>
      <c r="B72" s="33">
        <v>23530</v>
      </c>
      <c r="C72" s="63">
        <v>420</v>
      </c>
      <c r="D72" s="97">
        <f t="shared" si="1"/>
        <v>23950</v>
      </c>
      <c r="E72" s="47">
        <v>20670</v>
      </c>
      <c r="F72" s="33">
        <v>12170</v>
      </c>
      <c r="G72" s="33">
        <v>14170</v>
      </c>
      <c r="H72" s="33">
        <v>16980</v>
      </c>
      <c r="I72" s="47">
        <v>9630</v>
      </c>
      <c r="J72" s="33">
        <v>19250</v>
      </c>
      <c r="K72" s="63">
        <v>14820</v>
      </c>
      <c r="L72" s="97">
        <f t="shared" si="2"/>
        <v>107690</v>
      </c>
      <c r="M72" s="80">
        <v>131640</v>
      </c>
    </row>
    <row r="73" spans="1:13" ht="14.25" thickBot="1" x14ac:dyDescent="0.2">
      <c r="A73" s="34" t="s">
        <v>74</v>
      </c>
      <c r="B73" s="35">
        <v>86711</v>
      </c>
      <c r="C73" s="64">
        <v>704</v>
      </c>
      <c r="D73" s="98">
        <f t="shared" si="1"/>
        <v>87415</v>
      </c>
      <c r="E73" s="48">
        <v>69990</v>
      </c>
      <c r="F73" s="35">
        <v>49272</v>
      </c>
      <c r="G73" s="35">
        <v>51341</v>
      </c>
      <c r="H73" s="35">
        <v>72397</v>
      </c>
      <c r="I73" s="48">
        <v>62004</v>
      </c>
      <c r="J73" s="35">
        <v>65510</v>
      </c>
      <c r="K73" s="64">
        <v>67246</v>
      </c>
      <c r="L73" s="98">
        <f t="shared" si="2"/>
        <v>437760</v>
      </c>
      <c r="M73" s="81">
        <v>525175</v>
      </c>
    </row>
    <row r="74" spans="1:13" ht="14.25" thickBot="1" x14ac:dyDescent="0.2">
      <c r="A74" s="34" t="s">
        <v>75</v>
      </c>
      <c r="B74" s="35">
        <v>268759</v>
      </c>
      <c r="C74" s="64">
        <v>94072</v>
      </c>
      <c r="D74" s="98">
        <f t="shared" si="1"/>
        <v>362831</v>
      </c>
      <c r="E74" s="48">
        <v>210165</v>
      </c>
      <c r="F74" s="35">
        <v>197954</v>
      </c>
      <c r="G74" s="35">
        <v>218973</v>
      </c>
      <c r="H74" s="35">
        <v>219850</v>
      </c>
      <c r="I74" s="48">
        <v>225940</v>
      </c>
      <c r="J74" s="35">
        <v>204582</v>
      </c>
      <c r="K74" s="64">
        <v>238152</v>
      </c>
      <c r="L74" s="98">
        <f t="shared" si="2"/>
        <v>1515616</v>
      </c>
      <c r="M74" s="81">
        <v>1878447</v>
      </c>
    </row>
    <row r="75" spans="1:13" x14ac:dyDescent="0.15">
      <c r="A75" s="29" t="s">
        <v>76</v>
      </c>
      <c r="B75" s="30">
        <v>0</v>
      </c>
      <c r="C75" s="62">
        <v>0</v>
      </c>
      <c r="D75" s="96">
        <f t="shared" si="1"/>
        <v>0</v>
      </c>
      <c r="E75" s="46">
        <v>0</v>
      </c>
      <c r="F75" s="30">
        <v>0</v>
      </c>
      <c r="G75" s="30">
        <v>0</v>
      </c>
      <c r="H75" s="30">
        <v>0</v>
      </c>
      <c r="I75" s="46">
        <v>0</v>
      </c>
      <c r="J75" s="30">
        <v>0</v>
      </c>
      <c r="K75" s="62">
        <v>0</v>
      </c>
      <c r="L75" s="96">
        <f t="shared" si="2"/>
        <v>0</v>
      </c>
      <c r="M75" s="79">
        <v>0</v>
      </c>
    </row>
    <row r="76" spans="1:13" x14ac:dyDescent="0.15">
      <c r="A76" s="16" t="s">
        <v>77</v>
      </c>
      <c r="B76" s="12">
        <v>268759</v>
      </c>
      <c r="C76" s="60">
        <v>94072</v>
      </c>
      <c r="D76" s="94">
        <f t="shared" si="1"/>
        <v>362831</v>
      </c>
      <c r="E76" s="44">
        <v>210165</v>
      </c>
      <c r="F76" s="12">
        <v>197954</v>
      </c>
      <c r="G76" s="12">
        <v>218973</v>
      </c>
      <c r="H76" s="12">
        <v>219850</v>
      </c>
      <c r="I76" s="44">
        <v>225940</v>
      </c>
      <c r="J76" s="12">
        <v>204582</v>
      </c>
      <c r="K76" s="60">
        <v>238152</v>
      </c>
      <c r="L76" s="94">
        <f t="shared" si="2"/>
        <v>1515616</v>
      </c>
      <c r="M76" s="77">
        <v>1878447</v>
      </c>
    </row>
    <row r="77" spans="1:13" x14ac:dyDescent="0.15">
      <c r="A77" s="16" t="s">
        <v>78</v>
      </c>
      <c r="B77" s="13">
        <v>39</v>
      </c>
      <c r="C77" s="65">
        <v>21</v>
      </c>
      <c r="D77" s="99"/>
      <c r="E77" s="49">
        <v>32</v>
      </c>
      <c r="F77" s="13">
        <v>9</v>
      </c>
      <c r="G77" s="13">
        <v>15</v>
      </c>
      <c r="H77" s="13">
        <v>36</v>
      </c>
      <c r="I77" s="49">
        <v>30</v>
      </c>
      <c r="J77" s="13">
        <v>32</v>
      </c>
      <c r="K77" s="65">
        <v>36</v>
      </c>
      <c r="L77" s="99"/>
      <c r="M77" s="82">
        <v>250</v>
      </c>
    </row>
    <row r="78" spans="1:13" x14ac:dyDescent="0.15">
      <c r="A78" s="16" t="s">
        <v>79</v>
      </c>
      <c r="B78" s="14">
        <v>1</v>
      </c>
      <c r="C78" s="66"/>
      <c r="D78" s="100"/>
      <c r="E78" s="50"/>
      <c r="F78" s="14"/>
      <c r="G78" s="14">
        <v>1</v>
      </c>
      <c r="H78" s="14">
        <v>1</v>
      </c>
      <c r="I78" s="50">
        <v>2</v>
      </c>
      <c r="J78" s="14"/>
      <c r="K78" s="66">
        <v>1</v>
      </c>
      <c r="L78" s="100"/>
      <c r="M78" s="83"/>
    </row>
    <row r="79" spans="1:13" ht="14.25" thickBot="1" x14ac:dyDescent="0.2">
      <c r="A79" s="17" t="s">
        <v>80</v>
      </c>
      <c r="B79" s="18" t="s">
        <v>81</v>
      </c>
      <c r="C79" s="67" t="s">
        <v>81</v>
      </c>
      <c r="D79" s="101"/>
      <c r="E79" s="51" t="s">
        <v>81</v>
      </c>
      <c r="F79" s="18" t="s">
        <v>81</v>
      </c>
      <c r="G79" s="18" t="s">
        <v>81</v>
      </c>
      <c r="H79" s="18" t="s">
        <v>81</v>
      </c>
      <c r="I79" s="51" t="s">
        <v>81</v>
      </c>
      <c r="J79" s="18" t="s">
        <v>81</v>
      </c>
      <c r="K79" s="67" t="s">
        <v>81</v>
      </c>
      <c r="L79" s="101"/>
      <c r="M79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2020-07-13T08:27:26Z</cp:lastPrinted>
  <dcterms:created xsi:type="dcterms:W3CDTF">2011-10-11T01:59:58Z</dcterms:created>
  <dcterms:modified xsi:type="dcterms:W3CDTF">2020-07-14T01:30:04Z</dcterms:modified>
</cp:coreProperties>
</file>