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冬季賞与\"/>
    </mc:Choice>
  </mc:AlternateContent>
  <xr:revisionPtr revIDLastSave="0" documentId="13_ncr:1_{A9509056-5BC8-4F6D-BE27-1F0B1BAEC01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M23" i="2" l="1"/>
  <c r="M24" i="2"/>
  <c r="M25" i="2"/>
  <c r="M26" i="2"/>
  <c r="M27" i="2"/>
  <c r="M28" i="2"/>
  <c r="M22" i="2"/>
  <c r="M9" i="2"/>
  <c r="M10" i="2"/>
  <c r="M11" i="2"/>
  <c r="M12" i="2"/>
  <c r="M13" i="2"/>
  <c r="M14" i="2"/>
  <c r="M15" i="2"/>
  <c r="M16" i="2"/>
  <c r="M17" i="2"/>
  <c r="M18" i="2"/>
  <c r="M19" i="2"/>
  <c r="M20" i="2"/>
  <c r="M8" i="2"/>
  <c r="M6" i="2"/>
  <c r="E23" i="2"/>
  <c r="E24" i="2"/>
  <c r="E25" i="2"/>
  <c r="E26" i="2"/>
  <c r="E27" i="2"/>
  <c r="E28" i="2"/>
  <c r="E22" i="2"/>
  <c r="E10" i="2"/>
  <c r="E11" i="2"/>
  <c r="E12" i="2"/>
  <c r="E13" i="2"/>
  <c r="E14" i="2"/>
  <c r="E15" i="2"/>
  <c r="E16" i="2"/>
  <c r="E17" i="2"/>
  <c r="E18" i="2"/>
  <c r="E19" i="2"/>
  <c r="E20" i="2"/>
  <c r="E9" i="2"/>
  <c r="E6" i="2"/>
</calcChain>
</file>

<file path=xl/sharedStrings.xml><?xml version="1.0" encoding="utf-8"?>
<sst xmlns="http://schemas.openxmlformats.org/spreadsheetml/2006/main" count="65" uniqueCount="45">
  <si>
    <t>所　属</t>
  </si>
  <si>
    <t>社　員</t>
  </si>
  <si>
    <t>賞与分</t>
  </si>
  <si>
    <t>若林運送株式会社</t>
  </si>
  <si>
    <t>仙台営業所</t>
  </si>
  <si>
    <t>井上　隆良</t>
  </si>
  <si>
    <t>刈谷　俊之</t>
  </si>
  <si>
    <t>大沼　幸夫</t>
  </si>
  <si>
    <t>佐藤　禎尚</t>
  </si>
  <si>
    <t>佐藤　守</t>
  </si>
  <si>
    <t>賞与</t>
  </si>
  <si>
    <t>役員賞与</t>
  </si>
  <si>
    <t>職位加算</t>
  </si>
  <si>
    <t>職責加算</t>
  </si>
  <si>
    <t>課税支給合計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</si>
  <si>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</si>
  <si>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</si>
  <si>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</si>
  <si>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</si>
  <si>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</si>
  <si>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</si>
  <si>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</si>
  <si>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社保控除合計</t>
  </si>
  <si>
    <t>課税対象額</t>
  </si>
  <si>
    <t>前月課税対象額</t>
  </si>
  <si>
    <t>税率(％)</t>
  </si>
  <si>
    <t>所得税</t>
  </si>
  <si>
    <t>年調精算額</t>
  </si>
  <si>
    <t>その他控除合計</t>
  </si>
  <si>
    <t>控除合計</t>
  </si>
  <si>
    <t>差引支給額</t>
  </si>
  <si>
    <t>現金支給額</t>
  </si>
  <si>
    <t>振込支給額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</si>
  <si>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</si>
  <si>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</si>
  <si>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</si>
  <si>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</si>
  <si>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</si>
  <si>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</si>
  <si>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</si>
  <si>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</si>
  <si>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全社計</t>
  </si>
  <si>
    <t>10名</t>
  </si>
  <si>
    <t>小計</t>
    <rPh sb="0" eb="2">
      <t>ショウケイ</t>
    </rPh>
    <phoneticPr fontId="1"/>
  </si>
  <si>
    <t>３名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</si>
</sst>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8" fontId="2" fillId="0" borderId="0" xfId="0" applyNumberFormat="1" applyFont="1" applyBorder="1">
      <alignment vertical="center"/>
    </xf>
    <xf numFmtId="179" fontId="2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>
      <alignment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179" fontId="2" fillId="0" borderId="8" xfId="0" applyNumberFormat="1" applyFont="1" applyFill="1" applyBorder="1">
      <alignment vertical="center"/>
    </xf>
    <xf numFmtId="0" fontId="2" fillId="0" borderId="13" xfId="0" applyFont="1" applyFill="1" applyBorder="1">
      <alignment vertical="center"/>
    </xf>
    <xf numFmtId="179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179" fontId="2" fillId="0" borderId="16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8" xfId="0" applyNumberFormat="1" applyFont="1" applyFill="1" applyBorder="1">
      <alignment vertical="center"/>
    </xf>
    <xf numFmtId="179" fontId="2" fillId="0" borderId="22" xfId="0" applyNumberFormat="1" applyFont="1" applyFill="1" applyBorder="1">
      <alignment vertical="center"/>
    </xf>
    <xf numFmtId="179" fontId="2" fillId="0" borderId="23" xfId="0" applyNumberFormat="1" applyFont="1" applyFill="1" applyBorder="1">
      <alignment vertical="center"/>
    </xf>
    <xf numFmtId="179" fontId="2" fillId="0" borderId="24" xfId="0" applyNumberFormat="1" applyFont="1" applyFill="1" applyBorder="1">
      <alignment vertical="center"/>
    </xf>
    <xf numFmtId="179" fontId="2" fillId="0" borderId="20" xfId="0" applyNumberFormat="1" applyFont="1" applyFill="1" applyBorder="1" applyAlignment="1">
      <alignment horizontal="center" vertical="center"/>
    </xf>
    <xf numFmtId="179" fontId="2" fillId="0" borderId="21" xfId="0" applyNumberFormat="1" applyFont="1" applyFill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30" xfId="0" applyNumberFormat="1" applyFont="1" applyFill="1" applyBorder="1">
      <alignment vertical="center"/>
    </xf>
    <xf numFmtId="179" fontId="2" fillId="0" borderId="31" xfId="0" applyNumberFormat="1" applyFont="1" applyFill="1" applyBorder="1">
      <alignment vertical="center"/>
    </xf>
    <xf numFmtId="179" fontId="2" fillId="0" borderId="32" xfId="0" applyNumberFormat="1" applyFont="1" applyFill="1" applyBorder="1">
      <alignment vertical="center"/>
    </xf>
    <xf numFmtId="179" fontId="2" fillId="0" borderId="28" xfId="0" applyNumberFormat="1" applyFont="1" applyFill="1" applyBorder="1" applyAlignment="1">
      <alignment horizontal="center" vertical="center"/>
    </xf>
    <xf numFmtId="179" fontId="2" fillId="0" borderId="29" xfId="0" applyNumberFormat="1" applyFont="1" applyFill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9" xfId="0" applyNumberFormat="1" applyFont="1" applyFill="1" applyBorder="1">
      <alignment vertical="center"/>
    </xf>
    <xf numFmtId="179" fontId="2" fillId="0" borderId="40" xfId="0" applyNumberFormat="1" applyFont="1" applyFill="1" applyBorder="1">
      <alignment vertical="center"/>
    </xf>
    <xf numFmtId="179" fontId="2" fillId="0" borderId="41" xfId="0" applyNumberFormat="1" applyFont="1" applyFill="1" applyBorder="1">
      <alignment vertical="center"/>
    </xf>
    <xf numFmtId="179" fontId="2" fillId="0" borderId="37" xfId="0" applyNumberFormat="1" applyFont="1" applyFill="1" applyBorder="1" applyAlignment="1">
      <alignment horizontal="center" vertical="center"/>
    </xf>
    <xf numFmtId="179" fontId="2" fillId="0" borderId="38" xfId="0" applyNumberFormat="1" applyFont="1" applyFill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33" xfId="0" applyNumberFormat="1" applyFont="1" applyFill="1" applyBorder="1">
      <alignment vertical="center"/>
    </xf>
    <xf numFmtId="179" fontId="2" fillId="0" borderId="47" xfId="0" applyNumberFormat="1" applyFont="1" applyFill="1" applyBorder="1">
      <alignment vertical="center"/>
    </xf>
    <xf numFmtId="179" fontId="2" fillId="0" borderId="48" xfId="0" applyNumberFormat="1" applyFont="1" applyFill="1" applyBorder="1">
      <alignment vertical="center"/>
    </xf>
    <xf numFmtId="179" fontId="2" fillId="0" borderId="45" xfId="0" applyNumberFormat="1" applyFont="1" applyFill="1" applyBorder="1" applyAlignment="1">
      <alignment horizontal="center" vertical="center"/>
    </xf>
    <xf numFmtId="179" fontId="2" fillId="0" borderId="46" xfId="0" applyNumberFormat="1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0" fontId="2" fillId="0" borderId="46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8A2E-FA69-43B3-901A-72C29648476D}">
  <dimension ref="A1:AL52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4" width="12" style="2" customWidth="1"/>
    <col min="15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1"/>
      <c r="G1" s="9"/>
      <c r="H1" s="1"/>
      <c r="I1" s="10"/>
      <c r="J1" s="1"/>
      <c r="K1" s="9"/>
      <c r="L1" s="1"/>
      <c r="M1" s="1"/>
      <c r="N1" s="1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6" t="s">
        <v>0</v>
      </c>
      <c r="B3" s="17" t="s">
        <v>4</v>
      </c>
      <c r="C3" s="17" t="s">
        <v>4</v>
      </c>
      <c r="D3" s="42" t="s">
        <v>4</v>
      </c>
      <c r="E3" s="76" t="s">
        <v>43</v>
      </c>
      <c r="F3" s="31" t="s">
        <v>4</v>
      </c>
      <c r="G3" s="17" t="s">
        <v>4</v>
      </c>
      <c r="H3" s="17" t="s">
        <v>4</v>
      </c>
      <c r="I3" s="17" t="s">
        <v>4</v>
      </c>
      <c r="J3" s="31" t="s">
        <v>4</v>
      </c>
      <c r="K3" s="17" t="s">
        <v>4</v>
      </c>
      <c r="L3" s="42" t="s">
        <v>4</v>
      </c>
      <c r="M3" s="65" t="s">
        <v>43</v>
      </c>
      <c r="N3" s="53" t="s">
        <v>41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8"/>
      <c r="B4" s="19">
        <v>1043</v>
      </c>
      <c r="C4" s="19">
        <v>1093</v>
      </c>
      <c r="D4" s="43">
        <v>1072</v>
      </c>
      <c r="E4" s="77"/>
      <c r="F4" s="32">
        <v>1046</v>
      </c>
      <c r="G4" s="19">
        <v>1083</v>
      </c>
      <c r="H4" s="19">
        <v>1084</v>
      </c>
      <c r="I4" s="19">
        <v>1037</v>
      </c>
      <c r="J4" s="32">
        <v>1038</v>
      </c>
      <c r="K4" s="19">
        <v>1042</v>
      </c>
      <c r="L4" s="43">
        <v>1091</v>
      </c>
      <c r="M4" s="66"/>
      <c r="N4" s="5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8" t="s">
        <v>1</v>
      </c>
      <c r="B5" s="19" t="s">
        <v>38</v>
      </c>
      <c r="C5" s="19" t="s">
        <v>8</v>
      </c>
      <c r="D5" s="43" t="s">
        <v>40</v>
      </c>
      <c r="E5" s="78" t="s">
        <v>44</v>
      </c>
      <c r="F5" s="32" t="s">
        <v>5</v>
      </c>
      <c r="G5" s="19" t="s">
        <v>6</v>
      </c>
      <c r="H5" s="19" t="s">
        <v>7</v>
      </c>
      <c r="I5" s="19" t="s">
        <v>9</v>
      </c>
      <c r="J5" s="32" t="s">
        <v>36</v>
      </c>
      <c r="K5" s="19" t="s">
        <v>37</v>
      </c>
      <c r="L5" s="43" t="s">
        <v>39</v>
      </c>
      <c r="M5" s="66" t="s">
        <v>44</v>
      </c>
      <c r="N5" s="55" t="s">
        <v>42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0" t="s">
        <v>10</v>
      </c>
      <c r="B6" s="21">
        <v>75000</v>
      </c>
      <c r="C6" s="21">
        <v>0</v>
      </c>
      <c r="D6" s="44">
        <v>0</v>
      </c>
      <c r="E6" s="67">
        <f>SUM(B6:D6)</f>
        <v>75000</v>
      </c>
      <c r="F6" s="33">
        <v>75000</v>
      </c>
      <c r="G6" s="21">
        <v>56000</v>
      </c>
      <c r="H6" s="21">
        <v>56000</v>
      </c>
      <c r="I6" s="21">
        <v>75000</v>
      </c>
      <c r="J6" s="33">
        <v>63000</v>
      </c>
      <c r="K6" s="21">
        <v>75000</v>
      </c>
      <c r="L6" s="44">
        <v>0</v>
      </c>
      <c r="M6" s="67">
        <f>SUM(F6:L6)</f>
        <v>400000</v>
      </c>
      <c r="N6" s="56">
        <v>475000</v>
      </c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11</v>
      </c>
      <c r="B7" s="11">
        <v>0</v>
      </c>
      <c r="C7" s="11">
        <v>0</v>
      </c>
      <c r="D7" s="45">
        <v>0</v>
      </c>
      <c r="E7" s="68"/>
      <c r="F7" s="34">
        <v>0</v>
      </c>
      <c r="G7" s="11">
        <v>0</v>
      </c>
      <c r="H7" s="11">
        <v>0</v>
      </c>
      <c r="I7" s="11">
        <v>0</v>
      </c>
      <c r="J7" s="34">
        <v>0</v>
      </c>
      <c r="K7" s="11">
        <v>0</v>
      </c>
      <c r="L7" s="45">
        <v>0</v>
      </c>
      <c r="M7" s="68"/>
      <c r="N7" s="57">
        <v>0</v>
      </c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12</v>
      </c>
      <c r="B8" s="11">
        <v>0</v>
      </c>
      <c r="C8" s="11">
        <v>0</v>
      </c>
      <c r="D8" s="45">
        <v>0</v>
      </c>
      <c r="E8" s="68"/>
      <c r="F8" s="34">
        <v>0</v>
      </c>
      <c r="G8" s="11">
        <v>0</v>
      </c>
      <c r="H8" s="11">
        <v>0</v>
      </c>
      <c r="I8" s="11">
        <v>15000</v>
      </c>
      <c r="J8" s="34">
        <v>0</v>
      </c>
      <c r="K8" s="11">
        <v>0</v>
      </c>
      <c r="L8" s="45">
        <v>0</v>
      </c>
      <c r="M8" s="68">
        <f>SUM(F8:L8)</f>
        <v>15000</v>
      </c>
      <c r="N8" s="57">
        <v>15000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13</v>
      </c>
      <c r="B9" s="11">
        <v>3000</v>
      </c>
      <c r="C9" s="11">
        <v>0</v>
      </c>
      <c r="D9" s="45">
        <v>0</v>
      </c>
      <c r="E9" s="68">
        <f>SUM(B9:D9)</f>
        <v>3000</v>
      </c>
      <c r="F9" s="34">
        <v>0</v>
      </c>
      <c r="G9" s="11">
        <v>0</v>
      </c>
      <c r="H9" s="11">
        <v>0</v>
      </c>
      <c r="I9" s="11">
        <v>3000</v>
      </c>
      <c r="J9" s="34">
        <v>5000</v>
      </c>
      <c r="K9" s="11">
        <v>0</v>
      </c>
      <c r="L9" s="45">
        <v>0</v>
      </c>
      <c r="M9" s="68">
        <f t="shared" ref="M9:M20" si="0">SUM(F9:L9)</f>
        <v>8000</v>
      </c>
      <c r="N9" s="57">
        <v>11000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thickBot="1" x14ac:dyDescent="0.2">
      <c r="A10" s="14" t="s">
        <v>14</v>
      </c>
      <c r="B10" s="24">
        <v>78000</v>
      </c>
      <c r="C10" s="24">
        <v>0</v>
      </c>
      <c r="D10" s="46">
        <v>0</v>
      </c>
      <c r="E10" s="69">
        <f t="shared" ref="E10:E20" si="1">SUM(B10:D10)</f>
        <v>78000</v>
      </c>
      <c r="F10" s="35">
        <v>75000</v>
      </c>
      <c r="G10" s="24">
        <v>56000</v>
      </c>
      <c r="H10" s="24">
        <v>56000</v>
      </c>
      <c r="I10" s="24">
        <v>93000</v>
      </c>
      <c r="J10" s="35">
        <v>68000</v>
      </c>
      <c r="K10" s="24">
        <v>75000</v>
      </c>
      <c r="L10" s="46">
        <v>0</v>
      </c>
      <c r="M10" s="69">
        <f t="shared" si="0"/>
        <v>423000</v>
      </c>
      <c r="N10" s="58">
        <v>501000</v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14.25" thickBot="1" x14ac:dyDescent="0.2">
      <c r="A11" s="25" t="s">
        <v>15</v>
      </c>
      <c r="B11" s="26">
        <v>0</v>
      </c>
      <c r="C11" s="26">
        <v>0</v>
      </c>
      <c r="D11" s="47">
        <v>0</v>
      </c>
      <c r="E11" s="70">
        <f t="shared" si="1"/>
        <v>0</v>
      </c>
      <c r="F11" s="36">
        <v>0</v>
      </c>
      <c r="G11" s="26">
        <v>0</v>
      </c>
      <c r="H11" s="26">
        <v>0</v>
      </c>
      <c r="I11" s="26">
        <v>0</v>
      </c>
      <c r="J11" s="36">
        <v>0</v>
      </c>
      <c r="K11" s="26">
        <v>0</v>
      </c>
      <c r="L11" s="47">
        <v>0</v>
      </c>
      <c r="M11" s="70">
        <f t="shared" si="0"/>
        <v>0</v>
      </c>
      <c r="N11" s="59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thickBot="1" x14ac:dyDescent="0.2">
      <c r="A12" s="27" t="s">
        <v>16</v>
      </c>
      <c r="B12" s="28">
        <v>78000</v>
      </c>
      <c r="C12" s="28">
        <v>0</v>
      </c>
      <c r="D12" s="48">
        <v>0</v>
      </c>
      <c r="E12" s="71">
        <f t="shared" si="1"/>
        <v>78000</v>
      </c>
      <c r="F12" s="37">
        <v>75000</v>
      </c>
      <c r="G12" s="28">
        <v>56000</v>
      </c>
      <c r="H12" s="28">
        <v>56000</v>
      </c>
      <c r="I12" s="28">
        <v>93000</v>
      </c>
      <c r="J12" s="37">
        <v>68000</v>
      </c>
      <c r="K12" s="28">
        <v>75000</v>
      </c>
      <c r="L12" s="48">
        <v>0</v>
      </c>
      <c r="M12" s="71">
        <f t="shared" si="0"/>
        <v>423000</v>
      </c>
      <c r="N12" s="60">
        <v>501000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22" t="s">
        <v>17</v>
      </c>
      <c r="B13" s="23">
        <v>3978</v>
      </c>
      <c r="C13" s="23">
        <v>0</v>
      </c>
      <c r="D13" s="49">
        <v>0</v>
      </c>
      <c r="E13" s="72">
        <f t="shared" si="1"/>
        <v>3978</v>
      </c>
      <c r="F13" s="38">
        <v>3825</v>
      </c>
      <c r="G13" s="23">
        <v>2856</v>
      </c>
      <c r="H13" s="23">
        <v>2856</v>
      </c>
      <c r="I13" s="23">
        <v>4743</v>
      </c>
      <c r="J13" s="38">
        <v>3468</v>
      </c>
      <c r="K13" s="23">
        <v>3825</v>
      </c>
      <c r="L13" s="49">
        <v>0</v>
      </c>
      <c r="M13" s="72">
        <f t="shared" si="0"/>
        <v>21573</v>
      </c>
      <c r="N13" s="61">
        <v>25551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18</v>
      </c>
      <c r="B14" s="11">
        <v>702</v>
      </c>
      <c r="C14" s="11">
        <v>0</v>
      </c>
      <c r="D14" s="45">
        <v>0</v>
      </c>
      <c r="E14" s="68">
        <f t="shared" si="1"/>
        <v>702</v>
      </c>
      <c r="F14" s="34">
        <v>675</v>
      </c>
      <c r="G14" s="11">
        <v>504</v>
      </c>
      <c r="H14" s="11">
        <v>504</v>
      </c>
      <c r="I14" s="11">
        <v>837</v>
      </c>
      <c r="J14" s="34">
        <v>612</v>
      </c>
      <c r="K14" s="11">
        <v>675</v>
      </c>
      <c r="L14" s="45">
        <v>0</v>
      </c>
      <c r="M14" s="68">
        <f t="shared" si="0"/>
        <v>3807</v>
      </c>
      <c r="N14" s="57">
        <v>4509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19</v>
      </c>
      <c r="B15" s="11">
        <v>7137</v>
      </c>
      <c r="C15" s="11">
        <v>0</v>
      </c>
      <c r="D15" s="45">
        <v>0</v>
      </c>
      <c r="E15" s="68">
        <f t="shared" si="1"/>
        <v>7137</v>
      </c>
      <c r="F15" s="34">
        <v>6862</v>
      </c>
      <c r="G15" s="11">
        <v>5124</v>
      </c>
      <c r="H15" s="11">
        <v>5124</v>
      </c>
      <c r="I15" s="11">
        <v>8509</v>
      </c>
      <c r="J15" s="34">
        <v>6222</v>
      </c>
      <c r="K15" s="11">
        <v>6862</v>
      </c>
      <c r="L15" s="45">
        <v>0</v>
      </c>
      <c r="M15" s="68">
        <f t="shared" si="0"/>
        <v>38703</v>
      </c>
      <c r="N15" s="57">
        <v>45840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20</v>
      </c>
      <c r="B16" s="11">
        <v>0</v>
      </c>
      <c r="C16" s="11">
        <v>0</v>
      </c>
      <c r="D16" s="45">
        <v>0</v>
      </c>
      <c r="E16" s="68">
        <f t="shared" si="1"/>
        <v>0</v>
      </c>
      <c r="F16" s="34">
        <v>0</v>
      </c>
      <c r="G16" s="11">
        <v>0</v>
      </c>
      <c r="H16" s="11">
        <v>0</v>
      </c>
      <c r="I16" s="11">
        <v>0</v>
      </c>
      <c r="J16" s="34">
        <v>0</v>
      </c>
      <c r="K16" s="11">
        <v>0</v>
      </c>
      <c r="L16" s="45">
        <v>0</v>
      </c>
      <c r="M16" s="68">
        <f t="shared" si="0"/>
        <v>0</v>
      </c>
      <c r="N16" s="57">
        <v>0</v>
      </c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21</v>
      </c>
      <c r="B17" s="11">
        <v>234</v>
      </c>
      <c r="C17" s="11">
        <v>0</v>
      </c>
      <c r="D17" s="45">
        <v>0</v>
      </c>
      <c r="E17" s="68">
        <f t="shared" si="1"/>
        <v>234</v>
      </c>
      <c r="F17" s="34">
        <v>225</v>
      </c>
      <c r="G17" s="11">
        <v>168</v>
      </c>
      <c r="H17" s="11">
        <v>168</v>
      </c>
      <c r="I17" s="11">
        <v>279</v>
      </c>
      <c r="J17" s="34">
        <v>204</v>
      </c>
      <c r="K17" s="11">
        <v>225</v>
      </c>
      <c r="L17" s="45">
        <v>0</v>
      </c>
      <c r="M17" s="68">
        <f t="shared" si="0"/>
        <v>1269</v>
      </c>
      <c r="N17" s="57">
        <v>1503</v>
      </c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4.25" thickBot="1" x14ac:dyDescent="0.2">
      <c r="A18" s="29" t="s">
        <v>22</v>
      </c>
      <c r="B18" s="30">
        <v>12051</v>
      </c>
      <c r="C18" s="30">
        <v>0</v>
      </c>
      <c r="D18" s="50">
        <v>0</v>
      </c>
      <c r="E18" s="73">
        <f t="shared" si="1"/>
        <v>12051</v>
      </c>
      <c r="F18" s="39">
        <v>11587</v>
      </c>
      <c r="G18" s="30">
        <v>8652</v>
      </c>
      <c r="H18" s="30">
        <v>8652</v>
      </c>
      <c r="I18" s="30">
        <v>14368</v>
      </c>
      <c r="J18" s="39">
        <v>10506</v>
      </c>
      <c r="K18" s="30">
        <v>11587</v>
      </c>
      <c r="L18" s="50">
        <v>0</v>
      </c>
      <c r="M18" s="73">
        <f t="shared" si="0"/>
        <v>65352</v>
      </c>
      <c r="N18" s="62">
        <v>77403</v>
      </c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4.25" thickBot="1" x14ac:dyDescent="0.2">
      <c r="A19" s="27" t="s">
        <v>23</v>
      </c>
      <c r="B19" s="28">
        <v>65949</v>
      </c>
      <c r="C19" s="28">
        <v>0</v>
      </c>
      <c r="D19" s="48">
        <v>0</v>
      </c>
      <c r="E19" s="71">
        <f t="shared" si="1"/>
        <v>65949</v>
      </c>
      <c r="F19" s="37">
        <v>63413</v>
      </c>
      <c r="G19" s="28">
        <v>47348</v>
      </c>
      <c r="H19" s="28">
        <v>47348</v>
      </c>
      <c r="I19" s="28">
        <v>78632</v>
      </c>
      <c r="J19" s="37">
        <v>57494</v>
      </c>
      <c r="K19" s="28">
        <v>63413</v>
      </c>
      <c r="L19" s="48">
        <v>0</v>
      </c>
      <c r="M19" s="71">
        <f t="shared" si="0"/>
        <v>357648</v>
      </c>
      <c r="N19" s="60">
        <v>423597</v>
      </c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22" t="s">
        <v>24</v>
      </c>
      <c r="B20" s="23">
        <v>320542</v>
      </c>
      <c r="C20" s="23">
        <v>195188</v>
      </c>
      <c r="D20" s="49">
        <v>116668</v>
      </c>
      <c r="E20" s="72">
        <f t="shared" si="1"/>
        <v>632398</v>
      </c>
      <c r="F20" s="38">
        <v>319438</v>
      </c>
      <c r="G20" s="23">
        <v>326773</v>
      </c>
      <c r="H20" s="23">
        <v>301150</v>
      </c>
      <c r="I20" s="23">
        <v>340993</v>
      </c>
      <c r="J20" s="38">
        <v>338708</v>
      </c>
      <c r="K20" s="23">
        <v>330705</v>
      </c>
      <c r="L20" s="49">
        <v>254662</v>
      </c>
      <c r="M20" s="72">
        <f t="shared" si="0"/>
        <v>2212429</v>
      </c>
      <c r="N20" s="61">
        <v>2844827</v>
      </c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25</v>
      </c>
      <c r="B21" s="11">
        <v>6.1260000000000003</v>
      </c>
      <c r="C21" s="11">
        <v>4.0839999999999996</v>
      </c>
      <c r="D21" s="45">
        <v>4.0839999999999996</v>
      </c>
      <c r="E21" s="68"/>
      <c r="F21" s="34">
        <v>8.1679999999999993</v>
      </c>
      <c r="G21" s="11">
        <v>8.1679999999999993</v>
      </c>
      <c r="H21" s="11">
        <v>6.1260000000000003</v>
      </c>
      <c r="I21" s="11">
        <v>8.1679999999999993</v>
      </c>
      <c r="J21" s="34">
        <v>6.1260000000000003</v>
      </c>
      <c r="K21" s="11">
        <v>8.1679999999999993</v>
      </c>
      <c r="L21" s="45">
        <v>4.0839999999999996</v>
      </c>
      <c r="M21" s="68"/>
      <c r="N21" s="57">
        <v>0</v>
      </c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15">
      <c r="A22" s="13" t="s">
        <v>26</v>
      </c>
      <c r="B22" s="11">
        <v>4040</v>
      </c>
      <c r="C22" s="11">
        <v>0</v>
      </c>
      <c r="D22" s="45">
        <v>0</v>
      </c>
      <c r="E22" s="68">
        <f>SUM(B22:D22)</f>
        <v>4040</v>
      </c>
      <c r="F22" s="34">
        <v>5179</v>
      </c>
      <c r="G22" s="11">
        <v>3867</v>
      </c>
      <c r="H22" s="11">
        <v>2900</v>
      </c>
      <c r="I22" s="11">
        <v>6422</v>
      </c>
      <c r="J22" s="34">
        <v>3522</v>
      </c>
      <c r="K22" s="11">
        <v>5179</v>
      </c>
      <c r="L22" s="45">
        <v>0</v>
      </c>
      <c r="M22" s="68">
        <f>SUM(F22:L22)</f>
        <v>27069</v>
      </c>
      <c r="N22" s="57">
        <v>31109</v>
      </c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13" t="s">
        <v>27</v>
      </c>
      <c r="B23" s="11">
        <v>-79624</v>
      </c>
      <c r="C23" s="11">
        <v>-80664</v>
      </c>
      <c r="D23" s="45">
        <v>-3560</v>
      </c>
      <c r="E23" s="68">
        <f t="shared" ref="E23:E28" si="2">SUM(B23:D23)</f>
        <v>-163848</v>
      </c>
      <c r="F23" s="34">
        <v>-16330</v>
      </c>
      <c r="G23" s="11">
        <v>-87163</v>
      </c>
      <c r="H23" s="11">
        <v>-14049</v>
      </c>
      <c r="I23" s="11">
        <v>-19845</v>
      </c>
      <c r="J23" s="34">
        <v>-5951</v>
      </c>
      <c r="K23" s="11">
        <v>-16565</v>
      </c>
      <c r="L23" s="45">
        <v>-33020</v>
      </c>
      <c r="M23" s="68">
        <f t="shared" ref="M23:M28" si="3">SUM(F23:L23)</f>
        <v>-192923</v>
      </c>
      <c r="N23" s="57">
        <v>-356771</v>
      </c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thickBot="1" x14ac:dyDescent="0.2">
      <c r="A24" s="29" t="s">
        <v>28</v>
      </c>
      <c r="B24" s="30">
        <v>-75584</v>
      </c>
      <c r="C24" s="30">
        <v>-80664</v>
      </c>
      <c r="D24" s="50">
        <v>-3560</v>
      </c>
      <c r="E24" s="73">
        <f t="shared" si="2"/>
        <v>-159808</v>
      </c>
      <c r="F24" s="39">
        <v>-11151</v>
      </c>
      <c r="G24" s="30">
        <v>-83296</v>
      </c>
      <c r="H24" s="30">
        <v>-11149</v>
      </c>
      <c r="I24" s="30">
        <v>-13423</v>
      </c>
      <c r="J24" s="39">
        <v>-2429</v>
      </c>
      <c r="K24" s="30">
        <v>-11386</v>
      </c>
      <c r="L24" s="50">
        <v>-33020</v>
      </c>
      <c r="M24" s="73">
        <f t="shared" si="3"/>
        <v>-165854</v>
      </c>
      <c r="N24" s="62">
        <v>-325662</v>
      </c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4.25" thickBot="1" x14ac:dyDescent="0.2">
      <c r="A25" s="27" t="s">
        <v>29</v>
      </c>
      <c r="B25" s="28">
        <v>-63533</v>
      </c>
      <c r="C25" s="28">
        <v>-80664</v>
      </c>
      <c r="D25" s="48">
        <v>-3560</v>
      </c>
      <c r="E25" s="71">
        <f t="shared" si="2"/>
        <v>-147757</v>
      </c>
      <c r="F25" s="37">
        <v>436</v>
      </c>
      <c r="G25" s="28">
        <v>-74644</v>
      </c>
      <c r="H25" s="28">
        <v>-2497</v>
      </c>
      <c r="I25" s="28">
        <v>945</v>
      </c>
      <c r="J25" s="37">
        <v>8077</v>
      </c>
      <c r="K25" s="28">
        <v>201</v>
      </c>
      <c r="L25" s="48">
        <v>-33020</v>
      </c>
      <c r="M25" s="71">
        <f t="shared" si="3"/>
        <v>-100502</v>
      </c>
      <c r="N25" s="60">
        <v>-248259</v>
      </c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4.25" thickBot="1" x14ac:dyDescent="0.2">
      <c r="A26" s="27" t="s">
        <v>30</v>
      </c>
      <c r="B26" s="28">
        <v>141533</v>
      </c>
      <c r="C26" s="28">
        <v>80664</v>
      </c>
      <c r="D26" s="48">
        <v>3560</v>
      </c>
      <c r="E26" s="71">
        <f t="shared" si="2"/>
        <v>225757</v>
      </c>
      <c r="F26" s="37">
        <v>74564</v>
      </c>
      <c r="G26" s="28">
        <v>130644</v>
      </c>
      <c r="H26" s="28">
        <v>58497</v>
      </c>
      <c r="I26" s="28">
        <v>92055</v>
      </c>
      <c r="J26" s="37">
        <v>59923</v>
      </c>
      <c r="K26" s="28">
        <v>74799</v>
      </c>
      <c r="L26" s="48">
        <v>33020</v>
      </c>
      <c r="M26" s="71">
        <f t="shared" si="3"/>
        <v>523502</v>
      </c>
      <c r="N26" s="60">
        <v>749259</v>
      </c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22" t="s">
        <v>31</v>
      </c>
      <c r="B27" s="23">
        <v>0</v>
      </c>
      <c r="C27" s="23">
        <v>0</v>
      </c>
      <c r="D27" s="49">
        <v>0</v>
      </c>
      <c r="E27" s="72">
        <f t="shared" si="2"/>
        <v>0</v>
      </c>
      <c r="F27" s="38">
        <v>0</v>
      </c>
      <c r="G27" s="23">
        <v>0</v>
      </c>
      <c r="H27" s="23">
        <v>0</v>
      </c>
      <c r="I27" s="23">
        <v>0</v>
      </c>
      <c r="J27" s="38">
        <v>0</v>
      </c>
      <c r="K27" s="23">
        <v>0</v>
      </c>
      <c r="L27" s="49">
        <v>0</v>
      </c>
      <c r="M27" s="72">
        <f t="shared" si="3"/>
        <v>0</v>
      </c>
      <c r="N27" s="61">
        <v>0</v>
      </c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32</v>
      </c>
      <c r="B28" s="11">
        <v>141533</v>
      </c>
      <c r="C28" s="11">
        <v>80664</v>
      </c>
      <c r="D28" s="45">
        <v>3560</v>
      </c>
      <c r="E28" s="68">
        <f t="shared" si="2"/>
        <v>225757</v>
      </c>
      <c r="F28" s="34">
        <v>74564</v>
      </c>
      <c r="G28" s="11">
        <v>130644</v>
      </c>
      <c r="H28" s="11">
        <v>58497</v>
      </c>
      <c r="I28" s="11">
        <v>92055</v>
      </c>
      <c r="J28" s="34">
        <v>59923</v>
      </c>
      <c r="K28" s="11">
        <v>74799</v>
      </c>
      <c r="L28" s="45">
        <v>33020</v>
      </c>
      <c r="M28" s="68">
        <f t="shared" si="3"/>
        <v>523502</v>
      </c>
      <c r="N28" s="57">
        <v>749259</v>
      </c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33</v>
      </c>
      <c r="B29" s="12">
        <v>1</v>
      </c>
      <c r="C29" s="12"/>
      <c r="D29" s="51"/>
      <c r="E29" s="74"/>
      <c r="F29" s="40"/>
      <c r="G29" s="12"/>
      <c r="H29" s="12">
        <v>1</v>
      </c>
      <c r="I29" s="12">
        <v>1</v>
      </c>
      <c r="J29" s="40">
        <v>2</v>
      </c>
      <c r="K29" s="12"/>
      <c r="L29" s="51">
        <v>1</v>
      </c>
      <c r="M29" s="74"/>
      <c r="N29" s="63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4.25" thickBot="1" x14ac:dyDescent="0.2">
      <c r="A30" s="14" t="s">
        <v>34</v>
      </c>
      <c r="B30" s="15" t="s">
        <v>35</v>
      </c>
      <c r="C30" s="15" t="s">
        <v>35</v>
      </c>
      <c r="D30" s="52" t="s">
        <v>35</v>
      </c>
      <c r="E30" s="79"/>
      <c r="F30" s="41" t="s">
        <v>35</v>
      </c>
      <c r="G30" s="15" t="s">
        <v>35</v>
      </c>
      <c r="H30" s="15" t="s">
        <v>35</v>
      </c>
      <c r="I30" s="15" t="s">
        <v>35</v>
      </c>
      <c r="J30" s="41" t="s">
        <v>35</v>
      </c>
      <c r="K30" s="15" t="s">
        <v>35</v>
      </c>
      <c r="L30" s="52" t="s">
        <v>35</v>
      </c>
      <c r="M30" s="75"/>
      <c r="N30" s="64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"/>
      <c r="B31" s="1"/>
      <c r="C31" s="1"/>
      <c r="D31" s="1"/>
      <c r="E31" s="1"/>
      <c r="F31" s="8"/>
      <c r="G31" s="8"/>
      <c r="H31" s="8"/>
      <c r="I31" s="8"/>
      <c r="J31" s="8"/>
      <c r="K31" s="8"/>
      <c r="L31" s="8"/>
      <c r="M31" s="8"/>
      <c r="N31" s="8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"/>
      <c r="B32" s="1"/>
      <c r="C32" s="1"/>
      <c r="D32" s="1"/>
      <c r="E32" s="1"/>
      <c r="F32" s="8"/>
      <c r="G32" s="8"/>
      <c r="H32" s="8"/>
      <c r="I32" s="8"/>
      <c r="J32" s="8"/>
      <c r="K32" s="8"/>
      <c r="L32" s="8"/>
      <c r="M32" s="8"/>
      <c r="N32" s="8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"/>
      <c r="B33" s="1"/>
      <c r="C33" s="1"/>
      <c r="D33" s="1"/>
      <c r="E33" s="1"/>
      <c r="F33" s="8"/>
      <c r="G33" s="8"/>
      <c r="H33" s="8"/>
      <c r="I33" s="8"/>
      <c r="J33" s="8"/>
      <c r="K33" s="8"/>
      <c r="L33" s="8"/>
      <c r="M33" s="8"/>
      <c r="N33" s="8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"/>
      <c r="B34" s="1"/>
      <c r="C34" s="1"/>
      <c r="D34" s="1"/>
      <c r="E34" s="1"/>
      <c r="F34" s="8"/>
      <c r="G34" s="8"/>
      <c r="H34" s="8"/>
      <c r="I34" s="8"/>
      <c r="J34" s="8"/>
      <c r="K34" s="8"/>
      <c r="L34" s="8"/>
      <c r="M34" s="8"/>
      <c r="N34" s="8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"/>
      <c r="B35" s="1"/>
      <c r="C35" s="1"/>
      <c r="D35" s="1"/>
      <c r="E35" s="1"/>
      <c r="F35" s="8"/>
      <c r="G35" s="8"/>
      <c r="H35" s="8"/>
      <c r="I35" s="8"/>
      <c r="J35" s="8"/>
      <c r="K35" s="8"/>
      <c r="L35" s="8"/>
      <c r="M35" s="8"/>
      <c r="N35" s="8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"/>
      <c r="B36" s="1"/>
      <c r="C36" s="1"/>
      <c r="D36" s="1"/>
      <c r="E36" s="1"/>
      <c r="F36" s="8"/>
      <c r="G36" s="8"/>
      <c r="H36" s="8"/>
      <c r="I36" s="8"/>
      <c r="J36" s="8"/>
      <c r="K36" s="8"/>
      <c r="L36" s="8"/>
      <c r="M36" s="8"/>
      <c r="N36" s="8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"/>
      <c r="B37" s="1"/>
      <c r="C37" s="1"/>
      <c r="D37" s="1"/>
      <c r="E37" s="1"/>
      <c r="F37" s="8"/>
      <c r="G37" s="8"/>
      <c r="H37" s="8"/>
      <c r="I37" s="8"/>
      <c r="J37" s="8"/>
      <c r="K37" s="8"/>
      <c r="L37" s="8"/>
      <c r="M37" s="8"/>
      <c r="N37" s="8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"/>
      <c r="B38" s="1"/>
      <c r="C38" s="1"/>
      <c r="D38" s="1"/>
      <c r="E38" s="1"/>
      <c r="F38" s="8"/>
      <c r="G38" s="8"/>
      <c r="H38" s="8"/>
      <c r="I38" s="8"/>
      <c r="J38" s="8"/>
      <c r="K38" s="8"/>
      <c r="L38" s="8"/>
      <c r="M38" s="8"/>
      <c r="N38" s="8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"/>
      <c r="B39" s="1"/>
      <c r="C39" s="1"/>
      <c r="D39" s="1"/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"/>
      <c r="B40" s="1"/>
      <c r="C40" s="1"/>
      <c r="D40" s="1"/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"/>
      <c r="B41" s="1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"/>
      <c r="B42" s="1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"/>
      <c r="B43" s="1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"/>
      <c r="B44" s="1"/>
      <c r="C44" s="1"/>
      <c r="D44" s="1"/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"/>
      <c r="B45" s="1"/>
      <c r="C45" s="1"/>
      <c r="D45" s="1"/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"/>
      <c r="B46" s="1"/>
      <c r="C46" s="1"/>
      <c r="D46" s="1"/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"/>
      <c r="B47" s="1"/>
      <c r="C47" s="1"/>
      <c r="D47" s="1"/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"/>
      <c r="B48" s="1"/>
      <c r="C48" s="1"/>
      <c r="D48" s="1"/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6"/>
      <c r="B49" s="6"/>
      <c r="C49" s="6"/>
      <c r="D49" s="6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15">
      <c r="A50" s="6"/>
      <c r="B50" s="6"/>
      <c r="C50" s="6"/>
      <c r="D50" s="6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15">
      <c r="A51" s="6"/>
      <c r="B51" s="6"/>
      <c r="C51" s="6"/>
      <c r="D51" s="6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15">
      <c r="A52" s="6"/>
      <c r="B52" s="6"/>
      <c r="C52" s="6"/>
      <c r="D52" s="6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</sheetData>
  <phoneticPr fontId="1"/>
  <pageMargins left="0.45" right="0.37" top="0.5" bottom="0.36" header="0.21" footer="0.26"/>
  <pageSetup paperSize="1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2020-12-19T04:50:21Z</cp:lastPrinted>
  <dcterms:created xsi:type="dcterms:W3CDTF">2011-10-11T01:59:58Z</dcterms:created>
  <dcterms:modified xsi:type="dcterms:W3CDTF">2020-12-19T05:05:45Z</dcterms:modified>
</cp:coreProperties>
</file>