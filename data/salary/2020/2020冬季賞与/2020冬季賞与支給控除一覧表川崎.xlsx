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冬季賞与\"/>
    </mc:Choice>
  </mc:AlternateContent>
  <xr:revisionPtr revIDLastSave="0" documentId="13_ncr:1_{F56F0144-6112-4165-AAFD-48DEE04F197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I23" i="2" l="1"/>
  <c r="I24" i="2"/>
  <c r="I25" i="2"/>
  <c r="I26" i="2"/>
  <c r="I27" i="2"/>
  <c r="I28" i="2"/>
  <c r="I22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6" i="2"/>
  <c r="D23" i="2"/>
  <c r="D24" i="2"/>
  <c r="D25" i="2"/>
  <c r="D26" i="2"/>
  <c r="D27" i="2"/>
  <c r="D28" i="2"/>
  <c r="D22" i="2"/>
  <c r="D11" i="2"/>
  <c r="D12" i="2"/>
  <c r="D13" i="2"/>
  <c r="D14" i="2"/>
  <c r="D15" i="2"/>
  <c r="D16" i="2"/>
  <c r="D17" i="2"/>
  <c r="D18" i="2"/>
  <c r="D19" i="2"/>
  <c r="D20" i="2"/>
  <c r="D10" i="2"/>
  <c r="D6" i="2"/>
</calcChain>
</file>

<file path=xl/sharedStrings.xml><?xml version="1.0" encoding="utf-8"?>
<sst xmlns="http://schemas.openxmlformats.org/spreadsheetml/2006/main" count="53" uniqueCount="42">
  <si>
    <t>所　属</t>
  </si>
  <si>
    <t>社　員</t>
  </si>
  <si>
    <t>賞与分</t>
  </si>
  <si>
    <t>若林運送株式会社</t>
  </si>
  <si>
    <t>川崎</t>
  </si>
  <si>
    <t>松岡　敏夫</t>
  </si>
  <si>
    <t>菅原　幸志</t>
  </si>
  <si>
    <t>伊藤　正典</t>
  </si>
  <si>
    <t>上野　誠也</t>
  </si>
  <si>
    <t>伊藤　尚</t>
  </si>
  <si>
    <t>賞与</t>
  </si>
  <si>
    <t>役員賞与</t>
  </si>
  <si>
    <t>職位加算</t>
  </si>
  <si>
    <t>職責加算</t>
  </si>
  <si>
    <t>課税支給合計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</si>
  <si>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</si>
  <si>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</si>
  <si>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</si>
  <si>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</si>
  <si>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</si>
  <si>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</si>
  <si>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</si>
  <si>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社保控除合計</t>
  </si>
  <si>
    <t>課税対象額</t>
  </si>
  <si>
    <t>前月課税対象額</t>
  </si>
  <si>
    <t>税率(％)</t>
  </si>
  <si>
    <t>所得税</t>
  </si>
  <si>
    <t>年調精算額</t>
  </si>
  <si>
    <t>その他控除合計</t>
  </si>
  <si>
    <t>控除合計</t>
  </si>
  <si>
    <t>差引支給額</t>
  </si>
  <si>
    <t>現金支給額</t>
  </si>
  <si>
    <t>振込支給額</t>
  </si>
  <si>
    <t>税制扶養数</t>
  </si>
  <si>
    <t>税表区分</t>
  </si>
  <si>
    <t>甲欄</t>
  </si>
  <si>
    <t>橋本　淳志</t>
  </si>
  <si>
    <t>全社計</t>
  </si>
  <si>
    <t>6名</t>
  </si>
  <si>
    <t>小計</t>
    <rPh sb="0" eb="2">
      <t>ショウケイ</t>
    </rPh>
    <phoneticPr fontId="1"/>
  </si>
  <si>
    <t>２名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</si>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</sst>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8" fontId="2" fillId="0" borderId="0" xfId="0" applyNumberFormat="1" applyFont="1" applyBorder="1">
      <alignment vertical="center"/>
    </xf>
    <xf numFmtId="179" fontId="2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3" xfId="0" applyFont="1" applyFill="1" applyBorder="1">
      <alignment vertical="center"/>
    </xf>
    <xf numFmtId="179" fontId="2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4" xfId="0" applyNumberFormat="1" applyFont="1" applyFill="1" applyBorder="1">
      <alignment vertical="center"/>
    </xf>
    <xf numFmtId="0" fontId="2" fillId="0" borderId="7" xfId="0" applyFont="1" applyFill="1" applyBorder="1">
      <alignment vertical="center"/>
    </xf>
    <xf numFmtId="179" fontId="2" fillId="0" borderId="8" xfId="0" applyNumberFormat="1" applyFont="1" applyFill="1" applyBorder="1">
      <alignment vertical="center"/>
    </xf>
    <xf numFmtId="0" fontId="2" fillId="0" borderId="13" xfId="0" applyFont="1" applyFill="1" applyBorder="1">
      <alignment vertical="center"/>
    </xf>
    <xf numFmtId="179" fontId="2" fillId="0" borderId="14" xfId="0" applyNumberFormat="1" applyFont="1" applyFill="1" applyBorder="1">
      <alignment vertical="center"/>
    </xf>
    <xf numFmtId="0" fontId="2" fillId="0" borderId="15" xfId="0" applyFont="1" applyFill="1" applyBorder="1">
      <alignment vertical="center"/>
    </xf>
    <xf numFmtId="179" fontId="2" fillId="0" borderId="16" xfId="0" applyNumberFormat="1" applyFont="1" applyFill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17" xfId="0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8" xfId="0" applyNumberFormat="1" applyFont="1" applyFill="1" applyBorder="1">
      <alignment vertical="center"/>
    </xf>
    <xf numFmtId="179" fontId="2" fillId="0" borderId="22" xfId="0" applyNumberFormat="1" applyFont="1" applyFill="1" applyBorder="1">
      <alignment vertical="center"/>
    </xf>
    <xf numFmtId="179" fontId="2" fillId="0" borderId="23" xfId="0" applyNumberFormat="1" applyFont="1" applyFill="1" applyBorder="1">
      <alignment vertical="center"/>
    </xf>
    <xf numFmtId="179" fontId="2" fillId="0" borderId="24" xfId="0" applyNumberFormat="1" applyFont="1" applyFill="1" applyBorder="1">
      <alignment vertical="center"/>
    </xf>
    <xf numFmtId="179" fontId="2" fillId="0" borderId="20" xfId="0" applyNumberFormat="1" applyFont="1" applyFill="1" applyBorder="1" applyAlignment="1">
      <alignment horizontal="center" vertical="center"/>
    </xf>
    <xf numFmtId="179" fontId="2" fillId="0" borderId="21" xfId="0" applyNumberFormat="1" applyFont="1" applyFill="1" applyBorder="1" applyAlignment="1">
      <alignment horizontal="center"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30" xfId="0" applyNumberFormat="1" applyFont="1" applyFill="1" applyBorder="1">
      <alignment vertical="center"/>
    </xf>
    <xf numFmtId="179" fontId="2" fillId="0" borderId="31" xfId="0" applyNumberFormat="1" applyFont="1" applyFill="1" applyBorder="1">
      <alignment vertical="center"/>
    </xf>
    <xf numFmtId="179" fontId="2" fillId="0" borderId="27" xfId="0" applyNumberFormat="1" applyFont="1" applyFill="1" applyBorder="1" applyAlignment="1">
      <alignment horizontal="center" vertical="center"/>
    </xf>
    <xf numFmtId="179" fontId="2" fillId="0" borderId="28" xfId="0" applyNumberFormat="1" applyFont="1" applyFill="1" applyBorder="1" applyAlignment="1">
      <alignment horizontal="center" vertical="center"/>
    </xf>
    <xf numFmtId="179" fontId="2" fillId="0" borderId="32" xfId="0" applyNumberFormat="1" applyFont="1" applyFill="1" applyBorder="1">
      <alignment vertical="center"/>
    </xf>
    <xf numFmtId="179" fontId="2" fillId="0" borderId="33" xfId="0" applyNumberFormat="1" applyFont="1" applyFill="1" applyBorder="1">
      <alignment vertical="center"/>
    </xf>
    <xf numFmtId="179" fontId="2" fillId="0" borderId="34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25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3" xfId="0" applyNumberFormat="1" applyFont="1" applyFill="1" applyBorder="1" applyAlignment="1">
      <alignment horizontal="center" vertical="center"/>
    </xf>
    <xf numFmtId="179" fontId="2" fillId="0" borderId="34" xfId="0" applyNumberFormat="1" applyFont="1" applyFill="1" applyBorder="1" applyAlignment="1">
      <alignment horizontal="center" vertical="center"/>
    </xf>
    <xf numFmtId="0" fontId="2" fillId="0" borderId="38" xfId="0" applyFont="1" applyFill="1" applyBorder="1">
      <alignment vertical="center"/>
    </xf>
    <xf numFmtId="0" fontId="2" fillId="0" borderId="39" xfId="0" applyFont="1" applyFill="1" applyBorder="1">
      <alignment vertical="center"/>
    </xf>
    <xf numFmtId="0" fontId="2" fillId="0" borderId="40" xfId="0" applyFont="1" applyFill="1" applyBorder="1">
      <alignment vertical="center"/>
    </xf>
    <xf numFmtId="0" fontId="2" fillId="0" borderId="40" xfId="0" applyFont="1" applyFill="1" applyBorder="1" applyAlignment="1">
      <alignment horizontal="right" vertical="center"/>
    </xf>
    <xf numFmtId="179" fontId="2" fillId="0" borderId="41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0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6" xfId="0" applyNumberFormat="1" applyFont="1" applyFill="1" applyBorder="1">
      <alignment vertical="center"/>
    </xf>
    <xf numFmtId="179" fontId="2" fillId="0" borderId="42" xfId="0" applyNumberFormat="1" applyFont="1" applyFill="1" applyBorder="1" applyAlignment="1">
      <alignment horizontal="center" vertical="center"/>
    </xf>
    <xf numFmtId="179" fontId="2" fillId="0" borderId="43" xfId="0" applyNumberFormat="1" applyFont="1" applyFill="1" applyBorder="1" applyAlignment="1">
      <alignment horizontal="center" vertical="center"/>
    </xf>
    <xf numFmtId="0" fontId="2" fillId="0" borderId="47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0" fontId="2" fillId="0" borderId="48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CA9E-3B2E-482C-AF85-B426FA3F2E8F}">
  <dimension ref="A1:AJ52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0" width="11.875" style="2" customWidth="1"/>
    <col min="11" max="17" width="10.5" style="2" customWidth="1"/>
    <col min="18" max="16384" width="9" style="2"/>
  </cols>
  <sheetData>
    <row r="1" spans="1:36" ht="18.75" x14ac:dyDescent="0.15">
      <c r="A1" s="1" t="s">
        <v>2</v>
      </c>
      <c r="B1" s="1"/>
      <c r="C1" s="1"/>
      <c r="D1" s="1"/>
      <c r="E1" s="9"/>
      <c r="F1" s="1"/>
      <c r="G1" s="1"/>
      <c r="H1" s="1"/>
      <c r="I1" s="1"/>
      <c r="J1" s="1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4.25" thickBot="1" x14ac:dyDescent="0.2">
      <c r="A2" s="1">
        <v>13</v>
      </c>
      <c r="B2" s="1"/>
      <c r="C2" s="1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15">
      <c r="A3" s="16" t="s">
        <v>0</v>
      </c>
      <c r="B3" s="17" t="s">
        <v>4</v>
      </c>
      <c r="C3" s="59" t="s">
        <v>4</v>
      </c>
      <c r="D3" s="72" t="s">
        <v>39</v>
      </c>
      <c r="E3" s="32" t="s">
        <v>4</v>
      </c>
      <c r="F3" s="17" t="s">
        <v>4</v>
      </c>
      <c r="G3" s="17" t="s">
        <v>4</v>
      </c>
      <c r="H3" s="59" t="s">
        <v>4</v>
      </c>
      <c r="I3" s="72" t="s">
        <v>39</v>
      </c>
      <c r="J3" s="60" t="s">
        <v>37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15">
      <c r="A4" s="18"/>
      <c r="B4" s="19">
        <v>1078</v>
      </c>
      <c r="C4" s="1">
        <v>1031</v>
      </c>
      <c r="D4" s="73"/>
      <c r="E4" s="31">
        <v>1049</v>
      </c>
      <c r="F4" s="19">
        <v>1050</v>
      </c>
      <c r="G4" s="19">
        <v>1062</v>
      </c>
      <c r="H4" s="1">
        <v>1090</v>
      </c>
      <c r="I4" s="73"/>
      <c r="J4" s="6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4.25" thickBot="1" x14ac:dyDescent="0.2">
      <c r="A5" s="18" t="s">
        <v>1</v>
      </c>
      <c r="B5" s="19" t="s">
        <v>9</v>
      </c>
      <c r="C5" s="1" t="s">
        <v>5</v>
      </c>
      <c r="D5" s="75" t="s">
        <v>40</v>
      </c>
      <c r="E5" s="31" t="s">
        <v>6</v>
      </c>
      <c r="F5" s="19" t="s">
        <v>7</v>
      </c>
      <c r="G5" s="19" t="s">
        <v>8</v>
      </c>
      <c r="H5" s="1" t="s">
        <v>36</v>
      </c>
      <c r="I5" s="74" t="s">
        <v>41</v>
      </c>
      <c r="J5" s="62" t="s">
        <v>38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15">
      <c r="A6" s="20" t="s">
        <v>10</v>
      </c>
      <c r="B6" s="21">
        <v>333000</v>
      </c>
      <c r="C6" s="42">
        <v>359000</v>
      </c>
      <c r="D6" s="50">
        <f>SUM(B6:C6)</f>
        <v>692000</v>
      </c>
      <c r="E6" s="33">
        <v>63000</v>
      </c>
      <c r="F6" s="21">
        <v>75000</v>
      </c>
      <c r="G6" s="21">
        <v>56000</v>
      </c>
      <c r="H6" s="42">
        <v>38333</v>
      </c>
      <c r="I6" s="50">
        <f t="shared" ref="I6:I20" si="0">SUM(E6:H6)</f>
        <v>232333</v>
      </c>
      <c r="J6" s="63">
        <v>924333</v>
      </c>
      <c r="K6" s="3"/>
      <c r="L6" s="3"/>
      <c r="M6" s="3"/>
      <c r="N6" s="3"/>
      <c r="O6" s="3"/>
      <c r="P6" s="3"/>
      <c r="Q6" s="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15">
      <c r="A7" s="13" t="s">
        <v>11</v>
      </c>
      <c r="B7" s="11">
        <v>0</v>
      </c>
      <c r="C7" s="43">
        <v>0</v>
      </c>
      <c r="D7" s="51"/>
      <c r="E7" s="34">
        <v>0</v>
      </c>
      <c r="F7" s="11">
        <v>0</v>
      </c>
      <c r="G7" s="11">
        <v>0</v>
      </c>
      <c r="H7" s="43">
        <v>0</v>
      </c>
      <c r="I7" s="51">
        <f t="shared" si="0"/>
        <v>0</v>
      </c>
      <c r="J7" s="64">
        <v>0</v>
      </c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15">
      <c r="A8" s="13" t="s">
        <v>12</v>
      </c>
      <c r="B8" s="11">
        <v>0</v>
      </c>
      <c r="C8" s="43">
        <v>0</v>
      </c>
      <c r="D8" s="51"/>
      <c r="E8" s="34">
        <v>15000</v>
      </c>
      <c r="F8" s="11">
        <v>0</v>
      </c>
      <c r="G8" s="11">
        <v>0</v>
      </c>
      <c r="H8" s="43">
        <v>0</v>
      </c>
      <c r="I8" s="51">
        <f t="shared" si="0"/>
        <v>15000</v>
      </c>
      <c r="J8" s="64">
        <v>15000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15">
      <c r="A9" s="13" t="s">
        <v>13</v>
      </c>
      <c r="B9" s="11">
        <v>0</v>
      </c>
      <c r="C9" s="43">
        <v>0</v>
      </c>
      <c r="D9" s="51"/>
      <c r="E9" s="34">
        <v>0</v>
      </c>
      <c r="F9" s="11">
        <v>0</v>
      </c>
      <c r="G9" s="11">
        <v>0</v>
      </c>
      <c r="H9" s="43">
        <v>0</v>
      </c>
      <c r="I9" s="51">
        <f t="shared" si="0"/>
        <v>0</v>
      </c>
      <c r="J9" s="64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4.25" thickBot="1" x14ac:dyDescent="0.2">
      <c r="A10" s="14" t="s">
        <v>14</v>
      </c>
      <c r="B10" s="24">
        <v>333000</v>
      </c>
      <c r="C10" s="44">
        <v>359000</v>
      </c>
      <c r="D10" s="52">
        <f>SUM(B10:C10)</f>
        <v>692000</v>
      </c>
      <c r="E10" s="35">
        <v>78000</v>
      </c>
      <c r="F10" s="24">
        <v>75000</v>
      </c>
      <c r="G10" s="24">
        <v>56000</v>
      </c>
      <c r="H10" s="44">
        <v>38333</v>
      </c>
      <c r="I10" s="52">
        <f t="shared" si="0"/>
        <v>247333</v>
      </c>
      <c r="J10" s="65">
        <v>939333</v>
      </c>
      <c r="K10" s="1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4.25" thickBot="1" x14ac:dyDescent="0.2">
      <c r="A11" s="25" t="s">
        <v>15</v>
      </c>
      <c r="B11" s="26">
        <v>0</v>
      </c>
      <c r="C11" s="8">
        <v>0</v>
      </c>
      <c r="D11" s="53">
        <f t="shared" ref="D11:D20" si="1">SUM(B11:C11)</f>
        <v>0</v>
      </c>
      <c r="E11" s="36">
        <v>0</v>
      </c>
      <c r="F11" s="26">
        <v>0</v>
      </c>
      <c r="G11" s="26">
        <v>0</v>
      </c>
      <c r="H11" s="8">
        <v>0</v>
      </c>
      <c r="I11" s="53">
        <f t="shared" si="0"/>
        <v>0</v>
      </c>
      <c r="J11" s="66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4.25" thickBot="1" x14ac:dyDescent="0.2">
      <c r="A12" s="27" t="s">
        <v>16</v>
      </c>
      <c r="B12" s="28">
        <v>333000</v>
      </c>
      <c r="C12" s="45">
        <v>359000</v>
      </c>
      <c r="D12" s="54">
        <f t="shared" si="1"/>
        <v>692000</v>
      </c>
      <c r="E12" s="37">
        <v>78000</v>
      </c>
      <c r="F12" s="28">
        <v>75000</v>
      </c>
      <c r="G12" s="28">
        <v>56000</v>
      </c>
      <c r="H12" s="45">
        <v>38333</v>
      </c>
      <c r="I12" s="54">
        <f t="shared" si="0"/>
        <v>247333</v>
      </c>
      <c r="J12" s="67">
        <v>939333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15">
      <c r="A13" s="22" t="s">
        <v>17</v>
      </c>
      <c r="B13" s="23">
        <v>16983</v>
      </c>
      <c r="C13" s="46">
        <v>0</v>
      </c>
      <c r="D13" s="55">
        <f t="shared" si="1"/>
        <v>16983</v>
      </c>
      <c r="E13" s="38">
        <v>3978</v>
      </c>
      <c r="F13" s="23">
        <v>3825</v>
      </c>
      <c r="G13" s="23">
        <v>2856</v>
      </c>
      <c r="H13" s="46">
        <v>1938</v>
      </c>
      <c r="I13" s="55">
        <f t="shared" si="0"/>
        <v>12597</v>
      </c>
      <c r="J13" s="68">
        <v>29580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15">
      <c r="A14" s="13" t="s">
        <v>18</v>
      </c>
      <c r="B14" s="11">
        <v>2997</v>
      </c>
      <c r="C14" s="43">
        <v>0</v>
      </c>
      <c r="D14" s="51">
        <f t="shared" si="1"/>
        <v>2997</v>
      </c>
      <c r="E14" s="34">
        <v>702</v>
      </c>
      <c r="F14" s="11">
        <v>675</v>
      </c>
      <c r="G14" s="11">
        <v>504</v>
      </c>
      <c r="H14" s="43">
        <v>342</v>
      </c>
      <c r="I14" s="51">
        <f t="shared" si="0"/>
        <v>2223</v>
      </c>
      <c r="J14" s="64">
        <v>5220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15">
      <c r="A15" s="13" t="s">
        <v>19</v>
      </c>
      <c r="B15" s="11">
        <v>30469</v>
      </c>
      <c r="C15" s="43">
        <v>0</v>
      </c>
      <c r="D15" s="51">
        <f t="shared" si="1"/>
        <v>30469</v>
      </c>
      <c r="E15" s="34">
        <v>7137</v>
      </c>
      <c r="F15" s="11">
        <v>6862</v>
      </c>
      <c r="G15" s="11">
        <v>5124</v>
      </c>
      <c r="H15" s="43">
        <v>3477</v>
      </c>
      <c r="I15" s="51">
        <f t="shared" si="0"/>
        <v>22600</v>
      </c>
      <c r="J15" s="64">
        <v>53069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15">
      <c r="A16" s="13" t="s">
        <v>20</v>
      </c>
      <c r="B16" s="11">
        <v>0</v>
      </c>
      <c r="C16" s="43">
        <v>0</v>
      </c>
      <c r="D16" s="51">
        <f t="shared" si="1"/>
        <v>0</v>
      </c>
      <c r="E16" s="34">
        <v>0</v>
      </c>
      <c r="F16" s="11">
        <v>0</v>
      </c>
      <c r="G16" s="11">
        <v>0</v>
      </c>
      <c r="H16" s="43">
        <v>0</v>
      </c>
      <c r="I16" s="51">
        <f t="shared" si="0"/>
        <v>0</v>
      </c>
      <c r="J16" s="64">
        <v>0</v>
      </c>
      <c r="K16" s="5"/>
      <c r="L16" s="5"/>
      <c r="M16" s="5"/>
      <c r="N16" s="5"/>
      <c r="O16" s="5"/>
      <c r="P16" s="5"/>
      <c r="Q16" s="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15">
      <c r="A17" s="13" t="s">
        <v>21</v>
      </c>
      <c r="B17" s="11">
        <v>999</v>
      </c>
      <c r="C17" s="43">
        <v>1077</v>
      </c>
      <c r="D17" s="51">
        <f t="shared" si="1"/>
        <v>2076</v>
      </c>
      <c r="E17" s="34">
        <v>234</v>
      </c>
      <c r="F17" s="11">
        <v>225</v>
      </c>
      <c r="G17" s="11">
        <v>168</v>
      </c>
      <c r="H17" s="43">
        <v>115</v>
      </c>
      <c r="I17" s="51">
        <f t="shared" si="0"/>
        <v>742</v>
      </c>
      <c r="J17" s="64">
        <v>2818</v>
      </c>
      <c r="K17" s="5"/>
      <c r="L17" s="5"/>
      <c r="M17" s="5"/>
      <c r="N17" s="5"/>
      <c r="O17" s="5"/>
      <c r="P17" s="5"/>
      <c r="Q17" s="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4.25" thickBot="1" x14ac:dyDescent="0.2">
      <c r="A18" s="29" t="s">
        <v>22</v>
      </c>
      <c r="B18" s="30">
        <v>51448</v>
      </c>
      <c r="C18" s="47">
        <v>1077</v>
      </c>
      <c r="D18" s="56">
        <f t="shared" si="1"/>
        <v>52525</v>
      </c>
      <c r="E18" s="39">
        <v>12051</v>
      </c>
      <c r="F18" s="30">
        <v>11587</v>
      </c>
      <c r="G18" s="30">
        <v>8652</v>
      </c>
      <c r="H18" s="47">
        <v>5872</v>
      </c>
      <c r="I18" s="56">
        <f t="shared" si="0"/>
        <v>38162</v>
      </c>
      <c r="J18" s="69">
        <v>90687</v>
      </c>
      <c r="K18" s="5"/>
      <c r="L18" s="5"/>
      <c r="M18" s="5"/>
      <c r="N18" s="5"/>
      <c r="O18" s="5"/>
      <c r="P18" s="5"/>
      <c r="Q18" s="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4.25" thickBot="1" x14ac:dyDescent="0.2">
      <c r="A19" s="27" t="s">
        <v>23</v>
      </c>
      <c r="B19" s="28">
        <v>281552</v>
      </c>
      <c r="C19" s="45">
        <v>357923</v>
      </c>
      <c r="D19" s="54">
        <f t="shared" si="1"/>
        <v>639475</v>
      </c>
      <c r="E19" s="37">
        <v>65949</v>
      </c>
      <c r="F19" s="28">
        <v>63413</v>
      </c>
      <c r="G19" s="28">
        <v>47348</v>
      </c>
      <c r="H19" s="45">
        <v>32461</v>
      </c>
      <c r="I19" s="54">
        <f t="shared" si="0"/>
        <v>209171</v>
      </c>
      <c r="J19" s="67">
        <v>848646</v>
      </c>
      <c r="K19" s="5"/>
      <c r="L19" s="5"/>
      <c r="M19" s="5"/>
      <c r="N19" s="5"/>
      <c r="O19" s="5"/>
      <c r="P19" s="5"/>
      <c r="Q19" s="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15">
      <c r="A20" s="22" t="s">
        <v>24</v>
      </c>
      <c r="B20" s="23">
        <v>341645</v>
      </c>
      <c r="C20" s="46">
        <v>159618</v>
      </c>
      <c r="D20" s="55">
        <f t="shared" si="1"/>
        <v>501263</v>
      </c>
      <c r="E20" s="38">
        <v>291138</v>
      </c>
      <c r="F20" s="23">
        <v>327121</v>
      </c>
      <c r="G20" s="23">
        <v>309694</v>
      </c>
      <c r="H20" s="46">
        <v>312165</v>
      </c>
      <c r="I20" s="55">
        <f t="shared" si="0"/>
        <v>1240118</v>
      </c>
      <c r="J20" s="68">
        <v>1741381</v>
      </c>
      <c r="K20" s="5"/>
      <c r="L20" s="5"/>
      <c r="M20" s="5"/>
      <c r="N20" s="5"/>
      <c r="O20" s="5"/>
      <c r="P20" s="5"/>
      <c r="Q20" s="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15">
      <c r="A21" s="13" t="s">
        <v>25</v>
      </c>
      <c r="B21" s="11">
        <v>6.1260000000000003</v>
      </c>
      <c r="C21" s="43">
        <v>2.0419999999999998</v>
      </c>
      <c r="D21" s="51"/>
      <c r="E21" s="34">
        <v>6.1260000000000003</v>
      </c>
      <c r="F21" s="11">
        <v>8.1679999999999993</v>
      </c>
      <c r="G21" s="11">
        <v>8.1679999999999993</v>
      </c>
      <c r="H21" s="43">
        <v>6.1260000000000003</v>
      </c>
      <c r="I21" s="51"/>
      <c r="J21" s="64">
        <v>0</v>
      </c>
      <c r="K21" s="5"/>
      <c r="L21" s="5"/>
      <c r="M21" s="5"/>
      <c r="N21" s="5"/>
      <c r="O21" s="5"/>
      <c r="P21" s="5"/>
      <c r="Q21" s="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15">
      <c r="A22" s="13" t="s">
        <v>26</v>
      </c>
      <c r="B22" s="11">
        <v>17247</v>
      </c>
      <c r="C22" s="43">
        <v>7308</v>
      </c>
      <c r="D22" s="51">
        <f>SUM(B22:C22)</f>
        <v>24555</v>
      </c>
      <c r="E22" s="34">
        <v>4040</v>
      </c>
      <c r="F22" s="11">
        <v>5179</v>
      </c>
      <c r="G22" s="11">
        <v>3867</v>
      </c>
      <c r="H22" s="43">
        <v>1988</v>
      </c>
      <c r="I22" s="51">
        <f>SUM(E22:H22)</f>
        <v>15074</v>
      </c>
      <c r="J22" s="64">
        <v>39629</v>
      </c>
      <c r="K22" s="5"/>
      <c r="L22" s="5"/>
      <c r="M22" s="5"/>
      <c r="N22" s="5"/>
      <c r="O22" s="5"/>
      <c r="P22" s="5"/>
      <c r="Q22" s="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15">
      <c r="A23" s="13" t="s">
        <v>27</v>
      </c>
      <c r="B23" s="11">
        <v>-23009</v>
      </c>
      <c r="C23" s="43">
        <v>-23145</v>
      </c>
      <c r="D23" s="51">
        <f t="shared" ref="D23:D28" si="2">SUM(B23:C23)</f>
        <v>-46154</v>
      </c>
      <c r="E23" s="34">
        <v>-15018</v>
      </c>
      <c r="F23" s="11">
        <v>-24130</v>
      </c>
      <c r="G23" s="11">
        <v>-22975</v>
      </c>
      <c r="H23" s="43">
        <v>-34378</v>
      </c>
      <c r="I23" s="51">
        <f t="shared" ref="I23:I28" si="3">SUM(E23:H23)</f>
        <v>-96501</v>
      </c>
      <c r="J23" s="64">
        <v>-142655</v>
      </c>
      <c r="K23" s="5"/>
      <c r="L23" s="5"/>
      <c r="M23" s="5"/>
      <c r="N23" s="5"/>
      <c r="O23" s="5"/>
      <c r="P23" s="5"/>
      <c r="Q23" s="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4.25" thickBot="1" x14ac:dyDescent="0.2">
      <c r="A24" s="29" t="s">
        <v>28</v>
      </c>
      <c r="B24" s="30">
        <v>-5762</v>
      </c>
      <c r="C24" s="47">
        <v>-15837</v>
      </c>
      <c r="D24" s="56">
        <f t="shared" si="2"/>
        <v>-21599</v>
      </c>
      <c r="E24" s="39">
        <v>-10978</v>
      </c>
      <c r="F24" s="30">
        <v>-18951</v>
      </c>
      <c r="G24" s="30">
        <v>-19108</v>
      </c>
      <c r="H24" s="47">
        <v>-32390</v>
      </c>
      <c r="I24" s="56">
        <f t="shared" si="3"/>
        <v>-81427</v>
      </c>
      <c r="J24" s="69">
        <v>-103026</v>
      </c>
      <c r="K24" s="5"/>
      <c r="L24" s="5"/>
      <c r="M24" s="5"/>
      <c r="N24" s="5"/>
      <c r="O24" s="5"/>
      <c r="P24" s="5"/>
      <c r="Q24" s="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4.25" thickBot="1" x14ac:dyDescent="0.2">
      <c r="A25" s="27" t="s">
        <v>29</v>
      </c>
      <c r="B25" s="28">
        <v>45686</v>
      </c>
      <c r="C25" s="45">
        <v>-14760</v>
      </c>
      <c r="D25" s="54">
        <f t="shared" si="2"/>
        <v>30926</v>
      </c>
      <c r="E25" s="37">
        <v>1073</v>
      </c>
      <c r="F25" s="28">
        <v>-7364</v>
      </c>
      <c r="G25" s="28">
        <v>-10456</v>
      </c>
      <c r="H25" s="45">
        <v>-26518</v>
      </c>
      <c r="I25" s="54">
        <f t="shared" si="3"/>
        <v>-43265</v>
      </c>
      <c r="J25" s="67">
        <v>-12339</v>
      </c>
      <c r="K25" s="5"/>
      <c r="L25" s="5"/>
      <c r="M25" s="5"/>
      <c r="N25" s="5"/>
      <c r="O25" s="5"/>
      <c r="P25" s="5"/>
      <c r="Q25" s="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4.25" thickBot="1" x14ac:dyDescent="0.2">
      <c r="A26" s="27" t="s">
        <v>30</v>
      </c>
      <c r="B26" s="28">
        <v>287314</v>
      </c>
      <c r="C26" s="45">
        <v>373760</v>
      </c>
      <c r="D26" s="54">
        <f t="shared" si="2"/>
        <v>661074</v>
      </c>
      <c r="E26" s="37">
        <v>76927</v>
      </c>
      <c r="F26" s="28">
        <v>82364</v>
      </c>
      <c r="G26" s="28">
        <v>66456</v>
      </c>
      <c r="H26" s="45">
        <v>64851</v>
      </c>
      <c r="I26" s="54">
        <f t="shared" si="3"/>
        <v>290598</v>
      </c>
      <c r="J26" s="67">
        <v>951672</v>
      </c>
      <c r="K26" s="5"/>
      <c r="L26" s="5"/>
      <c r="M26" s="5"/>
      <c r="N26" s="5"/>
      <c r="O26" s="5"/>
      <c r="P26" s="5"/>
      <c r="Q26" s="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15">
      <c r="A27" s="22" t="s">
        <v>31</v>
      </c>
      <c r="B27" s="23">
        <v>0</v>
      </c>
      <c r="C27" s="46">
        <v>0</v>
      </c>
      <c r="D27" s="55">
        <f t="shared" si="2"/>
        <v>0</v>
      </c>
      <c r="E27" s="38">
        <v>0</v>
      </c>
      <c r="F27" s="23">
        <v>0</v>
      </c>
      <c r="G27" s="23">
        <v>0</v>
      </c>
      <c r="H27" s="46">
        <v>0</v>
      </c>
      <c r="I27" s="55">
        <f t="shared" si="3"/>
        <v>0</v>
      </c>
      <c r="J27" s="68">
        <v>0</v>
      </c>
      <c r="K27" s="5"/>
      <c r="L27" s="5"/>
      <c r="M27" s="5"/>
      <c r="N27" s="5"/>
      <c r="O27" s="5"/>
      <c r="P27" s="5"/>
      <c r="Q27" s="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15">
      <c r="A28" s="13" t="s">
        <v>32</v>
      </c>
      <c r="B28" s="11">
        <v>287314</v>
      </c>
      <c r="C28" s="43">
        <v>373760</v>
      </c>
      <c r="D28" s="51">
        <f t="shared" si="2"/>
        <v>661074</v>
      </c>
      <c r="E28" s="34">
        <v>76927</v>
      </c>
      <c r="F28" s="11">
        <v>82364</v>
      </c>
      <c r="G28" s="11">
        <v>66456</v>
      </c>
      <c r="H28" s="43">
        <v>64851</v>
      </c>
      <c r="I28" s="51">
        <f t="shared" si="3"/>
        <v>290598</v>
      </c>
      <c r="J28" s="64">
        <v>951672</v>
      </c>
      <c r="K28" s="5"/>
      <c r="L28" s="5"/>
      <c r="M28" s="5"/>
      <c r="N28" s="5"/>
      <c r="O28" s="5"/>
      <c r="P28" s="5"/>
      <c r="Q28" s="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15">
      <c r="A29" s="13" t="s">
        <v>33</v>
      </c>
      <c r="B29" s="12">
        <v>2</v>
      </c>
      <c r="C29" s="48">
        <v>1</v>
      </c>
      <c r="D29" s="57"/>
      <c r="E29" s="40"/>
      <c r="F29" s="12"/>
      <c r="G29" s="12"/>
      <c r="H29" s="48">
        <v>2</v>
      </c>
      <c r="I29" s="57"/>
      <c r="J29" s="70"/>
      <c r="K29" s="5"/>
      <c r="L29" s="5"/>
      <c r="M29" s="5"/>
      <c r="N29" s="5"/>
      <c r="O29" s="5"/>
      <c r="P29" s="5"/>
      <c r="Q29" s="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4.25" thickBot="1" x14ac:dyDescent="0.2">
      <c r="A30" s="14" t="s">
        <v>34</v>
      </c>
      <c r="B30" s="15" t="s">
        <v>35</v>
      </c>
      <c r="C30" s="49" t="s">
        <v>35</v>
      </c>
      <c r="D30" s="58"/>
      <c r="E30" s="41" t="s">
        <v>35</v>
      </c>
      <c r="F30" s="15" t="s">
        <v>35</v>
      </c>
      <c r="G30" s="15" t="s">
        <v>35</v>
      </c>
      <c r="H30" s="49" t="s">
        <v>35</v>
      </c>
      <c r="I30" s="58"/>
      <c r="J30" s="71"/>
      <c r="K30" s="5"/>
      <c r="L30" s="5"/>
      <c r="M30" s="5"/>
      <c r="N30" s="5"/>
      <c r="O30" s="5"/>
      <c r="P30" s="5"/>
      <c r="Q30" s="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15">
      <c r="A31" s="1"/>
      <c r="B31" s="1"/>
      <c r="C31" s="8"/>
      <c r="D31" s="8"/>
      <c r="E31" s="8"/>
      <c r="F31" s="8"/>
      <c r="G31" s="8"/>
      <c r="H31" s="8"/>
      <c r="I31" s="8"/>
      <c r="J31" s="8"/>
      <c r="K31" s="5"/>
      <c r="L31" s="5"/>
      <c r="M31" s="5"/>
      <c r="N31" s="5"/>
      <c r="O31" s="5"/>
      <c r="P31" s="5"/>
      <c r="Q31" s="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15">
      <c r="A32" s="1"/>
      <c r="B32" s="1"/>
      <c r="C32" s="8"/>
      <c r="D32" s="8"/>
      <c r="E32" s="8"/>
      <c r="F32" s="8"/>
      <c r="G32" s="8"/>
      <c r="H32" s="8"/>
      <c r="I32" s="8"/>
      <c r="J32" s="8"/>
      <c r="K32" s="5"/>
      <c r="L32" s="5"/>
      <c r="M32" s="5"/>
      <c r="N32" s="5"/>
      <c r="O32" s="5"/>
      <c r="P32" s="5"/>
      <c r="Q32" s="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15">
      <c r="A33" s="1"/>
      <c r="B33" s="1"/>
      <c r="C33" s="8"/>
      <c r="D33" s="8"/>
      <c r="E33" s="8"/>
      <c r="F33" s="8"/>
      <c r="G33" s="8"/>
      <c r="H33" s="8"/>
      <c r="I33" s="8"/>
      <c r="J33" s="8"/>
      <c r="K33" s="5"/>
      <c r="L33" s="5"/>
      <c r="M33" s="5"/>
      <c r="N33" s="5"/>
      <c r="O33" s="5"/>
      <c r="P33" s="5"/>
      <c r="Q33" s="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15">
      <c r="A34" s="1"/>
      <c r="B34" s="1"/>
      <c r="C34" s="8"/>
      <c r="D34" s="8"/>
      <c r="E34" s="8"/>
      <c r="F34" s="8"/>
      <c r="G34" s="8"/>
      <c r="H34" s="8"/>
      <c r="I34" s="8"/>
      <c r="J34" s="8"/>
      <c r="K34" s="5"/>
      <c r="L34" s="5"/>
      <c r="M34" s="5"/>
      <c r="N34" s="5"/>
      <c r="O34" s="5"/>
      <c r="P34" s="5"/>
      <c r="Q34" s="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15">
      <c r="A35" s="1"/>
      <c r="B35" s="1"/>
      <c r="C35" s="8"/>
      <c r="D35" s="8"/>
      <c r="E35" s="8"/>
      <c r="F35" s="8"/>
      <c r="G35" s="8"/>
      <c r="H35" s="8"/>
      <c r="I35" s="8"/>
      <c r="J35" s="8"/>
      <c r="K35" s="5"/>
      <c r="L35" s="5"/>
      <c r="M35" s="5"/>
      <c r="N35" s="5"/>
      <c r="O35" s="5"/>
      <c r="P35" s="5"/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15">
      <c r="A36" s="1"/>
      <c r="B36" s="1"/>
      <c r="C36" s="8"/>
      <c r="D36" s="8"/>
      <c r="E36" s="8"/>
      <c r="F36" s="8"/>
      <c r="G36" s="8"/>
      <c r="H36" s="8"/>
      <c r="I36" s="8"/>
      <c r="J36" s="8"/>
      <c r="K36" s="5"/>
      <c r="L36" s="5"/>
      <c r="M36" s="5"/>
      <c r="N36" s="5"/>
      <c r="O36" s="5"/>
      <c r="P36" s="5"/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15">
      <c r="A37" s="1"/>
      <c r="B37" s="1"/>
      <c r="C37" s="8"/>
      <c r="D37" s="8"/>
      <c r="E37" s="8"/>
      <c r="F37" s="8"/>
      <c r="G37" s="8"/>
      <c r="H37" s="8"/>
      <c r="I37" s="8"/>
      <c r="J37" s="8"/>
      <c r="K37" s="5"/>
      <c r="L37" s="5"/>
      <c r="M37" s="5"/>
      <c r="N37" s="5"/>
      <c r="O37" s="5"/>
      <c r="P37" s="5"/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15">
      <c r="A38" s="1"/>
      <c r="B38" s="1"/>
      <c r="C38" s="8"/>
      <c r="D38" s="8"/>
      <c r="E38" s="8"/>
      <c r="F38" s="8"/>
      <c r="G38" s="8"/>
      <c r="H38" s="8"/>
      <c r="I38" s="8"/>
      <c r="J38" s="8"/>
      <c r="K38" s="5"/>
      <c r="L38" s="5"/>
      <c r="M38" s="5"/>
      <c r="N38" s="5"/>
      <c r="O38" s="5"/>
      <c r="P38" s="5"/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15">
      <c r="A39" s="1"/>
      <c r="B39" s="1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15">
      <c r="A40" s="1"/>
      <c r="B40" s="1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15">
      <c r="A41" s="1"/>
      <c r="B41" s="1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15">
      <c r="A42" s="1"/>
      <c r="B42" s="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15">
      <c r="A43" s="1"/>
      <c r="B43" s="1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15">
      <c r="A44" s="1"/>
      <c r="B44" s="1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15">
      <c r="A45" s="1"/>
      <c r="B45" s="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15">
      <c r="A46" s="1"/>
      <c r="B46" s="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15">
      <c r="A47" s="1"/>
      <c r="B47" s="1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15">
      <c r="A48" s="1"/>
      <c r="B48" s="1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17" x14ac:dyDescent="0.15">
      <c r="A49" s="6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15">
      <c r="A50" s="6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15">
      <c r="A51" s="6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15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</sheetData>
  <phoneticPr fontId="1"/>
  <pageMargins left="0.45" right="0.37" top="0.5" bottom="0.36" header="0.21" footer="0.26"/>
  <pageSetup paperSize="1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2020-12-19T04:55:21Z</cp:lastPrinted>
  <dcterms:created xsi:type="dcterms:W3CDTF">2011-10-11T01:59:58Z</dcterms:created>
  <dcterms:modified xsi:type="dcterms:W3CDTF">2020-12-19T05:06:45Z</dcterms:modified>
</cp:coreProperties>
</file>