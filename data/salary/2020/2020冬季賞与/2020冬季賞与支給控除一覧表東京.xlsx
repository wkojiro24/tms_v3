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冬季賞与\"/>
    </mc:Choice>
  </mc:AlternateContent>
  <xr:revisionPtr revIDLastSave="0" documentId="13_ncr:1_{378C8F3F-3CF5-4C55-BB06-09E9853E2AB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calcPr calcId="191029"/>
</workbook>
</file>

<file path=xl/calcChain.xml><?xml version="1.0" encoding="utf-8"?>
<calcChain xmlns="http://schemas.openxmlformats.org/spreadsheetml/2006/main">
  <c r="K23" i="2" l="1"/>
  <c r="K24" i="2"/>
  <c r="K25" i="2"/>
  <c r="K26" i="2"/>
  <c r="K27" i="2"/>
  <c r="K28" i="2"/>
  <c r="K22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6" i="2"/>
  <c r="D23" i="2"/>
  <c r="D24" i="2"/>
  <c r="D25" i="2"/>
  <c r="D26" i="2"/>
  <c r="D27" i="2"/>
  <c r="D28" i="2"/>
  <c r="D22" i="2"/>
  <c r="D11" i="2"/>
  <c r="D12" i="2"/>
  <c r="D13" i="2"/>
  <c r="D14" i="2"/>
  <c r="D15" i="2"/>
  <c r="D16" i="2"/>
  <c r="D17" i="2"/>
  <c r="D18" i="2"/>
  <c r="D19" i="2"/>
  <c r="D20" i="2"/>
  <c r="D10" i="2"/>
  <c r="D6" i="2"/>
</calcChain>
</file>

<file path=xl/sharedStrings.xml><?xml version="1.0" encoding="utf-8"?>
<sst xmlns="http://schemas.openxmlformats.org/spreadsheetml/2006/main" count="59" uniqueCount="44">
  <si>
    <t>所　属</t>
  </si>
  <si>
    <t>社　員</t>
  </si>
  <si>
    <t>賞与分</t>
  </si>
  <si>
    <t>若林運送株式会社</t>
  </si>
  <si>
    <t>東京営業所</t>
  </si>
  <si>
    <t>宮腰　真也</t>
  </si>
  <si>
    <t>金子　勝彦</t>
  </si>
  <si>
    <t>上原　勉</t>
  </si>
  <si>
    <t>米山　勝</t>
  </si>
  <si>
    <t>銅谷　和久</t>
  </si>
  <si>
    <t>賞与</t>
  </si>
  <si>
    <t>役員賞与</t>
  </si>
  <si>
    <t>職位加算</t>
  </si>
  <si>
    <t>職責加算</t>
  </si>
  <si>
    <t>課税支給合計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</si>
  <si>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</si>
  <si>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</si>
  <si>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</si>
  <si>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</si>
  <si>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</si>
  <si>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</si>
  <si>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</si>
  <si>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社保控除合計</t>
  </si>
  <si>
    <t>課税対象額</t>
  </si>
  <si>
    <t>前月課税対象額</t>
  </si>
  <si>
    <t>税率(％)</t>
  </si>
  <si>
    <t>所得税</t>
  </si>
  <si>
    <t>年調精算額</t>
  </si>
  <si>
    <t>その他控除合計</t>
  </si>
  <si>
    <t>控除合計</t>
  </si>
  <si>
    <t>差引支給額</t>
  </si>
  <si>
    <t>現金支給額</t>
  </si>
  <si>
    <t>振込支給額</t>
  </si>
  <si>
    <t>税制扶養数</t>
  </si>
  <si>
    <t>税表区分</t>
  </si>
  <si>
    <t>甲欄</t>
  </si>
  <si>
    <t>土屋　勝三</t>
  </si>
  <si>
    <t>本間　裕康</t>
  </si>
  <si>
    <t>新治　泰子</t>
  </si>
  <si>
    <t>全社計</t>
  </si>
  <si>
    <t>8名</t>
  </si>
  <si>
    <t>小計</t>
    <rPh sb="0" eb="2">
      <t>ショウケイ</t>
    </rPh>
    <phoneticPr fontId="1"/>
  </si>
  <si>
    <t>２名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</si>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</sst>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8" fontId="2" fillId="0" borderId="0" xfId="0" applyNumberFormat="1" applyFont="1" applyBorder="1">
      <alignment vertical="center"/>
    </xf>
    <xf numFmtId="179" fontId="2" fillId="0" borderId="0" xfId="0" applyNumberFormat="1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3" xfId="0" applyFont="1" applyFill="1" applyBorder="1">
      <alignment vertical="center"/>
    </xf>
    <xf numFmtId="179" fontId="2" fillId="0" borderId="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4" xfId="0" applyNumberFormat="1" applyFont="1" applyFill="1" applyBorder="1">
      <alignment vertical="center"/>
    </xf>
    <xf numFmtId="0" fontId="2" fillId="0" borderId="7" xfId="0" applyFont="1" applyFill="1" applyBorder="1">
      <alignment vertical="center"/>
    </xf>
    <xf numFmtId="179" fontId="2" fillId="0" borderId="8" xfId="0" applyNumberFormat="1" applyFont="1" applyFill="1" applyBorder="1">
      <alignment vertical="center"/>
    </xf>
    <xf numFmtId="0" fontId="2" fillId="0" borderId="13" xfId="0" applyFont="1" applyFill="1" applyBorder="1">
      <alignment vertical="center"/>
    </xf>
    <xf numFmtId="179" fontId="2" fillId="0" borderId="14" xfId="0" applyNumberFormat="1" applyFont="1" applyFill="1" applyBorder="1">
      <alignment vertical="center"/>
    </xf>
    <xf numFmtId="0" fontId="2" fillId="0" borderId="15" xfId="0" applyFont="1" applyFill="1" applyBorder="1">
      <alignment vertical="center"/>
    </xf>
    <xf numFmtId="179" fontId="2" fillId="0" borderId="16" xfId="0" applyNumberFormat="1" applyFont="1" applyFill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8" xfId="0" applyNumberFormat="1" applyFont="1" applyFill="1" applyBorder="1">
      <alignment vertical="center"/>
    </xf>
    <xf numFmtId="179" fontId="2" fillId="0" borderId="22" xfId="0" applyNumberFormat="1" applyFont="1" applyFill="1" applyBorder="1">
      <alignment vertical="center"/>
    </xf>
    <xf numFmtId="179" fontId="2" fillId="0" borderId="23" xfId="0" applyNumberFormat="1" applyFont="1" applyFill="1" applyBorder="1">
      <alignment vertical="center"/>
    </xf>
    <xf numFmtId="179" fontId="2" fillId="0" borderId="24" xfId="0" applyNumberFormat="1" applyFont="1" applyFill="1" applyBorder="1">
      <alignment vertical="center"/>
    </xf>
    <xf numFmtId="179" fontId="2" fillId="0" borderId="20" xfId="0" applyNumberFormat="1" applyFont="1" applyFill="1" applyBorder="1" applyAlignment="1">
      <alignment horizontal="center" vertical="center"/>
    </xf>
    <xf numFmtId="179" fontId="2" fillId="0" borderId="21" xfId="0" applyNumberFormat="1" applyFont="1" applyFill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30" xfId="0" applyNumberFormat="1" applyFont="1" applyFill="1" applyBorder="1">
      <alignment vertical="center"/>
    </xf>
    <xf numFmtId="179" fontId="2" fillId="0" borderId="31" xfId="0" applyNumberFormat="1" applyFont="1" applyFill="1" applyBorder="1">
      <alignment vertical="center"/>
    </xf>
    <xf numFmtId="179" fontId="2" fillId="0" borderId="32" xfId="0" applyNumberFormat="1" applyFont="1" applyFill="1" applyBorder="1">
      <alignment vertical="center"/>
    </xf>
    <xf numFmtId="179" fontId="2" fillId="0" borderId="28" xfId="0" applyNumberFormat="1" applyFont="1" applyFill="1" applyBorder="1" applyAlignment="1">
      <alignment horizontal="center" vertical="center"/>
    </xf>
    <xf numFmtId="179" fontId="2" fillId="0" borderId="29" xfId="0" applyNumberFormat="1" applyFont="1" applyFill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9" xfId="0" applyNumberFormat="1" applyFont="1" applyFill="1" applyBorder="1">
      <alignment vertical="center"/>
    </xf>
    <xf numFmtId="179" fontId="2" fillId="0" borderId="40" xfId="0" applyNumberFormat="1" applyFont="1" applyFill="1" applyBorder="1">
      <alignment vertical="center"/>
    </xf>
    <xf numFmtId="179" fontId="2" fillId="0" borderId="41" xfId="0" applyNumberFormat="1" applyFont="1" applyFill="1" applyBorder="1">
      <alignment vertical="center"/>
    </xf>
    <xf numFmtId="179" fontId="2" fillId="0" borderId="37" xfId="0" applyNumberFormat="1" applyFont="1" applyFill="1" applyBorder="1" applyAlignment="1">
      <alignment horizontal="center" vertical="center"/>
    </xf>
    <xf numFmtId="179" fontId="2" fillId="0" borderId="38" xfId="0" applyNumberFormat="1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right"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9" fontId="2" fillId="0" borderId="46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33" xfId="0" applyNumberFormat="1" applyFont="1" applyFill="1" applyBorder="1">
      <alignment vertical="center"/>
    </xf>
    <xf numFmtId="179" fontId="2" fillId="0" borderId="47" xfId="0" applyNumberFormat="1" applyFont="1" applyFill="1" applyBorder="1">
      <alignment vertical="center"/>
    </xf>
    <xf numFmtId="179" fontId="2" fillId="0" borderId="48" xfId="0" applyNumberFormat="1" applyFont="1" applyFill="1" applyBorder="1">
      <alignment vertical="center"/>
    </xf>
    <xf numFmtId="179" fontId="2" fillId="0" borderId="45" xfId="0" applyNumberFormat="1" applyFont="1" applyFill="1" applyBorder="1" applyAlignment="1">
      <alignment horizontal="center" vertical="center"/>
    </xf>
    <xf numFmtId="179" fontId="2" fillId="0" borderId="46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846D-C296-4272-A4E0-33BD1D6BE762}">
  <dimension ref="A1:AL52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1.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9"/>
      <c r="G1" s="1"/>
      <c r="H1" s="10"/>
      <c r="I1" s="1"/>
      <c r="J1" s="9"/>
      <c r="K1" s="9"/>
      <c r="L1" s="1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6" t="s">
        <v>0</v>
      </c>
      <c r="B3" s="17" t="s">
        <v>4</v>
      </c>
      <c r="C3" s="42" t="s">
        <v>4</v>
      </c>
      <c r="D3" s="65" t="s">
        <v>41</v>
      </c>
      <c r="E3" s="31" t="s">
        <v>4</v>
      </c>
      <c r="F3" s="17" t="s">
        <v>4</v>
      </c>
      <c r="G3" s="17" t="s">
        <v>4</v>
      </c>
      <c r="H3" s="17" t="s">
        <v>4</v>
      </c>
      <c r="I3" s="31" t="s">
        <v>4</v>
      </c>
      <c r="J3" s="42" t="s">
        <v>4</v>
      </c>
      <c r="K3" s="65" t="s">
        <v>41</v>
      </c>
      <c r="L3" s="53" t="s">
        <v>39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18"/>
      <c r="B4" s="19">
        <v>1029</v>
      </c>
      <c r="C4" s="43">
        <v>1033</v>
      </c>
      <c r="D4" s="66"/>
      <c r="E4" s="32">
        <v>1011</v>
      </c>
      <c r="F4" s="19">
        <v>1025</v>
      </c>
      <c r="G4" s="19">
        <v>1030</v>
      </c>
      <c r="H4" s="19">
        <v>1052</v>
      </c>
      <c r="I4" s="32">
        <v>1054</v>
      </c>
      <c r="J4" s="43">
        <v>1060</v>
      </c>
      <c r="K4" s="66"/>
      <c r="L4" s="5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18" t="s">
        <v>1</v>
      </c>
      <c r="B5" s="19" t="s">
        <v>7</v>
      </c>
      <c r="C5" s="43" t="s">
        <v>38</v>
      </c>
      <c r="D5" s="67" t="s">
        <v>42</v>
      </c>
      <c r="E5" s="32" t="s">
        <v>5</v>
      </c>
      <c r="F5" s="19" t="s">
        <v>6</v>
      </c>
      <c r="G5" s="19" t="s">
        <v>8</v>
      </c>
      <c r="H5" s="19" t="s">
        <v>9</v>
      </c>
      <c r="I5" s="32" t="s">
        <v>36</v>
      </c>
      <c r="J5" s="43" t="s">
        <v>37</v>
      </c>
      <c r="K5" s="67" t="s">
        <v>43</v>
      </c>
      <c r="L5" s="55" t="s">
        <v>40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0" t="s">
        <v>10</v>
      </c>
      <c r="B6" s="21">
        <v>359000</v>
      </c>
      <c r="C6" s="44">
        <v>0</v>
      </c>
      <c r="D6" s="68">
        <f>SUM(B6:C6)</f>
        <v>359000</v>
      </c>
      <c r="E6" s="33">
        <v>63000</v>
      </c>
      <c r="F6" s="21">
        <v>88000</v>
      </c>
      <c r="G6" s="21">
        <v>0</v>
      </c>
      <c r="H6" s="21">
        <v>63000</v>
      </c>
      <c r="I6" s="33">
        <v>63000</v>
      </c>
      <c r="J6" s="44">
        <v>46000</v>
      </c>
      <c r="K6" s="68">
        <f>SUM(E6:J6)</f>
        <v>323000</v>
      </c>
      <c r="L6" s="56">
        <v>682000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3" t="s">
        <v>11</v>
      </c>
      <c r="B7" s="11">
        <v>0</v>
      </c>
      <c r="C7" s="45">
        <v>0</v>
      </c>
      <c r="D7" s="69"/>
      <c r="E7" s="34">
        <v>0</v>
      </c>
      <c r="F7" s="11">
        <v>0</v>
      </c>
      <c r="G7" s="11">
        <v>0</v>
      </c>
      <c r="H7" s="11">
        <v>0</v>
      </c>
      <c r="I7" s="34">
        <v>0</v>
      </c>
      <c r="J7" s="45">
        <v>0</v>
      </c>
      <c r="K7" s="69">
        <f t="shared" ref="K7:K20" si="0">SUM(E7:J7)</f>
        <v>0</v>
      </c>
      <c r="L7" s="57">
        <v>0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3" t="s">
        <v>12</v>
      </c>
      <c r="B8" s="11">
        <v>0</v>
      </c>
      <c r="C8" s="45">
        <v>0</v>
      </c>
      <c r="D8" s="69"/>
      <c r="E8" s="34">
        <v>0</v>
      </c>
      <c r="F8" s="11">
        <v>15000</v>
      </c>
      <c r="G8" s="11">
        <v>0</v>
      </c>
      <c r="H8" s="11">
        <v>0</v>
      </c>
      <c r="I8" s="34">
        <v>0</v>
      </c>
      <c r="J8" s="45">
        <v>0</v>
      </c>
      <c r="K8" s="69">
        <f t="shared" si="0"/>
        <v>15000</v>
      </c>
      <c r="L8" s="57">
        <v>15000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3" t="s">
        <v>13</v>
      </c>
      <c r="B9" s="11">
        <v>0</v>
      </c>
      <c r="C9" s="45">
        <v>0</v>
      </c>
      <c r="D9" s="69"/>
      <c r="E9" s="34">
        <v>6000</v>
      </c>
      <c r="F9" s="11">
        <v>0</v>
      </c>
      <c r="G9" s="11">
        <v>0</v>
      </c>
      <c r="H9" s="11">
        <v>0</v>
      </c>
      <c r="I9" s="34">
        <v>0</v>
      </c>
      <c r="J9" s="45">
        <v>0</v>
      </c>
      <c r="K9" s="69">
        <f t="shared" si="0"/>
        <v>6000</v>
      </c>
      <c r="L9" s="57">
        <v>6000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thickBot="1" x14ac:dyDescent="0.2">
      <c r="A10" s="14" t="s">
        <v>14</v>
      </c>
      <c r="B10" s="24">
        <v>359000</v>
      </c>
      <c r="C10" s="46">
        <v>0</v>
      </c>
      <c r="D10" s="70">
        <f>SUM(B10:C10)</f>
        <v>359000</v>
      </c>
      <c r="E10" s="35">
        <v>69000</v>
      </c>
      <c r="F10" s="24">
        <v>103000</v>
      </c>
      <c r="G10" s="24">
        <v>0</v>
      </c>
      <c r="H10" s="24">
        <v>63000</v>
      </c>
      <c r="I10" s="35">
        <v>63000</v>
      </c>
      <c r="J10" s="46">
        <v>46000</v>
      </c>
      <c r="K10" s="70">
        <f t="shared" si="0"/>
        <v>344000</v>
      </c>
      <c r="L10" s="58">
        <v>703000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4.25" thickBot="1" x14ac:dyDescent="0.2">
      <c r="A11" s="25" t="s">
        <v>15</v>
      </c>
      <c r="B11" s="26">
        <v>0</v>
      </c>
      <c r="C11" s="47">
        <v>0</v>
      </c>
      <c r="D11" s="71">
        <f t="shared" ref="D11:D20" si="1">SUM(B11:C11)</f>
        <v>0</v>
      </c>
      <c r="E11" s="36">
        <v>0</v>
      </c>
      <c r="F11" s="26">
        <v>0</v>
      </c>
      <c r="G11" s="26">
        <v>0</v>
      </c>
      <c r="H11" s="26">
        <v>0</v>
      </c>
      <c r="I11" s="36">
        <v>0</v>
      </c>
      <c r="J11" s="47">
        <v>0</v>
      </c>
      <c r="K11" s="71">
        <f t="shared" si="0"/>
        <v>0</v>
      </c>
      <c r="L11" s="59"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thickBot="1" x14ac:dyDescent="0.2">
      <c r="A12" s="27" t="s">
        <v>16</v>
      </c>
      <c r="B12" s="28">
        <v>359000</v>
      </c>
      <c r="C12" s="48">
        <v>0</v>
      </c>
      <c r="D12" s="72">
        <f t="shared" si="1"/>
        <v>359000</v>
      </c>
      <c r="E12" s="37">
        <v>69000</v>
      </c>
      <c r="F12" s="28">
        <v>103000</v>
      </c>
      <c r="G12" s="28">
        <v>0</v>
      </c>
      <c r="H12" s="28">
        <v>63000</v>
      </c>
      <c r="I12" s="37">
        <v>63000</v>
      </c>
      <c r="J12" s="48">
        <v>46000</v>
      </c>
      <c r="K12" s="72">
        <f t="shared" si="0"/>
        <v>344000</v>
      </c>
      <c r="L12" s="60">
        <v>703000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22" t="s">
        <v>17</v>
      </c>
      <c r="B13" s="23">
        <v>18309</v>
      </c>
      <c r="C13" s="49">
        <v>0</v>
      </c>
      <c r="D13" s="73">
        <f t="shared" si="1"/>
        <v>18309</v>
      </c>
      <c r="E13" s="38">
        <v>3519</v>
      </c>
      <c r="F13" s="23">
        <v>5253</v>
      </c>
      <c r="G13" s="23">
        <v>0</v>
      </c>
      <c r="H13" s="23">
        <v>3213</v>
      </c>
      <c r="I13" s="38">
        <v>3213</v>
      </c>
      <c r="J13" s="49">
        <v>2346</v>
      </c>
      <c r="K13" s="73">
        <f t="shared" si="0"/>
        <v>17544</v>
      </c>
      <c r="L13" s="61">
        <v>35853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3" t="s">
        <v>18</v>
      </c>
      <c r="B14" s="11">
        <v>3231</v>
      </c>
      <c r="C14" s="45">
        <v>0</v>
      </c>
      <c r="D14" s="69">
        <f t="shared" si="1"/>
        <v>3231</v>
      </c>
      <c r="E14" s="34">
        <v>621</v>
      </c>
      <c r="F14" s="11">
        <v>927</v>
      </c>
      <c r="G14" s="11">
        <v>0</v>
      </c>
      <c r="H14" s="11">
        <v>567</v>
      </c>
      <c r="I14" s="34">
        <v>567</v>
      </c>
      <c r="J14" s="45">
        <v>414</v>
      </c>
      <c r="K14" s="69">
        <f t="shared" si="0"/>
        <v>3096</v>
      </c>
      <c r="L14" s="57">
        <v>6327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3" t="s">
        <v>19</v>
      </c>
      <c r="B15" s="11">
        <v>32848</v>
      </c>
      <c r="C15" s="45">
        <v>0</v>
      </c>
      <c r="D15" s="69">
        <f t="shared" si="1"/>
        <v>32848</v>
      </c>
      <c r="E15" s="34">
        <v>6313</v>
      </c>
      <c r="F15" s="11">
        <v>9424</v>
      </c>
      <c r="G15" s="11">
        <v>0</v>
      </c>
      <c r="H15" s="11">
        <v>5764</v>
      </c>
      <c r="I15" s="34">
        <v>5764</v>
      </c>
      <c r="J15" s="45">
        <v>4209</v>
      </c>
      <c r="K15" s="69">
        <f t="shared" si="0"/>
        <v>31474</v>
      </c>
      <c r="L15" s="57">
        <v>64322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3" t="s">
        <v>20</v>
      </c>
      <c r="B16" s="11">
        <v>0</v>
      </c>
      <c r="C16" s="45">
        <v>0</v>
      </c>
      <c r="D16" s="69">
        <f t="shared" si="1"/>
        <v>0</v>
      </c>
      <c r="E16" s="34">
        <v>0</v>
      </c>
      <c r="F16" s="11">
        <v>0</v>
      </c>
      <c r="G16" s="11">
        <v>0</v>
      </c>
      <c r="H16" s="11">
        <v>0</v>
      </c>
      <c r="I16" s="34">
        <v>0</v>
      </c>
      <c r="J16" s="45">
        <v>0</v>
      </c>
      <c r="K16" s="69">
        <f t="shared" si="0"/>
        <v>0</v>
      </c>
      <c r="L16" s="57">
        <v>0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3" t="s">
        <v>21</v>
      </c>
      <c r="B17" s="11">
        <v>1077</v>
      </c>
      <c r="C17" s="45">
        <v>0</v>
      </c>
      <c r="D17" s="69">
        <f t="shared" si="1"/>
        <v>1077</v>
      </c>
      <c r="E17" s="34">
        <v>207</v>
      </c>
      <c r="F17" s="11">
        <v>309</v>
      </c>
      <c r="G17" s="11">
        <v>0</v>
      </c>
      <c r="H17" s="11">
        <v>189</v>
      </c>
      <c r="I17" s="34">
        <v>189</v>
      </c>
      <c r="J17" s="45">
        <v>138</v>
      </c>
      <c r="K17" s="69">
        <f t="shared" si="0"/>
        <v>1032</v>
      </c>
      <c r="L17" s="57">
        <v>2109</v>
      </c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4.25" thickBot="1" x14ac:dyDescent="0.2">
      <c r="A18" s="29" t="s">
        <v>22</v>
      </c>
      <c r="B18" s="30">
        <v>55465</v>
      </c>
      <c r="C18" s="50">
        <v>0</v>
      </c>
      <c r="D18" s="74">
        <f t="shared" si="1"/>
        <v>55465</v>
      </c>
      <c r="E18" s="39">
        <v>10660</v>
      </c>
      <c r="F18" s="30">
        <v>15913</v>
      </c>
      <c r="G18" s="30">
        <v>0</v>
      </c>
      <c r="H18" s="30">
        <v>9733</v>
      </c>
      <c r="I18" s="39">
        <v>9733</v>
      </c>
      <c r="J18" s="50">
        <v>7107</v>
      </c>
      <c r="K18" s="74">
        <f t="shared" si="0"/>
        <v>53146</v>
      </c>
      <c r="L18" s="62">
        <v>108611</v>
      </c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4.25" thickBot="1" x14ac:dyDescent="0.2">
      <c r="A19" s="27" t="s">
        <v>23</v>
      </c>
      <c r="B19" s="28">
        <v>303535</v>
      </c>
      <c r="C19" s="48">
        <v>0</v>
      </c>
      <c r="D19" s="72">
        <f t="shared" si="1"/>
        <v>303535</v>
      </c>
      <c r="E19" s="37">
        <v>58340</v>
      </c>
      <c r="F19" s="28">
        <v>87087</v>
      </c>
      <c r="G19" s="28">
        <v>0</v>
      </c>
      <c r="H19" s="28">
        <v>53267</v>
      </c>
      <c r="I19" s="37">
        <v>53267</v>
      </c>
      <c r="J19" s="48">
        <v>38893</v>
      </c>
      <c r="K19" s="72">
        <f t="shared" si="0"/>
        <v>290854</v>
      </c>
      <c r="L19" s="60">
        <v>594389</v>
      </c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22" t="s">
        <v>24</v>
      </c>
      <c r="B20" s="23">
        <v>342847</v>
      </c>
      <c r="C20" s="49">
        <v>93635</v>
      </c>
      <c r="D20" s="73">
        <f t="shared" si="1"/>
        <v>436482</v>
      </c>
      <c r="E20" s="38">
        <v>357769</v>
      </c>
      <c r="F20" s="23">
        <v>337068</v>
      </c>
      <c r="G20" s="23">
        <v>0</v>
      </c>
      <c r="H20" s="23">
        <v>315062</v>
      </c>
      <c r="I20" s="38">
        <v>381156</v>
      </c>
      <c r="J20" s="49">
        <v>325124</v>
      </c>
      <c r="K20" s="73">
        <f t="shared" si="0"/>
        <v>1716179</v>
      </c>
      <c r="L20" s="61">
        <v>2152661</v>
      </c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3" t="s">
        <v>25</v>
      </c>
      <c r="B21" s="11">
        <v>8.1679999999999993</v>
      </c>
      <c r="C21" s="45">
        <v>4.0839999999999996</v>
      </c>
      <c r="D21" s="69"/>
      <c r="E21" s="34">
        <v>8.1679999999999993</v>
      </c>
      <c r="F21" s="11">
        <v>10.210000000000001</v>
      </c>
      <c r="G21" s="11">
        <v>0</v>
      </c>
      <c r="H21" s="11">
        <v>6.1260000000000003</v>
      </c>
      <c r="I21" s="34">
        <v>10.210000000000001</v>
      </c>
      <c r="J21" s="45">
        <v>6.1260000000000003</v>
      </c>
      <c r="K21" s="69"/>
      <c r="L21" s="57">
        <v>0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15">
      <c r="A22" s="13" t="s">
        <v>26</v>
      </c>
      <c r="B22" s="11">
        <v>24792</v>
      </c>
      <c r="C22" s="45">
        <v>0</v>
      </c>
      <c r="D22" s="69">
        <f>SUM(B22:C22)</f>
        <v>24792</v>
      </c>
      <c r="E22" s="34">
        <v>4765</v>
      </c>
      <c r="F22" s="11">
        <v>8891</v>
      </c>
      <c r="G22" s="11">
        <v>0</v>
      </c>
      <c r="H22" s="11">
        <v>3263</v>
      </c>
      <c r="I22" s="34">
        <v>5438</v>
      </c>
      <c r="J22" s="45">
        <v>2382</v>
      </c>
      <c r="K22" s="69">
        <f>SUM(E22:J22)</f>
        <v>24739</v>
      </c>
      <c r="L22" s="57">
        <v>49531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13" t="s">
        <v>27</v>
      </c>
      <c r="B23" s="11">
        <v>-24108</v>
      </c>
      <c r="C23" s="45">
        <v>-2630</v>
      </c>
      <c r="D23" s="69">
        <f t="shared" ref="D23:D28" si="2">SUM(B23:C23)</f>
        <v>-26738</v>
      </c>
      <c r="E23" s="34">
        <v>-79502</v>
      </c>
      <c r="F23" s="11">
        <v>-30059</v>
      </c>
      <c r="G23" s="11">
        <v>-15450</v>
      </c>
      <c r="H23" s="11">
        <v>-10681</v>
      </c>
      <c r="I23" s="34">
        <v>-121563</v>
      </c>
      <c r="J23" s="45">
        <v>-28462</v>
      </c>
      <c r="K23" s="69">
        <f t="shared" ref="K23:K28" si="3">SUM(E23:J23)</f>
        <v>-285717</v>
      </c>
      <c r="L23" s="57">
        <v>-312455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4.25" thickBot="1" x14ac:dyDescent="0.2">
      <c r="A24" s="29" t="s">
        <v>28</v>
      </c>
      <c r="B24" s="30">
        <v>684</v>
      </c>
      <c r="C24" s="50">
        <v>-2630</v>
      </c>
      <c r="D24" s="74">
        <f t="shared" si="2"/>
        <v>-1946</v>
      </c>
      <c r="E24" s="39">
        <v>-74737</v>
      </c>
      <c r="F24" s="30">
        <v>-21168</v>
      </c>
      <c r="G24" s="30">
        <v>-15450</v>
      </c>
      <c r="H24" s="30">
        <v>-7418</v>
      </c>
      <c r="I24" s="39">
        <v>-116125</v>
      </c>
      <c r="J24" s="50">
        <v>-26080</v>
      </c>
      <c r="K24" s="74">
        <f t="shared" si="3"/>
        <v>-260978</v>
      </c>
      <c r="L24" s="62">
        <v>-262924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4.25" thickBot="1" x14ac:dyDescent="0.2">
      <c r="A25" s="27" t="s">
        <v>29</v>
      </c>
      <c r="B25" s="28">
        <v>56149</v>
      </c>
      <c r="C25" s="48">
        <v>-2630</v>
      </c>
      <c r="D25" s="72">
        <f t="shared" si="2"/>
        <v>53519</v>
      </c>
      <c r="E25" s="37">
        <v>-64077</v>
      </c>
      <c r="F25" s="28">
        <v>-5255</v>
      </c>
      <c r="G25" s="28">
        <v>-15450</v>
      </c>
      <c r="H25" s="28">
        <v>2315</v>
      </c>
      <c r="I25" s="37">
        <v>-106392</v>
      </c>
      <c r="J25" s="48">
        <v>-18973</v>
      </c>
      <c r="K25" s="72">
        <f t="shared" si="3"/>
        <v>-207832</v>
      </c>
      <c r="L25" s="60">
        <v>-154313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4.25" thickBot="1" x14ac:dyDescent="0.2">
      <c r="A26" s="27" t="s">
        <v>30</v>
      </c>
      <c r="B26" s="28">
        <v>302851</v>
      </c>
      <c r="C26" s="48">
        <v>2630</v>
      </c>
      <c r="D26" s="72">
        <f t="shared" si="2"/>
        <v>305481</v>
      </c>
      <c r="E26" s="37">
        <v>133077</v>
      </c>
      <c r="F26" s="28">
        <v>108255</v>
      </c>
      <c r="G26" s="28">
        <v>15450</v>
      </c>
      <c r="H26" s="28">
        <v>60685</v>
      </c>
      <c r="I26" s="37">
        <v>169392</v>
      </c>
      <c r="J26" s="48">
        <v>64973</v>
      </c>
      <c r="K26" s="72">
        <f t="shared" si="3"/>
        <v>551832</v>
      </c>
      <c r="L26" s="60">
        <v>857313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22" t="s">
        <v>31</v>
      </c>
      <c r="B27" s="23">
        <v>0</v>
      </c>
      <c r="C27" s="49">
        <v>0</v>
      </c>
      <c r="D27" s="73">
        <f t="shared" si="2"/>
        <v>0</v>
      </c>
      <c r="E27" s="38">
        <v>0</v>
      </c>
      <c r="F27" s="23">
        <v>0</v>
      </c>
      <c r="G27" s="23">
        <v>0</v>
      </c>
      <c r="H27" s="23">
        <v>0</v>
      </c>
      <c r="I27" s="38">
        <v>0</v>
      </c>
      <c r="J27" s="49">
        <v>0</v>
      </c>
      <c r="K27" s="73">
        <f t="shared" si="3"/>
        <v>0</v>
      </c>
      <c r="L27" s="61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3" t="s">
        <v>32</v>
      </c>
      <c r="B28" s="11">
        <v>302851</v>
      </c>
      <c r="C28" s="45">
        <v>2630</v>
      </c>
      <c r="D28" s="69">
        <f t="shared" si="2"/>
        <v>305481</v>
      </c>
      <c r="E28" s="34">
        <v>133077</v>
      </c>
      <c r="F28" s="11">
        <v>108255</v>
      </c>
      <c r="G28" s="11">
        <v>15450</v>
      </c>
      <c r="H28" s="11">
        <v>60685</v>
      </c>
      <c r="I28" s="34">
        <v>169392</v>
      </c>
      <c r="J28" s="45">
        <v>64973</v>
      </c>
      <c r="K28" s="69">
        <f t="shared" si="3"/>
        <v>551832</v>
      </c>
      <c r="L28" s="57">
        <v>857313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3" t="s">
        <v>33</v>
      </c>
      <c r="B29" s="12">
        <v>1</v>
      </c>
      <c r="C29" s="51"/>
      <c r="D29" s="75"/>
      <c r="E29" s="40">
        <v>1</v>
      </c>
      <c r="F29" s="12"/>
      <c r="G29" s="12">
        <v>1</v>
      </c>
      <c r="H29" s="12">
        <v>1</v>
      </c>
      <c r="I29" s="40">
        <v>1</v>
      </c>
      <c r="J29" s="51">
        <v>2</v>
      </c>
      <c r="K29" s="75"/>
      <c r="L29" s="63"/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4.25" thickBot="1" x14ac:dyDescent="0.2">
      <c r="A30" s="14" t="s">
        <v>34</v>
      </c>
      <c r="B30" s="15" t="s">
        <v>35</v>
      </c>
      <c r="C30" s="52" t="s">
        <v>35</v>
      </c>
      <c r="D30" s="76"/>
      <c r="E30" s="41" t="s">
        <v>35</v>
      </c>
      <c r="F30" s="15" t="s">
        <v>35</v>
      </c>
      <c r="G30" s="15" t="s">
        <v>35</v>
      </c>
      <c r="H30" s="15" t="s">
        <v>35</v>
      </c>
      <c r="I30" s="41" t="s">
        <v>35</v>
      </c>
      <c r="J30" s="52" t="s">
        <v>35</v>
      </c>
      <c r="K30" s="76"/>
      <c r="L30" s="64"/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"/>
      <c r="B31" s="1"/>
      <c r="C31" s="1"/>
      <c r="D31" s="1"/>
      <c r="E31" s="8"/>
      <c r="F31" s="8"/>
      <c r="G31" s="8"/>
      <c r="H31" s="8"/>
      <c r="I31" s="8"/>
      <c r="J31" s="8"/>
      <c r="K31" s="8"/>
      <c r="L31" s="8"/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"/>
      <c r="B32" s="1"/>
      <c r="C32" s="1"/>
      <c r="D32" s="1"/>
      <c r="E32" s="8"/>
      <c r="F32" s="8"/>
      <c r="G32" s="8"/>
      <c r="H32" s="8"/>
      <c r="I32" s="8"/>
      <c r="J32" s="8"/>
      <c r="K32" s="8"/>
      <c r="L32" s="8"/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"/>
      <c r="B33" s="1"/>
      <c r="C33" s="1"/>
      <c r="D33" s="1"/>
      <c r="E33" s="8"/>
      <c r="F33" s="8"/>
      <c r="G33" s="8"/>
      <c r="H33" s="8"/>
      <c r="I33" s="8"/>
      <c r="J33" s="8"/>
      <c r="K33" s="8"/>
      <c r="L33" s="8"/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"/>
      <c r="B34" s="1"/>
      <c r="C34" s="1"/>
      <c r="D34" s="1"/>
      <c r="E34" s="8"/>
      <c r="F34" s="8"/>
      <c r="G34" s="8"/>
      <c r="H34" s="8"/>
      <c r="I34" s="8"/>
      <c r="J34" s="8"/>
      <c r="K34" s="8"/>
      <c r="L34" s="8"/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"/>
      <c r="B35" s="1"/>
      <c r="C35" s="1"/>
      <c r="D35" s="1"/>
      <c r="E35" s="8"/>
      <c r="F35" s="8"/>
      <c r="G35" s="8"/>
      <c r="H35" s="8"/>
      <c r="I35" s="8"/>
      <c r="J35" s="8"/>
      <c r="K35" s="8"/>
      <c r="L35" s="8"/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"/>
      <c r="B36" s="1"/>
      <c r="C36" s="1"/>
      <c r="D36" s="1"/>
      <c r="E36" s="8"/>
      <c r="F36" s="8"/>
      <c r="G36" s="8"/>
      <c r="H36" s="8"/>
      <c r="I36" s="8"/>
      <c r="J36" s="8"/>
      <c r="K36" s="8"/>
      <c r="L36" s="8"/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"/>
      <c r="B37" s="1"/>
      <c r="C37" s="1"/>
      <c r="D37" s="1"/>
      <c r="E37" s="8"/>
      <c r="F37" s="8"/>
      <c r="G37" s="8"/>
      <c r="H37" s="8"/>
      <c r="I37" s="8"/>
      <c r="J37" s="8"/>
      <c r="K37" s="8"/>
      <c r="L37" s="8"/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"/>
      <c r="B38" s="1"/>
      <c r="C38" s="1"/>
      <c r="D38" s="1"/>
      <c r="E38" s="8"/>
      <c r="F38" s="8"/>
      <c r="G38" s="8"/>
      <c r="H38" s="8"/>
      <c r="I38" s="8"/>
      <c r="J38" s="8"/>
      <c r="K38" s="8"/>
      <c r="L38" s="8"/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"/>
      <c r="B39" s="1"/>
      <c r="C39" s="1"/>
      <c r="D39" s="1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"/>
      <c r="B40" s="1"/>
      <c r="C40" s="1"/>
      <c r="D40" s="1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"/>
      <c r="B41" s="1"/>
      <c r="C41" s="1"/>
      <c r="D41" s="1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"/>
      <c r="B42" s="1"/>
      <c r="C42" s="1"/>
      <c r="D42" s="1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"/>
      <c r="B43" s="1"/>
      <c r="C43" s="1"/>
      <c r="D43" s="1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"/>
      <c r="B44" s="1"/>
      <c r="C44" s="1"/>
      <c r="D44" s="1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"/>
      <c r="B45" s="1"/>
      <c r="C45" s="1"/>
      <c r="D45" s="1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"/>
      <c r="B46" s="1"/>
      <c r="C46" s="1"/>
      <c r="D46" s="1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"/>
      <c r="B47" s="1"/>
      <c r="C47" s="1"/>
      <c r="D47" s="1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"/>
      <c r="B48" s="1"/>
      <c r="C48" s="1"/>
      <c r="D48" s="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6"/>
      <c r="B49" s="6"/>
      <c r="C49" s="6"/>
      <c r="D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15">
      <c r="A50" s="6"/>
      <c r="B50" s="6"/>
      <c r="C50" s="6"/>
      <c r="D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x14ac:dyDescent="0.15">
      <c r="A51" s="6"/>
      <c r="B51" s="6"/>
      <c r="C51" s="6"/>
      <c r="D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x14ac:dyDescent="0.15">
      <c r="A52" s="6"/>
      <c r="B52" s="6"/>
      <c r="C52" s="6"/>
      <c r="D52" s="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</sheetData>
  <phoneticPr fontId="1"/>
  <pageMargins left="0.45" right="0.37" top="0.5" bottom="0.36" header="0.21" footer="0.26"/>
  <pageSetup paperSize="1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1頁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2020-12-19T04:08:37Z</cp:lastPrinted>
  <dcterms:created xsi:type="dcterms:W3CDTF">2011-10-11T01:59:58Z</dcterms:created>
  <dcterms:modified xsi:type="dcterms:W3CDTF">2020-12-19T05:07:37Z</dcterms:modified>
</cp:coreProperties>
</file>