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冬季賞与\"/>
    </mc:Choice>
  </mc:AlternateContent>
  <xr:revisionPtr revIDLastSave="0" documentId="13_ncr:1_{EEB15BB4-538A-48BE-A283-A5111FC233D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J23" i="2" l="1"/>
  <c r="J24" i="2"/>
  <c r="J25" i="2"/>
  <c r="J26" i="2"/>
  <c r="J27" i="2"/>
  <c r="J28" i="2"/>
  <c r="J22" i="2"/>
  <c r="J9" i="2"/>
  <c r="J10" i="2"/>
  <c r="J11" i="2"/>
  <c r="J12" i="2"/>
  <c r="J13" i="2"/>
  <c r="J14" i="2"/>
  <c r="J15" i="2"/>
  <c r="J16" i="2"/>
  <c r="J17" i="2"/>
  <c r="J18" i="2"/>
  <c r="J19" i="2"/>
  <c r="J20" i="2"/>
  <c r="J8" i="2"/>
  <c r="J6" i="2"/>
  <c r="H23" i="2"/>
  <c r="H24" i="2"/>
  <c r="H25" i="2"/>
  <c r="H26" i="2"/>
  <c r="H27" i="2"/>
  <c r="H28" i="2"/>
  <c r="H22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D24" i="2"/>
  <c r="D25" i="2"/>
  <c r="D26" i="2"/>
  <c r="D27" i="2"/>
  <c r="D28" i="2"/>
  <c r="D23" i="2"/>
  <c r="D20" i="2"/>
</calcChain>
</file>

<file path=xl/sharedStrings.xml><?xml version="1.0" encoding="utf-8"?>
<sst xmlns="http://schemas.openxmlformats.org/spreadsheetml/2006/main" count="56" uniqueCount="43">
  <si>
    <t>所　属</t>
  </si>
  <si>
    <t>社　員</t>
  </si>
  <si>
    <t>賞与分</t>
  </si>
  <si>
    <t>本社</t>
  </si>
  <si>
    <t>高田　智幸</t>
  </si>
  <si>
    <t>若林　権太郎</t>
  </si>
  <si>
    <t>若林　裕子</t>
  </si>
  <si>
    <t>深沢　道夫</t>
  </si>
  <si>
    <t>浅田　恵美子</t>
  </si>
  <si>
    <t>賞与</t>
  </si>
  <si>
    <t>役員賞与</t>
  </si>
  <si>
    <t>職位加算</t>
  </si>
  <si>
    <t>職責加算</t>
  </si>
  <si>
    <t>課税支給合計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</si>
  <si>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</si>
  <si>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</si>
  <si>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</si>
  <si>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</si>
  <si>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</si>
  <si>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</si>
  <si>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</si>
  <si>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</si>
  <si>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社保控除合計</t>
  </si>
  <si>
    <t>課税対象額</t>
  </si>
  <si>
    <t>前月課税対象額</t>
  </si>
  <si>
    <t>税率(％)</t>
  </si>
  <si>
    <t>所得税</t>
  </si>
  <si>
    <t>年調精算額</t>
  </si>
  <si>
    <t>その他控除合計</t>
  </si>
  <si>
    <t>控除合計</t>
  </si>
  <si>
    <t>差引支給額</t>
  </si>
  <si>
    <t>現金支給額</t>
  </si>
  <si>
    <t>振込支給額</t>
  </si>
  <si>
    <t>税制扶養数</t>
  </si>
  <si>
    <t>税表区分</t>
  </si>
  <si>
    <t>甲欄</t>
  </si>
  <si>
    <t>渋谷　晶子</t>
  </si>
  <si>
    <t>全社計</t>
  </si>
  <si>
    <t>6名</t>
  </si>
  <si>
    <t>小計</t>
    <rPh sb="0" eb="2">
      <t>ショウケイ</t>
    </rPh>
    <phoneticPr fontId="1"/>
  </si>
  <si>
    <t>２名</t>
    <rPh sb="1" eb="2">
      <t>メイ</t>
    </rPh>
    <phoneticPr fontId="1"/>
  </si>
  <si>
    <t>3名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</si>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</sst>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8" fontId="2" fillId="0" borderId="0" xfId="0" applyNumberFormat="1" applyFont="1" applyBorder="1">
      <alignment vertical="center"/>
    </xf>
    <xf numFmtId="179" fontId="2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179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4" xfId="0" applyNumberFormat="1" applyFont="1" applyFill="1" applyBorder="1">
      <alignment vertical="center"/>
    </xf>
    <xf numFmtId="0" fontId="2" fillId="0" borderId="7" xfId="0" applyFont="1" applyFill="1" applyBorder="1">
      <alignment vertical="center"/>
    </xf>
    <xf numFmtId="179" fontId="2" fillId="0" borderId="8" xfId="0" applyNumberFormat="1" applyFont="1" applyFill="1" applyBorder="1">
      <alignment vertical="center"/>
    </xf>
    <xf numFmtId="0" fontId="2" fillId="0" borderId="13" xfId="0" applyFont="1" applyFill="1" applyBorder="1">
      <alignment vertical="center"/>
    </xf>
    <xf numFmtId="179" fontId="2" fillId="0" borderId="14" xfId="0" applyNumberFormat="1" applyFont="1" applyFill="1" applyBorder="1">
      <alignment vertical="center"/>
    </xf>
    <xf numFmtId="0" fontId="2" fillId="0" borderId="15" xfId="0" applyFont="1" applyFill="1" applyBorder="1">
      <alignment vertical="center"/>
    </xf>
    <xf numFmtId="179" fontId="2" fillId="0" borderId="16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8" xfId="0" applyNumberFormat="1" applyFont="1" applyFill="1" applyBorder="1">
      <alignment vertical="center"/>
    </xf>
    <xf numFmtId="179" fontId="2" fillId="0" borderId="22" xfId="0" applyNumberFormat="1" applyFont="1" applyFill="1" applyBorder="1">
      <alignment vertical="center"/>
    </xf>
    <xf numFmtId="179" fontId="2" fillId="0" borderId="23" xfId="0" applyNumberFormat="1" applyFont="1" applyFill="1" applyBorder="1">
      <alignment vertical="center"/>
    </xf>
    <xf numFmtId="179" fontId="2" fillId="0" borderId="24" xfId="0" applyNumberFormat="1" applyFont="1" applyFill="1" applyBorder="1">
      <alignment vertical="center"/>
    </xf>
    <xf numFmtId="179" fontId="2" fillId="0" borderId="20" xfId="0" applyNumberFormat="1" applyFont="1" applyFill="1" applyBorder="1" applyAlignment="1">
      <alignment horizontal="center" vertical="center"/>
    </xf>
    <xf numFmtId="179" fontId="2" fillId="0" borderId="21" xfId="0" applyNumberFormat="1" applyFont="1" applyFill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30" xfId="0" applyNumberFormat="1" applyFont="1" applyFill="1" applyBorder="1">
      <alignment vertical="center"/>
    </xf>
    <xf numFmtId="179" fontId="2" fillId="0" borderId="31" xfId="0" applyNumberFormat="1" applyFont="1" applyFill="1" applyBorder="1">
      <alignment vertical="center"/>
    </xf>
    <xf numFmtId="179" fontId="2" fillId="0" borderId="27" xfId="0" applyNumberFormat="1" applyFont="1" applyFill="1" applyBorder="1" applyAlignment="1">
      <alignment horizontal="center" vertical="center"/>
    </xf>
    <xf numFmtId="179" fontId="2" fillId="0" borderId="28" xfId="0" applyNumberFormat="1" applyFont="1" applyFill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4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9" xfId="0" applyNumberFormat="1" applyFont="1" applyFill="1" applyBorder="1">
      <alignment vertical="center"/>
    </xf>
    <xf numFmtId="179" fontId="2" fillId="0" borderId="36" xfId="0" applyNumberFormat="1" applyFont="1" applyFill="1" applyBorder="1" applyAlignment="1">
      <alignment horizontal="center" vertical="center"/>
    </xf>
    <xf numFmtId="179" fontId="2" fillId="0" borderId="40" xfId="0" applyNumberFormat="1" applyFont="1" applyFill="1" applyBorder="1">
      <alignment vertical="center"/>
    </xf>
    <xf numFmtId="179" fontId="2" fillId="0" borderId="37" xfId="0" applyNumberFormat="1" applyFont="1" applyFill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32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 applyAlignment="1">
      <alignment horizontal="center" vertical="center"/>
    </xf>
    <xf numFmtId="179" fontId="2" fillId="0" borderId="47" xfId="0" applyNumberFormat="1" applyFont="1" applyFill="1" applyBorder="1">
      <alignment vertical="center"/>
    </xf>
    <xf numFmtId="179" fontId="2" fillId="0" borderId="45" xfId="0" applyNumberFormat="1" applyFont="1" applyFill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49" xfId="0" applyNumberFormat="1" applyFont="1" applyFill="1" applyBorder="1">
      <alignment vertical="center"/>
    </xf>
    <xf numFmtId="179" fontId="2" fillId="0" borderId="53" xfId="0" applyNumberFormat="1" applyFont="1" applyFill="1" applyBorder="1">
      <alignment vertical="center"/>
    </xf>
    <xf numFmtId="179" fontId="2" fillId="0" borderId="54" xfId="0" applyNumberFormat="1" applyFont="1" applyFill="1" applyBorder="1">
      <alignment vertical="center"/>
    </xf>
    <xf numFmtId="179" fontId="2" fillId="0" borderId="55" xfId="0" applyNumberFormat="1" applyFont="1" applyFill="1" applyBorder="1">
      <alignment vertical="center"/>
    </xf>
    <xf numFmtId="179" fontId="2" fillId="0" borderId="51" xfId="0" applyNumberFormat="1" applyFont="1" applyFill="1" applyBorder="1" applyAlignment="1">
      <alignment horizontal="center" vertical="center"/>
    </xf>
    <xf numFmtId="179" fontId="2" fillId="0" borderId="52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D8AD-7CBA-401C-97E5-7FB12CB86DE6}">
  <dimension ref="A1:AI52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.375" style="2" customWidth="1"/>
    <col min="12" max="16" width="10.5" style="2" customWidth="1"/>
    <col min="17" max="16384" width="9" style="2"/>
  </cols>
  <sheetData>
    <row r="1" spans="1:35" ht="18.75" x14ac:dyDescent="0.15">
      <c r="A1" s="1" t="s">
        <v>2</v>
      </c>
      <c r="B1" s="9"/>
      <c r="C1" s="1"/>
      <c r="D1" s="1"/>
      <c r="E1" s="1"/>
      <c r="F1" s="10"/>
      <c r="G1" s="1"/>
      <c r="H1" s="1"/>
      <c r="I1" s="1"/>
      <c r="J1" s="1"/>
      <c r="K1" s="1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15">
      <c r="A3" s="16" t="s">
        <v>0</v>
      </c>
      <c r="B3" s="17" t="s">
        <v>3</v>
      </c>
      <c r="C3" s="51" t="s">
        <v>3</v>
      </c>
      <c r="D3" s="62" t="s">
        <v>39</v>
      </c>
      <c r="E3" s="31" t="s">
        <v>3</v>
      </c>
      <c r="F3" s="17" t="s">
        <v>3</v>
      </c>
      <c r="G3" s="42" t="s">
        <v>3</v>
      </c>
      <c r="H3" s="62" t="s">
        <v>39</v>
      </c>
      <c r="I3" s="42" t="s">
        <v>3</v>
      </c>
      <c r="J3" s="62" t="s">
        <v>39</v>
      </c>
      <c r="K3" s="74" t="s">
        <v>37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15">
      <c r="A4" s="18"/>
      <c r="B4" s="19">
        <v>1010</v>
      </c>
      <c r="C4" s="52">
        <v>1024</v>
      </c>
      <c r="D4" s="63"/>
      <c r="E4" s="32">
        <v>1020</v>
      </c>
      <c r="F4" s="19">
        <v>1041</v>
      </c>
      <c r="G4" s="1">
        <v>1036</v>
      </c>
      <c r="H4" s="63"/>
      <c r="I4" s="1">
        <v>1053</v>
      </c>
      <c r="J4" s="63"/>
      <c r="K4" s="7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4.25" thickBot="1" x14ac:dyDescent="0.2">
      <c r="A5" s="18" t="s">
        <v>1</v>
      </c>
      <c r="B5" s="19" t="s">
        <v>5</v>
      </c>
      <c r="C5" s="52" t="s">
        <v>6</v>
      </c>
      <c r="D5" s="64" t="s">
        <v>40</v>
      </c>
      <c r="E5" s="32" t="s">
        <v>7</v>
      </c>
      <c r="F5" s="19" t="s">
        <v>8</v>
      </c>
      <c r="G5" s="1" t="s">
        <v>36</v>
      </c>
      <c r="H5" s="64" t="s">
        <v>41</v>
      </c>
      <c r="I5" s="1" t="s">
        <v>4</v>
      </c>
      <c r="J5" s="64" t="s">
        <v>42</v>
      </c>
      <c r="K5" s="76" t="s">
        <v>38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15">
      <c r="A6" s="20" t="s">
        <v>9</v>
      </c>
      <c r="B6" s="21">
        <v>0</v>
      </c>
      <c r="C6" s="53">
        <v>0</v>
      </c>
      <c r="D6" s="65"/>
      <c r="E6" s="33">
        <v>384000</v>
      </c>
      <c r="F6" s="21">
        <v>151000</v>
      </c>
      <c r="G6" s="43">
        <v>0</v>
      </c>
      <c r="H6" s="65">
        <f>SUM(E6:G6)</f>
        <v>535000</v>
      </c>
      <c r="I6" s="43">
        <v>73000</v>
      </c>
      <c r="J6" s="65">
        <f>SUM(I6)</f>
        <v>73000</v>
      </c>
      <c r="K6" s="77">
        <v>608000</v>
      </c>
      <c r="L6" s="3"/>
      <c r="M6" s="3"/>
      <c r="N6" s="3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15">
      <c r="A7" s="13" t="s">
        <v>10</v>
      </c>
      <c r="B7" s="11">
        <v>0</v>
      </c>
      <c r="C7" s="54">
        <v>0</v>
      </c>
      <c r="D7" s="66"/>
      <c r="E7" s="34">
        <v>0</v>
      </c>
      <c r="F7" s="11">
        <v>0</v>
      </c>
      <c r="G7" s="44">
        <v>0</v>
      </c>
      <c r="H7" s="66">
        <f t="shared" ref="H7:H20" si="0">SUM(E7:G7)</f>
        <v>0</v>
      </c>
      <c r="I7" s="44">
        <v>0</v>
      </c>
      <c r="J7" s="66"/>
      <c r="K7" s="78">
        <v>0</v>
      </c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15">
      <c r="A8" s="13" t="s">
        <v>11</v>
      </c>
      <c r="B8" s="11">
        <v>0</v>
      </c>
      <c r="C8" s="54">
        <v>0</v>
      </c>
      <c r="D8" s="66"/>
      <c r="E8" s="34">
        <v>0</v>
      </c>
      <c r="F8" s="11">
        <v>30000</v>
      </c>
      <c r="G8" s="44">
        <v>0</v>
      </c>
      <c r="H8" s="66">
        <f t="shared" si="0"/>
        <v>30000</v>
      </c>
      <c r="I8" s="44">
        <v>15000</v>
      </c>
      <c r="J8" s="66">
        <f>SUM(I8)</f>
        <v>15000</v>
      </c>
      <c r="K8" s="78">
        <v>45000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15">
      <c r="A9" s="13" t="s">
        <v>12</v>
      </c>
      <c r="B9" s="11">
        <v>0</v>
      </c>
      <c r="C9" s="54">
        <v>0</v>
      </c>
      <c r="D9" s="66"/>
      <c r="E9" s="34">
        <v>0</v>
      </c>
      <c r="F9" s="11">
        <v>33000</v>
      </c>
      <c r="G9" s="44">
        <v>0</v>
      </c>
      <c r="H9" s="66">
        <f t="shared" si="0"/>
        <v>33000</v>
      </c>
      <c r="I9" s="44">
        <v>33000</v>
      </c>
      <c r="J9" s="66">
        <f t="shared" ref="J9:J20" si="1">SUM(I9)</f>
        <v>33000</v>
      </c>
      <c r="K9" s="78">
        <v>66000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4.25" thickBot="1" x14ac:dyDescent="0.2">
      <c r="A10" s="14" t="s">
        <v>13</v>
      </c>
      <c r="B10" s="24">
        <v>0</v>
      </c>
      <c r="C10" s="55">
        <v>0</v>
      </c>
      <c r="D10" s="67"/>
      <c r="E10" s="35">
        <v>384000</v>
      </c>
      <c r="F10" s="24">
        <v>214000</v>
      </c>
      <c r="G10" s="45">
        <v>0</v>
      </c>
      <c r="H10" s="67">
        <f t="shared" si="0"/>
        <v>598000</v>
      </c>
      <c r="I10" s="45">
        <v>121000</v>
      </c>
      <c r="J10" s="67">
        <f t="shared" si="1"/>
        <v>121000</v>
      </c>
      <c r="K10" s="79">
        <v>719000</v>
      </c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4.25" thickBot="1" x14ac:dyDescent="0.2">
      <c r="A11" s="25" t="s">
        <v>14</v>
      </c>
      <c r="B11" s="26">
        <v>0</v>
      </c>
      <c r="C11" s="56">
        <v>0</v>
      </c>
      <c r="D11" s="68"/>
      <c r="E11" s="36">
        <v>0</v>
      </c>
      <c r="F11" s="26">
        <v>0</v>
      </c>
      <c r="G11" s="8">
        <v>0</v>
      </c>
      <c r="H11" s="68">
        <f t="shared" si="0"/>
        <v>0</v>
      </c>
      <c r="I11" s="8">
        <v>0</v>
      </c>
      <c r="J11" s="68">
        <f t="shared" si="1"/>
        <v>0</v>
      </c>
      <c r="K11" s="80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4.25" thickBot="1" x14ac:dyDescent="0.2">
      <c r="A12" s="27" t="s">
        <v>15</v>
      </c>
      <c r="B12" s="28">
        <v>0</v>
      </c>
      <c r="C12" s="57">
        <v>0</v>
      </c>
      <c r="D12" s="69"/>
      <c r="E12" s="37">
        <v>384000</v>
      </c>
      <c r="F12" s="28">
        <v>214000</v>
      </c>
      <c r="G12" s="46">
        <v>0</v>
      </c>
      <c r="H12" s="69">
        <f t="shared" si="0"/>
        <v>598000</v>
      </c>
      <c r="I12" s="46">
        <v>121000</v>
      </c>
      <c r="J12" s="69">
        <f t="shared" si="1"/>
        <v>121000</v>
      </c>
      <c r="K12" s="81">
        <v>719000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15">
      <c r="A13" s="22" t="s">
        <v>16</v>
      </c>
      <c r="B13" s="23">
        <v>0</v>
      </c>
      <c r="C13" s="58">
        <v>0</v>
      </c>
      <c r="D13" s="70"/>
      <c r="E13" s="38">
        <v>19584</v>
      </c>
      <c r="F13" s="23">
        <v>10914</v>
      </c>
      <c r="G13" s="47">
        <v>0</v>
      </c>
      <c r="H13" s="70">
        <f t="shared" si="0"/>
        <v>30498</v>
      </c>
      <c r="I13" s="47">
        <v>6171</v>
      </c>
      <c r="J13" s="70">
        <f t="shared" si="1"/>
        <v>6171</v>
      </c>
      <c r="K13" s="82">
        <v>36669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15">
      <c r="A14" s="13" t="s">
        <v>17</v>
      </c>
      <c r="B14" s="11">
        <v>0</v>
      </c>
      <c r="C14" s="54">
        <v>0</v>
      </c>
      <c r="D14" s="66"/>
      <c r="E14" s="34">
        <v>3456</v>
      </c>
      <c r="F14" s="11">
        <v>1926</v>
      </c>
      <c r="G14" s="44">
        <v>0</v>
      </c>
      <c r="H14" s="66">
        <f t="shared" si="0"/>
        <v>5382</v>
      </c>
      <c r="I14" s="44">
        <v>1089</v>
      </c>
      <c r="J14" s="66">
        <f t="shared" si="1"/>
        <v>1089</v>
      </c>
      <c r="K14" s="78">
        <v>6471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15">
      <c r="A15" s="13" t="s">
        <v>18</v>
      </c>
      <c r="B15" s="11">
        <v>0</v>
      </c>
      <c r="C15" s="54">
        <v>0</v>
      </c>
      <c r="D15" s="66"/>
      <c r="E15" s="34">
        <v>35136</v>
      </c>
      <c r="F15" s="11">
        <v>19581</v>
      </c>
      <c r="G15" s="44">
        <v>0</v>
      </c>
      <c r="H15" s="66">
        <f t="shared" si="0"/>
        <v>54717</v>
      </c>
      <c r="I15" s="44">
        <v>11071</v>
      </c>
      <c r="J15" s="66">
        <f t="shared" si="1"/>
        <v>11071</v>
      </c>
      <c r="K15" s="78">
        <v>65788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15">
      <c r="A16" s="13" t="s">
        <v>19</v>
      </c>
      <c r="B16" s="11">
        <v>0</v>
      </c>
      <c r="C16" s="54">
        <v>0</v>
      </c>
      <c r="D16" s="66"/>
      <c r="E16" s="34">
        <v>0</v>
      </c>
      <c r="F16" s="11">
        <v>0</v>
      </c>
      <c r="G16" s="44">
        <v>0</v>
      </c>
      <c r="H16" s="66">
        <f t="shared" si="0"/>
        <v>0</v>
      </c>
      <c r="I16" s="44">
        <v>0</v>
      </c>
      <c r="J16" s="66">
        <f t="shared" si="1"/>
        <v>0</v>
      </c>
      <c r="K16" s="78">
        <v>0</v>
      </c>
      <c r="L16" s="5"/>
      <c r="M16" s="5"/>
      <c r="N16" s="5"/>
      <c r="O16" s="5"/>
      <c r="P16" s="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15">
      <c r="A17" s="13" t="s">
        <v>20</v>
      </c>
      <c r="B17" s="12" t="s">
        <v>21</v>
      </c>
      <c r="C17" s="59" t="s">
        <v>21</v>
      </c>
      <c r="D17" s="71"/>
      <c r="E17" s="34">
        <v>1152</v>
      </c>
      <c r="F17" s="11">
        <v>642</v>
      </c>
      <c r="G17" s="44">
        <v>0</v>
      </c>
      <c r="H17" s="66">
        <f t="shared" si="0"/>
        <v>1794</v>
      </c>
      <c r="I17" s="44">
        <v>363</v>
      </c>
      <c r="J17" s="66">
        <f t="shared" si="1"/>
        <v>363</v>
      </c>
      <c r="K17" s="78">
        <v>2157</v>
      </c>
      <c r="L17" s="5"/>
      <c r="M17" s="5"/>
      <c r="N17" s="5"/>
      <c r="O17" s="5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4.25" thickBot="1" x14ac:dyDescent="0.2">
      <c r="A18" s="29" t="s">
        <v>22</v>
      </c>
      <c r="B18" s="30">
        <v>0</v>
      </c>
      <c r="C18" s="60">
        <v>0</v>
      </c>
      <c r="D18" s="72"/>
      <c r="E18" s="39">
        <v>59328</v>
      </c>
      <c r="F18" s="30">
        <v>33063</v>
      </c>
      <c r="G18" s="48">
        <v>0</v>
      </c>
      <c r="H18" s="72">
        <f t="shared" si="0"/>
        <v>92391</v>
      </c>
      <c r="I18" s="48">
        <v>18694</v>
      </c>
      <c r="J18" s="72">
        <f t="shared" si="1"/>
        <v>18694</v>
      </c>
      <c r="K18" s="83">
        <v>111085</v>
      </c>
      <c r="L18" s="5"/>
      <c r="M18" s="5"/>
      <c r="N18" s="5"/>
      <c r="O18" s="5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4.25" thickBot="1" x14ac:dyDescent="0.2">
      <c r="A19" s="27" t="s">
        <v>23</v>
      </c>
      <c r="B19" s="28">
        <v>0</v>
      </c>
      <c r="C19" s="57">
        <v>0</v>
      </c>
      <c r="D19" s="69"/>
      <c r="E19" s="37">
        <v>324672</v>
      </c>
      <c r="F19" s="28">
        <v>180937</v>
      </c>
      <c r="G19" s="46">
        <v>0</v>
      </c>
      <c r="H19" s="69">
        <f t="shared" si="0"/>
        <v>505609</v>
      </c>
      <c r="I19" s="46">
        <v>102306</v>
      </c>
      <c r="J19" s="69">
        <f t="shared" si="1"/>
        <v>102306</v>
      </c>
      <c r="K19" s="81">
        <v>607915</v>
      </c>
      <c r="L19" s="5"/>
      <c r="M19" s="5"/>
      <c r="N19" s="5"/>
      <c r="O19" s="5"/>
      <c r="P19" s="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15">
      <c r="A20" s="22" t="s">
        <v>24</v>
      </c>
      <c r="B20" s="23">
        <v>1172125</v>
      </c>
      <c r="C20" s="58">
        <v>100000</v>
      </c>
      <c r="D20" s="70">
        <f>SUM(B20:C20)</f>
        <v>1272125</v>
      </c>
      <c r="E20" s="38">
        <v>357060</v>
      </c>
      <c r="F20" s="23">
        <v>349219</v>
      </c>
      <c r="G20" s="47">
        <v>115931</v>
      </c>
      <c r="H20" s="70">
        <f t="shared" si="0"/>
        <v>822210</v>
      </c>
      <c r="I20" s="47">
        <v>278486</v>
      </c>
      <c r="J20" s="70">
        <f t="shared" si="1"/>
        <v>278486</v>
      </c>
      <c r="K20" s="82">
        <v>2372821</v>
      </c>
      <c r="L20" s="5"/>
      <c r="M20" s="5"/>
      <c r="N20" s="5"/>
      <c r="O20" s="5"/>
      <c r="P20" s="5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15">
      <c r="A21" s="13" t="s">
        <v>25</v>
      </c>
      <c r="B21" s="11">
        <v>32.671999999999997</v>
      </c>
      <c r="C21" s="54">
        <v>4.0839999999999996</v>
      </c>
      <c r="D21" s="66"/>
      <c r="E21" s="34">
        <v>10.210000000000001</v>
      </c>
      <c r="F21" s="11">
        <v>10.210000000000001</v>
      </c>
      <c r="G21" s="44">
        <v>4.0839999999999996</v>
      </c>
      <c r="H21" s="66"/>
      <c r="I21" s="44">
        <v>6.1260000000000003</v>
      </c>
      <c r="J21" s="66"/>
      <c r="K21" s="78">
        <v>0</v>
      </c>
      <c r="L21" s="5"/>
      <c r="M21" s="5"/>
      <c r="N21" s="5"/>
      <c r="O21" s="5"/>
      <c r="P21" s="5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15">
      <c r="A22" s="13" t="s">
        <v>26</v>
      </c>
      <c r="B22" s="11">
        <v>0</v>
      </c>
      <c r="C22" s="54">
        <v>0</v>
      </c>
      <c r="D22" s="66"/>
      <c r="E22" s="34">
        <v>33149</v>
      </c>
      <c r="F22" s="11">
        <v>18473</v>
      </c>
      <c r="G22" s="44">
        <v>0</v>
      </c>
      <c r="H22" s="66">
        <f>SUM(E22:G22)</f>
        <v>51622</v>
      </c>
      <c r="I22" s="44">
        <v>6267</v>
      </c>
      <c r="J22" s="66">
        <f>SUM(I22)</f>
        <v>6267</v>
      </c>
      <c r="K22" s="78">
        <v>57889</v>
      </c>
      <c r="L22" s="5"/>
      <c r="M22" s="5"/>
      <c r="N22" s="5"/>
      <c r="O22" s="5"/>
      <c r="P22" s="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15">
      <c r="A23" s="13" t="s">
        <v>27</v>
      </c>
      <c r="B23" s="11">
        <v>-341800</v>
      </c>
      <c r="C23" s="54">
        <v>-40</v>
      </c>
      <c r="D23" s="66">
        <f>SUM(B23:C23)</f>
        <v>-341840</v>
      </c>
      <c r="E23" s="34">
        <v>-66782</v>
      </c>
      <c r="F23" s="11">
        <v>-22221</v>
      </c>
      <c r="G23" s="44">
        <v>-4590</v>
      </c>
      <c r="H23" s="66">
        <f t="shared" ref="H23:H28" si="2">SUM(E23:G23)</f>
        <v>-93593</v>
      </c>
      <c r="I23" s="44">
        <v>-15258</v>
      </c>
      <c r="J23" s="66">
        <f t="shared" ref="J23:J28" si="3">SUM(I23)</f>
        <v>-15258</v>
      </c>
      <c r="K23" s="78">
        <v>-450691</v>
      </c>
      <c r="L23" s="5"/>
      <c r="M23" s="5"/>
      <c r="N23" s="5"/>
      <c r="O23" s="5"/>
      <c r="P23" s="5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4.25" thickBot="1" x14ac:dyDescent="0.2">
      <c r="A24" s="29" t="s">
        <v>28</v>
      </c>
      <c r="B24" s="30">
        <v>-341800</v>
      </c>
      <c r="C24" s="60">
        <v>-40</v>
      </c>
      <c r="D24" s="72">
        <f t="shared" ref="D24:D28" si="4">SUM(B24:C24)</f>
        <v>-341840</v>
      </c>
      <c r="E24" s="39">
        <v>-33633</v>
      </c>
      <c r="F24" s="30">
        <v>-3748</v>
      </c>
      <c r="G24" s="48">
        <v>-4590</v>
      </c>
      <c r="H24" s="72">
        <f t="shared" si="2"/>
        <v>-41971</v>
      </c>
      <c r="I24" s="48">
        <v>-8991</v>
      </c>
      <c r="J24" s="72">
        <f t="shared" si="3"/>
        <v>-8991</v>
      </c>
      <c r="K24" s="83">
        <v>-392802</v>
      </c>
      <c r="L24" s="5"/>
      <c r="M24" s="5"/>
      <c r="N24" s="5"/>
      <c r="O24" s="5"/>
      <c r="P24" s="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4.25" thickBot="1" x14ac:dyDescent="0.2">
      <c r="A25" s="27" t="s">
        <v>29</v>
      </c>
      <c r="B25" s="28">
        <v>-341800</v>
      </c>
      <c r="C25" s="57">
        <v>-40</v>
      </c>
      <c r="D25" s="69">
        <f t="shared" si="4"/>
        <v>-341840</v>
      </c>
      <c r="E25" s="37">
        <v>25695</v>
      </c>
      <c r="F25" s="28">
        <v>29315</v>
      </c>
      <c r="G25" s="46">
        <v>-4590</v>
      </c>
      <c r="H25" s="69">
        <f t="shared" si="2"/>
        <v>50420</v>
      </c>
      <c r="I25" s="46">
        <v>9703</v>
      </c>
      <c r="J25" s="69">
        <f t="shared" si="3"/>
        <v>9703</v>
      </c>
      <c r="K25" s="81">
        <v>-281717</v>
      </c>
      <c r="L25" s="5"/>
      <c r="M25" s="5"/>
      <c r="N25" s="5"/>
      <c r="O25" s="5"/>
      <c r="P25" s="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4.25" thickBot="1" x14ac:dyDescent="0.2">
      <c r="A26" s="27" t="s">
        <v>30</v>
      </c>
      <c r="B26" s="28">
        <v>341800</v>
      </c>
      <c r="C26" s="57">
        <v>40</v>
      </c>
      <c r="D26" s="69">
        <f t="shared" si="4"/>
        <v>341840</v>
      </c>
      <c r="E26" s="37">
        <v>358305</v>
      </c>
      <c r="F26" s="28">
        <v>184685</v>
      </c>
      <c r="G26" s="46">
        <v>4590</v>
      </c>
      <c r="H26" s="69">
        <f t="shared" si="2"/>
        <v>547580</v>
      </c>
      <c r="I26" s="46">
        <v>111297</v>
      </c>
      <c r="J26" s="69">
        <f t="shared" si="3"/>
        <v>111297</v>
      </c>
      <c r="K26" s="81">
        <v>1000717</v>
      </c>
      <c r="L26" s="5"/>
      <c r="M26" s="5"/>
      <c r="N26" s="5"/>
      <c r="O26" s="5"/>
      <c r="P26" s="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15">
      <c r="A27" s="22" t="s">
        <v>31</v>
      </c>
      <c r="B27" s="23">
        <v>0</v>
      </c>
      <c r="C27" s="58">
        <v>40</v>
      </c>
      <c r="D27" s="70">
        <f t="shared" si="4"/>
        <v>40</v>
      </c>
      <c r="E27" s="38">
        <v>0</v>
      </c>
      <c r="F27" s="23">
        <v>0</v>
      </c>
      <c r="G27" s="47">
        <v>0</v>
      </c>
      <c r="H27" s="70">
        <f t="shared" si="2"/>
        <v>0</v>
      </c>
      <c r="I27" s="47">
        <v>0</v>
      </c>
      <c r="J27" s="70">
        <f t="shared" si="3"/>
        <v>0</v>
      </c>
      <c r="K27" s="82">
        <v>40</v>
      </c>
      <c r="L27" s="5"/>
      <c r="M27" s="5"/>
      <c r="N27" s="5"/>
      <c r="O27" s="5"/>
      <c r="P27" s="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15">
      <c r="A28" s="13" t="s">
        <v>32</v>
      </c>
      <c r="B28" s="11">
        <v>341800</v>
      </c>
      <c r="C28" s="54">
        <v>0</v>
      </c>
      <c r="D28" s="66">
        <f t="shared" si="4"/>
        <v>341800</v>
      </c>
      <c r="E28" s="34">
        <v>358305</v>
      </c>
      <c r="F28" s="11">
        <v>184685</v>
      </c>
      <c r="G28" s="44">
        <v>4590</v>
      </c>
      <c r="H28" s="66">
        <f t="shared" si="2"/>
        <v>547580</v>
      </c>
      <c r="I28" s="44">
        <v>111297</v>
      </c>
      <c r="J28" s="66">
        <f t="shared" si="3"/>
        <v>111297</v>
      </c>
      <c r="K28" s="78">
        <v>1000677</v>
      </c>
      <c r="L28" s="5"/>
      <c r="M28" s="5"/>
      <c r="N28" s="5"/>
      <c r="O28" s="5"/>
      <c r="P28" s="5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15">
      <c r="A29" s="13" t="s">
        <v>33</v>
      </c>
      <c r="B29" s="12">
        <v>1</v>
      </c>
      <c r="C29" s="59"/>
      <c r="D29" s="71"/>
      <c r="E29" s="40"/>
      <c r="F29" s="12"/>
      <c r="G29" s="49"/>
      <c r="H29" s="71"/>
      <c r="I29" s="49"/>
      <c r="J29" s="71"/>
      <c r="K29" s="84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4.25" thickBot="1" x14ac:dyDescent="0.2">
      <c r="A30" s="14" t="s">
        <v>34</v>
      </c>
      <c r="B30" s="15" t="s">
        <v>35</v>
      </c>
      <c r="C30" s="61" t="s">
        <v>35</v>
      </c>
      <c r="D30" s="73"/>
      <c r="E30" s="41" t="s">
        <v>35</v>
      </c>
      <c r="F30" s="15" t="s">
        <v>35</v>
      </c>
      <c r="G30" s="50" t="s">
        <v>35</v>
      </c>
      <c r="H30" s="73"/>
      <c r="I30" s="50" t="s">
        <v>35</v>
      </c>
      <c r="J30" s="73"/>
      <c r="K30" s="85"/>
      <c r="L30" s="5"/>
      <c r="M30" s="5"/>
      <c r="N30" s="5"/>
      <c r="O30" s="5"/>
      <c r="P30" s="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15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5"/>
      <c r="M31" s="5"/>
      <c r="N31" s="5"/>
      <c r="O31" s="5"/>
      <c r="P31" s="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15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5"/>
      <c r="M32" s="5"/>
      <c r="N32" s="5"/>
      <c r="O32" s="5"/>
      <c r="P32" s="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15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5"/>
      <c r="M33" s="5"/>
      <c r="N33" s="5"/>
      <c r="O33" s="5"/>
      <c r="P33" s="5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15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5"/>
      <c r="M34" s="5"/>
      <c r="N34" s="5"/>
      <c r="O34" s="5"/>
      <c r="P34" s="5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15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5"/>
      <c r="M35" s="5"/>
      <c r="N35" s="5"/>
      <c r="O35" s="5"/>
      <c r="P35" s="5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15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5"/>
      <c r="M36" s="5"/>
      <c r="N36" s="5"/>
      <c r="O36" s="5"/>
      <c r="P36" s="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15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5"/>
      <c r="M37" s="5"/>
      <c r="N37" s="5"/>
      <c r="O37" s="5"/>
      <c r="P37" s="5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15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5"/>
      <c r="M38" s="5"/>
      <c r="N38" s="5"/>
      <c r="O38" s="5"/>
      <c r="P38" s="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15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15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15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15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15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15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1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15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15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15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16" x14ac:dyDescent="0.15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15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15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15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</sheetData>
  <phoneticPr fontId="1"/>
  <pageMargins left="0.45" right="0.37" top="0.5" bottom="0.36" header="0.21" footer="0.26"/>
  <pageSetup paperSize="1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2020-12-19T05:07:01Z</cp:lastPrinted>
  <dcterms:created xsi:type="dcterms:W3CDTF">2011-10-11T01:59:58Z</dcterms:created>
  <dcterms:modified xsi:type="dcterms:W3CDTF">2020-12-19T05:07:15Z</dcterms:modified>
</cp:coreProperties>
</file>