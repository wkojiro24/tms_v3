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2\202202\"/>
    </mc:Choice>
  </mc:AlternateContent>
  <xr:revisionPtr revIDLastSave="0" documentId="13_ncr:1_{93060CAD-402F-472B-B800-322329423A25}" xr6:coauthVersionLast="47" xr6:coauthVersionMax="47" xr10:uidLastSave="{00000000-0000-0000-0000-000000000000}"/>
  <bookViews>
    <workbookView xWindow="-120" yWindow="-120" windowWidth="20730" windowHeight="11160" activeTab="2" xr2:uid="{4C41C810-B1BE-4EDC-9752-100CA23E244D}"/>
  </bookViews>
  <sheets>
    <sheet name="2022年 2月度給与 (3)" sheetId="4" r:id="rId1"/>
    <sheet name="2022年 2月度給与 (4)" sheetId="5" r:id="rId2"/>
    <sheet name="2022年 2月度給与 (2)" sheetId="3" r:id="rId3"/>
  </sheets>
  <definedNames>
    <definedName name="_xlnm.Print_Area" localSheetId="0">'2022年 2月度給与 (3)'!$A$1:$O$66</definedName>
    <definedName name="_xlnm.Print_Area" localSheetId="1">'2022年 2月度給与 (4)'!$A$1:$T$66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T64" i="5" l="1"/>
  <c r="T63" i="5"/>
  <c r="T62" i="5"/>
  <c r="T61" i="5"/>
  <c r="T60" i="5"/>
  <c r="T59" i="5"/>
  <c r="T58" i="5"/>
  <c r="T57" i="5"/>
  <c r="T56" i="5"/>
  <c r="T55" i="5"/>
  <c r="T54" i="5"/>
  <c r="T53" i="5"/>
  <c r="T52" i="5"/>
  <c r="T51" i="5"/>
  <c r="T50" i="5"/>
  <c r="T49" i="5"/>
  <c r="T48" i="5"/>
  <c r="T47" i="5"/>
  <c r="T46" i="5"/>
  <c r="T45" i="5"/>
  <c r="T44" i="5"/>
  <c r="T43" i="5"/>
  <c r="T42" i="5"/>
  <c r="T41" i="5"/>
  <c r="T40" i="5"/>
  <c r="T39" i="5"/>
  <c r="T38" i="5"/>
  <c r="T37" i="5"/>
  <c r="T36" i="5"/>
  <c r="T35" i="5"/>
  <c r="T34" i="5"/>
  <c r="T33" i="5"/>
  <c r="T32" i="5"/>
  <c r="T31" i="5"/>
  <c r="T30" i="5"/>
  <c r="T29" i="5"/>
  <c r="T28" i="5"/>
  <c r="T27" i="5"/>
  <c r="T26" i="5"/>
  <c r="T25" i="5"/>
  <c r="T24" i="5"/>
  <c r="T23" i="5"/>
  <c r="T19" i="5"/>
  <c r="T18" i="5"/>
  <c r="T17" i="5"/>
  <c r="T16" i="5"/>
  <c r="T15" i="5"/>
  <c r="T10" i="5"/>
  <c r="T9" i="5"/>
  <c r="T8" i="5"/>
  <c r="T7" i="5"/>
  <c r="T6" i="5"/>
  <c r="N64" i="4"/>
  <c r="L64" i="4"/>
  <c r="N63" i="4"/>
  <c r="L63" i="4"/>
  <c r="N62" i="4"/>
  <c r="L62" i="4"/>
  <c r="N61" i="4"/>
  <c r="L61" i="4"/>
  <c r="N60" i="4"/>
  <c r="L60" i="4"/>
  <c r="N59" i="4"/>
  <c r="L59" i="4"/>
  <c r="N58" i="4"/>
  <c r="L58" i="4"/>
  <c r="N57" i="4"/>
  <c r="L57" i="4"/>
  <c r="N56" i="4"/>
  <c r="L56" i="4"/>
  <c r="N55" i="4"/>
  <c r="L55" i="4"/>
  <c r="N54" i="4"/>
  <c r="L54" i="4"/>
  <c r="N53" i="4"/>
  <c r="L53" i="4"/>
  <c r="N52" i="4"/>
  <c r="L52" i="4"/>
  <c r="N51" i="4"/>
  <c r="L51" i="4"/>
  <c r="N50" i="4"/>
  <c r="L50" i="4"/>
  <c r="N49" i="4"/>
  <c r="L49" i="4"/>
  <c r="N48" i="4"/>
  <c r="L48" i="4"/>
  <c r="N47" i="4"/>
  <c r="L47" i="4"/>
  <c r="N46" i="4"/>
  <c r="L46" i="4"/>
  <c r="N45" i="4"/>
  <c r="L45" i="4"/>
  <c r="N44" i="4"/>
  <c r="L44" i="4"/>
  <c r="N43" i="4"/>
  <c r="L43" i="4"/>
  <c r="N42" i="4"/>
  <c r="L42" i="4"/>
  <c r="N41" i="4"/>
  <c r="L41" i="4"/>
  <c r="N40" i="4"/>
  <c r="L40" i="4"/>
  <c r="N39" i="4"/>
  <c r="L39" i="4"/>
  <c r="N38" i="4"/>
  <c r="L38" i="4"/>
  <c r="N37" i="4"/>
  <c r="L37" i="4"/>
  <c r="N36" i="4"/>
  <c r="L36" i="4"/>
  <c r="N35" i="4"/>
  <c r="L35" i="4"/>
  <c r="N34" i="4"/>
  <c r="L34" i="4"/>
  <c r="N33" i="4"/>
  <c r="L33" i="4"/>
  <c r="N32" i="4"/>
  <c r="L32" i="4"/>
  <c r="N31" i="4"/>
  <c r="L31" i="4"/>
  <c r="N30" i="4"/>
  <c r="L30" i="4"/>
  <c r="N29" i="4"/>
  <c r="L29" i="4"/>
  <c r="N28" i="4"/>
  <c r="L28" i="4"/>
  <c r="N27" i="4"/>
  <c r="L27" i="4"/>
  <c r="N26" i="4"/>
  <c r="L26" i="4"/>
  <c r="N25" i="4"/>
  <c r="L25" i="4"/>
  <c r="N24" i="4"/>
  <c r="L24" i="4"/>
  <c r="L23" i="4"/>
  <c r="L21" i="4"/>
  <c r="L17" i="4"/>
  <c r="L16" i="4"/>
  <c r="L15" i="4"/>
  <c r="L14" i="4"/>
  <c r="L10" i="4"/>
  <c r="L9" i="4"/>
  <c r="L8" i="4"/>
  <c r="L7" i="4"/>
  <c r="N6" i="4"/>
  <c r="L6" i="4"/>
  <c r="AG11" i="3"/>
  <c r="AG12" i="3"/>
  <c r="AG13" i="3"/>
  <c r="AG20" i="3"/>
  <c r="AG22" i="3"/>
  <c r="AF26" i="3"/>
  <c r="AF27" i="3"/>
  <c r="AF28" i="3"/>
  <c r="AF29" i="3"/>
  <c r="AF30" i="3"/>
  <c r="AF31" i="3"/>
  <c r="AF32" i="3"/>
  <c r="AF33" i="3"/>
  <c r="AF34" i="3"/>
  <c r="AF35" i="3"/>
  <c r="AF36" i="3"/>
  <c r="AF37" i="3"/>
  <c r="AF38" i="3"/>
  <c r="AF39" i="3"/>
  <c r="AF40" i="3"/>
  <c r="AF41" i="3"/>
  <c r="AF42" i="3"/>
  <c r="AF43" i="3"/>
  <c r="AF44" i="3"/>
  <c r="AF45" i="3"/>
  <c r="AF46" i="3"/>
  <c r="AF47" i="3"/>
  <c r="AF48" i="3"/>
  <c r="AF49" i="3"/>
  <c r="AF50" i="3"/>
  <c r="AF51" i="3"/>
  <c r="AF52" i="3"/>
  <c r="AF53" i="3"/>
  <c r="AF54" i="3"/>
  <c r="AF55" i="3"/>
  <c r="AF56" i="3"/>
  <c r="AF57" i="3"/>
  <c r="AF58" i="3"/>
  <c r="AF59" i="3"/>
  <c r="AF60" i="3"/>
  <c r="AF61" i="3"/>
  <c r="AF62" i="3"/>
  <c r="AF63" i="3"/>
  <c r="AF64" i="3"/>
  <c r="AF25" i="3"/>
  <c r="AF24" i="3"/>
  <c r="AF6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25" i="3"/>
  <c r="AD24" i="3"/>
  <c r="AD23" i="3"/>
  <c r="AD21" i="3"/>
  <c r="AG21" i="3" s="1"/>
  <c r="AD16" i="3"/>
  <c r="AD17" i="3"/>
  <c r="AD15" i="3"/>
  <c r="AD14" i="3"/>
  <c r="AG14" i="3" s="1"/>
  <c r="AD8" i="3"/>
  <c r="AD9" i="3"/>
  <c r="AD10" i="3"/>
  <c r="AD7" i="3"/>
  <c r="AD6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AG55" i="3" s="1"/>
  <c r="T56" i="3"/>
  <c r="T57" i="3"/>
  <c r="T58" i="3"/>
  <c r="T59" i="3"/>
  <c r="AG59" i="3" s="1"/>
  <c r="T60" i="3"/>
  <c r="T61" i="3"/>
  <c r="AG61" i="3" s="1"/>
  <c r="T62" i="3"/>
  <c r="T63" i="3"/>
  <c r="T64" i="3"/>
  <c r="T25" i="3"/>
  <c r="AG25" i="3" s="1"/>
  <c r="T24" i="3"/>
  <c r="T23" i="3"/>
  <c r="T16" i="3"/>
  <c r="AG16" i="3" s="1"/>
  <c r="T17" i="3"/>
  <c r="T18" i="3"/>
  <c r="AG18" i="3" s="1"/>
  <c r="T19" i="3"/>
  <c r="AG19" i="3" s="1"/>
  <c r="T15" i="3"/>
  <c r="T8" i="3"/>
  <c r="AG8" i="3" s="1"/>
  <c r="T9" i="3"/>
  <c r="T10" i="3"/>
  <c r="T7" i="3"/>
  <c r="T6" i="3"/>
  <c r="AG52" i="3" l="1"/>
  <c r="AG48" i="3"/>
  <c r="AG45" i="3"/>
  <c r="AG41" i="3"/>
  <c r="AG31" i="3"/>
  <c r="AG6" i="3"/>
  <c r="AG27" i="3"/>
  <c r="AG64" i="3"/>
  <c r="AG60" i="3"/>
  <c r="AG58" i="3"/>
  <c r="AG54" i="3"/>
  <c r="AG51" i="3"/>
  <c r="AG44" i="3"/>
  <c r="AG40" i="3"/>
  <c r="AG37" i="3"/>
  <c r="AG34" i="3"/>
  <c r="AG26" i="3"/>
  <c r="AG7" i="3"/>
  <c r="AG15" i="3"/>
  <c r="AG23" i="3"/>
  <c r="AG47" i="3"/>
  <c r="AG39" i="3"/>
  <c r="AG29" i="3"/>
  <c r="AG10" i="3"/>
  <c r="AG63" i="3"/>
  <c r="AG57" i="3"/>
  <c r="AG50" i="3"/>
  <c r="AG43" i="3"/>
  <c r="AG36" i="3"/>
  <c r="AG33" i="3"/>
  <c r="AG30" i="3"/>
  <c r="AG62" i="3"/>
  <c r="AG56" i="3"/>
  <c r="AG49" i="3"/>
  <c r="AG42" i="3"/>
  <c r="AG35" i="3"/>
  <c r="AG32" i="3"/>
  <c r="AG28" i="3"/>
  <c r="AG9" i="3"/>
  <c r="AG24" i="3"/>
  <c r="AG53" i="3"/>
  <c r="AG46" i="3"/>
  <c r="AG38" i="3"/>
  <c r="AG17" i="3"/>
</calcChain>
</file>

<file path=xl/sharedStrings.xml><?xml version="1.0" encoding="utf-8"?>
<sst xmlns="http://schemas.openxmlformats.org/spreadsheetml/2006/main" count="556" uniqueCount="124">
  <si>
    <t>支給控除一覧表</t>
    <phoneticPr fontId="4"/>
  </si>
  <si>
    <t>若林運送株式会社</t>
    <phoneticPr fontId="4"/>
  </si>
  <si>
    <t/>
  </si>
  <si>
    <t>1006</t>
    <phoneticPr fontId="4"/>
  </si>
  <si>
    <t>1007</t>
    <phoneticPr fontId="4"/>
  </si>
  <si>
    <t>1009</t>
    <phoneticPr fontId="4"/>
  </si>
  <si>
    <t>1013</t>
    <phoneticPr fontId="4"/>
  </si>
  <si>
    <t>1014</t>
    <phoneticPr fontId="4"/>
  </si>
  <si>
    <t>1015</t>
    <phoneticPr fontId="4"/>
  </si>
  <si>
    <t>1017</t>
    <phoneticPr fontId="4"/>
  </si>
  <si>
    <t>1021</t>
    <phoneticPr fontId="4"/>
  </si>
  <si>
    <t>1022</t>
    <phoneticPr fontId="4"/>
  </si>
  <si>
    <t>1034</t>
    <phoneticPr fontId="4"/>
  </si>
  <si>
    <t>1035</t>
    <phoneticPr fontId="4"/>
  </si>
  <si>
    <t>1039</t>
    <phoneticPr fontId="4"/>
  </si>
  <si>
    <t>1047</t>
    <phoneticPr fontId="4"/>
  </si>
  <si>
    <t>1058</t>
    <phoneticPr fontId="4"/>
  </si>
  <si>
    <t>1065</t>
    <phoneticPr fontId="4"/>
  </si>
  <si>
    <t>1077</t>
    <phoneticPr fontId="4"/>
  </si>
  <si>
    <t>1080</t>
    <phoneticPr fontId="4"/>
  </si>
  <si>
    <t>1087</t>
    <phoneticPr fontId="4"/>
  </si>
  <si>
    <t>1088</t>
    <phoneticPr fontId="4"/>
  </si>
  <si>
    <t>1098</t>
    <phoneticPr fontId="4"/>
  </si>
  <si>
    <t>1002</t>
    <phoneticPr fontId="4"/>
  </si>
  <si>
    <t>1003</t>
    <phoneticPr fontId="4"/>
  </si>
  <si>
    <t>1005</t>
    <phoneticPr fontId="4"/>
  </si>
  <si>
    <t>1026</t>
    <phoneticPr fontId="4"/>
  </si>
  <si>
    <t>1027</t>
    <phoneticPr fontId="4"/>
  </si>
  <si>
    <t>1085</t>
    <phoneticPr fontId="4"/>
  </si>
  <si>
    <t>1100</t>
    <phoneticPr fontId="4"/>
  </si>
  <si>
    <t>項目名</t>
    <phoneticPr fontId="4"/>
  </si>
  <si>
    <t>小林　啓一</t>
    <phoneticPr fontId="4"/>
  </si>
  <si>
    <t>鈴木　富雄</t>
    <phoneticPr fontId="4"/>
  </si>
  <si>
    <t>小野　宏美</t>
    <phoneticPr fontId="4"/>
  </si>
  <si>
    <t>下山田　英治</t>
    <phoneticPr fontId="4"/>
  </si>
  <si>
    <t>金山　岳夫</t>
    <phoneticPr fontId="4"/>
  </si>
  <si>
    <t>雲藤　順</t>
    <phoneticPr fontId="4"/>
  </si>
  <si>
    <t>鈴木　浩明</t>
    <phoneticPr fontId="4"/>
  </si>
  <si>
    <t>小沼　康</t>
    <phoneticPr fontId="4"/>
  </si>
  <si>
    <t>鵜沼　芳昭</t>
    <phoneticPr fontId="4"/>
  </si>
  <si>
    <t>大平　正勝</t>
    <phoneticPr fontId="4"/>
  </si>
  <si>
    <t>味戸　隆典</t>
    <phoneticPr fontId="4"/>
  </si>
  <si>
    <t>荒木　正朋</t>
    <phoneticPr fontId="4"/>
  </si>
  <si>
    <t>吉田　哲司</t>
    <phoneticPr fontId="4"/>
  </si>
  <si>
    <t>神永　香織</t>
    <phoneticPr fontId="4"/>
  </si>
  <si>
    <t>齋藤　秀行</t>
    <phoneticPr fontId="4"/>
  </si>
  <si>
    <t>菊地　秀和</t>
    <phoneticPr fontId="4"/>
  </si>
  <si>
    <t>若松　美宏</t>
    <phoneticPr fontId="4"/>
  </si>
  <si>
    <t>渡邊　浩司</t>
    <phoneticPr fontId="4"/>
  </si>
  <si>
    <t>松本　誠治</t>
    <phoneticPr fontId="4"/>
  </si>
  <si>
    <t>圷　健佑</t>
    <phoneticPr fontId="4"/>
  </si>
  <si>
    <t>瀬野尾　勉</t>
    <phoneticPr fontId="4"/>
  </si>
  <si>
    <t>鈴木　重夫</t>
    <phoneticPr fontId="4"/>
  </si>
  <si>
    <t>渡辺　敏男</t>
    <phoneticPr fontId="4"/>
  </si>
  <si>
    <t>蛭田　孝子</t>
    <phoneticPr fontId="4"/>
  </si>
  <si>
    <t>鈴木　紀子</t>
    <phoneticPr fontId="4"/>
  </si>
  <si>
    <t>佐原　三夫</t>
    <phoneticPr fontId="4"/>
  </si>
  <si>
    <t>松本　正己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</si>
  <si>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</si>
  <si>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</si>
  <si>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</si>
  <si>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</si>
  <si>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</si>
  <si>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</si>
  <si>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</si>
  <si>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</si>
  <si>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</si>
  <si>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</si>
  <si>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</si>
  <si>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</si>
  <si>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</si>
  <si>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</si>
  <si>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</si>
  <si>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</si>
  <si>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有給休暇時間</t>
    <phoneticPr fontId="4"/>
  </si>
  <si>
    <t>特別休暇時間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</si>
  <si>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</si>
  <si>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</si>
  <si>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</si>
  <si>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</si>
  <si>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</si>
  <si>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</si>
  <si>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</si>
  <si>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基本給2</t>
    <phoneticPr fontId="4"/>
  </si>
  <si>
    <t>役員報酬</t>
    <phoneticPr fontId="4"/>
  </si>
  <si>
    <t>無事故報奨金</t>
    <phoneticPr fontId="4"/>
  </si>
  <si>
    <t>無事故加算</t>
    <phoneticPr fontId="4"/>
  </si>
  <si>
    <t>有給休暇</t>
    <phoneticPr fontId="4"/>
  </si>
  <si>
    <t>特別休暇</t>
    <phoneticPr fontId="4"/>
  </si>
  <si>
    <t>課税通勤手当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</si>
  <si>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</si>
  <si>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</si>
  <si>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</si>
  <si>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</si>
  <si>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</si>
  <si>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</si>
  <si>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</si>
  <si>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</si>
  <si>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</si>
  <si>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</si>
  <si>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</si>
  <si>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</si>
  <si>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</si>
  <si>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</si>
  <si>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</si>
  <si>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</si>
  <si>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</si>
  <si>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</si>
  <si>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会社立替</t>
    <phoneticPr fontId="4"/>
  </si>
  <si>
    <t>社宅費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</si>
  <si>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</si>
  <si>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</si>
  <si>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</si>
  <si>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</si>
  <si>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</si>
  <si>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</si>
  <si>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</si>
  <si>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</si>
  <si>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2022年 2月度給与</t>
    <phoneticPr fontId="4"/>
  </si>
  <si>
    <t>小計</t>
    <rPh sb="0" eb="2">
      <t>ショウケイ</t>
    </rPh>
    <phoneticPr fontId="3"/>
  </si>
  <si>
    <t>17名</t>
    <rPh sb="2" eb="3">
      <t>メイ</t>
    </rPh>
    <phoneticPr fontId="3"/>
  </si>
  <si>
    <t>9名</t>
    <rPh sb="1" eb="2">
      <t>メイ</t>
    </rPh>
    <phoneticPr fontId="3"/>
  </si>
  <si>
    <t>1名</t>
    <rPh sb="1" eb="2">
      <t>メイ</t>
    </rPh>
    <phoneticPr fontId="3"/>
  </si>
  <si>
    <t>27名</t>
    <rPh sb="2" eb="3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</si>
</sst>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h]:mm"/>
    <numFmt numFmtId="177" formatCode="#,##0;&quot;△ &quot;#,##0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indexed="64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07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2" fillId="0" borderId="2" xfId="1" applyFont="1" applyBorder="1"/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left"/>
    </xf>
    <xf numFmtId="2" fontId="2" fillId="0" borderId="5" xfId="1" applyNumberFormat="1" applyFont="1" applyBorder="1"/>
    <xf numFmtId="176" fontId="2" fillId="0" borderId="5" xfId="1" applyNumberFormat="1" applyFont="1" applyBorder="1"/>
    <xf numFmtId="3" fontId="2" fillId="0" borderId="5" xfId="1" applyNumberFormat="1" applyFont="1" applyBorder="1"/>
    <xf numFmtId="49" fontId="2" fillId="0" borderId="6" xfId="1" applyNumberFormat="1" applyFont="1" applyBorder="1"/>
    <xf numFmtId="49" fontId="2" fillId="0" borderId="7" xfId="1" applyNumberFormat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2" fontId="2" fillId="0" borderId="10" xfId="1" applyNumberFormat="1" applyFont="1" applyBorder="1"/>
    <xf numFmtId="2" fontId="2" fillId="0" borderId="11" xfId="1" applyNumberFormat="1" applyFont="1" applyBorder="1"/>
    <xf numFmtId="2" fontId="2" fillId="0" borderId="12" xfId="1" applyNumberFormat="1" applyFont="1" applyBorder="1"/>
    <xf numFmtId="176" fontId="2" fillId="0" borderId="10" xfId="1" applyNumberFormat="1" applyFont="1" applyBorder="1"/>
    <xf numFmtId="176" fontId="2" fillId="0" borderId="11" xfId="1" applyNumberFormat="1" applyFont="1" applyBorder="1"/>
    <xf numFmtId="176" fontId="2" fillId="0" borderId="12" xfId="1" applyNumberFormat="1" applyFont="1" applyBorder="1"/>
    <xf numFmtId="3" fontId="2" fillId="0" borderId="10" xfId="1" applyNumberFormat="1" applyFont="1" applyBorder="1"/>
    <xf numFmtId="3" fontId="2" fillId="0" borderId="11" xfId="1" applyNumberFormat="1" applyFont="1" applyBorder="1"/>
    <xf numFmtId="3" fontId="2" fillId="0" borderId="12" xfId="1" applyNumberFormat="1" applyFont="1" applyBorder="1"/>
    <xf numFmtId="49" fontId="2" fillId="0" borderId="13" xfId="1" applyNumberFormat="1" applyFont="1" applyBorder="1"/>
    <xf numFmtId="49" fontId="2" fillId="0" borderId="14" xfId="1" applyNumberFormat="1" applyFont="1" applyBorder="1"/>
    <xf numFmtId="49" fontId="2" fillId="0" borderId="15" xfId="1" applyNumberFormat="1" applyFont="1" applyBorder="1"/>
    <xf numFmtId="49" fontId="2" fillId="0" borderId="16" xfId="1" applyNumberFormat="1" applyFont="1" applyBorder="1" applyAlignment="1">
      <alignment horizontal="left"/>
    </xf>
    <xf numFmtId="2" fontId="2" fillId="0" borderId="17" xfId="1" applyNumberFormat="1" applyFont="1" applyBorder="1"/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0" fontId="2" fillId="0" borderId="4" xfId="1" applyFont="1" applyBorder="1" applyAlignment="1">
      <alignment horizontal="center"/>
    </xf>
    <xf numFmtId="49" fontId="2" fillId="0" borderId="13" xfId="1" applyNumberFormat="1" applyFont="1" applyBorder="1" applyAlignment="1">
      <alignment horizontal="center"/>
    </xf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3" fontId="2" fillId="0" borderId="17" xfId="1" applyNumberFormat="1" applyFont="1" applyBorder="1"/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2" fontId="2" fillId="0" borderId="13" xfId="1" applyNumberFormat="1" applyFont="1" applyBorder="1"/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6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49" fontId="2" fillId="0" borderId="26" xfId="1" applyNumberFormat="1" applyFont="1" applyBorder="1" applyAlignment="1">
      <alignment horizontal="left"/>
    </xf>
    <xf numFmtId="3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49" fontId="2" fillId="0" borderId="1" xfId="1" applyNumberFormat="1" applyFont="1" applyBorder="1" applyAlignment="1">
      <alignment horizontal="left"/>
    </xf>
    <xf numFmtId="3" fontId="2" fillId="0" borderId="7" xfId="1" applyNumberFormat="1" applyFont="1" applyBorder="1"/>
    <xf numFmtId="3" fontId="2" fillId="0" borderId="8" xfId="1" applyNumberFormat="1" applyFont="1" applyBorder="1"/>
    <xf numFmtId="3" fontId="2" fillId="0" borderId="9" xfId="1" applyNumberFormat="1" applyFont="1" applyBorder="1"/>
    <xf numFmtId="3" fontId="2" fillId="0" borderId="2" xfId="1" applyNumberFormat="1" applyFont="1" applyBorder="1"/>
    <xf numFmtId="177" fontId="2" fillId="0" borderId="10" xfId="1" applyNumberFormat="1" applyFont="1" applyBorder="1"/>
    <xf numFmtId="177" fontId="2" fillId="0" borderId="11" xfId="1" applyNumberFormat="1" applyFont="1" applyBorder="1"/>
    <xf numFmtId="177" fontId="2" fillId="0" borderId="5" xfId="1" applyNumberFormat="1" applyFont="1" applyBorder="1"/>
    <xf numFmtId="49" fontId="2" fillId="0" borderId="32" xfId="1" applyNumberFormat="1" applyFont="1" applyBorder="1" applyAlignment="1">
      <alignment horizontal="center"/>
    </xf>
    <xf numFmtId="49" fontId="2" fillId="0" borderId="33" xfId="1" applyNumberFormat="1" applyFont="1" applyBorder="1" applyAlignment="1">
      <alignment horizontal="center"/>
    </xf>
    <xf numFmtId="2" fontId="2" fillId="0" borderId="34" xfId="1" applyNumberFormat="1" applyFont="1" applyBorder="1"/>
    <xf numFmtId="2" fontId="2" fillId="0" borderId="35" xfId="1" applyNumberFormat="1" applyFont="1" applyBorder="1"/>
    <xf numFmtId="176" fontId="2" fillId="0" borderId="35" xfId="1" applyNumberFormat="1" applyFont="1" applyBorder="1"/>
    <xf numFmtId="2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3" fontId="2" fillId="0" borderId="37" xfId="1" applyNumberFormat="1" applyFont="1" applyBorder="1"/>
    <xf numFmtId="3" fontId="2" fillId="0" borderId="32" xfId="1" applyNumberFormat="1" applyFont="1" applyBorder="1"/>
    <xf numFmtId="49" fontId="2" fillId="0" borderId="33" xfId="1" applyNumberFormat="1" applyFont="1" applyBorder="1"/>
    <xf numFmtId="49" fontId="2" fillId="0" borderId="38" xfId="1" applyNumberFormat="1" applyFont="1" applyBorder="1" applyAlignment="1">
      <alignment horizontal="center"/>
    </xf>
    <xf numFmtId="49" fontId="2" fillId="0" borderId="39" xfId="1" applyNumberFormat="1" applyFont="1" applyBorder="1" applyAlignment="1">
      <alignment horizontal="center"/>
    </xf>
    <xf numFmtId="2" fontId="2" fillId="0" borderId="40" xfId="1" applyNumberFormat="1" applyFont="1" applyBorder="1"/>
    <xf numFmtId="2" fontId="2" fillId="0" borderId="41" xfId="1" applyNumberFormat="1" applyFont="1" applyBorder="1"/>
    <xf numFmtId="176" fontId="2" fillId="0" borderId="41" xfId="1" applyNumberFormat="1" applyFont="1" applyBorder="1"/>
    <xf numFmtId="2" fontId="2" fillId="0" borderId="39" xfId="1" applyNumberFormat="1" applyFont="1" applyBorder="1"/>
    <xf numFmtId="3" fontId="2" fillId="0" borderId="40" xfId="1" applyNumberFormat="1" applyFont="1" applyBorder="1"/>
    <xf numFmtId="3" fontId="2" fillId="0" borderId="41" xfId="1" applyNumberFormat="1" applyFont="1" applyBorder="1"/>
    <xf numFmtId="3" fontId="2" fillId="0" borderId="42" xfId="1" applyNumberFormat="1" applyFont="1" applyBorder="1"/>
    <xf numFmtId="3" fontId="2" fillId="0" borderId="43" xfId="1" applyNumberFormat="1" applyFont="1" applyBorder="1"/>
    <xf numFmtId="3" fontId="2" fillId="0" borderId="38" xfId="1" applyNumberFormat="1" applyFont="1" applyBorder="1"/>
    <xf numFmtId="49" fontId="2" fillId="0" borderId="39" xfId="1" applyNumberFormat="1" applyFont="1" applyBorder="1"/>
    <xf numFmtId="49" fontId="2" fillId="0" borderId="44" xfId="1" applyNumberFormat="1" applyFont="1" applyBorder="1" applyAlignment="1">
      <alignment horizontal="left"/>
    </xf>
    <xf numFmtId="2" fontId="2" fillId="0" borderId="46" xfId="1" applyNumberFormat="1" applyFont="1" applyBorder="1"/>
    <xf numFmtId="2" fontId="2" fillId="0" borderId="47" xfId="1" applyNumberFormat="1" applyFont="1" applyBorder="1"/>
    <xf numFmtId="176" fontId="2" fillId="0" borderId="47" xfId="1" applyNumberFormat="1" applyFont="1" applyBorder="1"/>
    <xf numFmtId="2" fontId="2" fillId="0" borderId="45" xfId="1" applyNumberFormat="1" applyFont="1" applyBorder="1"/>
    <xf numFmtId="3" fontId="2" fillId="0" borderId="46" xfId="1" applyNumberFormat="1" applyFont="1" applyBorder="1"/>
    <xf numFmtId="3" fontId="2" fillId="0" borderId="47" xfId="1" applyNumberFormat="1" applyFont="1" applyBorder="1"/>
    <xf numFmtId="177" fontId="2" fillId="0" borderId="47" xfId="1" applyNumberFormat="1" applyFont="1" applyBorder="1"/>
    <xf numFmtId="3" fontId="2" fillId="0" borderId="48" xfId="1" applyNumberFormat="1" applyFont="1" applyBorder="1"/>
    <xf numFmtId="3" fontId="2" fillId="0" borderId="31" xfId="1" applyNumberFormat="1" applyFont="1" applyBorder="1"/>
    <xf numFmtId="3" fontId="2" fillId="0" borderId="44" xfId="1" applyNumberFormat="1" applyFont="1" applyBorder="1"/>
    <xf numFmtId="49" fontId="2" fillId="0" borderId="45" xfId="1" applyNumberFormat="1" applyFont="1" applyBorder="1"/>
    <xf numFmtId="49" fontId="2" fillId="0" borderId="45" xfId="1" applyNumberFormat="1" applyFont="1" applyBorder="1" applyAlignment="1">
      <alignment horizontal="right"/>
    </xf>
    <xf numFmtId="0" fontId="2" fillId="0" borderId="49" xfId="1" applyFont="1" applyBorder="1"/>
    <xf numFmtId="0" fontId="2" fillId="0" borderId="44" xfId="1" applyFont="1" applyBorder="1" applyAlignment="1">
      <alignment horizontal="center"/>
    </xf>
    <xf numFmtId="0" fontId="2" fillId="0" borderId="45" xfId="1" applyFont="1" applyBorder="1" applyAlignment="1">
      <alignment horizontal="center"/>
    </xf>
    <xf numFmtId="49" fontId="2" fillId="0" borderId="46" xfId="1" applyNumberFormat="1" applyFont="1" applyBorder="1" applyAlignment="1">
      <alignment horizontal="left"/>
    </xf>
    <xf numFmtId="49" fontId="2" fillId="0" borderId="47" xfId="1" applyNumberFormat="1" applyFont="1" applyBorder="1" applyAlignment="1">
      <alignment horizontal="left"/>
    </xf>
    <xf numFmtId="49" fontId="2" fillId="0" borderId="45" xfId="1" applyNumberFormat="1" applyFont="1" applyBorder="1" applyAlignment="1">
      <alignment horizontal="left"/>
    </xf>
    <xf numFmtId="49" fontId="2" fillId="0" borderId="48" xfId="1" applyNumberFormat="1" applyFont="1" applyBorder="1" applyAlignment="1">
      <alignment horizontal="left"/>
    </xf>
    <xf numFmtId="49" fontId="2" fillId="0" borderId="31" xfId="1" applyNumberFormat="1" applyFont="1" applyBorder="1" applyAlignment="1">
      <alignment horizontal="left"/>
    </xf>
    <xf numFmtId="0" fontId="2" fillId="0" borderId="6" xfId="1" applyFont="1" applyBorder="1" applyAlignment="1">
      <alignment horizontal="right"/>
    </xf>
  </cellXfs>
  <cellStyles count="2">
    <cellStyle name="標準" xfId="0" builtinId="0"/>
    <cellStyle name="標準 2" xfId="1" xr:uid="{EDF4D18B-DD5F-402A-A1F9-494849E1DA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0AA40-4340-4741-A79F-1ADDF47EC414}">
  <sheetPr>
    <pageSetUpPr fitToPage="1"/>
  </sheetPr>
  <dimension ref="A1:Q66"/>
  <sheetViews>
    <sheetView showZeros="0" workbookViewId="0">
      <selection activeCell="B4" sqref="B4"/>
    </sheetView>
  </sheetViews>
  <sheetFormatPr defaultRowHeight="18.75"/>
  <cols>
    <col min="1" max="1" width="2.375" style="2" customWidth="1"/>
    <col min="2" max="2" width="13.25" style="2" bestFit="1" customWidth="1"/>
    <col min="3" max="15" width="11" style="2" customWidth="1"/>
    <col min="16" max="16" width="9" style="2"/>
    <col min="17" max="17" width="10.125" style="2" customWidth="1"/>
    <col min="18" max="241" width="9" style="2"/>
    <col min="242" max="242" width="2.375" style="2" customWidth="1"/>
    <col min="243" max="243" width="13.25" style="2" bestFit="1" customWidth="1"/>
    <col min="244" max="246" width="11.125" style="2" bestFit="1" customWidth="1"/>
    <col min="247" max="247" width="13.25" style="2" bestFit="1" customWidth="1"/>
    <col min="248" max="248" width="11.125" style="2" bestFit="1" customWidth="1"/>
    <col min="249" max="249" width="9" style="2"/>
    <col min="250" max="250" width="11.125" style="2" bestFit="1" customWidth="1"/>
    <col min="251" max="251" width="9" style="2"/>
    <col min="252" max="262" width="11.125" style="2" bestFit="1" customWidth="1"/>
    <col min="263" max="263" width="9" style="2"/>
    <col min="264" max="270" width="11.125" style="2" bestFit="1" customWidth="1"/>
    <col min="271" max="271" width="9.625" style="2" bestFit="1" customWidth="1"/>
    <col min="272" max="497" width="9" style="2"/>
    <col min="498" max="498" width="2.375" style="2" customWidth="1"/>
    <col min="499" max="499" width="13.25" style="2" bestFit="1" customWidth="1"/>
    <col min="500" max="502" width="11.125" style="2" bestFit="1" customWidth="1"/>
    <col min="503" max="503" width="13.25" style="2" bestFit="1" customWidth="1"/>
    <col min="504" max="504" width="11.125" style="2" bestFit="1" customWidth="1"/>
    <col min="505" max="505" width="9" style="2"/>
    <col min="506" max="506" width="11.125" style="2" bestFit="1" customWidth="1"/>
    <col min="507" max="507" width="9" style="2"/>
    <col min="508" max="518" width="11.125" style="2" bestFit="1" customWidth="1"/>
    <col min="519" max="519" width="9" style="2"/>
    <col min="520" max="526" width="11.125" style="2" bestFit="1" customWidth="1"/>
    <col min="527" max="527" width="9.625" style="2" bestFit="1" customWidth="1"/>
    <col min="528" max="753" width="9" style="2"/>
    <col min="754" max="754" width="2.375" style="2" customWidth="1"/>
    <col min="755" max="755" width="13.25" style="2" bestFit="1" customWidth="1"/>
    <col min="756" max="758" width="11.125" style="2" bestFit="1" customWidth="1"/>
    <col min="759" max="759" width="13.25" style="2" bestFit="1" customWidth="1"/>
    <col min="760" max="760" width="11.125" style="2" bestFit="1" customWidth="1"/>
    <col min="761" max="761" width="9" style="2"/>
    <col min="762" max="762" width="11.125" style="2" bestFit="1" customWidth="1"/>
    <col min="763" max="763" width="9" style="2"/>
    <col min="764" max="774" width="11.125" style="2" bestFit="1" customWidth="1"/>
    <col min="775" max="775" width="9" style="2"/>
    <col min="776" max="782" width="11.125" style="2" bestFit="1" customWidth="1"/>
    <col min="783" max="783" width="9.625" style="2" bestFit="1" customWidth="1"/>
    <col min="784" max="1009" width="9" style="2"/>
    <col min="1010" max="1010" width="2.375" style="2" customWidth="1"/>
    <col min="1011" max="1011" width="13.25" style="2" bestFit="1" customWidth="1"/>
    <col min="1012" max="1014" width="11.125" style="2" bestFit="1" customWidth="1"/>
    <col min="1015" max="1015" width="13.25" style="2" bestFit="1" customWidth="1"/>
    <col min="1016" max="1016" width="11.125" style="2" bestFit="1" customWidth="1"/>
    <col min="1017" max="1017" width="9" style="2"/>
    <col min="1018" max="1018" width="11.125" style="2" bestFit="1" customWidth="1"/>
    <col min="1019" max="1019" width="9" style="2"/>
    <col min="1020" max="1030" width="11.125" style="2" bestFit="1" customWidth="1"/>
    <col min="1031" max="1031" width="9" style="2"/>
    <col min="1032" max="1038" width="11.125" style="2" bestFit="1" customWidth="1"/>
    <col min="1039" max="1039" width="9.625" style="2" bestFit="1" customWidth="1"/>
    <col min="1040" max="1265" width="9" style="2"/>
    <col min="1266" max="1266" width="2.375" style="2" customWidth="1"/>
    <col min="1267" max="1267" width="13.25" style="2" bestFit="1" customWidth="1"/>
    <col min="1268" max="1270" width="11.125" style="2" bestFit="1" customWidth="1"/>
    <col min="1271" max="1271" width="13.25" style="2" bestFit="1" customWidth="1"/>
    <col min="1272" max="1272" width="11.125" style="2" bestFit="1" customWidth="1"/>
    <col min="1273" max="1273" width="9" style="2"/>
    <col min="1274" max="1274" width="11.125" style="2" bestFit="1" customWidth="1"/>
    <col min="1275" max="1275" width="9" style="2"/>
    <col min="1276" max="1286" width="11.125" style="2" bestFit="1" customWidth="1"/>
    <col min="1287" max="1287" width="9" style="2"/>
    <col min="1288" max="1294" width="11.125" style="2" bestFit="1" customWidth="1"/>
    <col min="1295" max="1295" width="9.625" style="2" bestFit="1" customWidth="1"/>
    <col min="1296" max="1521" width="9" style="2"/>
    <col min="1522" max="1522" width="2.375" style="2" customWidth="1"/>
    <col min="1523" max="1523" width="13.25" style="2" bestFit="1" customWidth="1"/>
    <col min="1524" max="1526" width="11.125" style="2" bestFit="1" customWidth="1"/>
    <col min="1527" max="1527" width="13.25" style="2" bestFit="1" customWidth="1"/>
    <col min="1528" max="1528" width="11.125" style="2" bestFit="1" customWidth="1"/>
    <col min="1529" max="1529" width="9" style="2"/>
    <col min="1530" max="1530" width="11.125" style="2" bestFit="1" customWidth="1"/>
    <col min="1531" max="1531" width="9" style="2"/>
    <col min="1532" max="1542" width="11.125" style="2" bestFit="1" customWidth="1"/>
    <col min="1543" max="1543" width="9" style="2"/>
    <col min="1544" max="1550" width="11.125" style="2" bestFit="1" customWidth="1"/>
    <col min="1551" max="1551" width="9.625" style="2" bestFit="1" customWidth="1"/>
    <col min="1552" max="1777" width="9" style="2"/>
    <col min="1778" max="1778" width="2.375" style="2" customWidth="1"/>
    <col min="1779" max="1779" width="13.25" style="2" bestFit="1" customWidth="1"/>
    <col min="1780" max="1782" width="11.125" style="2" bestFit="1" customWidth="1"/>
    <col min="1783" max="1783" width="13.25" style="2" bestFit="1" customWidth="1"/>
    <col min="1784" max="1784" width="11.125" style="2" bestFit="1" customWidth="1"/>
    <col min="1785" max="1785" width="9" style="2"/>
    <col min="1786" max="1786" width="11.125" style="2" bestFit="1" customWidth="1"/>
    <col min="1787" max="1787" width="9" style="2"/>
    <col min="1788" max="1798" width="11.125" style="2" bestFit="1" customWidth="1"/>
    <col min="1799" max="1799" width="9" style="2"/>
    <col min="1800" max="1806" width="11.125" style="2" bestFit="1" customWidth="1"/>
    <col min="1807" max="1807" width="9.625" style="2" bestFit="1" customWidth="1"/>
    <col min="1808" max="2033" width="9" style="2"/>
    <col min="2034" max="2034" width="2.375" style="2" customWidth="1"/>
    <col min="2035" max="2035" width="13.25" style="2" bestFit="1" customWidth="1"/>
    <col min="2036" max="2038" width="11.125" style="2" bestFit="1" customWidth="1"/>
    <col min="2039" max="2039" width="13.25" style="2" bestFit="1" customWidth="1"/>
    <col min="2040" max="2040" width="11.125" style="2" bestFit="1" customWidth="1"/>
    <col min="2041" max="2041" width="9" style="2"/>
    <col min="2042" max="2042" width="11.125" style="2" bestFit="1" customWidth="1"/>
    <col min="2043" max="2043" width="9" style="2"/>
    <col min="2044" max="2054" width="11.125" style="2" bestFit="1" customWidth="1"/>
    <col min="2055" max="2055" width="9" style="2"/>
    <col min="2056" max="2062" width="11.125" style="2" bestFit="1" customWidth="1"/>
    <col min="2063" max="2063" width="9.625" style="2" bestFit="1" customWidth="1"/>
    <col min="2064" max="2289" width="9" style="2"/>
    <col min="2290" max="2290" width="2.375" style="2" customWidth="1"/>
    <col min="2291" max="2291" width="13.25" style="2" bestFit="1" customWidth="1"/>
    <col min="2292" max="2294" width="11.125" style="2" bestFit="1" customWidth="1"/>
    <col min="2295" max="2295" width="13.25" style="2" bestFit="1" customWidth="1"/>
    <col min="2296" max="2296" width="11.125" style="2" bestFit="1" customWidth="1"/>
    <col min="2297" max="2297" width="9" style="2"/>
    <col min="2298" max="2298" width="11.125" style="2" bestFit="1" customWidth="1"/>
    <col min="2299" max="2299" width="9" style="2"/>
    <col min="2300" max="2310" width="11.125" style="2" bestFit="1" customWidth="1"/>
    <col min="2311" max="2311" width="9" style="2"/>
    <col min="2312" max="2318" width="11.125" style="2" bestFit="1" customWidth="1"/>
    <col min="2319" max="2319" width="9.625" style="2" bestFit="1" customWidth="1"/>
    <col min="2320" max="2545" width="9" style="2"/>
    <col min="2546" max="2546" width="2.375" style="2" customWidth="1"/>
    <col min="2547" max="2547" width="13.25" style="2" bestFit="1" customWidth="1"/>
    <col min="2548" max="2550" width="11.125" style="2" bestFit="1" customWidth="1"/>
    <col min="2551" max="2551" width="13.25" style="2" bestFit="1" customWidth="1"/>
    <col min="2552" max="2552" width="11.125" style="2" bestFit="1" customWidth="1"/>
    <col min="2553" max="2553" width="9" style="2"/>
    <col min="2554" max="2554" width="11.125" style="2" bestFit="1" customWidth="1"/>
    <col min="2555" max="2555" width="9" style="2"/>
    <col min="2556" max="2566" width="11.125" style="2" bestFit="1" customWidth="1"/>
    <col min="2567" max="2567" width="9" style="2"/>
    <col min="2568" max="2574" width="11.125" style="2" bestFit="1" customWidth="1"/>
    <col min="2575" max="2575" width="9.625" style="2" bestFit="1" customWidth="1"/>
    <col min="2576" max="2801" width="9" style="2"/>
    <col min="2802" max="2802" width="2.375" style="2" customWidth="1"/>
    <col min="2803" max="2803" width="13.25" style="2" bestFit="1" customWidth="1"/>
    <col min="2804" max="2806" width="11.125" style="2" bestFit="1" customWidth="1"/>
    <col min="2807" max="2807" width="13.25" style="2" bestFit="1" customWidth="1"/>
    <col min="2808" max="2808" width="11.125" style="2" bestFit="1" customWidth="1"/>
    <col min="2809" max="2809" width="9" style="2"/>
    <col min="2810" max="2810" width="11.125" style="2" bestFit="1" customWidth="1"/>
    <col min="2811" max="2811" width="9" style="2"/>
    <col min="2812" max="2822" width="11.125" style="2" bestFit="1" customWidth="1"/>
    <col min="2823" max="2823" width="9" style="2"/>
    <col min="2824" max="2830" width="11.125" style="2" bestFit="1" customWidth="1"/>
    <col min="2831" max="2831" width="9.625" style="2" bestFit="1" customWidth="1"/>
    <col min="2832" max="3057" width="9" style="2"/>
    <col min="3058" max="3058" width="2.375" style="2" customWidth="1"/>
    <col min="3059" max="3059" width="13.25" style="2" bestFit="1" customWidth="1"/>
    <col min="3060" max="3062" width="11.125" style="2" bestFit="1" customWidth="1"/>
    <col min="3063" max="3063" width="13.25" style="2" bestFit="1" customWidth="1"/>
    <col min="3064" max="3064" width="11.125" style="2" bestFit="1" customWidth="1"/>
    <col min="3065" max="3065" width="9" style="2"/>
    <col min="3066" max="3066" width="11.125" style="2" bestFit="1" customWidth="1"/>
    <col min="3067" max="3067" width="9" style="2"/>
    <col min="3068" max="3078" width="11.125" style="2" bestFit="1" customWidth="1"/>
    <col min="3079" max="3079" width="9" style="2"/>
    <col min="3080" max="3086" width="11.125" style="2" bestFit="1" customWidth="1"/>
    <col min="3087" max="3087" width="9.625" style="2" bestFit="1" customWidth="1"/>
    <col min="3088" max="3313" width="9" style="2"/>
    <col min="3314" max="3314" width="2.375" style="2" customWidth="1"/>
    <col min="3315" max="3315" width="13.25" style="2" bestFit="1" customWidth="1"/>
    <col min="3316" max="3318" width="11.125" style="2" bestFit="1" customWidth="1"/>
    <col min="3319" max="3319" width="13.25" style="2" bestFit="1" customWidth="1"/>
    <col min="3320" max="3320" width="11.125" style="2" bestFit="1" customWidth="1"/>
    <col min="3321" max="3321" width="9" style="2"/>
    <col min="3322" max="3322" width="11.125" style="2" bestFit="1" customWidth="1"/>
    <col min="3323" max="3323" width="9" style="2"/>
    <col min="3324" max="3334" width="11.125" style="2" bestFit="1" customWidth="1"/>
    <col min="3335" max="3335" width="9" style="2"/>
    <col min="3336" max="3342" width="11.125" style="2" bestFit="1" customWidth="1"/>
    <col min="3343" max="3343" width="9.625" style="2" bestFit="1" customWidth="1"/>
    <col min="3344" max="3569" width="9" style="2"/>
    <col min="3570" max="3570" width="2.375" style="2" customWidth="1"/>
    <col min="3571" max="3571" width="13.25" style="2" bestFit="1" customWidth="1"/>
    <col min="3572" max="3574" width="11.125" style="2" bestFit="1" customWidth="1"/>
    <col min="3575" max="3575" width="13.25" style="2" bestFit="1" customWidth="1"/>
    <col min="3576" max="3576" width="11.125" style="2" bestFit="1" customWidth="1"/>
    <col min="3577" max="3577" width="9" style="2"/>
    <col min="3578" max="3578" width="11.125" style="2" bestFit="1" customWidth="1"/>
    <col min="3579" max="3579" width="9" style="2"/>
    <col min="3580" max="3590" width="11.125" style="2" bestFit="1" customWidth="1"/>
    <col min="3591" max="3591" width="9" style="2"/>
    <col min="3592" max="3598" width="11.125" style="2" bestFit="1" customWidth="1"/>
    <col min="3599" max="3599" width="9.625" style="2" bestFit="1" customWidth="1"/>
    <col min="3600" max="3825" width="9" style="2"/>
    <col min="3826" max="3826" width="2.375" style="2" customWidth="1"/>
    <col min="3827" max="3827" width="13.25" style="2" bestFit="1" customWidth="1"/>
    <col min="3828" max="3830" width="11.125" style="2" bestFit="1" customWidth="1"/>
    <col min="3831" max="3831" width="13.25" style="2" bestFit="1" customWidth="1"/>
    <col min="3832" max="3832" width="11.125" style="2" bestFit="1" customWidth="1"/>
    <col min="3833" max="3833" width="9" style="2"/>
    <col min="3834" max="3834" width="11.125" style="2" bestFit="1" customWidth="1"/>
    <col min="3835" max="3835" width="9" style="2"/>
    <col min="3836" max="3846" width="11.125" style="2" bestFit="1" customWidth="1"/>
    <col min="3847" max="3847" width="9" style="2"/>
    <col min="3848" max="3854" width="11.125" style="2" bestFit="1" customWidth="1"/>
    <col min="3855" max="3855" width="9.625" style="2" bestFit="1" customWidth="1"/>
    <col min="3856" max="4081" width="9" style="2"/>
    <col min="4082" max="4082" width="2.375" style="2" customWidth="1"/>
    <col min="4083" max="4083" width="13.25" style="2" bestFit="1" customWidth="1"/>
    <col min="4084" max="4086" width="11.125" style="2" bestFit="1" customWidth="1"/>
    <col min="4087" max="4087" width="13.25" style="2" bestFit="1" customWidth="1"/>
    <col min="4088" max="4088" width="11.125" style="2" bestFit="1" customWidth="1"/>
    <col min="4089" max="4089" width="9" style="2"/>
    <col min="4090" max="4090" width="11.125" style="2" bestFit="1" customWidth="1"/>
    <col min="4091" max="4091" width="9" style="2"/>
    <col min="4092" max="4102" width="11.125" style="2" bestFit="1" customWidth="1"/>
    <col min="4103" max="4103" width="9" style="2"/>
    <col min="4104" max="4110" width="11.125" style="2" bestFit="1" customWidth="1"/>
    <col min="4111" max="4111" width="9.625" style="2" bestFit="1" customWidth="1"/>
    <col min="4112" max="4337" width="9" style="2"/>
    <col min="4338" max="4338" width="2.375" style="2" customWidth="1"/>
    <col min="4339" max="4339" width="13.25" style="2" bestFit="1" customWidth="1"/>
    <col min="4340" max="4342" width="11.125" style="2" bestFit="1" customWidth="1"/>
    <col min="4343" max="4343" width="13.25" style="2" bestFit="1" customWidth="1"/>
    <col min="4344" max="4344" width="11.125" style="2" bestFit="1" customWidth="1"/>
    <col min="4345" max="4345" width="9" style="2"/>
    <col min="4346" max="4346" width="11.125" style="2" bestFit="1" customWidth="1"/>
    <col min="4347" max="4347" width="9" style="2"/>
    <col min="4348" max="4358" width="11.125" style="2" bestFit="1" customWidth="1"/>
    <col min="4359" max="4359" width="9" style="2"/>
    <col min="4360" max="4366" width="11.125" style="2" bestFit="1" customWidth="1"/>
    <col min="4367" max="4367" width="9.625" style="2" bestFit="1" customWidth="1"/>
    <col min="4368" max="4593" width="9" style="2"/>
    <col min="4594" max="4594" width="2.375" style="2" customWidth="1"/>
    <col min="4595" max="4595" width="13.25" style="2" bestFit="1" customWidth="1"/>
    <col min="4596" max="4598" width="11.125" style="2" bestFit="1" customWidth="1"/>
    <col min="4599" max="4599" width="13.25" style="2" bestFit="1" customWidth="1"/>
    <col min="4600" max="4600" width="11.125" style="2" bestFit="1" customWidth="1"/>
    <col min="4601" max="4601" width="9" style="2"/>
    <col min="4602" max="4602" width="11.125" style="2" bestFit="1" customWidth="1"/>
    <col min="4603" max="4603" width="9" style="2"/>
    <col min="4604" max="4614" width="11.125" style="2" bestFit="1" customWidth="1"/>
    <col min="4615" max="4615" width="9" style="2"/>
    <col min="4616" max="4622" width="11.125" style="2" bestFit="1" customWidth="1"/>
    <col min="4623" max="4623" width="9.625" style="2" bestFit="1" customWidth="1"/>
    <col min="4624" max="4849" width="9" style="2"/>
    <col min="4850" max="4850" width="2.375" style="2" customWidth="1"/>
    <col min="4851" max="4851" width="13.25" style="2" bestFit="1" customWidth="1"/>
    <col min="4852" max="4854" width="11.125" style="2" bestFit="1" customWidth="1"/>
    <col min="4855" max="4855" width="13.25" style="2" bestFit="1" customWidth="1"/>
    <col min="4856" max="4856" width="11.125" style="2" bestFit="1" customWidth="1"/>
    <col min="4857" max="4857" width="9" style="2"/>
    <col min="4858" max="4858" width="11.125" style="2" bestFit="1" customWidth="1"/>
    <col min="4859" max="4859" width="9" style="2"/>
    <col min="4860" max="4870" width="11.125" style="2" bestFit="1" customWidth="1"/>
    <col min="4871" max="4871" width="9" style="2"/>
    <col min="4872" max="4878" width="11.125" style="2" bestFit="1" customWidth="1"/>
    <col min="4879" max="4879" width="9.625" style="2" bestFit="1" customWidth="1"/>
    <col min="4880" max="5105" width="9" style="2"/>
    <col min="5106" max="5106" width="2.375" style="2" customWidth="1"/>
    <col min="5107" max="5107" width="13.25" style="2" bestFit="1" customWidth="1"/>
    <col min="5108" max="5110" width="11.125" style="2" bestFit="1" customWidth="1"/>
    <col min="5111" max="5111" width="13.25" style="2" bestFit="1" customWidth="1"/>
    <col min="5112" max="5112" width="11.125" style="2" bestFit="1" customWidth="1"/>
    <col min="5113" max="5113" width="9" style="2"/>
    <col min="5114" max="5114" width="11.125" style="2" bestFit="1" customWidth="1"/>
    <col min="5115" max="5115" width="9" style="2"/>
    <col min="5116" max="5126" width="11.125" style="2" bestFit="1" customWidth="1"/>
    <col min="5127" max="5127" width="9" style="2"/>
    <col min="5128" max="5134" width="11.125" style="2" bestFit="1" customWidth="1"/>
    <col min="5135" max="5135" width="9.625" style="2" bestFit="1" customWidth="1"/>
    <col min="5136" max="5361" width="9" style="2"/>
    <col min="5362" max="5362" width="2.375" style="2" customWidth="1"/>
    <col min="5363" max="5363" width="13.25" style="2" bestFit="1" customWidth="1"/>
    <col min="5364" max="5366" width="11.125" style="2" bestFit="1" customWidth="1"/>
    <col min="5367" max="5367" width="13.25" style="2" bestFit="1" customWidth="1"/>
    <col min="5368" max="5368" width="11.125" style="2" bestFit="1" customWidth="1"/>
    <col min="5369" max="5369" width="9" style="2"/>
    <col min="5370" max="5370" width="11.125" style="2" bestFit="1" customWidth="1"/>
    <col min="5371" max="5371" width="9" style="2"/>
    <col min="5372" max="5382" width="11.125" style="2" bestFit="1" customWidth="1"/>
    <col min="5383" max="5383" width="9" style="2"/>
    <col min="5384" max="5390" width="11.125" style="2" bestFit="1" customWidth="1"/>
    <col min="5391" max="5391" width="9.625" style="2" bestFit="1" customWidth="1"/>
    <col min="5392" max="5617" width="9" style="2"/>
    <col min="5618" max="5618" width="2.375" style="2" customWidth="1"/>
    <col min="5619" max="5619" width="13.25" style="2" bestFit="1" customWidth="1"/>
    <col min="5620" max="5622" width="11.125" style="2" bestFit="1" customWidth="1"/>
    <col min="5623" max="5623" width="13.25" style="2" bestFit="1" customWidth="1"/>
    <col min="5624" max="5624" width="11.125" style="2" bestFit="1" customWidth="1"/>
    <col min="5625" max="5625" width="9" style="2"/>
    <col min="5626" max="5626" width="11.125" style="2" bestFit="1" customWidth="1"/>
    <col min="5627" max="5627" width="9" style="2"/>
    <col min="5628" max="5638" width="11.125" style="2" bestFit="1" customWidth="1"/>
    <col min="5639" max="5639" width="9" style="2"/>
    <col min="5640" max="5646" width="11.125" style="2" bestFit="1" customWidth="1"/>
    <col min="5647" max="5647" width="9.625" style="2" bestFit="1" customWidth="1"/>
    <col min="5648" max="5873" width="9" style="2"/>
    <col min="5874" max="5874" width="2.375" style="2" customWidth="1"/>
    <col min="5875" max="5875" width="13.25" style="2" bestFit="1" customWidth="1"/>
    <col min="5876" max="5878" width="11.125" style="2" bestFit="1" customWidth="1"/>
    <col min="5879" max="5879" width="13.25" style="2" bestFit="1" customWidth="1"/>
    <col min="5880" max="5880" width="11.125" style="2" bestFit="1" customWidth="1"/>
    <col min="5881" max="5881" width="9" style="2"/>
    <col min="5882" max="5882" width="11.125" style="2" bestFit="1" customWidth="1"/>
    <col min="5883" max="5883" width="9" style="2"/>
    <col min="5884" max="5894" width="11.125" style="2" bestFit="1" customWidth="1"/>
    <col min="5895" max="5895" width="9" style="2"/>
    <col min="5896" max="5902" width="11.125" style="2" bestFit="1" customWidth="1"/>
    <col min="5903" max="5903" width="9.625" style="2" bestFit="1" customWidth="1"/>
    <col min="5904" max="6129" width="9" style="2"/>
    <col min="6130" max="6130" width="2.375" style="2" customWidth="1"/>
    <col min="6131" max="6131" width="13.25" style="2" bestFit="1" customWidth="1"/>
    <col min="6132" max="6134" width="11.125" style="2" bestFit="1" customWidth="1"/>
    <col min="6135" max="6135" width="13.25" style="2" bestFit="1" customWidth="1"/>
    <col min="6136" max="6136" width="11.125" style="2" bestFit="1" customWidth="1"/>
    <col min="6137" max="6137" width="9" style="2"/>
    <col min="6138" max="6138" width="11.125" style="2" bestFit="1" customWidth="1"/>
    <col min="6139" max="6139" width="9" style="2"/>
    <col min="6140" max="6150" width="11.125" style="2" bestFit="1" customWidth="1"/>
    <col min="6151" max="6151" width="9" style="2"/>
    <col min="6152" max="6158" width="11.125" style="2" bestFit="1" customWidth="1"/>
    <col min="6159" max="6159" width="9.625" style="2" bestFit="1" customWidth="1"/>
    <col min="6160" max="6385" width="9" style="2"/>
    <col min="6386" max="6386" width="2.375" style="2" customWidth="1"/>
    <col min="6387" max="6387" width="13.25" style="2" bestFit="1" customWidth="1"/>
    <col min="6388" max="6390" width="11.125" style="2" bestFit="1" customWidth="1"/>
    <col min="6391" max="6391" width="13.25" style="2" bestFit="1" customWidth="1"/>
    <col min="6392" max="6392" width="11.125" style="2" bestFit="1" customWidth="1"/>
    <col min="6393" max="6393" width="9" style="2"/>
    <col min="6394" max="6394" width="11.125" style="2" bestFit="1" customWidth="1"/>
    <col min="6395" max="6395" width="9" style="2"/>
    <col min="6396" max="6406" width="11.125" style="2" bestFit="1" customWidth="1"/>
    <col min="6407" max="6407" width="9" style="2"/>
    <col min="6408" max="6414" width="11.125" style="2" bestFit="1" customWidth="1"/>
    <col min="6415" max="6415" width="9.625" style="2" bestFit="1" customWidth="1"/>
    <col min="6416" max="6641" width="9" style="2"/>
    <col min="6642" max="6642" width="2.375" style="2" customWidth="1"/>
    <col min="6643" max="6643" width="13.25" style="2" bestFit="1" customWidth="1"/>
    <col min="6644" max="6646" width="11.125" style="2" bestFit="1" customWidth="1"/>
    <col min="6647" max="6647" width="13.25" style="2" bestFit="1" customWidth="1"/>
    <col min="6648" max="6648" width="11.125" style="2" bestFit="1" customWidth="1"/>
    <col min="6649" max="6649" width="9" style="2"/>
    <col min="6650" max="6650" width="11.125" style="2" bestFit="1" customWidth="1"/>
    <col min="6651" max="6651" width="9" style="2"/>
    <col min="6652" max="6662" width="11.125" style="2" bestFit="1" customWidth="1"/>
    <col min="6663" max="6663" width="9" style="2"/>
    <col min="6664" max="6670" width="11.125" style="2" bestFit="1" customWidth="1"/>
    <col min="6671" max="6671" width="9.625" style="2" bestFit="1" customWidth="1"/>
    <col min="6672" max="6897" width="9" style="2"/>
    <col min="6898" max="6898" width="2.375" style="2" customWidth="1"/>
    <col min="6899" max="6899" width="13.25" style="2" bestFit="1" customWidth="1"/>
    <col min="6900" max="6902" width="11.125" style="2" bestFit="1" customWidth="1"/>
    <col min="6903" max="6903" width="13.25" style="2" bestFit="1" customWidth="1"/>
    <col min="6904" max="6904" width="11.125" style="2" bestFit="1" customWidth="1"/>
    <col min="6905" max="6905" width="9" style="2"/>
    <col min="6906" max="6906" width="11.125" style="2" bestFit="1" customWidth="1"/>
    <col min="6907" max="6907" width="9" style="2"/>
    <col min="6908" max="6918" width="11.125" style="2" bestFit="1" customWidth="1"/>
    <col min="6919" max="6919" width="9" style="2"/>
    <col min="6920" max="6926" width="11.125" style="2" bestFit="1" customWidth="1"/>
    <col min="6927" max="6927" width="9.625" style="2" bestFit="1" customWidth="1"/>
    <col min="6928" max="7153" width="9" style="2"/>
    <col min="7154" max="7154" width="2.375" style="2" customWidth="1"/>
    <col min="7155" max="7155" width="13.25" style="2" bestFit="1" customWidth="1"/>
    <col min="7156" max="7158" width="11.125" style="2" bestFit="1" customWidth="1"/>
    <col min="7159" max="7159" width="13.25" style="2" bestFit="1" customWidth="1"/>
    <col min="7160" max="7160" width="11.125" style="2" bestFit="1" customWidth="1"/>
    <col min="7161" max="7161" width="9" style="2"/>
    <col min="7162" max="7162" width="11.125" style="2" bestFit="1" customWidth="1"/>
    <col min="7163" max="7163" width="9" style="2"/>
    <col min="7164" max="7174" width="11.125" style="2" bestFit="1" customWidth="1"/>
    <col min="7175" max="7175" width="9" style="2"/>
    <col min="7176" max="7182" width="11.125" style="2" bestFit="1" customWidth="1"/>
    <col min="7183" max="7183" width="9.625" style="2" bestFit="1" customWidth="1"/>
    <col min="7184" max="7409" width="9" style="2"/>
    <col min="7410" max="7410" width="2.375" style="2" customWidth="1"/>
    <col min="7411" max="7411" width="13.25" style="2" bestFit="1" customWidth="1"/>
    <col min="7412" max="7414" width="11.125" style="2" bestFit="1" customWidth="1"/>
    <col min="7415" max="7415" width="13.25" style="2" bestFit="1" customWidth="1"/>
    <col min="7416" max="7416" width="11.125" style="2" bestFit="1" customWidth="1"/>
    <col min="7417" max="7417" width="9" style="2"/>
    <col min="7418" max="7418" width="11.125" style="2" bestFit="1" customWidth="1"/>
    <col min="7419" max="7419" width="9" style="2"/>
    <col min="7420" max="7430" width="11.125" style="2" bestFit="1" customWidth="1"/>
    <col min="7431" max="7431" width="9" style="2"/>
    <col min="7432" max="7438" width="11.125" style="2" bestFit="1" customWidth="1"/>
    <col min="7439" max="7439" width="9.625" style="2" bestFit="1" customWidth="1"/>
    <col min="7440" max="7665" width="9" style="2"/>
    <col min="7666" max="7666" width="2.375" style="2" customWidth="1"/>
    <col min="7667" max="7667" width="13.25" style="2" bestFit="1" customWidth="1"/>
    <col min="7668" max="7670" width="11.125" style="2" bestFit="1" customWidth="1"/>
    <col min="7671" max="7671" width="13.25" style="2" bestFit="1" customWidth="1"/>
    <col min="7672" max="7672" width="11.125" style="2" bestFit="1" customWidth="1"/>
    <col min="7673" max="7673" width="9" style="2"/>
    <col min="7674" max="7674" width="11.125" style="2" bestFit="1" customWidth="1"/>
    <col min="7675" max="7675" width="9" style="2"/>
    <col min="7676" max="7686" width="11.125" style="2" bestFit="1" customWidth="1"/>
    <col min="7687" max="7687" width="9" style="2"/>
    <col min="7688" max="7694" width="11.125" style="2" bestFit="1" customWidth="1"/>
    <col min="7695" max="7695" width="9.625" style="2" bestFit="1" customWidth="1"/>
    <col min="7696" max="7921" width="9" style="2"/>
    <col min="7922" max="7922" width="2.375" style="2" customWidth="1"/>
    <col min="7923" max="7923" width="13.25" style="2" bestFit="1" customWidth="1"/>
    <col min="7924" max="7926" width="11.125" style="2" bestFit="1" customWidth="1"/>
    <col min="7927" max="7927" width="13.25" style="2" bestFit="1" customWidth="1"/>
    <col min="7928" max="7928" width="11.125" style="2" bestFit="1" customWidth="1"/>
    <col min="7929" max="7929" width="9" style="2"/>
    <col min="7930" max="7930" width="11.125" style="2" bestFit="1" customWidth="1"/>
    <col min="7931" max="7931" width="9" style="2"/>
    <col min="7932" max="7942" width="11.125" style="2" bestFit="1" customWidth="1"/>
    <col min="7943" max="7943" width="9" style="2"/>
    <col min="7944" max="7950" width="11.125" style="2" bestFit="1" customWidth="1"/>
    <col min="7951" max="7951" width="9.625" style="2" bestFit="1" customWidth="1"/>
    <col min="7952" max="8177" width="9" style="2"/>
    <col min="8178" max="8178" width="2.375" style="2" customWidth="1"/>
    <col min="8179" max="8179" width="13.25" style="2" bestFit="1" customWidth="1"/>
    <col min="8180" max="8182" width="11.125" style="2" bestFit="1" customWidth="1"/>
    <col min="8183" max="8183" width="13.25" style="2" bestFit="1" customWidth="1"/>
    <col min="8184" max="8184" width="11.125" style="2" bestFit="1" customWidth="1"/>
    <col min="8185" max="8185" width="9" style="2"/>
    <col min="8186" max="8186" width="11.125" style="2" bestFit="1" customWidth="1"/>
    <col min="8187" max="8187" width="9" style="2"/>
    <col min="8188" max="8198" width="11.125" style="2" bestFit="1" customWidth="1"/>
    <col min="8199" max="8199" width="9" style="2"/>
    <col min="8200" max="8206" width="11.125" style="2" bestFit="1" customWidth="1"/>
    <col min="8207" max="8207" width="9.625" style="2" bestFit="1" customWidth="1"/>
    <col min="8208" max="8433" width="9" style="2"/>
    <col min="8434" max="8434" width="2.375" style="2" customWidth="1"/>
    <col min="8435" max="8435" width="13.25" style="2" bestFit="1" customWidth="1"/>
    <col min="8436" max="8438" width="11.125" style="2" bestFit="1" customWidth="1"/>
    <col min="8439" max="8439" width="13.25" style="2" bestFit="1" customWidth="1"/>
    <col min="8440" max="8440" width="11.125" style="2" bestFit="1" customWidth="1"/>
    <col min="8441" max="8441" width="9" style="2"/>
    <col min="8442" max="8442" width="11.125" style="2" bestFit="1" customWidth="1"/>
    <col min="8443" max="8443" width="9" style="2"/>
    <col min="8444" max="8454" width="11.125" style="2" bestFit="1" customWidth="1"/>
    <col min="8455" max="8455" width="9" style="2"/>
    <col min="8456" max="8462" width="11.125" style="2" bestFit="1" customWidth="1"/>
    <col min="8463" max="8463" width="9.625" style="2" bestFit="1" customWidth="1"/>
    <col min="8464" max="8689" width="9" style="2"/>
    <col min="8690" max="8690" width="2.375" style="2" customWidth="1"/>
    <col min="8691" max="8691" width="13.25" style="2" bestFit="1" customWidth="1"/>
    <col min="8692" max="8694" width="11.125" style="2" bestFit="1" customWidth="1"/>
    <col min="8695" max="8695" width="13.25" style="2" bestFit="1" customWidth="1"/>
    <col min="8696" max="8696" width="11.125" style="2" bestFit="1" customWidth="1"/>
    <col min="8697" max="8697" width="9" style="2"/>
    <col min="8698" max="8698" width="11.125" style="2" bestFit="1" customWidth="1"/>
    <col min="8699" max="8699" width="9" style="2"/>
    <col min="8700" max="8710" width="11.125" style="2" bestFit="1" customWidth="1"/>
    <col min="8711" max="8711" width="9" style="2"/>
    <col min="8712" max="8718" width="11.125" style="2" bestFit="1" customWidth="1"/>
    <col min="8719" max="8719" width="9.625" style="2" bestFit="1" customWidth="1"/>
    <col min="8720" max="8945" width="9" style="2"/>
    <col min="8946" max="8946" width="2.375" style="2" customWidth="1"/>
    <col min="8947" max="8947" width="13.25" style="2" bestFit="1" customWidth="1"/>
    <col min="8948" max="8950" width="11.125" style="2" bestFit="1" customWidth="1"/>
    <col min="8951" max="8951" width="13.25" style="2" bestFit="1" customWidth="1"/>
    <col min="8952" max="8952" width="11.125" style="2" bestFit="1" customWidth="1"/>
    <col min="8953" max="8953" width="9" style="2"/>
    <col min="8954" max="8954" width="11.125" style="2" bestFit="1" customWidth="1"/>
    <col min="8955" max="8955" width="9" style="2"/>
    <col min="8956" max="8966" width="11.125" style="2" bestFit="1" customWidth="1"/>
    <col min="8967" max="8967" width="9" style="2"/>
    <col min="8968" max="8974" width="11.125" style="2" bestFit="1" customWidth="1"/>
    <col min="8975" max="8975" width="9.625" style="2" bestFit="1" customWidth="1"/>
    <col min="8976" max="9201" width="9" style="2"/>
    <col min="9202" max="9202" width="2.375" style="2" customWidth="1"/>
    <col min="9203" max="9203" width="13.25" style="2" bestFit="1" customWidth="1"/>
    <col min="9204" max="9206" width="11.125" style="2" bestFit="1" customWidth="1"/>
    <col min="9207" max="9207" width="13.25" style="2" bestFit="1" customWidth="1"/>
    <col min="9208" max="9208" width="11.125" style="2" bestFit="1" customWidth="1"/>
    <col min="9209" max="9209" width="9" style="2"/>
    <col min="9210" max="9210" width="11.125" style="2" bestFit="1" customWidth="1"/>
    <col min="9211" max="9211" width="9" style="2"/>
    <col min="9212" max="9222" width="11.125" style="2" bestFit="1" customWidth="1"/>
    <col min="9223" max="9223" width="9" style="2"/>
    <col min="9224" max="9230" width="11.125" style="2" bestFit="1" customWidth="1"/>
    <col min="9231" max="9231" width="9.625" style="2" bestFit="1" customWidth="1"/>
    <col min="9232" max="9457" width="9" style="2"/>
    <col min="9458" max="9458" width="2.375" style="2" customWidth="1"/>
    <col min="9459" max="9459" width="13.25" style="2" bestFit="1" customWidth="1"/>
    <col min="9460" max="9462" width="11.125" style="2" bestFit="1" customWidth="1"/>
    <col min="9463" max="9463" width="13.25" style="2" bestFit="1" customWidth="1"/>
    <col min="9464" max="9464" width="11.125" style="2" bestFit="1" customWidth="1"/>
    <col min="9465" max="9465" width="9" style="2"/>
    <col min="9466" max="9466" width="11.125" style="2" bestFit="1" customWidth="1"/>
    <col min="9467" max="9467" width="9" style="2"/>
    <col min="9468" max="9478" width="11.125" style="2" bestFit="1" customWidth="1"/>
    <col min="9479" max="9479" width="9" style="2"/>
    <col min="9480" max="9486" width="11.125" style="2" bestFit="1" customWidth="1"/>
    <col min="9487" max="9487" width="9.625" style="2" bestFit="1" customWidth="1"/>
    <col min="9488" max="9713" width="9" style="2"/>
    <col min="9714" max="9714" width="2.375" style="2" customWidth="1"/>
    <col min="9715" max="9715" width="13.25" style="2" bestFit="1" customWidth="1"/>
    <col min="9716" max="9718" width="11.125" style="2" bestFit="1" customWidth="1"/>
    <col min="9719" max="9719" width="13.25" style="2" bestFit="1" customWidth="1"/>
    <col min="9720" max="9720" width="11.125" style="2" bestFit="1" customWidth="1"/>
    <col min="9721" max="9721" width="9" style="2"/>
    <col min="9722" max="9722" width="11.125" style="2" bestFit="1" customWidth="1"/>
    <col min="9723" max="9723" width="9" style="2"/>
    <col min="9724" max="9734" width="11.125" style="2" bestFit="1" customWidth="1"/>
    <col min="9735" max="9735" width="9" style="2"/>
    <col min="9736" max="9742" width="11.125" style="2" bestFit="1" customWidth="1"/>
    <col min="9743" max="9743" width="9.625" style="2" bestFit="1" customWidth="1"/>
    <col min="9744" max="9969" width="9" style="2"/>
    <col min="9970" max="9970" width="2.375" style="2" customWidth="1"/>
    <col min="9971" max="9971" width="13.25" style="2" bestFit="1" customWidth="1"/>
    <col min="9972" max="9974" width="11.125" style="2" bestFit="1" customWidth="1"/>
    <col min="9975" max="9975" width="13.25" style="2" bestFit="1" customWidth="1"/>
    <col min="9976" max="9976" width="11.125" style="2" bestFit="1" customWidth="1"/>
    <col min="9977" max="9977" width="9" style="2"/>
    <col min="9978" max="9978" width="11.125" style="2" bestFit="1" customWidth="1"/>
    <col min="9979" max="9979" width="9" style="2"/>
    <col min="9980" max="9990" width="11.125" style="2" bestFit="1" customWidth="1"/>
    <col min="9991" max="9991" width="9" style="2"/>
    <col min="9992" max="9998" width="11.125" style="2" bestFit="1" customWidth="1"/>
    <col min="9999" max="9999" width="9.625" style="2" bestFit="1" customWidth="1"/>
    <col min="10000" max="10225" width="9" style="2"/>
    <col min="10226" max="10226" width="2.375" style="2" customWidth="1"/>
    <col min="10227" max="10227" width="13.25" style="2" bestFit="1" customWidth="1"/>
    <col min="10228" max="10230" width="11.125" style="2" bestFit="1" customWidth="1"/>
    <col min="10231" max="10231" width="13.25" style="2" bestFit="1" customWidth="1"/>
    <col min="10232" max="10232" width="11.125" style="2" bestFit="1" customWidth="1"/>
    <col min="10233" max="10233" width="9" style="2"/>
    <col min="10234" max="10234" width="11.125" style="2" bestFit="1" customWidth="1"/>
    <col min="10235" max="10235" width="9" style="2"/>
    <col min="10236" max="10246" width="11.125" style="2" bestFit="1" customWidth="1"/>
    <col min="10247" max="10247" width="9" style="2"/>
    <col min="10248" max="10254" width="11.125" style="2" bestFit="1" customWidth="1"/>
    <col min="10255" max="10255" width="9.625" style="2" bestFit="1" customWidth="1"/>
    <col min="10256" max="10481" width="9" style="2"/>
    <col min="10482" max="10482" width="2.375" style="2" customWidth="1"/>
    <col min="10483" max="10483" width="13.25" style="2" bestFit="1" customWidth="1"/>
    <col min="10484" max="10486" width="11.125" style="2" bestFit="1" customWidth="1"/>
    <col min="10487" max="10487" width="13.25" style="2" bestFit="1" customWidth="1"/>
    <col min="10488" max="10488" width="11.125" style="2" bestFit="1" customWidth="1"/>
    <col min="10489" max="10489" width="9" style="2"/>
    <col min="10490" max="10490" width="11.125" style="2" bestFit="1" customWidth="1"/>
    <col min="10491" max="10491" width="9" style="2"/>
    <col min="10492" max="10502" width="11.125" style="2" bestFit="1" customWidth="1"/>
    <col min="10503" max="10503" width="9" style="2"/>
    <col min="10504" max="10510" width="11.125" style="2" bestFit="1" customWidth="1"/>
    <col min="10511" max="10511" width="9.625" style="2" bestFit="1" customWidth="1"/>
    <col min="10512" max="10737" width="9" style="2"/>
    <col min="10738" max="10738" width="2.375" style="2" customWidth="1"/>
    <col min="10739" max="10739" width="13.25" style="2" bestFit="1" customWidth="1"/>
    <col min="10740" max="10742" width="11.125" style="2" bestFit="1" customWidth="1"/>
    <col min="10743" max="10743" width="13.25" style="2" bestFit="1" customWidth="1"/>
    <col min="10744" max="10744" width="11.125" style="2" bestFit="1" customWidth="1"/>
    <col min="10745" max="10745" width="9" style="2"/>
    <col min="10746" max="10746" width="11.125" style="2" bestFit="1" customWidth="1"/>
    <col min="10747" max="10747" width="9" style="2"/>
    <col min="10748" max="10758" width="11.125" style="2" bestFit="1" customWidth="1"/>
    <col min="10759" max="10759" width="9" style="2"/>
    <col min="10760" max="10766" width="11.125" style="2" bestFit="1" customWidth="1"/>
    <col min="10767" max="10767" width="9.625" style="2" bestFit="1" customWidth="1"/>
    <col min="10768" max="10993" width="9" style="2"/>
    <col min="10994" max="10994" width="2.375" style="2" customWidth="1"/>
    <col min="10995" max="10995" width="13.25" style="2" bestFit="1" customWidth="1"/>
    <col min="10996" max="10998" width="11.125" style="2" bestFit="1" customWidth="1"/>
    <col min="10999" max="10999" width="13.25" style="2" bestFit="1" customWidth="1"/>
    <col min="11000" max="11000" width="11.125" style="2" bestFit="1" customWidth="1"/>
    <col min="11001" max="11001" width="9" style="2"/>
    <col min="11002" max="11002" width="11.125" style="2" bestFit="1" customWidth="1"/>
    <col min="11003" max="11003" width="9" style="2"/>
    <col min="11004" max="11014" width="11.125" style="2" bestFit="1" customWidth="1"/>
    <col min="11015" max="11015" width="9" style="2"/>
    <col min="11016" max="11022" width="11.125" style="2" bestFit="1" customWidth="1"/>
    <col min="11023" max="11023" width="9.625" style="2" bestFit="1" customWidth="1"/>
    <col min="11024" max="11249" width="9" style="2"/>
    <col min="11250" max="11250" width="2.375" style="2" customWidth="1"/>
    <col min="11251" max="11251" width="13.25" style="2" bestFit="1" customWidth="1"/>
    <col min="11252" max="11254" width="11.125" style="2" bestFit="1" customWidth="1"/>
    <col min="11255" max="11255" width="13.25" style="2" bestFit="1" customWidth="1"/>
    <col min="11256" max="11256" width="11.125" style="2" bestFit="1" customWidth="1"/>
    <col min="11257" max="11257" width="9" style="2"/>
    <col min="11258" max="11258" width="11.125" style="2" bestFit="1" customWidth="1"/>
    <col min="11259" max="11259" width="9" style="2"/>
    <col min="11260" max="11270" width="11.125" style="2" bestFit="1" customWidth="1"/>
    <col min="11271" max="11271" width="9" style="2"/>
    <col min="11272" max="11278" width="11.125" style="2" bestFit="1" customWidth="1"/>
    <col min="11279" max="11279" width="9.625" style="2" bestFit="1" customWidth="1"/>
    <col min="11280" max="11505" width="9" style="2"/>
    <col min="11506" max="11506" width="2.375" style="2" customWidth="1"/>
    <col min="11507" max="11507" width="13.25" style="2" bestFit="1" customWidth="1"/>
    <col min="11508" max="11510" width="11.125" style="2" bestFit="1" customWidth="1"/>
    <col min="11511" max="11511" width="13.25" style="2" bestFit="1" customWidth="1"/>
    <col min="11512" max="11512" width="11.125" style="2" bestFit="1" customWidth="1"/>
    <col min="11513" max="11513" width="9" style="2"/>
    <col min="11514" max="11514" width="11.125" style="2" bestFit="1" customWidth="1"/>
    <col min="11515" max="11515" width="9" style="2"/>
    <col min="11516" max="11526" width="11.125" style="2" bestFit="1" customWidth="1"/>
    <col min="11527" max="11527" width="9" style="2"/>
    <col min="11528" max="11534" width="11.125" style="2" bestFit="1" customWidth="1"/>
    <col min="11535" max="11535" width="9.625" style="2" bestFit="1" customWidth="1"/>
    <col min="11536" max="11761" width="9" style="2"/>
    <col min="11762" max="11762" width="2.375" style="2" customWidth="1"/>
    <col min="11763" max="11763" width="13.25" style="2" bestFit="1" customWidth="1"/>
    <col min="11764" max="11766" width="11.125" style="2" bestFit="1" customWidth="1"/>
    <col min="11767" max="11767" width="13.25" style="2" bestFit="1" customWidth="1"/>
    <col min="11768" max="11768" width="11.125" style="2" bestFit="1" customWidth="1"/>
    <col min="11769" max="11769" width="9" style="2"/>
    <col min="11770" max="11770" width="11.125" style="2" bestFit="1" customWidth="1"/>
    <col min="11771" max="11771" width="9" style="2"/>
    <col min="11772" max="11782" width="11.125" style="2" bestFit="1" customWidth="1"/>
    <col min="11783" max="11783" width="9" style="2"/>
    <col min="11784" max="11790" width="11.125" style="2" bestFit="1" customWidth="1"/>
    <col min="11791" max="11791" width="9.625" style="2" bestFit="1" customWidth="1"/>
    <col min="11792" max="12017" width="9" style="2"/>
    <col min="12018" max="12018" width="2.375" style="2" customWidth="1"/>
    <col min="12019" max="12019" width="13.25" style="2" bestFit="1" customWidth="1"/>
    <col min="12020" max="12022" width="11.125" style="2" bestFit="1" customWidth="1"/>
    <col min="12023" max="12023" width="13.25" style="2" bestFit="1" customWidth="1"/>
    <col min="12024" max="12024" width="11.125" style="2" bestFit="1" customWidth="1"/>
    <col min="12025" max="12025" width="9" style="2"/>
    <col min="12026" max="12026" width="11.125" style="2" bestFit="1" customWidth="1"/>
    <col min="12027" max="12027" width="9" style="2"/>
    <col min="12028" max="12038" width="11.125" style="2" bestFit="1" customWidth="1"/>
    <col min="12039" max="12039" width="9" style="2"/>
    <col min="12040" max="12046" width="11.125" style="2" bestFit="1" customWidth="1"/>
    <col min="12047" max="12047" width="9.625" style="2" bestFit="1" customWidth="1"/>
    <col min="12048" max="12273" width="9" style="2"/>
    <col min="12274" max="12274" width="2.375" style="2" customWidth="1"/>
    <col min="12275" max="12275" width="13.25" style="2" bestFit="1" customWidth="1"/>
    <col min="12276" max="12278" width="11.125" style="2" bestFit="1" customWidth="1"/>
    <col min="12279" max="12279" width="13.25" style="2" bestFit="1" customWidth="1"/>
    <col min="12280" max="12280" width="11.125" style="2" bestFit="1" customWidth="1"/>
    <col min="12281" max="12281" width="9" style="2"/>
    <col min="12282" max="12282" width="11.125" style="2" bestFit="1" customWidth="1"/>
    <col min="12283" max="12283" width="9" style="2"/>
    <col min="12284" max="12294" width="11.125" style="2" bestFit="1" customWidth="1"/>
    <col min="12295" max="12295" width="9" style="2"/>
    <col min="12296" max="12302" width="11.125" style="2" bestFit="1" customWidth="1"/>
    <col min="12303" max="12303" width="9.625" style="2" bestFit="1" customWidth="1"/>
    <col min="12304" max="12529" width="9" style="2"/>
    <col min="12530" max="12530" width="2.375" style="2" customWidth="1"/>
    <col min="12531" max="12531" width="13.25" style="2" bestFit="1" customWidth="1"/>
    <col min="12532" max="12534" width="11.125" style="2" bestFit="1" customWidth="1"/>
    <col min="12535" max="12535" width="13.25" style="2" bestFit="1" customWidth="1"/>
    <col min="12536" max="12536" width="11.125" style="2" bestFit="1" customWidth="1"/>
    <col min="12537" max="12537" width="9" style="2"/>
    <col min="12538" max="12538" width="11.125" style="2" bestFit="1" customWidth="1"/>
    <col min="12539" max="12539" width="9" style="2"/>
    <col min="12540" max="12550" width="11.125" style="2" bestFit="1" customWidth="1"/>
    <col min="12551" max="12551" width="9" style="2"/>
    <col min="12552" max="12558" width="11.125" style="2" bestFit="1" customWidth="1"/>
    <col min="12559" max="12559" width="9.625" style="2" bestFit="1" customWidth="1"/>
    <col min="12560" max="12785" width="9" style="2"/>
    <col min="12786" max="12786" width="2.375" style="2" customWidth="1"/>
    <col min="12787" max="12787" width="13.25" style="2" bestFit="1" customWidth="1"/>
    <col min="12788" max="12790" width="11.125" style="2" bestFit="1" customWidth="1"/>
    <col min="12791" max="12791" width="13.25" style="2" bestFit="1" customWidth="1"/>
    <col min="12792" max="12792" width="11.125" style="2" bestFit="1" customWidth="1"/>
    <col min="12793" max="12793" width="9" style="2"/>
    <col min="12794" max="12794" width="11.125" style="2" bestFit="1" customWidth="1"/>
    <col min="12795" max="12795" width="9" style="2"/>
    <col min="12796" max="12806" width="11.125" style="2" bestFit="1" customWidth="1"/>
    <col min="12807" max="12807" width="9" style="2"/>
    <col min="12808" max="12814" width="11.125" style="2" bestFit="1" customWidth="1"/>
    <col min="12815" max="12815" width="9.625" style="2" bestFit="1" customWidth="1"/>
    <col min="12816" max="13041" width="9" style="2"/>
    <col min="13042" max="13042" width="2.375" style="2" customWidth="1"/>
    <col min="13043" max="13043" width="13.25" style="2" bestFit="1" customWidth="1"/>
    <col min="13044" max="13046" width="11.125" style="2" bestFit="1" customWidth="1"/>
    <col min="13047" max="13047" width="13.25" style="2" bestFit="1" customWidth="1"/>
    <col min="13048" max="13048" width="11.125" style="2" bestFit="1" customWidth="1"/>
    <col min="13049" max="13049" width="9" style="2"/>
    <col min="13050" max="13050" width="11.125" style="2" bestFit="1" customWidth="1"/>
    <col min="13051" max="13051" width="9" style="2"/>
    <col min="13052" max="13062" width="11.125" style="2" bestFit="1" customWidth="1"/>
    <col min="13063" max="13063" width="9" style="2"/>
    <col min="13064" max="13070" width="11.125" style="2" bestFit="1" customWidth="1"/>
    <col min="13071" max="13071" width="9.625" style="2" bestFit="1" customWidth="1"/>
    <col min="13072" max="13297" width="9" style="2"/>
    <col min="13298" max="13298" width="2.375" style="2" customWidth="1"/>
    <col min="13299" max="13299" width="13.25" style="2" bestFit="1" customWidth="1"/>
    <col min="13300" max="13302" width="11.125" style="2" bestFit="1" customWidth="1"/>
    <col min="13303" max="13303" width="13.25" style="2" bestFit="1" customWidth="1"/>
    <col min="13304" max="13304" width="11.125" style="2" bestFit="1" customWidth="1"/>
    <col min="13305" max="13305" width="9" style="2"/>
    <col min="13306" max="13306" width="11.125" style="2" bestFit="1" customWidth="1"/>
    <col min="13307" max="13307" width="9" style="2"/>
    <col min="13308" max="13318" width="11.125" style="2" bestFit="1" customWidth="1"/>
    <col min="13319" max="13319" width="9" style="2"/>
    <col min="13320" max="13326" width="11.125" style="2" bestFit="1" customWidth="1"/>
    <col min="13327" max="13327" width="9.625" style="2" bestFit="1" customWidth="1"/>
    <col min="13328" max="13553" width="9" style="2"/>
    <col min="13554" max="13554" width="2.375" style="2" customWidth="1"/>
    <col min="13555" max="13555" width="13.25" style="2" bestFit="1" customWidth="1"/>
    <col min="13556" max="13558" width="11.125" style="2" bestFit="1" customWidth="1"/>
    <col min="13559" max="13559" width="13.25" style="2" bestFit="1" customWidth="1"/>
    <col min="13560" max="13560" width="11.125" style="2" bestFit="1" customWidth="1"/>
    <col min="13561" max="13561" width="9" style="2"/>
    <col min="13562" max="13562" width="11.125" style="2" bestFit="1" customWidth="1"/>
    <col min="13563" max="13563" width="9" style="2"/>
    <col min="13564" max="13574" width="11.125" style="2" bestFit="1" customWidth="1"/>
    <col min="13575" max="13575" width="9" style="2"/>
    <col min="13576" max="13582" width="11.125" style="2" bestFit="1" customWidth="1"/>
    <col min="13583" max="13583" width="9.625" style="2" bestFit="1" customWidth="1"/>
    <col min="13584" max="13809" width="9" style="2"/>
    <col min="13810" max="13810" width="2.375" style="2" customWidth="1"/>
    <col min="13811" max="13811" width="13.25" style="2" bestFit="1" customWidth="1"/>
    <col min="13812" max="13814" width="11.125" style="2" bestFit="1" customWidth="1"/>
    <col min="13815" max="13815" width="13.25" style="2" bestFit="1" customWidth="1"/>
    <col min="13816" max="13816" width="11.125" style="2" bestFit="1" customWidth="1"/>
    <col min="13817" max="13817" width="9" style="2"/>
    <col min="13818" max="13818" width="11.125" style="2" bestFit="1" customWidth="1"/>
    <col min="13819" max="13819" width="9" style="2"/>
    <col min="13820" max="13830" width="11.125" style="2" bestFit="1" customWidth="1"/>
    <col min="13831" max="13831" width="9" style="2"/>
    <col min="13832" max="13838" width="11.125" style="2" bestFit="1" customWidth="1"/>
    <col min="13839" max="13839" width="9.625" style="2" bestFit="1" customWidth="1"/>
    <col min="13840" max="14065" width="9" style="2"/>
    <col min="14066" max="14066" width="2.375" style="2" customWidth="1"/>
    <col min="14067" max="14067" width="13.25" style="2" bestFit="1" customWidth="1"/>
    <col min="14068" max="14070" width="11.125" style="2" bestFit="1" customWidth="1"/>
    <col min="14071" max="14071" width="13.25" style="2" bestFit="1" customWidth="1"/>
    <col min="14072" max="14072" width="11.125" style="2" bestFit="1" customWidth="1"/>
    <col min="14073" max="14073" width="9" style="2"/>
    <col min="14074" max="14074" width="11.125" style="2" bestFit="1" customWidth="1"/>
    <col min="14075" max="14075" width="9" style="2"/>
    <col min="14076" max="14086" width="11.125" style="2" bestFit="1" customWidth="1"/>
    <col min="14087" max="14087" width="9" style="2"/>
    <col min="14088" max="14094" width="11.125" style="2" bestFit="1" customWidth="1"/>
    <col min="14095" max="14095" width="9.625" style="2" bestFit="1" customWidth="1"/>
    <col min="14096" max="14321" width="9" style="2"/>
    <col min="14322" max="14322" width="2.375" style="2" customWidth="1"/>
    <col min="14323" max="14323" width="13.25" style="2" bestFit="1" customWidth="1"/>
    <col min="14324" max="14326" width="11.125" style="2" bestFit="1" customWidth="1"/>
    <col min="14327" max="14327" width="13.25" style="2" bestFit="1" customWidth="1"/>
    <col min="14328" max="14328" width="11.125" style="2" bestFit="1" customWidth="1"/>
    <col min="14329" max="14329" width="9" style="2"/>
    <col min="14330" max="14330" width="11.125" style="2" bestFit="1" customWidth="1"/>
    <col min="14331" max="14331" width="9" style="2"/>
    <col min="14332" max="14342" width="11.125" style="2" bestFit="1" customWidth="1"/>
    <col min="14343" max="14343" width="9" style="2"/>
    <col min="14344" max="14350" width="11.125" style="2" bestFit="1" customWidth="1"/>
    <col min="14351" max="14351" width="9.625" style="2" bestFit="1" customWidth="1"/>
    <col min="14352" max="14577" width="9" style="2"/>
    <col min="14578" max="14578" width="2.375" style="2" customWidth="1"/>
    <col min="14579" max="14579" width="13.25" style="2" bestFit="1" customWidth="1"/>
    <col min="14580" max="14582" width="11.125" style="2" bestFit="1" customWidth="1"/>
    <col min="14583" max="14583" width="13.25" style="2" bestFit="1" customWidth="1"/>
    <col min="14584" max="14584" width="11.125" style="2" bestFit="1" customWidth="1"/>
    <col min="14585" max="14585" width="9" style="2"/>
    <col min="14586" max="14586" width="11.125" style="2" bestFit="1" customWidth="1"/>
    <col min="14587" max="14587" width="9" style="2"/>
    <col min="14588" max="14598" width="11.125" style="2" bestFit="1" customWidth="1"/>
    <col min="14599" max="14599" width="9" style="2"/>
    <col min="14600" max="14606" width="11.125" style="2" bestFit="1" customWidth="1"/>
    <col min="14607" max="14607" width="9.625" style="2" bestFit="1" customWidth="1"/>
    <col min="14608" max="14833" width="9" style="2"/>
    <col min="14834" max="14834" width="2.375" style="2" customWidth="1"/>
    <col min="14835" max="14835" width="13.25" style="2" bestFit="1" customWidth="1"/>
    <col min="14836" max="14838" width="11.125" style="2" bestFit="1" customWidth="1"/>
    <col min="14839" max="14839" width="13.25" style="2" bestFit="1" customWidth="1"/>
    <col min="14840" max="14840" width="11.125" style="2" bestFit="1" customWidth="1"/>
    <col min="14841" max="14841" width="9" style="2"/>
    <col min="14842" max="14842" width="11.125" style="2" bestFit="1" customWidth="1"/>
    <col min="14843" max="14843" width="9" style="2"/>
    <col min="14844" max="14854" width="11.125" style="2" bestFit="1" customWidth="1"/>
    <col min="14855" max="14855" width="9" style="2"/>
    <col min="14856" max="14862" width="11.125" style="2" bestFit="1" customWidth="1"/>
    <col min="14863" max="14863" width="9.625" style="2" bestFit="1" customWidth="1"/>
    <col min="14864" max="15089" width="9" style="2"/>
    <col min="15090" max="15090" width="2.375" style="2" customWidth="1"/>
    <col min="15091" max="15091" width="13.25" style="2" bestFit="1" customWidth="1"/>
    <col min="15092" max="15094" width="11.125" style="2" bestFit="1" customWidth="1"/>
    <col min="15095" max="15095" width="13.25" style="2" bestFit="1" customWidth="1"/>
    <col min="15096" max="15096" width="11.125" style="2" bestFit="1" customWidth="1"/>
    <col min="15097" max="15097" width="9" style="2"/>
    <col min="15098" max="15098" width="11.125" style="2" bestFit="1" customWidth="1"/>
    <col min="15099" max="15099" width="9" style="2"/>
    <col min="15100" max="15110" width="11.125" style="2" bestFit="1" customWidth="1"/>
    <col min="15111" max="15111" width="9" style="2"/>
    <col min="15112" max="15118" width="11.125" style="2" bestFit="1" customWidth="1"/>
    <col min="15119" max="15119" width="9.625" style="2" bestFit="1" customWidth="1"/>
    <col min="15120" max="15345" width="9" style="2"/>
    <col min="15346" max="15346" width="2.375" style="2" customWidth="1"/>
    <col min="15347" max="15347" width="13.25" style="2" bestFit="1" customWidth="1"/>
    <col min="15348" max="15350" width="11.125" style="2" bestFit="1" customWidth="1"/>
    <col min="15351" max="15351" width="13.25" style="2" bestFit="1" customWidth="1"/>
    <col min="15352" max="15352" width="11.125" style="2" bestFit="1" customWidth="1"/>
    <col min="15353" max="15353" width="9" style="2"/>
    <col min="15354" max="15354" width="11.125" style="2" bestFit="1" customWidth="1"/>
    <col min="15355" max="15355" width="9" style="2"/>
    <col min="15356" max="15366" width="11.125" style="2" bestFit="1" customWidth="1"/>
    <col min="15367" max="15367" width="9" style="2"/>
    <col min="15368" max="15374" width="11.125" style="2" bestFit="1" customWidth="1"/>
    <col min="15375" max="15375" width="9.625" style="2" bestFit="1" customWidth="1"/>
    <col min="15376" max="15601" width="9" style="2"/>
    <col min="15602" max="15602" width="2.375" style="2" customWidth="1"/>
    <col min="15603" max="15603" width="13.25" style="2" bestFit="1" customWidth="1"/>
    <col min="15604" max="15606" width="11.125" style="2" bestFit="1" customWidth="1"/>
    <col min="15607" max="15607" width="13.25" style="2" bestFit="1" customWidth="1"/>
    <col min="15608" max="15608" width="11.125" style="2" bestFit="1" customWidth="1"/>
    <col min="15609" max="15609" width="9" style="2"/>
    <col min="15610" max="15610" width="11.125" style="2" bestFit="1" customWidth="1"/>
    <col min="15611" max="15611" width="9" style="2"/>
    <col min="15612" max="15622" width="11.125" style="2" bestFit="1" customWidth="1"/>
    <col min="15623" max="15623" width="9" style="2"/>
    <col min="15624" max="15630" width="11.125" style="2" bestFit="1" customWidth="1"/>
    <col min="15631" max="15631" width="9.625" style="2" bestFit="1" customWidth="1"/>
    <col min="15632" max="15857" width="9" style="2"/>
    <col min="15858" max="15858" width="2.375" style="2" customWidth="1"/>
    <col min="15859" max="15859" width="13.25" style="2" bestFit="1" customWidth="1"/>
    <col min="15860" max="15862" width="11.125" style="2" bestFit="1" customWidth="1"/>
    <col min="15863" max="15863" width="13.25" style="2" bestFit="1" customWidth="1"/>
    <col min="15864" max="15864" width="11.125" style="2" bestFit="1" customWidth="1"/>
    <col min="15865" max="15865" width="9" style="2"/>
    <col min="15866" max="15866" width="11.125" style="2" bestFit="1" customWidth="1"/>
    <col min="15867" max="15867" width="9" style="2"/>
    <col min="15868" max="15878" width="11.125" style="2" bestFit="1" customWidth="1"/>
    <col min="15879" max="15879" width="9" style="2"/>
    <col min="15880" max="15886" width="11.125" style="2" bestFit="1" customWidth="1"/>
    <col min="15887" max="15887" width="9.625" style="2" bestFit="1" customWidth="1"/>
    <col min="15888" max="16113" width="9" style="2"/>
    <col min="16114" max="16114" width="2.375" style="2" customWidth="1"/>
    <col min="16115" max="16115" width="13.25" style="2" bestFit="1" customWidth="1"/>
    <col min="16116" max="16118" width="11.125" style="2" bestFit="1" customWidth="1"/>
    <col min="16119" max="16119" width="13.25" style="2" bestFit="1" customWidth="1"/>
    <col min="16120" max="16120" width="11.125" style="2" bestFit="1" customWidth="1"/>
    <col min="16121" max="16121" width="9" style="2"/>
    <col min="16122" max="16122" width="11.125" style="2" bestFit="1" customWidth="1"/>
    <col min="16123" max="16123" width="9" style="2"/>
    <col min="16124" max="16134" width="11.125" style="2" bestFit="1" customWidth="1"/>
    <col min="16135" max="16135" width="9" style="2"/>
    <col min="16136" max="16142" width="11.125" style="2" bestFit="1" customWidth="1"/>
    <col min="16143" max="16143" width="9.625" style="2" bestFit="1" customWidth="1"/>
    <col min="16144" max="16384" width="9" style="2"/>
  </cols>
  <sheetData>
    <row r="1" spans="1:17">
      <c r="A1" s="1" t="s">
        <v>0</v>
      </c>
    </row>
    <row r="2" spans="1:17">
      <c r="A2" s="1" t="s">
        <v>1</v>
      </c>
    </row>
    <row r="3" spans="1:17" ht="19.5" thickBot="1">
      <c r="A3" s="1" t="s">
        <v>118</v>
      </c>
    </row>
    <row r="4" spans="1:17">
      <c r="B4" s="99"/>
      <c r="C4" s="73" t="s">
        <v>5</v>
      </c>
      <c r="D4" s="12" t="s">
        <v>6</v>
      </c>
      <c r="E4" s="12" t="s">
        <v>26</v>
      </c>
      <c r="F4" s="12" t="s">
        <v>27</v>
      </c>
      <c r="G4" s="12" t="s">
        <v>23</v>
      </c>
      <c r="H4" s="12" t="s">
        <v>24</v>
      </c>
      <c r="I4" s="12" t="s">
        <v>25</v>
      </c>
      <c r="J4" s="12" t="s">
        <v>28</v>
      </c>
      <c r="K4" s="13" t="s">
        <v>29</v>
      </c>
      <c r="L4" s="85" t="s">
        <v>119</v>
      </c>
      <c r="M4" s="61" t="s">
        <v>7</v>
      </c>
      <c r="N4" s="85" t="s">
        <v>119</v>
      </c>
      <c r="O4" s="4" t="s">
        <v>58</v>
      </c>
    </row>
    <row r="5" spans="1:17" ht="19.5" thickBot="1">
      <c r="A5" s="98"/>
      <c r="B5" s="100" t="s">
        <v>30</v>
      </c>
      <c r="C5" s="74" t="s">
        <v>33</v>
      </c>
      <c r="D5" s="33" t="s">
        <v>34</v>
      </c>
      <c r="E5" s="33" t="s">
        <v>54</v>
      </c>
      <c r="F5" s="33" t="s">
        <v>55</v>
      </c>
      <c r="G5" s="33" t="s">
        <v>51</v>
      </c>
      <c r="H5" s="33" t="s">
        <v>52</v>
      </c>
      <c r="I5" s="33" t="s">
        <v>53</v>
      </c>
      <c r="J5" s="33" t="s">
        <v>56</v>
      </c>
      <c r="K5" s="34" t="s">
        <v>57</v>
      </c>
      <c r="L5" s="97" t="s">
        <v>121</v>
      </c>
      <c r="M5" s="62" t="s">
        <v>35</v>
      </c>
      <c r="N5" s="97" t="s">
        <v>122</v>
      </c>
      <c r="O5" s="106" t="s">
        <v>123</v>
      </c>
    </row>
    <row r="6" spans="1:17">
      <c r="A6" s="1" t="s">
        <v>2</v>
      </c>
      <c r="B6" s="101" t="s">
        <v>59</v>
      </c>
      <c r="C6" s="75">
        <v>18</v>
      </c>
      <c r="D6" s="28">
        <v>17</v>
      </c>
      <c r="E6" s="28">
        <v>12</v>
      </c>
      <c r="F6" s="28">
        <v>14</v>
      </c>
      <c r="G6" s="28">
        <v>9</v>
      </c>
      <c r="H6" s="28">
        <v>5</v>
      </c>
      <c r="I6" s="28">
        <v>10</v>
      </c>
      <c r="J6" s="28">
        <v>8</v>
      </c>
      <c r="K6" s="29">
        <v>17</v>
      </c>
      <c r="L6" s="30">
        <f>SUM(C6:K6)</f>
        <v>110</v>
      </c>
      <c r="M6" s="63">
        <v>18</v>
      </c>
      <c r="N6" s="86">
        <f>SUM(M6)</f>
        <v>18</v>
      </c>
      <c r="O6" s="30">
        <v>392</v>
      </c>
      <c r="Q6"/>
    </row>
    <row r="7" spans="1:17">
      <c r="A7" s="1" t="s">
        <v>2</v>
      </c>
      <c r="B7" s="102" t="s">
        <v>60</v>
      </c>
      <c r="C7" s="76">
        <v>0</v>
      </c>
      <c r="D7" s="15">
        <v>2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6">
        <v>0</v>
      </c>
      <c r="L7" s="7">
        <f>SUM(C7:K7)</f>
        <v>2</v>
      </c>
      <c r="M7" s="64">
        <v>0</v>
      </c>
      <c r="N7" s="87"/>
      <c r="O7" s="7">
        <v>48</v>
      </c>
      <c r="Q7"/>
    </row>
    <row r="8" spans="1:17">
      <c r="A8" s="1" t="s">
        <v>2</v>
      </c>
      <c r="B8" s="102" t="s">
        <v>61</v>
      </c>
      <c r="C8" s="76">
        <v>0</v>
      </c>
      <c r="D8" s="15">
        <v>1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6">
        <v>0</v>
      </c>
      <c r="L8" s="7">
        <f t="shared" ref="L8:L10" si="0">SUM(C8:K8)</f>
        <v>1</v>
      </c>
      <c r="M8" s="64">
        <v>0</v>
      </c>
      <c r="N8" s="87"/>
      <c r="O8" s="7">
        <v>54</v>
      </c>
      <c r="Q8"/>
    </row>
    <row r="9" spans="1:17">
      <c r="A9" s="1" t="s">
        <v>2</v>
      </c>
      <c r="B9" s="102" t="s">
        <v>62</v>
      </c>
      <c r="C9" s="76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6">
        <v>0</v>
      </c>
      <c r="L9" s="7">
        <f t="shared" si="0"/>
        <v>0</v>
      </c>
      <c r="M9" s="64">
        <v>0</v>
      </c>
      <c r="N9" s="87"/>
      <c r="O9" s="7">
        <v>6</v>
      </c>
      <c r="Q9"/>
    </row>
    <row r="10" spans="1:17">
      <c r="A10" s="1" t="s">
        <v>2</v>
      </c>
      <c r="B10" s="102" t="s">
        <v>63</v>
      </c>
      <c r="C10" s="76">
        <v>0</v>
      </c>
      <c r="D10" s="15">
        <v>1</v>
      </c>
      <c r="E10" s="15">
        <v>2</v>
      </c>
      <c r="F10" s="15">
        <v>1</v>
      </c>
      <c r="G10" s="15">
        <v>2</v>
      </c>
      <c r="H10" s="15">
        <v>1</v>
      </c>
      <c r="I10" s="15">
        <v>3</v>
      </c>
      <c r="J10" s="15">
        <v>1</v>
      </c>
      <c r="K10" s="16">
        <v>0</v>
      </c>
      <c r="L10" s="7">
        <f t="shared" si="0"/>
        <v>11</v>
      </c>
      <c r="M10" s="64">
        <v>0</v>
      </c>
      <c r="N10" s="87"/>
      <c r="O10" s="7">
        <v>27</v>
      </c>
      <c r="Q10"/>
    </row>
    <row r="11" spans="1:17">
      <c r="A11" s="1" t="s">
        <v>2</v>
      </c>
      <c r="B11" s="102" t="s">
        <v>64</v>
      </c>
      <c r="C11" s="76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6">
        <v>0</v>
      </c>
      <c r="L11" s="7"/>
      <c r="M11" s="64">
        <v>0</v>
      </c>
      <c r="N11" s="87"/>
      <c r="O11" s="7">
        <v>0</v>
      </c>
      <c r="Q11"/>
    </row>
    <row r="12" spans="1:17">
      <c r="A12" s="1" t="s">
        <v>2</v>
      </c>
      <c r="B12" s="102" t="s">
        <v>65</v>
      </c>
      <c r="C12" s="76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6">
        <v>0</v>
      </c>
      <c r="L12" s="7"/>
      <c r="M12" s="64">
        <v>0</v>
      </c>
      <c r="N12" s="87"/>
      <c r="O12" s="7">
        <v>0</v>
      </c>
      <c r="Q12"/>
    </row>
    <row r="13" spans="1:17">
      <c r="A13" s="1" t="s">
        <v>2</v>
      </c>
      <c r="B13" s="102" t="s">
        <v>66</v>
      </c>
      <c r="C13" s="76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6">
        <v>0</v>
      </c>
      <c r="L13" s="7"/>
      <c r="M13" s="64">
        <v>0</v>
      </c>
      <c r="N13" s="87"/>
      <c r="O13" s="7">
        <v>0</v>
      </c>
      <c r="Q13"/>
    </row>
    <row r="14" spans="1:17">
      <c r="A14" s="1" t="s">
        <v>2</v>
      </c>
      <c r="B14" s="102" t="s">
        <v>67</v>
      </c>
      <c r="C14" s="77">
        <v>0</v>
      </c>
      <c r="D14" s="18">
        <v>0</v>
      </c>
      <c r="E14" s="18">
        <v>3.1666666666666665</v>
      </c>
      <c r="F14" s="18">
        <v>3.5833333333333335</v>
      </c>
      <c r="G14" s="18">
        <v>2.625</v>
      </c>
      <c r="H14" s="18">
        <v>1.4583333333333333</v>
      </c>
      <c r="I14" s="18">
        <v>2.9583333333333335</v>
      </c>
      <c r="J14" s="18">
        <v>2.5</v>
      </c>
      <c r="K14" s="19">
        <v>2.9166666666666665</v>
      </c>
      <c r="L14" s="8">
        <f>SUM(C14:K14)</f>
        <v>19.208333333333336</v>
      </c>
      <c r="M14" s="65">
        <v>0</v>
      </c>
      <c r="N14" s="88"/>
      <c r="O14" s="8">
        <v>19.208333333333336</v>
      </c>
      <c r="Q14"/>
    </row>
    <row r="15" spans="1:17">
      <c r="A15" s="1" t="s">
        <v>2</v>
      </c>
      <c r="B15" s="102" t="s">
        <v>68</v>
      </c>
      <c r="C15" s="77">
        <v>0</v>
      </c>
      <c r="D15" s="18">
        <v>1.0416666666666667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4.1666666666666664E-2</v>
      </c>
      <c r="K15" s="19">
        <v>0</v>
      </c>
      <c r="L15" s="8">
        <f>SUM(C15:K15)</f>
        <v>1.0833333333333335</v>
      </c>
      <c r="M15" s="65">
        <v>0</v>
      </c>
      <c r="N15" s="88"/>
      <c r="O15" s="8">
        <v>29.208333333333336</v>
      </c>
      <c r="Q15"/>
    </row>
    <row r="16" spans="1:17">
      <c r="A16" s="1" t="s">
        <v>2</v>
      </c>
      <c r="B16" s="102" t="s">
        <v>69</v>
      </c>
      <c r="C16" s="77">
        <v>0</v>
      </c>
      <c r="D16" s="18">
        <v>0.54166666666666663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9">
        <v>0</v>
      </c>
      <c r="L16" s="8">
        <f t="shared" ref="L16:L17" si="1">SUM(C16:K16)</f>
        <v>0.54166666666666663</v>
      </c>
      <c r="M16" s="65">
        <v>0</v>
      </c>
      <c r="N16" s="88"/>
      <c r="O16" s="8">
        <v>17.458333333333336</v>
      </c>
      <c r="Q16"/>
    </row>
    <row r="17" spans="1:17">
      <c r="A17" s="1" t="s">
        <v>2</v>
      </c>
      <c r="B17" s="102" t="s">
        <v>70</v>
      </c>
      <c r="C17" s="77">
        <v>0</v>
      </c>
      <c r="D17" s="18">
        <v>4.1666666666666664E-2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8">
        <v>0</v>
      </c>
      <c r="K17" s="19">
        <v>0</v>
      </c>
      <c r="L17" s="8">
        <f t="shared" si="1"/>
        <v>4.1666666666666664E-2</v>
      </c>
      <c r="M17" s="65">
        <v>0</v>
      </c>
      <c r="N17" s="88"/>
      <c r="O17" s="8">
        <v>18.833333333333336</v>
      </c>
      <c r="Q17"/>
    </row>
    <row r="18" spans="1:17">
      <c r="A18" s="1" t="s">
        <v>2</v>
      </c>
      <c r="B18" s="102" t="s">
        <v>71</v>
      </c>
      <c r="C18" s="77">
        <v>0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9">
        <v>0</v>
      </c>
      <c r="L18" s="8"/>
      <c r="M18" s="65">
        <v>0</v>
      </c>
      <c r="N18" s="88"/>
      <c r="O18" s="8">
        <v>0.41666666666666669</v>
      </c>
      <c r="Q18"/>
    </row>
    <row r="19" spans="1:17">
      <c r="A19" s="1" t="s">
        <v>2</v>
      </c>
      <c r="B19" s="102" t="s">
        <v>72</v>
      </c>
      <c r="C19" s="77">
        <v>0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9">
        <v>0</v>
      </c>
      <c r="L19" s="8"/>
      <c r="M19" s="65">
        <v>0</v>
      </c>
      <c r="N19" s="88"/>
      <c r="O19" s="8">
        <v>0.95833333333333326</v>
      </c>
      <c r="Q19"/>
    </row>
    <row r="20" spans="1:17">
      <c r="A20" s="1" t="s">
        <v>2</v>
      </c>
      <c r="B20" s="102" t="s">
        <v>73</v>
      </c>
      <c r="C20" s="77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9">
        <v>0</v>
      </c>
      <c r="L20" s="8"/>
      <c r="M20" s="65">
        <v>0</v>
      </c>
      <c r="N20" s="88"/>
      <c r="O20" s="8">
        <v>0</v>
      </c>
      <c r="Q20"/>
    </row>
    <row r="21" spans="1:17">
      <c r="A21" s="1" t="s">
        <v>2</v>
      </c>
      <c r="B21" s="102" t="s">
        <v>74</v>
      </c>
      <c r="C21" s="77">
        <v>0</v>
      </c>
      <c r="D21" s="18">
        <v>0</v>
      </c>
      <c r="E21" s="18">
        <v>0.58333333333333337</v>
      </c>
      <c r="F21" s="18">
        <v>0.29166666666666669</v>
      </c>
      <c r="G21" s="18">
        <v>0.58333333333333337</v>
      </c>
      <c r="H21" s="18">
        <v>0.29166666666666669</v>
      </c>
      <c r="I21" s="18">
        <v>0.875</v>
      </c>
      <c r="J21" s="18">
        <v>0.29166666666666669</v>
      </c>
      <c r="K21" s="19">
        <v>0</v>
      </c>
      <c r="L21" s="8">
        <f>SUM(C21:K21)</f>
        <v>2.9166666666666665</v>
      </c>
      <c r="M21" s="65">
        <v>0</v>
      </c>
      <c r="N21" s="88"/>
      <c r="O21" s="8">
        <v>2.9166666666666665</v>
      </c>
      <c r="Q21"/>
    </row>
    <row r="22" spans="1:17">
      <c r="A22" s="1" t="s">
        <v>2</v>
      </c>
      <c r="B22" s="102" t="s">
        <v>75</v>
      </c>
      <c r="C22" s="77">
        <v>0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9">
        <v>0</v>
      </c>
      <c r="L22" s="8"/>
      <c r="M22" s="65">
        <v>0</v>
      </c>
      <c r="N22" s="88"/>
      <c r="O22" s="8">
        <v>0</v>
      </c>
      <c r="Q22"/>
    </row>
    <row r="23" spans="1:17">
      <c r="A23" s="1" t="s">
        <v>2</v>
      </c>
      <c r="B23" s="102" t="s">
        <v>76</v>
      </c>
      <c r="C23" s="77">
        <v>0</v>
      </c>
      <c r="D23" s="18">
        <v>0</v>
      </c>
      <c r="E23" s="18">
        <v>0</v>
      </c>
      <c r="F23" s="18">
        <v>0</v>
      </c>
      <c r="G23" s="18">
        <v>1.875</v>
      </c>
      <c r="H23" s="18">
        <v>1.0416666666666667</v>
      </c>
      <c r="I23" s="18">
        <v>2.0833333333333335</v>
      </c>
      <c r="J23" s="18">
        <v>0.83333333333333337</v>
      </c>
      <c r="K23" s="19">
        <v>0</v>
      </c>
      <c r="L23" s="8">
        <f>SUM(C23:K23)</f>
        <v>5.833333333333333</v>
      </c>
      <c r="M23" s="65">
        <v>0</v>
      </c>
      <c r="N23" s="88"/>
      <c r="O23" s="8">
        <v>15.958333333333336</v>
      </c>
      <c r="Q23"/>
    </row>
    <row r="24" spans="1:17" ht="19.5" thickBot="1">
      <c r="A24" s="1" t="s">
        <v>2</v>
      </c>
      <c r="B24" s="103" t="s">
        <v>77</v>
      </c>
      <c r="C24" s="78">
        <v>37</v>
      </c>
      <c r="D24" s="40">
        <v>37</v>
      </c>
      <c r="E24" s="40">
        <v>15</v>
      </c>
      <c r="F24" s="40">
        <v>15</v>
      </c>
      <c r="G24" s="40">
        <v>3</v>
      </c>
      <c r="H24" s="40">
        <v>2</v>
      </c>
      <c r="I24" s="40">
        <v>0</v>
      </c>
      <c r="J24" s="40">
        <v>2</v>
      </c>
      <c r="K24" s="41">
        <v>5</v>
      </c>
      <c r="L24" s="42">
        <f>SUM(C24:K24)</f>
        <v>116</v>
      </c>
      <c r="M24" s="66">
        <v>39</v>
      </c>
      <c r="N24" s="89">
        <f>SUM(M24)</f>
        <v>39</v>
      </c>
      <c r="O24" s="42">
        <v>418</v>
      </c>
      <c r="Q24"/>
    </row>
    <row r="25" spans="1:17">
      <c r="A25" s="1" t="s">
        <v>2</v>
      </c>
      <c r="B25" s="101" t="s">
        <v>78</v>
      </c>
      <c r="C25" s="79">
        <v>485000</v>
      </c>
      <c r="D25" s="36">
        <v>280000</v>
      </c>
      <c r="E25" s="36">
        <v>0</v>
      </c>
      <c r="F25" s="36">
        <v>0</v>
      </c>
      <c r="G25" s="36">
        <v>0</v>
      </c>
      <c r="H25" s="36">
        <v>0</v>
      </c>
      <c r="I25" s="36">
        <v>0</v>
      </c>
      <c r="J25" s="36">
        <v>0</v>
      </c>
      <c r="K25" s="37">
        <v>0</v>
      </c>
      <c r="L25" s="37">
        <f>SUM(C25:K25)</f>
        <v>765000</v>
      </c>
      <c r="M25" s="67">
        <v>375000</v>
      </c>
      <c r="N25" s="90">
        <f>SUM(M25)</f>
        <v>375000</v>
      </c>
      <c r="O25" s="38">
        <v>4186000</v>
      </c>
      <c r="Q25"/>
    </row>
    <row r="26" spans="1:17">
      <c r="A26" s="1" t="s">
        <v>2</v>
      </c>
      <c r="B26" s="102" t="s">
        <v>79</v>
      </c>
      <c r="C26" s="80">
        <v>0</v>
      </c>
      <c r="D26" s="21">
        <v>0</v>
      </c>
      <c r="E26" s="21">
        <v>0</v>
      </c>
      <c r="F26" s="21">
        <v>0</v>
      </c>
      <c r="G26" s="21">
        <v>0</v>
      </c>
      <c r="H26" s="21">
        <v>0</v>
      </c>
      <c r="I26" s="21">
        <v>0</v>
      </c>
      <c r="J26" s="21">
        <v>0</v>
      </c>
      <c r="K26" s="22">
        <v>0</v>
      </c>
      <c r="L26" s="22">
        <f t="shared" ref="L26:L64" si="2">SUM(C26:K26)</f>
        <v>0</v>
      </c>
      <c r="M26" s="68">
        <v>0</v>
      </c>
      <c r="N26" s="91">
        <f t="shared" ref="N26:N64" si="3">SUM(M26)</f>
        <v>0</v>
      </c>
      <c r="O26" s="9">
        <v>35000</v>
      </c>
      <c r="Q26"/>
    </row>
    <row r="27" spans="1:17">
      <c r="A27" s="1" t="s">
        <v>2</v>
      </c>
      <c r="B27" s="102" t="s">
        <v>80</v>
      </c>
      <c r="C27" s="80">
        <v>0</v>
      </c>
      <c r="D27" s="21">
        <v>3000</v>
      </c>
      <c r="E27" s="21">
        <v>0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2">
        <v>0</v>
      </c>
      <c r="L27" s="22">
        <f t="shared" si="2"/>
        <v>3000</v>
      </c>
      <c r="M27" s="68">
        <v>0</v>
      </c>
      <c r="N27" s="91">
        <f t="shared" si="3"/>
        <v>0</v>
      </c>
      <c r="O27" s="9">
        <v>6000</v>
      </c>
      <c r="Q27"/>
    </row>
    <row r="28" spans="1:17">
      <c r="A28" s="1" t="s">
        <v>2</v>
      </c>
      <c r="B28" s="102" t="s">
        <v>81</v>
      </c>
      <c r="C28" s="80">
        <v>0</v>
      </c>
      <c r="D28" s="21">
        <v>0</v>
      </c>
      <c r="E28" s="21">
        <v>0</v>
      </c>
      <c r="F28" s="21">
        <v>0</v>
      </c>
      <c r="G28" s="21">
        <v>0</v>
      </c>
      <c r="H28" s="21">
        <v>0</v>
      </c>
      <c r="I28" s="21">
        <v>0</v>
      </c>
      <c r="J28" s="21">
        <v>0</v>
      </c>
      <c r="K28" s="22">
        <v>0</v>
      </c>
      <c r="L28" s="22">
        <f t="shared" si="2"/>
        <v>0</v>
      </c>
      <c r="M28" s="68">
        <v>0</v>
      </c>
      <c r="N28" s="91">
        <f t="shared" si="3"/>
        <v>0</v>
      </c>
      <c r="O28" s="9">
        <v>0</v>
      </c>
      <c r="Q28"/>
    </row>
    <row r="29" spans="1:17">
      <c r="A29" s="1" t="s">
        <v>2</v>
      </c>
      <c r="B29" s="102" t="s">
        <v>82</v>
      </c>
      <c r="C29" s="80">
        <v>0</v>
      </c>
      <c r="D29" s="21">
        <v>0</v>
      </c>
      <c r="E29" s="21">
        <v>0</v>
      </c>
      <c r="F29" s="21">
        <v>0</v>
      </c>
      <c r="G29" s="21">
        <v>0</v>
      </c>
      <c r="H29" s="21">
        <v>0</v>
      </c>
      <c r="I29" s="21">
        <v>0</v>
      </c>
      <c r="J29" s="21">
        <v>0</v>
      </c>
      <c r="K29" s="22">
        <v>0</v>
      </c>
      <c r="L29" s="22">
        <f t="shared" si="2"/>
        <v>0</v>
      </c>
      <c r="M29" s="68">
        <v>0</v>
      </c>
      <c r="N29" s="91">
        <f t="shared" si="3"/>
        <v>0</v>
      </c>
      <c r="O29" s="9">
        <v>63588</v>
      </c>
      <c r="Q29"/>
    </row>
    <row r="30" spans="1:17">
      <c r="A30" s="1" t="s">
        <v>2</v>
      </c>
      <c r="B30" s="102" t="s">
        <v>83</v>
      </c>
      <c r="C30" s="80">
        <v>0</v>
      </c>
      <c r="D30" s="21">
        <v>0</v>
      </c>
      <c r="E30" s="21">
        <v>69920</v>
      </c>
      <c r="F30" s="21">
        <v>79120</v>
      </c>
      <c r="G30" s="21">
        <v>52920</v>
      </c>
      <c r="H30" s="21">
        <v>29400</v>
      </c>
      <c r="I30" s="21">
        <v>59640</v>
      </c>
      <c r="J30" s="21">
        <v>49800</v>
      </c>
      <c r="K30" s="22">
        <v>58800</v>
      </c>
      <c r="L30" s="22">
        <f t="shared" si="2"/>
        <v>399600</v>
      </c>
      <c r="M30" s="68">
        <v>0</v>
      </c>
      <c r="N30" s="91">
        <f t="shared" si="3"/>
        <v>0</v>
      </c>
      <c r="O30" s="9">
        <v>399600</v>
      </c>
      <c r="Q30"/>
    </row>
    <row r="31" spans="1:17">
      <c r="A31" s="1" t="s">
        <v>2</v>
      </c>
      <c r="B31" s="102" t="s">
        <v>84</v>
      </c>
      <c r="C31" s="80">
        <v>0</v>
      </c>
      <c r="D31" s="21">
        <v>0</v>
      </c>
      <c r="E31" s="21">
        <v>0</v>
      </c>
      <c r="F31" s="21">
        <v>0</v>
      </c>
      <c r="G31" s="21">
        <v>0</v>
      </c>
      <c r="H31" s="21">
        <v>0</v>
      </c>
      <c r="I31" s="21">
        <v>0</v>
      </c>
      <c r="J31" s="21">
        <v>0</v>
      </c>
      <c r="K31" s="22">
        <v>0</v>
      </c>
      <c r="L31" s="22">
        <f t="shared" si="2"/>
        <v>0</v>
      </c>
      <c r="M31" s="68">
        <v>0</v>
      </c>
      <c r="N31" s="91">
        <f t="shared" si="3"/>
        <v>0</v>
      </c>
      <c r="O31" s="9">
        <v>0</v>
      </c>
      <c r="Q31"/>
    </row>
    <row r="32" spans="1:17">
      <c r="A32" s="1" t="s">
        <v>2</v>
      </c>
      <c r="B32" s="102" t="s">
        <v>85</v>
      </c>
      <c r="C32" s="80">
        <v>0</v>
      </c>
      <c r="D32" s="21">
        <v>0</v>
      </c>
      <c r="E32" s="21">
        <v>0</v>
      </c>
      <c r="F32" s="21">
        <v>0</v>
      </c>
      <c r="G32" s="21">
        <v>0</v>
      </c>
      <c r="H32" s="21">
        <v>0</v>
      </c>
      <c r="I32" s="21">
        <v>0</v>
      </c>
      <c r="J32" s="21">
        <v>0</v>
      </c>
      <c r="K32" s="22">
        <v>0</v>
      </c>
      <c r="L32" s="22">
        <f t="shared" si="2"/>
        <v>0</v>
      </c>
      <c r="M32" s="68">
        <v>0</v>
      </c>
      <c r="N32" s="91">
        <f t="shared" si="3"/>
        <v>0</v>
      </c>
      <c r="O32" s="9">
        <v>0</v>
      </c>
      <c r="Q32"/>
    </row>
    <row r="33" spans="1:17">
      <c r="A33" s="1" t="s">
        <v>2</v>
      </c>
      <c r="B33" s="102" t="s">
        <v>86</v>
      </c>
      <c r="C33" s="80">
        <v>0</v>
      </c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2">
        <v>0</v>
      </c>
      <c r="L33" s="22">
        <f t="shared" si="2"/>
        <v>0</v>
      </c>
      <c r="M33" s="68">
        <v>0</v>
      </c>
      <c r="N33" s="91">
        <f t="shared" si="3"/>
        <v>0</v>
      </c>
      <c r="O33" s="9">
        <v>13000</v>
      </c>
      <c r="Q33"/>
    </row>
    <row r="34" spans="1:17">
      <c r="A34" s="1" t="s">
        <v>2</v>
      </c>
      <c r="B34" s="102" t="s">
        <v>87</v>
      </c>
      <c r="C34" s="80">
        <v>0</v>
      </c>
      <c r="D34" s="21">
        <v>0</v>
      </c>
      <c r="E34" s="21">
        <v>12880</v>
      </c>
      <c r="F34" s="21">
        <v>6440</v>
      </c>
      <c r="G34" s="21">
        <v>11760</v>
      </c>
      <c r="H34" s="21">
        <v>5880</v>
      </c>
      <c r="I34" s="21">
        <v>17640</v>
      </c>
      <c r="J34" s="21">
        <v>5810</v>
      </c>
      <c r="K34" s="22">
        <v>0</v>
      </c>
      <c r="L34" s="22">
        <f t="shared" si="2"/>
        <v>60410</v>
      </c>
      <c r="M34" s="68">
        <v>0</v>
      </c>
      <c r="N34" s="91">
        <f t="shared" si="3"/>
        <v>0</v>
      </c>
      <c r="O34" s="9">
        <v>60410</v>
      </c>
      <c r="Q34"/>
    </row>
    <row r="35" spans="1:17">
      <c r="A35" s="1" t="s">
        <v>2</v>
      </c>
      <c r="B35" s="102" t="s">
        <v>88</v>
      </c>
      <c r="C35" s="80">
        <v>0</v>
      </c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2">
        <v>0</v>
      </c>
      <c r="L35" s="22">
        <f t="shared" si="2"/>
        <v>0</v>
      </c>
      <c r="M35" s="68">
        <v>0</v>
      </c>
      <c r="N35" s="91">
        <f t="shared" si="3"/>
        <v>0</v>
      </c>
      <c r="O35" s="9">
        <v>0</v>
      </c>
      <c r="Q35"/>
    </row>
    <row r="36" spans="1:17">
      <c r="A36" s="1" t="s">
        <v>2</v>
      </c>
      <c r="B36" s="102" t="s">
        <v>89</v>
      </c>
      <c r="C36" s="80">
        <v>0</v>
      </c>
      <c r="D36" s="21">
        <v>0</v>
      </c>
      <c r="E36" s="21">
        <v>0</v>
      </c>
      <c r="F36" s="21">
        <v>0</v>
      </c>
      <c r="G36" s="21">
        <v>0</v>
      </c>
      <c r="H36" s="21">
        <v>0</v>
      </c>
      <c r="I36" s="21">
        <v>0</v>
      </c>
      <c r="J36" s="21">
        <v>0</v>
      </c>
      <c r="K36" s="22">
        <v>0</v>
      </c>
      <c r="L36" s="22">
        <f t="shared" si="2"/>
        <v>0</v>
      </c>
      <c r="M36" s="68">
        <v>0</v>
      </c>
      <c r="N36" s="91">
        <f t="shared" si="3"/>
        <v>0</v>
      </c>
      <c r="O36" s="9">
        <v>0</v>
      </c>
      <c r="Q36"/>
    </row>
    <row r="37" spans="1:17">
      <c r="A37" s="1" t="s">
        <v>2</v>
      </c>
      <c r="B37" s="102" t="s">
        <v>90</v>
      </c>
      <c r="C37" s="80">
        <v>0</v>
      </c>
      <c r="D37" s="21">
        <v>0</v>
      </c>
      <c r="E37" s="21">
        <v>0</v>
      </c>
      <c r="F37" s="21">
        <v>0</v>
      </c>
      <c r="G37" s="21">
        <v>0</v>
      </c>
      <c r="H37" s="21">
        <v>0</v>
      </c>
      <c r="I37" s="21">
        <v>0</v>
      </c>
      <c r="J37" s="21">
        <v>0</v>
      </c>
      <c r="K37" s="22">
        <v>0</v>
      </c>
      <c r="L37" s="22">
        <f t="shared" si="2"/>
        <v>0</v>
      </c>
      <c r="M37" s="68">
        <v>0</v>
      </c>
      <c r="N37" s="91">
        <f t="shared" si="3"/>
        <v>0</v>
      </c>
      <c r="O37" s="60">
        <v>-176547</v>
      </c>
      <c r="Q37"/>
    </row>
    <row r="38" spans="1:17">
      <c r="A38" s="1" t="s">
        <v>2</v>
      </c>
      <c r="B38" s="102" t="s">
        <v>68</v>
      </c>
      <c r="C38" s="80">
        <v>0</v>
      </c>
      <c r="D38" s="21">
        <v>52975</v>
      </c>
      <c r="E38" s="21">
        <v>0</v>
      </c>
      <c r="F38" s="21">
        <v>0</v>
      </c>
      <c r="G38" s="21">
        <v>0</v>
      </c>
      <c r="H38" s="21">
        <v>0</v>
      </c>
      <c r="I38" s="21">
        <v>0</v>
      </c>
      <c r="J38" s="21">
        <v>1038</v>
      </c>
      <c r="K38" s="22">
        <v>0</v>
      </c>
      <c r="L38" s="22">
        <f t="shared" si="2"/>
        <v>54013</v>
      </c>
      <c r="M38" s="68">
        <v>0</v>
      </c>
      <c r="N38" s="91">
        <f t="shared" si="3"/>
        <v>0</v>
      </c>
      <c r="O38" s="9">
        <v>974899</v>
      </c>
      <c r="Q38"/>
    </row>
    <row r="39" spans="1:17">
      <c r="A39" s="1" t="s">
        <v>2</v>
      </c>
      <c r="B39" s="102" t="s">
        <v>91</v>
      </c>
      <c r="C39" s="80">
        <v>0</v>
      </c>
      <c r="D39" s="21">
        <v>29744</v>
      </c>
      <c r="E39" s="21">
        <v>0</v>
      </c>
      <c r="F39" s="21">
        <v>0</v>
      </c>
      <c r="G39" s="21">
        <v>0</v>
      </c>
      <c r="H39" s="21">
        <v>0</v>
      </c>
      <c r="I39" s="21">
        <v>0</v>
      </c>
      <c r="J39" s="21">
        <v>0</v>
      </c>
      <c r="K39" s="22">
        <v>0</v>
      </c>
      <c r="L39" s="22">
        <f t="shared" si="2"/>
        <v>29744</v>
      </c>
      <c r="M39" s="68">
        <v>0</v>
      </c>
      <c r="N39" s="91">
        <f t="shared" si="3"/>
        <v>0</v>
      </c>
      <c r="O39" s="9">
        <v>626519</v>
      </c>
      <c r="Q39"/>
    </row>
    <row r="40" spans="1:17">
      <c r="A40" s="1" t="s">
        <v>2</v>
      </c>
      <c r="B40" s="102" t="s">
        <v>92</v>
      </c>
      <c r="C40" s="80">
        <v>0</v>
      </c>
      <c r="D40" s="21">
        <v>2288</v>
      </c>
      <c r="E40" s="21">
        <v>0</v>
      </c>
      <c r="F40" s="21">
        <v>0</v>
      </c>
      <c r="G40" s="21">
        <v>0</v>
      </c>
      <c r="H40" s="21">
        <v>0</v>
      </c>
      <c r="I40" s="21">
        <v>0</v>
      </c>
      <c r="J40" s="21">
        <v>0</v>
      </c>
      <c r="K40" s="22">
        <v>0</v>
      </c>
      <c r="L40" s="22">
        <f t="shared" si="2"/>
        <v>2288</v>
      </c>
      <c r="M40" s="68">
        <v>0</v>
      </c>
      <c r="N40" s="91">
        <f t="shared" si="3"/>
        <v>0</v>
      </c>
      <c r="O40" s="9">
        <v>667032</v>
      </c>
      <c r="Q40"/>
    </row>
    <row r="41" spans="1:17">
      <c r="A41" s="1" t="s">
        <v>2</v>
      </c>
      <c r="B41" s="102" t="s">
        <v>93</v>
      </c>
      <c r="C41" s="80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2">
        <v>0</v>
      </c>
      <c r="L41" s="22">
        <f t="shared" si="2"/>
        <v>0</v>
      </c>
      <c r="M41" s="68">
        <v>0</v>
      </c>
      <c r="N41" s="91">
        <f t="shared" si="3"/>
        <v>0</v>
      </c>
      <c r="O41" s="9">
        <v>3690</v>
      </c>
      <c r="Q41"/>
    </row>
    <row r="42" spans="1:17">
      <c r="A42" s="1" t="s">
        <v>2</v>
      </c>
      <c r="B42" s="102" t="s">
        <v>94</v>
      </c>
      <c r="C42" s="80">
        <v>0</v>
      </c>
      <c r="D42" s="21">
        <v>0</v>
      </c>
      <c r="E42" s="21">
        <v>0</v>
      </c>
      <c r="F42" s="21">
        <v>0</v>
      </c>
      <c r="G42" s="21">
        <v>0</v>
      </c>
      <c r="H42" s="21">
        <v>0</v>
      </c>
      <c r="I42" s="21">
        <v>0</v>
      </c>
      <c r="J42" s="21">
        <v>0</v>
      </c>
      <c r="K42" s="22">
        <v>0</v>
      </c>
      <c r="L42" s="22">
        <f t="shared" si="2"/>
        <v>0</v>
      </c>
      <c r="M42" s="68">
        <v>0</v>
      </c>
      <c r="N42" s="91">
        <f t="shared" si="3"/>
        <v>0</v>
      </c>
      <c r="O42" s="9">
        <v>8443</v>
      </c>
      <c r="Q42"/>
    </row>
    <row r="43" spans="1:17">
      <c r="A43" s="1" t="s">
        <v>2</v>
      </c>
      <c r="B43" s="102" t="s">
        <v>95</v>
      </c>
      <c r="C43" s="80">
        <v>0</v>
      </c>
      <c r="D43" s="21">
        <v>0</v>
      </c>
      <c r="E43" s="21">
        <v>0</v>
      </c>
      <c r="F43" s="21">
        <v>0</v>
      </c>
      <c r="G43" s="21">
        <v>0</v>
      </c>
      <c r="H43" s="21">
        <v>0</v>
      </c>
      <c r="I43" s="21">
        <v>0</v>
      </c>
      <c r="J43" s="21">
        <v>0</v>
      </c>
      <c r="K43" s="22">
        <v>0</v>
      </c>
      <c r="L43" s="22">
        <f t="shared" si="2"/>
        <v>0</v>
      </c>
      <c r="M43" s="68">
        <v>0</v>
      </c>
      <c r="N43" s="91">
        <f t="shared" si="3"/>
        <v>0</v>
      </c>
      <c r="O43" s="9">
        <v>59612</v>
      </c>
      <c r="Q43"/>
    </row>
    <row r="44" spans="1:17">
      <c r="A44" s="1" t="s">
        <v>2</v>
      </c>
      <c r="B44" s="102" t="s">
        <v>73</v>
      </c>
      <c r="C44" s="80">
        <v>0</v>
      </c>
      <c r="D44" s="21">
        <v>0</v>
      </c>
      <c r="E44" s="21">
        <v>0</v>
      </c>
      <c r="F44" s="21">
        <v>0</v>
      </c>
      <c r="G44" s="21">
        <v>0</v>
      </c>
      <c r="H44" s="21">
        <v>0</v>
      </c>
      <c r="I44" s="21">
        <v>0</v>
      </c>
      <c r="J44" s="21">
        <v>0</v>
      </c>
      <c r="K44" s="22">
        <v>0</v>
      </c>
      <c r="L44" s="22">
        <f t="shared" si="2"/>
        <v>0</v>
      </c>
      <c r="M44" s="68">
        <v>0</v>
      </c>
      <c r="N44" s="91">
        <f t="shared" si="3"/>
        <v>0</v>
      </c>
      <c r="O44" s="9">
        <v>0</v>
      </c>
      <c r="Q44"/>
    </row>
    <row r="45" spans="1:17" ht="19.5" thickBot="1">
      <c r="A45" s="1" t="s">
        <v>2</v>
      </c>
      <c r="B45" s="104" t="s">
        <v>76</v>
      </c>
      <c r="C45" s="81">
        <v>0</v>
      </c>
      <c r="D45" s="45">
        <v>0</v>
      </c>
      <c r="E45" s="45">
        <v>0</v>
      </c>
      <c r="F45" s="45">
        <v>0</v>
      </c>
      <c r="G45" s="45">
        <v>9450</v>
      </c>
      <c r="H45" s="45">
        <v>5250</v>
      </c>
      <c r="I45" s="45">
        <v>10500</v>
      </c>
      <c r="J45" s="45">
        <v>4160</v>
      </c>
      <c r="K45" s="46">
        <v>0</v>
      </c>
      <c r="L45" s="46">
        <f t="shared" si="2"/>
        <v>29360</v>
      </c>
      <c r="M45" s="69">
        <v>0</v>
      </c>
      <c r="N45" s="93">
        <f t="shared" si="3"/>
        <v>0</v>
      </c>
      <c r="O45" s="47">
        <v>96233</v>
      </c>
      <c r="Q45"/>
    </row>
    <row r="46" spans="1:17" ht="19.5" thickBot="1">
      <c r="A46" s="1" t="s">
        <v>2</v>
      </c>
      <c r="B46" s="105" t="s">
        <v>96</v>
      </c>
      <c r="C46" s="82">
        <v>485000</v>
      </c>
      <c r="D46" s="50">
        <v>368007</v>
      </c>
      <c r="E46" s="50">
        <v>82800</v>
      </c>
      <c r="F46" s="50">
        <v>85560</v>
      </c>
      <c r="G46" s="50">
        <v>74130</v>
      </c>
      <c r="H46" s="50">
        <v>40530</v>
      </c>
      <c r="I46" s="50">
        <v>87780</v>
      </c>
      <c r="J46" s="50">
        <v>60808</v>
      </c>
      <c r="K46" s="51">
        <v>58800</v>
      </c>
      <c r="L46" s="51">
        <f t="shared" si="2"/>
        <v>1343415</v>
      </c>
      <c r="M46" s="70">
        <v>375000</v>
      </c>
      <c r="N46" s="94">
        <f t="shared" si="3"/>
        <v>375000</v>
      </c>
      <c r="O46" s="52">
        <v>7023479</v>
      </c>
      <c r="Q46"/>
    </row>
    <row r="47" spans="1:17" ht="19.5" thickBot="1">
      <c r="A47" s="1" t="s">
        <v>2</v>
      </c>
      <c r="B47" s="101" t="s">
        <v>97</v>
      </c>
      <c r="C47" s="79">
        <v>8696</v>
      </c>
      <c r="D47" s="36">
        <v>4348</v>
      </c>
      <c r="E47" s="36">
        <v>2319</v>
      </c>
      <c r="F47" s="36">
        <v>1691</v>
      </c>
      <c r="G47" s="36">
        <v>2609</v>
      </c>
      <c r="H47" s="36">
        <v>1812</v>
      </c>
      <c r="I47" s="36">
        <v>3865</v>
      </c>
      <c r="J47" s="36">
        <v>2512</v>
      </c>
      <c r="K47" s="37">
        <v>5749</v>
      </c>
      <c r="L47" s="37">
        <f t="shared" si="2"/>
        <v>33601</v>
      </c>
      <c r="M47" s="67">
        <v>6280</v>
      </c>
      <c r="N47" s="90">
        <f t="shared" si="3"/>
        <v>6280</v>
      </c>
      <c r="O47" s="38">
        <v>119670</v>
      </c>
      <c r="Q47"/>
    </row>
    <row r="48" spans="1:17" ht="19.5" thickBot="1">
      <c r="A48" s="1" t="s">
        <v>2</v>
      </c>
      <c r="B48" s="105" t="s">
        <v>98</v>
      </c>
      <c r="C48" s="82">
        <v>8696</v>
      </c>
      <c r="D48" s="50">
        <v>4348</v>
      </c>
      <c r="E48" s="50">
        <v>2319</v>
      </c>
      <c r="F48" s="50">
        <v>1691</v>
      </c>
      <c r="G48" s="50">
        <v>2609</v>
      </c>
      <c r="H48" s="50">
        <v>1812</v>
      </c>
      <c r="I48" s="50">
        <v>3865</v>
      </c>
      <c r="J48" s="50">
        <v>2512</v>
      </c>
      <c r="K48" s="51">
        <v>5749</v>
      </c>
      <c r="L48" s="51">
        <f t="shared" si="2"/>
        <v>33601</v>
      </c>
      <c r="M48" s="70">
        <v>6280</v>
      </c>
      <c r="N48" s="94">
        <f t="shared" si="3"/>
        <v>6280</v>
      </c>
      <c r="O48" s="52">
        <v>119670</v>
      </c>
      <c r="Q48"/>
    </row>
    <row r="49" spans="1:17" ht="19.5" thickBot="1">
      <c r="A49" s="1" t="s">
        <v>2</v>
      </c>
      <c r="B49" s="105" t="s">
        <v>99</v>
      </c>
      <c r="C49" s="82">
        <v>493696</v>
      </c>
      <c r="D49" s="50">
        <v>372355</v>
      </c>
      <c r="E49" s="50">
        <v>85119</v>
      </c>
      <c r="F49" s="50">
        <v>87251</v>
      </c>
      <c r="G49" s="50">
        <v>76739</v>
      </c>
      <c r="H49" s="50">
        <v>42342</v>
      </c>
      <c r="I49" s="50">
        <v>91645</v>
      </c>
      <c r="J49" s="50">
        <v>63320</v>
      </c>
      <c r="K49" s="51">
        <v>64549</v>
      </c>
      <c r="L49" s="51">
        <f t="shared" si="2"/>
        <v>1377016</v>
      </c>
      <c r="M49" s="70">
        <v>381280</v>
      </c>
      <c r="N49" s="94">
        <f t="shared" si="3"/>
        <v>381280</v>
      </c>
      <c r="O49" s="52">
        <v>7143149</v>
      </c>
      <c r="Q49"/>
    </row>
    <row r="50" spans="1:17">
      <c r="A50" s="1" t="s">
        <v>2</v>
      </c>
      <c r="B50" s="101" t="s">
        <v>100</v>
      </c>
      <c r="C50" s="79">
        <v>23970</v>
      </c>
      <c r="D50" s="36">
        <v>19380</v>
      </c>
      <c r="E50" s="36">
        <v>0</v>
      </c>
      <c r="F50" s="36">
        <v>0</v>
      </c>
      <c r="G50" s="36">
        <v>0</v>
      </c>
      <c r="H50" s="36">
        <v>0</v>
      </c>
      <c r="I50" s="36">
        <v>0</v>
      </c>
      <c r="J50" s="36">
        <v>0</v>
      </c>
      <c r="K50" s="37">
        <v>0</v>
      </c>
      <c r="L50" s="37">
        <f t="shared" si="2"/>
        <v>43350</v>
      </c>
      <c r="M50" s="67">
        <v>19380</v>
      </c>
      <c r="N50" s="90">
        <f t="shared" si="3"/>
        <v>19380</v>
      </c>
      <c r="O50" s="38">
        <v>358530</v>
      </c>
      <c r="Q50"/>
    </row>
    <row r="51" spans="1:17">
      <c r="A51" s="1" t="s">
        <v>2</v>
      </c>
      <c r="B51" s="102" t="s">
        <v>101</v>
      </c>
      <c r="C51" s="80">
        <v>0</v>
      </c>
      <c r="D51" s="21">
        <v>3420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2">
        <v>0</v>
      </c>
      <c r="L51" s="22">
        <f t="shared" si="2"/>
        <v>3420</v>
      </c>
      <c r="M51" s="68">
        <v>3420</v>
      </c>
      <c r="N51" s="91">
        <f t="shared" si="3"/>
        <v>3420</v>
      </c>
      <c r="O51" s="9">
        <v>53640</v>
      </c>
      <c r="Q51"/>
    </row>
    <row r="52" spans="1:17">
      <c r="A52" s="1" t="s">
        <v>2</v>
      </c>
      <c r="B52" s="102" t="s">
        <v>102</v>
      </c>
      <c r="C52" s="80">
        <v>43005</v>
      </c>
      <c r="D52" s="21">
        <v>34770</v>
      </c>
      <c r="E52" s="21">
        <v>0</v>
      </c>
      <c r="F52" s="21">
        <v>0</v>
      </c>
      <c r="G52" s="21">
        <v>0</v>
      </c>
      <c r="H52" s="21">
        <v>0</v>
      </c>
      <c r="I52" s="21">
        <v>0</v>
      </c>
      <c r="J52" s="21">
        <v>0</v>
      </c>
      <c r="K52" s="22">
        <v>0</v>
      </c>
      <c r="L52" s="22">
        <f t="shared" si="2"/>
        <v>77775</v>
      </c>
      <c r="M52" s="68">
        <v>34770</v>
      </c>
      <c r="N52" s="91">
        <f t="shared" si="3"/>
        <v>34770</v>
      </c>
      <c r="O52" s="9">
        <v>643245</v>
      </c>
      <c r="Q52"/>
    </row>
    <row r="53" spans="1:17" ht="19.5" thickBot="1">
      <c r="A53" s="1" t="s">
        <v>2</v>
      </c>
      <c r="B53" s="102" t="s">
        <v>103</v>
      </c>
      <c r="C53" s="80">
        <v>1481</v>
      </c>
      <c r="D53" s="21">
        <v>1117</v>
      </c>
      <c r="E53" s="21">
        <v>255</v>
      </c>
      <c r="F53" s="21">
        <v>262</v>
      </c>
      <c r="G53" s="21">
        <v>0</v>
      </c>
      <c r="H53" s="21">
        <v>0</v>
      </c>
      <c r="I53" s="21">
        <v>0</v>
      </c>
      <c r="J53" s="21">
        <v>0</v>
      </c>
      <c r="K53" s="22">
        <v>194</v>
      </c>
      <c r="L53" s="22">
        <f t="shared" si="2"/>
        <v>3309</v>
      </c>
      <c r="M53" s="68">
        <v>1144</v>
      </c>
      <c r="N53" s="91">
        <f t="shared" si="3"/>
        <v>1144</v>
      </c>
      <c r="O53" s="9">
        <v>20607</v>
      </c>
      <c r="Q53"/>
    </row>
    <row r="54" spans="1:17" ht="19.5" thickBot="1">
      <c r="A54" s="1" t="s">
        <v>2</v>
      </c>
      <c r="B54" s="105" t="s">
        <v>104</v>
      </c>
      <c r="C54" s="82">
        <v>68456</v>
      </c>
      <c r="D54" s="50">
        <v>58687</v>
      </c>
      <c r="E54" s="50">
        <v>255</v>
      </c>
      <c r="F54" s="50">
        <v>262</v>
      </c>
      <c r="G54" s="50">
        <v>0</v>
      </c>
      <c r="H54" s="50">
        <v>0</v>
      </c>
      <c r="I54" s="50">
        <v>0</v>
      </c>
      <c r="J54" s="50">
        <v>0</v>
      </c>
      <c r="K54" s="51">
        <v>194</v>
      </c>
      <c r="L54" s="51">
        <f t="shared" si="2"/>
        <v>127854</v>
      </c>
      <c r="M54" s="70">
        <v>58714</v>
      </c>
      <c r="N54" s="94">
        <f t="shared" si="3"/>
        <v>58714</v>
      </c>
      <c r="O54" s="52">
        <v>1076022</v>
      </c>
      <c r="Q54"/>
    </row>
    <row r="55" spans="1:17">
      <c r="A55" s="1" t="s">
        <v>2</v>
      </c>
      <c r="B55" s="101" t="s">
        <v>105</v>
      </c>
      <c r="C55" s="79">
        <v>17900</v>
      </c>
      <c r="D55" s="36">
        <v>7100</v>
      </c>
      <c r="E55" s="36">
        <v>0</v>
      </c>
      <c r="F55" s="36">
        <v>0</v>
      </c>
      <c r="G55" s="36">
        <v>0</v>
      </c>
      <c r="H55" s="36">
        <v>0</v>
      </c>
      <c r="I55" s="36">
        <v>0</v>
      </c>
      <c r="J55" s="36">
        <v>0</v>
      </c>
      <c r="K55" s="37">
        <v>0</v>
      </c>
      <c r="L55" s="37">
        <f t="shared" si="2"/>
        <v>25000</v>
      </c>
      <c r="M55" s="67">
        <v>9710</v>
      </c>
      <c r="N55" s="90">
        <f t="shared" si="3"/>
        <v>9710</v>
      </c>
      <c r="O55" s="38">
        <v>145920</v>
      </c>
      <c r="Q55"/>
    </row>
    <row r="56" spans="1:17">
      <c r="A56" s="1" t="s">
        <v>2</v>
      </c>
      <c r="B56" s="102" t="s">
        <v>106</v>
      </c>
      <c r="C56" s="80">
        <v>0</v>
      </c>
      <c r="D56" s="21">
        <v>0</v>
      </c>
      <c r="E56" s="21">
        <v>0</v>
      </c>
      <c r="F56" s="21">
        <v>0</v>
      </c>
      <c r="G56" s="21">
        <v>0</v>
      </c>
      <c r="H56" s="21">
        <v>0</v>
      </c>
      <c r="I56" s="21">
        <v>0</v>
      </c>
      <c r="J56" s="21">
        <v>0</v>
      </c>
      <c r="K56" s="22">
        <v>0</v>
      </c>
      <c r="L56" s="22">
        <f t="shared" si="2"/>
        <v>0</v>
      </c>
      <c r="M56" s="68">
        <v>0</v>
      </c>
      <c r="N56" s="91">
        <f t="shared" si="3"/>
        <v>0</v>
      </c>
      <c r="O56" s="9">
        <v>15600</v>
      </c>
      <c r="Q56"/>
    </row>
    <row r="57" spans="1:17">
      <c r="A57" s="1" t="s">
        <v>2</v>
      </c>
      <c r="B57" s="102" t="s">
        <v>107</v>
      </c>
      <c r="C57" s="80">
        <v>35200</v>
      </c>
      <c r="D57" s="21">
        <v>14500</v>
      </c>
      <c r="E57" s="21">
        <v>600</v>
      </c>
      <c r="F57" s="21">
        <v>500</v>
      </c>
      <c r="G57" s="21">
        <v>0</v>
      </c>
      <c r="H57" s="21">
        <v>4100</v>
      </c>
      <c r="I57" s="21">
        <v>0</v>
      </c>
      <c r="J57" s="21">
        <v>0</v>
      </c>
      <c r="K57" s="22">
        <v>0</v>
      </c>
      <c r="L57" s="22">
        <f t="shared" si="2"/>
        <v>54900</v>
      </c>
      <c r="M57" s="68">
        <v>16100</v>
      </c>
      <c r="N57" s="91">
        <f t="shared" si="3"/>
        <v>16100</v>
      </c>
      <c r="O57" s="9">
        <v>263000</v>
      </c>
      <c r="Q57"/>
    </row>
    <row r="58" spans="1:17">
      <c r="A58" s="1" t="s">
        <v>2</v>
      </c>
      <c r="B58" s="102" t="s">
        <v>108</v>
      </c>
      <c r="C58" s="80">
        <v>0</v>
      </c>
      <c r="D58" s="21">
        <v>0</v>
      </c>
      <c r="E58" s="21">
        <v>0</v>
      </c>
      <c r="F58" s="21">
        <v>0</v>
      </c>
      <c r="G58" s="21">
        <v>0</v>
      </c>
      <c r="H58" s="21">
        <v>0</v>
      </c>
      <c r="I58" s="21">
        <v>0</v>
      </c>
      <c r="J58" s="21">
        <v>0</v>
      </c>
      <c r="K58" s="22">
        <v>0</v>
      </c>
      <c r="L58" s="22">
        <f t="shared" si="2"/>
        <v>0</v>
      </c>
      <c r="M58" s="68">
        <v>0</v>
      </c>
      <c r="N58" s="91">
        <f t="shared" si="3"/>
        <v>0</v>
      </c>
      <c r="O58" s="60">
        <v>-63683</v>
      </c>
      <c r="Q58"/>
    </row>
    <row r="59" spans="1:17" ht="19.5" thickBot="1">
      <c r="A59" s="1" t="s">
        <v>2</v>
      </c>
      <c r="B59" s="102" t="s">
        <v>109</v>
      </c>
      <c r="C59" s="80">
        <v>0</v>
      </c>
      <c r="D59" s="21">
        <v>0</v>
      </c>
      <c r="E59" s="21">
        <v>0</v>
      </c>
      <c r="F59" s="21">
        <v>0</v>
      </c>
      <c r="G59" s="21">
        <v>0</v>
      </c>
      <c r="H59" s="21">
        <v>0</v>
      </c>
      <c r="I59" s="21">
        <v>0</v>
      </c>
      <c r="J59" s="21">
        <v>0</v>
      </c>
      <c r="K59" s="22">
        <v>0</v>
      </c>
      <c r="L59" s="22">
        <f t="shared" si="2"/>
        <v>0</v>
      </c>
      <c r="M59" s="68">
        <v>0</v>
      </c>
      <c r="N59" s="91">
        <f t="shared" si="3"/>
        <v>0</v>
      </c>
      <c r="O59" s="9">
        <v>0</v>
      </c>
      <c r="Q59"/>
    </row>
    <row r="60" spans="1:17" ht="19.5" thickBot="1">
      <c r="A60" s="1" t="s">
        <v>2</v>
      </c>
      <c r="B60" s="105" t="s">
        <v>110</v>
      </c>
      <c r="C60" s="82">
        <v>121556</v>
      </c>
      <c r="D60" s="50">
        <v>80287</v>
      </c>
      <c r="E60" s="50">
        <v>855</v>
      </c>
      <c r="F60" s="50">
        <v>762</v>
      </c>
      <c r="G60" s="50">
        <v>0</v>
      </c>
      <c r="H60" s="50">
        <v>4100</v>
      </c>
      <c r="I60" s="50">
        <v>0</v>
      </c>
      <c r="J60" s="50">
        <v>0</v>
      </c>
      <c r="K60" s="51">
        <v>194</v>
      </c>
      <c r="L60" s="51">
        <f t="shared" si="2"/>
        <v>207754</v>
      </c>
      <c r="M60" s="70">
        <v>84524</v>
      </c>
      <c r="N60" s="94">
        <f t="shared" si="3"/>
        <v>84524</v>
      </c>
      <c r="O60" s="52">
        <v>1436859</v>
      </c>
      <c r="Q60"/>
    </row>
    <row r="61" spans="1:17" ht="19.5" thickBot="1">
      <c r="A61" s="1" t="s">
        <v>2</v>
      </c>
      <c r="B61" s="105" t="s">
        <v>111</v>
      </c>
      <c r="C61" s="82">
        <v>416544</v>
      </c>
      <c r="D61" s="50">
        <v>309320</v>
      </c>
      <c r="E61" s="50">
        <v>82545</v>
      </c>
      <c r="F61" s="50">
        <v>85298</v>
      </c>
      <c r="G61" s="50">
        <v>74130</v>
      </c>
      <c r="H61" s="50">
        <v>40530</v>
      </c>
      <c r="I61" s="50">
        <v>87780</v>
      </c>
      <c r="J61" s="50">
        <v>60808</v>
      </c>
      <c r="K61" s="51">
        <v>58606</v>
      </c>
      <c r="L61" s="51">
        <f t="shared" si="2"/>
        <v>1215561</v>
      </c>
      <c r="M61" s="70">
        <v>316286</v>
      </c>
      <c r="N61" s="94">
        <f t="shared" si="3"/>
        <v>316286</v>
      </c>
      <c r="O61" s="52">
        <v>5947457</v>
      </c>
      <c r="Q61"/>
    </row>
    <row r="62" spans="1:17" ht="19.5" thickBot="1">
      <c r="A62" s="1" t="s">
        <v>2</v>
      </c>
      <c r="B62" s="105" t="s">
        <v>112</v>
      </c>
      <c r="C62" s="82">
        <v>372140</v>
      </c>
      <c r="D62" s="50">
        <v>292068</v>
      </c>
      <c r="E62" s="50">
        <v>84264</v>
      </c>
      <c r="F62" s="50">
        <v>86489</v>
      </c>
      <c r="G62" s="50">
        <v>76739</v>
      </c>
      <c r="H62" s="50">
        <v>38242</v>
      </c>
      <c r="I62" s="50">
        <v>91645</v>
      </c>
      <c r="J62" s="50">
        <v>63320</v>
      </c>
      <c r="K62" s="51">
        <v>64355</v>
      </c>
      <c r="L62" s="51">
        <f t="shared" si="2"/>
        <v>1169262</v>
      </c>
      <c r="M62" s="70">
        <v>296756</v>
      </c>
      <c r="N62" s="94">
        <f t="shared" si="3"/>
        <v>296756</v>
      </c>
      <c r="O62" s="52">
        <v>5706290</v>
      </c>
      <c r="Q62"/>
    </row>
    <row r="63" spans="1:17">
      <c r="A63" s="1" t="s">
        <v>2</v>
      </c>
      <c r="B63" s="85" t="s">
        <v>113</v>
      </c>
      <c r="C63" s="83">
        <v>0</v>
      </c>
      <c r="D63" s="55">
        <v>0</v>
      </c>
      <c r="E63" s="55">
        <v>0</v>
      </c>
      <c r="F63" s="55">
        <v>0</v>
      </c>
      <c r="G63" s="55">
        <v>0</v>
      </c>
      <c r="H63" s="55">
        <v>0</v>
      </c>
      <c r="I63" s="55">
        <v>0</v>
      </c>
      <c r="J63" s="55">
        <v>0</v>
      </c>
      <c r="K63" s="56">
        <v>0</v>
      </c>
      <c r="L63" s="56">
        <f t="shared" si="2"/>
        <v>0</v>
      </c>
      <c r="M63" s="71">
        <v>0</v>
      </c>
      <c r="N63" s="95">
        <f t="shared" si="3"/>
        <v>0</v>
      </c>
      <c r="O63" s="57">
        <v>0</v>
      </c>
      <c r="Q63"/>
    </row>
    <row r="64" spans="1:17">
      <c r="A64" s="1" t="s">
        <v>2</v>
      </c>
      <c r="B64" s="102" t="s">
        <v>114</v>
      </c>
      <c r="C64" s="80">
        <v>372140</v>
      </c>
      <c r="D64" s="21">
        <v>292068</v>
      </c>
      <c r="E64" s="21">
        <v>84264</v>
      </c>
      <c r="F64" s="21">
        <v>86489</v>
      </c>
      <c r="G64" s="21">
        <v>76739</v>
      </c>
      <c r="H64" s="21">
        <v>38242</v>
      </c>
      <c r="I64" s="21">
        <v>91645</v>
      </c>
      <c r="J64" s="21">
        <v>63320</v>
      </c>
      <c r="K64" s="22">
        <v>64355</v>
      </c>
      <c r="L64" s="22">
        <f t="shared" si="2"/>
        <v>1169262</v>
      </c>
      <c r="M64" s="68">
        <v>296756</v>
      </c>
      <c r="N64" s="91">
        <f t="shared" si="3"/>
        <v>296756</v>
      </c>
      <c r="O64" s="9">
        <v>5706290</v>
      </c>
      <c r="Q64"/>
    </row>
    <row r="65" spans="1:17">
      <c r="A65" s="1" t="s">
        <v>2</v>
      </c>
      <c r="B65" s="101" t="s">
        <v>115</v>
      </c>
      <c r="C65" s="79">
        <v>0</v>
      </c>
      <c r="D65" s="36">
        <v>1</v>
      </c>
      <c r="E65" s="36">
        <v>0</v>
      </c>
      <c r="F65" s="36">
        <v>0</v>
      </c>
      <c r="G65" s="36">
        <v>1</v>
      </c>
      <c r="H65" s="36">
        <v>1</v>
      </c>
      <c r="I65" s="36">
        <v>1</v>
      </c>
      <c r="J65" s="36">
        <v>1</v>
      </c>
      <c r="K65" s="37">
        <v>1</v>
      </c>
      <c r="L65" s="38"/>
      <c r="M65" s="67">
        <v>0</v>
      </c>
      <c r="N65" s="90"/>
      <c r="O65" s="38"/>
      <c r="Q65"/>
    </row>
    <row r="66" spans="1:17" ht="19.5" thickBot="1">
      <c r="A66" s="1" t="s">
        <v>2</v>
      </c>
      <c r="B66" s="103" t="s">
        <v>116</v>
      </c>
      <c r="C66" s="84" t="s">
        <v>117</v>
      </c>
      <c r="D66" s="24" t="s">
        <v>117</v>
      </c>
      <c r="E66" s="24" t="s">
        <v>117</v>
      </c>
      <c r="F66" s="24" t="s">
        <v>117</v>
      </c>
      <c r="G66" s="24" t="s">
        <v>117</v>
      </c>
      <c r="H66" s="24" t="s">
        <v>117</v>
      </c>
      <c r="I66" s="24" t="s">
        <v>117</v>
      </c>
      <c r="J66" s="24" t="s">
        <v>117</v>
      </c>
      <c r="K66" s="25" t="s">
        <v>117</v>
      </c>
      <c r="L66" s="10"/>
      <c r="M66" s="72" t="s">
        <v>117</v>
      </c>
      <c r="N66" s="96"/>
      <c r="O66" s="10"/>
      <c r="Q66"/>
    </row>
  </sheetData>
  <phoneticPr fontId="3"/>
  <pageMargins left="0.11811023622047245" right="0.11811023622047245" top="0.15748031496062992" bottom="0.15748031496062992" header="0.11811023622047245" footer="0.19685039370078741"/>
  <pageSetup paperSize="9" scale="4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E7C51-D5BC-4C82-95D8-A4D9345986A0}">
  <sheetPr>
    <pageSetUpPr fitToPage="1"/>
  </sheetPr>
  <dimension ref="A1:V66"/>
  <sheetViews>
    <sheetView showZeros="0" workbookViewId="0">
      <selection activeCell="B4" sqref="B4"/>
    </sheetView>
  </sheetViews>
  <sheetFormatPr defaultRowHeight="18.75"/>
  <cols>
    <col min="1" max="1" width="2.375" style="2" customWidth="1"/>
    <col min="2" max="2" width="13.25" style="2" bestFit="1" customWidth="1"/>
    <col min="3" max="20" width="11" style="2" customWidth="1"/>
    <col min="21" max="246" width="9" style="2"/>
    <col min="247" max="247" width="2.375" style="2" customWidth="1"/>
    <col min="248" max="248" width="13.25" style="2" bestFit="1" customWidth="1"/>
    <col min="249" max="251" width="11.125" style="2" bestFit="1" customWidth="1"/>
    <col min="252" max="252" width="13.25" style="2" bestFit="1" customWidth="1"/>
    <col min="253" max="253" width="11.125" style="2" bestFit="1" customWidth="1"/>
    <col min="254" max="254" width="9" style="2"/>
    <col min="255" max="255" width="11.125" style="2" bestFit="1" customWidth="1"/>
    <col min="256" max="256" width="9" style="2"/>
    <col min="257" max="267" width="11.125" style="2" bestFit="1" customWidth="1"/>
    <col min="268" max="268" width="9" style="2"/>
    <col min="269" max="275" width="11.125" style="2" bestFit="1" customWidth="1"/>
    <col min="276" max="276" width="9.625" style="2" bestFit="1" customWidth="1"/>
    <col min="277" max="502" width="9" style="2"/>
    <col min="503" max="503" width="2.375" style="2" customWidth="1"/>
    <col min="504" max="504" width="13.25" style="2" bestFit="1" customWidth="1"/>
    <col min="505" max="507" width="11.125" style="2" bestFit="1" customWidth="1"/>
    <col min="508" max="508" width="13.25" style="2" bestFit="1" customWidth="1"/>
    <col min="509" max="509" width="11.125" style="2" bestFit="1" customWidth="1"/>
    <col min="510" max="510" width="9" style="2"/>
    <col min="511" max="511" width="11.125" style="2" bestFit="1" customWidth="1"/>
    <col min="512" max="512" width="9" style="2"/>
    <col min="513" max="523" width="11.125" style="2" bestFit="1" customWidth="1"/>
    <col min="524" max="524" width="9" style="2"/>
    <col min="525" max="531" width="11.125" style="2" bestFit="1" customWidth="1"/>
    <col min="532" max="532" width="9.625" style="2" bestFit="1" customWidth="1"/>
    <col min="533" max="758" width="9" style="2"/>
    <col min="759" max="759" width="2.375" style="2" customWidth="1"/>
    <col min="760" max="760" width="13.25" style="2" bestFit="1" customWidth="1"/>
    <col min="761" max="763" width="11.125" style="2" bestFit="1" customWidth="1"/>
    <col min="764" max="764" width="13.25" style="2" bestFit="1" customWidth="1"/>
    <col min="765" max="765" width="11.125" style="2" bestFit="1" customWidth="1"/>
    <col min="766" max="766" width="9" style="2"/>
    <col min="767" max="767" width="11.125" style="2" bestFit="1" customWidth="1"/>
    <col min="768" max="768" width="9" style="2"/>
    <col min="769" max="779" width="11.125" style="2" bestFit="1" customWidth="1"/>
    <col min="780" max="780" width="9" style="2"/>
    <col min="781" max="787" width="11.125" style="2" bestFit="1" customWidth="1"/>
    <col min="788" max="788" width="9.625" style="2" bestFit="1" customWidth="1"/>
    <col min="789" max="1014" width="9" style="2"/>
    <col min="1015" max="1015" width="2.375" style="2" customWidth="1"/>
    <col min="1016" max="1016" width="13.25" style="2" bestFit="1" customWidth="1"/>
    <col min="1017" max="1019" width="11.125" style="2" bestFit="1" customWidth="1"/>
    <col min="1020" max="1020" width="13.25" style="2" bestFit="1" customWidth="1"/>
    <col min="1021" max="1021" width="11.125" style="2" bestFit="1" customWidth="1"/>
    <col min="1022" max="1022" width="9" style="2"/>
    <col min="1023" max="1023" width="11.125" style="2" bestFit="1" customWidth="1"/>
    <col min="1024" max="1024" width="9" style="2"/>
    <col min="1025" max="1035" width="11.125" style="2" bestFit="1" customWidth="1"/>
    <col min="1036" max="1036" width="9" style="2"/>
    <col min="1037" max="1043" width="11.125" style="2" bestFit="1" customWidth="1"/>
    <col min="1044" max="1044" width="9.625" style="2" bestFit="1" customWidth="1"/>
    <col min="1045" max="1270" width="9" style="2"/>
    <col min="1271" max="1271" width="2.375" style="2" customWidth="1"/>
    <col min="1272" max="1272" width="13.25" style="2" bestFit="1" customWidth="1"/>
    <col min="1273" max="1275" width="11.125" style="2" bestFit="1" customWidth="1"/>
    <col min="1276" max="1276" width="13.25" style="2" bestFit="1" customWidth="1"/>
    <col min="1277" max="1277" width="11.125" style="2" bestFit="1" customWidth="1"/>
    <col min="1278" max="1278" width="9" style="2"/>
    <col min="1279" max="1279" width="11.125" style="2" bestFit="1" customWidth="1"/>
    <col min="1280" max="1280" width="9" style="2"/>
    <col min="1281" max="1291" width="11.125" style="2" bestFit="1" customWidth="1"/>
    <col min="1292" max="1292" width="9" style="2"/>
    <col min="1293" max="1299" width="11.125" style="2" bestFit="1" customWidth="1"/>
    <col min="1300" max="1300" width="9.625" style="2" bestFit="1" customWidth="1"/>
    <col min="1301" max="1526" width="9" style="2"/>
    <col min="1527" max="1527" width="2.375" style="2" customWidth="1"/>
    <col min="1528" max="1528" width="13.25" style="2" bestFit="1" customWidth="1"/>
    <col min="1529" max="1531" width="11.125" style="2" bestFit="1" customWidth="1"/>
    <col min="1532" max="1532" width="13.25" style="2" bestFit="1" customWidth="1"/>
    <col min="1533" max="1533" width="11.125" style="2" bestFit="1" customWidth="1"/>
    <col min="1534" max="1534" width="9" style="2"/>
    <col min="1535" max="1535" width="11.125" style="2" bestFit="1" customWidth="1"/>
    <col min="1536" max="1536" width="9" style="2"/>
    <col min="1537" max="1547" width="11.125" style="2" bestFit="1" customWidth="1"/>
    <col min="1548" max="1548" width="9" style="2"/>
    <col min="1549" max="1555" width="11.125" style="2" bestFit="1" customWidth="1"/>
    <col min="1556" max="1556" width="9.625" style="2" bestFit="1" customWidth="1"/>
    <col min="1557" max="1782" width="9" style="2"/>
    <col min="1783" max="1783" width="2.375" style="2" customWidth="1"/>
    <col min="1784" max="1784" width="13.25" style="2" bestFit="1" customWidth="1"/>
    <col min="1785" max="1787" width="11.125" style="2" bestFit="1" customWidth="1"/>
    <col min="1788" max="1788" width="13.25" style="2" bestFit="1" customWidth="1"/>
    <col min="1789" max="1789" width="11.125" style="2" bestFit="1" customWidth="1"/>
    <col min="1790" max="1790" width="9" style="2"/>
    <col min="1791" max="1791" width="11.125" style="2" bestFit="1" customWidth="1"/>
    <col min="1792" max="1792" width="9" style="2"/>
    <col min="1793" max="1803" width="11.125" style="2" bestFit="1" customWidth="1"/>
    <col min="1804" max="1804" width="9" style="2"/>
    <col min="1805" max="1811" width="11.125" style="2" bestFit="1" customWidth="1"/>
    <col min="1812" max="1812" width="9.625" style="2" bestFit="1" customWidth="1"/>
    <col min="1813" max="2038" width="9" style="2"/>
    <col min="2039" max="2039" width="2.375" style="2" customWidth="1"/>
    <col min="2040" max="2040" width="13.25" style="2" bestFit="1" customWidth="1"/>
    <col min="2041" max="2043" width="11.125" style="2" bestFit="1" customWidth="1"/>
    <col min="2044" max="2044" width="13.25" style="2" bestFit="1" customWidth="1"/>
    <col min="2045" max="2045" width="11.125" style="2" bestFit="1" customWidth="1"/>
    <col min="2046" max="2046" width="9" style="2"/>
    <col min="2047" max="2047" width="11.125" style="2" bestFit="1" customWidth="1"/>
    <col min="2048" max="2048" width="9" style="2"/>
    <col min="2049" max="2059" width="11.125" style="2" bestFit="1" customWidth="1"/>
    <col min="2060" max="2060" width="9" style="2"/>
    <col min="2061" max="2067" width="11.125" style="2" bestFit="1" customWidth="1"/>
    <col min="2068" max="2068" width="9.625" style="2" bestFit="1" customWidth="1"/>
    <col min="2069" max="2294" width="9" style="2"/>
    <col min="2295" max="2295" width="2.375" style="2" customWidth="1"/>
    <col min="2296" max="2296" width="13.25" style="2" bestFit="1" customWidth="1"/>
    <col min="2297" max="2299" width="11.125" style="2" bestFit="1" customWidth="1"/>
    <col min="2300" max="2300" width="13.25" style="2" bestFit="1" customWidth="1"/>
    <col min="2301" max="2301" width="11.125" style="2" bestFit="1" customWidth="1"/>
    <col min="2302" max="2302" width="9" style="2"/>
    <col min="2303" max="2303" width="11.125" style="2" bestFit="1" customWidth="1"/>
    <col min="2304" max="2304" width="9" style="2"/>
    <col min="2305" max="2315" width="11.125" style="2" bestFit="1" customWidth="1"/>
    <col min="2316" max="2316" width="9" style="2"/>
    <col min="2317" max="2323" width="11.125" style="2" bestFit="1" customWidth="1"/>
    <col min="2324" max="2324" width="9.625" style="2" bestFit="1" customWidth="1"/>
    <col min="2325" max="2550" width="9" style="2"/>
    <col min="2551" max="2551" width="2.375" style="2" customWidth="1"/>
    <col min="2552" max="2552" width="13.25" style="2" bestFit="1" customWidth="1"/>
    <col min="2553" max="2555" width="11.125" style="2" bestFit="1" customWidth="1"/>
    <col min="2556" max="2556" width="13.25" style="2" bestFit="1" customWidth="1"/>
    <col min="2557" max="2557" width="11.125" style="2" bestFit="1" customWidth="1"/>
    <col min="2558" max="2558" width="9" style="2"/>
    <col min="2559" max="2559" width="11.125" style="2" bestFit="1" customWidth="1"/>
    <col min="2560" max="2560" width="9" style="2"/>
    <col min="2561" max="2571" width="11.125" style="2" bestFit="1" customWidth="1"/>
    <col min="2572" max="2572" width="9" style="2"/>
    <col min="2573" max="2579" width="11.125" style="2" bestFit="1" customWidth="1"/>
    <col min="2580" max="2580" width="9.625" style="2" bestFit="1" customWidth="1"/>
    <col min="2581" max="2806" width="9" style="2"/>
    <col min="2807" max="2807" width="2.375" style="2" customWidth="1"/>
    <col min="2808" max="2808" width="13.25" style="2" bestFit="1" customWidth="1"/>
    <col min="2809" max="2811" width="11.125" style="2" bestFit="1" customWidth="1"/>
    <col min="2812" max="2812" width="13.25" style="2" bestFit="1" customWidth="1"/>
    <col min="2813" max="2813" width="11.125" style="2" bestFit="1" customWidth="1"/>
    <col min="2814" max="2814" width="9" style="2"/>
    <col min="2815" max="2815" width="11.125" style="2" bestFit="1" customWidth="1"/>
    <col min="2816" max="2816" width="9" style="2"/>
    <col min="2817" max="2827" width="11.125" style="2" bestFit="1" customWidth="1"/>
    <col min="2828" max="2828" width="9" style="2"/>
    <col min="2829" max="2835" width="11.125" style="2" bestFit="1" customWidth="1"/>
    <col min="2836" max="2836" width="9.625" style="2" bestFit="1" customWidth="1"/>
    <col min="2837" max="3062" width="9" style="2"/>
    <col min="3063" max="3063" width="2.375" style="2" customWidth="1"/>
    <col min="3064" max="3064" width="13.25" style="2" bestFit="1" customWidth="1"/>
    <col min="3065" max="3067" width="11.125" style="2" bestFit="1" customWidth="1"/>
    <col min="3068" max="3068" width="13.25" style="2" bestFit="1" customWidth="1"/>
    <col min="3069" max="3069" width="11.125" style="2" bestFit="1" customWidth="1"/>
    <col min="3070" max="3070" width="9" style="2"/>
    <col min="3071" max="3071" width="11.125" style="2" bestFit="1" customWidth="1"/>
    <col min="3072" max="3072" width="9" style="2"/>
    <col min="3073" max="3083" width="11.125" style="2" bestFit="1" customWidth="1"/>
    <col min="3084" max="3084" width="9" style="2"/>
    <col min="3085" max="3091" width="11.125" style="2" bestFit="1" customWidth="1"/>
    <col min="3092" max="3092" width="9.625" style="2" bestFit="1" customWidth="1"/>
    <col min="3093" max="3318" width="9" style="2"/>
    <col min="3319" max="3319" width="2.375" style="2" customWidth="1"/>
    <col min="3320" max="3320" width="13.25" style="2" bestFit="1" customWidth="1"/>
    <col min="3321" max="3323" width="11.125" style="2" bestFit="1" customWidth="1"/>
    <col min="3324" max="3324" width="13.25" style="2" bestFit="1" customWidth="1"/>
    <col min="3325" max="3325" width="11.125" style="2" bestFit="1" customWidth="1"/>
    <col min="3326" max="3326" width="9" style="2"/>
    <col min="3327" max="3327" width="11.125" style="2" bestFit="1" customWidth="1"/>
    <col min="3328" max="3328" width="9" style="2"/>
    <col min="3329" max="3339" width="11.125" style="2" bestFit="1" customWidth="1"/>
    <col min="3340" max="3340" width="9" style="2"/>
    <col min="3341" max="3347" width="11.125" style="2" bestFit="1" customWidth="1"/>
    <col min="3348" max="3348" width="9.625" style="2" bestFit="1" customWidth="1"/>
    <col min="3349" max="3574" width="9" style="2"/>
    <col min="3575" max="3575" width="2.375" style="2" customWidth="1"/>
    <col min="3576" max="3576" width="13.25" style="2" bestFit="1" customWidth="1"/>
    <col min="3577" max="3579" width="11.125" style="2" bestFit="1" customWidth="1"/>
    <col min="3580" max="3580" width="13.25" style="2" bestFit="1" customWidth="1"/>
    <col min="3581" max="3581" width="11.125" style="2" bestFit="1" customWidth="1"/>
    <col min="3582" max="3582" width="9" style="2"/>
    <col min="3583" max="3583" width="11.125" style="2" bestFit="1" customWidth="1"/>
    <col min="3584" max="3584" width="9" style="2"/>
    <col min="3585" max="3595" width="11.125" style="2" bestFit="1" customWidth="1"/>
    <col min="3596" max="3596" width="9" style="2"/>
    <col min="3597" max="3603" width="11.125" style="2" bestFit="1" customWidth="1"/>
    <col min="3604" max="3604" width="9.625" style="2" bestFit="1" customWidth="1"/>
    <col min="3605" max="3830" width="9" style="2"/>
    <col min="3831" max="3831" width="2.375" style="2" customWidth="1"/>
    <col min="3832" max="3832" width="13.25" style="2" bestFit="1" customWidth="1"/>
    <col min="3833" max="3835" width="11.125" style="2" bestFit="1" customWidth="1"/>
    <col min="3836" max="3836" width="13.25" style="2" bestFit="1" customWidth="1"/>
    <col min="3837" max="3837" width="11.125" style="2" bestFit="1" customWidth="1"/>
    <col min="3838" max="3838" width="9" style="2"/>
    <col min="3839" max="3839" width="11.125" style="2" bestFit="1" customWidth="1"/>
    <col min="3840" max="3840" width="9" style="2"/>
    <col min="3841" max="3851" width="11.125" style="2" bestFit="1" customWidth="1"/>
    <col min="3852" max="3852" width="9" style="2"/>
    <col min="3853" max="3859" width="11.125" style="2" bestFit="1" customWidth="1"/>
    <col min="3860" max="3860" width="9.625" style="2" bestFit="1" customWidth="1"/>
    <col min="3861" max="4086" width="9" style="2"/>
    <col min="4087" max="4087" width="2.375" style="2" customWidth="1"/>
    <col min="4088" max="4088" width="13.25" style="2" bestFit="1" customWidth="1"/>
    <col min="4089" max="4091" width="11.125" style="2" bestFit="1" customWidth="1"/>
    <col min="4092" max="4092" width="13.25" style="2" bestFit="1" customWidth="1"/>
    <col min="4093" max="4093" width="11.125" style="2" bestFit="1" customWidth="1"/>
    <col min="4094" max="4094" width="9" style="2"/>
    <col min="4095" max="4095" width="11.125" style="2" bestFit="1" customWidth="1"/>
    <col min="4096" max="4096" width="9" style="2"/>
    <col min="4097" max="4107" width="11.125" style="2" bestFit="1" customWidth="1"/>
    <col min="4108" max="4108" width="9" style="2"/>
    <col min="4109" max="4115" width="11.125" style="2" bestFit="1" customWidth="1"/>
    <col min="4116" max="4116" width="9.625" style="2" bestFit="1" customWidth="1"/>
    <col min="4117" max="4342" width="9" style="2"/>
    <col min="4343" max="4343" width="2.375" style="2" customWidth="1"/>
    <col min="4344" max="4344" width="13.25" style="2" bestFit="1" customWidth="1"/>
    <col min="4345" max="4347" width="11.125" style="2" bestFit="1" customWidth="1"/>
    <col min="4348" max="4348" width="13.25" style="2" bestFit="1" customWidth="1"/>
    <col min="4349" max="4349" width="11.125" style="2" bestFit="1" customWidth="1"/>
    <col min="4350" max="4350" width="9" style="2"/>
    <col min="4351" max="4351" width="11.125" style="2" bestFit="1" customWidth="1"/>
    <col min="4352" max="4352" width="9" style="2"/>
    <col min="4353" max="4363" width="11.125" style="2" bestFit="1" customWidth="1"/>
    <col min="4364" max="4364" width="9" style="2"/>
    <col min="4365" max="4371" width="11.125" style="2" bestFit="1" customWidth="1"/>
    <col min="4372" max="4372" width="9.625" style="2" bestFit="1" customWidth="1"/>
    <col min="4373" max="4598" width="9" style="2"/>
    <col min="4599" max="4599" width="2.375" style="2" customWidth="1"/>
    <col min="4600" max="4600" width="13.25" style="2" bestFit="1" customWidth="1"/>
    <col min="4601" max="4603" width="11.125" style="2" bestFit="1" customWidth="1"/>
    <col min="4604" max="4604" width="13.25" style="2" bestFit="1" customWidth="1"/>
    <col min="4605" max="4605" width="11.125" style="2" bestFit="1" customWidth="1"/>
    <col min="4606" max="4606" width="9" style="2"/>
    <col min="4607" max="4607" width="11.125" style="2" bestFit="1" customWidth="1"/>
    <col min="4608" max="4608" width="9" style="2"/>
    <col min="4609" max="4619" width="11.125" style="2" bestFit="1" customWidth="1"/>
    <col min="4620" max="4620" width="9" style="2"/>
    <col min="4621" max="4627" width="11.125" style="2" bestFit="1" customWidth="1"/>
    <col min="4628" max="4628" width="9.625" style="2" bestFit="1" customWidth="1"/>
    <col min="4629" max="4854" width="9" style="2"/>
    <col min="4855" max="4855" width="2.375" style="2" customWidth="1"/>
    <col min="4856" max="4856" width="13.25" style="2" bestFit="1" customWidth="1"/>
    <col min="4857" max="4859" width="11.125" style="2" bestFit="1" customWidth="1"/>
    <col min="4860" max="4860" width="13.25" style="2" bestFit="1" customWidth="1"/>
    <col min="4861" max="4861" width="11.125" style="2" bestFit="1" customWidth="1"/>
    <col min="4862" max="4862" width="9" style="2"/>
    <col min="4863" max="4863" width="11.125" style="2" bestFit="1" customWidth="1"/>
    <col min="4864" max="4864" width="9" style="2"/>
    <col min="4865" max="4875" width="11.125" style="2" bestFit="1" customWidth="1"/>
    <col min="4876" max="4876" width="9" style="2"/>
    <col min="4877" max="4883" width="11.125" style="2" bestFit="1" customWidth="1"/>
    <col min="4884" max="4884" width="9.625" style="2" bestFit="1" customWidth="1"/>
    <col min="4885" max="5110" width="9" style="2"/>
    <col min="5111" max="5111" width="2.375" style="2" customWidth="1"/>
    <col min="5112" max="5112" width="13.25" style="2" bestFit="1" customWidth="1"/>
    <col min="5113" max="5115" width="11.125" style="2" bestFit="1" customWidth="1"/>
    <col min="5116" max="5116" width="13.25" style="2" bestFit="1" customWidth="1"/>
    <col min="5117" max="5117" width="11.125" style="2" bestFit="1" customWidth="1"/>
    <col min="5118" max="5118" width="9" style="2"/>
    <col min="5119" max="5119" width="11.125" style="2" bestFit="1" customWidth="1"/>
    <col min="5120" max="5120" width="9" style="2"/>
    <col min="5121" max="5131" width="11.125" style="2" bestFit="1" customWidth="1"/>
    <col min="5132" max="5132" width="9" style="2"/>
    <col min="5133" max="5139" width="11.125" style="2" bestFit="1" customWidth="1"/>
    <col min="5140" max="5140" width="9.625" style="2" bestFit="1" customWidth="1"/>
    <col min="5141" max="5366" width="9" style="2"/>
    <col min="5367" max="5367" width="2.375" style="2" customWidth="1"/>
    <col min="5368" max="5368" width="13.25" style="2" bestFit="1" customWidth="1"/>
    <col min="5369" max="5371" width="11.125" style="2" bestFit="1" customWidth="1"/>
    <col min="5372" max="5372" width="13.25" style="2" bestFit="1" customWidth="1"/>
    <col min="5373" max="5373" width="11.125" style="2" bestFit="1" customWidth="1"/>
    <col min="5374" max="5374" width="9" style="2"/>
    <col min="5375" max="5375" width="11.125" style="2" bestFit="1" customWidth="1"/>
    <col min="5376" max="5376" width="9" style="2"/>
    <col min="5377" max="5387" width="11.125" style="2" bestFit="1" customWidth="1"/>
    <col min="5388" max="5388" width="9" style="2"/>
    <col min="5389" max="5395" width="11.125" style="2" bestFit="1" customWidth="1"/>
    <col min="5396" max="5396" width="9.625" style="2" bestFit="1" customWidth="1"/>
    <col min="5397" max="5622" width="9" style="2"/>
    <col min="5623" max="5623" width="2.375" style="2" customWidth="1"/>
    <col min="5624" max="5624" width="13.25" style="2" bestFit="1" customWidth="1"/>
    <col min="5625" max="5627" width="11.125" style="2" bestFit="1" customWidth="1"/>
    <col min="5628" max="5628" width="13.25" style="2" bestFit="1" customWidth="1"/>
    <col min="5629" max="5629" width="11.125" style="2" bestFit="1" customWidth="1"/>
    <col min="5630" max="5630" width="9" style="2"/>
    <col min="5631" max="5631" width="11.125" style="2" bestFit="1" customWidth="1"/>
    <col min="5632" max="5632" width="9" style="2"/>
    <col min="5633" max="5643" width="11.125" style="2" bestFit="1" customWidth="1"/>
    <col min="5644" max="5644" width="9" style="2"/>
    <col min="5645" max="5651" width="11.125" style="2" bestFit="1" customWidth="1"/>
    <col min="5652" max="5652" width="9.625" style="2" bestFit="1" customWidth="1"/>
    <col min="5653" max="5878" width="9" style="2"/>
    <col min="5879" max="5879" width="2.375" style="2" customWidth="1"/>
    <col min="5880" max="5880" width="13.25" style="2" bestFit="1" customWidth="1"/>
    <col min="5881" max="5883" width="11.125" style="2" bestFit="1" customWidth="1"/>
    <col min="5884" max="5884" width="13.25" style="2" bestFit="1" customWidth="1"/>
    <col min="5885" max="5885" width="11.125" style="2" bestFit="1" customWidth="1"/>
    <col min="5886" max="5886" width="9" style="2"/>
    <col min="5887" max="5887" width="11.125" style="2" bestFit="1" customWidth="1"/>
    <col min="5888" max="5888" width="9" style="2"/>
    <col min="5889" max="5899" width="11.125" style="2" bestFit="1" customWidth="1"/>
    <col min="5900" max="5900" width="9" style="2"/>
    <col min="5901" max="5907" width="11.125" style="2" bestFit="1" customWidth="1"/>
    <col min="5908" max="5908" width="9.625" style="2" bestFit="1" customWidth="1"/>
    <col min="5909" max="6134" width="9" style="2"/>
    <col min="6135" max="6135" width="2.375" style="2" customWidth="1"/>
    <col min="6136" max="6136" width="13.25" style="2" bestFit="1" customWidth="1"/>
    <col min="6137" max="6139" width="11.125" style="2" bestFit="1" customWidth="1"/>
    <col min="6140" max="6140" width="13.25" style="2" bestFit="1" customWidth="1"/>
    <col min="6141" max="6141" width="11.125" style="2" bestFit="1" customWidth="1"/>
    <col min="6142" max="6142" width="9" style="2"/>
    <col min="6143" max="6143" width="11.125" style="2" bestFit="1" customWidth="1"/>
    <col min="6144" max="6144" width="9" style="2"/>
    <col min="6145" max="6155" width="11.125" style="2" bestFit="1" customWidth="1"/>
    <col min="6156" max="6156" width="9" style="2"/>
    <col min="6157" max="6163" width="11.125" style="2" bestFit="1" customWidth="1"/>
    <col min="6164" max="6164" width="9.625" style="2" bestFit="1" customWidth="1"/>
    <col min="6165" max="6390" width="9" style="2"/>
    <col min="6391" max="6391" width="2.375" style="2" customWidth="1"/>
    <col min="6392" max="6392" width="13.25" style="2" bestFit="1" customWidth="1"/>
    <col min="6393" max="6395" width="11.125" style="2" bestFit="1" customWidth="1"/>
    <col min="6396" max="6396" width="13.25" style="2" bestFit="1" customWidth="1"/>
    <col min="6397" max="6397" width="11.125" style="2" bestFit="1" customWidth="1"/>
    <col min="6398" max="6398" width="9" style="2"/>
    <col min="6399" max="6399" width="11.125" style="2" bestFit="1" customWidth="1"/>
    <col min="6400" max="6400" width="9" style="2"/>
    <col min="6401" max="6411" width="11.125" style="2" bestFit="1" customWidth="1"/>
    <col min="6412" max="6412" width="9" style="2"/>
    <col min="6413" max="6419" width="11.125" style="2" bestFit="1" customWidth="1"/>
    <col min="6420" max="6420" width="9.625" style="2" bestFit="1" customWidth="1"/>
    <col min="6421" max="6646" width="9" style="2"/>
    <col min="6647" max="6647" width="2.375" style="2" customWidth="1"/>
    <col min="6648" max="6648" width="13.25" style="2" bestFit="1" customWidth="1"/>
    <col min="6649" max="6651" width="11.125" style="2" bestFit="1" customWidth="1"/>
    <col min="6652" max="6652" width="13.25" style="2" bestFit="1" customWidth="1"/>
    <col min="6653" max="6653" width="11.125" style="2" bestFit="1" customWidth="1"/>
    <col min="6654" max="6654" width="9" style="2"/>
    <col min="6655" max="6655" width="11.125" style="2" bestFit="1" customWidth="1"/>
    <col min="6656" max="6656" width="9" style="2"/>
    <col min="6657" max="6667" width="11.125" style="2" bestFit="1" customWidth="1"/>
    <col min="6668" max="6668" width="9" style="2"/>
    <col min="6669" max="6675" width="11.125" style="2" bestFit="1" customWidth="1"/>
    <col min="6676" max="6676" width="9.625" style="2" bestFit="1" customWidth="1"/>
    <col min="6677" max="6902" width="9" style="2"/>
    <col min="6903" max="6903" width="2.375" style="2" customWidth="1"/>
    <col min="6904" max="6904" width="13.25" style="2" bestFit="1" customWidth="1"/>
    <col min="6905" max="6907" width="11.125" style="2" bestFit="1" customWidth="1"/>
    <col min="6908" max="6908" width="13.25" style="2" bestFit="1" customWidth="1"/>
    <col min="6909" max="6909" width="11.125" style="2" bestFit="1" customWidth="1"/>
    <col min="6910" max="6910" width="9" style="2"/>
    <col min="6911" max="6911" width="11.125" style="2" bestFit="1" customWidth="1"/>
    <col min="6912" max="6912" width="9" style="2"/>
    <col min="6913" max="6923" width="11.125" style="2" bestFit="1" customWidth="1"/>
    <col min="6924" max="6924" width="9" style="2"/>
    <col min="6925" max="6931" width="11.125" style="2" bestFit="1" customWidth="1"/>
    <col min="6932" max="6932" width="9.625" style="2" bestFit="1" customWidth="1"/>
    <col min="6933" max="7158" width="9" style="2"/>
    <col min="7159" max="7159" width="2.375" style="2" customWidth="1"/>
    <col min="7160" max="7160" width="13.25" style="2" bestFit="1" customWidth="1"/>
    <col min="7161" max="7163" width="11.125" style="2" bestFit="1" customWidth="1"/>
    <col min="7164" max="7164" width="13.25" style="2" bestFit="1" customWidth="1"/>
    <col min="7165" max="7165" width="11.125" style="2" bestFit="1" customWidth="1"/>
    <col min="7166" max="7166" width="9" style="2"/>
    <col min="7167" max="7167" width="11.125" style="2" bestFit="1" customWidth="1"/>
    <col min="7168" max="7168" width="9" style="2"/>
    <col min="7169" max="7179" width="11.125" style="2" bestFit="1" customWidth="1"/>
    <col min="7180" max="7180" width="9" style="2"/>
    <col min="7181" max="7187" width="11.125" style="2" bestFit="1" customWidth="1"/>
    <col min="7188" max="7188" width="9.625" style="2" bestFit="1" customWidth="1"/>
    <col min="7189" max="7414" width="9" style="2"/>
    <col min="7415" max="7415" width="2.375" style="2" customWidth="1"/>
    <col min="7416" max="7416" width="13.25" style="2" bestFit="1" customWidth="1"/>
    <col min="7417" max="7419" width="11.125" style="2" bestFit="1" customWidth="1"/>
    <col min="7420" max="7420" width="13.25" style="2" bestFit="1" customWidth="1"/>
    <col min="7421" max="7421" width="11.125" style="2" bestFit="1" customWidth="1"/>
    <col min="7422" max="7422" width="9" style="2"/>
    <col min="7423" max="7423" width="11.125" style="2" bestFit="1" customWidth="1"/>
    <col min="7424" max="7424" width="9" style="2"/>
    <col min="7425" max="7435" width="11.125" style="2" bestFit="1" customWidth="1"/>
    <col min="7436" max="7436" width="9" style="2"/>
    <col min="7437" max="7443" width="11.125" style="2" bestFit="1" customWidth="1"/>
    <col min="7444" max="7444" width="9.625" style="2" bestFit="1" customWidth="1"/>
    <col min="7445" max="7670" width="9" style="2"/>
    <col min="7671" max="7671" width="2.375" style="2" customWidth="1"/>
    <col min="7672" max="7672" width="13.25" style="2" bestFit="1" customWidth="1"/>
    <col min="7673" max="7675" width="11.125" style="2" bestFit="1" customWidth="1"/>
    <col min="7676" max="7676" width="13.25" style="2" bestFit="1" customWidth="1"/>
    <col min="7677" max="7677" width="11.125" style="2" bestFit="1" customWidth="1"/>
    <col min="7678" max="7678" width="9" style="2"/>
    <col min="7679" max="7679" width="11.125" style="2" bestFit="1" customWidth="1"/>
    <col min="7680" max="7680" width="9" style="2"/>
    <col min="7681" max="7691" width="11.125" style="2" bestFit="1" customWidth="1"/>
    <col min="7692" max="7692" width="9" style="2"/>
    <col min="7693" max="7699" width="11.125" style="2" bestFit="1" customWidth="1"/>
    <col min="7700" max="7700" width="9.625" style="2" bestFit="1" customWidth="1"/>
    <col min="7701" max="7926" width="9" style="2"/>
    <col min="7927" max="7927" width="2.375" style="2" customWidth="1"/>
    <col min="7928" max="7928" width="13.25" style="2" bestFit="1" customWidth="1"/>
    <col min="7929" max="7931" width="11.125" style="2" bestFit="1" customWidth="1"/>
    <col min="7932" max="7932" width="13.25" style="2" bestFit="1" customWidth="1"/>
    <col min="7933" max="7933" width="11.125" style="2" bestFit="1" customWidth="1"/>
    <col min="7934" max="7934" width="9" style="2"/>
    <col min="7935" max="7935" width="11.125" style="2" bestFit="1" customWidth="1"/>
    <col min="7936" max="7936" width="9" style="2"/>
    <col min="7937" max="7947" width="11.125" style="2" bestFit="1" customWidth="1"/>
    <col min="7948" max="7948" width="9" style="2"/>
    <col min="7949" max="7955" width="11.125" style="2" bestFit="1" customWidth="1"/>
    <col min="7956" max="7956" width="9.625" style="2" bestFit="1" customWidth="1"/>
    <col min="7957" max="8182" width="9" style="2"/>
    <col min="8183" max="8183" width="2.375" style="2" customWidth="1"/>
    <col min="8184" max="8184" width="13.25" style="2" bestFit="1" customWidth="1"/>
    <col min="8185" max="8187" width="11.125" style="2" bestFit="1" customWidth="1"/>
    <col min="8188" max="8188" width="13.25" style="2" bestFit="1" customWidth="1"/>
    <col min="8189" max="8189" width="11.125" style="2" bestFit="1" customWidth="1"/>
    <col min="8190" max="8190" width="9" style="2"/>
    <col min="8191" max="8191" width="11.125" style="2" bestFit="1" customWidth="1"/>
    <col min="8192" max="8192" width="9" style="2"/>
    <col min="8193" max="8203" width="11.125" style="2" bestFit="1" customWidth="1"/>
    <col min="8204" max="8204" width="9" style="2"/>
    <col min="8205" max="8211" width="11.125" style="2" bestFit="1" customWidth="1"/>
    <col min="8212" max="8212" width="9.625" style="2" bestFit="1" customWidth="1"/>
    <col min="8213" max="8438" width="9" style="2"/>
    <col min="8439" max="8439" width="2.375" style="2" customWidth="1"/>
    <col min="8440" max="8440" width="13.25" style="2" bestFit="1" customWidth="1"/>
    <col min="8441" max="8443" width="11.125" style="2" bestFit="1" customWidth="1"/>
    <col min="8444" max="8444" width="13.25" style="2" bestFit="1" customWidth="1"/>
    <col min="8445" max="8445" width="11.125" style="2" bestFit="1" customWidth="1"/>
    <col min="8446" max="8446" width="9" style="2"/>
    <col min="8447" max="8447" width="11.125" style="2" bestFit="1" customWidth="1"/>
    <col min="8448" max="8448" width="9" style="2"/>
    <col min="8449" max="8459" width="11.125" style="2" bestFit="1" customWidth="1"/>
    <col min="8460" max="8460" width="9" style="2"/>
    <col min="8461" max="8467" width="11.125" style="2" bestFit="1" customWidth="1"/>
    <col min="8468" max="8468" width="9.625" style="2" bestFit="1" customWidth="1"/>
    <col min="8469" max="8694" width="9" style="2"/>
    <col min="8695" max="8695" width="2.375" style="2" customWidth="1"/>
    <col min="8696" max="8696" width="13.25" style="2" bestFit="1" customWidth="1"/>
    <col min="8697" max="8699" width="11.125" style="2" bestFit="1" customWidth="1"/>
    <col min="8700" max="8700" width="13.25" style="2" bestFit="1" customWidth="1"/>
    <col min="8701" max="8701" width="11.125" style="2" bestFit="1" customWidth="1"/>
    <col min="8702" max="8702" width="9" style="2"/>
    <col min="8703" max="8703" width="11.125" style="2" bestFit="1" customWidth="1"/>
    <col min="8704" max="8704" width="9" style="2"/>
    <col min="8705" max="8715" width="11.125" style="2" bestFit="1" customWidth="1"/>
    <col min="8716" max="8716" width="9" style="2"/>
    <col min="8717" max="8723" width="11.125" style="2" bestFit="1" customWidth="1"/>
    <col min="8724" max="8724" width="9.625" style="2" bestFit="1" customWidth="1"/>
    <col min="8725" max="8950" width="9" style="2"/>
    <col min="8951" max="8951" width="2.375" style="2" customWidth="1"/>
    <col min="8952" max="8952" width="13.25" style="2" bestFit="1" customWidth="1"/>
    <col min="8953" max="8955" width="11.125" style="2" bestFit="1" customWidth="1"/>
    <col min="8956" max="8956" width="13.25" style="2" bestFit="1" customWidth="1"/>
    <col min="8957" max="8957" width="11.125" style="2" bestFit="1" customWidth="1"/>
    <col min="8958" max="8958" width="9" style="2"/>
    <col min="8959" max="8959" width="11.125" style="2" bestFit="1" customWidth="1"/>
    <col min="8960" max="8960" width="9" style="2"/>
    <col min="8961" max="8971" width="11.125" style="2" bestFit="1" customWidth="1"/>
    <col min="8972" max="8972" width="9" style="2"/>
    <col min="8973" max="8979" width="11.125" style="2" bestFit="1" customWidth="1"/>
    <col min="8980" max="8980" width="9.625" style="2" bestFit="1" customWidth="1"/>
    <col min="8981" max="9206" width="9" style="2"/>
    <col min="9207" max="9207" width="2.375" style="2" customWidth="1"/>
    <col min="9208" max="9208" width="13.25" style="2" bestFit="1" customWidth="1"/>
    <col min="9209" max="9211" width="11.125" style="2" bestFit="1" customWidth="1"/>
    <col min="9212" max="9212" width="13.25" style="2" bestFit="1" customWidth="1"/>
    <col min="9213" max="9213" width="11.125" style="2" bestFit="1" customWidth="1"/>
    <col min="9214" max="9214" width="9" style="2"/>
    <col min="9215" max="9215" width="11.125" style="2" bestFit="1" customWidth="1"/>
    <col min="9216" max="9216" width="9" style="2"/>
    <col min="9217" max="9227" width="11.125" style="2" bestFit="1" customWidth="1"/>
    <col min="9228" max="9228" width="9" style="2"/>
    <col min="9229" max="9235" width="11.125" style="2" bestFit="1" customWidth="1"/>
    <col min="9236" max="9236" width="9.625" style="2" bestFit="1" customWidth="1"/>
    <col min="9237" max="9462" width="9" style="2"/>
    <col min="9463" max="9463" width="2.375" style="2" customWidth="1"/>
    <col min="9464" max="9464" width="13.25" style="2" bestFit="1" customWidth="1"/>
    <col min="9465" max="9467" width="11.125" style="2" bestFit="1" customWidth="1"/>
    <col min="9468" max="9468" width="13.25" style="2" bestFit="1" customWidth="1"/>
    <col min="9469" max="9469" width="11.125" style="2" bestFit="1" customWidth="1"/>
    <col min="9470" max="9470" width="9" style="2"/>
    <col min="9471" max="9471" width="11.125" style="2" bestFit="1" customWidth="1"/>
    <col min="9472" max="9472" width="9" style="2"/>
    <col min="9473" max="9483" width="11.125" style="2" bestFit="1" customWidth="1"/>
    <col min="9484" max="9484" width="9" style="2"/>
    <col min="9485" max="9491" width="11.125" style="2" bestFit="1" customWidth="1"/>
    <col min="9492" max="9492" width="9.625" style="2" bestFit="1" customWidth="1"/>
    <col min="9493" max="9718" width="9" style="2"/>
    <col min="9719" max="9719" width="2.375" style="2" customWidth="1"/>
    <col min="9720" max="9720" width="13.25" style="2" bestFit="1" customWidth="1"/>
    <col min="9721" max="9723" width="11.125" style="2" bestFit="1" customWidth="1"/>
    <col min="9724" max="9724" width="13.25" style="2" bestFit="1" customWidth="1"/>
    <col min="9725" max="9725" width="11.125" style="2" bestFit="1" customWidth="1"/>
    <col min="9726" max="9726" width="9" style="2"/>
    <col min="9727" max="9727" width="11.125" style="2" bestFit="1" customWidth="1"/>
    <col min="9728" max="9728" width="9" style="2"/>
    <col min="9729" max="9739" width="11.125" style="2" bestFit="1" customWidth="1"/>
    <col min="9740" max="9740" width="9" style="2"/>
    <col min="9741" max="9747" width="11.125" style="2" bestFit="1" customWidth="1"/>
    <col min="9748" max="9748" width="9.625" style="2" bestFit="1" customWidth="1"/>
    <col min="9749" max="9974" width="9" style="2"/>
    <col min="9975" max="9975" width="2.375" style="2" customWidth="1"/>
    <col min="9976" max="9976" width="13.25" style="2" bestFit="1" customWidth="1"/>
    <col min="9977" max="9979" width="11.125" style="2" bestFit="1" customWidth="1"/>
    <col min="9980" max="9980" width="13.25" style="2" bestFit="1" customWidth="1"/>
    <col min="9981" max="9981" width="11.125" style="2" bestFit="1" customWidth="1"/>
    <col min="9982" max="9982" width="9" style="2"/>
    <col min="9983" max="9983" width="11.125" style="2" bestFit="1" customWidth="1"/>
    <col min="9984" max="9984" width="9" style="2"/>
    <col min="9985" max="9995" width="11.125" style="2" bestFit="1" customWidth="1"/>
    <col min="9996" max="9996" width="9" style="2"/>
    <col min="9997" max="10003" width="11.125" style="2" bestFit="1" customWidth="1"/>
    <col min="10004" max="10004" width="9.625" style="2" bestFit="1" customWidth="1"/>
    <col min="10005" max="10230" width="9" style="2"/>
    <col min="10231" max="10231" width="2.375" style="2" customWidth="1"/>
    <col min="10232" max="10232" width="13.25" style="2" bestFit="1" customWidth="1"/>
    <col min="10233" max="10235" width="11.125" style="2" bestFit="1" customWidth="1"/>
    <col min="10236" max="10236" width="13.25" style="2" bestFit="1" customWidth="1"/>
    <col min="10237" max="10237" width="11.125" style="2" bestFit="1" customWidth="1"/>
    <col min="10238" max="10238" width="9" style="2"/>
    <col min="10239" max="10239" width="11.125" style="2" bestFit="1" customWidth="1"/>
    <col min="10240" max="10240" width="9" style="2"/>
    <col min="10241" max="10251" width="11.125" style="2" bestFit="1" customWidth="1"/>
    <col min="10252" max="10252" width="9" style="2"/>
    <col min="10253" max="10259" width="11.125" style="2" bestFit="1" customWidth="1"/>
    <col min="10260" max="10260" width="9.625" style="2" bestFit="1" customWidth="1"/>
    <col min="10261" max="10486" width="9" style="2"/>
    <col min="10487" max="10487" width="2.375" style="2" customWidth="1"/>
    <col min="10488" max="10488" width="13.25" style="2" bestFit="1" customWidth="1"/>
    <col min="10489" max="10491" width="11.125" style="2" bestFit="1" customWidth="1"/>
    <col min="10492" max="10492" width="13.25" style="2" bestFit="1" customWidth="1"/>
    <col min="10493" max="10493" width="11.125" style="2" bestFit="1" customWidth="1"/>
    <col min="10494" max="10494" width="9" style="2"/>
    <col min="10495" max="10495" width="11.125" style="2" bestFit="1" customWidth="1"/>
    <col min="10496" max="10496" width="9" style="2"/>
    <col min="10497" max="10507" width="11.125" style="2" bestFit="1" customWidth="1"/>
    <col min="10508" max="10508" width="9" style="2"/>
    <col min="10509" max="10515" width="11.125" style="2" bestFit="1" customWidth="1"/>
    <col min="10516" max="10516" width="9.625" style="2" bestFit="1" customWidth="1"/>
    <col min="10517" max="10742" width="9" style="2"/>
    <col min="10743" max="10743" width="2.375" style="2" customWidth="1"/>
    <col min="10744" max="10744" width="13.25" style="2" bestFit="1" customWidth="1"/>
    <col min="10745" max="10747" width="11.125" style="2" bestFit="1" customWidth="1"/>
    <col min="10748" max="10748" width="13.25" style="2" bestFit="1" customWidth="1"/>
    <col min="10749" max="10749" width="11.125" style="2" bestFit="1" customWidth="1"/>
    <col min="10750" max="10750" width="9" style="2"/>
    <col min="10751" max="10751" width="11.125" style="2" bestFit="1" customWidth="1"/>
    <col min="10752" max="10752" width="9" style="2"/>
    <col min="10753" max="10763" width="11.125" style="2" bestFit="1" customWidth="1"/>
    <col min="10764" max="10764" width="9" style="2"/>
    <col min="10765" max="10771" width="11.125" style="2" bestFit="1" customWidth="1"/>
    <col min="10772" max="10772" width="9.625" style="2" bestFit="1" customWidth="1"/>
    <col min="10773" max="10998" width="9" style="2"/>
    <col min="10999" max="10999" width="2.375" style="2" customWidth="1"/>
    <col min="11000" max="11000" width="13.25" style="2" bestFit="1" customWidth="1"/>
    <col min="11001" max="11003" width="11.125" style="2" bestFit="1" customWidth="1"/>
    <col min="11004" max="11004" width="13.25" style="2" bestFit="1" customWidth="1"/>
    <col min="11005" max="11005" width="11.125" style="2" bestFit="1" customWidth="1"/>
    <col min="11006" max="11006" width="9" style="2"/>
    <col min="11007" max="11007" width="11.125" style="2" bestFit="1" customWidth="1"/>
    <col min="11008" max="11008" width="9" style="2"/>
    <col min="11009" max="11019" width="11.125" style="2" bestFit="1" customWidth="1"/>
    <col min="11020" max="11020" width="9" style="2"/>
    <col min="11021" max="11027" width="11.125" style="2" bestFit="1" customWidth="1"/>
    <col min="11028" max="11028" width="9.625" style="2" bestFit="1" customWidth="1"/>
    <col min="11029" max="11254" width="9" style="2"/>
    <col min="11255" max="11255" width="2.375" style="2" customWidth="1"/>
    <col min="11256" max="11256" width="13.25" style="2" bestFit="1" customWidth="1"/>
    <col min="11257" max="11259" width="11.125" style="2" bestFit="1" customWidth="1"/>
    <col min="11260" max="11260" width="13.25" style="2" bestFit="1" customWidth="1"/>
    <col min="11261" max="11261" width="11.125" style="2" bestFit="1" customWidth="1"/>
    <col min="11262" max="11262" width="9" style="2"/>
    <col min="11263" max="11263" width="11.125" style="2" bestFit="1" customWidth="1"/>
    <col min="11264" max="11264" width="9" style="2"/>
    <col min="11265" max="11275" width="11.125" style="2" bestFit="1" customWidth="1"/>
    <col min="11276" max="11276" width="9" style="2"/>
    <col min="11277" max="11283" width="11.125" style="2" bestFit="1" customWidth="1"/>
    <col min="11284" max="11284" width="9.625" style="2" bestFit="1" customWidth="1"/>
    <col min="11285" max="11510" width="9" style="2"/>
    <col min="11511" max="11511" width="2.375" style="2" customWidth="1"/>
    <col min="11512" max="11512" width="13.25" style="2" bestFit="1" customWidth="1"/>
    <col min="11513" max="11515" width="11.125" style="2" bestFit="1" customWidth="1"/>
    <col min="11516" max="11516" width="13.25" style="2" bestFit="1" customWidth="1"/>
    <col min="11517" max="11517" width="11.125" style="2" bestFit="1" customWidth="1"/>
    <col min="11518" max="11518" width="9" style="2"/>
    <col min="11519" max="11519" width="11.125" style="2" bestFit="1" customWidth="1"/>
    <col min="11520" max="11520" width="9" style="2"/>
    <col min="11521" max="11531" width="11.125" style="2" bestFit="1" customWidth="1"/>
    <col min="11532" max="11532" width="9" style="2"/>
    <col min="11533" max="11539" width="11.125" style="2" bestFit="1" customWidth="1"/>
    <col min="11540" max="11540" width="9.625" style="2" bestFit="1" customWidth="1"/>
    <col min="11541" max="11766" width="9" style="2"/>
    <col min="11767" max="11767" width="2.375" style="2" customWidth="1"/>
    <col min="11768" max="11768" width="13.25" style="2" bestFit="1" customWidth="1"/>
    <col min="11769" max="11771" width="11.125" style="2" bestFit="1" customWidth="1"/>
    <col min="11772" max="11772" width="13.25" style="2" bestFit="1" customWidth="1"/>
    <col min="11773" max="11773" width="11.125" style="2" bestFit="1" customWidth="1"/>
    <col min="11774" max="11774" width="9" style="2"/>
    <col min="11775" max="11775" width="11.125" style="2" bestFit="1" customWidth="1"/>
    <col min="11776" max="11776" width="9" style="2"/>
    <col min="11777" max="11787" width="11.125" style="2" bestFit="1" customWidth="1"/>
    <col min="11788" max="11788" width="9" style="2"/>
    <col min="11789" max="11795" width="11.125" style="2" bestFit="1" customWidth="1"/>
    <col min="11796" max="11796" width="9.625" style="2" bestFit="1" customWidth="1"/>
    <col min="11797" max="12022" width="9" style="2"/>
    <col min="12023" max="12023" width="2.375" style="2" customWidth="1"/>
    <col min="12024" max="12024" width="13.25" style="2" bestFit="1" customWidth="1"/>
    <col min="12025" max="12027" width="11.125" style="2" bestFit="1" customWidth="1"/>
    <col min="12028" max="12028" width="13.25" style="2" bestFit="1" customWidth="1"/>
    <col min="12029" max="12029" width="11.125" style="2" bestFit="1" customWidth="1"/>
    <col min="12030" max="12030" width="9" style="2"/>
    <col min="12031" max="12031" width="11.125" style="2" bestFit="1" customWidth="1"/>
    <col min="12032" max="12032" width="9" style="2"/>
    <col min="12033" max="12043" width="11.125" style="2" bestFit="1" customWidth="1"/>
    <col min="12044" max="12044" width="9" style="2"/>
    <col min="12045" max="12051" width="11.125" style="2" bestFit="1" customWidth="1"/>
    <col min="12052" max="12052" width="9.625" style="2" bestFit="1" customWidth="1"/>
    <col min="12053" max="12278" width="9" style="2"/>
    <col min="12279" max="12279" width="2.375" style="2" customWidth="1"/>
    <col min="12280" max="12280" width="13.25" style="2" bestFit="1" customWidth="1"/>
    <col min="12281" max="12283" width="11.125" style="2" bestFit="1" customWidth="1"/>
    <col min="12284" max="12284" width="13.25" style="2" bestFit="1" customWidth="1"/>
    <col min="12285" max="12285" width="11.125" style="2" bestFit="1" customWidth="1"/>
    <col min="12286" max="12286" width="9" style="2"/>
    <col min="12287" max="12287" width="11.125" style="2" bestFit="1" customWidth="1"/>
    <col min="12288" max="12288" width="9" style="2"/>
    <col min="12289" max="12299" width="11.125" style="2" bestFit="1" customWidth="1"/>
    <col min="12300" max="12300" width="9" style="2"/>
    <col min="12301" max="12307" width="11.125" style="2" bestFit="1" customWidth="1"/>
    <col min="12308" max="12308" width="9.625" style="2" bestFit="1" customWidth="1"/>
    <col min="12309" max="12534" width="9" style="2"/>
    <col min="12535" max="12535" width="2.375" style="2" customWidth="1"/>
    <col min="12536" max="12536" width="13.25" style="2" bestFit="1" customWidth="1"/>
    <col min="12537" max="12539" width="11.125" style="2" bestFit="1" customWidth="1"/>
    <col min="12540" max="12540" width="13.25" style="2" bestFit="1" customWidth="1"/>
    <col min="12541" max="12541" width="11.125" style="2" bestFit="1" customWidth="1"/>
    <col min="12542" max="12542" width="9" style="2"/>
    <col min="12543" max="12543" width="11.125" style="2" bestFit="1" customWidth="1"/>
    <col min="12544" max="12544" width="9" style="2"/>
    <col min="12545" max="12555" width="11.125" style="2" bestFit="1" customWidth="1"/>
    <col min="12556" max="12556" width="9" style="2"/>
    <col min="12557" max="12563" width="11.125" style="2" bestFit="1" customWidth="1"/>
    <col min="12564" max="12564" width="9.625" style="2" bestFit="1" customWidth="1"/>
    <col min="12565" max="12790" width="9" style="2"/>
    <col min="12791" max="12791" width="2.375" style="2" customWidth="1"/>
    <col min="12792" max="12792" width="13.25" style="2" bestFit="1" customWidth="1"/>
    <col min="12793" max="12795" width="11.125" style="2" bestFit="1" customWidth="1"/>
    <col min="12796" max="12796" width="13.25" style="2" bestFit="1" customWidth="1"/>
    <col min="12797" max="12797" width="11.125" style="2" bestFit="1" customWidth="1"/>
    <col min="12798" max="12798" width="9" style="2"/>
    <col min="12799" max="12799" width="11.125" style="2" bestFit="1" customWidth="1"/>
    <col min="12800" max="12800" width="9" style="2"/>
    <col min="12801" max="12811" width="11.125" style="2" bestFit="1" customWidth="1"/>
    <col min="12812" max="12812" width="9" style="2"/>
    <col min="12813" max="12819" width="11.125" style="2" bestFit="1" customWidth="1"/>
    <col min="12820" max="12820" width="9.625" style="2" bestFit="1" customWidth="1"/>
    <col min="12821" max="13046" width="9" style="2"/>
    <col min="13047" max="13047" width="2.375" style="2" customWidth="1"/>
    <col min="13048" max="13048" width="13.25" style="2" bestFit="1" customWidth="1"/>
    <col min="13049" max="13051" width="11.125" style="2" bestFit="1" customWidth="1"/>
    <col min="13052" max="13052" width="13.25" style="2" bestFit="1" customWidth="1"/>
    <col min="13053" max="13053" width="11.125" style="2" bestFit="1" customWidth="1"/>
    <col min="13054" max="13054" width="9" style="2"/>
    <col min="13055" max="13055" width="11.125" style="2" bestFit="1" customWidth="1"/>
    <col min="13056" max="13056" width="9" style="2"/>
    <col min="13057" max="13067" width="11.125" style="2" bestFit="1" customWidth="1"/>
    <col min="13068" max="13068" width="9" style="2"/>
    <col min="13069" max="13075" width="11.125" style="2" bestFit="1" customWidth="1"/>
    <col min="13076" max="13076" width="9.625" style="2" bestFit="1" customWidth="1"/>
    <col min="13077" max="13302" width="9" style="2"/>
    <col min="13303" max="13303" width="2.375" style="2" customWidth="1"/>
    <col min="13304" max="13304" width="13.25" style="2" bestFit="1" customWidth="1"/>
    <col min="13305" max="13307" width="11.125" style="2" bestFit="1" customWidth="1"/>
    <col min="13308" max="13308" width="13.25" style="2" bestFit="1" customWidth="1"/>
    <col min="13309" max="13309" width="11.125" style="2" bestFit="1" customWidth="1"/>
    <col min="13310" max="13310" width="9" style="2"/>
    <col min="13311" max="13311" width="11.125" style="2" bestFit="1" customWidth="1"/>
    <col min="13312" max="13312" width="9" style="2"/>
    <col min="13313" max="13323" width="11.125" style="2" bestFit="1" customWidth="1"/>
    <col min="13324" max="13324" width="9" style="2"/>
    <col min="13325" max="13331" width="11.125" style="2" bestFit="1" customWidth="1"/>
    <col min="13332" max="13332" width="9.625" style="2" bestFit="1" customWidth="1"/>
    <col min="13333" max="13558" width="9" style="2"/>
    <col min="13559" max="13559" width="2.375" style="2" customWidth="1"/>
    <col min="13560" max="13560" width="13.25" style="2" bestFit="1" customWidth="1"/>
    <col min="13561" max="13563" width="11.125" style="2" bestFit="1" customWidth="1"/>
    <col min="13564" max="13564" width="13.25" style="2" bestFit="1" customWidth="1"/>
    <col min="13565" max="13565" width="11.125" style="2" bestFit="1" customWidth="1"/>
    <col min="13566" max="13566" width="9" style="2"/>
    <col min="13567" max="13567" width="11.125" style="2" bestFit="1" customWidth="1"/>
    <col min="13568" max="13568" width="9" style="2"/>
    <col min="13569" max="13579" width="11.125" style="2" bestFit="1" customWidth="1"/>
    <col min="13580" max="13580" width="9" style="2"/>
    <col min="13581" max="13587" width="11.125" style="2" bestFit="1" customWidth="1"/>
    <col min="13588" max="13588" width="9.625" style="2" bestFit="1" customWidth="1"/>
    <col min="13589" max="13814" width="9" style="2"/>
    <col min="13815" max="13815" width="2.375" style="2" customWidth="1"/>
    <col min="13816" max="13816" width="13.25" style="2" bestFit="1" customWidth="1"/>
    <col min="13817" max="13819" width="11.125" style="2" bestFit="1" customWidth="1"/>
    <col min="13820" max="13820" width="13.25" style="2" bestFit="1" customWidth="1"/>
    <col min="13821" max="13821" width="11.125" style="2" bestFit="1" customWidth="1"/>
    <col min="13822" max="13822" width="9" style="2"/>
    <col min="13823" max="13823" width="11.125" style="2" bestFit="1" customWidth="1"/>
    <col min="13824" max="13824" width="9" style="2"/>
    <col min="13825" max="13835" width="11.125" style="2" bestFit="1" customWidth="1"/>
    <col min="13836" max="13836" width="9" style="2"/>
    <col min="13837" max="13843" width="11.125" style="2" bestFit="1" customWidth="1"/>
    <col min="13844" max="13844" width="9.625" style="2" bestFit="1" customWidth="1"/>
    <col min="13845" max="14070" width="9" style="2"/>
    <col min="14071" max="14071" width="2.375" style="2" customWidth="1"/>
    <col min="14072" max="14072" width="13.25" style="2" bestFit="1" customWidth="1"/>
    <col min="14073" max="14075" width="11.125" style="2" bestFit="1" customWidth="1"/>
    <col min="14076" max="14076" width="13.25" style="2" bestFit="1" customWidth="1"/>
    <col min="14077" max="14077" width="11.125" style="2" bestFit="1" customWidth="1"/>
    <col min="14078" max="14078" width="9" style="2"/>
    <col min="14079" max="14079" width="11.125" style="2" bestFit="1" customWidth="1"/>
    <col min="14080" max="14080" width="9" style="2"/>
    <col min="14081" max="14091" width="11.125" style="2" bestFit="1" customWidth="1"/>
    <col min="14092" max="14092" width="9" style="2"/>
    <col min="14093" max="14099" width="11.125" style="2" bestFit="1" customWidth="1"/>
    <col min="14100" max="14100" width="9.625" style="2" bestFit="1" customWidth="1"/>
    <col min="14101" max="14326" width="9" style="2"/>
    <col min="14327" max="14327" width="2.375" style="2" customWidth="1"/>
    <col min="14328" max="14328" width="13.25" style="2" bestFit="1" customWidth="1"/>
    <col min="14329" max="14331" width="11.125" style="2" bestFit="1" customWidth="1"/>
    <col min="14332" max="14332" width="13.25" style="2" bestFit="1" customWidth="1"/>
    <col min="14333" max="14333" width="11.125" style="2" bestFit="1" customWidth="1"/>
    <col min="14334" max="14334" width="9" style="2"/>
    <col min="14335" max="14335" width="11.125" style="2" bestFit="1" customWidth="1"/>
    <col min="14336" max="14336" width="9" style="2"/>
    <col min="14337" max="14347" width="11.125" style="2" bestFit="1" customWidth="1"/>
    <col min="14348" max="14348" width="9" style="2"/>
    <col min="14349" max="14355" width="11.125" style="2" bestFit="1" customWidth="1"/>
    <col min="14356" max="14356" width="9.625" style="2" bestFit="1" customWidth="1"/>
    <col min="14357" max="14582" width="9" style="2"/>
    <col min="14583" max="14583" width="2.375" style="2" customWidth="1"/>
    <col min="14584" max="14584" width="13.25" style="2" bestFit="1" customWidth="1"/>
    <col min="14585" max="14587" width="11.125" style="2" bestFit="1" customWidth="1"/>
    <col min="14588" max="14588" width="13.25" style="2" bestFit="1" customWidth="1"/>
    <col min="14589" max="14589" width="11.125" style="2" bestFit="1" customWidth="1"/>
    <col min="14590" max="14590" width="9" style="2"/>
    <col min="14591" max="14591" width="11.125" style="2" bestFit="1" customWidth="1"/>
    <col min="14592" max="14592" width="9" style="2"/>
    <col min="14593" max="14603" width="11.125" style="2" bestFit="1" customWidth="1"/>
    <col min="14604" max="14604" width="9" style="2"/>
    <col min="14605" max="14611" width="11.125" style="2" bestFit="1" customWidth="1"/>
    <col min="14612" max="14612" width="9.625" style="2" bestFit="1" customWidth="1"/>
    <col min="14613" max="14838" width="9" style="2"/>
    <col min="14839" max="14839" width="2.375" style="2" customWidth="1"/>
    <col min="14840" max="14840" width="13.25" style="2" bestFit="1" customWidth="1"/>
    <col min="14841" max="14843" width="11.125" style="2" bestFit="1" customWidth="1"/>
    <col min="14844" max="14844" width="13.25" style="2" bestFit="1" customWidth="1"/>
    <col min="14845" max="14845" width="11.125" style="2" bestFit="1" customWidth="1"/>
    <col min="14846" max="14846" width="9" style="2"/>
    <col min="14847" max="14847" width="11.125" style="2" bestFit="1" customWidth="1"/>
    <col min="14848" max="14848" width="9" style="2"/>
    <col min="14849" max="14859" width="11.125" style="2" bestFit="1" customWidth="1"/>
    <col min="14860" max="14860" width="9" style="2"/>
    <col min="14861" max="14867" width="11.125" style="2" bestFit="1" customWidth="1"/>
    <col min="14868" max="14868" width="9.625" style="2" bestFit="1" customWidth="1"/>
    <col min="14869" max="15094" width="9" style="2"/>
    <col min="15095" max="15095" width="2.375" style="2" customWidth="1"/>
    <col min="15096" max="15096" width="13.25" style="2" bestFit="1" customWidth="1"/>
    <col min="15097" max="15099" width="11.125" style="2" bestFit="1" customWidth="1"/>
    <col min="15100" max="15100" width="13.25" style="2" bestFit="1" customWidth="1"/>
    <col min="15101" max="15101" width="11.125" style="2" bestFit="1" customWidth="1"/>
    <col min="15102" max="15102" width="9" style="2"/>
    <col min="15103" max="15103" width="11.125" style="2" bestFit="1" customWidth="1"/>
    <col min="15104" max="15104" width="9" style="2"/>
    <col min="15105" max="15115" width="11.125" style="2" bestFit="1" customWidth="1"/>
    <col min="15116" max="15116" width="9" style="2"/>
    <col min="15117" max="15123" width="11.125" style="2" bestFit="1" customWidth="1"/>
    <col min="15124" max="15124" width="9.625" style="2" bestFit="1" customWidth="1"/>
    <col min="15125" max="15350" width="9" style="2"/>
    <col min="15351" max="15351" width="2.375" style="2" customWidth="1"/>
    <col min="15352" max="15352" width="13.25" style="2" bestFit="1" customWidth="1"/>
    <col min="15353" max="15355" width="11.125" style="2" bestFit="1" customWidth="1"/>
    <col min="15356" max="15356" width="13.25" style="2" bestFit="1" customWidth="1"/>
    <col min="15357" max="15357" width="11.125" style="2" bestFit="1" customWidth="1"/>
    <col min="15358" max="15358" width="9" style="2"/>
    <col min="15359" max="15359" width="11.125" style="2" bestFit="1" customWidth="1"/>
    <col min="15360" max="15360" width="9" style="2"/>
    <col min="15361" max="15371" width="11.125" style="2" bestFit="1" customWidth="1"/>
    <col min="15372" max="15372" width="9" style="2"/>
    <col min="15373" max="15379" width="11.125" style="2" bestFit="1" customWidth="1"/>
    <col min="15380" max="15380" width="9.625" style="2" bestFit="1" customWidth="1"/>
    <col min="15381" max="15606" width="9" style="2"/>
    <col min="15607" max="15607" width="2.375" style="2" customWidth="1"/>
    <col min="15608" max="15608" width="13.25" style="2" bestFit="1" customWidth="1"/>
    <col min="15609" max="15611" width="11.125" style="2" bestFit="1" customWidth="1"/>
    <col min="15612" max="15612" width="13.25" style="2" bestFit="1" customWidth="1"/>
    <col min="15613" max="15613" width="11.125" style="2" bestFit="1" customWidth="1"/>
    <col min="15614" max="15614" width="9" style="2"/>
    <col min="15615" max="15615" width="11.125" style="2" bestFit="1" customWidth="1"/>
    <col min="15616" max="15616" width="9" style="2"/>
    <col min="15617" max="15627" width="11.125" style="2" bestFit="1" customWidth="1"/>
    <col min="15628" max="15628" width="9" style="2"/>
    <col min="15629" max="15635" width="11.125" style="2" bestFit="1" customWidth="1"/>
    <col min="15636" max="15636" width="9.625" style="2" bestFit="1" customWidth="1"/>
    <col min="15637" max="15862" width="9" style="2"/>
    <col min="15863" max="15863" width="2.375" style="2" customWidth="1"/>
    <col min="15864" max="15864" width="13.25" style="2" bestFit="1" customWidth="1"/>
    <col min="15865" max="15867" width="11.125" style="2" bestFit="1" customWidth="1"/>
    <col min="15868" max="15868" width="13.25" style="2" bestFit="1" customWidth="1"/>
    <col min="15869" max="15869" width="11.125" style="2" bestFit="1" customWidth="1"/>
    <col min="15870" max="15870" width="9" style="2"/>
    <col min="15871" max="15871" width="11.125" style="2" bestFit="1" customWidth="1"/>
    <col min="15872" max="15872" width="9" style="2"/>
    <col min="15873" max="15883" width="11.125" style="2" bestFit="1" customWidth="1"/>
    <col min="15884" max="15884" width="9" style="2"/>
    <col min="15885" max="15891" width="11.125" style="2" bestFit="1" customWidth="1"/>
    <col min="15892" max="15892" width="9.625" style="2" bestFit="1" customWidth="1"/>
    <col min="15893" max="16118" width="9" style="2"/>
    <col min="16119" max="16119" width="2.375" style="2" customWidth="1"/>
    <col min="16120" max="16120" width="13.25" style="2" bestFit="1" customWidth="1"/>
    <col min="16121" max="16123" width="11.125" style="2" bestFit="1" customWidth="1"/>
    <col min="16124" max="16124" width="13.25" style="2" bestFit="1" customWidth="1"/>
    <col min="16125" max="16125" width="11.125" style="2" bestFit="1" customWidth="1"/>
    <col min="16126" max="16126" width="9" style="2"/>
    <col min="16127" max="16127" width="11.125" style="2" bestFit="1" customWidth="1"/>
    <col min="16128" max="16128" width="9" style="2"/>
    <col min="16129" max="16139" width="11.125" style="2" bestFit="1" customWidth="1"/>
    <col min="16140" max="16140" width="9" style="2"/>
    <col min="16141" max="16147" width="11.125" style="2" bestFit="1" customWidth="1"/>
    <col min="16148" max="16148" width="9.625" style="2" bestFit="1" customWidth="1"/>
    <col min="16149" max="16384" width="9" style="2"/>
  </cols>
  <sheetData>
    <row r="1" spans="1:22">
      <c r="A1" s="1" t="s">
        <v>0</v>
      </c>
    </row>
    <row r="2" spans="1:22">
      <c r="A2" s="1" t="s">
        <v>1</v>
      </c>
    </row>
    <row r="3" spans="1:22" ht="19.5" thickBot="1">
      <c r="A3" s="1" t="s">
        <v>118</v>
      </c>
    </row>
    <row r="4" spans="1:22">
      <c r="B4" s="3"/>
      <c r="C4" s="11" t="s">
        <v>3</v>
      </c>
      <c r="D4" s="12" t="s">
        <v>4</v>
      </c>
      <c r="E4" s="12" t="s">
        <v>8</v>
      </c>
      <c r="F4" s="12" t="s">
        <v>9</v>
      </c>
      <c r="G4" s="12" t="s">
        <v>10</v>
      </c>
      <c r="H4" s="12" t="s">
        <v>11</v>
      </c>
      <c r="I4" s="12" t="s">
        <v>12</v>
      </c>
      <c r="J4" s="12" t="s">
        <v>13</v>
      </c>
      <c r="K4" s="12" t="s">
        <v>14</v>
      </c>
      <c r="L4" s="12" t="s">
        <v>15</v>
      </c>
      <c r="M4" s="12" t="s">
        <v>16</v>
      </c>
      <c r="N4" s="12" t="s">
        <v>17</v>
      </c>
      <c r="O4" s="12" t="s">
        <v>18</v>
      </c>
      <c r="P4" s="12" t="s">
        <v>19</v>
      </c>
      <c r="Q4" s="12" t="s">
        <v>20</v>
      </c>
      <c r="R4" s="12" t="s">
        <v>21</v>
      </c>
      <c r="S4" s="61" t="s">
        <v>22</v>
      </c>
      <c r="T4" s="85" t="s">
        <v>119</v>
      </c>
    </row>
    <row r="5" spans="1:22" ht="19.5" thickBot="1">
      <c r="A5" s="98"/>
      <c r="B5" s="31" t="s">
        <v>30</v>
      </c>
      <c r="C5" s="32" t="s">
        <v>31</v>
      </c>
      <c r="D5" s="33" t="s">
        <v>32</v>
      </c>
      <c r="E5" s="33" t="s">
        <v>36</v>
      </c>
      <c r="F5" s="33" t="s">
        <v>37</v>
      </c>
      <c r="G5" s="33" t="s">
        <v>38</v>
      </c>
      <c r="H5" s="33" t="s">
        <v>39</v>
      </c>
      <c r="I5" s="33" t="s">
        <v>40</v>
      </c>
      <c r="J5" s="33" t="s">
        <v>41</v>
      </c>
      <c r="K5" s="33" t="s">
        <v>42</v>
      </c>
      <c r="L5" s="33" t="s">
        <v>43</v>
      </c>
      <c r="M5" s="33" t="s">
        <v>44</v>
      </c>
      <c r="N5" s="33" t="s">
        <v>45</v>
      </c>
      <c r="O5" s="33" t="s">
        <v>46</v>
      </c>
      <c r="P5" s="33" t="s">
        <v>47</v>
      </c>
      <c r="Q5" s="33" t="s">
        <v>48</v>
      </c>
      <c r="R5" s="33" t="s">
        <v>49</v>
      </c>
      <c r="S5" s="62" t="s">
        <v>50</v>
      </c>
      <c r="T5" s="97" t="s">
        <v>120</v>
      </c>
    </row>
    <row r="6" spans="1:22">
      <c r="A6" s="1" t="s">
        <v>2</v>
      </c>
      <c r="B6" s="26" t="s">
        <v>59</v>
      </c>
      <c r="C6" s="27">
        <v>9</v>
      </c>
      <c r="D6" s="28">
        <v>0</v>
      </c>
      <c r="E6" s="28">
        <v>18</v>
      </c>
      <c r="F6" s="28">
        <v>18</v>
      </c>
      <c r="G6" s="28">
        <v>18</v>
      </c>
      <c r="H6" s="28">
        <v>17</v>
      </c>
      <c r="I6" s="28">
        <v>17</v>
      </c>
      <c r="J6" s="28">
        <v>17</v>
      </c>
      <c r="K6" s="28">
        <v>16</v>
      </c>
      <c r="L6" s="28">
        <v>18</v>
      </c>
      <c r="M6" s="28">
        <v>16</v>
      </c>
      <c r="N6" s="28">
        <v>15</v>
      </c>
      <c r="O6" s="28">
        <v>18</v>
      </c>
      <c r="P6" s="28">
        <v>18</v>
      </c>
      <c r="Q6" s="28">
        <v>18</v>
      </c>
      <c r="R6" s="28">
        <v>17</v>
      </c>
      <c r="S6" s="63">
        <v>14</v>
      </c>
      <c r="T6" s="86">
        <f>SUM(C6:S6)</f>
        <v>264</v>
      </c>
      <c r="V6"/>
    </row>
    <row r="7" spans="1:22">
      <c r="A7" s="1" t="s">
        <v>2</v>
      </c>
      <c r="B7" s="5" t="s">
        <v>60</v>
      </c>
      <c r="C7" s="14">
        <v>3</v>
      </c>
      <c r="D7" s="15">
        <v>0</v>
      </c>
      <c r="E7" s="15">
        <v>3</v>
      </c>
      <c r="F7" s="15">
        <v>2</v>
      </c>
      <c r="G7" s="15">
        <v>3</v>
      </c>
      <c r="H7" s="15">
        <v>2</v>
      </c>
      <c r="I7" s="15">
        <v>4</v>
      </c>
      <c r="J7" s="15">
        <v>4</v>
      </c>
      <c r="K7" s="15">
        <v>2</v>
      </c>
      <c r="L7" s="15">
        <v>4</v>
      </c>
      <c r="M7" s="15">
        <v>3</v>
      </c>
      <c r="N7" s="15">
        <v>3</v>
      </c>
      <c r="O7" s="15">
        <v>2</v>
      </c>
      <c r="P7" s="15">
        <v>2</v>
      </c>
      <c r="Q7" s="15">
        <v>2</v>
      </c>
      <c r="R7" s="15">
        <v>4</v>
      </c>
      <c r="S7" s="64">
        <v>3</v>
      </c>
      <c r="T7" s="87">
        <f>SUM(C7:S7)</f>
        <v>46</v>
      </c>
      <c r="V7"/>
    </row>
    <row r="8" spans="1:22">
      <c r="A8" s="1" t="s">
        <v>2</v>
      </c>
      <c r="B8" s="5" t="s">
        <v>61</v>
      </c>
      <c r="C8" s="14">
        <v>2</v>
      </c>
      <c r="D8" s="15">
        <v>0</v>
      </c>
      <c r="E8" s="15">
        <v>3</v>
      </c>
      <c r="F8" s="15">
        <v>4</v>
      </c>
      <c r="G8" s="15">
        <v>3</v>
      </c>
      <c r="H8" s="15">
        <v>4</v>
      </c>
      <c r="I8" s="15">
        <v>2</v>
      </c>
      <c r="J8" s="15">
        <v>2</v>
      </c>
      <c r="K8" s="15">
        <v>4</v>
      </c>
      <c r="L8" s="15">
        <v>2</v>
      </c>
      <c r="M8" s="15">
        <v>4</v>
      </c>
      <c r="N8" s="15">
        <v>6</v>
      </c>
      <c r="O8" s="15">
        <v>4</v>
      </c>
      <c r="P8" s="15">
        <v>2</v>
      </c>
      <c r="Q8" s="15">
        <v>4</v>
      </c>
      <c r="R8" s="15">
        <v>2</v>
      </c>
      <c r="S8" s="64">
        <v>5</v>
      </c>
      <c r="T8" s="87">
        <f t="shared" ref="T8:T10" si="0">SUM(C8:S8)</f>
        <v>53</v>
      </c>
      <c r="V8"/>
    </row>
    <row r="9" spans="1:22">
      <c r="A9" s="1" t="s">
        <v>2</v>
      </c>
      <c r="B9" s="5" t="s">
        <v>62</v>
      </c>
      <c r="C9" s="14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1</v>
      </c>
      <c r="N9" s="15">
        <v>2</v>
      </c>
      <c r="O9" s="15">
        <v>0</v>
      </c>
      <c r="P9" s="15">
        <v>0</v>
      </c>
      <c r="Q9" s="15">
        <v>0</v>
      </c>
      <c r="R9" s="15">
        <v>1</v>
      </c>
      <c r="S9" s="64">
        <v>2</v>
      </c>
      <c r="T9" s="87">
        <f t="shared" si="0"/>
        <v>6</v>
      </c>
      <c r="V9"/>
    </row>
    <row r="10" spans="1:22">
      <c r="A10" s="1" t="s">
        <v>2</v>
      </c>
      <c r="B10" s="5" t="s">
        <v>63</v>
      </c>
      <c r="C10" s="14">
        <v>2</v>
      </c>
      <c r="D10" s="15">
        <v>5</v>
      </c>
      <c r="E10" s="15">
        <v>0</v>
      </c>
      <c r="F10" s="15">
        <v>0</v>
      </c>
      <c r="G10" s="15">
        <v>0</v>
      </c>
      <c r="H10" s="15">
        <v>1</v>
      </c>
      <c r="I10" s="15">
        <v>1</v>
      </c>
      <c r="J10" s="15">
        <v>1</v>
      </c>
      <c r="K10" s="15">
        <v>2</v>
      </c>
      <c r="L10" s="15">
        <v>0</v>
      </c>
      <c r="M10" s="15">
        <v>1</v>
      </c>
      <c r="N10" s="15">
        <v>1</v>
      </c>
      <c r="O10" s="15">
        <v>0</v>
      </c>
      <c r="P10" s="15">
        <v>0</v>
      </c>
      <c r="Q10" s="15">
        <v>0</v>
      </c>
      <c r="R10" s="15">
        <v>0</v>
      </c>
      <c r="S10" s="64">
        <v>2</v>
      </c>
      <c r="T10" s="87">
        <f t="shared" si="0"/>
        <v>16</v>
      </c>
      <c r="V10"/>
    </row>
    <row r="11" spans="1:22">
      <c r="A11" s="1" t="s">
        <v>2</v>
      </c>
      <c r="B11" s="5" t="s">
        <v>64</v>
      </c>
      <c r="C11" s="14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64">
        <v>0</v>
      </c>
      <c r="T11" s="87"/>
      <c r="V11"/>
    </row>
    <row r="12" spans="1:22">
      <c r="A12" s="1" t="s">
        <v>2</v>
      </c>
      <c r="B12" s="5" t="s">
        <v>65</v>
      </c>
      <c r="C12" s="14">
        <v>7</v>
      </c>
      <c r="D12" s="15">
        <v>13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64">
        <v>0</v>
      </c>
      <c r="T12" s="87"/>
      <c r="V12"/>
    </row>
    <row r="13" spans="1:22">
      <c r="A13" s="1" t="s">
        <v>2</v>
      </c>
      <c r="B13" s="5" t="s">
        <v>66</v>
      </c>
      <c r="C13" s="14">
        <v>7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64">
        <v>0</v>
      </c>
      <c r="T13" s="87"/>
      <c r="V13"/>
    </row>
    <row r="14" spans="1:22">
      <c r="A14" s="1" t="s">
        <v>2</v>
      </c>
      <c r="B14" s="5" t="s">
        <v>67</v>
      </c>
      <c r="C14" s="17">
        <v>0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65">
        <v>0</v>
      </c>
      <c r="T14" s="88"/>
      <c r="V14"/>
    </row>
    <row r="15" spans="1:22">
      <c r="A15" s="1" t="s">
        <v>2</v>
      </c>
      <c r="B15" s="5" t="s">
        <v>68</v>
      </c>
      <c r="C15" s="17">
        <v>0.66666666666666663</v>
      </c>
      <c r="D15" s="18">
        <v>0</v>
      </c>
      <c r="E15" s="18">
        <v>1.5416666666666665</v>
      </c>
      <c r="F15" s="18">
        <v>2.7916666666666665</v>
      </c>
      <c r="G15" s="18">
        <v>0.91666666666666663</v>
      </c>
      <c r="H15" s="18">
        <v>2.7083333333333335</v>
      </c>
      <c r="I15" s="18">
        <v>1.9583333333333335</v>
      </c>
      <c r="J15" s="18">
        <v>2.0416666666666665</v>
      </c>
      <c r="K15" s="18">
        <v>2</v>
      </c>
      <c r="L15" s="18">
        <v>0.75</v>
      </c>
      <c r="M15" s="18">
        <v>1.0416666666666667</v>
      </c>
      <c r="N15" s="18">
        <v>1.7916666666666665</v>
      </c>
      <c r="O15" s="18">
        <v>1.7916666666666665</v>
      </c>
      <c r="P15" s="18">
        <v>2.625</v>
      </c>
      <c r="Q15" s="18">
        <v>3.125</v>
      </c>
      <c r="R15" s="18">
        <v>1.125</v>
      </c>
      <c r="S15" s="65">
        <v>1.25</v>
      </c>
      <c r="T15" s="88">
        <f>SUM(C15:S15)</f>
        <v>28.125000000000004</v>
      </c>
      <c r="V15"/>
    </row>
    <row r="16" spans="1:22">
      <c r="A16" s="1" t="s">
        <v>2</v>
      </c>
      <c r="B16" s="5" t="s">
        <v>69</v>
      </c>
      <c r="C16" s="17">
        <v>1.0416666666666667</v>
      </c>
      <c r="D16" s="18">
        <v>0</v>
      </c>
      <c r="E16" s="18">
        <v>1.2083333333333333</v>
      </c>
      <c r="F16" s="18">
        <v>0.70833333333333337</v>
      </c>
      <c r="G16" s="18">
        <v>1.2083333333333333</v>
      </c>
      <c r="H16" s="18">
        <v>0.54166666666666663</v>
      </c>
      <c r="I16" s="18">
        <v>1.5416666666666665</v>
      </c>
      <c r="J16" s="18">
        <v>1.5</v>
      </c>
      <c r="K16" s="18">
        <v>0.83333333333333337</v>
      </c>
      <c r="L16" s="18">
        <v>1.2916666666666667</v>
      </c>
      <c r="M16" s="18">
        <v>1.375</v>
      </c>
      <c r="N16" s="18">
        <v>1.5416666666666665</v>
      </c>
      <c r="O16" s="18">
        <v>0.58333333333333337</v>
      </c>
      <c r="P16" s="18">
        <v>1.0416666666666667</v>
      </c>
      <c r="Q16" s="18">
        <v>0.45833333333333331</v>
      </c>
      <c r="R16" s="18">
        <v>1.0833333333333333</v>
      </c>
      <c r="S16" s="65">
        <v>0.95833333333333337</v>
      </c>
      <c r="T16" s="88">
        <f t="shared" ref="T16:T19" si="1">SUM(C16:S16)</f>
        <v>16.916666666666668</v>
      </c>
      <c r="V16"/>
    </row>
    <row r="17" spans="1:22">
      <c r="A17" s="1" t="s">
        <v>2</v>
      </c>
      <c r="B17" s="5" t="s">
        <v>70</v>
      </c>
      <c r="C17" s="17">
        <v>0.79166666666666663</v>
      </c>
      <c r="D17" s="18">
        <v>0</v>
      </c>
      <c r="E17" s="18">
        <v>1.1666666666666667</v>
      </c>
      <c r="F17" s="18">
        <v>1.7083333333333335</v>
      </c>
      <c r="G17" s="18">
        <v>1</v>
      </c>
      <c r="H17" s="18">
        <v>1.9166666666666665</v>
      </c>
      <c r="I17" s="18">
        <v>0.91666666666666663</v>
      </c>
      <c r="J17" s="18">
        <v>0.875</v>
      </c>
      <c r="K17" s="18">
        <v>1.7083333333333335</v>
      </c>
      <c r="L17" s="18">
        <v>0.54166666666666663</v>
      </c>
      <c r="M17" s="18">
        <v>1.3333333333333333</v>
      </c>
      <c r="N17" s="18">
        <v>1.75</v>
      </c>
      <c r="O17" s="18">
        <v>1.6666666666666665</v>
      </c>
      <c r="P17" s="18">
        <v>0.41666666666666669</v>
      </c>
      <c r="Q17" s="18">
        <v>1.3333333333333333</v>
      </c>
      <c r="R17" s="18">
        <v>0.66666666666666663</v>
      </c>
      <c r="S17" s="65">
        <v>1</v>
      </c>
      <c r="T17" s="88">
        <f t="shared" si="1"/>
        <v>18.791666666666668</v>
      </c>
      <c r="V17"/>
    </row>
    <row r="18" spans="1:22">
      <c r="A18" s="1" t="s">
        <v>2</v>
      </c>
      <c r="B18" s="5" t="s">
        <v>71</v>
      </c>
      <c r="C18" s="17">
        <v>0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0.41666666666666669</v>
      </c>
      <c r="S18" s="65">
        <v>0</v>
      </c>
      <c r="T18" s="88">
        <f t="shared" si="1"/>
        <v>0.41666666666666669</v>
      </c>
      <c r="V18"/>
    </row>
    <row r="19" spans="1:22">
      <c r="A19" s="1" t="s">
        <v>2</v>
      </c>
      <c r="B19" s="5" t="s">
        <v>72</v>
      </c>
      <c r="C19" s="17">
        <v>0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0.125</v>
      </c>
      <c r="N19" s="18">
        <v>0.5</v>
      </c>
      <c r="O19" s="18">
        <v>0</v>
      </c>
      <c r="P19" s="18">
        <v>0</v>
      </c>
      <c r="Q19" s="18">
        <v>0</v>
      </c>
      <c r="R19" s="18">
        <v>0</v>
      </c>
      <c r="S19" s="65">
        <v>0.33333333333333331</v>
      </c>
      <c r="T19" s="88">
        <f t="shared" si="1"/>
        <v>0.95833333333333326</v>
      </c>
      <c r="V19"/>
    </row>
    <row r="20" spans="1:22">
      <c r="A20" s="1" t="s">
        <v>2</v>
      </c>
      <c r="B20" s="5" t="s">
        <v>73</v>
      </c>
      <c r="C20" s="17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65">
        <v>0</v>
      </c>
      <c r="T20" s="88"/>
      <c r="V20"/>
    </row>
    <row r="21" spans="1:22">
      <c r="A21" s="1" t="s">
        <v>2</v>
      </c>
      <c r="B21" s="5" t="s">
        <v>74</v>
      </c>
      <c r="C21" s="17">
        <v>0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65">
        <v>0</v>
      </c>
      <c r="T21" s="88"/>
      <c r="V21"/>
    </row>
    <row r="22" spans="1:22">
      <c r="A22" s="1" t="s">
        <v>2</v>
      </c>
      <c r="B22" s="5" t="s">
        <v>75</v>
      </c>
      <c r="C22" s="17">
        <v>0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65">
        <v>0</v>
      </c>
      <c r="T22" s="88"/>
      <c r="V22"/>
    </row>
    <row r="23" spans="1:22">
      <c r="A23" s="1" t="s">
        <v>2</v>
      </c>
      <c r="B23" s="5" t="s">
        <v>76</v>
      </c>
      <c r="C23" s="17">
        <v>0.16666666666666666</v>
      </c>
      <c r="D23" s="18">
        <v>0</v>
      </c>
      <c r="E23" s="18">
        <v>0</v>
      </c>
      <c r="F23" s="18">
        <v>1.0416666666666667</v>
      </c>
      <c r="G23" s="18">
        <v>2.25</v>
      </c>
      <c r="H23" s="18">
        <v>1.5833333333333335</v>
      </c>
      <c r="I23" s="18">
        <v>8.3333333333333329E-2</v>
      </c>
      <c r="J23" s="18">
        <v>0.16666666666666666</v>
      </c>
      <c r="K23" s="18">
        <v>0</v>
      </c>
      <c r="L23" s="18">
        <v>0</v>
      </c>
      <c r="M23" s="18">
        <v>0.25</v>
      </c>
      <c r="N23" s="18">
        <v>0.54166666666666663</v>
      </c>
      <c r="O23" s="18">
        <v>0.33333333333333331</v>
      </c>
      <c r="P23" s="18">
        <v>1.125</v>
      </c>
      <c r="Q23" s="18">
        <v>1.375</v>
      </c>
      <c r="R23" s="18">
        <v>1.125</v>
      </c>
      <c r="S23" s="65">
        <v>8.3333333333333329E-2</v>
      </c>
      <c r="T23" s="88">
        <f>SUM(C23:S23)</f>
        <v>10.125000000000002</v>
      </c>
      <c r="V23"/>
    </row>
    <row r="24" spans="1:22" ht="19.5" thickBot="1">
      <c r="A24" s="1" t="s">
        <v>2</v>
      </c>
      <c r="B24" s="6" t="s">
        <v>77</v>
      </c>
      <c r="C24" s="39">
        <v>10</v>
      </c>
      <c r="D24" s="40">
        <v>15</v>
      </c>
      <c r="E24" s="40">
        <v>29</v>
      </c>
      <c r="F24" s="40">
        <v>33</v>
      </c>
      <c r="G24" s="40">
        <v>17</v>
      </c>
      <c r="H24" s="40">
        <v>26</v>
      </c>
      <c r="I24" s="40">
        <v>23</v>
      </c>
      <c r="J24" s="40">
        <v>10</v>
      </c>
      <c r="K24" s="40">
        <v>17</v>
      </c>
      <c r="L24" s="40">
        <v>28</v>
      </c>
      <c r="M24" s="40">
        <v>3</v>
      </c>
      <c r="N24" s="40">
        <v>3</v>
      </c>
      <c r="O24" s="40">
        <v>19</v>
      </c>
      <c r="P24" s="40">
        <v>11</v>
      </c>
      <c r="Q24" s="40">
        <v>9</v>
      </c>
      <c r="R24" s="40">
        <v>7</v>
      </c>
      <c r="S24" s="66">
        <v>3</v>
      </c>
      <c r="T24" s="89">
        <f>SUM(C24:S24)</f>
        <v>263</v>
      </c>
      <c r="V24"/>
    </row>
    <row r="25" spans="1:22">
      <c r="A25" s="1" t="s">
        <v>2</v>
      </c>
      <c r="B25" s="26" t="s">
        <v>78</v>
      </c>
      <c r="C25" s="35">
        <v>177000</v>
      </c>
      <c r="D25" s="36">
        <v>187000</v>
      </c>
      <c r="E25" s="36">
        <v>187000</v>
      </c>
      <c r="F25" s="36">
        <v>192000</v>
      </c>
      <c r="G25" s="36">
        <v>182000</v>
      </c>
      <c r="H25" s="36">
        <v>187000</v>
      </c>
      <c r="I25" s="36">
        <v>177000</v>
      </c>
      <c r="J25" s="36">
        <v>177000</v>
      </c>
      <c r="K25" s="36">
        <v>172000</v>
      </c>
      <c r="L25" s="36">
        <v>187000</v>
      </c>
      <c r="M25" s="36">
        <v>177000</v>
      </c>
      <c r="N25" s="36">
        <v>177000</v>
      </c>
      <c r="O25" s="36">
        <v>170000</v>
      </c>
      <c r="P25" s="36">
        <v>177000</v>
      </c>
      <c r="Q25" s="36">
        <v>175000</v>
      </c>
      <c r="R25" s="36">
        <v>175000</v>
      </c>
      <c r="S25" s="67">
        <v>170000</v>
      </c>
      <c r="T25" s="90">
        <f>SUM(C25:S25)</f>
        <v>3046000</v>
      </c>
      <c r="V25"/>
    </row>
    <row r="26" spans="1:22">
      <c r="A26" s="1" t="s">
        <v>2</v>
      </c>
      <c r="B26" s="5" t="s">
        <v>79</v>
      </c>
      <c r="C26" s="20">
        <v>0</v>
      </c>
      <c r="D26" s="21">
        <v>0</v>
      </c>
      <c r="E26" s="21">
        <v>20000</v>
      </c>
      <c r="F26" s="21">
        <v>5000</v>
      </c>
      <c r="G26" s="21">
        <v>5000</v>
      </c>
      <c r="H26" s="21">
        <v>5000</v>
      </c>
      <c r="I26" s="21">
        <v>0</v>
      </c>
      <c r="J26" s="21">
        <v>0</v>
      </c>
      <c r="K26" s="21">
        <v>0</v>
      </c>
      <c r="L26" s="21">
        <v>0</v>
      </c>
      <c r="M26" s="21">
        <v>0</v>
      </c>
      <c r="N26" s="21">
        <v>0</v>
      </c>
      <c r="O26" s="21">
        <v>0</v>
      </c>
      <c r="P26" s="21">
        <v>0</v>
      </c>
      <c r="Q26" s="21">
        <v>0</v>
      </c>
      <c r="R26" s="21">
        <v>0</v>
      </c>
      <c r="S26" s="68">
        <v>0</v>
      </c>
      <c r="T26" s="91">
        <f t="shared" ref="T26:T64" si="2">SUM(C26:S26)</f>
        <v>35000</v>
      </c>
      <c r="V26"/>
    </row>
    <row r="27" spans="1:22">
      <c r="A27" s="1" t="s">
        <v>2</v>
      </c>
      <c r="B27" s="5" t="s">
        <v>80</v>
      </c>
      <c r="C27" s="20">
        <v>0</v>
      </c>
      <c r="D27" s="21">
        <v>0</v>
      </c>
      <c r="E27" s="21">
        <v>3000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68">
        <v>0</v>
      </c>
      <c r="T27" s="91">
        <f t="shared" si="2"/>
        <v>3000</v>
      </c>
      <c r="V27"/>
    </row>
    <row r="28" spans="1:22">
      <c r="A28" s="1" t="s">
        <v>2</v>
      </c>
      <c r="B28" s="5" t="s">
        <v>81</v>
      </c>
      <c r="C28" s="20">
        <v>0</v>
      </c>
      <c r="D28" s="21">
        <v>0</v>
      </c>
      <c r="E28" s="21">
        <v>0</v>
      </c>
      <c r="F28" s="21">
        <v>0</v>
      </c>
      <c r="G28" s="21">
        <v>0</v>
      </c>
      <c r="H28" s="21">
        <v>0</v>
      </c>
      <c r="I28" s="21">
        <v>0</v>
      </c>
      <c r="J28" s="21">
        <v>0</v>
      </c>
      <c r="K28" s="21">
        <v>0</v>
      </c>
      <c r="L28" s="21">
        <v>0</v>
      </c>
      <c r="M28" s="21">
        <v>0</v>
      </c>
      <c r="N28" s="21">
        <v>0</v>
      </c>
      <c r="O28" s="21">
        <v>0</v>
      </c>
      <c r="P28" s="21">
        <v>0</v>
      </c>
      <c r="Q28" s="21">
        <v>0</v>
      </c>
      <c r="R28" s="21">
        <v>0</v>
      </c>
      <c r="S28" s="68">
        <v>0</v>
      </c>
      <c r="T28" s="91">
        <f t="shared" si="2"/>
        <v>0</v>
      </c>
      <c r="V28"/>
    </row>
    <row r="29" spans="1:22">
      <c r="A29" s="1" t="s">
        <v>2</v>
      </c>
      <c r="B29" s="5" t="s">
        <v>82</v>
      </c>
      <c r="C29" s="20">
        <v>0</v>
      </c>
      <c r="D29" s="21">
        <v>0</v>
      </c>
      <c r="E29" s="21">
        <v>0</v>
      </c>
      <c r="F29" s="21">
        <v>0</v>
      </c>
      <c r="G29" s="21">
        <v>0</v>
      </c>
      <c r="H29" s="21">
        <v>0</v>
      </c>
      <c r="I29" s="21">
        <v>0</v>
      </c>
      <c r="J29" s="21">
        <v>0</v>
      </c>
      <c r="K29" s="21">
        <v>0</v>
      </c>
      <c r="L29" s="21">
        <v>63588</v>
      </c>
      <c r="M29" s="21">
        <v>0</v>
      </c>
      <c r="N29" s="21">
        <v>0</v>
      </c>
      <c r="O29" s="21">
        <v>0</v>
      </c>
      <c r="P29" s="21">
        <v>0</v>
      </c>
      <c r="Q29" s="21">
        <v>0</v>
      </c>
      <c r="R29" s="21">
        <v>0</v>
      </c>
      <c r="S29" s="68">
        <v>0</v>
      </c>
      <c r="T29" s="91">
        <f t="shared" si="2"/>
        <v>63588</v>
      </c>
      <c r="V29"/>
    </row>
    <row r="30" spans="1:22">
      <c r="A30" s="1" t="s">
        <v>2</v>
      </c>
      <c r="B30" s="5" t="s">
        <v>83</v>
      </c>
      <c r="C30" s="20">
        <v>0</v>
      </c>
      <c r="D30" s="21">
        <v>0</v>
      </c>
      <c r="E30" s="21">
        <v>0</v>
      </c>
      <c r="F30" s="21">
        <v>0</v>
      </c>
      <c r="G30" s="21">
        <v>0</v>
      </c>
      <c r="H30" s="21">
        <v>0</v>
      </c>
      <c r="I30" s="21">
        <v>0</v>
      </c>
      <c r="J30" s="21">
        <v>0</v>
      </c>
      <c r="K30" s="21">
        <v>0</v>
      </c>
      <c r="L30" s="21">
        <v>0</v>
      </c>
      <c r="M30" s="21">
        <v>0</v>
      </c>
      <c r="N30" s="21">
        <v>0</v>
      </c>
      <c r="O30" s="21">
        <v>0</v>
      </c>
      <c r="P30" s="21">
        <v>0</v>
      </c>
      <c r="Q30" s="21">
        <v>0</v>
      </c>
      <c r="R30" s="21">
        <v>0</v>
      </c>
      <c r="S30" s="68">
        <v>0</v>
      </c>
      <c r="T30" s="91">
        <f t="shared" si="2"/>
        <v>0</v>
      </c>
      <c r="V30"/>
    </row>
    <row r="31" spans="1:22">
      <c r="A31" s="1" t="s">
        <v>2</v>
      </c>
      <c r="B31" s="5" t="s">
        <v>84</v>
      </c>
      <c r="C31" s="20">
        <v>0</v>
      </c>
      <c r="D31" s="21">
        <v>0</v>
      </c>
      <c r="E31" s="21">
        <v>0</v>
      </c>
      <c r="F31" s="21">
        <v>0</v>
      </c>
      <c r="G31" s="21">
        <v>0</v>
      </c>
      <c r="H31" s="21">
        <v>0</v>
      </c>
      <c r="I31" s="21">
        <v>0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68">
        <v>0</v>
      </c>
      <c r="T31" s="91">
        <f t="shared" si="2"/>
        <v>0</v>
      </c>
      <c r="V31"/>
    </row>
    <row r="32" spans="1:22">
      <c r="A32" s="1" t="s">
        <v>2</v>
      </c>
      <c r="B32" s="5" t="s">
        <v>85</v>
      </c>
      <c r="C32" s="20">
        <v>0</v>
      </c>
      <c r="D32" s="21">
        <v>0</v>
      </c>
      <c r="E32" s="21">
        <v>0</v>
      </c>
      <c r="F32" s="21">
        <v>0</v>
      </c>
      <c r="G32" s="21">
        <v>0</v>
      </c>
      <c r="H32" s="21">
        <v>0</v>
      </c>
      <c r="I32" s="21">
        <v>0</v>
      </c>
      <c r="J32" s="21">
        <v>0</v>
      </c>
      <c r="K32" s="21">
        <v>0</v>
      </c>
      <c r="L32" s="21">
        <v>0</v>
      </c>
      <c r="M32" s="21">
        <v>0</v>
      </c>
      <c r="N32" s="21">
        <v>0</v>
      </c>
      <c r="O32" s="21">
        <v>0</v>
      </c>
      <c r="P32" s="21">
        <v>0</v>
      </c>
      <c r="Q32" s="21">
        <v>0</v>
      </c>
      <c r="R32" s="21">
        <v>0</v>
      </c>
      <c r="S32" s="68">
        <v>0</v>
      </c>
      <c r="T32" s="91">
        <f t="shared" si="2"/>
        <v>0</v>
      </c>
      <c r="V32"/>
    </row>
    <row r="33" spans="1:22">
      <c r="A33" s="1" t="s">
        <v>2</v>
      </c>
      <c r="B33" s="5" t="s">
        <v>86</v>
      </c>
      <c r="C33" s="20">
        <v>1000</v>
      </c>
      <c r="D33" s="21">
        <v>1000</v>
      </c>
      <c r="E33" s="21">
        <v>1000</v>
      </c>
      <c r="F33" s="21">
        <v>1000</v>
      </c>
      <c r="G33" s="21">
        <v>0</v>
      </c>
      <c r="H33" s="21">
        <v>1000</v>
      </c>
      <c r="I33" s="21">
        <v>0</v>
      </c>
      <c r="J33" s="21">
        <v>1000</v>
      </c>
      <c r="K33" s="21">
        <v>0</v>
      </c>
      <c r="L33" s="21">
        <v>1000</v>
      </c>
      <c r="M33" s="21">
        <v>1000</v>
      </c>
      <c r="N33" s="21">
        <v>1000</v>
      </c>
      <c r="O33" s="21">
        <v>1000</v>
      </c>
      <c r="P33" s="21">
        <v>1000</v>
      </c>
      <c r="Q33" s="21">
        <v>1000</v>
      </c>
      <c r="R33" s="21">
        <v>1000</v>
      </c>
      <c r="S33" s="68">
        <v>0</v>
      </c>
      <c r="T33" s="91">
        <f t="shared" si="2"/>
        <v>13000</v>
      </c>
      <c r="V33"/>
    </row>
    <row r="34" spans="1:22">
      <c r="A34" s="1" t="s">
        <v>2</v>
      </c>
      <c r="B34" s="5" t="s">
        <v>87</v>
      </c>
      <c r="C34" s="20">
        <v>0</v>
      </c>
      <c r="D34" s="21">
        <v>0</v>
      </c>
      <c r="E34" s="21">
        <v>0</v>
      </c>
      <c r="F34" s="21">
        <v>0</v>
      </c>
      <c r="G34" s="21">
        <v>0</v>
      </c>
      <c r="H34" s="21">
        <v>0</v>
      </c>
      <c r="I34" s="21">
        <v>0</v>
      </c>
      <c r="J34" s="21">
        <v>0</v>
      </c>
      <c r="K34" s="21">
        <v>0</v>
      </c>
      <c r="L34" s="21">
        <v>0</v>
      </c>
      <c r="M34" s="21">
        <v>0</v>
      </c>
      <c r="N34" s="21">
        <v>0</v>
      </c>
      <c r="O34" s="21">
        <v>0</v>
      </c>
      <c r="P34" s="21">
        <v>0</v>
      </c>
      <c r="Q34" s="21">
        <v>0</v>
      </c>
      <c r="R34" s="21">
        <v>0</v>
      </c>
      <c r="S34" s="68">
        <v>0</v>
      </c>
      <c r="T34" s="91">
        <f t="shared" si="2"/>
        <v>0</v>
      </c>
      <c r="V34"/>
    </row>
    <row r="35" spans="1:22">
      <c r="A35" s="1" t="s">
        <v>2</v>
      </c>
      <c r="B35" s="5" t="s">
        <v>88</v>
      </c>
      <c r="C35" s="20">
        <v>0</v>
      </c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68">
        <v>0</v>
      </c>
      <c r="T35" s="91">
        <f t="shared" si="2"/>
        <v>0</v>
      </c>
      <c r="V35"/>
    </row>
    <row r="36" spans="1:22">
      <c r="A36" s="1" t="s">
        <v>2</v>
      </c>
      <c r="B36" s="5" t="s">
        <v>89</v>
      </c>
      <c r="C36" s="20">
        <v>0</v>
      </c>
      <c r="D36" s="21">
        <v>0</v>
      </c>
      <c r="E36" s="21">
        <v>0</v>
      </c>
      <c r="F36" s="21">
        <v>0</v>
      </c>
      <c r="G36" s="21">
        <v>0</v>
      </c>
      <c r="H36" s="21">
        <v>0</v>
      </c>
      <c r="I36" s="21">
        <v>0</v>
      </c>
      <c r="J36" s="21">
        <v>0</v>
      </c>
      <c r="K36" s="21">
        <v>0</v>
      </c>
      <c r="L36" s="21">
        <v>0</v>
      </c>
      <c r="M36" s="21">
        <v>0</v>
      </c>
      <c r="N36" s="21">
        <v>0</v>
      </c>
      <c r="O36" s="21">
        <v>0</v>
      </c>
      <c r="P36" s="21">
        <v>0</v>
      </c>
      <c r="Q36" s="21">
        <v>0</v>
      </c>
      <c r="R36" s="21">
        <v>0</v>
      </c>
      <c r="S36" s="68">
        <v>0</v>
      </c>
      <c r="T36" s="91">
        <f t="shared" si="2"/>
        <v>0</v>
      </c>
      <c r="V36"/>
    </row>
    <row r="37" spans="1:22">
      <c r="A37" s="1" t="s">
        <v>2</v>
      </c>
      <c r="B37" s="5" t="s">
        <v>90</v>
      </c>
      <c r="C37" s="58">
        <v>-59612</v>
      </c>
      <c r="D37" s="59">
        <v>-116935</v>
      </c>
      <c r="E37" s="21">
        <v>0</v>
      </c>
      <c r="F37" s="21">
        <v>0</v>
      </c>
      <c r="G37" s="21">
        <v>0</v>
      </c>
      <c r="H37" s="21">
        <v>0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68">
        <v>0</v>
      </c>
      <c r="T37" s="92">
        <f t="shared" si="2"/>
        <v>-176547</v>
      </c>
      <c r="V37"/>
    </row>
    <row r="38" spans="1:22">
      <c r="A38" s="1" t="s">
        <v>2</v>
      </c>
      <c r="B38" s="5" t="s">
        <v>68</v>
      </c>
      <c r="C38" s="20">
        <v>21328</v>
      </c>
      <c r="D38" s="21">
        <v>0</v>
      </c>
      <c r="E38" s="21">
        <v>58423</v>
      </c>
      <c r="F38" s="21">
        <v>99361</v>
      </c>
      <c r="G38" s="21">
        <v>30800</v>
      </c>
      <c r="H38" s="21">
        <v>93925</v>
      </c>
      <c r="I38" s="21">
        <v>62275</v>
      </c>
      <c r="J38" s="21">
        <v>65317</v>
      </c>
      <c r="K38" s="21">
        <v>61824</v>
      </c>
      <c r="L38" s="21">
        <v>25344</v>
      </c>
      <c r="M38" s="21">
        <v>33325</v>
      </c>
      <c r="N38" s="21">
        <v>57319</v>
      </c>
      <c r="O38" s="21">
        <v>55040</v>
      </c>
      <c r="P38" s="21">
        <v>83979</v>
      </c>
      <c r="Q38" s="21">
        <v>98850</v>
      </c>
      <c r="R38" s="21">
        <v>35586</v>
      </c>
      <c r="S38" s="68">
        <v>38190</v>
      </c>
      <c r="T38" s="91">
        <f t="shared" si="2"/>
        <v>920886</v>
      </c>
      <c r="V38"/>
    </row>
    <row r="39" spans="1:22">
      <c r="A39" s="1" t="s">
        <v>2</v>
      </c>
      <c r="B39" s="5" t="s">
        <v>91</v>
      </c>
      <c r="C39" s="20">
        <v>35975</v>
      </c>
      <c r="D39" s="21">
        <v>0</v>
      </c>
      <c r="E39" s="21">
        <v>49445</v>
      </c>
      <c r="F39" s="21">
        <v>27217</v>
      </c>
      <c r="G39" s="21">
        <v>43848</v>
      </c>
      <c r="H39" s="21">
        <v>20293</v>
      </c>
      <c r="I39" s="21">
        <v>52947</v>
      </c>
      <c r="J39" s="21">
        <v>51804</v>
      </c>
      <c r="K39" s="21">
        <v>27820</v>
      </c>
      <c r="L39" s="21">
        <v>47120</v>
      </c>
      <c r="M39" s="21">
        <v>47487</v>
      </c>
      <c r="N39" s="21">
        <v>53243</v>
      </c>
      <c r="O39" s="21">
        <v>19348</v>
      </c>
      <c r="P39" s="21">
        <v>35975</v>
      </c>
      <c r="Q39" s="21">
        <v>15653</v>
      </c>
      <c r="R39" s="21">
        <v>36998</v>
      </c>
      <c r="S39" s="68">
        <v>31602</v>
      </c>
      <c r="T39" s="91">
        <f t="shared" si="2"/>
        <v>596775</v>
      </c>
      <c r="V39"/>
    </row>
    <row r="40" spans="1:22">
      <c r="A40" s="1" t="s">
        <v>2</v>
      </c>
      <c r="B40" s="5" t="s">
        <v>92</v>
      </c>
      <c r="C40" s="20">
        <v>27341</v>
      </c>
      <c r="D40" s="21">
        <v>0</v>
      </c>
      <c r="E40" s="21">
        <v>47740</v>
      </c>
      <c r="F40" s="21">
        <v>65641</v>
      </c>
      <c r="G40" s="21">
        <v>36288</v>
      </c>
      <c r="H40" s="21">
        <v>71806</v>
      </c>
      <c r="I40" s="21">
        <v>31482</v>
      </c>
      <c r="J40" s="21">
        <v>30219</v>
      </c>
      <c r="K40" s="21">
        <v>57031</v>
      </c>
      <c r="L40" s="21">
        <v>19760</v>
      </c>
      <c r="M40" s="21">
        <v>46048</v>
      </c>
      <c r="N40" s="21">
        <v>60438</v>
      </c>
      <c r="O40" s="21">
        <v>55280</v>
      </c>
      <c r="P40" s="21">
        <v>14390</v>
      </c>
      <c r="Q40" s="21">
        <v>45536</v>
      </c>
      <c r="R40" s="21">
        <v>22768</v>
      </c>
      <c r="S40" s="68">
        <v>32976</v>
      </c>
      <c r="T40" s="91">
        <f t="shared" si="2"/>
        <v>664744</v>
      </c>
      <c r="V40"/>
    </row>
    <row r="41" spans="1:22">
      <c r="A41" s="1" t="s">
        <v>2</v>
      </c>
      <c r="B41" s="5" t="s">
        <v>93</v>
      </c>
      <c r="C41" s="20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3690</v>
      </c>
      <c r="S41" s="68">
        <v>0</v>
      </c>
      <c r="T41" s="91">
        <f t="shared" si="2"/>
        <v>3690</v>
      </c>
      <c r="V41"/>
    </row>
    <row r="42" spans="1:22">
      <c r="A42" s="1" t="s">
        <v>2</v>
      </c>
      <c r="B42" s="5" t="s">
        <v>94</v>
      </c>
      <c r="C42" s="20">
        <v>0</v>
      </c>
      <c r="D42" s="21">
        <v>0</v>
      </c>
      <c r="E42" s="21">
        <v>0</v>
      </c>
      <c r="F42" s="21">
        <v>0</v>
      </c>
      <c r="G42" s="21">
        <v>0</v>
      </c>
      <c r="H42" s="21">
        <v>0</v>
      </c>
      <c r="I42" s="21">
        <v>0</v>
      </c>
      <c r="J42" s="21">
        <v>0</v>
      </c>
      <c r="K42" s="21">
        <v>0</v>
      </c>
      <c r="L42" s="21">
        <v>0</v>
      </c>
      <c r="M42" s="21">
        <v>1119</v>
      </c>
      <c r="N42" s="21">
        <v>4476</v>
      </c>
      <c r="O42" s="21">
        <v>0</v>
      </c>
      <c r="P42" s="21">
        <v>0</v>
      </c>
      <c r="Q42" s="21">
        <v>0</v>
      </c>
      <c r="R42" s="21">
        <v>0</v>
      </c>
      <c r="S42" s="68">
        <v>2848</v>
      </c>
      <c r="T42" s="91">
        <f t="shared" si="2"/>
        <v>8443</v>
      </c>
      <c r="V42"/>
    </row>
    <row r="43" spans="1:22">
      <c r="A43" s="1" t="s">
        <v>2</v>
      </c>
      <c r="B43" s="5" t="s">
        <v>95</v>
      </c>
      <c r="C43" s="20">
        <v>59612</v>
      </c>
      <c r="D43" s="21">
        <v>0</v>
      </c>
      <c r="E43" s="21">
        <v>0</v>
      </c>
      <c r="F43" s="21">
        <v>0</v>
      </c>
      <c r="G43" s="21">
        <v>0</v>
      </c>
      <c r="H43" s="21">
        <v>0</v>
      </c>
      <c r="I43" s="21">
        <v>0</v>
      </c>
      <c r="J43" s="21">
        <v>0</v>
      </c>
      <c r="K43" s="21">
        <v>0</v>
      </c>
      <c r="L43" s="21">
        <v>0</v>
      </c>
      <c r="M43" s="21">
        <v>0</v>
      </c>
      <c r="N43" s="21">
        <v>0</v>
      </c>
      <c r="O43" s="21">
        <v>0</v>
      </c>
      <c r="P43" s="21">
        <v>0</v>
      </c>
      <c r="Q43" s="21">
        <v>0</v>
      </c>
      <c r="R43" s="21">
        <v>0</v>
      </c>
      <c r="S43" s="68">
        <v>0</v>
      </c>
      <c r="T43" s="91">
        <f t="shared" si="2"/>
        <v>59612</v>
      </c>
      <c r="V43"/>
    </row>
    <row r="44" spans="1:22">
      <c r="A44" s="1" t="s">
        <v>2</v>
      </c>
      <c r="B44" s="5" t="s">
        <v>73</v>
      </c>
      <c r="C44" s="20">
        <v>0</v>
      </c>
      <c r="D44" s="21">
        <v>0</v>
      </c>
      <c r="E44" s="21">
        <v>0</v>
      </c>
      <c r="F44" s="21">
        <v>0</v>
      </c>
      <c r="G44" s="21">
        <v>0</v>
      </c>
      <c r="H44" s="21">
        <v>0</v>
      </c>
      <c r="I44" s="21">
        <v>0</v>
      </c>
      <c r="J44" s="21">
        <v>0</v>
      </c>
      <c r="K44" s="21">
        <v>0</v>
      </c>
      <c r="L44" s="21">
        <v>0</v>
      </c>
      <c r="M44" s="21">
        <v>0</v>
      </c>
      <c r="N44" s="21">
        <v>0</v>
      </c>
      <c r="O44" s="21">
        <v>0</v>
      </c>
      <c r="P44" s="21">
        <v>0</v>
      </c>
      <c r="Q44" s="21">
        <v>0</v>
      </c>
      <c r="R44" s="21">
        <v>0</v>
      </c>
      <c r="S44" s="68">
        <v>0</v>
      </c>
      <c r="T44" s="91">
        <f t="shared" si="2"/>
        <v>0</v>
      </c>
      <c r="V44"/>
    </row>
    <row r="45" spans="1:22" ht="19.5" thickBot="1">
      <c r="A45" s="1" t="s">
        <v>2</v>
      </c>
      <c r="B45" s="43" t="s">
        <v>76</v>
      </c>
      <c r="C45" s="44">
        <v>1068</v>
      </c>
      <c r="D45" s="45">
        <v>0</v>
      </c>
      <c r="E45" s="45">
        <v>0</v>
      </c>
      <c r="F45" s="45">
        <v>7425</v>
      </c>
      <c r="G45" s="45">
        <v>15120</v>
      </c>
      <c r="H45" s="45">
        <v>10982</v>
      </c>
      <c r="I45" s="45">
        <v>530</v>
      </c>
      <c r="J45" s="45">
        <v>1068</v>
      </c>
      <c r="K45" s="45">
        <v>0</v>
      </c>
      <c r="L45" s="45">
        <v>0</v>
      </c>
      <c r="M45" s="45">
        <v>1602</v>
      </c>
      <c r="N45" s="45">
        <v>3471</v>
      </c>
      <c r="O45" s="45">
        <v>2048</v>
      </c>
      <c r="P45" s="45">
        <v>7209</v>
      </c>
      <c r="Q45" s="45">
        <v>8712</v>
      </c>
      <c r="R45" s="45">
        <v>7128</v>
      </c>
      <c r="S45" s="69">
        <v>510</v>
      </c>
      <c r="T45" s="93">
        <f t="shared" si="2"/>
        <v>66873</v>
      </c>
      <c r="V45"/>
    </row>
    <row r="46" spans="1:22" ht="19.5" thickBot="1">
      <c r="A46" s="1" t="s">
        <v>2</v>
      </c>
      <c r="B46" s="48" t="s">
        <v>96</v>
      </c>
      <c r="C46" s="49">
        <v>263712</v>
      </c>
      <c r="D46" s="50">
        <v>71065</v>
      </c>
      <c r="E46" s="50">
        <v>366608</v>
      </c>
      <c r="F46" s="50">
        <v>397644</v>
      </c>
      <c r="G46" s="50">
        <v>313056</v>
      </c>
      <c r="H46" s="50">
        <v>390006</v>
      </c>
      <c r="I46" s="50">
        <v>324234</v>
      </c>
      <c r="J46" s="50">
        <v>326408</v>
      </c>
      <c r="K46" s="50">
        <v>318675</v>
      </c>
      <c r="L46" s="50">
        <v>343812</v>
      </c>
      <c r="M46" s="50">
        <v>307581</v>
      </c>
      <c r="N46" s="50">
        <v>356947</v>
      </c>
      <c r="O46" s="50">
        <v>302716</v>
      </c>
      <c r="P46" s="50">
        <v>319553</v>
      </c>
      <c r="Q46" s="50">
        <v>344751</v>
      </c>
      <c r="R46" s="50">
        <v>282170</v>
      </c>
      <c r="S46" s="70">
        <v>276126</v>
      </c>
      <c r="T46" s="94">
        <f t="shared" si="2"/>
        <v>5305064</v>
      </c>
      <c r="V46"/>
    </row>
    <row r="47" spans="1:22" ht="19.5" thickBot="1">
      <c r="A47" s="1" t="s">
        <v>2</v>
      </c>
      <c r="B47" s="26" t="s">
        <v>97</v>
      </c>
      <c r="C47" s="35">
        <v>6764</v>
      </c>
      <c r="D47" s="36">
        <v>0</v>
      </c>
      <c r="E47" s="36">
        <v>5218</v>
      </c>
      <c r="F47" s="36">
        <v>2899</v>
      </c>
      <c r="G47" s="36">
        <v>13333</v>
      </c>
      <c r="H47" s="36">
        <v>2223</v>
      </c>
      <c r="I47" s="36">
        <v>2223</v>
      </c>
      <c r="J47" s="36">
        <v>1112</v>
      </c>
      <c r="K47" s="36">
        <v>2657</v>
      </c>
      <c r="L47" s="36">
        <v>4638</v>
      </c>
      <c r="M47" s="36">
        <v>5556</v>
      </c>
      <c r="N47" s="36">
        <v>4058</v>
      </c>
      <c r="O47" s="36">
        <v>6957</v>
      </c>
      <c r="P47" s="36">
        <v>3189</v>
      </c>
      <c r="Q47" s="36">
        <v>5797</v>
      </c>
      <c r="R47" s="36">
        <v>9445</v>
      </c>
      <c r="S47" s="67">
        <v>3720</v>
      </c>
      <c r="T47" s="90">
        <f t="shared" si="2"/>
        <v>79789</v>
      </c>
      <c r="V47"/>
    </row>
    <row r="48" spans="1:22" ht="19.5" thickBot="1">
      <c r="A48" s="1" t="s">
        <v>2</v>
      </c>
      <c r="B48" s="48" t="s">
        <v>98</v>
      </c>
      <c r="C48" s="49">
        <v>6764</v>
      </c>
      <c r="D48" s="50">
        <v>0</v>
      </c>
      <c r="E48" s="50">
        <v>5218</v>
      </c>
      <c r="F48" s="50">
        <v>2899</v>
      </c>
      <c r="G48" s="50">
        <v>13333</v>
      </c>
      <c r="H48" s="50">
        <v>2223</v>
      </c>
      <c r="I48" s="50">
        <v>2223</v>
      </c>
      <c r="J48" s="50">
        <v>1112</v>
      </c>
      <c r="K48" s="50">
        <v>2657</v>
      </c>
      <c r="L48" s="50">
        <v>4638</v>
      </c>
      <c r="M48" s="50">
        <v>5556</v>
      </c>
      <c r="N48" s="50">
        <v>4058</v>
      </c>
      <c r="O48" s="50">
        <v>6957</v>
      </c>
      <c r="P48" s="50">
        <v>3189</v>
      </c>
      <c r="Q48" s="50">
        <v>5797</v>
      </c>
      <c r="R48" s="50">
        <v>9445</v>
      </c>
      <c r="S48" s="70">
        <v>3720</v>
      </c>
      <c r="T48" s="94">
        <f t="shared" si="2"/>
        <v>79789</v>
      </c>
      <c r="V48"/>
    </row>
    <row r="49" spans="1:22" ht="19.5" thickBot="1">
      <c r="A49" s="1" t="s">
        <v>2</v>
      </c>
      <c r="B49" s="48" t="s">
        <v>99</v>
      </c>
      <c r="C49" s="49">
        <v>270476</v>
      </c>
      <c r="D49" s="50">
        <v>71065</v>
      </c>
      <c r="E49" s="50">
        <v>371826</v>
      </c>
      <c r="F49" s="50">
        <v>400543</v>
      </c>
      <c r="G49" s="50">
        <v>326389</v>
      </c>
      <c r="H49" s="50">
        <v>392229</v>
      </c>
      <c r="I49" s="50">
        <v>326457</v>
      </c>
      <c r="J49" s="50">
        <v>327520</v>
      </c>
      <c r="K49" s="50">
        <v>321332</v>
      </c>
      <c r="L49" s="50">
        <v>348450</v>
      </c>
      <c r="M49" s="50">
        <v>313137</v>
      </c>
      <c r="N49" s="50">
        <v>361005</v>
      </c>
      <c r="O49" s="50">
        <v>309673</v>
      </c>
      <c r="P49" s="50">
        <v>322742</v>
      </c>
      <c r="Q49" s="50">
        <v>350548</v>
      </c>
      <c r="R49" s="50">
        <v>291615</v>
      </c>
      <c r="S49" s="70">
        <v>279846</v>
      </c>
      <c r="T49" s="94">
        <f t="shared" si="2"/>
        <v>5384853</v>
      </c>
      <c r="V49"/>
    </row>
    <row r="50" spans="1:22">
      <c r="A50" s="1" t="s">
        <v>2</v>
      </c>
      <c r="B50" s="26" t="s">
        <v>100</v>
      </c>
      <c r="C50" s="35">
        <v>16320</v>
      </c>
      <c r="D50" s="36">
        <v>19380</v>
      </c>
      <c r="E50" s="36">
        <v>19380</v>
      </c>
      <c r="F50" s="36">
        <v>20910</v>
      </c>
      <c r="G50" s="36">
        <v>19380</v>
      </c>
      <c r="H50" s="36">
        <v>20910</v>
      </c>
      <c r="I50" s="36">
        <v>16320</v>
      </c>
      <c r="J50" s="36">
        <v>15300</v>
      </c>
      <c r="K50" s="36">
        <v>16320</v>
      </c>
      <c r="L50" s="36">
        <v>17340</v>
      </c>
      <c r="M50" s="36">
        <v>16320</v>
      </c>
      <c r="N50" s="36">
        <v>17340</v>
      </c>
      <c r="O50" s="36">
        <v>15300</v>
      </c>
      <c r="P50" s="36">
        <v>19380</v>
      </c>
      <c r="Q50" s="36">
        <v>17340</v>
      </c>
      <c r="R50" s="36">
        <v>15300</v>
      </c>
      <c r="S50" s="67">
        <v>13260</v>
      </c>
      <c r="T50" s="90">
        <f t="shared" si="2"/>
        <v>295800</v>
      </c>
      <c r="V50"/>
    </row>
    <row r="51" spans="1:22">
      <c r="A51" s="1" t="s">
        <v>2</v>
      </c>
      <c r="B51" s="5" t="s">
        <v>101</v>
      </c>
      <c r="C51" s="20">
        <v>2880</v>
      </c>
      <c r="D51" s="21">
        <v>3420</v>
      </c>
      <c r="E51" s="21">
        <v>3420</v>
      </c>
      <c r="F51" s="21">
        <v>3690</v>
      </c>
      <c r="G51" s="21">
        <v>3420</v>
      </c>
      <c r="H51" s="21">
        <v>3690</v>
      </c>
      <c r="I51" s="21">
        <v>2880</v>
      </c>
      <c r="J51" s="21">
        <v>2700</v>
      </c>
      <c r="K51" s="21">
        <v>2880</v>
      </c>
      <c r="L51" s="21">
        <v>3060</v>
      </c>
      <c r="M51" s="21">
        <v>2880</v>
      </c>
      <c r="N51" s="21">
        <v>0</v>
      </c>
      <c r="O51" s="21">
        <v>2700</v>
      </c>
      <c r="P51" s="21">
        <v>3420</v>
      </c>
      <c r="Q51" s="21">
        <v>3060</v>
      </c>
      <c r="R51" s="21">
        <v>2700</v>
      </c>
      <c r="S51" s="68">
        <v>0</v>
      </c>
      <c r="T51" s="91">
        <f t="shared" si="2"/>
        <v>46800</v>
      </c>
      <c r="V51"/>
    </row>
    <row r="52" spans="1:22">
      <c r="A52" s="1" t="s">
        <v>2</v>
      </c>
      <c r="B52" s="5" t="s">
        <v>102</v>
      </c>
      <c r="C52" s="20">
        <v>29280</v>
      </c>
      <c r="D52" s="21">
        <v>34770</v>
      </c>
      <c r="E52" s="21">
        <v>34770</v>
      </c>
      <c r="F52" s="21">
        <v>37515</v>
      </c>
      <c r="G52" s="21">
        <v>34770</v>
      </c>
      <c r="H52" s="21">
        <v>37515</v>
      </c>
      <c r="I52" s="21">
        <v>29280</v>
      </c>
      <c r="J52" s="21">
        <v>27450</v>
      </c>
      <c r="K52" s="21">
        <v>29280</v>
      </c>
      <c r="L52" s="21">
        <v>31110</v>
      </c>
      <c r="M52" s="21">
        <v>29280</v>
      </c>
      <c r="N52" s="21">
        <v>31110</v>
      </c>
      <c r="O52" s="21">
        <v>27450</v>
      </c>
      <c r="P52" s="21">
        <v>34770</v>
      </c>
      <c r="Q52" s="21">
        <v>31110</v>
      </c>
      <c r="R52" s="21">
        <v>27450</v>
      </c>
      <c r="S52" s="68">
        <v>23790</v>
      </c>
      <c r="T52" s="91">
        <f t="shared" si="2"/>
        <v>530700</v>
      </c>
      <c r="V52"/>
    </row>
    <row r="53" spans="1:22" ht="19.5" thickBot="1">
      <c r="A53" s="1" t="s">
        <v>2</v>
      </c>
      <c r="B53" s="5" t="s">
        <v>103</v>
      </c>
      <c r="C53" s="20">
        <v>811</v>
      </c>
      <c r="D53" s="21">
        <v>213</v>
      </c>
      <c r="E53" s="21">
        <v>1115</v>
      </c>
      <c r="F53" s="21">
        <v>1202</v>
      </c>
      <c r="G53" s="21">
        <v>979</v>
      </c>
      <c r="H53" s="21">
        <v>1177</v>
      </c>
      <c r="I53" s="21">
        <v>979</v>
      </c>
      <c r="J53" s="21">
        <v>983</v>
      </c>
      <c r="K53" s="21">
        <v>964</v>
      </c>
      <c r="L53" s="21">
        <v>1045</v>
      </c>
      <c r="M53" s="21">
        <v>939</v>
      </c>
      <c r="N53" s="21">
        <v>1083</v>
      </c>
      <c r="O53" s="21">
        <v>929</v>
      </c>
      <c r="P53" s="21">
        <v>968</v>
      </c>
      <c r="Q53" s="21">
        <v>1052</v>
      </c>
      <c r="R53" s="21">
        <v>875</v>
      </c>
      <c r="S53" s="68">
        <v>840</v>
      </c>
      <c r="T53" s="91">
        <f t="shared" si="2"/>
        <v>16154</v>
      </c>
      <c r="V53"/>
    </row>
    <row r="54" spans="1:22" ht="19.5" thickBot="1">
      <c r="A54" s="1" t="s">
        <v>2</v>
      </c>
      <c r="B54" s="48" t="s">
        <v>104</v>
      </c>
      <c r="C54" s="49">
        <v>49291</v>
      </c>
      <c r="D54" s="50">
        <v>57783</v>
      </c>
      <c r="E54" s="50">
        <v>58685</v>
      </c>
      <c r="F54" s="50">
        <v>63317</v>
      </c>
      <c r="G54" s="50">
        <v>58549</v>
      </c>
      <c r="H54" s="50">
        <v>63292</v>
      </c>
      <c r="I54" s="50">
        <v>49459</v>
      </c>
      <c r="J54" s="50">
        <v>46433</v>
      </c>
      <c r="K54" s="50">
        <v>49444</v>
      </c>
      <c r="L54" s="50">
        <v>52555</v>
      </c>
      <c r="M54" s="50">
        <v>49419</v>
      </c>
      <c r="N54" s="50">
        <v>49533</v>
      </c>
      <c r="O54" s="50">
        <v>46379</v>
      </c>
      <c r="P54" s="50">
        <v>58538</v>
      </c>
      <c r="Q54" s="50">
        <v>52562</v>
      </c>
      <c r="R54" s="50">
        <v>46325</v>
      </c>
      <c r="S54" s="70">
        <v>37890</v>
      </c>
      <c r="T54" s="94">
        <f t="shared" si="2"/>
        <v>889454</v>
      </c>
      <c r="V54"/>
    </row>
    <row r="55" spans="1:22">
      <c r="A55" s="1" t="s">
        <v>2</v>
      </c>
      <c r="B55" s="26" t="s">
        <v>105</v>
      </c>
      <c r="C55" s="35">
        <v>3660</v>
      </c>
      <c r="D55" s="36">
        <v>0</v>
      </c>
      <c r="E55" s="36">
        <v>7050</v>
      </c>
      <c r="F55" s="36">
        <v>11180</v>
      </c>
      <c r="G55" s="36">
        <v>5100</v>
      </c>
      <c r="H55" s="36">
        <v>10560</v>
      </c>
      <c r="I55" s="36">
        <v>7440</v>
      </c>
      <c r="J55" s="36">
        <v>6010</v>
      </c>
      <c r="K55" s="36">
        <v>7240</v>
      </c>
      <c r="L55" s="36">
        <v>8030</v>
      </c>
      <c r="M55" s="36">
        <v>6840</v>
      </c>
      <c r="N55" s="36">
        <v>8990</v>
      </c>
      <c r="O55" s="36">
        <v>6780</v>
      </c>
      <c r="P55" s="36">
        <v>6940</v>
      </c>
      <c r="Q55" s="36">
        <v>3210</v>
      </c>
      <c r="R55" s="36">
        <v>6050</v>
      </c>
      <c r="S55" s="67">
        <v>6130</v>
      </c>
      <c r="T55" s="90">
        <f t="shared" si="2"/>
        <v>111210</v>
      </c>
      <c r="V55"/>
    </row>
    <row r="56" spans="1:22">
      <c r="A56" s="1" t="s">
        <v>2</v>
      </c>
      <c r="B56" s="5" t="s">
        <v>106</v>
      </c>
      <c r="C56" s="20">
        <v>1300</v>
      </c>
      <c r="D56" s="21">
        <v>1300</v>
      </c>
      <c r="E56" s="21">
        <v>1300</v>
      </c>
      <c r="F56" s="21">
        <v>0</v>
      </c>
      <c r="G56" s="21">
        <v>1300</v>
      </c>
      <c r="H56" s="21">
        <v>1300</v>
      </c>
      <c r="I56" s="21">
        <v>1300</v>
      </c>
      <c r="J56" s="21">
        <v>1300</v>
      </c>
      <c r="K56" s="21">
        <v>1300</v>
      </c>
      <c r="L56" s="21">
        <v>1300</v>
      </c>
      <c r="M56" s="21">
        <v>0</v>
      </c>
      <c r="N56" s="21">
        <v>0</v>
      </c>
      <c r="O56" s="21">
        <v>1300</v>
      </c>
      <c r="P56" s="21">
        <v>1300</v>
      </c>
      <c r="Q56" s="21">
        <v>1300</v>
      </c>
      <c r="R56" s="21">
        <v>0</v>
      </c>
      <c r="S56" s="68">
        <v>0</v>
      </c>
      <c r="T56" s="91">
        <f t="shared" si="2"/>
        <v>15600</v>
      </c>
      <c r="V56"/>
    </row>
    <row r="57" spans="1:22">
      <c r="A57" s="1" t="s">
        <v>2</v>
      </c>
      <c r="B57" s="5" t="s">
        <v>107</v>
      </c>
      <c r="C57" s="20">
        <v>8600</v>
      </c>
      <c r="D57" s="21">
        <v>14600</v>
      </c>
      <c r="E57" s="21">
        <v>13800</v>
      </c>
      <c r="F57" s="21">
        <v>16700</v>
      </c>
      <c r="G57" s="21">
        <v>15200</v>
      </c>
      <c r="H57" s="21">
        <v>17700</v>
      </c>
      <c r="I57" s="21">
        <v>13500</v>
      </c>
      <c r="J57" s="21">
        <v>9200</v>
      </c>
      <c r="K57" s="21">
        <v>13000</v>
      </c>
      <c r="L57" s="21">
        <v>13800</v>
      </c>
      <c r="M57" s="21">
        <v>10500</v>
      </c>
      <c r="N57" s="21">
        <v>13500</v>
      </c>
      <c r="O57" s="21">
        <v>12100</v>
      </c>
      <c r="P57" s="21">
        <v>14200</v>
      </c>
      <c r="Q57" s="21">
        <v>5600</v>
      </c>
      <c r="R57" s="21">
        <v>0</v>
      </c>
      <c r="S57" s="68">
        <v>0</v>
      </c>
      <c r="T57" s="91">
        <f t="shared" si="2"/>
        <v>192000</v>
      </c>
      <c r="V57"/>
    </row>
    <row r="58" spans="1:22">
      <c r="A58" s="1" t="s">
        <v>2</v>
      </c>
      <c r="B58" s="5" t="s">
        <v>108</v>
      </c>
      <c r="C58" s="20">
        <v>0</v>
      </c>
      <c r="D58" s="59">
        <v>-73683</v>
      </c>
      <c r="E58" s="21">
        <v>0</v>
      </c>
      <c r="F58" s="21">
        <v>10000</v>
      </c>
      <c r="G58" s="21">
        <v>0</v>
      </c>
      <c r="H58" s="21">
        <v>0</v>
      </c>
      <c r="I58" s="21">
        <v>0</v>
      </c>
      <c r="J58" s="21">
        <v>0</v>
      </c>
      <c r="K58" s="21">
        <v>0</v>
      </c>
      <c r="L58" s="21">
        <v>0</v>
      </c>
      <c r="M58" s="21">
        <v>0</v>
      </c>
      <c r="N58" s="21">
        <v>0</v>
      </c>
      <c r="O58" s="21">
        <v>0</v>
      </c>
      <c r="P58" s="21">
        <v>0</v>
      </c>
      <c r="Q58" s="21">
        <v>0</v>
      </c>
      <c r="R58" s="21">
        <v>0</v>
      </c>
      <c r="S58" s="68">
        <v>0</v>
      </c>
      <c r="T58" s="92">
        <f t="shared" si="2"/>
        <v>-63683</v>
      </c>
      <c r="V58"/>
    </row>
    <row r="59" spans="1:22" ht="19.5" thickBot="1">
      <c r="A59" s="1" t="s">
        <v>2</v>
      </c>
      <c r="B59" s="5" t="s">
        <v>109</v>
      </c>
      <c r="C59" s="20">
        <v>0</v>
      </c>
      <c r="D59" s="21">
        <v>0</v>
      </c>
      <c r="E59" s="21">
        <v>0</v>
      </c>
      <c r="F59" s="21">
        <v>0</v>
      </c>
      <c r="G59" s="21">
        <v>0</v>
      </c>
      <c r="H59" s="21">
        <v>0</v>
      </c>
      <c r="I59" s="21">
        <v>0</v>
      </c>
      <c r="J59" s="21">
        <v>0</v>
      </c>
      <c r="K59" s="21">
        <v>0</v>
      </c>
      <c r="L59" s="21">
        <v>0</v>
      </c>
      <c r="M59" s="21">
        <v>0</v>
      </c>
      <c r="N59" s="21">
        <v>0</v>
      </c>
      <c r="O59" s="21">
        <v>0</v>
      </c>
      <c r="P59" s="21">
        <v>0</v>
      </c>
      <c r="Q59" s="21">
        <v>0</v>
      </c>
      <c r="R59" s="21">
        <v>0</v>
      </c>
      <c r="S59" s="68">
        <v>0</v>
      </c>
      <c r="T59" s="91">
        <f t="shared" si="2"/>
        <v>0</v>
      </c>
      <c r="V59"/>
    </row>
    <row r="60" spans="1:22" ht="19.5" thickBot="1">
      <c r="A60" s="1" t="s">
        <v>2</v>
      </c>
      <c r="B60" s="48" t="s">
        <v>110</v>
      </c>
      <c r="C60" s="49">
        <v>62851</v>
      </c>
      <c r="D60" s="50">
        <v>0</v>
      </c>
      <c r="E60" s="50">
        <v>80835</v>
      </c>
      <c r="F60" s="50">
        <v>101197</v>
      </c>
      <c r="G60" s="50">
        <v>80149</v>
      </c>
      <c r="H60" s="50">
        <v>92852</v>
      </c>
      <c r="I60" s="50">
        <v>71699</v>
      </c>
      <c r="J60" s="50">
        <v>62943</v>
      </c>
      <c r="K60" s="50">
        <v>70984</v>
      </c>
      <c r="L60" s="50">
        <v>75685</v>
      </c>
      <c r="M60" s="50">
        <v>66759</v>
      </c>
      <c r="N60" s="50">
        <v>72023</v>
      </c>
      <c r="O60" s="50">
        <v>66559</v>
      </c>
      <c r="P60" s="50">
        <v>80978</v>
      </c>
      <c r="Q60" s="50">
        <v>62672</v>
      </c>
      <c r="R60" s="50">
        <v>52375</v>
      </c>
      <c r="S60" s="70">
        <v>44020</v>
      </c>
      <c r="T60" s="94">
        <f t="shared" si="2"/>
        <v>1144581</v>
      </c>
      <c r="V60"/>
    </row>
    <row r="61" spans="1:22" ht="19.5" thickBot="1">
      <c r="A61" s="1" t="s">
        <v>2</v>
      </c>
      <c r="B61" s="48" t="s">
        <v>111</v>
      </c>
      <c r="C61" s="49">
        <v>214421</v>
      </c>
      <c r="D61" s="50">
        <v>13282</v>
      </c>
      <c r="E61" s="50">
        <v>307923</v>
      </c>
      <c r="F61" s="50">
        <v>334327</v>
      </c>
      <c r="G61" s="50">
        <v>254507</v>
      </c>
      <c r="H61" s="50">
        <v>326714</v>
      </c>
      <c r="I61" s="50">
        <v>274775</v>
      </c>
      <c r="J61" s="50">
        <v>279975</v>
      </c>
      <c r="K61" s="50">
        <v>269231</v>
      </c>
      <c r="L61" s="50">
        <v>291257</v>
      </c>
      <c r="M61" s="50">
        <v>258162</v>
      </c>
      <c r="N61" s="50">
        <v>307414</v>
      </c>
      <c r="O61" s="50">
        <v>256337</v>
      </c>
      <c r="P61" s="50">
        <v>261015</v>
      </c>
      <c r="Q61" s="50">
        <v>292189</v>
      </c>
      <c r="R61" s="50">
        <v>235845</v>
      </c>
      <c r="S61" s="70">
        <v>238236</v>
      </c>
      <c r="T61" s="94">
        <f t="shared" si="2"/>
        <v>4415610</v>
      </c>
      <c r="V61"/>
    </row>
    <row r="62" spans="1:22" ht="19.5" thickBot="1">
      <c r="A62" s="1" t="s">
        <v>2</v>
      </c>
      <c r="B62" s="48" t="s">
        <v>112</v>
      </c>
      <c r="C62" s="49">
        <v>207625</v>
      </c>
      <c r="D62" s="50">
        <v>71065</v>
      </c>
      <c r="E62" s="50">
        <v>290991</v>
      </c>
      <c r="F62" s="50">
        <v>299346</v>
      </c>
      <c r="G62" s="50">
        <v>246240</v>
      </c>
      <c r="H62" s="50">
        <v>299377</v>
      </c>
      <c r="I62" s="50">
        <v>254758</v>
      </c>
      <c r="J62" s="50">
        <v>264577</v>
      </c>
      <c r="K62" s="50">
        <v>250348</v>
      </c>
      <c r="L62" s="50">
        <v>272765</v>
      </c>
      <c r="M62" s="50">
        <v>246378</v>
      </c>
      <c r="N62" s="50">
        <v>288982</v>
      </c>
      <c r="O62" s="50">
        <v>243114</v>
      </c>
      <c r="P62" s="50">
        <v>241764</v>
      </c>
      <c r="Q62" s="50">
        <v>287876</v>
      </c>
      <c r="R62" s="50">
        <v>239240</v>
      </c>
      <c r="S62" s="70">
        <v>235826</v>
      </c>
      <c r="T62" s="94">
        <f t="shared" si="2"/>
        <v>4240272</v>
      </c>
      <c r="V62"/>
    </row>
    <row r="63" spans="1:22">
      <c r="A63" s="1" t="s">
        <v>2</v>
      </c>
      <c r="B63" s="53" t="s">
        <v>113</v>
      </c>
      <c r="C63" s="54">
        <v>0</v>
      </c>
      <c r="D63" s="55">
        <v>0</v>
      </c>
      <c r="E63" s="55">
        <v>0</v>
      </c>
      <c r="F63" s="55">
        <v>0</v>
      </c>
      <c r="G63" s="55">
        <v>0</v>
      </c>
      <c r="H63" s="55">
        <v>0</v>
      </c>
      <c r="I63" s="55">
        <v>0</v>
      </c>
      <c r="J63" s="55">
        <v>0</v>
      </c>
      <c r="K63" s="55">
        <v>0</v>
      </c>
      <c r="L63" s="55">
        <v>0</v>
      </c>
      <c r="M63" s="55">
        <v>0</v>
      </c>
      <c r="N63" s="55">
        <v>0</v>
      </c>
      <c r="O63" s="55">
        <v>0</v>
      </c>
      <c r="P63" s="55">
        <v>0</v>
      </c>
      <c r="Q63" s="55">
        <v>0</v>
      </c>
      <c r="R63" s="55">
        <v>0</v>
      </c>
      <c r="S63" s="71">
        <v>0</v>
      </c>
      <c r="T63" s="95">
        <f t="shared" si="2"/>
        <v>0</v>
      </c>
      <c r="V63"/>
    </row>
    <row r="64" spans="1:22">
      <c r="A64" s="1" t="s">
        <v>2</v>
      </c>
      <c r="B64" s="5" t="s">
        <v>114</v>
      </c>
      <c r="C64" s="20">
        <v>207625</v>
      </c>
      <c r="D64" s="21">
        <v>71065</v>
      </c>
      <c r="E64" s="21">
        <v>290991</v>
      </c>
      <c r="F64" s="21">
        <v>299346</v>
      </c>
      <c r="G64" s="21">
        <v>246240</v>
      </c>
      <c r="H64" s="21">
        <v>299377</v>
      </c>
      <c r="I64" s="21">
        <v>254758</v>
      </c>
      <c r="J64" s="21">
        <v>264577</v>
      </c>
      <c r="K64" s="21">
        <v>250348</v>
      </c>
      <c r="L64" s="21">
        <v>272765</v>
      </c>
      <c r="M64" s="21">
        <v>246378</v>
      </c>
      <c r="N64" s="21">
        <v>288982</v>
      </c>
      <c r="O64" s="21">
        <v>243114</v>
      </c>
      <c r="P64" s="21">
        <v>241764</v>
      </c>
      <c r="Q64" s="21">
        <v>287876</v>
      </c>
      <c r="R64" s="21">
        <v>239240</v>
      </c>
      <c r="S64" s="68">
        <v>235826</v>
      </c>
      <c r="T64" s="91">
        <f t="shared" si="2"/>
        <v>4240272</v>
      </c>
      <c r="V64"/>
    </row>
    <row r="65" spans="1:22">
      <c r="A65" s="1" t="s">
        <v>2</v>
      </c>
      <c r="B65" s="26" t="s">
        <v>115</v>
      </c>
      <c r="C65" s="35">
        <v>1</v>
      </c>
      <c r="D65" s="36">
        <v>0</v>
      </c>
      <c r="E65" s="36">
        <v>1</v>
      </c>
      <c r="F65" s="36">
        <v>0</v>
      </c>
      <c r="G65" s="36">
        <v>1</v>
      </c>
      <c r="H65" s="36">
        <v>0</v>
      </c>
      <c r="I65" s="36">
        <v>0</v>
      </c>
      <c r="J65" s="36">
        <v>1</v>
      </c>
      <c r="K65" s="36">
        <v>0</v>
      </c>
      <c r="L65" s="36">
        <v>0</v>
      </c>
      <c r="M65" s="36">
        <v>0</v>
      </c>
      <c r="N65" s="36">
        <v>0</v>
      </c>
      <c r="O65" s="36">
        <v>0</v>
      </c>
      <c r="P65" s="36">
        <v>0</v>
      </c>
      <c r="Q65" s="36">
        <v>3</v>
      </c>
      <c r="R65" s="36">
        <v>0</v>
      </c>
      <c r="S65" s="67">
        <v>0</v>
      </c>
      <c r="T65" s="90"/>
      <c r="V65"/>
    </row>
    <row r="66" spans="1:22" ht="19.5" thickBot="1">
      <c r="A66" s="1" t="s">
        <v>2</v>
      </c>
      <c r="B66" s="6" t="s">
        <v>116</v>
      </c>
      <c r="C66" s="23" t="s">
        <v>117</v>
      </c>
      <c r="D66" s="24" t="s">
        <v>117</v>
      </c>
      <c r="E66" s="24" t="s">
        <v>117</v>
      </c>
      <c r="F66" s="24" t="s">
        <v>117</v>
      </c>
      <c r="G66" s="24" t="s">
        <v>117</v>
      </c>
      <c r="H66" s="24" t="s">
        <v>117</v>
      </c>
      <c r="I66" s="24" t="s">
        <v>117</v>
      </c>
      <c r="J66" s="24" t="s">
        <v>117</v>
      </c>
      <c r="K66" s="24" t="s">
        <v>117</v>
      </c>
      <c r="L66" s="24" t="s">
        <v>117</v>
      </c>
      <c r="M66" s="24" t="s">
        <v>117</v>
      </c>
      <c r="N66" s="24" t="s">
        <v>117</v>
      </c>
      <c r="O66" s="24" t="s">
        <v>117</v>
      </c>
      <c r="P66" s="24" t="s">
        <v>117</v>
      </c>
      <c r="Q66" s="24" t="s">
        <v>117</v>
      </c>
      <c r="R66" s="24" t="s">
        <v>117</v>
      </c>
      <c r="S66" s="72" t="s">
        <v>117</v>
      </c>
      <c r="T66" s="96"/>
    </row>
  </sheetData>
  <phoneticPr fontId="3"/>
  <pageMargins left="0.11811023622047245" right="0.11811023622047245" top="0.15748031496062992" bottom="0.15748031496062992" header="0.11811023622047245" footer="0.11811023622047245"/>
  <pageSetup paperSize="9" scale="4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E8E0C-7FC5-4DCC-885C-FA6E03F9EE71}">
  <dimension ref="A1:AI66"/>
  <sheetViews>
    <sheetView showZeros="0" tabSelected="1" workbookViewId="0">
      <selection activeCell="B4" sqref="B4"/>
    </sheetView>
  </sheetViews>
  <sheetFormatPr defaultRowHeight="18.75"/>
  <cols>
    <col min="1" max="1" width="2.375" style="2" customWidth="1"/>
    <col min="2" max="2" width="13.25" style="2" bestFit="1" customWidth="1"/>
    <col min="3" max="33" width="11" style="2" customWidth="1"/>
    <col min="34" max="259" width="9" style="2"/>
    <col min="260" max="260" width="2.375" style="2" customWidth="1"/>
    <col min="261" max="261" width="13.25" style="2" bestFit="1" customWidth="1"/>
    <col min="262" max="264" width="11.125" style="2" bestFit="1" customWidth="1"/>
    <col min="265" max="265" width="13.25" style="2" bestFit="1" customWidth="1"/>
    <col min="266" max="266" width="11.125" style="2" bestFit="1" customWidth="1"/>
    <col min="267" max="267" width="9" style="2"/>
    <col min="268" max="268" width="11.125" style="2" bestFit="1" customWidth="1"/>
    <col min="269" max="269" width="9" style="2"/>
    <col min="270" max="280" width="11.125" style="2" bestFit="1" customWidth="1"/>
    <col min="281" max="281" width="9" style="2"/>
    <col min="282" max="288" width="11.125" style="2" bestFit="1" customWidth="1"/>
    <col min="289" max="289" width="9.625" style="2" bestFit="1" customWidth="1"/>
    <col min="290" max="515" width="9" style="2"/>
    <col min="516" max="516" width="2.375" style="2" customWidth="1"/>
    <col min="517" max="517" width="13.25" style="2" bestFit="1" customWidth="1"/>
    <col min="518" max="520" width="11.125" style="2" bestFit="1" customWidth="1"/>
    <col min="521" max="521" width="13.25" style="2" bestFit="1" customWidth="1"/>
    <col min="522" max="522" width="11.125" style="2" bestFit="1" customWidth="1"/>
    <col min="523" max="523" width="9" style="2"/>
    <col min="524" max="524" width="11.125" style="2" bestFit="1" customWidth="1"/>
    <col min="525" max="525" width="9" style="2"/>
    <col min="526" max="536" width="11.125" style="2" bestFit="1" customWidth="1"/>
    <col min="537" max="537" width="9" style="2"/>
    <col min="538" max="544" width="11.125" style="2" bestFit="1" customWidth="1"/>
    <col min="545" max="545" width="9.625" style="2" bestFit="1" customWidth="1"/>
    <col min="546" max="771" width="9" style="2"/>
    <col min="772" max="772" width="2.375" style="2" customWidth="1"/>
    <col min="773" max="773" width="13.25" style="2" bestFit="1" customWidth="1"/>
    <col min="774" max="776" width="11.125" style="2" bestFit="1" customWidth="1"/>
    <col min="777" max="777" width="13.25" style="2" bestFit="1" customWidth="1"/>
    <col min="778" max="778" width="11.125" style="2" bestFit="1" customWidth="1"/>
    <col min="779" max="779" width="9" style="2"/>
    <col min="780" max="780" width="11.125" style="2" bestFit="1" customWidth="1"/>
    <col min="781" max="781" width="9" style="2"/>
    <col min="782" max="792" width="11.125" style="2" bestFit="1" customWidth="1"/>
    <col min="793" max="793" width="9" style="2"/>
    <col min="794" max="800" width="11.125" style="2" bestFit="1" customWidth="1"/>
    <col min="801" max="801" width="9.625" style="2" bestFit="1" customWidth="1"/>
    <col min="802" max="1027" width="9" style="2"/>
    <col min="1028" max="1028" width="2.375" style="2" customWidth="1"/>
    <col min="1029" max="1029" width="13.25" style="2" bestFit="1" customWidth="1"/>
    <col min="1030" max="1032" width="11.125" style="2" bestFit="1" customWidth="1"/>
    <col min="1033" max="1033" width="13.25" style="2" bestFit="1" customWidth="1"/>
    <col min="1034" max="1034" width="11.125" style="2" bestFit="1" customWidth="1"/>
    <col min="1035" max="1035" width="9" style="2"/>
    <col min="1036" max="1036" width="11.125" style="2" bestFit="1" customWidth="1"/>
    <col min="1037" max="1037" width="9" style="2"/>
    <col min="1038" max="1048" width="11.125" style="2" bestFit="1" customWidth="1"/>
    <col min="1049" max="1049" width="9" style="2"/>
    <col min="1050" max="1056" width="11.125" style="2" bestFit="1" customWidth="1"/>
    <col min="1057" max="1057" width="9.625" style="2" bestFit="1" customWidth="1"/>
    <col min="1058" max="1283" width="9" style="2"/>
    <col min="1284" max="1284" width="2.375" style="2" customWidth="1"/>
    <col min="1285" max="1285" width="13.25" style="2" bestFit="1" customWidth="1"/>
    <col min="1286" max="1288" width="11.125" style="2" bestFit="1" customWidth="1"/>
    <col min="1289" max="1289" width="13.25" style="2" bestFit="1" customWidth="1"/>
    <col min="1290" max="1290" width="11.125" style="2" bestFit="1" customWidth="1"/>
    <col min="1291" max="1291" width="9" style="2"/>
    <col min="1292" max="1292" width="11.125" style="2" bestFit="1" customWidth="1"/>
    <col min="1293" max="1293" width="9" style="2"/>
    <col min="1294" max="1304" width="11.125" style="2" bestFit="1" customWidth="1"/>
    <col min="1305" max="1305" width="9" style="2"/>
    <col min="1306" max="1312" width="11.125" style="2" bestFit="1" customWidth="1"/>
    <col min="1313" max="1313" width="9.625" style="2" bestFit="1" customWidth="1"/>
    <col min="1314" max="1539" width="9" style="2"/>
    <col min="1540" max="1540" width="2.375" style="2" customWidth="1"/>
    <col min="1541" max="1541" width="13.25" style="2" bestFit="1" customWidth="1"/>
    <col min="1542" max="1544" width="11.125" style="2" bestFit="1" customWidth="1"/>
    <col min="1545" max="1545" width="13.25" style="2" bestFit="1" customWidth="1"/>
    <col min="1546" max="1546" width="11.125" style="2" bestFit="1" customWidth="1"/>
    <col min="1547" max="1547" width="9" style="2"/>
    <col min="1548" max="1548" width="11.125" style="2" bestFit="1" customWidth="1"/>
    <col min="1549" max="1549" width="9" style="2"/>
    <col min="1550" max="1560" width="11.125" style="2" bestFit="1" customWidth="1"/>
    <col min="1561" max="1561" width="9" style="2"/>
    <col min="1562" max="1568" width="11.125" style="2" bestFit="1" customWidth="1"/>
    <col min="1569" max="1569" width="9.625" style="2" bestFit="1" customWidth="1"/>
    <col min="1570" max="1795" width="9" style="2"/>
    <col min="1796" max="1796" width="2.375" style="2" customWidth="1"/>
    <col min="1797" max="1797" width="13.25" style="2" bestFit="1" customWidth="1"/>
    <col min="1798" max="1800" width="11.125" style="2" bestFit="1" customWidth="1"/>
    <col min="1801" max="1801" width="13.25" style="2" bestFit="1" customWidth="1"/>
    <col min="1802" max="1802" width="11.125" style="2" bestFit="1" customWidth="1"/>
    <col min="1803" max="1803" width="9" style="2"/>
    <col min="1804" max="1804" width="11.125" style="2" bestFit="1" customWidth="1"/>
    <col min="1805" max="1805" width="9" style="2"/>
    <col min="1806" max="1816" width="11.125" style="2" bestFit="1" customWidth="1"/>
    <col min="1817" max="1817" width="9" style="2"/>
    <col min="1818" max="1824" width="11.125" style="2" bestFit="1" customWidth="1"/>
    <col min="1825" max="1825" width="9.625" style="2" bestFit="1" customWidth="1"/>
    <col min="1826" max="2051" width="9" style="2"/>
    <col min="2052" max="2052" width="2.375" style="2" customWidth="1"/>
    <col min="2053" max="2053" width="13.25" style="2" bestFit="1" customWidth="1"/>
    <col min="2054" max="2056" width="11.125" style="2" bestFit="1" customWidth="1"/>
    <col min="2057" max="2057" width="13.25" style="2" bestFit="1" customWidth="1"/>
    <col min="2058" max="2058" width="11.125" style="2" bestFit="1" customWidth="1"/>
    <col min="2059" max="2059" width="9" style="2"/>
    <col min="2060" max="2060" width="11.125" style="2" bestFit="1" customWidth="1"/>
    <col min="2061" max="2061" width="9" style="2"/>
    <col min="2062" max="2072" width="11.125" style="2" bestFit="1" customWidth="1"/>
    <col min="2073" max="2073" width="9" style="2"/>
    <col min="2074" max="2080" width="11.125" style="2" bestFit="1" customWidth="1"/>
    <col min="2081" max="2081" width="9.625" style="2" bestFit="1" customWidth="1"/>
    <col min="2082" max="2307" width="9" style="2"/>
    <col min="2308" max="2308" width="2.375" style="2" customWidth="1"/>
    <col min="2309" max="2309" width="13.25" style="2" bestFit="1" customWidth="1"/>
    <col min="2310" max="2312" width="11.125" style="2" bestFit="1" customWidth="1"/>
    <col min="2313" max="2313" width="13.25" style="2" bestFit="1" customWidth="1"/>
    <col min="2314" max="2314" width="11.125" style="2" bestFit="1" customWidth="1"/>
    <col min="2315" max="2315" width="9" style="2"/>
    <col min="2316" max="2316" width="11.125" style="2" bestFit="1" customWidth="1"/>
    <col min="2317" max="2317" width="9" style="2"/>
    <col min="2318" max="2328" width="11.125" style="2" bestFit="1" customWidth="1"/>
    <col min="2329" max="2329" width="9" style="2"/>
    <col min="2330" max="2336" width="11.125" style="2" bestFit="1" customWidth="1"/>
    <col min="2337" max="2337" width="9.625" style="2" bestFit="1" customWidth="1"/>
    <col min="2338" max="2563" width="9" style="2"/>
    <col min="2564" max="2564" width="2.375" style="2" customWidth="1"/>
    <col min="2565" max="2565" width="13.25" style="2" bestFit="1" customWidth="1"/>
    <col min="2566" max="2568" width="11.125" style="2" bestFit="1" customWidth="1"/>
    <col min="2569" max="2569" width="13.25" style="2" bestFit="1" customWidth="1"/>
    <col min="2570" max="2570" width="11.125" style="2" bestFit="1" customWidth="1"/>
    <col min="2571" max="2571" width="9" style="2"/>
    <col min="2572" max="2572" width="11.125" style="2" bestFit="1" customWidth="1"/>
    <col min="2573" max="2573" width="9" style="2"/>
    <col min="2574" max="2584" width="11.125" style="2" bestFit="1" customWidth="1"/>
    <col min="2585" max="2585" width="9" style="2"/>
    <col min="2586" max="2592" width="11.125" style="2" bestFit="1" customWidth="1"/>
    <col min="2593" max="2593" width="9.625" style="2" bestFit="1" customWidth="1"/>
    <col min="2594" max="2819" width="9" style="2"/>
    <col min="2820" max="2820" width="2.375" style="2" customWidth="1"/>
    <col min="2821" max="2821" width="13.25" style="2" bestFit="1" customWidth="1"/>
    <col min="2822" max="2824" width="11.125" style="2" bestFit="1" customWidth="1"/>
    <col min="2825" max="2825" width="13.25" style="2" bestFit="1" customWidth="1"/>
    <col min="2826" max="2826" width="11.125" style="2" bestFit="1" customWidth="1"/>
    <col min="2827" max="2827" width="9" style="2"/>
    <col min="2828" max="2828" width="11.125" style="2" bestFit="1" customWidth="1"/>
    <col min="2829" max="2829" width="9" style="2"/>
    <col min="2830" max="2840" width="11.125" style="2" bestFit="1" customWidth="1"/>
    <col min="2841" max="2841" width="9" style="2"/>
    <col min="2842" max="2848" width="11.125" style="2" bestFit="1" customWidth="1"/>
    <col min="2849" max="2849" width="9.625" style="2" bestFit="1" customWidth="1"/>
    <col min="2850" max="3075" width="9" style="2"/>
    <col min="3076" max="3076" width="2.375" style="2" customWidth="1"/>
    <col min="3077" max="3077" width="13.25" style="2" bestFit="1" customWidth="1"/>
    <col min="3078" max="3080" width="11.125" style="2" bestFit="1" customWidth="1"/>
    <col min="3081" max="3081" width="13.25" style="2" bestFit="1" customWidth="1"/>
    <col min="3082" max="3082" width="11.125" style="2" bestFit="1" customWidth="1"/>
    <col min="3083" max="3083" width="9" style="2"/>
    <col min="3084" max="3084" width="11.125" style="2" bestFit="1" customWidth="1"/>
    <col min="3085" max="3085" width="9" style="2"/>
    <col min="3086" max="3096" width="11.125" style="2" bestFit="1" customWidth="1"/>
    <col min="3097" max="3097" width="9" style="2"/>
    <col min="3098" max="3104" width="11.125" style="2" bestFit="1" customWidth="1"/>
    <col min="3105" max="3105" width="9.625" style="2" bestFit="1" customWidth="1"/>
    <col min="3106" max="3331" width="9" style="2"/>
    <col min="3332" max="3332" width="2.375" style="2" customWidth="1"/>
    <col min="3333" max="3333" width="13.25" style="2" bestFit="1" customWidth="1"/>
    <col min="3334" max="3336" width="11.125" style="2" bestFit="1" customWidth="1"/>
    <col min="3337" max="3337" width="13.25" style="2" bestFit="1" customWidth="1"/>
    <col min="3338" max="3338" width="11.125" style="2" bestFit="1" customWidth="1"/>
    <col min="3339" max="3339" width="9" style="2"/>
    <col min="3340" max="3340" width="11.125" style="2" bestFit="1" customWidth="1"/>
    <col min="3341" max="3341" width="9" style="2"/>
    <col min="3342" max="3352" width="11.125" style="2" bestFit="1" customWidth="1"/>
    <col min="3353" max="3353" width="9" style="2"/>
    <col min="3354" max="3360" width="11.125" style="2" bestFit="1" customWidth="1"/>
    <col min="3361" max="3361" width="9.625" style="2" bestFit="1" customWidth="1"/>
    <col min="3362" max="3587" width="9" style="2"/>
    <col min="3588" max="3588" width="2.375" style="2" customWidth="1"/>
    <col min="3589" max="3589" width="13.25" style="2" bestFit="1" customWidth="1"/>
    <col min="3590" max="3592" width="11.125" style="2" bestFit="1" customWidth="1"/>
    <col min="3593" max="3593" width="13.25" style="2" bestFit="1" customWidth="1"/>
    <col min="3594" max="3594" width="11.125" style="2" bestFit="1" customWidth="1"/>
    <col min="3595" max="3595" width="9" style="2"/>
    <col min="3596" max="3596" width="11.125" style="2" bestFit="1" customWidth="1"/>
    <col min="3597" max="3597" width="9" style="2"/>
    <col min="3598" max="3608" width="11.125" style="2" bestFit="1" customWidth="1"/>
    <col min="3609" max="3609" width="9" style="2"/>
    <col min="3610" max="3616" width="11.125" style="2" bestFit="1" customWidth="1"/>
    <col min="3617" max="3617" width="9.625" style="2" bestFit="1" customWidth="1"/>
    <col min="3618" max="3843" width="9" style="2"/>
    <col min="3844" max="3844" width="2.375" style="2" customWidth="1"/>
    <col min="3845" max="3845" width="13.25" style="2" bestFit="1" customWidth="1"/>
    <col min="3846" max="3848" width="11.125" style="2" bestFit="1" customWidth="1"/>
    <col min="3849" max="3849" width="13.25" style="2" bestFit="1" customWidth="1"/>
    <col min="3850" max="3850" width="11.125" style="2" bestFit="1" customWidth="1"/>
    <col min="3851" max="3851" width="9" style="2"/>
    <col min="3852" max="3852" width="11.125" style="2" bestFit="1" customWidth="1"/>
    <col min="3853" max="3853" width="9" style="2"/>
    <col min="3854" max="3864" width="11.125" style="2" bestFit="1" customWidth="1"/>
    <col min="3865" max="3865" width="9" style="2"/>
    <col min="3866" max="3872" width="11.125" style="2" bestFit="1" customWidth="1"/>
    <col min="3873" max="3873" width="9.625" style="2" bestFit="1" customWidth="1"/>
    <col min="3874" max="4099" width="9" style="2"/>
    <col min="4100" max="4100" width="2.375" style="2" customWidth="1"/>
    <col min="4101" max="4101" width="13.25" style="2" bestFit="1" customWidth="1"/>
    <col min="4102" max="4104" width="11.125" style="2" bestFit="1" customWidth="1"/>
    <col min="4105" max="4105" width="13.25" style="2" bestFit="1" customWidth="1"/>
    <col min="4106" max="4106" width="11.125" style="2" bestFit="1" customWidth="1"/>
    <col min="4107" max="4107" width="9" style="2"/>
    <col min="4108" max="4108" width="11.125" style="2" bestFit="1" customWidth="1"/>
    <col min="4109" max="4109" width="9" style="2"/>
    <col min="4110" max="4120" width="11.125" style="2" bestFit="1" customWidth="1"/>
    <col min="4121" max="4121" width="9" style="2"/>
    <col min="4122" max="4128" width="11.125" style="2" bestFit="1" customWidth="1"/>
    <col min="4129" max="4129" width="9.625" style="2" bestFit="1" customWidth="1"/>
    <col min="4130" max="4355" width="9" style="2"/>
    <col min="4356" max="4356" width="2.375" style="2" customWidth="1"/>
    <col min="4357" max="4357" width="13.25" style="2" bestFit="1" customWidth="1"/>
    <col min="4358" max="4360" width="11.125" style="2" bestFit="1" customWidth="1"/>
    <col min="4361" max="4361" width="13.25" style="2" bestFit="1" customWidth="1"/>
    <col min="4362" max="4362" width="11.125" style="2" bestFit="1" customWidth="1"/>
    <col min="4363" max="4363" width="9" style="2"/>
    <col min="4364" max="4364" width="11.125" style="2" bestFit="1" customWidth="1"/>
    <col min="4365" max="4365" width="9" style="2"/>
    <col min="4366" max="4376" width="11.125" style="2" bestFit="1" customWidth="1"/>
    <col min="4377" max="4377" width="9" style="2"/>
    <col min="4378" max="4384" width="11.125" style="2" bestFit="1" customWidth="1"/>
    <col min="4385" max="4385" width="9.625" style="2" bestFit="1" customWidth="1"/>
    <col min="4386" max="4611" width="9" style="2"/>
    <col min="4612" max="4612" width="2.375" style="2" customWidth="1"/>
    <col min="4613" max="4613" width="13.25" style="2" bestFit="1" customWidth="1"/>
    <col min="4614" max="4616" width="11.125" style="2" bestFit="1" customWidth="1"/>
    <col min="4617" max="4617" width="13.25" style="2" bestFit="1" customWidth="1"/>
    <col min="4618" max="4618" width="11.125" style="2" bestFit="1" customWidth="1"/>
    <col min="4619" max="4619" width="9" style="2"/>
    <col min="4620" max="4620" width="11.125" style="2" bestFit="1" customWidth="1"/>
    <col min="4621" max="4621" width="9" style="2"/>
    <col min="4622" max="4632" width="11.125" style="2" bestFit="1" customWidth="1"/>
    <col min="4633" max="4633" width="9" style="2"/>
    <col min="4634" max="4640" width="11.125" style="2" bestFit="1" customWidth="1"/>
    <col min="4641" max="4641" width="9.625" style="2" bestFit="1" customWidth="1"/>
    <col min="4642" max="4867" width="9" style="2"/>
    <col min="4868" max="4868" width="2.375" style="2" customWidth="1"/>
    <col min="4869" max="4869" width="13.25" style="2" bestFit="1" customWidth="1"/>
    <col min="4870" max="4872" width="11.125" style="2" bestFit="1" customWidth="1"/>
    <col min="4873" max="4873" width="13.25" style="2" bestFit="1" customWidth="1"/>
    <col min="4874" max="4874" width="11.125" style="2" bestFit="1" customWidth="1"/>
    <col min="4875" max="4875" width="9" style="2"/>
    <col min="4876" max="4876" width="11.125" style="2" bestFit="1" customWidth="1"/>
    <col min="4877" max="4877" width="9" style="2"/>
    <col min="4878" max="4888" width="11.125" style="2" bestFit="1" customWidth="1"/>
    <col min="4889" max="4889" width="9" style="2"/>
    <col min="4890" max="4896" width="11.125" style="2" bestFit="1" customWidth="1"/>
    <col min="4897" max="4897" width="9.625" style="2" bestFit="1" customWidth="1"/>
    <col min="4898" max="5123" width="9" style="2"/>
    <col min="5124" max="5124" width="2.375" style="2" customWidth="1"/>
    <col min="5125" max="5125" width="13.25" style="2" bestFit="1" customWidth="1"/>
    <col min="5126" max="5128" width="11.125" style="2" bestFit="1" customWidth="1"/>
    <col min="5129" max="5129" width="13.25" style="2" bestFit="1" customWidth="1"/>
    <col min="5130" max="5130" width="11.125" style="2" bestFit="1" customWidth="1"/>
    <col min="5131" max="5131" width="9" style="2"/>
    <col min="5132" max="5132" width="11.125" style="2" bestFit="1" customWidth="1"/>
    <col min="5133" max="5133" width="9" style="2"/>
    <col min="5134" max="5144" width="11.125" style="2" bestFit="1" customWidth="1"/>
    <col min="5145" max="5145" width="9" style="2"/>
    <col min="5146" max="5152" width="11.125" style="2" bestFit="1" customWidth="1"/>
    <col min="5153" max="5153" width="9.625" style="2" bestFit="1" customWidth="1"/>
    <col min="5154" max="5379" width="9" style="2"/>
    <col min="5380" max="5380" width="2.375" style="2" customWidth="1"/>
    <col min="5381" max="5381" width="13.25" style="2" bestFit="1" customWidth="1"/>
    <col min="5382" max="5384" width="11.125" style="2" bestFit="1" customWidth="1"/>
    <col min="5385" max="5385" width="13.25" style="2" bestFit="1" customWidth="1"/>
    <col min="5386" max="5386" width="11.125" style="2" bestFit="1" customWidth="1"/>
    <col min="5387" max="5387" width="9" style="2"/>
    <col min="5388" max="5388" width="11.125" style="2" bestFit="1" customWidth="1"/>
    <col min="5389" max="5389" width="9" style="2"/>
    <col min="5390" max="5400" width="11.125" style="2" bestFit="1" customWidth="1"/>
    <col min="5401" max="5401" width="9" style="2"/>
    <col min="5402" max="5408" width="11.125" style="2" bestFit="1" customWidth="1"/>
    <col min="5409" max="5409" width="9.625" style="2" bestFit="1" customWidth="1"/>
    <col min="5410" max="5635" width="9" style="2"/>
    <col min="5636" max="5636" width="2.375" style="2" customWidth="1"/>
    <col min="5637" max="5637" width="13.25" style="2" bestFit="1" customWidth="1"/>
    <col min="5638" max="5640" width="11.125" style="2" bestFit="1" customWidth="1"/>
    <col min="5641" max="5641" width="13.25" style="2" bestFit="1" customWidth="1"/>
    <col min="5642" max="5642" width="11.125" style="2" bestFit="1" customWidth="1"/>
    <col min="5643" max="5643" width="9" style="2"/>
    <col min="5644" max="5644" width="11.125" style="2" bestFit="1" customWidth="1"/>
    <col min="5645" max="5645" width="9" style="2"/>
    <col min="5646" max="5656" width="11.125" style="2" bestFit="1" customWidth="1"/>
    <col min="5657" max="5657" width="9" style="2"/>
    <col min="5658" max="5664" width="11.125" style="2" bestFit="1" customWidth="1"/>
    <col min="5665" max="5665" width="9.625" style="2" bestFit="1" customWidth="1"/>
    <col min="5666" max="5891" width="9" style="2"/>
    <col min="5892" max="5892" width="2.375" style="2" customWidth="1"/>
    <col min="5893" max="5893" width="13.25" style="2" bestFit="1" customWidth="1"/>
    <col min="5894" max="5896" width="11.125" style="2" bestFit="1" customWidth="1"/>
    <col min="5897" max="5897" width="13.25" style="2" bestFit="1" customWidth="1"/>
    <col min="5898" max="5898" width="11.125" style="2" bestFit="1" customWidth="1"/>
    <col min="5899" max="5899" width="9" style="2"/>
    <col min="5900" max="5900" width="11.125" style="2" bestFit="1" customWidth="1"/>
    <col min="5901" max="5901" width="9" style="2"/>
    <col min="5902" max="5912" width="11.125" style="2" bestFit="1" customWidth="1"/>
    <col min="5913" max="5913" width="9" style="2"/>
    <col min="5914" max="5920" width="11.125" style="2" bestFit="1" customWidth="1"/>
    <col min="5921" max="5921" width="9.625" style="2" bestFit="1" customWidth="1"/>
    <col min="5922" max="6147" width="9" style="2"/>
    <col min="6148" max="6148" width="2.375" style="2" customWidth="1"/>
    <col min="6149" max="6149" width="13.25" style="2" bestFit="1" customWidth="1"/>
    <col min="6150" max="6152" width="11.125" style="2" bestFit="1" customWidth="1"/>
    <col min="6153" max="6153" width="13.25" style="2" bestFit="1" customWidth="1"/>
    <col min="6154" max="6154" width="11.125" style="2" bestFit="1" customWidth="1"/>
    <col min="6155" max="6155" width="9" style="2"/>
    <col min="6156" max="6156" width="11.125" style="2" bestFit="1" customWidth="1"/>
    <col min="6157" max="6157" width="9" style="2"/>
    <col min="6158" max="6168" width="11.125" style="2" bestFit="1" customWidth="1"/>
    <col min="6169" max="6169" width="9" style="2"/>
    <col min="6170" max="6176" width="11.125" style="2" bestFit="1" customWidth="1"/>
    <col min="6177" max="6177" width="9.625" style="2" bestFit="1" customWidth="1"/>
    <col min="6178" max="6403" width="9" style="2"/>
    <col min="6404" max="6404" width="2.375" style="2" customWidth="1"/>
    <col min="6405" max="6405" width="13.25" style="2" bestFit="1" customWidth="1"/>
    <col min="6406" max="6408" width="11.125" style="2" bestFit="1" customWidth="1"/>
    <col min="6409" max="6409" width="13.25" style="2" bestFit="1" customWidth="1"/>
    <col min="6410" max="6410" width="11.125" style="2" bestFit="1" customWidth="1"/>
    <col min="6411" max="6411" width="9" style="2"/>
    <col min="6412" max="6412" width="11.125" style="2" bestFit="1" customWidth="1"/>
    <col min="6413" max="6413" width="9" style="2"/>
    <col min="6414" max="6424" width="11.125" style="2" bestFit="1" customWidth="1"/>
    <col min="6425" max="6425" width="9" style="2"/>
    <col min="6426" max="6432" width="11.125" style="2" bestFit="1" customWidth="1"/>
    <col min="6433" max="6433" width="9.625" style="2" bestFit="1" customWidth="1"/>
    <col min="6434" max="6659" width="9" style="2"/>
    <col min="6660" max="6660" width="2.375" style="2" customWidth="1"/>
    <col min="6661" max="6661" width="13.25" style="2" bestFit="1" customWidth="1"/>
    <col min="6662" max="6664" width="11.125" style="2" bestFit="1" customWidth="1"/>
    <col min="6665" max="6665" width="13.25" style="2" bestFit="1" customWidth="1"/>
    <col min="6666" max="6666" width="11.125" style="2" bestFit="1" customWidth="1"/>
    <col min="6667" max="6667" width="9" style="2"/>
    <col min="6668" max="6668" width="11.125" style="2" bestFit="1" customWidth="1"/>
    <col min="6669" max="6669" width="9" style="2"/>
    <col min="6670" max="6680" width="11.125" style="2" bestFit="1" customWidth="1"/>
    <col min="6681" max="6681" width="9" style="2"/>
    <col min="6682" max="6688" width="11.125" style="2" bestFit="1" customWidth="1"/>
    <col min="6689" max="6689" width="9.625" style="2" bestFit="1" customWidth="1"/>
    <col min="6690" max="6915" width="9" style="2"/>
    <col min="6916" max="6916" width="2.375" style="2" customWidth="1"/>
    <col min="6917" max="6917" width="13.25" style="2" bestFit="1" customWidth="1"/>
    <col min="6918" max="6920" width="11.125" style="2" bestFit="1" customWidth="1"/>
    <col min="6921" max="6921" width="13.25" style="2" bestFit="1" customWidth="1"/>
    <col min="6922" max="6922" width="11.125" style="2" bestFit="1" customWidth="1"/>
    <col min="6923" max="6923" width="9" style="2"/>
    <col min="6924" max="6924" width="11.125" style="2" bestFit="1" customWidth="1"/>
    <col min="6925" max="6925" width="9" style="2"/>
    <col min="6926" max="6936" width="11.125" style="2" bestFit="1" customWidth="1"/>
    <col min="6937" max="6937" width="9" style="2"/>
    <col min="6938" max="6944" width="11.125" style="2" bestFit="1" customWidth="1"/>
    <col min="6945" max="6945" width="9.625" style="2" bestFit="1" customWidth="1"/>
    <col min="6946" max="7171" width="9" style="2"/>
    <col min="7172" max="7172" width="2.375" style="2" customWidth="1"/>
    <col min="7173" max="7173" width="13.25" style="2" bestFit="1" customWidth="1"/>
    <col min="7174" max="7176" width="11.125" style="2" bestFit="1" customWidth="1"/>
    <col min="7177" max="7177" width="13.25" style="2" bestFit="1" customWidth="1"/>
    <col min="7178" max="7178" width="11.125" style="2" bestFit="1" customWidth="1"/>
    <col min="7179" max="7179" width="9" style="2"/>
    <col min="7180" max="7180" width="11.125" style="2" bestFit="1" customWidth="1"/>
    <col min="7181" max="7181" width="9" style="2"/>
    <col min="7182" max="7192" width="11.125" style="2" bestFit="1" customWidth="1"/>
    <col min="7193" max="7193" width="9" style="2"/>
    <col min="7194" max="7200" width="11.125" style="2" bestFit="1" customWidth="1"/>
    <col min="7201" max="7201" width="9.625" style="2" bestFit="1" customWidth="1"/>
    <col min="7202" max="7427" width="9" style="2"/>
    <col min="7428" max="7428" width="2.375" style="2" customWidth="1"/>
    <col min="7429" max="7429" width="13.25" style="2" bestFit="1" customWidth="1"/>
    <col min="7430" max="7432" width="11.125" style="2" bestFit="1" customWidth="1"/>
    <col min="7433" max="7433" width="13.25" style="2" bestFit="1" customWidth="1"/>
    <col min="7434" max="7434" width="11.125" style="2" bestFit="1" customWidth="1"/>
    <col min="7435" max="7435" width="9" style="2"/>
    <col min="7436" max="7436" width="11.125" style="2" bestFit="1" customWidth="1"/>
    <col min="7437" max="7437" width="9" style="2"/>
    <col min="7438" max="7448" width="11.125" style="2" bestFit="1" customWidth="1"/>
    <col min="7449" max="7449" width="9" style="2"/>
    <col min="7450" max="7456" width="11.125" style="2" bestFit="1" customWidth="1"/>
    <col min="7457" max="7457" width="9.625" style="2" bestFit="1" customWidth="1"/>
    <col min="7458" max="7683" width="9" style="2"/>
    <col min="7684" max="7684" width="2.375" style="2" customWidth="1"/>
    <col min="7685" max="7685" width="13.25" style="2" bestFit="1" customWidth="1"/>
    <col min="7686" max="7688" width="11.125" style="2" bestFit="1" customWidth="1"/>
    <col min="7689" max="7689" width="13.25" style="2" bestFit="1" customWidth="1"/>
    <col min="7690" max="7690" width="11.125" style="2" bestFit="1" customWidth="1"/>
    <col min="7691" max="7691" width="9" style="2"/>
    <col min="7692" max="7692" width="11.125" style="2" bestFit="1" customWidth="1"/>
    <col min="7693" max="7693" width="9" style="2"/>
    <col min="7694" max="7704" width="11.125" style="2" bestFit="1" customWidth="1"/>
    <col min="7705" max="7705" width="9" style="2"/>
    <col min="7706" max="7712" width="11.125" style="2" bestFit="1" customWidth="1"/>
    <col min="7713" max="7713" width="9.625" style="2" bestFit="1" customWidth="1"/>
    <col min="7714" max="7939" width="9" style="2"/>
    <col min="7940" max="7940" width="2.375" style="2" customWidth="1"/>
    <col min="7941" max="7941" width="13.25" style="2" bestFit="1" customWidth="1"/>
    <col min="7942" max="7944" width="11.125" style="2" bestFit="1" customWidth="1"/>
    <col min="7945" max="7945" width="13.25" style="2" bestFit="1" customWidth="1"/>
    <col min="7946" max="7946" width="11.125" style="2" bestFit="1" customWidth="1"/>
    <col min="7947" max="7947" width="9" style="2"/>
    <col min="7948" max="7948" width="11.125" style="2" bestFit="1" customWidth="1"/>
    <col min="7949" max="7949" width="9" style="2"/>
    <col min="7950" max="7960" width="11.125" style="2" bestFit="1" customWidth="1"/>
    <col min="7961" max="7961" width="9" style="2"/>
    <col min="7962" max="7968" width="11.125" style="2" bestFit="1" customWidth="1"/>
    <col min="7969" max="7969" width="9.625" style="2" bestFit="1" customWidth="1"/>
    <col min="7970" max="8195" width="9" style="2"/>
    <col min="8196" max="8196" width="2.375" style="2" customWidth="1"/>
    <col min="8197" max="8197" width="13.25" style="2" bestFit="1" customWidth="1"/>
    <col min="8198" max="8200" width="11.125" style="2" bestFit="1" customWidth="1"/>
    <col min="8201" max="8201" width="13.25" style="2" bestFit="1" customWidth="1"/>
    <col min="8202" max="8202" width="11.125" style="2" bestFit="1" customWidth="1"/>
    <col min="8203" max="8203" width="9" style="2"/>
    <col min="8204" max="8204" width="11.125" style="2" bestFit="1" customWidth="1"/>
    <col min="8205" max="8205" width="9" style="2"/>
    <col min="8206" max="8216" width="11.125" style="2" bestFit="1" customWidth="1"/>
    <col min="8217" max="8217" width="9" style="2"/>
    <col min="8218" max="8224" width="11.125" style="2" bestFit="1" customWidth="1"/>
    <col min="8225" max="8225" width="9.625" style="2" bestFit="1" customWidth="1"/>
    <col min="8226" max="8451" width="9" style="2"/>
    <col min="8452" max="8452" width="2.375" style="2" customWidth="1"/>
    <col min="8453" max="8453" width="13.25" style="2" bestFit="1" customWidth="1"/>
    <col min="8454" max="8456" width="11.125" style="2" bestFit="1" customWidth="1"/>
    <col min="8457" max="8457" width="13.25" style="2" bestFit="1" customWidth="1"/>
    <col min="8458" max="8458" width="11.125" style="2" bestFit="1" customWidth="1"/>
    <col min="8459" max="8459" width="9" style="2"/>
    <col min="8460" max="8460" width="11.125" style="2" bestFit="1" customWidth="1"/>
    <col min="8461" max="8461" width="9" style="2"/>
    <col min="8462" max="8472" width="11.125" style="2" bestFit="1" customWidth="1"/>
    <col min="8473" max="8473" width="9" style="2"/>
    <col min="8474" max="8480" width="11.125" style="2" bestFit="1" customWidth="1"/>
    <col min="8481" max="8481" width="9.625" style="2" bestFit="1" customWidth="1"/>
    <col min="8482" max="8707" width="9" style="2"/>
    <col min="8708" max="8708" width="2.375" style="2" customWidth="1"/>
    <col min="8709" max="8709" width="13.25" style="2" bestFit="1" customWidth="1"/>
    <col min="8710" max="8712" width="11.125" style="2" bestFit="1" customWidth="1"/>
    <col min="8713" max="8713" width="13.25" style="2" bestFit="1" customWidth="1"/>
    <col min="8714" max="8714" width="11.125" style="2" bestFit="1" customWidth="1"/>
    <col min="8715" max="8715" width="9" style="2"/>
    <col min="8716" max="8716" width="11.125" style="2" bestFit="1" customWidth="1"/>
    <col min="8717" max="8717" width="9" style="2"/>
    <col min="8718" max="8728" width="11.125" style="2" bestFit="1" customWidth="1"/>
    <col min="8729" max="8729" width="9" style="2"/>
    <col min="8730" max="8736" width="11.125" style="2" bestFit="1" customWidth="1"/>
    <col min="8737" max="8737" width="9.625" style="2" bestFit="1" customWidth="1"/>
    <col min="8738" max="8963" width="9" style="2"/>
    <col min="8964" max="8964" width="2.375" style="2" customWidth="1"/>
    <col min="8965" max="8965" width="13.25" style="2" bestFit="1" customWidth="1"/>
    <col min="8966" max="8968" width="11.125" style="2" bestFit="1" customWidth="1"/>
    <col min="8969" max="8969" width="13.25" style="2" bestFit="1" customWidth="1"/>
    <col min="8970" max="8970" width="11.125" style="2" bestFit="1" customWidth="1"/>
    <col min="8971" max="8971" width="9" style="2"/>
    <col min="8972" max="8972" width="11.125" style="2" bestFit="1" customWidth="1"/>
    <col min="8973" max="8973" width="9" style="2"/>
    <col min="8974" max="8984" width="11.125" style="2" bestFit="1" customWidth="1"/>
    <col min="8985" max="8985" width="9" style="2"/>
    <col min="8986" max="8992" width="11.125" style="2" bestFit="1" customWidth="1"/>
    <col min="8993" max="8993" width="9.625" style="2" bestFit="1" customWidth="1"/>
    <col min="8994" max="9219" width="9" style="2"/>
    <col min="9220" max="9220" width="2.375" style="2" customWidth="1"/>
    <col min="9221" max="9221" width="13.25" style="2" bestFit="1" customWidth="1"/>
    <col min="9222" max="9224" width="11.125" style="2" bestFit="1" customWidth="1"/>
    <col min="9225" max="9225" width="13.25" style="2" bestFit="1" customWidth="1"/>
    <col min="9226" max="9226" width="11.125" style="2" bestFit="1" customWidth="1"/>
    <col min="9227" max="9227" width="9" style="2"/>
    <col min="9228" max="9228" width="11.125" style="2" bestFit="1" customWidth="1"/>
    <col min="9229" max="9229" width="9" style="2"/>
    <col min="9230" max="9240" width="11.125" style="2" bestFit="1" customWidth="1"/>
    <col min="9241" max="9241" width="9" style="2"/>
    <col min="9242" max="9248" width="11.125" style="2" bestFit="1" customWidth="1"/>
    <col min="9249" max="9249" width="9.625" style="2" bestFit="1" customWidth="1"/>
    <col min="9250" max="9475" width="9" style="2"/>
    <col min="9476" max="9476" width="2.375" style="2" customWidth="1"/>
    <col min="9477" max="9477" width="13.25" style="2" bestFit="1" customWidth="1"/>
    <col min="9478" max="9480" width="11.125" style="2" bestFit="1" customWidth="1"/>
    <col min="9481" max="9481" width="13.25" style="2" bestFit="1" customWidth="1"/>
    <col min="9482" max="9482" width="11.125" style="2" bestFit="1" customWidth="1"/>
    <col min="9483" max="9483" width="9" style="2"/>
    <col min="9484" max="9484" width="11.125" style="2" bestFit="1" customWidth="1"/>
    <col min="9485" max="9485" width="9" style="2"/>
    <col min="9486" max="9496" width="11.125" style="2" bestFit="1" customWidth="1"/>
    <col min="9497" max="9497" width="9" style="2"/>
    <col min="9498" max="9504" width="11.125" style="2" bestFit="1" customWidth="1"/>
    <col min="9505" max="9505" width="9.625" style="2" bestFit="1" customWidth="1"/>
    <col min="9506" max="9731" width="9" style="2"/>
    <col min="9732" max="9732" width="2.375" style="2" customWidth="1"/>
    <col min="9733" max="9733" width="13.25" style="2" bestFit="1" customWidth="1"/>
    <col min="9734" max="9736" width="11.125" style="2" bestFit="1" customWidth="1"/>
    <col min="9737" max="9737" width="13.25" style="2" bestFit="1" customWidth="1"/>
    <col min="9738" max="9738" width="11.125" style="2" bestFit="1" customWidth="1"/>
    <col min="9739" max="9739" width="9" style="2"/>
    <col min="9740" max="9740" width="11.125" style="2" bestFit="1" customWidth="1"/>
    <col min="9741" max="9741" width="9" style="2"/>
    <col min="9742" max="9752" width="11.125" style="2" bestFit="1" customWidth="1"/>
    <col min="9753" max="9753" width="9" style="2"/>
    <col min="9754" max="9760" width="11.125" style="2" bestFit="1" customWidth="1"/>
    <col min="9761" max="9761" width="9.625" style="2" bestFit="1" customWidth="1"/>
    <col min="9762" max="9987" width="9" style="2"/>
    <col min="9988" max="9988" width="2.375" style="2" customWidth="1"/>
    <col min="9989" max="9989" width="13.25" style="2" bestFit="1" customWidth="1"/>
    <col min="9990" max="9992" width="11.125" style="2" bestFit="1" customWidth="1"/>
    <col min="9993" max="9993" width="13.25" style="2" bestFit="1" customWidth="1"/>
    <col min="9994" max="9994" width="11.125" style="2" bestFit="1" customWidth="1"/>
    <col min="9995" max="9995" width="9" style="2"/>
    <col min="9996" max="9996" width="11.125" style="2" bestFit="1" customWidth="1"/>
    <col min="9997" max="9997" width="9" style="2"/>
    <col min="9998" max="10008" width="11.125" style="2" bestFit="1" customWidth="1"/>
    <col min="10009" max="10009" width="9" style="2"/>
    <col min="10010" max="10016" width="11.125" style="2" bestFit="1" customWidth="1"/>
    <col min="10017" max="10017" width="9.625" style="2" bestFit="1" customWidth="1"/>
    <col min="10018" max="10243" width="9" style="2"/>
    <col min="10244" max="10244" width="2.375" style="2" customWidth="1"/>
    <col min="10245" max="10245" width="13.25" style="2" bestFit="1" customWidth="1"/>
    <col min="10246" max="10248" width="11.125" style="2" bestFit="1" customWidth="1"/>
    <col min="10249" max="10249" width="13.25" style="2" bestFit="1" customWidth="1"/>
    <col min="10250" max="10250" width="11.125" style="2" bestFit="1" customWidth="1"/>
    <col min="10251" max="10251" width="9" style="2"/>
    <col min="10252" max="10252" width="11.125" style="2" bestFit="1" customWidth="1"/>
    <col min="10253" max="10253" width="9" style="2"/>
    <col min="10254" max="10264" width="11.125" style="2" bestFit="1" customWidth="1"/>
    <col min="10265" max="10265" width="9" style="2"/>
    <col min="10266" max="10272" width="11.125" style="2" bestFit="1" customWidth="1"/>
    <col min="10273" max="10273" width="9.625" style="2" bestFit="1" customWidth="1"/>
    <col min="10274" max="10499" width="9" style="2"/>
    <col min="10500" max="10500" width="2.375" style="2" customWidth="1"/>
    <col min="10501" max="10501" width="13.25" style="2" bestFit="1" customWidth="1"/>
    <col min="10502" max="10504" width="11.125" style="2" bestFit="1" customWidth="1"/>
    <col min="10505" max="10505" width="13.25" style="2" bestFit="1" customWidth="1"/>
    <col min="10506" max="10506" width="11.125" style="2" bestFit="1" customWidth="1"/>
    <col min="10507" max="10507" width="9" style="2"/>
    <col min="10508" max="10508" width="11.125" style="2" bestFit="1" customWidth="1"/>
    <col min="10509" max="10509" width="9" style="2"/>
    <col min="10510" max="10520" width="11.125" style="2" bestFit="1" customWidth="1"/>
    <col min="10521" max="10521" width="9" style="2"/>
    <col min="10522" max="10528" width="11.125" style="2" bestFit="1" customWidth="1"/>
    <col min="10529" max="10529" width="9.625" style="2" bestFit="1" customWidth="1"/>
    <col min="10530" max="10755" width="9" style="2"/>
    <col min="10756" max="10756" width="2.375" style="2" customWidth="1"/>
    <col min="10757" max="10757" width="13.25" style="2" bestFit="1" customWidth="1"/>
    <col min="10758" max="10760" width="11.125" style="2" bestFit="1" customWidth="1"/>
    <col min="10761" max="10761" width="13.25" style="2" bestFit="1" customWidth="1"/>
    <col min="10762" max="10762" width="11.125" style="2" bestFit="1" customWidth="1"/>
    <col min="10763" max="10763" width="9" style="2"/>
    <col min="10764" max="10764" width="11.125" style="2" bestFit="1" customWidth="1"/>
    <col min="10765" max="10765" width="9" style="2"/>
    <col min="10766" max="10776" width="11.125" style="2" bestFit="1" customWidth="1"/>
    <col min="10777" max="10777" width="9" style="2"/>
    <col min="10778" max="10784" width="11.125" style="2" bestFit="1" customWidth="1"/>
    <col min="10785" max="10785" width="9.625" style="2" bestFit="1" customWidth="1"/>
    <col min="10786" max="11011" width="9" style="2"/>
    <col min="11012" max="11012" width="2.375" style="2" customWidth="1"/>
    <col min="11013" max="11013" width="13.25" style="2" bestFit="1" customWidth="1"/>
    <col min="11014" max="11016" width="11.125" style="2" bestFit="1" customWidth="1"/>
    <col min="11017" max="11017" width="13.25" style="2" bestFit="1" customWidth="1"/>
    <col min="11018" max="11018" width="11.125" style="2" bestFit="1" customWidth="1"/>
    <col min="11019" max="11019" width="9" style="2"/>
    <col min="11020" max="11020" width="11.125" style="2" bestFit="1" customWidth="1"/>
    <col min="11021" max="11021" width="9" style="2"/>
    <col min="11022" max="11032" width="11.125" style="2" bestFit="1" customWidth="1"/>
    <col min="11033" max="11033" width="9" style="2"/>
    <col min="11034" max="11040" width="11.125" style="2" bestFit="1" customWidth="1"/>
    <col min="11041" max="11041" width="9.625" style="2" bestFit="1" customWidth="1"/>
    <col min="11042" max="11267" width="9" style="2"/>
    <col min="11268" max="11268" width="2.375" style="2" customWidth="1"/>
    <col min="11269" max="11269" width="13.25" style="2" bestFit="1" customWidth="1"/>
    <col min="11270" max="11272" width="11.125" style="2" bestFit="1" customWidth="1"/>
    <col min="11273" max="11273" width="13.25" style="2" bestFit="1" customWidth="1"/>
    <col min="11274" max="11274" width="11.125" style="2" bestFit="1" customWidth="1"/>
    <col min="11275" max="11275" width="9" style="2"/>
    <col min="11276" max="11276" width="11.125" style="2" bestFit="1" customWidth="1"/>
    <col min="11277" max="11277" width="9" style="2"/>
    <col min="11278" max="11288" width="11.125" style="2" bestFit="1" customWidth="1"/>
    <col min="11289" max="11289" width="9" style="2"/>
    <col min="11290" max="11296" width="11.125" style="2" bestFit="1" customWidth="1"/>
    <col min="11297" max="11297" width="9.625" style="2" bestFit="1" customWidth="1"/>
    <col min="11298" max="11523" width="9" style="2"/>
    <col min="11524" max="11524" width="2.375" style="2" customWidth="1"/>
    <col min="11525" max="11525" width="13.25" style="2" bestFit="1" customWidth="1"/>
    <col min="11526" max="11528" width="11.125" style="2" bestFit="1" customWidth="1"/>
    <col min="11529" max="11529" width="13.25" style="2" bestFit="1" customWidth="1"/>
    <col min="11530" max="11530" width="11.125" style="2" bestFit="1" customWidth="1"/>
    <col min="11531" max="11531" width="9" style="2"/>
    <col min="11532" max="11532" width="11.125" style="2" bestFit="1" customWidth="1"/>
    <col min="11533" max="11533" width="9" style="2"/>
    <col min="11534" max="11544" width="11.125" style="2" bestFit="1" customWidth="1"/>
    <col min="11545" max="11545" width="9" style="2"/>
    <col min="11546" max="11552" width="11.125" style="2" bestFit="1" customWidth="1"/>
    <col min="11553" max="11553" width="9.625" style="2" bestFit="1" customWidth="1"/>
    <col min="11554" max="11779" width="9" style="2"/>
    <col min="11780" max="11780" width="2.375" style="2" customWidth="1"/>
    <col min="11781" max="11781" width="13.25" style="2" bestFit="1" customWidth="1"/>
    <col min="11782" max="11784" width="11.125" style="2" bestFit="1" customWidth="1"/>
    <col min="11785" max="11785" width="13.25" style="2" bestFit="1" customWidth="1"/>
    <col min="11786" max="11786" width="11.125" style="2" bestFit="1" customWidth="1"/>
    <col min="11787" max="11787" width="9" style="2"/>
    <col min="11788" max="11788" width="11.125" style="2" bestFit="1" customWidth="1"/>
    <col min="11789" max="11789" width="9" style="2"/>
    <col min="11790" max="11800" width="11.125" style="2" bestFit="1" customWidth="1"/>
    <col min="11801" max="11801" width="9" style="2"/>
    <col min="11802" max="11808" width="11.125" style="2" bestFit="1" customWidth="1"/>
    <col min="11809" max="11809" width="9.625" style="2" bestFit="1" customWidth="1"/>
    <col min="11810" max="12035" width="9" style="2"/>
    <col min="12036" max="12036" width="2.375" style="2" customWidth="1"/>
    <col min="12037" max="12037" width="13.25" style="2" bestFit="1" customWidth="1"/>
    <col min="12038" max="12040" width="11.125" style="2" bestFit="1" customWidth="1"/>
    <col min="12041" max="12041" width="13.25" style="2" bestFit="1" customWidth="1"/>
    <col min="12042" max="12042" width="11.125" style="2" bestFit="1" customWidth="1"/>
    <col min="12043" max="12043" width="9" style="2"/>
    <col min="12044" max="12044" width="11.125" style="2" bestFit="1" customWidth="1"/>
    <col min="12045" max="12045" width="9" style="2"/>
    <col min="12046" max="12056" width="11.125" style="2" bestFit="1" customWidth="1"/>
    <col min="12057" max="12057" width="9" style="2"/>
    <col min="12058" max="12064" width="11.125" style="2" bestFit="1" customWidth="1"/>
    <col min="12065" max="12065" width="9.625" style="2" bestFit="1" customWidth="1"/>
    <col min="12066" max="12291" width="9" style="2"/>
    <col min="12292" max="12292" width="2.375" style="2" customWidth="1"/>
    <col min="12293" max="12293" width="13.25" style="2" bestFit="1" customWidth="1"/>
    <col min="12294" max="12296" width="11.125" style="2" bestFit="1" customWidth="1"/>
    <col min="12297" max="12297" width="13.25" style="2" bestFit="1" customWidth="1"/>
    <col min="12298" max="12298" width="11.125" style="2" bestFit="1" customWidth="1"/>
    <col min="12299" max="12299" width="9" style="2"/>
    <col min="12300" max="12300" width="11.125" style="2" bestFit="1" customWidth="1"/>
    <col min="12301" max="12301" width="9" style="2"/>
    <col min="12302" max="12312" width="11.125" style="2" bestFit="1" customWidth="1"/>
    <col min="12313" max="12313" width="9" style="2"/>
    <col min="12314" max="12320" width="11.125" style="2" bestFit="1" customWidth="1"/>
    <col min="12321" max="12321" width="9.625" style="2" bestFit="1" customWidth="1"/>
    <col min="12322" max="12547" width="9" style="2"/>
    <col min="12548" max="12548" width="2.375" style="2" customWidth="1"/>
    <col min="12549" max="12549" width="13.25" style="2" bestFit="1" customWidth="1"/>
    <col min="12550" max="12552" width="11.125" style="2" bestFit="1" customWidth="1"/>
    <col min="12553" max="12553" width="13.25" style="2" bestFit="1" customWidth="1"/>
    <col min="12554" max="12554" width="11.125" style="2" bestFit="1" customWidth="1"/>
    <col min="12555" max="12555" width="9" style="2"/>
    <col min="12556" max="12556" width="11.125" style="2" bestFit="1" customWidth="1"/>
    <col min="12557" max="12557" width="9" style="2"/>
    <col min="12558" max="12568" width="11.125" style="2" bestFit="1" customWidth="1"/>
    <col min="12569" max="12569" width="9" style="2"/>
    <col min="12570" max="12576" width="11.125" style="2" bestFit="1" customWidth="1"/>
    <col min="12577" max="12577" width="9.625" style="2" bestFit="1" customWidth="1"/>
    <col min="12578" max="12803" width="9" style="2"/>
    <col min="12804" max="12804" width="2.375" style="2" customWidth="1"/>
    <col min="12805" max="12805" width="13.25" style="2" bestFit="1" customWidth="1"/>
    <col min="12806" max="12808" width="11.125" style="2" bestFit="1" customWidth="1"/>
    <col min="12809" max="12809" width="13.25" style="2" bestFit="1" customWidth="1"/>
    <col min="12810" max="12810" width="11.125" style="2" bestFit="1" customWidth="1"/>
    <col min="12811" max="12811" width="9" style="2"/>
    <col min="12812" max="12812" width="11.125" style="2" bestFit="1" customWidth="1"/>
    <col min="12813" max="12813" width="9" style="2"/>
    <col min="12814" max="12824" width="11.125" style="2" bestFit="1" customWidth="1"/>
    <col min="12825" max="12825" width="9" style="2"/>
    <col min="12826" max="12832" width="11.125" style="2" bestFit="1" customWidth="1"/>
    <col min="12833" max="12833" width="9.625" style="2" bestFit="1" customWidth="1"/>
    <col min="12834" max="13059" width="9" style="2"/>
    <col min="13060" max="13060" width="2.375" style="2" customWidth="1"/>
    <col min="13061" max="13061" width="13.25" style="2" bestFit="1" customWidth="1"/>
    <col min="13062" max="13064" width="11.125" style="2" bestFit="1" customWidth="1"/>
    <col min="13065" max="13065" width="13.25" style="2" bestFit="1" customWidth="1"/>
    <col min="13066" max="13066" width="11.125" style="2" bestFit="1" customWidth="1"/>
    <col min="13067" max="13067" width="9" style="2"/>
    <col min="13068" max="13068" width="11.125" style="2" bestFit="1" customWidth="1"/>
    <col min="13069" max="13069" width="9" style="2"/>
    <col min="13070" max="13080" width="11.125" style="2" bestFit="1" customWidth="1"/>
    <col min="13081" max="13081" width="9" style="2"/>
    <col min="13082" max="13088" width="11.125" style="2" bestFit="1" customWidth="1"/>
    <col min="13089" max="13089" width="9.625" style="2" bestFit="1" customWidth="1"/>
    <col min="13090" max="13315" width="9" style="2"/>
    <col min="13316" max="13316" width="2.375" style="2" customWidth="1"/>
    <col min="13317" max="13317" width="13.25" style="2" bestFit="1" customWidth="1"/>
    <col min="13318" max="13320" width="11.125" style="2" bestFit="1" customWidth="1"/>
    <col min="13321" max="13321" width="13.25" style="2" bestFit="1" customWidth="1"/>
    <col min="13322" max="13322" width="11.125" style="2" bestFit="1" customWidth="1"/>
    <col min="13323" max="13323" width="9" style="2"/>
    <col min="13324" max="13324" width="11.125" style="2" bestFit="1" customWidth="1"/>
    <col min="13325" max="13325" width="9" style="2"/>
    <col min="13326" max="13336" width="11.125" style="2" bestFit="1" customWidth="1"/>
    <col min="13337" max="13337" width="9" style="2"/>
    <col min="13338" max="13344" width="11.125" style="2" bestFit="1" customWidth="1"/>
    <col min="13345" max="13345" width="9.625" style="2" bestFit="1" customWidth="1"/>
    <col min="13346" max="13571" width="9" style="2"/>
    <col min="13572" max="13572" width="2.375" style="2" customWidth="1"/>
    <col min="13573" max="13573" width="13.25" style="2" bestFit="1" customWidth="1"/>
    <col min="13574" max="13576" width="11.125" style="2" bestFit="1" customWidth="1"/>
    <col min="13577" max="13577" width="13.25" style="2" bestFit="1" customWidth="1"/>
    <col min="13578" max="13578" width="11.125" style="2" bestFit="1" customWidth="1"/>
    <col min="13579" max="13579" width="9" style="2"/>
    <col min="13580" max="13580" width="11.125" style="2" bestFit="1" customWidth="1"/>
    <col min="13581" max="13581" width="9" style="2"/>
    <col min="13582" max="13592" width="11.125" style="2" bestFit="1" customWidth="1"/>
    <col min="13593" max="13593" width="9" style="2"/>
    <col min="13594" max="13600" width="11.125" style="2" bestFit="1" customWidth="1"/>
    <col min="13601" max="13601" width="9.625" style="2" bestFit="1" customWidth="1"/>
    <col min="13602" max="13827" width="9" style="2"/>
    <col min="13828" max="13828" width="2.375" style="2" customWidth="1"/>
    <col min="13829" max="13829" width="13.25" style="2" bestFit="1" customWidth="1"/>
    <col min="13830" max="13832" width="11.125" style="2" bestFit="1" customWidth="1"/>
    <col min="13833" max="13833" width="13.25" style="2" bestFit="1" customWidth="1"/>
    <col min="13834" max="13834" width="11.125" style="2" bestFit="1" customWidth="1"/>
    <col min="13835" max="13835" width="9" style="2"/>
    <col min="13836" max="13836" width="11.125" style="2" bestFit="1" customWidth="1"/>
    <col min="13837" max="13837" width="9" style="2"/>
    <col min="13838" max="13848" width="11.125" style="2" bestFit="1" customWidth="1"/>
    <col min="13849" max="13849" width="9" style="2"/>
    <col min="13850" max="13856" width="11.125" style="2" bestFit="1" customWidth="1"/>
    <col min="13857" max="13857" width="9.625" style="2" bestFit="1" customWidth="1"/>
    <col min="13858" max="14083" width="9" style="2"/>
    <col min="14084" max="14084" width="2.375" style="2" customWidth="1"/>
    <col min="14085" max="14085" width="13.25" style="2" bestFit="1" customWidth="1"/>
    <col min="14086" max="14088" width="11.125" style="2" bestFit="1" customWidth="1"/>
    <col min="14089" max="14089" width="13.25" style="2" bestFit="1" customWidth="1"/>
    <col min="14090" max="14090" width="11.125" style="2" bestFit="1" customWidth="1"/>
    <col min="14091" max="14091" width="9" style="2"/>
    <col min="14092" max="14092" width="11.125" style="2" bestFit="1" customWidth="1"/>
    <col min="14093" max="14093" width="9" style="2"/>
    <col min="14094" max="14104" width="11.125" style="2" bestFit="1" customWidth="1"/>
    <col min="14105" max="14105" width="9" style="2"/>
    <col min="14106" max="14112" width="11.125" style="2" bestFit="1" customWidth="1"/>
    <col min="14113" max="14113" width="9.625" style="2" bestFit="1" customWidth="1"/>
    <col min="14114" max="14339" width="9" style="2"/>
    <col min="14340" max="14340" width="2.375" style="2" customWidth="1"/>
    <col min="14341" max="14341" width="13.25" style="2" bestFit="1" customWidth="1"/>
    <col min="14342" max="14344" width="11.125" style="2" bestFit="1" customWidth="1"/>
    <col min="14345" max="14345" width="13.25" style="2" bestFit="1" customWidth="1"/>
    <col min="14346" max="14346" width="11.125" style="2" bestFit="1" customWidth="1"/>
    <col min="14347" max="14347" width="9" style="2"/>
    <col min="14348" max="14348" width="11.125" style="2" bestFit="1" customWidth="1"/>
    <col min="14349" max="14349" width="9" style="2"/>
    <col min="14350" max="14360" width="11.125" style="2" bestFit="1" customWidth="1"/>
    <col min="14361" max="14361" width="9" style="2"/>
    <col min="14362" max="14368" width="11.125" style="2" bestFit="1" customWidth="1"/>
    <col min="14369" max="14369" width="9.625" style="2" bestFit="1" customWidth="1"/>
    <col min="14370" max="14595" width="9" style="2"/>
    <col min="14596" max="14596" width="2.375" style="2" customWidth="1"/>
    <col min="14597" max="14597" width="13.25" style="2" bestFit="1" customWidth="1"/>
    <col min="14598" max="14600" width="11.125" style="2" bestFit="1" customWidth="1"/>
    <col min="14601" max="14601" width="13.25" style="2" bestFit="1" customWidth="1"/>
    <col min="14602" max="14602" width="11.125" style="2" bestFit="1" customWidth="1"/>
    <col min="14603" max="14603" width="9" style="2"/>
    <col min="14604" max="14604" width="11.125" style="2" bestFit="1" customWidth="1"/>
    <col min="14605" max="14605" width="9" style="2"/>
    <col min="14606" max="14616" width="11.125" style="2" bestFit="1" customWidth="1"/>
    <col min="14617" max="14617" width="9" style="2"/>
    <col min="14618" max="14624" width="11.125" style="2" bestFit="1" customWidth="1"/>
    <col min="14625" max="14625" width="9.625" style="2" bestFit="1" customWidth="1"/>
    <col min="14626" max="14851" width="9" style="2"/>
    <col min="14852" max="14852" width="2.375" style="2" customWidth="1"/>
    <col min="14853" max="14853" width="13.25" style="2" bestFit="1" customWidth="1"/>
    <col min="14854" max="14856" width="11.125" style="2" bestFit="1" customWidth="1"/>
    <col min="14857" max="14857" width="13.25" style="2" bestFit="1" customWidth="1"/>
    <col min="14858" max="14858" width="11.125" style="2" bestFit="1" customWidth="1"/>
    <col min="14859" max="14859" width="9" style="2"/>
    <col min="14860" max="14860" width="11.125" style="2" bestFit="1" customWidth="1"/>
    <col min="14861" max="14861" width="9" style="2"/>
    <col min="14862" max="14872" width="11.125" style="2" bestFit="1" customWidth="1"/>
    <col min="14873" max="14873" width="9" style="2"/>
    <col min="14874" max="14880" width="11.125" style="2" bestFit="1" customWidth="1"/>
    <col min="14881" max="14881" width="9.625" style="2" bestFit="1" customWidth="1"/>
    <col min="14882" max="15107" width="9" style="2"/>
    <col min="15108" max="15108" width="2.375" style="2" customWidth="1"/>
    <col min="15109" max="15109" width="13.25" style="2" bestFit="1" customWidth="1"/>
    <col min="15110" max="15112" width="11.125" style="2" bestFit="1" customWidth="1"/>
    <col min="15113" max="15113" width="13.25" style="2" bestFit="1" customWidth="1"/>
    <col min="15114" max="15114" width="11.125" style="2" bestFit="1" customWidth="1"/>
    <col min="15115" max="15115" width="9" style="2"/>
    <col min="15116" max="15116" width="11.125" style="2" bestFit="1" customWidth="1"/>
    <col min="15117" max="15117" width="9" style="2"/>
    <col min="15118" max="15128" width="11.125" style="2" bestFit="1" customWidth="1"/>
    <col min="15129" max="15129" width="9" style="2"/>
    <col min="15130" max="15136" width="11.125" style="2" bestFit="1" customWidth="1"/>
    <col min="15137" max="15137" width="9.625" style="2" bestFit="1" customWidth="1"/>
    <col min="15138" max="15363" width="9" style="2"/>
    <col min="15364" max="15364" width="2.375" style="2" customWidth="1"/>
    <col min="15365" max="15365" width="13.25" style="2" bestFit="1" customWidth="1"/>
    <col min="15366" max="15368" width="11.125" style="2" bestFit="1" customWidth="1"/>
    <col min="15369" max="15369" width="13.25" style="2" bestFit="1" customWidth="1"/>
    <col min="15370" max="15370" width="11.125" style="2" bestFit="1" customWidth="1"/>
    <col min="15371" max="15371" width="9" style="2"/>
    <col min="15372" max="15372" width="11.125" style="2" bestFit="1" customWidth="1"/>
    <col min="15373" max="15373" width="9" style="2"/>
    <col min="15374" max="15384" width="11.125" style="2" bestFit="1" customWidth="1"/>
    <col min="15385" max="15385" width="9" style="2"/>
    <col min="15386" max="15392" width="11.125" style="2" bestFit="1" customWidth="1"/>
    <col min="15393" max="15393" width="9.625" style="2" bestFit="1" customWidth="1"/>
    <col min="15394" max="15619" width="9" style="2"/>
    <col min="15620" max="15620" width="2.375" style="2" customWidth="1"/>
    <col min="15621" max="15621" width="13.25" style="2" bestFit="1" customWidth="1"/>
    <col min="15622" max="15624" width="11.125" style="2" bestFit="1" customWidth="1"/>
    <col min="15625" max="15625" width="13.25" style="2" bestFit="1" customWidth="1"/>
    <col min="15626" max="15626" width="11.125" style="2" bestFit="1" customWidth="1"/>
    <col min="15627" max="15627" width="9" style="2"/>
    <col min="15628" max="15628" width="11.125" style="2" bestFit="1" customWidth="1"/>
    <col min="15629" max="15629" width="9" style="2"/>
    <col min="15630" max="15640" width="11.125" style="2" bestFit="1" customWidth="1"/>
    <col min="15641" max="15641" width="9" style="2"/>
    <col min="15642" max="15648" width="11.125" style="2" bestFit="1" customWidth="1"/>
    <col min="15649" max="15649" width="9.625" style="2" bestFit="1" customWidth="1"/>
    <col min="15650" max="15875" width="9" style="2"/>
    <col min="15876" max="15876" width="2.375" style="2" customWidth="1"/>
    <col min="15877" max="15877" width="13.25" style="2" bestFit="1" customWidth="1"/>
    <col min="15878" max="15880" width="11.125" style="2" bestFit="1" customWidth="1"/>
    <col min="15881" max="15881" width="13.25" style="2" bestFit="1" customWidth="1"/>
    <col min="15882" max="15882" width="11.125" style="2" bestFit="1" customWidth="1"/>
    <col min="15883" max="15883" width="9" style="2"/>
    <col min="15884" max="15884" width="11.125" style="2" bestFit="1" customWidth="1"/>
    <col min="15885" max="15885" width="9" style="2"/>
    <col min="15886" max="15896" width="11.125" style="2" bestFit="1" customWidth="1"/>
    <col min="15897" max="15897" width="9" style="2"/>
    <col min="15898" max="15904" width="11.125" style="2" bestFit="1" customWidth="1"/>
    <col min="15905" max="15905" width="9.625" style="2" bestFit="1" customWidth="1"/>
    <col min="15906" max="16131" width="9" style="2"/>
    <col min="16132" max="16132" width="2.375" style="2" customWidth="1"/>
    <col min="16133" max="16133" width="13.25" style="2" bestFit="1" customWidth="1"/>
    <col min="16134" max="16136" width="11.125" style="2" bestFit="1" customWidth="1"/>
    <col min="16137" max="16137" width="13.25" style="2" bestFit="1" customWidth="1"/>
    <col min="16138" max="16138" width="11.125" style="2" bestFit="1" customWidth="1"/>
    <col min="16139" max="16139" width="9" style="2"/>
    <col min="16140" max="16140" width="11.125" style="2" bestFit="1" customWidth="1"/>
    <col min="16141" max="16141" width="9" style="2"/>
    <col min="16142" max="16152" width="11.125" style="2" bestFit="1" customWidth="1"/>
    <col min="16153" max="16153" width="9" style="2"/>
    <col min="16154" max="16160" width="11.125" style="2" bestFit="1" customWidth="1"/>
    <col min="16161" max="16161" width="9.625" style="2" bestFit="1" customWidth="1"/>
    <col min="16162" max="16384" width="9" style="2"/>
  </cols>
  <sheetData>
    <row r="1" spans="1:35">
      <c r="A1" s="1" t="s">
        <v>0</v>
      </c>
    </row>
    <row r="2" spans="1:35">
      <c r="A2" s="1" t="s">
        <v>1</v>
      </c>
    </row>
    <row r="3" spans="1:35" ht="19.5" thickBot="1">
      <c r="A3" s="1" t="s">
        <v>118</v>
      </c>
    </row>
    <row r="4" spans="1:35">
      <c r="B4" s="3"/>
      <c r="C4" s="11" t="s">
        <v>3</v>
      </c>
      <c r="D4" s="12" t="s">
        <v>4</v>
      </c>
      <c r="E4" s="12" t="s">
        <v>8</v>
      </c>
      <c r="F4" s="12" t="s">
        <v>9</v>
      </c>
      <c r="G4" s="12" t="s">
        <v>10</v>
      </c>
      <c r="H4" s="12" t="s">
        <v>11</v>
      </c>
      <c r="I4" s="12" t="s">
        <v>12</v>
      </c>
      <c r="J4" s="12" t="s">
        <v>13</v>
      </c>
      <c r="K4" s="12" t="s">
        <v>14</v>
      </c>
      <c r="L4" s="12" t="s">
        <v>15</v>
      </c>
      <c r="M4" s="12" t="s">
        <v>16</v>
      </c>
      <c r="N4" s="12" t="s">
        <v>17</v>
      </c>
      <c r="O4" s="12" t="s">
        <v>18</v>
      </c>
      <c r="P4" s="12" t="s">
        <v>19</v>
      </c>
      <c r="Q4" s="12" t="s">
        <v>20</v>
      </c>
      <c r="R4" s="12" t="s">
        <v>21</v>
      </c>
      <c r="S4" s="61" t="s">
        <v>22</v>
      </c>
      <c r="T4" s="85" t="s">
        <v>119</v>
      </c>
      <c r="U4" s="73" t="s">
        <v>5</v>
      </c>
      <c r="V4" s="12" t="s">
        <v>6</v>
      </c>
      <c r="W4" s="12" t="s">
        <v>26</v>
      </c>
      <c r="X4" s="12" t="s">
        <v>27</v>
      </c>
      <c r="Y4" s="12" t="s">
        <v>23</v>
      </c>
      <c r="Z4" s="12" t="s">
        <v>24</v>
      </c>
      <c r="AA4" s="12" t="s">
        <v>25</v>
      </c>
      <c r="AB4" s="12" t="s">
        <v>28</v>
      </c>
      <c r="AC4" s="13" t="s">
        <v>29</v>
      </c>
      <c r="AD4" s="85" t="s">
        <v>119</v>
      </c>
      <c r="AE4" s="61" t="s">
        <v>7</v>
      </c>
      <c r="AF4" s="85" t="s">
        <v>119</v>
      </c>
      <c r="AG4" s="4" t="s">
        <v>58</v>
      </c>
    </row>
    <row r="5" spans="1:35" ht="19.5" thickBot="1">
      <c r="A5" s="98"/>
      <c r="B5" s="31" t="s">
        <v>30</v>
      </c>
      <c r="C5" s="32" t="s">
        <v>31</v>
      </c>
      <c r="D5" s="33" t="s">
        <v>32</v>
      </c>
      <c r="E5" s="33" t="s">
        <v>36</v>
      </c>
      <c r="F5" s="33" t="s">
        <v>37</v>
      </c>
      <c r="G5" s="33" t="s">
        <v>38</v>
      </c>
      <c r="H5" s="33" t="s">
        <v>39</v>
      </c>
      <c r="I5" s="33" t="s">
        <v>40</v>
      </c>
      <c r="J5" s="33" t="s">
        <v>41</v>
      </c>
      <c r="K5" s="33" t="s">
        <v>42</v>
      </c>
      <c r="L5" s="33" t="s">
        <v>43</v>
      </c>
      <c r="M5" s="33" t="s">
        <v>44</v>
      </c>
      <c r="N5" s="33" t="s">
        <v>45</v>
      </c>
      <c r="O5" s="33" t="s">
        <v>46</v>
      </c>
      <c r="P5" s="33" t="s">
        <v>47</v>
      </c>
      <c r="Q5" s="33" t="s">
        <v>48</v>
      </c>
      <c r="R5" s="33" t="s">
        <v>49</v>
      </c>
      <c r="S5" s="62" t="s">
        <v>50</v>
      </c>
      <c r="T5" s="97" t="s">
        <v>120</v>
      </c>
      <c r="U5" s="74" t="s">
        <v>33</v>
      </c>
      <c r="V5" s="33" t="s">
        <v>34</v>
      </c>
      <c r="W5" s="33" t="s">
        <v>54</v>
      </c>
      <c r="X5" s="33" t="s">
        <v>55</v>
      </c>
      <c r="Y5" s="33" t="s">
        <v>51</v>
      </c>
      <c r="Z5" s="33" t="s">
        <v>52</v>
      </c>
      <c r="AA5" s="33" t="s">
        <v>53</v>
      </c>
      <c r="AB5" s="33" t="s">
        <v>56</v>
      </c>
      <c r="AC5" s="34" t="s">
        <v>57</v>
      </c>
      <c r="AD5" s="97" t="s">
        <v>121</v>
      </c>
      <c r="AE5" s="62" t="s">
        <v>35</v>
      </c>
      <c r="AF5" s="97" t="s">
        <v>122</v>
      </c>
      <c r="AG5" s="106" t="s">
        <v>123</v>
      </c>
    </row>
    <row r="6" spans="1:35">
      <c r="A6" s="1" t="s">
        <v>2</v>
      </c>
      <c r="B6" s="26" t="s">
        <v>59</v>
      </c>
      <c r="C6" s="27">
        <v>9</v>
      </c>
      <c r="D6" s="28">
        <v>0</v>
      </c>
      <c r="E6" s="28">
        <v>18</v>
      </c>
      <c r="F6" s="28">
        <v>18</v>
      </c>
      <c r="G6" s="28">
        <v>18</v>
      </c>
      <c r="H6" s="28">
        <v>17</v>
      </c>
      <c r="I6" s="28">
        <v>17</v>
      </c>
      <c r="J6" s="28">
        <v>17</v>
      </c>
      <c r="K6" s="28">
        <v>16</v>
      </c>
      <c r="L6" s="28">
        <v>18</v>
      </c>
      <c r="M6" s="28">
        <v>16</v>
      </c>
      <c r="N6" s="28">
        <v>15</v>
      </c>
      <c r="O6" s="28">
        <v>18</v>
      </c>
      <c r="P6" s="28">
        <v>18</v>
      </c>
      <c r="Q6" s="28">
        <v>18</v>
      </c>
      <c r="R6" s="28">
        <v>17</v>
      </c>
      <c r="S6" s="63">
        <v>14</v>
      </c>
      <c r="T6" s="86">
        <f>SUM(C6:S6)</f>
        <v>264</v>
      </c>
      <c r="U6" s="75">
        <v>18</v>
      </c>
      <c r="V6" s="28">
        <v>17</v>
      </c>
      <c r="W6" s="28">
        <v>12</v>
      </c>
      <c r="X6" s="28">
        <v>14</v>
      </c>
      <c r="Y6" s="28">
        <v>9</v>
      </c>
      <c r="Z6" s="28">
        <v>5</v>
      </c>
      <c r="AA6" s="28">
        <v>10</v>
      </c>
      <c r="AB6" s="28">
        <v>8</v>
      </c>
      <c r="AC6" s="29">
        <v>17</v>
      </c>
      <c r="AD6" s="30">
        <f>SUM(U6:AC6)</f>
        <v>110</v>
      </c>
      <c r="AE6" s="63">
        <v>18</v>
      </c>
      <c r="AF6" s="86">
        <f>SUM(AE6)</f>
        <v>18</v>
      </c>
      <c r="AG6" s="30">
        <f>T6+AD6+AF6</f>
        <v>392</v>
      </c>
      <c r="AI6"/>
    </row>
    <row r="7" spans="1:35">
      <c r="A7" s="1" t="s">
        <v>2</v>
      </c>
      <c r="B7" s="5" t="s">
        <v>60</v>
      </c>
      <c r="C7" s="14">
        <v>3</v>
      </c>
      <c r="D7" s="15">
        <v>0</v>
      </c>
      <c r="E7" s="15">
        <v>3</v>
      </c>
      <c r="F7" s="15">
        <v>2</v>
      </c>
      <c r="G7" s="15">
        <v>3</v>
      </c>
      <c r="H7" s="15">
        <v>2</v>
      </c>
      <c r="I7" s="15">
        <v>4</v>
      </c>
      <c r="J7" s="15">
        <v>4</v>
      </c>
      <c r="K7" s="15">
        <v>2</v>
      </c>
      <c r="L7" s="15">
        <v>4</v>
      </c>
      <c r="M7" s="15">
        <v>3</v>
      </c>
      <c r="N7" s="15">
        <v>3</v>
      </c>
      <c r="O7" s="15">
        <v>2</v>
      </c>
      <c r="P7" s="15">
        <v>2</v>
      </c>
      <c r="Q7" s="15">
        <v>2</v>
      </c>
      <c r="R7" s="15">
        <v>4</v>
      </c>
      <c r="S7" s="64">
        <v>3</v>
      </c>
      <c r="T7" s="87">
        <f>SUM(C7:S7)</f>
        <v>46</v>
      </c>
      <c r="U7" s="76">
        <v>0</v>
      </c>
      <c r="V7" s="15">
        <v>2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6">
        <v>0</v>
      </c>
      <c r="AD7" s="7">
        <f>SUM(U7:AC7)</f>
        <v>2</v>
      </c>
      <c r="AE7" s="64">
        <v>0</v>
      </c>
      <c r="AF7" s="87"/>
      <c r="AG7" s="7">
        <f t="shared" ref="AG7:AG55" si="0">T7+AD7+AF7</f>
        <v>48</v>
      </c>
      <c r="AI7"/>
    </row>
    <row r="8" spans="1:35">
      <c r="A8" s="1" t="s">
        <v>2</v>
      </c>
      <c r="B8" s="5" t="s">
        <v>61</v>
      </c>
      <c r="C8" s="14">
        <v>2</v>
      </c>
      <c r="D8" s="15">
        <v>0</v>
      </c>
      <c r="E8" s="15">
        <v>3</v>
      </c>
      <c r="F8" s="15">
        <v>4</v>
      </c>
      <c r="G8" s="15">
        <v>3</v>
      </c>
      <c r="H8" s="15">
        <v>4</v>
      </c>
      <c r="I8" s="15">
        <v>2</v>
      </c>
      <c r="J8" s="15">
        <v>2</v>
      </c>
      <c r="K8" s="15">
        <v>4</v>
      </c>
      <c r="L8" s="15">
        <v>2</v>
      </c>
      <c r="M8" s="15">
        <v>4</v>
      </c>
      <c r="N8" s="15">
        <v>6</v>
      </c>
      <c r="O8" s="15">
        <v>4</v>
      </c>
      <c r="P8" s="15">
        <v>2</v>
      </c>
      <c r="Q8" s="15">
        <v>4</v>
      </c>
      <c r="R8" s="15">
        <v>2</v>
      </c>
      <c r="S8" s="64">
        <v>5</v>
      </c>
      <c r="T8" s="87">
        <f t="shared" ref="T8:T10" si="1">SUM(C8:S8)</f>
        <v>53</v>
      </c>
      <c r="U8" s="76">
        <v>0</v>
      </c>
      <c r="V8" s="15">
        <v>1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6">
        <v>0</v>
      </c>
      <c r="AD8" s="7">
        <f t="shared" ref="AD8:AD10" si="2">SUM(U8:AC8)</f>
        <v>1</v>
      </c>
      <c r="AE8" s="64">
        <v>0</v>
      </c>
      <c r="AF8" s="87"/>
      <c r="AG8" s="7">
        <f t="shared" si="0"/>
        <v>54</v>
      </c>
      <c r="AI8"/>
    </row>
    <row r="9" spans="1:35">
      <c r="A9" s="1" t="s">
        <v>2</v>
      </c>
      <c r="B9" s="5" t="s">
        <v>62</v>
      </c>
      <c r="C9" s="14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1</v>
      </c>
      <c r="N9" s="15">
        <v>2</v>
      </c>
      <c r="O9" s="15">
        <v>0</v>
      </c>
      <c r="P9" s="15">
        <v>0</v>
      </c>
      <c r="Q9" s="15">
        <v>0</v>
      </c>
      <c r="R9" s="15">
        <v>1</v>
      </c>
      <c r="S9" s="64">
        <v>2</v>
      </c>
      <c r="T9" s="87">
        <f t="shared" si="1"/>
        <v>6</v>
      </c>
      <c r="U9" s="76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6">
        <v>0</v>
      </c>
      <c r="AD9" s="7">
        <f t="shared" si="2"/>
        <v>0</v>
      </c>
      <c r="AE9" s="64">
        <v>0</v>
      </c>
      <c r="AF9" s="87"/>
      <c r="AG9" s="7">
        <f t="shared" si="0"/>
        <v>6</v>
      </c>
      <c r="AI9"/>
    </row>
    <row r="10" spans="1:35">
      <c r="A10" s="1" t="s">
        <v>2</v>
      </c>
      <c r="B10" s="5" t="s">
        <v>63</v>
      </c>
      <c r="C10" s="14">
        <v>2</v>
      </c>
      <c r="D10" s="15">
        <v>5</v>
      </c>
      <c r="E10" s="15">
        <v>0</v>
      </c>
      <c r="F10" s="15">
        <v>0</v>
      </c>
      <c r="G10" s="15">
        <v>0</v>
      </c>
      <c r="H10" s="15">
        <v>1</v>
      </c>
      <c r="I10" s="15">
        <v>1</v>
      </c>
      <c r="J10" s="15">
        <v>1</v>
      </c>
      <c r="K10" s="15">
        <v>2</v>
      </c>
      <c r="L10" s="15">
        <v>0</v>
      </c>
      <c r="M10" s="15">
        <v>1</v>
      </c>
      <c r="N10" s="15">
        <v>1</v>
      </c>
      <c r="O10" s="15">
        <v>0</v>
      </c>
      <c r="P10" s="15">
        <v>0</v>
      </c>
      <c r="Q10" s="15">
        <v>0</v>
      </c>
      <c r="R10" s="15">
        <v>0</v>
      </c>
      <c r="S10" s="64">
        <v>2</v>
      </c>
      <c r="T10" s="87">
        <f t="shared" si="1"/>
        <v>16</v>
      </c>
      <c r="U10" s="76">
        <v>0</v>
      </c>
      <c r="V10" s="15">
        <v>1</v>
      </c>
      <c r="W10" s="15">
        <v>2</v>
      </c>
      <c r="X10" s="15">
        <v>1</v>
      </c>
      <c r="Y10" s="15">
        <v>2</v>
      </c>
      <c r="Z10" s="15">
        <v>1</v>
      </c>
      <c r="AA10" s="15">
        <v>3</v>
      </c>
      <c r="AB10" s="15">
        <v>1</v>
      </c>
      <c r="AC10" s="16">
        <v>0</v>
      </c>
      <c r="AD10" s="7">
        <f t="shared" si="2"/>
        <v>11</v>
      </c>
      <c r="AE10" s="64">
        <v>0</v>
      </c>
      <c r="AF10" s="87"/>
      <c r="AG10" s="7">
        <f t="shared" si="0"/>
        <v>27</v>
      </c>
      <c r="AI10"/>
    </row>
    <row r="11" spans="1:35">
      <c r="A11" s="1" t="s">
        <v>2</v>
      </c>
      <c r="B11" s="5" t="s">
        <v>64</v>
      </c>
      <c r="C11" s="14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64">
        <v>0</v>
      </c>
      <c r="T11" s="87"/>
      <c r="U11" s="76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6">
        <v>0</v>
      </c>
      <c r="AD11" s="7"/>
      <c r="AE11" s="64">
        <v>0</v>
      </c>
      <c r="AF11" s="87"/>
      <c r="AG11" s="7">
        <f t="shared" si="0"/>
        <v>0</v>
      </c>
      <c r="AI11"/>
    </row>
    <row r="12" spans="1:35">
      <c r="A12" s="1" t="s">
        <v>2</v>
      </c>
      <c r="B12" s="5" t="s">
        <v>65</v>
      </c>
      <c r="C12" s="14">
        <v>7</v>
      </c>
      <c r="D12" s="15">
        <v>13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64">
        <v>0</v>
      </c>
      <c r="T12" s="87"/>
      <c r="U12" s="76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6">
        <v>0</v>
      </c>
      <c r="AD12" s="7"/>
      <c r="AE12" s="64">
        <v>0</v>
      </c>
      <c r="AF12" s="87"/>
      <c r="AG12" s="7">
        <f t="shared" si="0"/>
        <v>0</v>
      </c>
      <c r="AI12"/>
    </row>
    <row r="13" spans="1:35">
      <c r="A13" s="1" t="s">
        <v>2</v>
      </c>
      <c r="B13" s="5" t="s">
        <v>66</v>
      </c>
      <c r="C13" s="14">
        <v>7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64">
        <v>0</v>
      </c>
      <c r="T13" s="87"/>
      <c r="U13" s="76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6">
        <v>0</v>
      </c>
      <c r="AD13" s="7"/>
      <c r="AE13" s="64">
        <v>0</v>
      </c>
      <c r="AF13" s="87"/>
      <c r="AG13" s="7">
        <f t="shared" si="0"/>
        <v>0</v>
      </c>
      <c r="AI13"/>
    </row>
    <row r="14" spans="1:35">
      <c r="A14" s="1" t="s">
        <v>2</v>
      </c>
      <c r="B14" s="5" t="s">
        <v>67</v>
      </c>
      <c r="C14" s="17">
        <v>0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65">
        <v>0</v>
      </c>
      <c r="T14" s="88"/>
      <c r="U14" s="77">
        <v>0</v>
      </c>
      <c r="V14" s="18">
        <v>0</v>
      </c>
      <c r="W14" s="18">
        <v>3.1666666666666665</v>
      </c>
      <c r="X14" s="18">
        <v>3.5833333333333335</v>
      </c>
      <c r="Y14" s="18">
        <v>2.625</v>
      </c>
      <c r="Z14" s="18">
        <v>1.4583333333333333</v>
      </c>
      <c r="AA14" s="18">
        <v>2.9583333333333335</v>
      </c>
      <c r="AB14" s="18">
        <v>2.5</v>
      </c>
      <c r="AC14" s="19">
        <v>2.9166666666666665</v>
      </c>
      <c r="AD14" s="8">
        <f>SUM(U14:AC14)</f>
        <v>19.208333333333336</v>
      </c>
      <c r="AE14" s="65">
        <v>0</v>
      </c>
      <c r="AF14" s="88"/>
      <c r="AG14" s="8">
        <f t="shared" si="0"/>
        <v>19.208333333333336</v>
      </c>
      <c r="AI14"/>
    </row>
    <row r="15" spans="1:35">
      <c r="A15" s="1" t="s">
        <v>2</v>
      </c>
      <c r="B15" s="5" t="s">
        <v>68</v>
      </c>
      <c r="C15" s="17">
        <v>0.66666666666666663</v>
      </c>
      <c r="D15" s="18">
        <v>0</v>
      </c>
      <c r="E15" s="18">
        <v>1.5416666666666665</v>
      </c>
      <c r="F15" s="18">
        <v>2.7916666666666665</v>
      </c>
      <c r="G15" s="18">
        <v>0.91666666666666663</v>
      </c>
      <c r="H15" s="18">
        <v>2.7083333333333335</v>
      </c>
      <c r="I15" s="18">
        <v>1.9583333333333335</v>
      </c>
      <c r="J15" s="18">
        <v>2.0416666666666665</v>
      </c>
      <c r="K15" s="18">
        <v>2</v>
      </c>
      <c r="L15" s="18">
        <v>0.75</v>
      </c>
      <c r="M15" s="18">
        <v>1.0416666666666667</v>
      </c>
      <c r="N15" s="18">
        <v>1.7916666666666665</v>
      </c>
      <c r="O15" s="18">
        <v>1.7916666666666665</v>
      </c>
      <c r="P15" s="18">
        <v>2.625</v>
      </c>
      <c r="Q15" s="18">
        <v>3.125</v>
      </c>
      <c r="R15" s="18">
        <v>1.125</v>
      </c>
      <c r="S15" s="65">
        <v>1.25</v>
      </c>
      <c r="T15" s="88">
        <f>SUM(C15:S15)</f>
        <v>28.125000000000004</v>
      </c>
      <c r="U15" s="77">
        <v>0</v>
      </c>
      <c r="V15" s="18">
        <v>1.0416666666666667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4.1666666666666664E-2</v>
      </c>
      <c r="AC15" s="19">
        <v>0</v>
      </c>
      <c r="AD15" s="8">
        <f>SUM(U15:AC15)</f>
        <v>1.0833333333333335</v>
      </c>
      <c r="AE15" s="65">
        <v>0</v>
      </c>
      <c r="AF15" s="88"/>
      <c r="AG15" s="8">
        <f t="shared" si="0"/>
        <v>29.208333333333336</v>
      </c>
      <c r="AI15"/>
    </row>
    <row r="16" spans="1:35">
      <c r="A16" s="1" t="s">
        <v>2</v>
      </c>
      <c r="B16" s="5" t="s">
        <v>69</v>
      </c>
      <c r="C16" s="17">
        <v>1.0416666666666667</v>
      </c>
      <c r="D16" s="18">
        <v>0</v>
      </c>
      <c r="E16" s="18">
        <v>1.2083333333333333</v>
      </c>
      <c r="F16" s="18">
        <v>0.70833333333333337</v>
      </c>
      <c r="G16" s="18">
        <v>1.2083333333333333</v>
      </c>
      <c r="H16" s="18">
        <v>0.54166666666666663</v>
      </c>
      <c r="I16" s="18">
        <v>1.5416666666666665</v>
      </c>
      <c r="J16" s="18">
        <v>1.5</v>
      </c>
      <c r="K16" s="18">
        <v>0.83333333333333337</v>
      </c>
      <c r="L16" s="18">
        <v>1.2916666666666667</v>
      </c>
      <c r="M16" s="18">
        <v>1.375</v>
      </c>
      <c r="N16" s="18">
        <v>1.5416666666666665</v>
      </c>
      <c r="O16" s="18">
        <v>0.58333333333333337</v>
      </c>
      <c r="P16" s="18">
        <v>1.0416666666666667</v>
      </c>
      <c r="Q16" s="18">
        <v>0.45833333333333331</v>
      </c>
      <c r="R16" s="18">
        <v>1.0833333333333333</v>
      </c>
      <c r="S16" s="65">
        <v>0.95833333333333337</v>
      </c>
      <c r="T16" s="88">
        <f t="shared" ref="T16:T19" si="3">SUM(C16:S16)</f>
        <v>16.916666666666668</v>
      </c>
      <c r="U16" s="77">
        <v>0</v>
      </c>
      <c r="V16" s="18">
        <v>0.54166666666666663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9">
        <v>0</v>
      </c>
      <c r="AD16" s="8">
        <f t="shared" ref="AD16:AD17" si="4">SUM(U16:AC16)</f>
        <v>0.54166666666666663</v>
      </c>
      <c r="AE16" s="65">
        <v>0</v>
      </c>
      <c r="AF16" s="88"/>
      <c r="AG16" s="8">
        <f t="shared" si="0"/>
        <v>17.458333333333336</v>
      </c>
      <c r="AI16"/>
    </row>
    <row r="17" spans="1:35">
      <c r="A17" s="1" t="s">
        <v>2</v>
      </c>
      <c r="B17" s="5" t="s">
        <v>70</v>
      </c>
      <c r="C17" s="17">
        <v>0.79166666666666663</v>
      </c>
      <c r="D17" s="18">
        <v>0</v>
      </c>
      <c r="E17" s="18">
        <v>1.1666666666666667</v>
      </c>
      <c r="F17" s="18">
        <v>1.7083333333333335</v>
      </c>
      <c r="G17" s="18">
        <v>1</v>
      </c>
      <c r="H17" s="18">
        <v>1.9166666666666665</v>
      </c>
      <c r="I17" s="18">
        <v>0.91666666666666663</v>
      </c>
      <c r="J17" s="18">
        <v>0.875</v>
      </c>
      <c r="K17" s="18">
        <v>1.7083333333333335</v>
      </c>
      <c r="L17" s="18">
        <v>0.54166666666666663</v>
      </c>
      <c r="M17" s="18">
        <v>1.3333333333333333</v>
      </c>
      <c r="N17" s="18">
        <v>1.75</v>
      </c>
      <c r="O17" s="18">
        <v>1.6666666666666665</v>
      </c>
      <c r="P17" s="18">
        <v>0.41666666666666669</v>
      </c>
      <c r="Q17" s="18">
        <v>1.3333333333333333</v>
      </c>
      <c r="R17" s="18">
        <v>0.66666666666666663</v>
      </c>
      <c r="S17" s="65">
        <v>1</v>
      </c>
      <c r="T17" s="88">
        <f t="shared" si="3"/>
        <v>18.791666666666668</v>
      </c>
      <c r="U17" s="77">
        <v>0</v>
      </c>
      <c r="V17" s="18">
        <v>4.1666666666666664E-2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9">
        <v>0</v>
      </c>
      <c r="AD17" s="8">
        <f t="shared" si="4"/>
        <v>4.1666666666666664E-2</v>
      </c>
      <c r="AE17" s="65">
        <v>0</v>
      </c>
      <c r="AF17" s="88"/>
      <c r="AG17" s="8">
        <f t="shared" si="0"/>
        <v>18.833333333333336</v>
      </c>
      <c r="AI17"/>
    </row>
    <row r="18" spans="1:35">
      <c r="A18" s="1" t="s">
        <v>2</v>
      </c>
      <c r="B18" s="5" t="s">
        <v>71</v>
      </c>
      <c r="C18" s="17">
        <v>0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0.41666666666666669</v>
      </c>
      <c r="S18" s="65">
        <v>0</v>
      </c>
      <c r="T18" s="88">
        <f t="shared" si="3"/>
        <v>0.41666666666666669</v>
      </c>
      <c r="U18" s="77">
        <v>0</v>
      </c>
      <c r="V18" s="18">
        <v>0</v>
      </c>
      <c r="W18" s="18">
        <v>0</v>
      </c>
      <c r="X18" s="18">
        <v>0</v>
      </c>
      <c r="Y18" s="18">
        <v>0</v>
      </c>
      <c r="Z18" s="18">
        <v>0</v>
      </c>
      <c r="AA18" s="18">
        <v>0</v>
      </c>
      <c r="AB18" s="18">
        <v>0</v>
      </c>
      <c r="AC18" s="19">
        <v>0</v>
      </c>
      <c r="AD18" s="8"/>
      <c r="AE18" s="65">
        <v>0</v>
      </c>
      <c r="AF18" s="88"/>
      <c r="AG18" s="8">
        <f t="shared" si="0"/>
        <v>0.41666666666666669</v>
      </c>
      <c r="AI18"/>
    </row>
    <row r="19" spans="1:35">
      <c r="A19" s="1" t="s">
        <v>2</v>
      </c>
      <c r="B19" s="5" t="s">
        <v>72</v>
      </c>
      <c r="C19" s="17">
        <v>0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0.125</v>
      </c>
      <c r="N19" s="18">
        <v>0.5</v>
      </c>
      <c r="O19" s="18">
        <v>0</v>
      </c>
      <c r="P19" s="18">
        <v>0</v>
      </c>
      <c r="Q19" s="18">
        <v>0</v>
      </c>
      <c r="R19" s="18">
        <v>0</v>
      </c>
      <c r="S19" s="65">
        <v>0.33333333333333331</v>
      </c>
      <c r="T19" s="88">
        <f t="shared" si="3"/>
        <v>0.95833333333333326</v>
      </c>
      <c r="U19" s="77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19">
        <v>0</v>
      </c>
      <c r="AD19" s="8"/>
      <c r="AE19" s="65">
        <v>0</v>
      </c>
      <c r="AF19" s="88"/>
      <c r="AG19" s="8">
        <f t="shared" si="0"/>
        <v>0.95833333333333326</v>
      </c>
      <c r="AI19"/>
    </row>
    <row r="20" spans="1:35">
      <c r="A20" s="1" t="s">
        <v>2</v>
      </c>
      <c r="B20" s="5" t="s">
        <v>73</v>
      </c>
      <c r="C20" s="17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65">
        <v>0</v>
      </c>
      <c r="T20" s="88"/>
      <c r="U20" s="77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9">
        <v>0</v>
      </c>
      <c r="AD20" s="8"/>
      <c r="AE20" s="65">
        <v>0</v>
      </c>
      <c r="AF20" s="88"/>
      <c r="AG20" s="8">
        <f t="shared" si="0"/>
        <v>0</v>
      </c>
      <c r="AI20"/>
    </row>
    <row r="21" spans="1:35">
      <c r="A21" s="1" t="s">
        <v>2</v>
      </c>
      <c r="B21" s="5" t="s">
        <v>74</v>
      </c>
      <c r="C21" s="17">
        <v>0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65">
        <v>0</v>
      </c>
      <c r="T21" s="88"/>
      <c r="U21" s="77">
        <v>0</v>
      </c>
      <c r="V21" s="18">
        <v>0</v>
      </c>
      <c r="W21" s="18">
        <v>0.58333333333333337</v>
      </c>
      <c r="X21" s="18">
        <v>0.29166666666666669</v>
      </c>
      <c r="Y21" s="18">
        <v>0.58333333333333337</v>
      </c>
      <c r="Z21" s="18">
        <v>0.29166666666666669</v>
      </c>
      <c r="AA21" s="18">
        <v>0.875</v>
      </c>
      <c r="AB21" s="18">
        <v>0.29166666666666669</v>
      </c>
      <c r="AC21" s="19">
        <v>0</v>
      </c>
      <c r="AD21" s="8">
        <f>SUM(U21:AC21)</f>
        <v>2.9166666666666665</v>
      </c>
      <c r="AE21" s="65">
        <v>0</v>
      </c>
      <c r="AF21" s="88"/>
      <c r="AG21" s="8">
        <f t="shared" si="0"/>
        <v>2.9166666666666665</v>
      </c>
      <c r="AI21"/>
    </row>
    <row r="22" spans="1:35">
      <c r="A22" s="1" t="s">
        <v>2</v>
      </c>
      <c r="B22" s="5" t="s">
        <v>75</v>
      </c>
      <c r="C22" s="17">
        <v>0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65">
        <v>0</v>
      </c>
      <c r="T22" s="88"/>
      <c r="U22" s="77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9">
        <v>0</v>
      </c>
      <c r="AD22" s="8"/>
      <c r="AE22" s="65">
        <v>0</v>
      </c>
      <c r="AF22" s="88"/>
      <c r="AG22" s="8">
        <f t="shared" si="0"/>
        <v>0</v>
      </c>
      <c r="AI22"/>
    </row>
    <row r="23" spans="1:35">
      <c r="A23" s="1" t="s">
        <v>2</v>
      </c>
      <c r="B23" s="5" t="s">
        <v>76</v>
      </c>
      <c r="C23" s="17">
        <v>0.16666666666666666</v>
      </c>
      <c r="D23" s="18">
        <v>0</v>
      </c>
      <c r="E23" s="18">
        <v>0</v>
      </c>
      <c r="F23" s="18">
        <v>1.0416666666666667</v>
      </c>
      <c r="G23" s="18">
        <v>2.25</v>
      </c>
      <c r="H23" s="18">
        <v>1.5833333333333335</v>
      </c>
      <c r="I23" s="18">
        <v>8.3333333333333329E-2</v>
      </c>
      <c r="J23" s="18">
        <v>0.16666666666666666</v>
      </c>
      <c r="K23" s="18">
        <v>0</v>
      </c>
      <c r="L23" s="18">
        <v>0</v>
      </c>
      <c r="M23" s="18">
        <v>0.25</v>
      </c>
      <c r="N23" s="18">
        <v>0.54166666666666663</v>
      </c>
      <c r="O23" s="18">
        <v>0.33333333333333331</v>
      </c>
      <c r="P23" s="18">
        <v>1.125</v>
      </c>
      <c r="Q23" s="18">
        <v>1.375</v>
      </c>
      <c r="R23" s="18">
        <v>1.125</v>
      </c>
      <c r="S23" s="65">
        <v>8.3333333333333329E-2</v>
      </c>
      <c r="T23" s="88">
        <f>SUM(C23:S23)</f>
        <v>10.125000000000002</v>
      </c>
      <c r="U23" s="77">
        <v>0</v>
      </c>
      <c r="V23" s="18">
        <v>0</v>
      </c>
      <c r="W23" s="18">
        <v>0</v>
      </c>
      <c r="X23" s="18">
        <v>0</v>
      </c>
      <c r="Y23" s="18">
        <v>1.875</v>
      </c>
      <c r="Z23" s="18">
        <v>1.0416666666666667</v>
      </c>
      <c r="AA23" s="18">
        <v>2.0833333333333335</v>
      </c>
      <c r="AB23" s="18">
        <v>0.83333333333333337</v>
      </c>
      <c r="AC23" s="19">
        <v>0</v>
      </c>
      <c r="AD23" s="8">
        <f>SUM(U23:AC23)</f>
        <v>5.833333333333333</v>
      </c>
      <c r="AE23" s="65">
        <v>0</v>
      </c>
      <c r="AF23" s="88"/>
      <c r="AG23" s="8">
        <f t="shared" si="0"/>
        <v>15.958333333333336</v>
      </c>
      <c r="AI23"/>
    </row>
    <row r="24" spans="1:35" ht="19.5" thickBot="1">
      <c r="A24" s="1" t="s">
        <v>2</v>
      </c>
      <c r="B24" s="6" t="s">
        <v>77</v>
      </c>
      <c r="C24" s="39">
        <v>10</v>
      </c>
      <c r="D24" s="40">
        <v>15</v>
      </c>
      <c r="E24" s="40">
        <v>29</v>
      </c>
      <c r="F24" s="40">
        <v>33</v>
      </c>
      <c r="G24" s="40">
        <v>17</v>
      </c>
      <c r="H24" s="40">
        <v>26</v>
      </c>
      <c r="I24" s="40">
        <v>23</v>
      </c>
      <c r="J24" s="40">
        <v>10</v>
      </c>
      <c r="K24" s="40">
        <v>17</v>
      </c>
      <c r="L24" s="40">
        <v>28</v>
      </c>
      <c r="M24" s="40">
        <v>3</v>
      </c>
      <c r="N24" s="40">
        <v>3</v>
      </c>
      <c r="O24" s="40">
        <v>19</v>
      </c>
      <c r="P24" s="40">
        <v>11</v>
      </c>
      <c r="Q24" s="40">
        <v>9</v>
      </c>
      <c r="R24" s="40">
        <v>7</v>
      </c>
      <c r="S24" s="66">
        <v>3</v>
      </c>
      <c r="T24" s="89">
        <f>SUM(C24:S24)</f>
        <v>263</v>
      </c>
      <c r="U24" s="78">
        <v>37</v>
      </c>
      <c r="V24" s="40">
        <v>37</v>
      </c>
      <c r="W24" s="40">
        <v>15</v>
      </c>
      <c r="X24" s="40">
        <v>15</v>
      </c>
      <c r="Y24" s="40">
        <v>3</v>
      </c>
      <c r="Z24" s="40">
        <v>2</v>
      </c>
      <c r="AA24" s="40">
        <v>0</v>
      </c>
      <c r="AB24" s="40">
        <v>2</v>
      </c>
      <c r="AC24" s="41">
        <v>5</v>
      </c>
      <c r="AD24" s="42">
        <f>SUM(U24:AC24)</f>
        <v>116</v>
      </c>
      <c r="AE24" s="66">
        <v>39</v>
      </c>
      <c r="AF24" s="89">
        <f>SUM(AE24)</f>
        <v>39</v>
      </c>
      <c r="AG24" s="42">
        <f t="shared" si="0"/>
        <v>418</v>
      </c>
      <c r="AI24"/>
    </row>
    <row r="25" spans="1:35">
      <c r="A25" s="1" t="s">
        <v>2</v>
      </c>
      <c r="B25" s="26" t="s">
        <v>78</v>
      </c>
      <c r="C25" s="35">
        <v>177000</v>
      </c>
      <c r="D25" s="36">
        <v>187000</v>
      </c>
      <c r="E25" s="36">
        <v>187000</v>
      </c>
      <c r="F25" s="36">
        <v>192000</v>
      </c>
      <c r="G25" s="36">
        <v>182000</v>
      </c>
      <c r="H25" s="36">
        <v>187000</v>
      </c>
      <c r="I25" s="36">
        <v>177000</v>
      </c>
      <c r="J25" s="36">
        <v>177000</v>
      </c>
      <c r="K25" s="36">
        <v>172000</v>
      </c>
      <c r="L25" s="36">
        <v>187000</v>
      </c>
      <c r="M25" s="36">
        <v>177000</v>
      </c>
      <c r="N25" s="36">
        <v>177000</v>
      </c>
      <c r="O25" s="36">
        <v>170000</v>
      </c>
      <c r="P25" s="36">
        <v>177000</v>
      </c>
      <c r="Q25" s="36">
        <v>175000</v>
      </c>
      <c r="R25" s="36">
        <v>175000</v>
      </c>
      <c r="S25" s="67">
        <v>170000</v>
      </c>
      <c r="T25" s="90">
        <f>SUM(C25:S25)</f>
        <v>3046000</v>
      </c>
      <c r="U25" s="79">
        <v>485000</v>
      </c>
      <c r="V25" s="36">
        <v>280000</v>
      </c>
      <c r="W25" s="36">
        <v>0</v>
      </c>
      <c r="X25" s="36">
        <v>0</v>
      </c>
      <c r="Y25" s="36">
        <v>0</v>
      </c>
      <c r="Z25" s="36">
        <v>0</v>
      </c>
      <c r="AA25" s="36">
        <v>0</v>
      </c>
      <c r="AB25" s="36">
        <v>0</v>
      </c>
      <c r="AC25" s="37">
        <v>0</v>
      </c>
      <c r="AD25" s="37">
        <f>SUM(U25:AC25)</f>
        <v>765000</v>
      </c>
      <c r="AE25" s="67">
        <v>375000</v>
      </c>
      <c r="AF25" s="90">
        <f>SUM(AE25)</f>
        <v>375000</v>
      </c>
      <c r="AG25" s="38">
        <f t="shared" si="0"/>
        <v>4186000</v>
      </c>
      <c r="AI25"/>
    </row>
    <row r="26" spans="1:35">
      <c r="A26" s="1" t="s">
        <v>2</v>
      </c>
      <c r="B26" s="5" t="s">
        <v>79</v>
      </c>
      <c r="C26" s="20">
        <v>0</v>
      </c>
      <c r="D26" s="21">
        <v>0</v>
      </c>
      <c r="E26" s="21">
        <v>20000</v>
      </c>
      <c r="F26" s="21">
        <v>5000</v>
      </c>
      <c r="G26" s="21">
        <v>5000</v>
      </c>
      <c r="H26" s="21">
        <v>5000</v>
      </c>
      <c r="I26" s="21">
        <v>0</v>
      </c>
      <c r="J26" s="21">
        <v>0</v>
      </c>
      <c r="K26" s="21">
        <v>0</v>
      </c>
      <c r="L26" s="21">
        <v>0</v>
      </c>
      <c r="M26" s="21">
        <v>0</v>
      </c>
      <c r="N26" s="21">
        <v>0</v>
      </c>
      <c r="O26" s="21">
        <v>0</v>
      </c>
      <c r="P26" s="21">
        <v>0</v>
      </c>
      <c r="Q26" s="21">
        <v>0</v>
      </c>
      <c r="R26" s="21">
        <v>0</v>
      </c>
      <c r="S26" s="68">
        <v>0</v>
      </c>
      <c r="T26" s="91">
        <f t="shared" ref="T26:T64" si="5">SUM(C26:S26)</f>
        <v>35000</v>
      </c>
      <c r="U26" s="80">
        <v>0</v>
      </c>
      <c r="V26" s="21">
        <v>0</v>
      </c>
      <c r="W26" s="21">
        <v>0</v>
      </c>
      <c r="X26" s="21">
        <v>0</v>
      </c>
      <c r="Y26" s="21">
        <v>0</v>
      </c>
      <c r="Z26" s="21">
        <v>0</v>
      </c>
      <c r="AA26" s="21">
        <v>0</v>
      </c>
      <c r="AB26" s="21">
        <v>0</v>
      </c>
      <c r="AC26" s="22">
        <v>0</v>
      </c>
      <c r="AD26" s="22">
        <f t="shared" ref="AD26:AD64" si="6">SUM(U26:AC26)</f>
        <v>0</v>
      </c>
      <c r="AE26" s="68">
        <v>0</v>
      </c>
      <c r="AF26" s="91">
        <f t="shared" ref="AF26:AF64" si="7">SUM(AE26)</f>
        <v>0</v>
      </c>
      <c r="AG26" s="9">
        <f t="shared" si="0"/>
        <v>35000</v>
      </c>
      <c r="AI26"/>
    </row>
    <row r="27" spans="1:35">
      <c r="A27" s="1" t="s">
        <v>2</v>
      </c>
      <c r="B27" s="5" t="s">
        <v>80</v>
      </c>
      <c r="C27" s="20">
        <v>0</v>
      </c>
      <c r="D27" s="21">
        <v>0</v>
      </c>
      <c r="E27" s="21">
        <v>3000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68">
        <v>0</v>
      </c>
      <c r="T27" s="91">
        <f t="shared" si="5"/>
        <v>3000</v>
      </c>
      <c r="U27" s="80">
        <v>0</v>
      </c>
      <c r="V27" s="21">
        <v>3000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2">
        <v>0</v>
      </c>
      <c r="AD27" s="22">
        <f t="shared" si="6"/>
        <v>3000</v>
      </c>
      <c r="AE27" s="68">
        <v>0</v>
      </c>
      <c r="AF27" s="91">
        <f t="shared" si="7"/>
        <v>0</v>
      </c>
      <c r="AG27" s="9">
        <f t="shared" si="0"/>
        <v>6000</v>
      </c>
      <c r="AI27"/>
    </row>
    <row r="28" spans="1:35">
      <c r="A28" s="1" t="s">
        <v>2</v>
      </c>
      <c r="B28" s="5" t="s">
        <v>81</v>
      </c>
      <c r="C28" s="20">
        <v>0</v>
      </c>
      <c r="D28" s="21">
        <v>0</v>
      </c>
      <c r="E28" s="21">
        <v>0</v>
      </c>
      <c r="F28" s="21">
        <v>0</v>
      </c>
      <c r="G28" s="21">
        <v>0</v>
      </c>
      <c r="H28" s="21">
        <v>0</v>
      </c>
      <c r="I28" s="21">
        <v>0</v>
      </c>
      <c r="J28" s="21">
        <v>0</v>
      </c>
      <c r="K28" s="21">
        <v>0</v>
      </c>
      <c r="L28" s="21">
        <v>0</v>
      </c>
      <c r="M28" s="21">
        <v>0</v>
      </c>
      <c r="N28" s="21">
        <v>0</v>
      </c>
      <c r="O28" s="21">
        <v>0</v>
      </c>
      <c r="P28" s="21">
        <v>0</v>
      </c>
      <c r="Q28" s="21">
        <v>0</v>
      </c>
      <c r="R28" s="21">
        <v>0</v>
      </c>
      <c r="S28" s="68">
        <v>0</v>
      </c>
      <c r="T28" s="91">
        <f t="shared" si="5"/>
        <v>0</v>
      </c>
      <c r="U28" s="80">
        <v>0</v>
      </c>
      <c r="V28" s="21">
        <v>0</v>
      </c>
      <c r="W28" s="21">
        <v>0</v>
      </c>
      <c r="X28" s="21">
        <v>0</v>
      </c>
      <c r="Y28" s="21">
        <v>0</v>
      </c>
      <c r="Z28" s="21">
        <v>0</v>
      </c>
      <c r="AA28" s="21">
        <v>0</v>
      </c>
      <c r="AB28" s="21">
        <v>0</v>
      </c>
      <c r="AC28" s="22">
        <v>0</v>
      </c>
      <c r="AD28" s="22">
        <f t="shared" si="6"/>
        <v>0</v>
      </c>
      <c r="AE28" s="68">
        <v>0</v>
      </c>
      <c r="AF28" s="91">
        <f t="shared" si="7"/>
        <v>0</v>
      </c>
      <c r="AG28" s="9">
        <f t="shared" si="0"/>
        <v>0</v>
      </c>
      <c r="AI28"/>
    </row>
    <row r="29" spans="1:35">
      <c r="A29" s="1" t="s">
        <v>2</v>
      </c>
      <c r="B29" s="5" t="s">
        <v>82</v>
      </c>
      <c r="C29" s="20">
        <v>0</v>
      </c>
      <c r="D29" s="21">
        <v>0</v>
      </c>
      <c r="E29" s="21">
        <v>0</v>
      </c>
      <c r="F29" s="21">
        <v>0</v>
      </c>
      <c r="G29" s="21">
        <v>0</v>
      </c>
      <c r="H29" s="21">
        <v>0</v>
      </c>
      <c r="I29" s="21">
        <v>0</v>
      </c>
      <c r="J29" s="21">
        <v>0</v>
      </c>
      <c r="K29" s="21">
        <v>0</v>
      </c>
      <c r="L29" s="21">
        <v>63588</v>
      </c>
      <c r="M29" s="21">
        <v>0</v>
      </c>
      <c r="N29" s="21">
        <v>0</v>
      </c>
      <c r="O29" s="21">
        <v>0</v>
      </c>
      <c r="P29" s="21">
        <v>0</v>
      </c>
      <c r="Q29" s="21">
        <v>0</v>
      </c>
      <c r="R29" s="21">
        <v>0</v>
      </c>
      <c r="S29" s="68">
        <v>0</v>
      </c>
      <c r="T29" s="91">
        <f t="shared" si="5"/>
        <v>63588</v>
      </c>
      <c r="U29" s="80">
        <v>0</v>
      </c>
      <c r="V29" s="21">
        <v>0</v>
      </c>
      <c r="W29" s="21">
        <v>0</v>
      </c>
      <c r="X29" s="21">
        <v>0</v>
      </c>
      <c r="Y29" s="21">
        <v>0</v>
      </c>
      <c r="Z29" s="21">
        <v>0</v>
      </c>
      <c r="AA29" s="21">
        <v>0</v>
      </c>
      <c r="AB29" s="21">
        <v>0</v>
      </c>
      <c r="AC29" s="22">
        <v>0</v>
      </c>
      <c r="AD29" s="22">
        <f t="shared" si="6"/>
        <v>0</v>
      </c>
      <c r="AE29" s="68">
        <v>0</v>
      </c>
      <c r="AF29" s="91">
        <f t="shared" si="7"/>
        <v>0</v>
      </c>
      <c r="AG29" s="9">
        <f t="shared" si="0"/>
        <v>63588</v>
      </c>
      <c r="AI29"/>
    </row>
    <row r="30" spans="1:35">
      <c r="A30" s="1" t="s">
        <v>2</v>
      </c>
      <c r="B30" s="5" t="s">
        <v>83</v>
      </c>
      <c r="C30" s="20">
        <v>0</v>
      </c>
      <c r="D30" s="21">
        <v>0</v>
      </c>
      <c r="E30" s="21">
        <v>0</v>
      </c>
      <c r="F30" s="21">
        <v>0</v>
      </c>
      <c r="G30" s="21">
        <v>0</v>
      </c>
      <c r="H30" s="21">
        <v>0</v>
      </c>
      <c r="I30" s="21">
        <v>0</v>
      </c>
      <c r="J30" s="21">
        <v>0</v>
      </c>
      <c r="K30" s="21">
        <v>0</v>
      </c>
      <c r="L30" s="21">
        <v>0</v>
      </c>
      <c r="M30" s="21">
        <v>0</v>
      </c>
      <c r="N30" s="21">
        <v>0</v>
      </c>
      <c r="O30" s="21">
        <v>0</v>
      </c>
      <c r="P30" s="21">
        <v>0</v>
      </c>
      <c r="Q30" s="21">
        <v>0</v>
      </c>
      <c r="R30" s="21">
        <v>0</v>
      </c>
      <c r="S30" s="68">
        <v>0</v>
      </c>
      <c r="T30" s="91">
        <f t="shared" si="5"/>
        <v>0</v>
      </c>
      <c r="U30" s="80">
        <v>0</v>
      </c>
      <c r="V30" s="21">
        <v>0</v>
      </c>
      <c r="W30" s="21">
        <v>69920</v>
      </c>
      <c r="X30" s="21">
        <v>79120</v>
      </c>
      <c r="Y30" s="21">
        <v>52920</v>
      </c>
      <c r="Z30" s="21">
        <v>29400</v>
      </c>
      <c r="AA30" s="21">
        <v>59640</v>
      </c>
      <c r="AB30" s="21">
        <v>49800</v>
      </c>
      <c r="AC30" s="22">
        <v>58800</v>
      </c>
      <c r="AD30" s="22">
        <f t="shared" si="6"/>
        <v>399600</v>
      </c>
      <c r="AE30" s="68">
        <v>0</v>
      </c>
      <c r="AF30" s="91">
        <f t="shared" si="7"/>
        <v>0</v>
      </c>
      <c r="AG30" s="9">
        <f t="shared" si="0"/>
        <v>399600</v>
      </c>
      <c r="AI30"/>
    </row>
    <row r="31" spans="1:35">
      <c r="A31" s="1" t="s">
        <v>2</v>
      </c>
      <c r="B31" s="5" t="s">
        <v>84</v>
      </c>
      <c r="C31" s="20">
        <v>0</v>
      </c>
      <c r="D31" s="21">
        <v>0</v>
      </c>
      <c r="E31" s="21">
        <v>0</v>
      </c>
      <c r="F31" s="21">
        <v>0</v>
      </c>
      <c r="G31" s="21">
        <v>0</v>
      </c>
      <c r="H31" s="21">
        <v>0</v>
      </c>
      <c r="I31" s="21">
        <v>0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68">
        <v>0</v>
      </c>
      <c r="T31" s="91">
        <f t="shared" si="5"/>
        <v>0</v>
      </c>
      <c r="U31" s="80">
        <v>0</v>
      </c>
      <c r="V31" s="21">
        <v>0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2">
        <v>0</v>
      </c>
      <c r="AD31" s="22">
        <f t="shared" si="6"/>
        <v>0</v>
      </c>
      <c r="AE31" s="68">
        <v>0</v>
      </c>
      <c r="AF31" s="91">
        <f t="shared" si="7"/>
        <v>0</v>
      </c>
      <c r="AG31" s="9">
        <f t="shared" si="0"/>
        <v>0</v>
      </c>
      <c r="AI31"/>
    </row>
    <row r="32" spans="1:35">
      <c r="A32" s="1" t="s">
        <v>2</v>
      </c>
      <c r="B32" s="5" t="s">
        <v>85</v>
      </c>
      <c r="C32" s="20">
        <v>0</v>
      </c>
      <c r="D32" s="21">
        <v>0</v>
      </c>
      <c r="E32" s="21">
        <v>0</v>
      </c>
      <c r="F32" s="21">
        <v>0</v>
      </c>
      <c r="G32" s="21">
        <v>0</v>
      </c>
      <c r="H32" s="21">
        <v>0</v>
      </c>
      <c r="I32" s="21">
        <v>0</v>
      </c>
      <c r="J32" s="21">
        <v>0</v>
      </c>
      <c r="K32" s="21">
        <v>0</v>
      </c>
      <c r="L32" s="21">
        <v>0</v>
      </c>
      <c r="M32" s="21">
        <v>0</v>
      </c>
      <c r="N32" s="21">
        <v>0</v>
      </c>
      <c r="O32" s="21">
        <v>0</v>
      </c>
      <c r="P32" s="21">
        <v>0</v>
      </c>
      <c r="Q32" s="21">
        <v>0</v>
      </c>
      <c r="R32" s="21">
        <v>0</v>
      </c>
      <c r="S32" s="68">
        <v>0</v>
      </c>
      <c r="T32" s="91">
        <f t="shared" si="5"/>
        <v>0</v>
      </c>
      <c r="U32" s="80">
        <v>0</v>
      </c>
      <c r="V32" s="21">
        <v>0</v>
      </c>
      <c r="W32" s="21">
        <v>0</v>
      </c>
      <c r="X32" s="21">
        <v>0</v>
      </c>
      <c r="Y32" s="21">
        <v>0</v>
      </c>
      <c r="Z32" s="21">
        <v>0</v>
      </c>
      <c r="AA32" s="21">
        <v>0</v>
      </c>
      <c r="AB32" s="21">
        <v>0</v>
      </c>
      <c r="AC32" s="22">
        <v>0</v>
      </c>
      <c r="AD32" s="22">
        <f t="shared" si="6"/>
        <v>0</v>
      </c>
      <c r="AE32" s="68">
        <v>0</v>
      </c>
      <c r="AF32" s="91">
        <f t="shared" si="7"/>
        <v>0</v>
      </c>
      <c r="AG32" s="9">
        <f t="shared" si="0"/>
        <v>0</v>
      </c>
      <c r="AI32"/>
    </row>
    <row r="33" spans="1:35">
      <c r="A33" s="1" t="s">
        <v>2</v>
      </c>
      <c r="B33" s="5" t="s">
        <v>86</v>
      </c>
      <c r="C33" s="20">
        <v>1000</v>
      </c>
      <c r="D33" s="21">
        <v>1000</v>
      </c>
      <c r="E33" s="21">
        <v>1000</v>
      </c>
      <c r="F33" s="21">
        <v>1000</v>
      </c>
      <c r="G33" s="21">
        <v>0</v>
      </c>
      <c r="H33" s="21">
        <v>1000</v>
      </c>
      <c r="I33" s="21">
        <v>0</v>
      </c>
      <c r="J33" s="21">
        <v>1000</v>
      </c>
      <c r="K33" s="21">
        <v>0</v>
      </c>
      <c r="L33" s="21">
        <v>1000</v>
      </c>
      <c r="M33" s="21">
        <v>1000</v>
      </c>
      <c r="N33" s="21">
        <v>1000</v>
      </c>
      <c r="O33" s="21">
        <v>1000</v>
      </c>
      <c r="P33" s="21">
        <v>1000</v>
      </c>
      <c r="Q33" s="21">
        <v>1000</v>
      </c>
      <c r="R33" s="21">
        <v>1000</v>
      </c>
      <c r="S33" s="68">
        <v>0</v>
      </c>
      <c r="T33" s="91">
        <f t="shared" si="5"/>
        <v>13000</v>
      </c>
      <c r="U33" s="80">
        <v>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2">
        <v>0</v>
      </c>
      <c r="AD33" s="22">
        <f t="shared" si="6"/>
        <v>0</v>
      </c>
      <c r="AE33" s="68">
        <v>0</v>
      </c>
      <c r="AF33" s="91">
        <f t="shared" si="7"/>
        <v>0</v>
      </c>
      <c r="AG33" s="9">
        <f t="shared" si="0"/>
        <v>13000</v>
      </c>
      <c r="AI33"/>
    </row>
    <row r="34" spans="1:35">
      <c r="A34" s="1" t="s">
        <v>2</v>
      </c>
      <c r="B34" s="5" t="s">
        <v>87</v>
      </c>
      <c r="C34" s="20">
        <v>0</v>
      </c>
      <c r="D34" s="21">
        <v>0</v>
      </c>
      <c r="E34" s="21">
        <v>0</v>
      </c>
      <c r="F34" s="21">
        <v>0</v>
      </c>
      <c r="G34" s="21">
        <v>0</v>
      </c>
      <c r="H34" s="21">
        <v>0</v>
      </c>
      <c r="I34" s="21">
        <v>0</v>
      </c>
      <c r="J34" s="21">
        <v>0</v>
      </c>
      <c r="K34" s="21">
        <v>0</v>
      </c>
      <c r="L34" s="21">
        <v>0</v>
      </c>
      <c r="M34" s="21">
        <v>0</v>
      </c>
      <c r="N34" s="21">
        <v>0</v>
      </c>
      <c r="O34" s="21">
        <v>0</v>
      </c>
      <c r="P34" s="21">
        <v>0</v>
      </c>
      <c r="Q34" s="21">
        <v>0</v>
      </c>
      <c r="R34" s="21">
        <v>0</v>
      </c>
      <c r="S34" s="68">
        <v>0</v>
      </c>
      <c r="T34" s="91">
        <f t="shared" si="5"/>
        <v>0</v>
      </c>
      <c r="U34" s="80">
        <v>0</v>
      </c>
      <c r="V34" s="21">
        <v>0</v>
      </c>
      <c r="W34" s="21">
        <v>12880</v>
      </c>
      <c r="X34" s="21">
        <v>6440</v>
      </c>
      <c r="Y34" s="21">
        <v>11760</v>
      </c>
      <c r="Z34" s="21">
        <v>5880</v>
      </c>
      <c r="AA34" s="21">
        <v>17640</v>
      </c>
      <c r="AB34" s="21">
        <v>5810</v>
      </c>
      <c r="AC34" s="22">
        <v>0</v>
      </c>
      <c r="AD34" s="22">
        <f t="shared" si="6"/>
        <v>60410</v>
      </c>
      <c r="AE34" s="68">
        <v>0</v>
      </c>
      <c r="AF34" s="91">
        <f t="shared" si="7"/>
        <v>0</v>
      </c>
      <c r="AG34" s="9">
        <f t="shared" si="0"/>
        <v>60410</v>
      </c>
      <c r="AI34"/>
    </row>
    <row r="35" spans="1:35">
      <c r="A35" s="1" t="s">
        <v>2</v>
      </c>
      <c r="B35" s="5" t="s">
        <v>88</v>
      </c>
      <c r="C35" s="20">
        <v>0</v>
      </c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68">
        <v>0</v>
      </c>
      <c r="T35" s="91">
        <f t="shared" si="5"/>
        <v>0</v>
      </c>
      <c r="U35" s="80">
        <v>0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2">
        <v>0</v>
      </c>
      <c r="AD35" s="22">
        <f t="shared" si="6"/>
        <v>0</v>
      </c>
      <c r="AE35" s="68">
        <v>0</v>
      </c>
      <c r="AF35" s="91">
        <f t="shared" si="7"/>
        <v>0</v>
      </c>
      <c r="AG35" s="9">
        <f t="shared" si="0"/>
        <v>0</v>
      </c>
      <c r="AI35"/>
    </row>
    <row r="36" spans="1:35">
      <c r="A36" s="1" t="s">
        <v>2</v>
      </c>
      <c r="B36" s="5" t="s">
        <v>89</v>
      </c>
      <c r="C36" s="20">
        <v>0</v>
      </c>
      <c r="D36" s="21">
        <v>0</v>
      </c>
      <c r="E36" s="21">
        <v>0</v>
      </c>
      <c r="F36" s="21">
        <v>0</v>
      </c>
      <c r="G36" s="21">
        <v>0</v>
      </c>
      <c r="H36" s="21">
        <v>0</v>
      </c>
      <c r="I36" s="21">
        <v>0</v>
      </c>
      <c r="J36" s="21">
        <v>0</v>
      </c>
      <c r="K36" s="21">
        <v>0</v>
      </c>
      <c r="L36" s="21">
        <v>0</v>
      </c>
      <c r="M36" s="21">
        <v>0</v>
      </c>
      <c r="N36" s="21">
        <v>0</v>
      </c>
      <c r="O36" s="21">
        <v>0</v>
      </c>
      <c r="P36" s="21">
        <v>0</v>
      </c>
      <c r="Q36" s="21">
        <v>0</v>
      </c>
      <c r="R36" s="21">
        <v>0</v>
      </c>
      <c r="S36" s="68">
        <v>0</v>
      </c>
      <c r="T36" s="91">
        <f t="shared" si="5"/>
        <v>0</v>
      </c>
      <c r="U36" s="80">
        <v>0</v>
      </c>
      <c r="V36" s="21">
        <v>0</v>
      </c>
      <c r="W36" s="21">
        <v>0</v>
      </c>
      <c r="X36" s="21">
        <v>0</v>
      </c>
      <c r="Y36" s="21">
        <v>0</v>
      </c>
      <c r="Z36" s="21">
        <v>0</v>
      </c>
      <c r="AA36" s="21">
        <v>0</v>
      </c>
      <c r="AB36" s="21">
        <v>0</v>
      </c>
      <c r="AC36" s="22">
        <v>0</v>
      </c>
      <c r="AD36" s="22">
        <f t="shared" si="6"/>
        <v>0</v>
      </c>
      <c r="AE36" s="68">
        <v>0</v>
      </c>
      <c r="AF36" s="91">
        <f t="shared" si="7"/>
        <v>0</v>
      </c>
      <c r="AG36" s="9">
        <f t="shared" si="0"/>
        <v>0</v>
      </c>
      <c r="AI36"/>
    </row>
    <row r="37" spans="1:35">
      <c r="A37" s="1" t="s">
        <v>2</v>
      </c>
      <c r="B37" s="5" t="s">
        <v>90</v>
      </c>
      <c r="C37" s="58">
        <v>-59612</v>
      </c>
      <c r="D37" s="59">
        <v>-116935</v>
      </c>
      <c r="E37" s="21">
        <v>0</v>
      </c>
      <c r="F37" s="21">
        <v>0</v>
      </c>
      <c r="G37" s="21">
        <v>0</v>
      </c>
      <c r="H37" s="21">
        <v>0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68">
        <v>0</v>
      </c>
      <c r="T37" s="92">
        <f t="shared" si="5"/>
        <v>-176547</v>
      </c>
      <c r="U37" s="80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2">
        <v>0</v>
      </c>
      <c r="AD37" s="22">
        <f t="shared" si="6"/>
        <v>0</v>
      </c>
      <c r="AE37" s="68">
        <v>0</v>
      </c>
      <c r="AF37" s="91">
        <f t="shared" si="7"/>
        <v>0</v>
      </c>
      <c r="AG37" s="60">
        <f t="shared" si="0"/>
        <v>-176547</v>
      </c>
      <c r="AI37"/>
    </row>
    <row r="38" spans="1:35">
      <c r="A38" s="1" t="s">
        <v>2</v>
      </c>
      <c r="B38" s="5" t="s">
        <v>68</v>
      </c>
      <c r="C38" s="20">
        <v>21328</v>
      </c>
      <c r="D38" s="21">
        <v>0</v>
      </c>
      <c r="E38" s="21">
        <v>58423</v>
      </c>
      <c r="F38" s="21">
        <v>99361</v>
      </c>
      <c r="G38" s="21">
        <v>30800</v>
      </c>
      <c r="H38" s="21">
        <v>93925</v>
      </c>
      <c r="I38" s="21">
        <v>62275</v>
      </c>
      <c r="J38" s="21">
        <v>65317</v>
      </c>
      <c r="K38" s="21">
        <v>61824</v>
      </c>
      <c r="L38" s="21">
        <v>25344</v>
      </c>
      <c r="M38" s="21">
        <v>33325</v>
      </c>
      <c r="N38" s="21">
        <v>57319</v>
      </c>
      <c r="O38" s="21">
        <v>55040</v>
      </c>
      <c r="P38" s="21">
        <v>83979</v>
      </c>
      <c r="Q38" s="21">
        <v>98850</v>
      </c>
      <c r="R38" s="21">
        <v>35586</v>
      </c>
      <c r="S38" s="68">
        <v>38190</v>
      </c>
      <c r="T38" s="91">
        <f t="shared" si="5"/>
        <v>920886</v>
      </c>
      <c r="U38" s="80">
        <v>0</v>
      </c>
      <c r="V38" s="21">
        <v>52975</v>
      </c>
      <c r="W38" s="21">
        <v>0</v>
      </c>
      <c r="X38" s="21">
        <v>0</v>
      </c>
      <c r="Y38" s="21">
        <v>0</v>
      </c>
      <c r="Z38" s="21">
        <v>0</v>
      </c>
      <c r="AA38" s="21">
        <v>0</v>
      </c>
      <c r="AB38" s="21">
        <v>1038</v>
      </c>
      <c r="AC38" s="22">
        <v>0</v>
      </c>
      <c r="AD38" s="22">
        <f t="shared" si="6"/>
        <v>54013</v>
      </c>
      <c r="AE38" s="68">
        <v>0</v>
      </c>
      <c r="AF38" s="91">
        <f t="shared" si="7"/>
        <v>0</v>
      </c>
      <c r="AG38" s="9">
        <f t="shared" si="0"/>
        <v>974899</v>
      </c>
      <c r="AI38"/>
    </row>
    <row r="39" spans="1:35">
      <c r="A39" s="1" t="s">
        <v>2</v>
      </c>
      <c r="B39" s="5" t="s">
        <v>91</v>
      </c>
      <c r="C39" s="20">
        <v>35975</v>
      </c>
      <c r="D39" s="21">
        <v>0</v>
      </c>
      <c r="E39" s="21">
        <v>49445</v>
      </c>
      <c r="F39" s="21">
        <v>27217</v>
      </c>
      <c r="G39" s="21">
        <v>43848</v>
      </c>
      <c r="H39" s="21">
        <v>20293</v>
      </c>
      <c r="I39" s="21">
        <v>52947</v>
      </c>
      <c r="J39" s="21">
        <v>51804</v>
      </c>
      <c r="K39" s="21">
        <v>27820</v>
      </c>
      <c r="L39" s="21">
        <v>47120</v>
      </c>
      <c r="M39" s="21">
        <v>47487</v>
      </c>
      <c r="N39" s="21">
        <v>53243</v>
      </c>
      <c r="O39" s="21">
        <v>19348</v>
      </c>
      <c r="P39" s="21">
        <v>35975</v>
      </c>
      <c r="Q39" s="21">
        <v>15653</v>
      </c>
      <c r="R39" s="21">
        <v>36998</v>
      </c>
      <c r="S39" s="68">
        <v>31602</v>
      </c>
      <c r="T39" s="91">
        <f t="shared" si="5"/>
        <v>596775</v>
      </c>
      <c r="U39" s="80">
        <v>0</v>
      </c>
      <c r="V39" s="21">
        <v>29744</v>
      </c>
      <c r="W39" s="21">
        <v>0</v>
      </c>
      <c r="X39" s="21">
        <v>0</v>
      </c>
      <c r="Y39" s="21">
        <v>0</v>
      </c>
      <c r="Z39" s="21">
        <v>0</v>
      </c>
      <c r="AA39" s="21">
        <v>0</v>
      </c>
      <c r="AB39" s="21">
        <v>0</v>
      </c>
      <c r="AC39" s="22">
        <v>0</v>
      </c>
      <c r="AD39" s="22">
        <f t="shared" si="6"/>
        <v>29744</v>
      </c>
      <c r="AE39" s="68">
        <v>0</v>
      </c>
      <c r="AF39" s="91">
        <f t="shared" si="7"/>
        <v>0</v>
      </c>
      <c r="AG39" s="9">
        <f t="shared" si="0"/>
        <v>626519</v>
      </c>
      <c r="AI39"/>
    </row>
    <row r="40" spans="1:35">
      <c r="A40" s="1" t="s">
        <v>2</v>
      </c>
      <c r="B40" s="5" t="s">
        <v>92</v>
      </c>
      <c r="C40" s="20">
        <v>27341</v>
      </c>
      <c r="D40" s="21">
        <v>0</v>
      </c>
      <c r="E40" s="21">
        <v>47740</v>
      </c>
      <c r="F40" s="21">
        <v>65641</v>
      </c>
      <c r="G40" s="21">
        <v>36288</v>
      </c>
      <c r="H40" s="21">
        <v>71806</v>
      </c>
      <c r="I40" s="21">
        <v>31482</v>
      </c>
      <c r="J40" s="21">
        <v>30219</v>
      </c>
      <c r="K40" s="21">
        <v>57031</v>
      </c>
      <c r="L40" s="21">
        <v>19760</v>
      </c>
      <c r="M40" s="21">
        <v>46048</v>
      </c>
      <c r="N40" s="21">
        <v>60438</v>
      </c>
      <c r="O40" s="21">
        <v>55280</v>
      </c>
      <c r="P40" s="21">
        <v>14390</v>
      </c>
      <c r="Q40" s="21">
        <v>45536</v>
      </c>
      <c r="R40" s="21">
        <v>22768</v>
      </c>
      <c r="S40" s="68">
        <v>32976</v>
      </c>
      <c r="T40" s="91">
        <f t="shared" si="5"/>
        <v>664744</v>
      </c>
      <c r="U40" s="80">
        <v>0</v>
      </c>
      <c r="V40" s="21">
        <v>2288</v>
      </c>
      <c r="W40" s="21">
        <v>0</v>
      </c>
      <c r="X40" s="21">
        <v>0</v>
      </c>
      <c r="Y40" s="21">
        <v>0</v>
      </c>
      <c r="Z40" s="21">
        <v>0</v>
      </c>
      <c r="AA40" s="21">
        <v>0</v>
      </c>
      <c r="AB40" s="21">
        <v>0</v>
      </c>
      <c r="AC40" s="22">
        <v>0</v>
      </c>
      <c r="AD40" s="22">
        <f t="shared" si="6"/>
        <v>2288</v>
      </c>
      <c r="AE40" s="68">
        <v>0</v>
      </c>
      <c r="AF40" s="91">
        <f t="shared" si="7"/>
        <v>0</v>
      </c>
      <c r="AG40" s="9">
        <f t="shared" si="0"/>
        <v>667032</v>
      </c>
      <c r="AI40"/>
    </row>
    <row r="41" spans="1:35">
      <c r="A41" s="1" t="s">
        <v>2</v>
      </c>
      <c r="B41" s="5" t="s">
        <v>93</v>
      </c>
      <c r="C41" s="20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3690</v>
      </c>
      <c r="S41" s="68">
        <v>0</v>
      </c>
      <c r="T41" s="91">
        <f t="shared" si="5"/>
        <v>3690</v>
      </c>
      <c r="U41" s="80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2">
        <v>0</v>
      </c>
      <c r="AD41" s="22">
        <f t="shared" si="6"/>
        <v>0</v>
      </c>
      <c r="AE41" s="68">
        <v>0</v>
      </c>
      <c r="AF41" s="91">
        <f t="shared" si="7"/>
        <v>0</v>
      </c>
      <c r="AG41" s="9">
        <f t="shared" si="0"/>
        <v>3690</v>
      </c>
      <c r="AI41"/>
    </row>
    <row r="42" spans="1:35">
      <c r="A42" s="1" t="s">
        <v>2</v>
      </c>
      <c r="B42" s="5" t="s">
        <v>94</v>
      </c>
      <c r="C42" s="20">
        <v>0</v>
      </c>
      <c r="D42" s="21">
        <v>0</v>
      </c>
      <c r="E42" s="21">
        <v>0</v>
      </c>
      <c r="F42" s="21">
        <v>0</v>
      </c>
      <c r="G42" s="21">
        <v>0</v>
      </c>
      <c r="H42" s="21">
        <v>0</v>
      </c>
      <c r="I42" s="21">
        <v>0</v>
      </c>
      <c r="J42" s="21">
        <v>0</v>
      </c>
      <c r="K42" s="21">
        <v>0</v>
      </c>
      <c r="L42" s="21">
        <v>0</v>
      </c>
      <c r="M42" s="21">
        <v>1119</v>
      </c>
      <c r="N42" s="21">
        <v>4476</v>
      </c>
      <c r="O42" s="21">
        <v>0</v>
      </c>
      <c r="P42" s="21">
        <v>0</v>
      </c>
      <c r="Q42" s="21">
        <v>0</v>
      </c>
      <c r="R42" s="21">
        <v>0</v>
      </c>
      <c r="S42" s="68">
        <v>2848</v>
      </c>
      <c r="T42" s="91">
        <f t="shared" si="5"/>
        <v>8443</v>
      </c>
      <c r="U42" s="80">
        <v>0</v>
      </c>
      <c r="V42" s="21">
        <v>0</v>
      </c>
      <c r="W42" s="21">
        <v>0</v>
      </c>
      <c r="X42" s="21">
        <v>0</v>
      </c>
      <c r="Y42" s="21">
        <v>0</v>
      </c>
      <c r="Z42" s="21">
        <v>0</v>
      </c>
      <c r="AA42" s="21">
        <v>0</v>
      </c>
      <c r="AB42" s="21">
        <v>0</v>
      </c>
      <c r="AC42" s="22">
        <v>0</v>
      </c>
      <c r="AD42" s="22">
        <f t="shared" si="6"/>
        <v>0</v>
      </c>
      <c r="AE42" s="68">
        <v>0</v>
      </c>
      <c r="AF42" s="91">
        <f t="shared" si="7"/>
        <v>0</v>
      </c>
      <c r="AG42" s="9">
        <f t="shared" si="0"/>
        <v>8443</v>
      </c>
      <c r="AI42"/>
    </row>
    <row r="43" spans="1:35">
      <c r="A43" s="1" t="s">
        <v>2</v>
      </c>
      <c r="B43" s="5" t="s">
        <v>95</v>
      </c>
      <c r="C43" s="20">
        <v>59612</v>
      </c>
      <c r="D43" s="21">
        <v>0</v>
      </c>
      <c r="E43" s="21">
        <v>0</v>
      </c>
      <c r="F43" s="21">
        <v>0</v>
      </c>
      <c r="G43" s="21">
        <v>0</v>
      </c>
      <c r="H43" s="21">
        <v>0</v>
      </c>
      <c r="I43" s="21">
        <v>0</v>
      </c>
      <c r="J43" s="21">
        <v>0</v>
      </c>
      <c r="K43" s="21">
        <v>0</v>
      </c>
      <c r="L43" s="21">
        <v>0</v>
      </c>
      <c r="M43" s="21">
        <v>0</v>
      </c>
      <c r="N43" s="21">
        <v>0</v>
      </c>
      <c r="O43" s="21">
        <v>0</v>
      </c>
      <c r="P43" s="21">
        <v>0</v>
      </c>
      <c r="Q43" s="21">
        <v>0</v>
      </c>
      <c r="R43" s="21">
        <v>0</v>
      </c>
      <c r="S43" s="68">
        <v>0</v>
      </c>
      <c r="T43" s="91">
        <f t="shared" si="5"/>
        <v>59612</v>
      </c>
      <c r="U43" s="80">
        <v>0</v>
      </c>
      <c r="V43" s="21">
        <v>0</v>
      </c>
      <c r="W43" s="21">
        <v>0</v>
      </c>
      <c r="X43" s="21">
        <v>0</v>
      </c>
      <c r="Y43" s="21">
        <v>0</v>
      </c>
      <c r="Z43" s="21">
        <v>0</v>
      </c>
      <c r="AA43" s="21">
        <v>0</v>
      </c>
      <c r="AB43" s="21">
        <v>0</v>
      </c>
      <c r="AC43" s="22">
        <v>0</v>
      </c>
      <c r="AD43" s="22">
        <f t="shared" si="6"/>
        <v>0</v>
      </c>
      <c r="AE43" s="68">
        <v>0</v>
      </c>
      <c r="AF43" s="91">
        <f t="shared" si="7"/>
        <v>0</v>
      </c>
      <c r="AG43" s="9">
        <f t="shared" si="0"/>
        <v>59612</v>
      </c>
      <c r="AI43"/>
    </row>
    <row r="44" spans="1:35">
      <c r="A44" s="1" t="s">
        <v>2</v>
      </c>
      <c r="B44" s="5" t="s">
        <v>73</v>
      </c>
      <c r="C44" s="20">
        <v>0</v>
      </c>
      <c r="D44" s="21">
        <v>0</v>
      </c>
      <c r="E44" s="21">
        <v>0</v>
      </c>
      <c r="F44" s="21">
        <v>0</v>
      </c>
      <c r="G44" s="21">
        <v>0</v>
      </c>
      <c r="H44" s="21">
        <v>0</v>
      </c>
      <c r="I44" s="21">
        <v>0</v>
      </c>
      <c r="J44" s="21">
        <v>0</v>
      </c>
      <c r="K44" s="21">
        <v>0</v>
      </c>
      <c r="L44" s="21">
        <v>0</v>
      </c>
      <c r="M44" s="21">
        <v>0</v>
      </c>
      <c r="N44" s="21">
        <v>0</v>
      </c>
      <c r="O44" s="21">
        <v>0</v>
      </c>
      <c r="P44" s="21">
        <v>0</v>
      </c>
      <c r="Q44" s="21">
        <v>0</v>
      </c>
      <c r="R44" s="21">
        <v>0</v>
      </c>
      <c r="S44" s="68">
        <v>0</v>
      </c>
      <c r="T44" s="91">
        <f t="shared" si="5"/>
        <v>0</v>
      </c>
      <c r="U44" s="80">
        <v>0</v>
      </c>
      <c r="V44" s="21">
        <v>0</v>
      </c>
      <c r="W44" s="21">
        <v>0</v>
      </c>
      <c r="X44" s="21">
        <v>0</v>
      </c>
      <c r="Y44" s="21">
        <v>0</v>
      </c>
      <c r="Z44" s="21">
        <v>0</v>
      </c>
      <c r="AA44" s="21">
        <v>0</v>
      </c>
      <c r="AB44" s="21">
        <v>0</v>
      </c>
      <c r="AC44" s="22">
        <v>0</v>
      </c>
      <c r="AD44" s="22">
        <f t="shared" si="6"/>
        <v>0</v>
      </c>
      <c r="AE44" s="68">
        <v>0</v>
      </c>
      <c r="AF44" s="91">
        <f t="shared" si="7"/>
        <v>0</v>
      </c>
      <c r="AG44" s="9">
        <f t="shared" si="0"/>
        <v>0</v>
      </c>
      <c r="AI44"/>
    </row>
    <row r="45" spans="1:35" ht="19.5" thickBot="1">
      <c r="A45" s="1" t="s">
        <v>2</v>
      </c>
      <c r="B45" s="43" t="s">
        <v>76</v>
      </c>
      <c r="C45" s="44">
        <v>1068</v>
      </c>
      <c r="D45" s="45">
        <v>0</v>
      </c>
      <c r="E45" s="45">
        <v>0</v>
      </c>
      <c r="F45" s="45">
        <v>7425</v>
      </c>
      <c r="G45" s="45">
        <v>15120</v>
      </c>
      <c r="H45" s="45">
        <v>10982</v>
      </c>
      <c r="I45" s="45">
        <v>530</v>
      </c>
      <c r="J45" s="45">
        <v>1068</v>
      </c>
      <c r="K45" s="45">
        <v>0</v>
      </c>
      <c r="L45" s="45">
        <v>0</v>
      </c>
      <c r="M45" s="45">
        <v>1602</v>
      </c>
      <c r="N45" s="45">
        <v>3471</v>
      </c>
      <c r="O45" s="45">
        <v>2048</v>
      </c>
      <c r="P45" s="45">
        <v>7209</v>
      </c>
      <c r="Q45" s="45">
        <v>8712</v>
      </c>
      <c r="R45" s="45">
        <v>7128</v>
      </c>
      <c r="S45" s="69">
        <v>510</v>
      </c>
      <c r="T45" s="93">
        <f t="shared" si="5"/>
        <v>66873</v>
      </c>
      <c r="U45" s="81">
        <v>0</v>
      </c>
      <c r="V45" s="45">
        <v>0</v>
      </c>
      <c r="W45" s="45">
        <v>0</v>
      </c>
      <c r="X45" s="45">
        <v>0</v>
      </c>
      <c r="Y45" s="45">
        <v>9450</v>
      </c>
      <c r="Z45" s="45">
        <v>5250</v>
      </c>
      <c r="AA45" s="45">
        <v>10500</v>
      </c>
      <c r="AB45" s="45">
        <v>4160</v>
      </c>
      <c r="AC45" s="46">
        <v>0</v>
      </c>
      <c r="AD45" s="46">
        <f t="shared" si="6"/>
        <v>29360</v>
      </c>
      <c r="AE45" s="69">
        <v>0</v>
      </c>
      <c r="AF45" s="93">
        <f t="shared" si="7"/>
        <v>0</v>
      </c>
      <c r="AG45" s="47">
        <f t="shared" si="0"/>
        <v>96233</v>
      </c>
      <c r="AI45"/>
    </row>
    <row r="46" spans="1:35" ht="19.5" thickBot="1">
      <c r="A46" s="1" t="s">
        <v>2</v>
      </c>
      <c r="B46" s="48" t="s">
        <v>96</v>
      </c>
      <c r="C46" s="49">
        <v>263712</v>
      </c>
      <c r="D46" s="50">
        <v>71065</v>
      </c>
      <c r="E46" s="50">
        <v>366608</v>
      </c>
      <c r="F46" s="50">
        <v>397644</v>
      </c>
      <c r="G46" s="50">
        <v>313056</v>
      </c>
      <c r="H46" s="50">
        <v>390006</v>
      </c>
      <c r="I46" s="50">
        <v>324234</v>
      </c>
      <c r="J46" s="50">
        <v>326408</v>
      </c>
      <c r="K46" s="50">
        <v>318675</v>
      </c>
      <c r="L46" s="50">
        <v>343812</v>
      </c>
      <c r="M46" s="50">
        <v>307581</v>
      </c>
      <c r="N46" s="50">
        <v>356947</v>
      </c>
      <c r="O46" s="50">
        <v>302716</v>
      </c>
      <c r="P46" s="50">
        <v>319553</v>
      </c>
      <c r="Q46" s="50">
        <v>344751</v>
      </c>
      <c r="R46" s="50">
        <v>282170</v>
      </c>
      <c r="S46" s="70">
        <v>276126</v>
      </c>
      <c r="T46" s="94">
        <f t="shared" si="5"/>
        <v>5305064</v>
      </c>
      <c r="U46" s="82">
        <v>485000</v>
      </c>
      <c r="V46" s="50">
        <v>368007</v>
      </c>
      <c r="W46" s="50">
        <v>82800</v>
      </c>
      <c r="X46" s="50">
        <v>85560</v>
      </c>
      <c r="Y46" s="50">
        <v>74130</v>
      </c>
      <c r="Z46" s="50">
        <v>40530</v>
      </c>
      <c r="AA46" s="50">
        <v>87780</v>
      </c>
      <c r="AB46" s="50">
        <v>60808</v>
      </c>
      <c r="AC46" s="51">
        <v>58800</v>
      </c>
      <c r="AD46" s="51">
        <f t="shared" si="6"/>
        <v>1343415</v>
      </c>
      <c r="AE46" s="70">
        <v>375000</v>
      </c>
      <c r="AF46" s="94">
        <f t="shared" si="7"/>
        <v>375000</v>
      </c>
      <c r="AG46" s="52">
        <f t="shared" si="0"/>
        <v>7023479</v>
      </c>
      <c r="AI46"/>
    </row>
    <row r="47" spans="1:35" ht="19.5" thickBot="1">
      <c r="A47" s="1" t="s">
        <v>2</v>
      </c>
      <c r="B47" s="26" t="s">
        <v>97</v>
      </c>
      <c r="C47" s="35">
        <v>6764</v>
      </c>
      <c r="D47" s="36">
        <v>0</v>
      </c>
      <c r="E47" s="36">
        <v>5218</v>
      </c>
      <c r="F47" s="36">
        <v>2899</v>
      </c>
      <c r="G47" s="36">
        <v>13333</v>
      </c>
      <c r="H47" s="36">
        <v>2223</v>
      </c>
      <c r="I47" s="36">
        <v>2223</v>
      </c>
      <c r="J47" s="36">
        <v>1112</v>
      </c>
      <c r="K47" s="36">
        <v>2657</v>
      </c>
      <c r="L47" s="36">
        <v>4638</v>
      </c>
      <c r="M47" s="36">
        <v>5556</v>
      </c>
      <c r="N47" s="36">
        <v>4058</v>
      </c>
      <c r="O47" s="36">
        <v>6957</v>
      </c>
      <c r="P47" s="36">
        <v>3189</v>
      </c>
      <c r="Q47" s="36">
        <v>5797</v>
      </c>
      <c r="R47" s="36">
        <v>9445</v>
      </c>
      <c r="S47" s="67">
        <v>3720</v>
      </c>
      <c r="T47" s="90">
        <f t="shared" si="5"/>
        <v>79789</v>
      </c>
      <c r="U47" s="79">
        <v>8696</v>
      </c>
      <c r="V47" s="36">
        <v>4348</v>
      </c>
      <c r="W47" s="36">
        <v>2319</v>
      </c>
      <c r="X47" s="36">
        <v>1691</v>
      </c>
      <c r="Y47" s="36">
        <v>2609</v>
      </c>
      <c r="Z47" s="36">
        <v>1812</v>
      </c>
      <c r="AA47" s="36">
        <v>3865</v>
      </c>
      <c r="AB47" s="36">
        <v>2512</v>
      </c>
      <c r="AC47" s="37">
        <v>5749</v>
      </c>
      <c r="AD47" s="37">
        <f t="shared" si="6"/>
        <v>33601</v>
      </c>
      <c r="AE47" s="67">
        <v>6280</v>
      </c>
      <c r="AF47" s="90">
        <f t="shared" si="7"/>
        <v>6280</v>
      </c>
      <c r="AG47" s="38">
        <f t="shared" si="0"/>
        <v>119670</v>
      </c>
      <c r="AI47"/>
    </row>
    <row r="48" spans="1:35" ht="19.5" thickBot="1">
      <c r="A48" s="1" t="s">
        <v>2</v>
      </c>
      <c r="B48" s="48" t="s">
        <v>98</v>
      </c>
      <c r="C48" s="49">
        <v>6764</v>
      </c>
      <c r="D48" s="50">
        <v>0</v>
      </c>
      <c r="E48" s="50">
        <v>5218</v>
      </c>
      <c r="F48" s="50">
        <v>2899</v>
      </c>
      <c r="G48" s="50">
        <v>13333</v>
      </c>
      <c r="H48" s="50">
        <v>2223</v>
      </c>
      <c r="I48" s="50">
        <v>2223</v>
      </c>
      <c r="J48" s="50">
        <v>1112</v>
      </c>
      <c r="K48" s="50">
        <v>2657</v>
      </c>
      <c r="L48" s="50">
        <v>4638</v>
      </c>
      <c r="M48" s="50">
        <v>5556</v>
      </c>
      <c r="N48" s="50">
        <v>4058</v>
      </c>
      <c r="O48" s="50">
        <v>6957</v>
      </c>
      <c r="P48" s="50">
        <v>3189</v>
      </c>
      <c r="Q48" s="50">
        <v>5797</v>
      </c>
      <c r="R48" s="50">
        <v>9445</v>
      </c>
      <c r="S48" s="70">
        <v>3720</v>
      </c>
      <c r="T48" s="94">
        <f t="shared" si="5"/>
        <v>79789</v>
      </c>
      <c r="U48" s="82">
        <v>8696</v>
      </c>
      <c r="V48" s="50">
        <v>4348</v>
      </c>
      <c r="W48" s="50">
        <v>2319</v>
      </c>
      <c r="X48" s="50">
        <v>1691</v>
      </c>
      <c r="Y48" s="50">
        <v>2609</v>
      </c>
      <c r="Z48" s="50">
        <v>1812</v>
      </c>
      <c r="AA48" s="50">
        <v>3865</v>
      </c>
      <c r="AB48" s="50">
        <v>2512</v>
      </c>
      <c r="AC48" s="51">
        <v>5749</v>
      </c>
      <c r="AD48" s="51">
        <f t="shared" si="6"/>
        <v>33601</v>
      </c>
      <c r="AE48" s="70">
        <v>6280</v>
      </c>
      <c r="AF48" s="94">
        <f t="shared" si="7"/>
        <v>6280</v>
      </c>
      <c r="AG48" s="52">
        <f t="shared" si="0"/>
        <v>119670</v>
      </c>
      <c r="AI48"/>
    </row>
    <row r="49" spans="1:35" ht="19.5" thickBot="1">
      <c r="A49" s="1" t="s">
        <v>2</v>
      </c>
      <c r="B49" s="48" t="s">
        <v>99</v>
      </c>
      <c r="C49" s="49">
        <v>270476</v>
      </c>
      <c r="D49" s="50">
        <v>71065</v>
      </c>
      <c r="E49" s="50">
        <v>371826</v>
      </c>
      <c r="F49" s="50">
        <v>400543</v>
      </c>
      <c r="G49" s="50">
        <v>326389</v>
      </c>
      <c r="H49" s="50">
        <v>392229</v>
      </c>
      <c r="I49" s="50">
        <v>326457</v>
      </c>
      <c r="J49" s="50">
        <v>327520</v>
      </c>
      <c r="K49" s="50">
        <v>321332</v>
      </c>
      <c r="L49" s="50">
        <v>348450</v>
      </c>
      <c r="M49" s="50">
        <v>313137</v>
      </c>
      <c r="N49" s="50">
        <v>361005</v>
      </c>
      <c r="O49" s="50">
        <v>309673</v>
      </c>
      <c r="P49" s="50">
        <v>322742</v>
      </c>
      <c r="Q49" s="50">
        <v>350548</v>
      </c>
      <c r="R49" s="50">
        <v>291615</v>
      </c>
      <c r="S49" s="70">
        <v>279846</v>
      </c>
      <c r="T49" s="94">
        <f t="shared" si="5"/>
        <v>5384853</v>
      </c>
      <c r="U49" s="82">
        <v>493696</v>
      </c>
      <c r="V49" s="50">
        <v>372355</v>
      </c>
      <c r="W49" s="50">
        <v>85119</v>
      </c>
      <c r="X49" s="50">
        <v>87251</v>
      </c>
      <c r="Y49" s="50">
        <v>76739</v>
      </c>
      <c r="Z49" s="50">
        <v>42342</v>
      </c>
      <c r="AA49" s="50">
        <v>91645</v>
      </c>
      <c r="AB49" s="50">
        <v>63320</v>
      </c>
      <c r="AC49" s="51">
        <v>64549</v>
      </c>
      <c r="AD49" s="51">
        <f t="shared" si="6"/>
        <v>1377016</v>
      </c>
      <c r="AE49" s="70">
        <v>381280</v>
      </c>
      <c r="AF49" s="94">
        <f t="shared" si="7"/>
        <v>381280</v>
      </c>
      <c r="AG49" s="52">
        <f t="shared" si="0"/>
        <v>7143149</v>
      </c>
      <c r="AI49"/>
    </row>
    <row r="50" spans="1:35">
      <c r="A50" s="1" t="s">
        <v>2</v>
      </c>
      <c r="B50" s="26" t="s">
        <v>100</v>
      </c>
      <c r="C50" s="35">
        <v>16320</v>
      </c>
      <c r="D50" s="36">
        <v>19380</v>
      </c>
      <c r="E50" s="36">
        <v>19380</v>
      </c>
      <c r="F50" s="36">
        <v>20910</v>
      </c>
      <c r="G50" s="36">
        <v>19380</v>
      </c>
      <c r="H50" s="36">
        <v>20910</v>
      </c>
      <c r="I50" s="36">
        <v>16320</v>
      </c>
      <c r="J50" s="36">
        <v>15300</v>
      </c>
      <c r="K50" s="36">
        <v>16320</v>
      </c>
      <c r="L50" s="36">
        <v>17340</v>
      </c>
      <c r="M50" s="36">
        <v>16320</v>
      </c>
      <c r="N50" s="36">
        <v>17340</v>
      </c>
      <c r="O50" s="36">
        <v>15300</v>
      </c>
      <c r="P50" s="36">
        <v>19380</v>
      </c>
      <c r="Q50" s="36">
        <v>17340</v>
      </c>
      <c r="R50" s="36">
        <v>15300</v>
      </c>
      <c r="S50" s="67">
        <v>13260</v>
      </c>
      <c r="T50" s="90">
        <f t="shared" si="5"/>
        <v>295800</v>
      </c>
      <c r="U50" s="79">
        <v>23970</v>
      </c>
      <c r="V50" s="36">
        <v>19380</v>
      </c>
      <c r="W50" s="36">
        <v>0</v>
      </c>
      <c r="X50" s="36">
        <v>0</v>
      </c>
      <c r="Y50" s="36">
        <v>0</v>
      </c>
      <c r="Z50" s="36">
        <v>0</v>
      </c>
      <c r="AA50" s="36">
        <v>0</v>
      </c>
      <c r="AB50" s="36">
        <v>0</v>
      </c>
      <c r="AC50" s="37">
        <v>0</v>
      </c>
      <c r="AD50" s="37">
        <f t="shared" si="6"/>
        <v>43350</v>
      </c>
      <c r="AE50" s="67">
        <v>19380</v>
      </c>
      <c r="AF50" s="90">
        <f t="shared" si="7"/>
        <v>19380</v>
      </c>
      <c r="AG50" s="38">
        <f t="shared" si="0"/>
        <v>358530</v>
      </c>
      <c r="AI50"/>
    </row>
    <row r="51" spans="1:35">
      <c r="A51" s="1" t="s">
        <v>2</v>
      </c>
      <c r="B51" s="5" t="s">
        <v>101</v>
      </c>
      <c r="C51" s="20">
        <v>2880</v>
      </c>
      <c r="D51" s="21">
        <v>3420</v>
      </c>
      <c r="E51" s="21">
        <v>3420</v>
      </c>
      <c r="F51" s="21">
        <v>3690</v>
      </c>
      <c r="G51" s="21">
        <v>3420</v>
      </c>
      <c r="H51" s="21">
        <v>3690</v>
      </c>
      <c r="I51" s="21">
        <v>2880</v>
      </c>
      <c r="J51" s="21">
        <v>2700</v>
      </c>
      <c r="K51" s="21">
        <v>2880</v>
      </c>
      <c r="L51" s="21">
        <v>3060</v>
      </c>
      <c r="M51" s="21">
        <v>2880</v>
      </c>
      <c r="N51" s="21">
        <v>0</v>
      </c>
      <c r="O51" s="21">
        <v>2700</v>
      </c>
      <c r="P51" s="21">
        <v>3420</v>
      </c>
      <c r="Q51" s="21">
        <v>3060</v>
      </c>
      <c r="R51" s="21">
        <v>2700</v>
      </c>
      <c r="S51" s="68">
        <v>0</v>
      </c>
      <c r="T51" s="91">
        <f t="shared" si="5"/>
        <v>46800</v>
      </c>
      <c r="U51" s="80">
        <v>0</v>
      </c>
      <c r="V51" s="21">
        <v>3420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2">
        <v>0</v>
      </c>
      <c r="AD51" s="22">
        <f t="shared" si="6"/>
        <v>3420</v>
      </c>
      <c r="AE51" s="68">
        <v>3420</v>
      </c>
      <c r="AF51" s="91">
        <f t="shared" si="7"/>
        <v>3420</v>
      </c>
      <c r="AG51" s="9">
        <f t="shared" si="0"/>
        <v>53640</v>
      </c>
      <c r="AI51"/>
    </row>
    <row r="52" spans="1:35">
      <c r="A52" s="1" t="s">
        <v>2</v>
      </c>
      <c r="B52" s="5" t="s">
        <v>102</v>
      </c>
      <c r="C52" s="20">
        <v>29280</v>
      </c>
      <c r="D52" s="21">
        <v>34770</v>
      </c>
      <c r="E52" s="21">
        <v>34770</v>
      </c>
      <c r="F52" s="21">
        <v>37515</v>
      </c>
      <c r="G52" s="21">
        <v>34770</v>
      </c>
      <c r="H52" s="21">
        <v>37515</v>
      </c>
      <c r="I52" s="21">
        <v>29280</v>
      </c>
      <c r="J52" s="21">
        <v>27450</v>
      </c>
      <c r="K52" s="21">
        <v>29280</v>
      </c>
      <c r="L52" s="21">
        <v>31110</v>
      </c>
      <c r="M52" s="21">
        <v>29280</v>
      </c>
      <c r="N52" s="21">
        <v>31110</v>
      </c>
      <c r="O52" s="21">
        <v>27450</v>
      </c>
      <c r="P52" s="21">
        <v>34770</v>
      </c>
      <c r="Q52" s="21">
        <v>31110</v>
      </c>
      <c r="R52" s="21">
        <v>27450</v>
      </c>
      <c r="S52" s="68">
        <v>23790</v>
      </c>
      <c r="T52" s="91">
        <f t="shared" si="5"/>
        <v>530700</v>
      </c>
      <c r="U52" s="80">
        <v>43005</v>
      </c>
      <c r="V52" s="21">
        <v>34770</v>
      </c>
      <c r="W52" s="21">
        <v>0</v>
      </c>
      <c r="X52" s="21">
        <v>0</v>
      </c>
      <c r="Y52" s="21">
        <v>0</v>
      </c>
      <c r="Z52" s="21">
        <v>0</v>
      </c>
      <c r="AA52" s="21">
        <v>0</v>
      </c>
      <c r="AB52" s="21">
        <v>0</v>
      </c>
      <c r="AC52" s="22">
        <v>0</v>
      </c>
      <c r="AD52" s="22">
        <f t="shared" si="6"/>
        <v>77775</v>
      </c>
      <c r="AE52" s="68">
        <v>34770</v>
      </c>
      <c r="AF52" s="91">
        <f t="shared" si="7"/>
        <v>34770</v>
      </c>
      <c r="AG52" s="9">
        <f t="shared" si="0"/>
        <v>643245</v>
      </c>
      <c r="AI52"/>
    </row>
    <row r="53" spans="1:35" ht="19.5" thickBot="1">
      <c r="A53" s="1" t="s">
        <v>2</v>
      </c>
      <c r="B53" s="5" t="s">
        <v>103</v>
      </c>
      <c r="C53" s="20">
        <v>811</v>
      </c>
      <c r="D53" s="21">
        <v>213</v>
      </c>
      <c r="E53" s="21">
        <v>1115</v>
      </c>
      <c r="F53" s="21">
        <v>1202</v>
      </c>
      <c r="G53" s="21">
        <v>979</v>
      </c>
      <c r="H53" s="21">
        <v>1177</v>
      </c>
      <c r="I53" s="21">
        <v>979</v>
      </c>
      <c r="J53" s="21">
        <v>983</v>
      </c>
      <c r="K53" s="21">
        <v>964</v>
      </c>
      <c r="L53" s="21">
        <v>1045</v>
      </c>
      <c r="M53" s="21">
        <v>939</v>
      </c>
      <c r="N53" s="21">
        <v>1083</v>
      </c>
      <c r="O53" s="21">
        <v>929</v>
      </c>
      <c r="P53" s="21">
        <v>968</v>
      </c>
      <c r="Q53" s="21">
        <v>1052</v>
      </c>
      <c r="R53" s="21">
        <v>875</v>
      </c>
      <c r="S53" s="68">
        <v>840</v>
      </c>
      <c r="T53" s="91">
        <f t="shared" si="5"/>
        <v>16154</v>
      </c>
      <c r="U53" s="80">
        <v>1481</v>
      </c>
      <c r="V53" s="21">
        <v>1117</v>
      </c>
      <c r="W53" s="21">
        <v>255</v>
      </c>
      <c r="X53" s="21">
        <v>262</v>
      </c>
      <c r="Y53" s="21">
        <v>0</v>
      </c>
      <c r="Z53" s="21">
        <v>0</v>
      </c>
      <c r="AA53" s="21">
        <v>0</v>
      </c>
      <c r="AB53" s="21">
        <v>0</v>
      </c>
      <c r="AC53" s="22">
        <v>194</v>
      </c>
      <c r="AD53" s="22">
        <f t="shared" si="6"/>
        <v>3309</v>
      </c>
      <c r="AE53" s="68">
        <v>1144</v>
      </c>
      <c r="AF53" s="91">
        <f t="shared" si="7"/>
        <v>1144</v>
      </c>
      <c r="AG53" s="9">
        <f t="shared" si="0"/>
        <v>20607</v>
      </c>
      <c r="AI53"/>
    </row>
    <row r="54" spans="1:35" ht="19.5" thickBot="1">
      <c r="A54" s="1" t="s">
        <v>2</v>
      </c>
      <c r="B54" s="48" t="s">
        <v>104</v>
      </c>
      <c r="C54" s="49">
        <v>49291</v>
      </c>
      <c r="D54" s="50">
        <v>57783</v>
      </c>
      <c r="E54" s="50">
        <v>58685</v>
      </c>
      <c r="F54" s="50">
        <v>63317</v>
      </c>
      <c r="G54" s="50">
        <v>58549</v>
      </c>
      <c r="H54" s="50">
        <v>63292</v>
      </c>
      <c r="I54" s="50">
        <v>49459</v>
      </c>
      <c r="J54" s="50">
        <v>46433</v>
      </c>
      <c r="K54" s="50">
        <v>49444</v>
      </c>
      <c r="L54" s="50">
        <v>52555</v>
      </c>
      <c r="M54" s="50">
        <v>49419</v>
      </c>
      <c r="N54" s="50">
        <v>49533</v>
      </c>
      <c r="O54" s="50">
        <v>46379</v>
      </c>
      <c r="P54" s="50">
        <v>58538</v>
      </c>
      <c r="Q54" s="50">
        <v>52562</v>
      </c>
      <c r="R54" s="50">
        <v>46325</v>
      </c>
      <c r="S54" s="70">
        <v>37890</v>
      </c>
      <c r="T54" s="94">
        <f t="shared" si="5"/>
        <v>889454</v>
      </c>
      <c r="U54" s="82">
        <v>68456</v>
      </c>
      <c r="V54" s="50">
        <v>58687</v>
      </c>
      <c r="W54" s="50">
        <v>255</v>
      </c>
      <c r="X54" s="50">
        <v>262</v>
      </c>
      <c r="Y54" s="50">
        <v>0</v>
      </c>
      <c r="Z54" s="50">
        <v>0</v>
      </c>
      <c r="AA54" s="50">
        <v>0</v>
      </c>
      <c r="AB54" s="50">
        <v>0</v>
      </c>
      <c r="AC54" s="51">
        <v>194</v>
      </c>
      <c r="AD54" s="51">
        <f t="shared" si="6"/>
        <v>127854</v>
      </c>
      <c r="AE54" s="70">
        <v>58714</v>
      </c>
      <c r="AF54" s="94">
        <f t="shared" si="7"/>
        <v>58714</v>
      </c>
      <c r="AG54" s="52">
        <f t="shared" si="0"/>
        <v>1076022</v>
      </c>
      <c r="AI54"/>
    </row>
    <row r="55" spans="1:35">
      <c r="A55" s="1" t="s">
        <v>2</v>
      </c>
      <c r="B55" s="26" t="s">
        <v>105</v>
      </c>
      <c r="C55" s="35">
        <v>3660</v>
      </c>
      <c r="D55" s="36">
        <v>0</v>
      </c>
      <c r="E55" s="36">
        <v>7050</v>
      </c>
      <c r="F55" s="36">
        <v>11180</v>
      </c>
      <c r="G55" s="36">
        <v>5100</v>
      </c>
      <c r="H55" s="36">
        <v>10560</v>
      </c>
      <c r="I55" s="36">
        <v>7440</v>
      </c>
      <c r="J55" s="36">
        <v>6010</v>
      </c>
      <c r="K55" s="36">
        <v>7240</v>
      </c>
      <c r="L55" s="36">
        <v>8030</v>
      </c>
      <c r="M55" s="36">
        <v>6840</v>
      </c>
      <c r="N55" s="36">
        <v>8990</v>
      </c>
      <c r="O55" s="36">
        <v>6780</v>
      </c>
      <c r="P55" s="36">
        <v>6940</v>
      </c>
      <c r="Q55" s="36">
        <v>3210</v>
      </c>
      <c r="R55" s="36">
        <v>6050</v>
      </c>
      <c r="S55" s="67">
        <v>6130</v>
      </c>
      <c r="T55" s="90">
        <f t="shared" si="5"/>
        <v>111210</v>
      </c>
      <c r="U55" s="79">
        <v>17900</v>
      </c>
      <c r="V55" s="36">
        <v>7100</v>
      </c>
      <c r="W55" s="36">
        <v>0</v>
      </c>
      <c r="X55" s="36">
        <v>0</v>
      </c>
      <c r="Y55" s="36">
        <v>0</v>
      </c>
      <c r="Z55" s="36">
        <v>0</v>
      </c>
      <c r="AA55" s="36">
        <v>0</v>
      </c>
      <c r="AB55" s="36">
        <v>0</v>
      </c>
      <c r="AC55" s="37">
        <v>0</v>
      </c>
      <c r="AD55" s="37">
        <f t="shared" si="6"/>
        <v>25000</v>
      </c>
      <c r="AE55" s="67">
        <v>9710</v>
      </c>
      <c r="AF55" s="90">
        <f t="shared" si="7"/>
        <v>9710</v>
      </c>
      <c r="AG55" s="38">
        <f t="shared" si="0"/>
        <v>145920</v>
      </c>
      <c r="AI55"/>
    </row>
    <row r="56" spans="1:35">
      <c r="A56" s="1" t="s">
        <v>2</v>
      </c>
      <c r="B56" s="5" t="s">
        <v>106</v>
      </c>
      <c r="C56" s="20">
        <v>1300</v>
      </c>
      <c r="D56" s="21">
        <v>1300</v>
      </c>
      <c r="E56" s="21">
        <v>1300</v>
      </c>
      <c r="F56" s="21">
        <v>0</v>
      </c>
      <c r="G56" s="21">
        <v>1300</v>
      </c>
      <c r="H56" s="21">
        <v>1300</v>
      </c>
      <c r="I56" s="21">
        <v>1300</v>
      </c>
      <c r="J56" s="21">
        <v>1300</v>
      </c>
      <c r="K56" s="21">
        <v>1300</v>
      </c>
      <c r="L56" s="21">
        <v>1300</v>
      </c>
      <c r="M56" s="21">
        <v>0</v>
      </c>
      <c r="N56" s="21">
        <v>0</v>
      </c>
      <c r="O56" s="21">
        <v>1300</v>
      </c>
      <c r="P56" s="21">
        <v>1300</v>
      </c>
      <c r="Q56" s="21">
        <v>1300</v>
      </c>
      <c r="R56" s="21">
        <v>0</v>
      </c>
      <c r="S56" s="68">
        <v>0</v>
      </c>
      <c r="T56" s="91">
        <f t="shared" si="5"/>
        <v>15600</v>
      </c>
      <c r="U56" s="80">
        <v>0</v>
      </c>
      <c r="V56" s="21">
        <v>0</v>
      </c>
      <c r="W56" s="21">
        <v>0</v>
      </c>
      <c r="X56" s="21">
        <v>0</v>
      </c>
      <c r="Y56" s="21">
        <v>0</v>
      </c>
      <c r="Z56" s="21">
        <v>0</v>
      </c>
      <c r="AA56" s="21">
        <v>0</v>
      </c>
      <c r="AB56" s="21">
        <v>0</v>
      </c>
      <c r="AC56" s="22">
        <v>0</v>
      </c>
      <c r="AD56" s="22">
        <f t="shared" si="6"/>
        <v>0</v>
      </c>
      <c r="AE56" s="68">
        <v>0</v>
      </c>
      <c r="AF56" s="91">
        <f t="shared" si="7"/>
        <v>0</v>
      </c>
      <c r="AG56" s="9">
        <f t="shared" ref="AG56:AG64" si="8">T56+AD56+AF56</f>
        <v>15600</v>
      </c>
      <c r="AI56"/>
    </row>
    <row r="57" spans="1:35">
      <c r="A57" s="1" t="s">
        <v>2</v>
      </c>
      <c r="B57" s="5" t="s">
        <v>107</v>
      </c>
      <c r="C57" s="20">
        <v>8600</v>
      </c>
      <c r="D57" s="21">
        <v>14600</v>
      </c>
      <c r="E57" s="21">
        <v>13800</v>
      </c>
      <c r="F57" s="21">
        <v>16700</v>
      </c>
      <c r="G57" s="21">
        <v>15200</v>
      </c>
      <c r="H57" s="21">
        <v>17700</v>
      </c>
      <c r="I57" s="21">
        <v>13500</v>
      </c>
      <c r="J57" s="21">
        <v>9200</v>
      </c>
      <c r="K57" s="21">
        <v>13000</v>
      </c>
      <c r="L57" s="21">
        <v>13800</v>
      </c>
      <c r="M57" s="21">
        <v>10500</v>
      </c>
      <c r="N57" s="21">
        <v>13500</v>
      </c>
      <c r="O57" s="21">
        <v>12100</v>
      </c>
      <c r="P57" s="21">
        <v>14200</v>
      </c>
      <c r="Q57" s="21">
        <v>5600</v>
      </c>
      <c r="R57" s="21">
        <v>0</v>
      </c>
      <c r="S57" s="68">
        <v>0</v>
      </c>
      <c r="T57" s="91">
        <f t="shared" si="5"/>
        <v>192000</v>
      </c>
      <c r="U57" s="80">
        <v>35200</v>
      </c>
      <c r="V57" s="21">
        <v>14500</v>
      </c>
      <c r="W57" s="21">
        <v>600</v>
      </c>
      <c r="X57" s="21">
        <v>500</v>
      </c>
      <c r="Y57" s="21">
        <v>0</v>
      </c>
      <c r="Z57" s="21">
        <v>4100</v>
      </c>
      <c r="AA57" s="21">
        <v>0</v>
      </c>
      <c r="AB57" s="21">
        <v>0</v>
      </c>
      <c r="AC57" s="22">
        <v>0</v>
      </c>
      <c r="AD57" s="22">
        <f t="shared" si="6"/>
        <v>54900</v>
      </c>
      <c r="AE57" s="68">
        <v>16100</v>
      </c>
      <c r="AF57" s="91">
        <f t="shared" si="7"/>
        <v>16100</v>
      </c>
      <c r="AG57" s="9">
        <f t="shared" si="8"/>
        <v>263000</v>
      </c>
      <c r="AI57"/>
    </row>
    <row r="58" spans="1:35">
      <c r="A58" s="1" t="s">
        <v>2</v>
      </c>
      <c r="B58" s="5" t="s">
        <v>108</v>
      </c>
      <c r="C58" s="20">
        <v>0</v>
      </c>
      <c r="D58" s="59">
        <v>-73683</v>
      </c>
      <c r="E58" s="21">
        <v>0</v>
      </c>
      <c r="F58" s="21">
        <v>10000</v>
      </c>
      <c r="G58" s="21">
        <v>0</v>
      </c>
      <c r="H58" s="21">
        <v>0</v>
      </c>
      <c r="I58" s="21">
        <v>0</v>
      </c>
      <c r="J58" s="21">
        <v>0</v>
      </c>
      <c r="K58" s="21">
        <v>0</v>
      </c>
      <c r="L58" s="21">
        <v>0</v>
      </c>
      <c r="M58" s="21">
        <v>0</v>
      </c>
      <c r="N58" s="21">
        <v>0</v>
      </c>
      <c r="O58" s="21">
        <v>0</v>
      </c>
      <c r="P58" s="21">
        <v>0</v>
      </c>
      <c r="Q58" s="21">
        <v>0</v>
      </c>
      <c r="R58" s="21">
        <v>0</v>
      </c>
      <c r="S58" s="68">
        <v>0</v>
      </c>
      <c r="T58" s="92">
        <f t="shared" si="5"/>
        <v>-63683</v>
      </c>
      <c r="U58" s="80">
        <v>0</v>
      </c>
      <c r="V58" s="21">
        <v>0</v>
      </c>
      <c r="W58" s="21">
        <v>0</v>
      </c>
      <c r="X58" s="21">
        <v>0</v>
      </c>
      <c r="Y58" s="21">
        <v>0</v>
      </c>
      <c r="Z58" s="21">
        <v>0</v>
      </c>
      <c r="AA58" s="21">
        <v>0</v>
      </c>
      <c r="AB58" s="21">
        <v>0</v>
      </c>
      <c r="AC58" s="22">
        <v>0</v>
      </c>
      <c r="AD58" s="22">
        <f t="shared" si="6"/>
        <v>0</v>
      </c>
      <c r="AE58" s="68">
        <v>0</v>
      </c>
      <c r="AF58" s="91">
        <f t="shared" si="7"/>
        <v>0</v>
      </c>
      <c r="AG58" s="60">
        <f t="shared" si="8"/>
        <v>-63683</v>
      </c>
      <c r="AI58"/>
    </row>
    <row r="59" spans="1:35" ht="19.5" thickBot="1">
      <c r="A59" s="1" t="s">
        <v>2</v>
      </c>
      <c r="B59" s="5" t="s">
        <v>109</v>
      </c>
      <c r="C59" s="20">
        <v>0</v>
      </c>
      <c r="D59" s="21">
        <v>0</v>
      </c>
      <c r="E59" s="21">
        <v>0</v>
      </c>
      <c r="F59" s="21">
        <v>0</v>
      </c>
      <c r="G59" s="21">
        <v>0</v>
      </c>
      <c r="H59" s="21">
        <v>0</v>
      </c>
      <c r="I59" s="21">
        <v>0</v>
      </c>
      <c r="J59" s="21">
        <v>0</v>
      </c>
      <c r="K59" s="21">
        <v>0</v>
      </c>
      <c r="L59" s="21">
        <v>0</v>
      </c>
      <c r="M59" s="21">
        <v>0</v>
      </c>
      <c r="N59" s="21">
        <v>0</v>
      </c>
      <c r="O59" s="21">
        <v>0</v>
      </c>
      <c r="P59" s="21">
        <v>0</v>
      </c>
      <c r="Q59" s="21">
        <v>0</v>
      </c>
      <c r="R59" s="21">
        <v>0</v>
      </c>
      <c r="S59" s="68">
        <v>0</v>
      </c>
      <c r="T59" s="91">
        <f t="shared" si="5"/>
        <v>0</v>
      </c>
      <c r="U59" s="80">
        <v>0</v>
      </c>
      <c r="V59" s="21">
        <v>0</v>
      </c>
      <c r="W59" s="21">
        <v>0</v>
      </c>
      <c r="X59" s="21">
        <v>0</v>
      </c>
      <c r="Y59" s="21">
        <v>0</v>
      </c>
      <c r="Z59" s="21">
        <v>0</v>
      </c>
      <c r="AA59" s="21">
        <v>0</v>
      </c>
      <c r="AB59" s="21">
        <v>0</v>
      </c>
      <c r="AC59" s="22">
        <v>0</v>
      </c>
      <c r="AD59" s="22">
        <f t="shared" si="6"/>
        <v>0</v>
      </c>
      <c r="AE59" s="68">
        <v>0</v>
      </c>
      <c r="AF59" s="91">
        <f t="shared" si="7"/>
        <v>0</v>
      </c>
      <c r="AG59" s="9">
        <f t="shared" si="8"/>
        <v>0</v>
      </c>
      <c r="AI59"/>
    </row>
    <row r="60" spans="1:35" ht="19.5" thickBot="1">
      <c r="A60" s="1" t="s">
        <v>2</v>
      </c>
      <c r="B60" s="48" t="s">
        <v>110</v>
      </c>
      <c r="C60" s="49">
        <v>62851</v>
      </c>
      <c r="D60" s="50">
        <v>0</v>
      </c>
      <c r="E60" s="50">
        <v>80835</v>
      </c>
      <c r="F60" s="50">
        <v>101197</v>
      </c>
      <c r="G60" s="50">
        <v>80149</v>
      </c>
      <c r="H60" s="50">
        <v>92852</v>
      </c>
      <c r="I60" s="50">
        <v>71699</v>
      </c>
      <c r="J60" s="50">
        <v>62943</v>
      </c>
      <c r="K60" s="50">
        <v>70984</v>
      </c>
      <c r="L60" s="50">
        <v>75685</v>
      </c>
      <c r="M60" s="50">
        <v>66759</v>
      </c>
      <c r="N60" s="50">
        <v>72023</v>
      </c>
      <c r="O60" s="50">
        <v>66559</v>
      </c>
      <c r="P60" s="50">
        <v>80978</v>
      </c>
      <c r="Q60" s="50">
        <v>62672</v>
      </c>
      <c r="R60" s="50">
        <v>52375</v>
      </c>
      <c r="S60" s="70">
        <v>44020</v>
      </c>
      <c r="T60" s="94">
        <f t="shared" si="5"/>
        <v>1144581</v>
      </c>
      <c r="U60" s="82">
        <v>121556</v>
      </c>
      <c r="V60" s="50">
        <v>80287</v>
      </c>
      <c r="W60" s="50">
        <v>855</v>
      </c>
      <c r="X60" s="50">
        <v>762</v>
      </c>
      <c r="Y60" s="50">
        <v>0</v>
      </c>
      <c r="Z60" s="50">
        <v>4100</v>
      </c>
      <c r="AA60" s="50">
        <v>0</v>
      </c>
      <c r="AB60" s="50">
        <v>0</v>
      </c>
      <c r="AC60" s="51">
        <v>194</v>
      </c>
      <c r="AD60" s="51">
        <f t="shared" si="6"/>
        <v>207754</v>
      </c>
      <c r="AE60" s="70">
        <v>84524</v>
      </c>
      <c r="AF60" s="94">
        <f t="shared" si="7"/>
        <v>84524</v>
      </c>
      <c r="AG60" s="52">
        <f t="shared" si="8"/>
        <v>1436859</v>
      </c>
      <c r="AI60"/>
    </row>
    <row r="61" spans="1:35" ht="19.5" thickBot="1">
      <c r="A61" s="1" t="s">
        <v>2</v>
      </c>
      <c r="B61" s="48" t="s">
        <v>111</v>
      </c>
      <c r="C61" s="49">
        <v>214421</v>
      </c>
      <c r="D61" s="50">
        <v>13282</v>
      </c>
      <c r="E61" s="50">
        <v>307923</v>
      </c>
      <c r="F61" s="50">
        <v>334327</v>
      </c>
      <c r="G61" s="50">
        <v>254507</v>
      </c>
      <c r="H61" s="50">
        <v>326714</v>
      </c>
      <c r="I61" s="50">
        <v>274775</v>
      </c>
      <c r="J61" s="50">
        <v>279975</v>
      </c>
      <c r="K61" s="50">
        <v>269231</v>
      </c>
      <c r="L61" s="50">
        <v>291257</v>
      </c>
      <c r="M61" s="50">
        <v>258162</v>
      </c>
      <c r="N61" s="50">
        <v>307414</v>
      </c>
      <c r="O61" s="50">
        <v>256337</v>
      </c>
      <c r="P61" s="50">
        <v>261015</v>
      </c>
      <c r="Q61" s="50">
        <v>292189</v>
      </c>
      <c r="R61" s="50">
        <v>235845</v>
      </c>
      <c r="S61" s="70">
        <v>238236</v>
      </c>
      <c r="T61" s="94">
        <f t="shared" si="5"/>
        <v>4415610</v>
      </c>
      <c r="U61" s="82">
        <v>416544</v>
      </c>
      <c r="V61" s="50">
        <v>309320</v>
      </c>
      <c r="W61" s="50">
        <v>82545</v>
      </c>
      <c r="X61" s="50">
        <v>85298</v>
      </c>
      <c r="Y61" s="50">
        <v>74130</v>
      </c>
      <c r="Z61" s="50">
        <v>40530</v>
      </c>
      <c r="AA61" s="50">
        <v>87780</v>
      </c>
      <c r="AB61" s="50">
        <v>60808</v>
      </c>
      <c r="AC61" s="51">
        <v>58606</v>
      </c>
      <c r="AD61" s="51">
        <f t="shared" si="6"/>
        <v>1215561</v>
      </c>
      <c r="AE61" s="70">
        <v>316286</v>
      </c>
      <c r="AF61" s="94">
        <f t="shared" si="7"/>
        <v>316286</v>
      </c>
      <c r="AG61" s="52">
        <f t="shared" si="8"/>
        <v>5947457</v>
      </c>
      <c r="AI61"/>
    </row>
    <row r="62" spans="1:35" ht="19.5" thickBot="1">
      <c r="A62" s="1" t="s">
        <v>2</v>
      </c>
      <c r="B62" s="48" t="s">
        <v>112</v>
      </c>
      <c r="C62" s="49">
        <v>207625</v>
      </c>
      <c r="D62" s="50">
        <v>71065</v>
      </c>
      <c r="E62" s="50">
        <v>290991</v>
      </c>
      <c r="F62" s="50">
        <v>299346</v>
      </c>
      <c r="G62" s="50">
        <v>246240</v>
      </c>
      <c r="H62" s="50">
        <v>299377</v>
      </c>
      <c r="I62" s="50">
        <v>254758</v>
      </c>
      <c r="J62" s="50">
        <v>264577</v>
      </c>
      <c r="K62" s="50">
        <v>250348</v>
      </c>
      <c r="L62" s="50">
        <v>272765</v>
      </c>
      <c r="M62" s="50">
        <v>246378</v>
      </c>
      <c r="N62" s="50">
        <v>288982</v>
      </c>
      <c r="O62" s="50">
        <v>243114</v>
      </c>
      <c r="P62" s="50">
        <v>241764</v>
      </c>
      <c r="Q62" s="50">
        <v>287876</v>
      </c>
      <c r="R62" s="50">
        <v>239240</v>
      </c>
      <c r="S62" s="70">
        <v>235826</v>
      </c>
      <c r="T62" s="94">
        <f t="shared" si="5"/>
        <v>4240272</v>
      </c>
      <c r="U62" s="82">
        <v>372140</v>
      </c>
      <c r="V62" s="50">
        <v>292068</v>
      </c>
      <c r="W62" s="50">
        <v>84264</v>
      </c>
      <c r="X62" s="50">
        <v>86489</v>
      </c>
      <c r="Y62" s="50">
        <v>76739</v>
      </c>
      <c r="Z62" s="50">
        <v>38242</v>
      </c>
      <c r="AA62" s="50">
        <v>91645</v>
      </c>
      <c r="AB62" s="50">
        <v>63320</v>
      </c>
      <c r="AC62" s="51">
        <v>64355</v>
      </c>
      <c r="AD62" s="51">
        <f t="shared" si="6"/>
        <v>1169262</v>
      </c>
      <c r="AE62" s="70">
        <v>296756</v>
      </c>
      <c r="AF62" s="94">
        <f t="shared" si="7"/>
        <v>296756</v>
      </c>
      <c r="AG62" s="52">
        <f t="shared" si="8"/>
        <v>5706290</v>
      </c>
      <c r="AI62"/>
    </row>
    <row r="63" spans="1:35">
      <c r="A63" s="1" t="s">
        <v>2</v>
      </c>
      <c r="B63" s="53" t="s">
        <v>113</v>
      </c>
      <c r="C63" s="54">
        <v>0</v>
      </c>
      <c r="D63" s="55">
        <v>0</v>
      </c>
      <c r="E63" s="55">
        <v>0</v>
      </c>
      <c r="F63" s="55">
        <v>0</v>
      </c>
      <c r="G63" s="55">
        <v>0</v>
      </c>
      <c r="H63" s="55">
        <v>0</v>
      </c>
      <c r="I63" s="55">
        <v>0</v>
      </c>
      <c r="J63" s="55">
        <v>0</v>
      </c>
      <c r="K63" s="55">
        <v>0</v>
      </c>
      <c r="L63" s="55">
        <v>0</v>
      </c>
      <c r="M63" s="55">
        <v>0</v>
      </c>
      <c r="N63" s="55">
        <v>0</v>
      </c>
      <c r="O63" s="55">
        <v>0</v>
      </c>
      <c r="P63" s="55">
        <v>0</v>
      </c>
      <c r="Q63" s="55">
        <v>0</v>
      </c>
      <c r="R63" s="55">
        <v>0</v>
      </c>
      <c r="S63" s="71">
        <v>0</v>
      </c>
      <c r="T63" s="95">
        <f t="shared" si="5"/>
        <v>0</v>
      </c>
      <c r="U63" s="83">
        <v>0</v>
      </c>
      <c r="V63" s="55">
        <v>0</v>
      </c>
      <c r="W63" s="55">
        <v>0</v>
      </c>
      <c r="X63" s="55">
        <v>0</v>
      </c>
      <c r="Y63" s="55">
        <v>0</v>
      </c>
      <c r="Z63" s="55">
        <v>0</v>
      </c>
      <c r="AA63" s="55">
        <v>0</v>
      </c>
      <c r="AB63" s="55">
        <v>0</v>
      </c>
      <c r="AC63" s="56">
        <v>0</v>
      </c>
      <c r="AD63" s="56">
        <f t="shared" si="6"/>
        <v>0</v>
      </c>
      <c r="AE63" s="71">
        <v>0</v>
      </c>
      <c r="AF63" s="95">
        <f t="shared" si="7"/>
        <v>0</v>
      </c>
      <c r="AG63" s="57">
        <f t="shared" si="8"/>
        <v>0</v>
      </c>
      <c r="AI63"/>
    </row>
    <row r="64" spans="1:35">
      <c r="A64" s="1" t="s">
        <v>2</v>
      </c>
      <c r="B64" s="5" t="s">
        <v>114</v>
      </c>
      <c r="C64" s="20">
        <v>207625</v>
      </c>
      <c r="D64" s="21">
        <v>71065</v>
      </c>
      <c r="E64" s="21">
        <v>290991</v>
      </c>
      <c r="F64" s="21">
        <v>299346</v>
      </c>
      <c r="G64" s="21">
        <v>246240</v>
      </c>
      <c r="H64" s="21">
        <v>299377</v>
      </c>
      <c r="I64" s="21">
        <v>254758</v>
      </c>
      <c r="J64" s="21">
        <v>264577</v>
      </c>
      <c r="K64" s="21">
        <v>250348</v>
      </c>
      <c r="L64" s="21">
        <v>272765</v>
      </c>
      <c r="M64" s="21">
        <v>246378</v>
      </c>
      <c r="N64" s="21">
        <v>288982</v>
      </c>
      <c r="O64" s="21">
        <v>243114</v>
      </c>
      <c r="P64" s="21">
        <v>241764</v>
      </c>
      <c r="Q64" s="21">
        <v>287876</v>
      </c>
      <c r="R64" s="21">
        <v>239240</v>
      </c>
      <c r="S64" s="68">
        <v>235826</v>
      </c>
      <c r="T64" s="91">
        <f t="shared" si="5"/>
        <v>4240272</v>
      </c>
      <c r="U64" s="80">
        <v>372140</v>
      </c>
      <c r="V64" s="21">
        <v>292068</v>
      </c>
      <c r="W64" s="21">
        <v>84264</v>
      </c>
      <c r="X64" s="21">
        <v>86489</v>
      </c>
      <c r="Y64" s="21">
        <v>76739</v>
      </c>
      <c r="Z64" s="21">
        <v>38242</v>
      </c>
      <c r="AA64" s="21">
        <v>91645</v>
      </c>
      <c r="AB64" s="21">
        <v>63320</v>
      </c>
      <c r="AC64" s="22">
        <v>64355</v>
      </c>
      <c r="AD64" s="22">
        <f t="shared" si="6"/>
        <v>1169262</v>
      </c>
      <c r="AE64" s="68">
        <v>296756</v>
      </c>
      <c r="AF64" s="91">
        <f t="shared" si="7"/>
        <v>296756</v>
      </c>
      <c r="AG64" s="9">
        <f t="shared" si="8"/>
        <v>5706290</v>
      </c>
      <c r="AI64"/>
    </row>
    <row r="65" spans="1:35">
      <c r="A65" s="1" t="s">
        <v>2</v>
      </c>
      <c r="B65" s="26" t="s">
        <v>115</v>
      </c>
      <c r="C65" s="35">
        <v>1</v>
      </c>
      <c r="D65" s="36">
        <v>0</v>
      </c>
      <c r="E65" s="36">
        <v>1</v>
      </c>
      <c r="F65" s="36">
        <v>0</v>
      </c>
      <c r="G65" s="36">
        <v>1</v>
      </c>
      <c r="H65" s="36">
        <v>0</v>
      </c>
      <c r="I65" s="36">
        <v>0</v>
      </c>
      <c r="J65" s="36">
        <v>1</v>
      </c>
      <c r="K65" s="36">
        <v>0</v>
      </c>
      <c r="L65" s="36">
        <v>0</v>
      </c>
      <c r="M65" s="36">
        <v>0</v>
      </c>
      <c r="N65" s="36">
        <v>0</v>
      </c>
      <c r="O65" s="36">
        <v>0</v>
      </c>
      <c r="P65" s="36">
        <v>0</v>
      </c>
      <c r="Q65" s="36">
        <v>3</v>
      </c>
      <c r="R65" s="36">
        <v>0</v>
      </c>
      <c r="S65" s="67">
        <v>0</v>
      </c>
      <c r="T65" s="90"/>
      <c r="U65" s="79">
        <v>0</v>
      </c>
      <c r="V65" s="36">
        <v>1</v>
      </c>
      <c r="W65" s="36">
        <v>0</v>
      </c>
      <c r="X65" s="36">
        <v>0</v>
      </c>
      <c r="Y65" s="36">
        <v>1</v>
      </c>
      <c r="Z65" s="36">
        <v>1</v>
      </c>
      <c r="AA65" s="36">
        <v>1</v>
      </c>
      <c r="AB65" s="36">
        <v>1</v>
      </c>
      <c r="AC65" s="37">
        <v>1</v>
      </c>
      <c r="AD65" s="38"/>
      <c r="AE65" s="67">
        <v>0</v>
      </c>
      <c r="AF65" s="90"/>
      <c r="AG65" s="38"/>
      <c r="AI65"/>
    </row>
    <row r="66" spans="1:35" ht="19.5" thickBot="1">
      <c r="A66" s="1" t="s">
        <v>2</v>
      </c>
      <c r="B66" s="6" t="s">
        <v>116</v>
      </c>
      <c r="C66" s="23" t="s">
        <v>117</v>
      </c>
      <c r="D66" s="24" t="s">
        <v>117</v>
      </c>
      <c r="E66" s="24" t="s">
        <v>117</v>
      </c>
      <c r="F66" s="24" t="s">
        <v>117</v>
      </c>
      <c r="G66" s="24" t="s">
        <v>117</v>
      </c>
      <c r="H66" s="24" t="s">
        <v>117</v>
      </c>
      <c r="I66" s="24" t="s">
        <v>117</v>
      </c>
      <c r="J66" s="24" t="s">
        <v>117</v>
      </c>
      <c r="K66" s="24" t="s">
        <v>117</v>
      </c>
      <c r="L66" s="24" t="s">
        <v>117</v>
      </c>
      <c r="M66" s="24" t="s">
        <v>117</v>
      </c>
      <c r="N66" s="24" t="s">
        <v>117</v>
      </c>
      <c r="O66" s="24" t="s">
        <v>117</v>
      </c>
      <c r="P66" s="24" t="s">
        <v>117</v>
      </c>
      <c r="Q66" s="24" t="s">
        <v>117</v>
      </c>
      <c r="R66" s="24" t="s">
        <v>117</v>
      </c>
      <c r="S66" s="72" t="s">
        <v>117</v>
      </c>
      <c r="T66" s="96"/>
      <c r="U66" s="84" t="s">
        <v>117</v>
      </c>
      <c r="V66" s="24" t="s">
        <v>117</v>
      </c>
      <c r="W66" s="24" t="s">
        <v>117</v>
      </c>
      <c r="X66" s="24" t="s">
        <v>117</v>
      </c>
      <c r="Y66" s="24" t="s">
        <v>117</v>
      </c>
      <c r="Z66" s="24" t="s">
        <v>117</v>
      </c>
      <c r="AA66" s="24" t="s">
        <v>117</v>
      </c>
      <c r="AB66" s="24" t="s">
        <v>117</v>
      </c>
      <c r="AC66" s="25" t="s">
        <v>117</v>
      </c>
      <c r="AD66" s="10"/>
      <c r="AE66" s="72" t="s">
        <v>117</v>
      </c>
      <c r="AF66" s="96"/>
      <c r="AG66" s="10"/>
    </row>
  </sheetData>
  <phoneticPr fontId="4"/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2022年 2月度給与 (3)</vt:lpstr>
      <vt:lpstr>2022年 2月度給与 (4)</vt:lpstr>
      <vt:lpstr>2022年 2月度給与 (2)</vt:lpstr>
      <vt:lpstr>'2022年 2月度給与 (3)'!Print_Area</vt:lpstr>
      <vt:lpstr>'2022年 2月度給与 (4)'!Print_Area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2022-07-12T01:05:40Z</cp:lastPrinted>
  <dcterms:created xsi:type="dcterms:W3CDTF">2022-03-09T04:39:26Z</dcterms:created>
  <dcterms:modified xsi:type="dcterms:W3CDTF">2022-07-12T01:05:43Z</dcterms:modified>
</cp:coreProperties>
</file>