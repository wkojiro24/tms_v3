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2\"/>
    </mc:Choice>
  </mc:AlternateContent>
  <xr:revisionPtr revIDLastSave="0" documentId="13_ncr:1_{E924F9EB-C82B-40E9-B18D-4702AB19BA8D}" xr6:coauthVersionLast="47" xr6:coauthVersionMax="47" xr10:uidLastSave="{00000000-0000-0000-0000-000000000000}"/>
  <bookViews>
    <workbookView xWindow="-120" yWindow="-120" windowWidth="20730" windowHeight="11160" xr2:uid="{12FFF56E-96C1-4782-B279-4D0513866207}"/>
  </bookViews>
  <sheets>
    <sheet name="2022年 2月度給与 (2)" sheetId="3" r:id="rId1"/>
  </sheets>
  <definedNames>
    <definedName name="_xlnm.Print_Area" localSheetId="0">'2022年 2月度給与 (2)'!$A$1:$M$64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3" i="3" l="1"/>
  <c r="M18" i="3"/>
  <c r="M19" i="3"/>
  <c r="M20" i="3"/>
  <c r="M22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5" i="3"/>
  <c r="L24" i="3"/>
  <c r="L23" i="3"/>
  <c r="L16" i="3"/>
  <c r="M16" i="3" s="1"/>
  <c r="L17" i="3"/>
  <c r="M17" i="3" s="1"/>
  <c r="L15" i="3"/>
  <c r="M15" i="3" s="1"/>
  <c r="L8" i="3"/>
  <c r="M8" i="3" s="1"/>
  <c r="L9" i="3"/>
  <c r="M9" i="3" s="1"/>
  <c r="L10" i="3"/>
  <c r="L11" i="3"/>
  <c r="M11" i="3" s="1"/>
  <c r="L12" i="3"/>
  <c r="M12" i="3" s="1"/>
  <c r="L7" i="3"/>
  <c r="M7" i="3" s="1"/>
  <c r="L6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25" i="3"/>
  <c r="E24" i="3"/>
  <c r="E23" i="3"/>
  <c r="E21" i="3"/>
  <c r="M21" i="3" s="1"/>
  <c r="E14" i="3"/>
  <c r="M14" i="3" s="1"/>
  <c r="E10" i="3"/>
  <c r="E6" i="3"/>
  <c r="M10" i="3" l="1"/>
  <c r="M27" i="3"/>
  <c r="M60" i="3"/>
  <c r="M49" i="3"/>
  <c r="M46" i="3"/>
  <c r="M43" i="3"/>
  <c r="M35" i="3"/>
  <c r="M32" i="3"/>
  <c r="M24" i="3"/>
  <c r="M53" i="3"/>
  <c r="M39" i="3"/>
  <c r="M55" i="3"/>
  <c r="M48" i="3"/>
  <c r="M45" i="3"/>
  <c r="M42" i="3"/>
  <c r="M36" i="3"/>
  <c r="M31" i="3"/>
  <c r="M28" i="3"/>
  <c r="M25" i="3"/>
  <c r="M59" i="3"/>
  <c r="M52" i="3"/>
  <c r="M6" i="3"/>
  <c r="M62" i="3"/>
  <c r="M58" i="3"/>
  <c r="M57" i="3"/>
  <c r="M54" i="3"/>
  <c r="M51" i="3"/>
  <c r="M41" i="3"/>
  <c r="M38" i="3"/>
  <c r="M34" i="3"/>
  <c r="M26" i="3"/>
  <c r="M23" i="3"/>
  <c r="M56" i="3"/>
  <c r="M50" i="3"/>
  <c r="M47" i="3"/>
  <c r="M44" i="3"/>
  <c r="M40" i="3"/>
  <c r="M37" i="3"/>
  <c r="M33" i="3"/>
  <c r="M30" i="3"/>
  <c r="M29" i="3"/>
  <c r="M61" i="3"/>
</calcChain>
</file>

<file path=xl/sharedStrings.xml><?xml version="1.0" encoding="utf-8"?>
<sst xmlns="http://schemas.openxmlformats.org/spreadsheetml/2006/main" count="152" uniqueCount="84">
  <si>
    <t>支給控除一覧表</t>
    <phoneticPr fontId="4"/>
  </si>
  <si>
    <t>若林運送株式会社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</si>
  <si>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</si>
  <si>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</si>
  <si>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</si>
  <si>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</si>
  <si>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</si>
  <si>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</si>
  <si>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</si>
  <si>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</si>
  <si>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</si>
  <si>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</si>
  <si>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</si>
  <si>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</si>
  <si>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</si>
  <si>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</si>
  <si>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</si>
  <si>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</si>
  <si>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</si>
  <si>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</si>
  <si>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</si>
  <si>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</si>
  <si>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</si>
  <si>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</si>
  <si>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</si>
  <si>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</si>
  <si>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</si>
  <si>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</si>
  <si>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</si>
  <si>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</si>
  <si>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</si>
  <si>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</si>
  <si>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</si>
  <si>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</si>
  <si>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</si>
  <si>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</si>
  <si>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</si>
  <si>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</si>
  <si>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</si>
  <si>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</si>
  <si>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</si>
  <si>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</si>
  <si>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</si>
  <si>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</si>
  <si>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</si>
  <si>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</si>
  <si>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</si>
  <si>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</si>
  <si>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</si>
  <si>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</si>
  <si>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</si>
  <si>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</si>
  <si>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</si>
  <si>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</si>
  <si>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</si>
  <si>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</si>
  <si>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</si>
  <si>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</si>
  <si>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</si>
  <si>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</si>
  <si>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</si>
  <si>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</si>
  <si>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</si>
  <si>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</si>
  <si>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</si>
  <si>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</si>
  <si>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</si>
  <si>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</si>
  <si>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</si>
  <si>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</si>
  <si>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</si>
  <si>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</si>
  <si>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</si>
  <si>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</si>
  <si>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</si>
  <si>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</si>
  <si>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</si>
  <si>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</si>
  <si>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</si>
  <si>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2月度給与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</si>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</sst>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8" xfId="1" applyNumberFormat="1" applyFont="1" applyBorder="1"/>
    <xf numFmtId="49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0" fontId="2" fillId="0" borderId="29" xfId="1" applyFont="1" applyBorder="1"/>
    <xf numFmtId="0" fontId="2" fillId="0" borderId="30" xfId="1" applyFont="1" applyBorder="1" applyAlignment="1">
      <alignment horizontal="right"/>
    </xf>
    <xf numFmtId="2" fontId="2" fillId="0" borderId="31" xfId="1" applyNumberFormat="1" applyFont="1" applyBorder="1"/>
    <xf numFmtId="2" fontId="2" fillId="0" borderId="32" xfId="1" applyNumberFormat="1" applyFont="1" applyBorder="1"/>
    <xf numFmtId="176" fontId="2" fillId="0" borderId="32" xfId="1" applyNumberFormat="1" applyFont="1" applyBorder="1"/>
    <xf numFmtId="2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49" fontId="2" fillId="0" borderId="30" xfId="1" applyNumberFormat="1" applyFont="1" applyBorder="1"/>
    <xf numFmtId="0" fontId="2" fillId="0" borderId="35" xfId="1" applyFont="1" applyBorder="1"/>
    <xf numFmtId="177" fontId="2" fillId="0" borderId="8" xfId="1" applyNumberFormat="1" applyFont="1" applyBorder="1"/>
    <xf numFmtId="177" fontId="2" fillId="0" borderId="32" xfId="1" applyNumberFormat="1" applyFont="1" applyBorder="1"/>
    <xf numFmtId="49" fontId="2" fillId="0" borderId="36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49" fontId="2" fillId="0" borderId="37" xfId="1" applyNumberFormat="1" applyFont="1" applyBorder="1"/>
    <xf numFmtId="49" fontId="2" fillId="0" borderId="29" xfId="1" applyNumberFormat="1" applyFont="1" applyBorder="1" applyAlignment="1">
      <alignment horizontal="left"/>
    </xf>
    <xf numFmtId="49" fontId="2" fillId="0" borderId="30" xfId="1" applyNumberFormat="1" applyFont="1" applyBorder="1" applyAlignment="1">
      <alignment horizontal="right"/>
    </xf>
  </cellXfs>
  <cellStyles count="2">
    <cellStyle name="標準" xfId="0" builtinId="0"/>
    <cellStyle name="標準 2" xfId="1" xr:uid="{8B722E58-D8FB-45A5-BB72-EEB6277C3D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E33B-912D-4FA0-A05F-171CFD474DA4}">
  <sheetPr>
    <pageSetUpPr fitToPage="1"/>
  </sheetPr>
  <dimension ref="A1:O64"/>
  <sheetViews>
    <sheetView showZeros="0" tabSelected="1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13" width="11.875" style="2" customWidth="1"/>
    <col min="14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4" width="9" style="2"/>
    <col min="265" max="268" width="11.125" style="2" bestFit="1" customWidth="1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20" width="9" style="2"/>
    <col min="521" max="524" width="11.125" style="2" bestFit="1" customWidth="1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6" width="9" style="2"/>
    <col min="777" max="780" width="11.125" style="2" bestFit="1" customWidth="1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2" width="9" style="2"/>
    <col min="1033" max="1036" width="11.125" style="2" bestFit="1" customWidth="1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8" width="9" style="2"/>
    <col min="1289" max="1292" width="11.125" style="2" bestFit="1" customWidth="1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4" width="9" style="2"/>
    <col min="1545" max="1548" width="11.125" style="2" bestFit="1" customWidth="1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800" width="9" style="2"/>
    <col min="1801" max="1804" width="11.125" style="2" bestFit="1" customWidth="1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6" width="9" style="2"/>
    <col min="2057" max="2060" width="11.125" style="2" bestFit="1" customWidth="1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2" width="9" style="2"/>
    <col min="2313" max="2316" width="11.125" style="2" bestFit="1" customWidth="1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8" width="9" style="2"/>
    <col min="2569" max="2572" width="11.125" style="2" bestFit="1" customWidth="1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4" width="9" style="2"/>
    <col min="2825" max="2828" width="11.125" style="2" bestFit="1" customWidth="1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80" width="9" style="2"/>
    <col min="3081" max="3084" width="11.125" style="2" bestFit="1" customWidth="1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6" width="9" style="2"/>
    <col min="3337" max="3340" width="11.125" style="2" bestFit="1" customWidth="1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2" width="9" style="2"/>
    <col min="3593" max="3596" width="11.125" style="2" bestFit="1" customWidth="1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8" width="9" style="2"/>
    <col min="3849" max="3852" width="11.125" style="2" bestFit="1" customWidth="1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4" width="9" style="2"/>
    <col min="4105" max="4108" width="11.125" style="2" bestFit="1" customWidth="1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60" width="9" style="2"/>
    <col min="4361" max="4364" width="11.125" style="2" bestFit="1" customWidth="1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6" width="9" style="2"/>
    <col min="4617" max="4620" width="11.125" style="2" bestFit="1" customWidth="1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2" width="9" style="2"/>
    <col min="4873" max="4876" width="11.125" style="2" bestFit="1" customWidth="1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8" width="9" style="2"/>
    <col min="5129" max="5132" width="11.125" style="2" bestFit="1" customWidth="1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4" width="9" style="2"/>
    <col min="5385" max="5388" width="11.125" style="2" bestFit="1" customWidth="1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40" width="9" style="2"/>
    <col min="5641" max="5644" width="11.125" style="2" bestFit="1" customWidth="1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6" width="9" style="2"/>
    <col min="5897" max="5900" width="11.125" style="2" bestFit="1" customWidth="1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2" width="9" style="2"/>
    <col min="6153" max="6156" width="11.125" style="2" bestFit="1" customWidth="1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8" width="9" style="2"/>
    <col min="6409" max="6412" width="11.125" style="2" bestFit="1" customWidth="1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4" width="9" style="2"/>
    <col min="6665" max="6668" width="11.125" style="2" bestFit="1" customWidth="1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20" width="9" style="2"/>
    <col min="6921" max="6924" width="11.125" style="2" bestFit="1" customWidth="1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6" width="9" style="2"/>
    <col min="7177" max="7180" width="11.125" style="2" bestFit="1" customWidth="1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2" width="9" style="2"/>
    <col min="7433" max="7436" width="11.125" style="2" bestFit="1" customWidth="1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8" width="9" style="2"/>
    <col min="7689" max="7692" width="11.125" style="2" bestFit="1" customWidth="1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4" width="9" style="2"/>
    <col min="7945" max="7948" width="11.125" style="2" bestFit="1" customWidth="1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200" width="9" style="2"/>
    <col min="8201" max="8204" width="11.125" style="2" bestFit="1" customWidth="1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6" width="9" style="2"/>
    <col min="8457" max="8460" width="11.125" style="2" bestFit="1" customWidth="1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2" width="9" style="2"/>
    <col min="8713" max="8716" width="11.125" style="2" bestFit="1" customWidth="1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8" width="9" style="2"/>
    <col min="8969" max="8972" width="11.125" style="2" bestFit="1" customWidth="1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4" width="9" style="2"/>
    <col min="9225" max="9228" width="11.125" style="2" bestFit="1" customWidth="1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80" width="9" style="2"/>
    <col min="9481" max="9484" width="11.125" style="2" bestFit="1" customWidth="1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6" width="9" style="2"/>
    <col min="9737" max="9740" width="11.125" style="2" bestFit="1" customWidth="1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2" width="9" style="2"/>
    <col min="9993" max="9996" width="11.125" style="2" bestFit="1" customWidth="1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8" width="9" style="2"/>
    <col min="10249" max="10252" width="11.125" style="2" bestFit="1" customWidth="1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4" width="9" style="2"/>
    <col min="10505" max="10508" width="11.125" style="2" bestFit="1" customWidth="1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60" width="9" style="2"/>
    <col min="10761" max="10764" width="11.125" style="2" bestFit="1" customWidth="1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6" width="9" style="2"/>
    <col min="11017" max="11020" width="11.125" style="2" bestFit="1" customWidth="1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2" width="9" style="2"/>
    <col min="11273" max="11276" width="11.125" style="2" bestFit="1" customWidth="1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8" width="9" style="2"/>
    <col min="11529" max="11532" width="11.125" style="2" bestFit="1" customWidth="1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4" width="9" style="2"/>
    <col min="11785" max="11788" width="11.125" style="2" bestFit="1" customWidth="1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40" width="9" style="2"/>
    <col min="12041" max="12044" width="11.125" style="2" bestFit="1" customWidth="1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6" width="9" style="2"/>
    <col min="12297" max="12300" width="11.125" style="2" bestFit="1" customWidth="1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2" width="9" style="2"/>
    <col min="12553" max="12556" width="11.125" style="2" bestFit="1" customWidth="1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8" width="9" style="2"/>
    <col min="12809" max="12812" width="11.125" style="2" bestFit="1" customWidth="1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4" width="9" style="2"/>
    <col min="13065" max="13068" width="11.125" style="2" bestFit="1" customWidth="1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20" width="9" style="2"/>
    <col min="13321" max="13324" width="11.125" style="2" bestFit="1" customWidth="1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6" width="9" style="2"/>
    <col min="13577" max="13580" width="11.125" style="2" bestFit="1" customWidth="1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2" width="9" style="2"/>
    <col min="13833" max="13836" width="11.125" style="2" bestFit="1" customWidth="1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8" width="9" style="2"/>
    <col min="14089" max="14092" width="11.125" style="2" bestFit="1" customWidth="1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4" width="9" style="2"/>
    <col min="14345" max="14348" width="11.125" style="2" bestFit="1" customWidth="1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600" width="9" style="2"/>
    <col min="14601" max="14604" width="11.125" style="2" bestFit="1" customWidth="1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6" width="9" style="2"/>
    <col min="14857" max="14860" width="11.125" style="2" bestFit="1" customWidth="1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2" width="9" style="2"/>
    <col min="15113" max="15116" width="11.125" style="2" bestFit="1" customWidth="1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8" width="9" style="2"/>
    <col min="15369" max="15372" width="11.125" style="2" bestFit="1" customWidth="1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4" width="9" style="2"/>
    <col min="15625" max="15628" width="11.125" style="2" bestFit="1" customWidth="1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80" width="9" style="2"/>
    <col min="15881" max="15884" width="11.125" style="2" bestFit="1" customWidth="1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6" width="9" style="2"/>
    <col min="16137" max="16140" width="11.125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79</v>
      </c>
    </row>
    <row r="4" spans="1:15">
      <c r="B4" s="3"/>
      <c r="C4" s="7" t="s">
        <v>5</v>
      </c>
      <c r="D4" s="8" t="s">
        <v>10</v>
      </c>
      <c r="E4" s="49" t="s">
        <v>80</v>
      </c>
      <c r="F4" s="6" t="s">
        <v>3</v>
      </c>
      <c r="G4" s="7" t="s">
        <v>4</v>
      </c>
      <c r="H4" s="7" t="s">
        <v>6</v>
      </c>
      <c r="I4" s="7" t="s">
        <v>7</v>
      </c>
      <c r="J4" s="7" t="s">
        <v>8</v>
      </c>
      <c r="K4" s="65" t="s">
        <v>9</v>
      </c>
      <c r="L4" s="76" t="s">
        <v>80</v>
      </c>
      <c r="M4" s="51" t="s">
        <v>20</v>
      </c>
    </row>
    <row r="5" spans="1:15" ht="19.5" thickBot="1">
      <c r="A5" s="62"/>
      <c r="B5" s="25" t="s">
        <v>11</v>
      </c>
      <c r="C5" s="27" t="s">
        <v>14</v>
      </c>
      <c r="D5" s="28" t="s">
        <v>19</v>
      </c>
      <c r="E5" s="50" t="s">
        <v>81</v>
      </c>
      <c r="F5" s="26" t="s">
        <v>12</v>
      </c>
      <c r="G5" s="27" t="s">
        <v>13</v>
      </c>
      <c r="H5" s="27" t="s">
        <v>15</v>
      </c>
      <c r="I5" s="27" t="s">
        <v>16</v>
      </c>
      <c r="J5" s="27" t="s">
        <v>17</v>
      </c>
      <c r="K5" s="66" t="s">
        <v>18</v>
      </c>
      <c r="L5" s="77" t="s">
        <v>82</v>
      </c>
      <c r="M5" s="52" t="s">
        <v>83</v>
      </c>
    </row>
    <row r="6" spans="1:15">
      <c r="A6" s="1" t="s">
        <v>2</v>
      </c>
      <c r="B6" s="21" t="s">
        <v>21</v>
      </c>
      <c r="C6" s="23">
        <v>18</v>
      </c>
      <c r="D6" s="24">
        <v>9</v>
      </c>
      <c r="E6" s="43">
        <f>SUM(C6:D6)</f>
        <v>27</v>
      </c>
      <c r="F6" s="22">
        <v>18</v>
      </c>
      <c r="G6" s="23">
        <v>18</v>
      </c>
      <c r="H6" s="23">
        <v>17</v>
      </c>
      <c r="I6" s="23">
        <v>18</v>
      </c>
      <c r="J6" s="23">
        <v>14</v>
      </c>
      <c r="K6" s="67">
        <v>18</v>
      </c>
      <c r="L6" s="53">
        <f>SUM(F6:K6)</f>
        <v>103</v>
      </c>
      <c r="M6" s="53">
        <f>E6+L6</f>
        <v>130</v>
      </c>
      <c r="O6"/>
    </row>
    <row r="7" spans="1:15">
      <c r="A7" s="1" t="s">
        <v>2</v>
      </c>
      <c r="B7" s="4" t="s">
        <v>22</v>
      </c>
      <c r="C7" s="10">
        <v>0</v>
      </c>
      <c r="D7" s="11">
        <v>0</v>
      </c>
      <c r="E7" s="44"/>
      <c r="F7" s="9">
        <v>2</v>
      </c>
      <c r="G7" s="10">
        <v>3</v>
      </c>
      <c r="H7" s="10">
        <v>3</v>
      </c>
      <c r="I7" s="10">
        <v>4</v>
      </c>
      <c r="J7" s="10">
        <v>2</v>
      </c>
      <c r="K7" s="68">
        <v>3</v>
      </c>
      <c r="L7" s="54">
        <f>SUM(F7:K7)</f>
        <v>17</v>
      </c>
      <c r="M7" s="54">
        <f t="shared" ref="M7:M55" si="0">E7+L7</f>
        <v>17</v>
      </c>
      <c r="O7"/>
    </row>
    <row r="8" spans="1:15">
      <c r="A8" s="1" t="s">
        <v>2</v>
      </c>
      <c r="B8" s="4" t="s">
        <v>23</v>
      </c>
      <c r="C8" s="10">
        <v>0</v>
      </c>
      <c r="D8" s="11">
        <v>0</v>
      </c>
      <c r="E8" s="44"/>
      <c r="F8" s="9">
        <v>1</v>
      </c>
      <c r="G8" s="10">
        <v>0</v>
      </c>
      <c r="H8" s="10">
        <v>0</v>
      </c>
      <c r="I8" s="10">
        <v>1</v>
      </c>
      <c r="J8" s="10">
        <v>2</v>
      </c>
      <c r="K8" s="68">
        <v>2</v>
      </c>
      <c r="L8" s="54">
        <f t="shared" ref="L8:L12" si="1">SUM(F8:K8)</f>
        <v>6</v>
      </c>
      <c r="M8" s="54">
        <f t="shared" si="0"/>
        <v>6</v>
      </c>
      <c r="O8"/>
    </row>
    <row r="9" spans="1:15">
      <c r="A9" s="1" t="s">
        <v>2</v>
      </c>
      <c r="B9" s="4" t="s">
        <v>24</v>
      </c>
      <c r="C9" s="10">
        <v>0</v>
      </c>
      <c r="D9" s="11">
        <v>0</v>
      </c>
      <c r="E9" s="44"/>
      <c r="F9" s="9">
        <v>0</v>
      </c>
      <c r="G9" s="10">
        <v>0</v>
      </c>
      <c r="H9" s="10">
        <v>0</v>
      </c>
      <c r="I9" s="10">
        <v>0</v>
      </c>
      <c r="J9" s="10">
        <v>0</v>
      </c>
      <c r="K9" s="68">
        <v>0</v>
      </c>
      <c r="L9" s="54">
        <f t="shared" si="1"/>
        <v>0</v>
      </c>
      <c r="M9" s="54">
        <f t="shared" si="0"/>
        <v>0</v>
      </c>
      <c r="O9"/>
    </row>
    <row r="10" spans="1:15">
      <c r="A10" s="1" t="s">
        <v>2</v>
      </c>
      <c r="B10" s="4" t="s">
        <v>25</v>
      </c>
      <c r="C10" s="10">
        <v>0</v>
      </c>
      <c r="D10" s="11">
        <v>1</v>
      </c>
      <c r="E10" s="44">
        <f>SUM(C10:D10)</f>
        <v>1</v>
      </c>
      <c r="F10" s="9">
        <v>0</v>
      </c>
      <c r="G10" s="10">
        <v>0</v>
      </c>
      <c r="H10" s="10">
        <v>1</v>
      </c>
      <c r="I10" s="10">
        <v>0</v>
      </c>
      <c r="J10" s="10">
        <v>0</v>
      </c>
      <c r="K10" s="68">
        <v>0</v>
      </c>
      <c r="L10" s="54">
        <f t="shared" si="1"/>
        <v>1</v>
      </c>
      <c r="M10" s="54">
        <f t="shared" si="0"/>
        <v>2</v>
      </c>
      <c r="O10"/>
    </row>
    <row r="11" spans="1:15">
      <c r="A11" s="1" t="s">
        <v>2</v>
      </c>
      <c r="B11" s="4" t="s">
        <v>26</v>
      </c>
      <c r="C11" s="10">
        <v>0</v>
      </c>
      <c r="D11" s="11">
        <v>0</v>
      </c>
      <c r="E11" s="44"/>
      <c r="F11" s="9">
        <v>0</v>
      </c>
      <c r="G11" s="10">
        <v>0</v>
      </c>
      <c r="H11" s="10">
        <v>0</v>
      </c>
      <c r="I11" s="10">
        <v>0</v>
      </c>
      <c r="J11" s="10">
        <v>0</v>
      </c>
      <c r="K11" s="68">
        <v>0</v>
      </c>
      <c r="L11" s="54">
        <f t="shared" si="1"/>
        <v>0</v>
      </c>
      <c r="M11" s="54">
        <f t="shared" si="0"/>
        <v>0</v>
      </c>
      <c r="O11"/>
    </row>
    <row r="12" spans="1:15">
      <c r="A12" s="1" t="s">
        <v>2</v>
      </c>
      <c r="B12" s="4" t="s">
        <v>27</v>
      </c>
      <c r="C12" s="10">
        <v>0</v>
      </c>
      <c r="D12" s="11">
        <v>0</v>
      </c>
      <c r="E12" s="44"/>
      <c r="F12" s="9">
        <v>0</v>
      </c>
      <c r="G12" s="10">
        <v>0</v>
      </c>
      <c r="H12" s="10">
        <v>0</v>
      </c>
      <c r="I12" s="10">
        <v>0</v>
      </c>
      <c r="J12" s="10">
        <v>4</v>
      </c>
      <c r="K12" s="68">
        <v>0</v>
      </c>
      <c r="L12" s="54">
        <f t="shared" si="1"/>
        <v>4</v>
      </c>
      <c r="M12" s="54">
        <f t="shared" si="0"/>
        <v>4</v>
      </c>
      <c r="O12"/>
    </row>
    <row r="13" spans="1:15">
      <c r="A13" s="1" t="s">
        <v>2</v>
      </c>
      <c r="B13" s="4" t="s">
        <v>28</v>
      </c>
      <c r="C13" s="10">
        <v>0</v>
      </c>
      <c r="D13" s="11">
        <v>0</v>
      </c>
      <c r="E13" s="44"/>
      <c r="F13" s="9">
        <v>0</v>
      </c>
      <c r="G13" s="10">
        <v>0</v>
      </c>
      <c r="H13" s="10">
        <v>0</v>
      </c>
      <c r="I13" s="10">
        <v>0</v>
      </c>
      <c r="J13" s="10">
        <v>0</v>
      </c>
      <c r="K13" s="68">
        <v>0</v>
      </c>
      <c r="L13" s="54"/>
      <c r="M13" s="54">
        <f t="shared" si="0"/>
        <v>0</v>
      </c>
      <c r="O13"/>
    </row>
    <row r="14" spans="1:15">
      <c r="A14" s="1" t="s">
        <v>2</v>
      </c>
      <c r="B14" s="4" t="s">
        <v>29</v>
      </c>
      <c r="C14" s="13">
        <v>0</v>
      </c>
      <c r="D14" s="14">
        <v>2.625</v>
      </c>
      <c r="E14" s="45">
        <f>SUM(C14:D14)</f>
        <v>2.625</v>
      </c>
      <c r="F14" s="12">
        <v>0</v>
      </c>
      <c r="G14" s="13">
        <v>0</v>
      </c>
      <c r="H14" s="13">
        <v>0</v>
      </c>
      <c r="I14" s="13">
        <v>0</v>
      </c>
      <c r="J14" s="13">
        <v>0</v>
      </c>
      <c r="K14" s="69">
        <v>0</v>
      </c>
      <c r="L14" s="55"/>
      <c r="M14" s="55">
        <f t="shared" si="0"/>
        <v>2.625</v>
      </c>
      <c r="O14"/>
    </row>
    <row r="15" spans="1:15">
      <c r="A15" s="1" t="s">
        <v>2</v>
      </c>
      <c r="B15" s="4" t="s">
        <v>30</v>
      </c>
      <c r="C15" s="13">
        <v>0</v>
      </c>
      <c r="D15" s="14">
        <v>0</v>
      </c>
      <c r="E15" s="45"/>
      <c r="F15" s="12">
        <v>1.9583333333333335</v>
      </c>
      <c r="G15" s="13">
        <v>1.625</v>
      </c>
      <c r="H15" s="13">
        <v>0.79166666666666663</v>
      </c>
      <c r="I15" s="13">
        <v>1.6666666666666665</v>
      </c>
      <c r="J15" s="13">
        <v>0.91666666666666663</v>
      </c>
      <c r="K15" s="69">
        <v>1.6666666666666665</v>
      </c>
      <c r="L15" s="55">
        <f>SUM(F15:K15)</f>
        <v>8.625</v>
      </c>
      <c r="M15" s="55">
        <f t="shared" si="0"/>
        <v>8.625</v>
      </c>
      <c r="O15"/>
    </row>
    <row r="16" spans="1:15">
      <c r="A16" s="1" t="s">
        <v>2</v>
      </c>
      <c r="B16" s="4" t="s">
        <v>31</v>
      </c>
      <c r="C16" s="13">
        <v>0</v>
      </c>
      <c r="D16" s="14">
        <v>0</v>
      </c>
      <c r="E16" s="45"/>
      <c r="F16" s="12">
        <v>0.54166666666666663</v>
      </c>
      <c r="G16" s="13">
        <v>0.83333333333333337</v>
      </c>
      <c r="H16" s="13">
        <v>0.95833333333333337</v>
      </c>
      <c r="I16" s="13">
        <v>0.95833333333333337</v>
      </c>
      <c r="J16" s="13">
        <v>0.625</v>
      </c>
      <c r="K16" s="69">
        <v>1.2083333333333333</v>
      </c>
      <c r="L16" s="55">
        <f t="shared" ref="L16:L17" si="2">SUM(F16:K16)</f>
        <v>5.125</v>
      </c>
      <c r="M16" s="55">
        <f t="shared" si="0"/>
        <v>5.125</v>
      </c>
      <c r="O16"/>
    </row>
    <row r="17" spans="1:15">
      <c r="A17" s="1" t="s">
        <v>2</v>
      </c>
      <c r="B17" s="4" t="s">
        <v>32</v>
      </c>
      <c r="C17" s="13">
        <v>0</v>
      </c>
      <c r="D17" s="14">
        <v>0</v>
      </c>
      <c r="E17" s="45"/>
      <c r="F17" s="12">
        <v>0.16666666666666666</v>
      </c>
      <c r="G17" s="13">
        <v>0</v>
      </c>
      <c r="H17" s="13">
        <v>0</v>
      </c>
      <c r="I17" s="13">
        <v>0.41666666666666669</v>
      </c>
      <c r="J17" s="13">
        <v>0.75</v>
      </c>
      <c r="K17" s="69">
        <v>0.66666666666666663</v>
      </c>
      <c r="L17" s="55">
        <f t="shared" si="2"/>
        <v>2</v>
      </c>
      <c r="M17" s="55">
        <f t="shared" si="0"/>
        <v>2</v>
      </c>
      <c r="O17"/>
    </row>
    <row r="18" spans="1:15">
      <c r="A18" s="1" t="s">
        <v>2</v>
      </c>
      <c r="B18" s="4" t="s">
        <v>33</v>
      </c>
      <c r="C18" s="13">
        <v>0</v>
      </c>
      <c r="D18" s="14">
        <v>0</v>
      </c>
      <c r="E18" s="45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69">
        <v>0</v>
      </c>
      <c r="L18" s="55"/>
      <c r="M18" s="55">
        <f t="shared" si="0"/>
        <v>0</v>
      </c>
      <c r="O18"/>
    </row>
    <row r="19" spans="1:15">
      <c r="A19" s="1" t="s">
        <v>2</v>
      </c>
      <c r="B19" s="4" t="s">
        <v>34</v>
      </c>
      <c r="C19" s="13">
        <v>0</v>
      </c>
      <c r="D19" s="14">
        <v>0</v>
      </c>
      <c r="E19" s="45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69">
        <v>0</v>
      </c>
      <c r="L19" s="55"/>
      <c r="M19" s="55">
        <f t="shared" si="0"/>
        <v>0</v>
      </c>
      <c r="O19"/>
    </row>
    <row r="20" spans="1:15">
      <c r="A20" s="1" t="s">
        <v>2</v>
      </c>
      <c r="B20" s="4" t="s">
        <v>35</v>
      </c>
      <c r="C20" s="13">
        <v>0</v>
      </c>
      <c r="D20" s="14">
        <v>0</v>
      </c>
      <c r="E20" s="45"/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69">
        <v>0</v>
      </c>
      <c r="L20" s="55"/>
      <c r="M20" s="55">
        <f t="shared" si="0"/>
        <v>0</v>
      </c>
      <c r="O20"/>
    </row>
    <row r="21" spans="1:15">
      <c r="A21" s="1" t="s">
        <v>2</v>
      </c>
      <c r="B21" s="4" t="s">
        <v>36</v>
      </c>
      <c r="C21" s="13">
        <v>0</v>
      </c>
      <c r="D21" s="14">
        <v>0.29166666666666669</v>
      </c>
      <c r="E21" s="45">
        <f>SUM(C21:D21)</f>
        <v>0.29166666666666669</v>
      </c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69">
        <v>0</v>
      </c>
      <c r="L21" s="55"/>
      <c r="M21" s="55">
        <f t="shared" si="0"/>
        <v>0.29166666666666669</v>
      </c>
      <c r="O21"/>
    </row>
    <row r="22" spans="1:15">
      <c r="A22" s="1" t="s">
        <v>2</v>
      </c>
      <c r="B22" s="4" t="s">
        <v>37</v>
      </c>
      <c r="C22" s="13">
        <v>0</v>
      </c>
      <c r="D22" s="14">
        <v>0</v>
      </c>
      <c r="E22" s="45"/>
      <c r="F22" s="12">
        <v>0</v>
      </c>
      <c r="G22" s="13">
        <v>0</v>
      </c>
      <c r="H22" s="13">
        <v>0</v>
      </c>
      <c r="I22" s="13">
        <v>0</v>
      </c>
      <c r="J22" s="13">
        <v>0</v>
      </c>
      <c r="K22" s="69">
        <v>0</v>
      </c>
      <c r="L22" s="55"/>
      <c r="M22" s="55">
        <f t="shared" si="0"/>
        <v>0</v>
      </c>
      <c r="O22"/>
    </row>
    <row r="23" spans="1:15">
      <c r="A23" s="1" t="s">
        <v>2</v>
      </c>
      <c r="B23" s="4" t="s">
        <v>38</v>
      </c>
      <c r="C23" s="13">
        <v>4.1666666666666664E-2</v>
      </c>
      <c r="D23" s="14">
        <v>0</v>
      </c>
      <c r="E23" s="45">
        <f>SUM(C23:D23)</f>
        <v>4.1666666666666664E-2</v>
      </c>
      <c r="F23" s="12">
        <v>0.625</v>
      </c>
      <c r="G23" s="13">
        <v>0.625</v>
      </c>
      <c r="H23" s="13">
        <v>0.125</v>
      </c>
      <c r="I23" s="13">
        <v>0.70833333333333337</v>
      </c>
      <c r="J23" s="13">
        <v>8.3333333333333329E-2</v>
      </c>
      <c r="K23" s="69">
        <v>0.29166666666666669</v>
      </c>
      <c r="L23" s="55">
        <f>SUM(F23:K23)</f>
        <v>2.4583333333333335</v>
      </c>
      <c r="M23" s="55">
        <f t="shared" si="0"/>
        <v>2.5</v>
      </c>
      <c r="O23"/>
    </row>
    <row r="24" spans="1:15" ht="19.5" thickBot="1">
      <c r="A24" s="1" t="s">
        <v>2</v>
      </c>
      <c r="B24" s="5" t="s">
        <v>39</v>
      </c>
      <c r="C24" s="33">
        <v>37</v>
      </c>
      <c r="D24" s="34">
        <v>11</v>
      </c>
      <c r="E24" s="46">
        <f>SUM(C24:D24)</f>
        <v>48</v>
      </c>
      <c r="F24" s="32">
        <v>29</v>
      </c>
      <c r="G24" s="33">
        <v>28</v>
      </c>
      <c r="H24" s="33">
        <v>22</v>
      </c>
      <c r="I24" s="33">
        <v>19</v>
      </c>
      <c r="J24" s="33">
        <v>25</v>
      </c>
      <c r="K24" s="70">
        <v>24</v>
      </c>
      <c r="L24" s="56">
        <f>SUM(F24:K24)</f>
        <v>147</v>
      </c>
      <c r="M24" s="56">
        <f t="shared" si="0"/>
        <v>195</v>
      </c>
      <c r="O24"/>
    </row>
    <row r="25" spans="1:15">
      <c r="A25" s="1" t="s">
        <v>2</v>
      </c>
      <c r="B25" s="21" t="s">
        <v>40</v>
      </c>
      <c r="C25" s="30">
        <v>355000</v>
      </c>
      <c r="D25" s="31">
        <v>0</v>
      </c>
      <c r="E25" s="31">
        <f>SUM(C25:D25)</f>
        <v>355000</v>
      </c>
      <c r="F25" s="29">
        <v>177000</v>
      </c>
      <c r="G25" s="30">
        <v>192000</v>
      </c>
      <c r="H25" s="30">
        <v>177000</v>
      </c>
      <c r="I25" s="30">
        <v>177000</v>
      </c>
      <c r="J25" s="30">
        <v>177000</v>
      </c>
      <c r="K25" s="71">
        <v>170000</v>
      </c>
      <c r="L25" s="57">
        <f>SUM(F25:K25)</f>
        <v>1070000</v>
      </c>
      <c r="M25" s="57">
        <f t="shared" si="0"/>
        <v>1425000</v>
      </c>
      <c r="O25"/>
    </row>
    <row r="26" spans="1:15">
      <c r="A26" s="1" t="s">
        <v>2</v>
      </c>
      <c r="B26" s="4" t="s">
        <v>41</v>
      </c>
      <c r="C26" s="16">
        <v>0</v>
      </c>
      <c r="D26" s="17">
        <v>0</v>
      </c>
      <c r="E26" s="17">
        <f t="shared" ref="E26:E62" si="3">SUM(C26:D26)</f>
        <v>0</v>
      </c>
      <c r="F26" s="15">
        <v>0</v>
      </c>
      <c r="G26" s="16">
        <v>5000</v>
      </c>
      <c r="H26" s="16">
        <v>0</v>
      </c>
      <c r="I26" s="16">
        <v>0</v>
      </c>
      <c r="J26" s="16">
        <v>0</v>
      </c>
      <c r="K26" s="72">
        <v>0</v>
      </c>
      <c r="L26" s="58">
        <f t="shared" ref="L26:L62" si="4">SUM(F26:K26)</f>
        <v>5000</v>
      </c>
      <c r="M26" s="58">
        <f t="shared" si="0"/>
        <v>5000</v>
      </c>
      <c r="O26"/>
    </row>
    <row r="27" spans="1:15">
      <c r="A27" s="1" t="s">
        <v>2</v>
      </c>
      <c r="B27" s="4" t="s">
        <v>42</v>
      </c>
      <c r="C27" s="16">
        <v>0</v>
      </c>
      <c r="D27" s="17">
        <v>0</v>
      </c>
      <c r="E27" s="17">
        <f t="shared" si="3"/>
        <v>0</v>
      </c>
      <c r="F27" s="15">
        <v>6000</v>
      </c>
      <c r="G27" s="16">
        <v>0</v>
      </c>
      <c r="H27" s="16">
        <v>3000</v>
      </c>
      <c r="I27" s="16">
        <v>0</v>
      </c>
      <c r="J27" s="16">
        <v>0</v>
      </c>
      <c r="K27" s="72">
        <v>0</v>
      </c>
      <c r="L27" s="58">
        <f t="shared" si="4"/>
        <v>9000</v>
      </c>
      <c r="M27" s="58">
        <f t="shared" si="0"/>
        <v>9000</v>
      </c>
      <c r="O27"/>
    </row>
    <row r="28" spans="1:15">
      <c r="A28" s="1" t="s">
        <v>2</v>
      </c>
      <c r="B28" s="4" t="s">
        <v>43</v>
      </c>
      <c r="C28" s="16">
        <v>50000</v>
      </c>
      <c r="D28" s="17">
        <v>0</v>
      </c>
      <c r="E28" s="17">
        <f t="shared" si="3"/>
        <v>50000</v>
      </c>
      <c r="F28" s="15">
        <v>50000</v>
      </c>
      <c r="G28" s="16">
        <v>50000</v>
      </c>
      <c r="H28" s="16">
        <v>50000</v>
      </c>
      <c r="I28" s="16">
        <v>50000</v>
      </c>
      <c r="J28" s="16">
        <v>50000</v>
      </c>
      <c r="K28" s="72">
        <v>50000</v>
      </c>
      <c r="L28" s="58">
        <f t="shared" si="4"/>
        <v>300000</v>
      </c>
      <c r="M28" s="58">
        <f t="shared" si="0"/>
        <v>350000</v>
      </c>
      <c r="O28"/>
    </row>
    <row r="29" spans="1:15">
      <c r="A29" s="1" t="s">
        <v>2</v>
      </c>
      <c r="B29" s="4" t="s">
        <v>44</v>
      </c>
      <c r="C29" s="16">
        <v>0</v>
      </c>
      <c r="D29" s="17">
        <v>0</v>
      </c>
      <c r="E29" s="17">
        <f t="shared" si="3"/>
        <v>0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72">
        <v>0</v>
      </c>
      <c r="L29" s="58">
        <f t="shared" si="4"/>
        <v>0</v>
      </c>
      <c r="M29" s="58">
        <f t="shared" si="0"/>
        <v>0</v>
      </c>
      <c r="O29"/>
    </row>
    <row r="30" spans="1:15">
      <c r="A30" s="1" t="s">
        <v>2</v>
      </c>
      <c r="B30" s="4" t="s">
        <v>45</v>
      </c>
      <c r="C30" s="16">
        <v>0</v>
      </c>
      <c r="D30" s="17">
        <v>71820</v>
      </c>
      <c r="E30" s="17">
        <f t="shared" si="3"/>
        <v>71820</v>
      </c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72">
        <v>0</v>
      </c>
      <c r="L30" s="58">
        <f t="shared" si="4"/>
        <v>0</v>
      </c>
      <c r="M30" s="58">
        <f t="shared" si="0"/>
        <v>71820</v>
      </c>
      <c r="O30"/>
    </row>
    <row r="31" spans="1:15">
      <c r="A31" s="1" t="s">
        <v>2</v>
      </c>
      <c r="B31" s="4" t="s">
        <v>46</v>
      </c>
      <c r="C31" s="16">
        <v>0</v>
      </c>
      <c r="D31" s="17">
        <v>0</v>
      </c>
      <c r="E31" s="17">
        <f t="shared" si="3"/>
        <v>0</v>
      </c>
      <c r="F31" s="15">
        <v>0</v>
      </c>
      <c r="G31" s="16">
        <v>0</v>
      </c>
      <c r="H31" s="16">
        <v>0</v>
      </c>
      <c r="I31" s="16">
        <v>0</v>
      </c>
      <c r="J31" s="16">
        <v>0</v>
      </c>
      <c r="K31" s="72">
        <v>0</v>
      </c>
      <c r="L31" s="58">
        <f t="shared" si="4"/>
        <v>0</v>
      </c>
      <c r="M31" s="58">
        <f t="shared" si="0"/>
        <v>0</v>
      </c>
      <c r="O31"/>
    </row>
    <row r="32" spans="1:15">
      <c r="A32" s="1" t="s">
        <v>2</v>
      </c>
      <c r="B32" s="4" t="s">
        <v>47</v>
      </c>
      <c r="C32" s="16">
        <v>0</v>
      </c>
      <c r="D32" s="17">
        <v>0</v>
      </c>
      <c r="E32" s="17">
        <f t="shared" si="3"/>
        <v>0</v>
      </c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72">
        <v>0</v>
      </c>
      <c r="L32" s="58">
        <f t="shared" si="4"/>
        <v>0</v>
      </c>
      <c r="M32" s="58">
        <f t="shared" si="0"/>
        <v>0</v>
      </c>
      <c r="O32"/>
    </row>
    <row r="33" spans="1:15">
      <c r="A33" s="1" t="s">
        <v>2</v>
      </c>
      <c r="B33" s="4" t="s">
        <v>48</v>
      </c>
      <c r="C33" s="16">
        <v>0</v>
      </c>
      <c r="D33" s="17">
        <v>0</v>
      </c>
      <c r="E33" s="17">
        <f t="shared" si="3"/>
        <v>0</v>
      </c>
      <c r="F33" s="15">
        <v>1000</v>
      </c>
      <c r="G33" s="16">
        <v>1000</v>
      </c>
      <c r="H33" s="16">
        <v>1000</v>
      </c>
      <c r="I33" s="16">
        <v>1000</v>
      </c>
      <c r="J33" s="16">
        <v>1000</v>
      </c>
      <c r="K33" s="72">
        <v>1000</v>
      </c>
      <c r="L33" s="58">
        <f t="shared" si="4"/>
        <v>6000</v>
      </c>
      <c r="M33" s="58">
        <f t="shared" si="0"/>
        <v>6000</v>
      </c>
      <c r="O33"/>
    </row>
    <row r="34" spans="1:15">
      <c r="A34" s="1" t="s">
        <v>2</v>
      </c>
      <c r="B34" s="4" t="s">
        <v>49</v>
      </c>
      <c r="C34" s="16">
        <v>0</v>
      </c>
      <c r="D34" s="17">
        <v>7980</v>
      </c>
      <c r="E34" s="17">
        <f t="shared" si="3"/>
        <v>7980</v>
      </c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72">
        <v>0</v>
      </c>
      <c r="L34" s="58">
        <f t="shared" si="4"/>
        <v>0</v>
      </c>
      <c r="M34" s="58">
        <f t="shared" si="0"/>
        <v>7980</v>
      </c>
      <c r="O34"/>
    </row>
    <row r="35" spans="1:15">
      <c r="A35" s="1" t="s">
        <v>2</v>
      </c>
      <c r="B35" s="4" t="s">
        <v>50</v>
      </c>
      <c r="C35" s="16">
        <v>0</v>
      </c>
      <c r="D35" s="17">
        <v>0</v>
      </c>
      <c r="E35" s="17">
        <f t="shared" si="3"/>
        <v>0</v>
      </c>
      <c r="F35" s="15">
        <v>0</v>
      </c>
      <c r="G35" s="16">
        <v>0</v>
      </c>
      <c r="H35" s="16">
        <v>0</v>
      </c>
      <c r="I35" s="16">
        <v>0</v>
      </c>
      <c r="J35" s="16">
        <v>0</v>
      </c>
      <c r="K35" s="72">
        <v>0</v>
      </c>
      <c r="L35" s="58">
        <f t="shared" si="4"/>
        <v>0</v>
      </c>
      <c r="M35" s="58">
        <f t="shared" si="0"/>
        <v>0</v>
      </c>
      <c r="O35"/>
    </row>
    <row r="36" spans="1:15">
      <c r="A36" s="1" t="s">
        <v>2</v>
      </c>
      <c r="B36" s="4" t="s">
        <v>51</v>
      </c>
      <c r="C36" s="16">
        <v>0</v>
      </c>
      <c r="D36" s="17">
        <v>0</v>
      </c>
      <c r="E36" s="17">
        <f t="shared" si="3"/>
        <v>0</v>
      </c>
      <c r="F36" s="15">
        <v>27100</v>
      </c>
      <c r="G36" s="16">
        <v>10500</v>
      </c>
      <c r="H36" s="16">
        <v>13500</v>
      </c>
      <c r="I36" s="16">
        <v>13000</v>
      </c>
      <c r="J36" s="16">
        <v>13000</v>
      </c>
      <c r="K36" s="72">
        <v>15000</v>
      </c>
      <c r="L36" s="58">
        <f t="shared" si="4"/>
        <v>92100</v>
      </c>
      <c r="M36" s="58">
        <f t="shared" si="0"/>
        <v>92100</v>
      </c>
      <c r="O36"/>
    </row>
    <row r="37" spans="1:15">
      <c r="A37" s="1" t="s">
        <v>2</v>
      </c>
      <c r="B37" s="4" t="s">
        <v>52</v>
      </c>
      <c r="C37" s="16">
        <v>0</v>
      </c>
      <c r="D37" s="17">
        <v>0</v>
      </c>
      <c r="E37" s="17">
        <f t="shared" si="3"/>
        <v>0</v>
      </c>
      <c r="F37" s="15">
        <v>0</v>
      </c>
      <c r="G37" s="16">
        <v>0</v>
      </c>
      <c r="H37" s="16">
        <v>0</v>
      </c>
      <c r="I37" s="16">
        <v>0</v>
      </c>
      <c r="J37" s="16">
        <v>0</v>
      </c>
      <c r="K37" s="72">
        <v>0</v>
      </c>
      <c r="L37" s="58">
        <f t="shared" si="4"/>
        <v>0</v>
      </c>
      <c r="M37" s="58">
        <f t="shared" si="0"/>
        <v>0</v>
      </c>
      <c r="O37"/>
    </row>
    <row r="38" spans="1:15">
      <c r="A38" s="1" t="s">
        <v>2</v>
      </c>
      <c r="B38" s="4" t="s">
        <v>53</v>
      </c>
      <c r="C38" s="16">
        <v>0</v>
      </c>
      <c r="D38" s="17">
        <v>0</v>
      </c>
      <c r="E38" s="17">
        <f t="shared" si="3"/>
        <v>0</v>
      </c>
      <c r="F38" s="15">
        <v>0</v>
      </c>
      <c r="G38" s="16">
        <v>0</v>
      </c>
      <c r="H38" s="16">
        <v>0</v>
      </c>
      <c r="I38" s="16">
        <v>0</v>
      </c>
      <c r="J38" s="63">
        <v>-46124</v>
      </c>
      <c r="K38" s="72">
        <v>0</v>
      </c>
      <c r="L38" s="64">
        <f t="shared" si="4"/>
        <v>-46124</v>
      </c>
      <c r="M38" s="64">
        <f t="shared" si="0"/>
        <v>-46124</v>
      </c>
      <c r="O38"/>
    </row>
    <row r="39" spans="1:15">
      <c r="A39" s="1" t="s">
        <v>2</v>
      </c>
      <c r="B39" s="4" t="s">
        <v>30</v>
      </c>
      <c r="C39" s="16">
        <v>0</v>
      </c>
      <c r="D39" s="17">
        <v>0</v>
      </c>
      <c r="E39" s="17">
        <f t="shared" si="3"/>
        <v>0</v>
      </c>
      <c r="F39" s="15">
        <v>91838</v>
      </c>
      <c r="G39" s="16">
        <v>75465</v>
      </c>
      <c r="H39" s="16">
        <v>34770</v>
      </c>
      <c r="I39" s="16">
        <v>72160</v>
      </c>
      <c r="J39" s="16">
        <v>39688</v>
      </c>
      <c r="K39" s="72">
        <v>70640</v>
      </c>
      <c r="L39" s="58">
        <f t="shared" si="4"/>
        <v>384561</v>
      </c>
      <c r="M39" s="58">
        <f t="shared" si="0"/>
        <v>384561</v>
      </c>
      <c r="O39"/>
    </row>
    <row r="40" spans="1:15">
      <c r="A40" s="1" t="s">
        <v>2</v>
      </c>
      <c r="B40" s="4" t="s">
        <v>54</v>
      </c>
      <c r="C40" s="16">
        <v>0</v>
      </c>
      <c r="D40" s="17">
        <v>0</v>
      </c>
      <c r="E40" s="17">
        <f t="shared" si="3"/>
        <v>0</v>
      </c>
      <c r="F40" s="15">
        <v>27430</v>
      </c>
      <c r="G40" s="16">
        <v>41800</v>
      </c>
      <c r="H40" s="16">
        <v>45448</v>
      </c>
      <c r="I40" s="16">
        <v>44804</v>
      </c>
      <c r="J40" s="16">
        <v>29220</v>
      </c>
      <c r="K40" s="72">
        <v>55332</v>
      </c>
      <c r="L40" s="58">
        <f t="shared" si="4"/>
        <v>244034</v>
      </c>
      <c r="M40" s="58">
        <f t="shared" si="0"/>
        <v>244034</v>
      </c>
      <c r="O40"/>
    </row>
    <row r="41" spans="1:15">
      <c r="A41" s="1" t="s">
        <v>2</v>
      </c>
      <c r="B41" s="4" t="s">
        <v>55</v>
      </c>
      <c r="C41" s="16">
        <v>0</v>
      </c>
      <c r="D41" s="17">
        <v>0</v>
      </c>
      <c r="E41" s="17">
        <f t="shared" si="3"/>
        <v>0</v>
      </c>
      <c r="F41" s="15">
        <v>8440</v>
      </c>
      <c r="G41" s="16">
        <v>0</v>
      </c>
      <c r="H41" s="16">
        <v>0</v>
      </c>
      <c r="I41" s="16">
        <v>19480</v>
      </c>
      <c r="J41" s="16">
        <v>35064</v>
      </c>
      <c r="K41" s="72">
        <v>30528</v>
      </c>
      <c r="L41" s="58">
        <f t="shared" si="4"/>
        <v>93512</v>
      </c>
      <c r="M41" s="58">
        <f t="shared" si="0"/>
        <v>93512</v>
      </c>
      <c r="O41"/>
    </row>
    <row r="42" spans="1:15">
      <c r="A42" s="1" t="s">
        <v>2</v>
      </c>
      <c r="B42" s="4" t="s">
        <v>56</v>
      </c>
      <c r="C42" s="16">
        <v>0</v>
      </c>
      <c r="D42" s="17">
        <v>0</v>
      </c>
      <c r="E42" s="17">
        <f t="shared" si="3"/>
        <v>0</v>
      </c>
      <c r="F42" s="15">
        <v>0</v>
      </c>
      <c r="G42" s="16">
        <v>0</v>
      </c>
      <c r="H42" s="16">
        <v>0</v>
      </c>
      <c r="I42" s="16">
        <v>0</v>
      </c>
      <c r="J42" s="16">
        <v>0</v>
      </c>
      <c r="K42" s="72">
        <v>0</v>
      </c>
      <c r="L42" s="58">
        <f t="shared" si="4"/>
        <v>0</v>
      </c>
      <c r="M42" s="58">
        <f t="shared" si="0"/>
        <v>0</v>
      </c>
      <c r="O42"/>
    </row>
    <row r="43" spans="1:15">
      <c r="A43" s="1" t="s">
        <v>2</v>
      </c>
      <c r="B43" s="4" t="s">
        <v>57</v>
      </c>
      <c r="C43" s="16">
        <v>0</v>
      </c>
      <c r="D43" s="17">
        <v>0</v>
      </c>
      <c r="E43" s="17">
        <f t="shared" si="3"/>
        <v>0</v>
      </c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72">
        <v>0</v>
      </c>
      <c r="L43" s="58">
        <f t="shared" si="4"/>
        <v>0</v>
      </c>
      <c r="M43" s="58">
        <f t="shared" si="0"/>
        <v>0</v>
      </c>
      <c r="O43"/>
    </row>
    <row r="44" spans="1:15">
      <c r="A44" s="1" t="s">
        <v>2</v>
      </c>
      <c r="B44" s="4" t="s">
        <v>58</v>
      </c>
      <c r="C44" s="16">
        <v>0</v>
      </c>
      <c r="D44" s="17">
        <v>0</v>
      </c>
      <c r="E44" s="17">
        <f t="shared" si="3"/>
        <v>0</v>
      </c>
      <c r="F44" s="15">
        <v>0</v>
      </c>
      <c r="G44" s="16">
        <v>0</v>
      </c>
      <c r="H44" s="16">
        <v>0</v>
      </c>
      <c r="I44" s="16">
        <v>0</v>
      </c>
      <c r="J44" s="16">
        <v>0</v>
      </c>
      <c r="K44" s="72">
        <v>0</v>
      </c>
      <c r="L44" s="58">
        <f t="shared" si="4"/>
        <v>0</v>
      </c>
      <c r="M44" s="58">
        <f t="shared" si="0"/>
        <v>0</v>
      </c>
      <c r="O44"/>
    </row>
    <row r="45" spans="1:15" ht="19.5" thickBot="1">
      <c r="A45" s="1" t="s">
        <v>2</v>
      </c>
      <c r="B45" s="35" t="s">
        <v>38</v>
      </c>
      <c r="C45" s="37">
        <v>606</v>
      </c>
      <c r="D45" s="38">
        <v>0</v>
      </c>
      <c r="E45" s="38">
        <f t="shared" si="3"/>
        <v>606</v>
      </c>
      <c r="F45" s="36">
        <v>5865</v>
      </c>
      <c r="G45" s="37">
        <v>5805</v>
      </c>
      <c r="H45" s="37">
        <v>1098</v>
      </c>
      <c r="I45" s="37">
        <v>6137</v>
      </c>
      <c r="J45" s="37">
        <v>722</v>
      </c>
      <c r="K45" s="73">
        <v>2471</v>
      </c>
      <c r="L45" s="59">
        <f t="shared" si="4"/>
        <v>22098</v>
      </c>
      <c r="M45" s="59">
        <f t="shared" si="0"/>
        <v>22704</v>
      </c>
      <c r="O45"/>
    </row>
    <row r="46" spans="1:15" ht="19.5" thickBot="1">
      <c r="A46" s="1" t="s">
        <v>2</v>
      </c>
      <c r="B46" s="39" t="s">
        <v>59</v>
      </c>
      <c r="C46" s="41">
        <v>405606</v>
      </c>
      <c r="D46" s="42">
        <v>79800</v>
      </c>
      <c r="E46" s="42">
        <f t="shared" si="3"/>
        <v>485406</v>
      </c>
      <c r="F46" s="40">
        <v>394673</v>
      </c>
      <c r="G46" s="41">
        <v>381570</v>
      </c>
      <c r="H46" s="41">
        <v>325816</v>
      </c>
      <c r="I46" s="41">
        <v>383581</v>
      </c>
      <c r="J46" s="41">
        <v>299570</v>
      </c>
      <c r="K46" s="74">
        <v>394971</v>
      </c>
      <c r="L46" s="60">
        <f t="shared" si="4"/>
        <v>2180181</v>
      </c>
      <c r="M46" s="60">
        <f t="shared" si="0"/>
        <v>2665587</v>
      </c>
      <c r="O46"/>
    </row>
    <row r="47" spans="1:15" ht="19.5" thickBot="1">
      <c r="A47" s="1" t="s">
        <v>2</v>
      </c>
      <c r="B47" s="21" t="s">
        <v>60</v>
      </c>
      <c r="C47" s="30">
        <v>8325</v>
      </c>
      <c r="D47" s="31">
        <v>2880</v>
      </c>
      <c r="E47" s="31">
        <f t="shared" si="3"/>
        <v>11205</v>
      </c>
      <c r="F47" s="29">
        <v>5342</v>
      </c>
      <c r="G47" s="30">
        <v>4856</v>
      </c>
      <c r="H47" s="30">
        <v>7631</v>
      </c>
      <c r="I47" s="30">
        <v>4937</v>
      </c>
      <c r="J47" s="30">
        <v>2914</v>
      </c>
      <c r="K47" s="71">
        <v>4625</v>
      </c>
      <c r="L47" s="57">
        <f t="shared" si="4"/>
        <v>30305</v>
      </c>
      <c r="M47" s="57">
        <f t="shared" si="0"/>
        <v>41510</v>
      </c>
      <c r="O47"/>
    </row>
    <row r="48" spans="1:15" ht="19.5" thickBot="1">
      <c r="A48" s="1" t="s">
        <v>2</v>
      </c>
      <c r="B48" s="39" t="s">
        <v>61</v>
      </c>
      <c r="C48" s="41">
        <v>8325</v>
      </c>
      <c r="D48" s="42">
        <v>2880</v>
      </c>
      <c r="E48" s="42">
        <f t="shared" si="3"/>
        <v>11205</v>
      </c>
      <c r="F48" s="40">
        <v>5342</v>
      </c>
      <c r="G48" s="41">
        <v>4856</v>
      </c>
      <c r="H48" s="41">
        <v>7631</v>
      </c>
      <c r="I48" s="41">
        <v>4937</v>
      </c>
      <c r="J48" s="41">
        <v>2914</v>
      </c>
      <c r="K48" s="74">
        <v>4625</v>
      </c>
      <c r="L48" s="60">
        <f t="shared" si="4"/>
        <v>30305</v>
      </c>
      <c r="M48" s="60">
        <f t="shared" si="0"/>
        <v>41510</v>
      </c>
      <c r="O48"/>
    </row>
    <row r="49" spans="1:15" ht="19.5" thickBot="1">
      <c r="A49" s="1" t="s">
        <v>2</v>
      </c>
      <c r="B49" s="39" t="s">
        <v>62</v>
      </c>
      <c r="C49" s="41">
        <v>413931</v>
      </c>
      <c r="D49" s="42">
        <v>82680</v>
      </c>
      <c r="E49" s="42">
        <f t="shared" si="3"/>
        <v>496611</v>
      </c>
      <c r="F49" s="40">
        <v>400015</v>
      </c>
      <c r="G49" s="41">
        <v>386426</v>
      </c>
      <c r="H49" s="41">
        <v>333447</v>
      </c>
      <c r="I49" s="41">
        <v>388518</v>
      </c>
      <c r="J49" s="41">
        <v>302484</v>
      </c>
      <c r="K49" s="74">
        <v>399596</v>
      </c>
      <c r="L49" s="60">
        <f t="shared" si="4"/>
        <v>2210486</v>
      </c>
      <c r="M49" s="60">
        <f t="shared" si="0"/>
        <v>2707097</v>
      </c>
      <c r="O49"/>
    </row>
    <row r="50" spans="1:15">
      <c r="A50" s="1" t="s">
        <v>2</v>
      </c>
      <c r="B50" s="21" t="s">
        <v>63</v>
      </c>
      <c r="C50" s="30">
        <v>20910</v>
      </c>
      <c r="D50" s="31">
        <v>0</v>
      </c>
      <c r="E50" s="31">
        <f t="shared" si="3"/>
        <v>20910</v>
      </c>
      <c r="F50" s="29">
        <v>20910</v>
      </c>
      <c r="G50" s="30">
        <v>19380</v>
      </c>
      <c r="H50" s="30">
        <v>16320</v>
      </c>
      <c r="I50" s="30">
        <v>18360</v>
      </c>
      <c r="J50" s="30">
        <v>19380</v>
      </c>
      <c r="K50" s="71">
        <v>18360</v>
      </c>
      <c r="L50" s="57">
        <f t="shared" si="4"/>
        <v>112710</v>
      </c>
      <c r="M50" s="57">
        <f t="shared" si="0"/>
        <v>133620</v>
      </c>
      <c r="O50"/>
    </row>
    <row r="51" spans="1:15">
      <c r="A51" s="1" t="s">
        <v>2</v>
      </c>
      <c r="B51" s="4" t="s">
        <v>64</v>
      </c>
      <c r="C51" s="16">
        <v>3690</v>
      </c>
      <c r="D51" s="17">
        <v>0</v>
      </c>
      <c r="E51" s="17">
        <f t="shared" si="3"/>
        <v>3690</v>
      </c>
      <c r="F51" s="15">
        <v>3690</v>
      </c>
      <c r="G51" s="16">
        <v>3420</v>
      </c>
      <c r="H51" s="16">
        <v>2880</v>
      </c>
      <c r="I51" s="16">
        <v>3240</v>
      </c>
      <c r="J51" s="16">
        <v>3420</v>
      </c>
      <c r="K51" s="72">
        <v>3240</v>
      </c>
      <c r="L51" s="58">
        <f t="shared" si="4"/>
        <v>19890</v>
      </c>
      <c r="M51" s="58">
        <f t="shared" si="0"/>
        <v>23580</v>
      </c>
      <c r="O51"/>
    </row>
    <row r="52" spans="1:15">
      <c r="A52" s="1" t="s">
        <v>2</v>
      </c>
      <c r="B52" s="4" t="s">
        <v>65</v>
      </c>
      <c r="C52" s="16">
        <v>37515</v>
      </c>
      <c r="D52" s="17">
        <v>0</v>
      </c>
      <c r="E52" s="17">
        <f t="shared" si="3"/>
        <v>37515</v>
      </c>
      <c r="F52" s="15">
        <v>37515</v>
      </c>
      <c r="G52" s="16">
        <v>34770</v>
      </c>
      <c r="H52" s="16">
        <v>29280</v>
      </c>
      <c r="I52" s="16">
        <v>32940</v>
      </c>
      <c r="J52" s="16">
        <v>34770</v>
      </c>
      <c r="K52" s="72">
        <v>32940</v>
      </c>
      <c r="L52" s="58">
        <f t="shared" si="4"/>
        <v>202215</v>
      </c>
      <c r="M52" s="58">
        <f t="shared" si="0"/>
        <v>239730</v>
      </c>
      <c r="O52"/>
    </row>
    <row r="53" spans="1:15" ht="19.5" thickBot="1">
      <c r="A53" s="1" t="s">
        <v>2</v>
      </c>
      <c r="B53" s="4" t="s">
        <v>66</v>
      </c>
      <c r="C53" s="16">
        <v>1242</v>
      </c>
      <c r="D53" s="17">
        <v>248</v>
      </c>
      <c r="E53" s="17">
        <f t="shared" si="3"/>
        <v>1490</v>
      </c>
      <c r="F53" s="15">
        <v>1200</v>
      </c>
      <c r="G53" s="16">
        <v>1159</v>
      </c>
      <c r="H53" s="16">
        <v>1000</v>
      </c>
      <c r="I53" s="16">
        <v>1166</v>
      </c>
      <c r="J53" s="16">
        <v>907</v>
      </c>
      <c r="K53" s="72">
        <v>1199</v>
      </c>
      <c r="L53" s="58">
        <f t="shared" si="4"/>
        <v>6631</v>
      </c>
      <c r="M53" s="58">
        <f t="shared" si="0"/>
        <v>8121</v>
      </c>
      <c r="O53"/>
    </row>
    <row r="54" spans="1:15" ht="19.5" thickBot="1">
      <c r="A54" s="1" t="s">
        <v>2</v>
      </c>
      <c r="B54" s="39" t="s">
        <v>67</v>
      </c>
      <c r="C54" s="41">
        <v>63357</v>
      </c>
      <c r="D54" s="42">
        <v>248</v>
      </c>
      <c r="E54" s="42">
        <f t="shared" si="3"/>
        <v>63605</v>
      </c>
      <c r="F54" s="40">
        <v>63315</v>
      </c>
      <c r="G54" s="41">
        <v>58729</v>
      </c>
      <c r="H54" s="41">
        <v>49480</v>
      </c>
      <c r="I54" s="41">
        <v>55706</v>
      </c>
      <c r="J54" s="41">
        <v>58477</v>
      </c>
      <c r="K54" s="74">
        <v>55739</v>
      </c>
      <c r="L54" s="60">
        <f t="shared" si="4"/>
        <v>341446</v>
      </c>
      <c r="M54" s="60">
        <f t="shared" si="0"/>
        <v>405051</v>
      </c>
      <c r="O54"/>
    </row>
    <row r="55" spans="1:15">
      <c r="A55" s="1" t="s">
        <v>2</v>
      </c>
      <c r="B55" s="21" t="s">
        <v>68</v>
      </c>
      <c r="C55" s="30">
        <v>6830</v>
      </c>
      <c r="D55" s="31">
        <v>0</v>
      </c>
      <c r="E55" s="31">
        <f t="shared" si="3"/>
        <v>6830</v>
      </c>
      <c r="F55" s="29">
        <v>8000</v>
      </c>
      <c r="G55" s="30">
        <v>10250</v>
      </c>
      <c r="H55" s="30">
        <v>5880</v>
      </c>
      <c r="I55" s="30">
        <v>4630</v>
      </c>
      <c r="J55" s="30">
        <v>6230</v>
      </c>
      <c r="K55" s="71">
        <v>11580</v>
      </c>
      <c r="L55" s="57">
        <f t="shared" si="4"/>
        <v>46570</v>
      </c>
      <c r="M55" s="57">
        <f t="shared" si="0"/>
        <v>53400</v>
      </c>
      <c r="O55"/>
    </row>
    <row r="56" spans="1:15">
      <c r="A56" s="1" t="s">
        <v>2</v>
      </c>
      <c r="B56" s="4" t="s">
        <v>69</v>
      </c>
      <c r="C56" s="16">
        <v>25500</v>
      </c>
      <c r="D56" s="17">
        <v>900</v>
      </c>
      <c r="E56" s="17">
        <f t="shared" si="3"/>
        <v>26400</v>
      </c>
      <c r="F56" s="15">
        <v>14800</v>
      </c>
      <c r="G56" s="16">
        <v>17200</v>
      </c>
      <c r="H56" s="16">
        <v>0</v>
      </c>
      <c r="I56" s="16">
        <v>5800</v>
      </c>
      <c r="J56" s="16">
        <v>18000</v>
      </c>
      <c r="K56" s="72">
        <v>2100</v>
      </c>
      <c r="L56" s="58">
        <f t="shared" si="4"/>
        <v>57900</v>
      </c>
      <c r="M56" s="58">
        <f t="shared" ref="M56:M62" si="5">E56+L56</f>
        <v>84300</v>
      </c>
      <c r="O56"/>
    </row>
    <row r="57" spans="1:15" ht="19.5" thickBot="1">
      <c r="A57" s="1" t="s">
        <v>2</v>
      </c>
      <c r="B57" s="4" t="s">
        <v>70</v>
      </c>
      <c r="C57" s="16">
        <v>0</v>
      </c>
      <c r="D57" s="17">
        <v>0</v>
      </c>
      <c r="E57" s="17">
        <f t="shared" si="3"/>
        <v>0</v>
      </c>
      <c r="F57" s="15">
        <v>0</v>
      </c>
      <c r="G57" s="16">
        <v>0</v>
      </c>
      <c r="H57" s="16">
        <v>0</v>
      </c>
      <c r="I57" s="16">
        <v>0</v>
      </c>
      <c r="J57" s="16">
        <v>0</v>
      </c>
      <c r="K57" s="72">
        <v>0</v>
      </c>
      <c r="L57" s="58">
        <f t="shared" si="4"/>
        <v>0</v>
      </c>
      <c r="M57" s="58">
        <f t="shared" si="5"/>
        <v>0</v>
      </c>
      <c r="O57"/>
    </row>
    <row r="58" spans="1:15" ht="19.5" thickBot="1">
      <c r="A58" s="1" t="s">
        <v>2</v>
      </c>
      <c r="B58" s="39" t="s">
        <v>71</v>
      </c>
      <c r="C58" s="41">
        <v>95687</v>
      </c>
      <c r="D58" s="42">
        <v>1148</v>
      </c>
      <c r="E58" s="42">
        <f t="shared" si="3"/>
        <v>96835</v>
      </c>
      <c r="F58" s="40">
        <v>86115</v>
      </c>
      <c r="G58" s="41">
        <v>86179</v>
      </c>
      <c r="H58" s="41">
        <v>55360</v>
      </c>
      <c r="I58" s="41">
        <v>66136</v>
      </c>
      <c r="J58" s="41">
        <v>82707</v>
      </c>
      <c r="K58" s="74">
        <v>69419</v>
      </c>
      <c r="L58" s="60">
        <f t="shared" si="4"/>
        <v>445916</v>
      </c>
      <c r="M58" s="60">
        <f t="shared" si="5"/>
        <v>542751</v>
      </c>
      <c r="O58"/>
    </row>
    <row r="59" spans="1:15" ht="19.5" thickBot="1">
      <c r="A59" s="1" t="s">
        <v>2</v>
      </c>
      <c r="B59" s="39" t="s">
        <v>72</v>
      </c>
      <c r="C59" s="41">
        <v>342249</v>
      </c>
      <c r="D59" s="42">
        <v>79552</v>
      </c>
      <c r="E59" s="42">
        <f t="shared" si="3"/>
        <v>421801</v>
      </c>
      <c r="F59" s="40">
        <v>331358</v>
      </c>
      <c r="G59" s="41">
        <v>322841</v>
      </c>
      <c r="H59" s="41">
        <v>276336</v>
      </c>
      <c r="I59" s="41">
        <v>327875</v>
      </c>
      <c r="J59" s="41">
        <v>241093</v>
      </c>
      <c r="K59" s="74">
        <v>339232</v>
      </c>
      <c r="L59" s="60">
        <f t="shared" si="4"/>
        <v>1838735</v>
      </c>
      <c r="M59" s="60">
        <f t="shared" si="5"/>
        <v>2260536</v>
      </c>
      <c r="O59"/>
    </row>
    <row r="60" spans="1:15" ht="19.5" thickBot="1">
      <c r="A60" s="1" t="s">
        <v>2</v>
      </c>
      <c r="B60" s="39" t="s">
        <v>73</v>
      </c>
      <c r="C60" s="41">
        <v>318244</v>
      </c>
      <c r="D60" s="42">
        <v>81532</v>
      </c>
      <c r="E60" s="42">
        <f t="shared" si="3"/>
        <v>399776</v>
      </c>
      <c r="F60" s="40">
        <v>313900</v>
      </c>
      <c r="G60" s="41">
        <v>300247</v>
      </c>
      <c r="H60" s="41">
        <v>278087</v>
      </c>
      <c r="I60" s="41">
        <v>322382</v>
      </c>
      <c r="J60" s="41">
        <v>219777</v>
      </c>
      <c r="K60" s="74">
        <v>330177</v>
      </c>
      <c r="L60" s="60">
        <f t="shared" si="4"/>
        <v>1764570</v>
      </c>
      <c r="M60" s="60">
        <f t="shared" si="5"/>
        <v>2164346</v>
      </c>
      <c r="O60"/>
    </row>
    <row r="61" spans="1:15">
      <c r="A61" s="1" t="s">
        <v>2</v>
      </c>
      <c r="B61" s="21" t="s">
        <v>74</v>
      </c>
      <c r="C61" s="30">
        <v>0</v>
      </c>
      <c r="D61" s="31">
        <v>0</v>
      </c>
      <c r="E61" s="31">
        <f t="shared" si="3"/>
        <v>0</v>
      </c>
      <c r="F61" s="29">
        <v>0</v>
      </c>
      <c r="G61" s="30">
        <v>0</v>
      </c>
      <c r="H61" s="30">
        <v>0</v>
      </c>
      <c r="I61" s="30">
        <v>0</v>
      </c>
      <c r="J61" s="30">
        <v>0</v>
      </c>
      <c r="K61" s="71">
        <v>0</v>
      </c>
      <c r="L61" s="57">
        <f t="shared" si="4"/>
        <v>0</v>
      </c>
      <c r="M61" s="57">
        <f t="shared" si="5"/>
        <v>0</v>
      </c>
      <c r="O61"/>
    </row>
    <row r="62" spans="1:15">
      <c r="A62" s="1" t="s">
        <v>2</v>
      </c>
      <c r="B62" s="4" t="s">
        <v>75</v>
      </c>
      <c r="C62" s="16">
        <v>318244</v>
      </c>
      <c r="D62" s="17">
        <v>81532</v>
      </c>
      <c r="E62" s="17">
        <f t="shared" si="3"/>
        <v>399776</v>
      </c>
      <c r="F62" s="15">
        <v>313900</v>
      </c>
      <c r="G62" s="16">
        <v>300247</v>
      </c>
      <c r="H62" s="16">
        <v>278087</v>
      </c>
      <c r="I62" s="16">
        <v>322382</v>
      </c>
      <c r="J62" s="16">
        <v>219777</v>
      </c>
      <c r="K62" s="72">
        <v>330177</v>
      </c>
      <c r="L62" s="58">
        <f t="shared" si="4"/>
        <v>1764570</v>
      </c>
      <c r="M62" s="58">
        <f t="shared" si="5"/>
        <v>2164346</v>
      </c>
      <c r="O62"/>
    </row>
    <row r="63" spans="1:15">
      <c r="A63" s="1" t="s">
        <v>2</v>
      </c>
      <c r="B63" s="4" t="s">
        <v>76</v>
      </c>
      <c r="C63" s="16">
        <v>2</v>
      </c>
      <c r="D63" s="17">
        <v>0</v>
      </c>
      <c r="E63" s="47"/>
      <c r="F63" s="15">
        <v>1</v>
      </c>
      <c r="G63" s="16">
        <v>0</v>
      </c>
      <c r="H63" s="16">
        <v>1</v>
      </c>
      <c r="I63" s="16">
        <v>3</v>
      </c>
      <c r="J63" s="16">
        <v>0</v>
      </c>
      <c r="K63" s="72">
        <v>0</v>
      </c>
      <c r="L63" s="58"/>
      <c r="M63" s="58"/>
    </row>
    <row r="64" spans="1:15" ht="19.5" thickBot="1">
      <c r="A64" s="1" t="s">
        <v>2</v>
      </c>
      <c r="B64" s="5" t="s">
        <v>77</v>
      </c>
      <c r="C64" s="19" t="s">
        <v>78</v>
      </c>
      <c r="D64" s="20" t="s">
        <v>78</v>
      </c>
      <c r="E64" s="48"/>
      <c r="F64" s="18" t="s">
        <v>78</v>
      </c>
      <c r="G64" s="19" t="s">
        <v>78</v>
      </c>
      <c r="H64" s="19" t="s">
        <v>78</v>
      </c>
      <c r="I64" s="19" t="s">
        <v>78</v>
      </c>
      <c r="J64" s="19" t="s">
        <v>78</v>
      </c>
      <c r="K64" s="75" t="s">
        <v>78</v>
      </c>
      <c r="L64" s="61"/>
      <c r="M64" s="61"/>
    </row>
  </sheetData>
  <phoneticPr fontId="3"/>
  <pageMargins left="0.31496062992125984" right="0.31496062992125984" top="0.15748031496062992" bottom="0.15748031496062992" header="0.11811023622047245" footer="0.11811023622047245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2月度給与 (2)</vt:lpstr>
      <vt:lpstr>'2022年 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2022-03-11T04:12:10Z</cp:lastPrinted>
  <dcterms:created xsi:type="dcterms:W3CDTF">2022-03-09T04:46:44Z</dcterms:created>
  <dcterms:modified xsi:type="dcterms:W3CDTF">2022-03-11T06:17:47Z</dcterms:modified>
</cp:coreProperties>
</file>