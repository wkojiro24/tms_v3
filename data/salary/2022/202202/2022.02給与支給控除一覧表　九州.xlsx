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2\"/>
    </mc:Choice>
  </mc:AlternateContent>
  <xr:revisionPtr revIDLastSave="0" documentId="13_ncr:1_{0270414D-67CB-4161-9C1C-37E77DB21BB9}" xr6:coauthVersionLast="47" xr6:coauthVersionMax="47" xr10:uidLastSave="{00000000-0000-0000-0000-000000000000}"/>
  <bookViews>
    <workbookView xWindow="-120" yWindow="-120" windowWidth="20730" windowHeight="11160" xr2:uid="{B867172E-E6BB-4B05-93FA-13A08F91F3C6}"/>
  </bookViews>
  <sheets>
    <sheet name="2022年 2月度給与 (2)" sheetId="3" r:id="rId1"/>
  </sheets>
  <definedNames>
    <definedName name="_xlnm.Print_Area" localSheetId="0">'2022年 2月度給与 (2)'!$A$1:$L$65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1" i="3" l="1"/>
  <c r="L12" i="3"/>
  <c r="L13" i="3"/>
  <c r="L15" i="3"/>
  <c r="L19" i="3"/>
  <c r="L20" i="3"/>
  <c r="L21" i="3"/>
  <c r="L22" i="3"/>
  <c r="L23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26" i="3"/>
  <c r="K25" i="3"/>
  <c r="K24" i="3"/>
  <c r="L24" i="3" s="1"/>
  <c r="K17" i="3"/>
  <c r="L17" i="3" s="1"/>
  <c r="K18" i="3"/>
  <c r="L18" i="3" s="1"/>
  <c r="K16" i="3"/>
  <c r="L16" i="3" s="1"/>
  <c r="K8" i="3"/>
  <c r="L8" i="3" s="1"/>
  <c r="K9" i="3"/>
  <c r="L9" i="3" s="1"/>
  <c r="K10" i="3"/>
  <c r="K7" i="3"/>
  <c r="L7" i="3" s="1"/>
  <c r="K6" i="3"/>
  <c r="E27" i="3"/>
  <c r="L27" i="3" s="1"/>
  <c r="E28" i="3"/>
  <c r="E29" i="3"/>
  <c r="E30" i="3"/>
  <c r="E31" i="3"/>
  <c r="L31" i="3" s="1"/>
  <c r="E32" i="3"/>
  <c r="E33" i="3"/>
  <c r="E34" i="3"/>
  <c r="E35" i="3"/>
  <c r="L35" i="3" s="1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26" i="3"/>
  <c r="E25" i="3"/>
  <c r="E14" i="3"/>
  <c r="L14" i="3" s="1"/>
  <c r="E10" i="3"/>
  <c r="E6" i="3"/>
  <c r="L60" i="3" l="1"/>
  <c r="L52" i="3"/>
  <c r="L48" i="3"/>
  <c r="L45" i="3"/>
  <c r="L42" i="3"/>
  <c r="L26" i="3"/>
  <c r="L55" i="3"/>
  <c r="L59" i="3"/>
  <c r="L58" i="3"/>
  <c r="L54" i="3"/>
  <c r="L41" i="3"/>
  <c r="L38" i="3"/>
  <c r="L62" i="3"/>
  <c r="L57" i="3"/>
  <c r="L50" i="3"/>
  <c r="L47" i="3"/>
  <c r="L44" i="3"/>
  <c r="L40" i="3"/>
  <c r="L33" i="3"/>
  <c r="L29" i="3"/>
  <c r="L25" i="3"/>
  <c r="L53" i="3"/>
  <c r="L46" i="3"/>
  <c r="L39" i="3"/>
  <c r="L36" i="3"/>
  <c r="L32" i="3"/>
  <c r="L28" i="3"/>
  <c r="L63" i="3"/>
  <c r="L51" i="3"/>
  <c r="L37" i="3"/>
  <c r="L61" i="3"/>
  <c r="L56" i="3"/>
  <c r="L49" i="3"/>
  <c r="L43" i="3"/>
  <c r="L34" i="3"/>
  <c r="L30" i="3"/>
  <c r="L10" i="3"/>
  <c r="L6" i="3"/>
</calcChain>
</file>

<file path=xl/sharedStrings.xml><?xml version="1.0" encoding="utf-8"?>
<sst xmlns="http://schemas.openxmlformats.org/spreadsheetml/2006/main" count="151" uniqueCount="83">
  <si>
    <t>支給控除一覧表</t>
    <phoneticPr fontId="4"/>
  </si>
  <si>
    <t>若林運送株式会社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</si>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</sst>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8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</cellXfs>
  <cellStyles count="2">
    <cellStyle name="標準" xfId="0" builtinId="0"/>
    <cellStyle name="標準 2" xfId="1" xr:uid="{C135EBB0-5A7F-48A3-811C-5FA7BC447E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C96E-BBCF-4F2F-A193-FCE8916C89A9}">
  <sheetPr>
    <pageSetUpPr fitToPage="1"/>
  </sheetPr>
  <dimension ref="A1:N65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2" width="11.875" style="2" customWidth="1"/>
    <col min="13" max="258" width="9" style="2"/>
    <col min="259" max="259" width="2.375" style="2" customWidth="1"/>
    <col min="260" max="260" width="13.25" style="2" bestFit="1" customWidth="1"/>
    <col min="261" max="263" width="11.125" style="2" bestFit="1" customWidth="1"/>
    <col min="264" max="264" width="9" style="2"/>
    <col min="265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19" width="11.125" style="2" bestFit="1" customWidth="1"/>
    <col min="520" max="520" width="9" style="2"/>
    <col min="521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5" width="11.125" style="2" bestFit="1" customWidth="1"/>
    <col min="776" max="776" width="9" style="2"/>
    <col min="777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1" width="11.125" style="2" bestFit="1" customWidth="1"/>
    <col min="1032" max="1032" width="9" style="2"/>
    <col min="1033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7" width="11.125" style="2" bestFit="1" customWidth="1"/>
    <col min="1288" max="1288" width="9" style="2"/>
    <col min="1289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3" width="11.125" style="2" bestFit="1" customWidth="1"/>
    <col min="1544" max="1544" width="9" style="2"/>
    <col min="1545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799" width="11.125" style="2" bestFit="1" customWidth="1"/>
    <col min="1800" max="1800" width="9" style="2"/>
    <col min="1801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5" width="11.125" style="2" bestFit="1" customWidth="1"/>
    <col min="2056" max="2056" width="9" style="2"/>
    <col min="2057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1" width="11.125" style="2" bestFit="1" customWidth="1"/>
    <col min="2312" max="2312" width="9" style="2"/>
    <col min="2313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7" width="11.125" style="2" bestFit="1" customWidth="1"/>
    <col min="2568" max="2568" width="9" style="2"/>
    <col min="2569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3" width="11.125" style="2" bestFit="1" customWidth="1"/>
    <col min="2824" max="2824" width="9" style="2"/>
    <col min="2825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79" width="11.125" style="2" bestFit="1" customWidth="1"/>
    <col min="3080" max="3080" width="9" style="2"/>
    <col min="3081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5" width="11.125" style="2" bestFit="1" customWidth="1"/>
    <col min="3336" max="3336" width="9" style="2"/>
    <col min="3337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1" width="11.125" style="2" bestFit="1" customWidth="1"/>
    <col min="3592" max="3592" width="9" style="2"/>
    <col min="3593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7" width="11.125" style="2" bestFit="1" customWidth="1"/>
    <col min="3848" max="3848" width="9" style="2"/>
    <col min="3849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3" width="11.125" style="2" bestFit="1" customWidth="1"/>
    <col min="4104" max="4104" width="9" style="2"/>
    <col min="4105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59" width="11.125" style="2" bestFit="1" customWidth="1"/>
    <col min="4360" max="4360" width="9" style="2"/>
    <col min="4361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5" width="11.125" style="2" bestFit="1" customWidth="1"/>
    <col min="4616" max="4616" width="9" style="2"/>
    <col min="4617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1" width="11.125" style="2" bestFit="1" customWidth="1"/>
    <col min="4872" max="4872" width="9" style="2"/>
    <col min="4873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7" width="11.125" style="2" bestFit="1" customWidth="1"/>
    <col min="5128" max="5128" width="9" style="2"/>
    <col min="5129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3" width="11.125" style="2" bestFit="1" customWidth="1"/>
    <col min="5384" max="5384" width="9" style="2"/>
    <col min="5385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39" width="11.125" style="2" bestFit="1" customWidth="1"/>
    <col min="5640" max="5640" width="9" style="2"/>
    <col min="5641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5" width="11.125" style="2" bestFit="1" customWidth="1"/>
    <col min="5896" max="5896" width="9" style="2"/>
    <col min="5897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1" width="11.125" style="2" bestFit="1" customWidth="1"/>
    <col min="6152" max="6152" width="9" style="2"/>
    <col min="6153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7" width="11.125" style="2" bestFit="1" customWidth="1"/>
    <col min="6408" max="6408" width="9" style="2"/>
    <col min="6409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3" width="11.125" style="2" bestFit="1" customWidth="1"/>
    <col min="6664" max="6664" width="9" style="2"/>
    <col min="6665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19" width="11.125" style="2" bestFit="1" customWidth="1"/>
    <col min="6920" max="6920" width="9" style="2"/>
    <col min="6921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5" width="11.125" style="2" bestFit="1" customWidth="1"/>
    <col min="7176" max="7176" width="9" style="2"/>
    <col min="7177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1" width="11.125" style="2" bestFit="1" customWidth="1"/>
    <col min="7432" max="7432" width="9" style="2"/>
    <col min="7433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7" width="11.125" style="2" bestFit="1" customWidth="1"/>
    <col min="7688" max="7688" width="9" style="2"/>
    <col min="7689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3" width="11.125" style="2" bestFit="1" customWidth="1"/>
    <col min="7944" max="7944" width="9" style="2"/>
    <col min="7945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199" width="11.125" style="2" bestFit="1" customWidth="1"/>
    <col min="8200" max="8200" width="9" style="2"/>
    <col min="8201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5" width="11.125" style="2" bestFit="1" customWidth="1"/>
    <col min="8456" max="8456" width="9" style="2"/>
    <col min="8457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1" width="11.125" style="2" bestFit="1" customWidth="1"/>
    <col min="8712" max="8712" width="9" style="2"/>
    <col min="8713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7" width="11.125" style="2" bestFit="1" customWidth="1"/>
    <col min="8968" max="8968" width="9" style="2"/>
    <col min="8969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3" width="11.125" style="2" bestFit="1" customWidth="1"/>
    <col min="9224" max="9224" width="9" style="2"/>
    <col min="9225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79" width="11.125" style="2" bestFit="1" customWidth="1"/>
    <col min="9480" max="9480" width="9" style="2"/>
    <col min="9481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5" width="11.125" style="2" bestFit="1" customWidth="1"/>
    <col min="9736" max="9736" width="9" style="2"/>
    <col min="9737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1" width="11.125" style="2" bestFit="1" customWidth="1"/>
    <col min="9992" max="9992" width="9" style="2"/>
    <col min="9993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7" width="11.125" style="2" bestFit="1" customWidth="1"/>
    <col min="10248" max="10248" width="9" style="2"/>
    <col min="10249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3" width="11.125" style="2" bestFit="1" customWidth="1"/>
    <col min="10504" max="10504" width="9" style="2"/>
    <col min="10505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59" width="11.125" style="2" bestFit="1" customWidth="1"/>
    <col min="10760" max="10760" width="9" style="2"/>
    <col min="10761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5" width="11.125" style="2" bestFit="1" customWidth="1"/>
    <col min="11016" max="11016" width="9" style="2"/>
    <col min="11017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1" width="11.125" style="2" bestFit="1" customWidth="1"/>
    <col min="11272" max="11272" width="9" style="2"/>
    <col min="11273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7" width="11.125" style="2" bestFit="1" customWidth="1"/>
    <col min="11528" max="11528" width="9" style="2"/>
    <col min="11529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3" width="11.125" style="2" bestFit="1" customWidth="1"/>
    <col min="11784" max="11784" width="9" style="2"/>
    <col min="11785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39" width="11.125" style="2" bestFit="1" customWidth="1"/>
    <col min="12040" max="12040" width="9" style="2"/>
    <col min="12041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5" width="11.125" style="2" bestFit="1" customWidth="1"/>
    <col min="12296" max="12296" width="9" style="2"/>
    <col min="12297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1" width="11.125" style="2" bestFit="1" customWidth="1"/>
    <col min="12552" max="12552" width="9" style="2"/>
    <col min="12553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7" width="11.125" style="2" bestFit="1" customWidth="1"/>
    <col min="12808" max="12808" width="9" style="2"/>
    <col min="12809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3" width="11.125" style="2" bestFit="1" customWidth="1"/>
    <col min="13064" max="13064" width="9" style="2"/>
    <col min="13065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19" width="11.125" style="2" bestFit="1" customWidth="1"/>
    <col min="13320" max="13320" width="9" style="2"/>
    <col min="13321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5" width="11.125" style="2" bestFit="1" customWidth="1"/>
    <col min="13576" max="13576" width="9" style="2"/>
    <col min="13577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1" width="11.125" style="2" bestFit="1" customWidth="1"/>
    <col min="13832" max="13832" width="9" style="2"/>
    <col min="13833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7" width="11.125" style="2" bestFit="1" customWidth="1"/>
    <col min="14088" max="14088" width="9" style="2"/>
    <col min="14089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3" width="11.125" style="2" bestFit="1" customWidth="1"/>
    <col min="14344" max="14344" width="9" style="2"/>
    <col min="14345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599" width="11.125" style="2" bestFit="1" customWidth="1"/>
    <col min="14600" max="14600" width="9" style="2"/>
    <col min="14601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5" width="11.125" style="2" bestFit="1" customWidth="1"/>
    <col min="14856" max="14856" width="9" style="2"/>
    <col min="14857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1" width="11.125" style="2" bestFit="1" customWidth="1"/>
    <col min="15112" max="15112" width="9" style="2"/>
    <col min="15113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7" width="11.125" style="2" bestFit="1" customWidth="1"/>
    <col min="15368" max="15368" width="9" style="2"/>
    <col min="15369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3" width="11.125" style="2" bestFit="1" customWidth="1"/>
    <col min="15624" max="15624" width="9" style="2"/>
    <col min="15625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79" width="11.125" style="2" bestFit="1" customWidth="1"/>
    <col min="15880" max="15880" width="9" style="2"/>
    <col min="15881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5" width="11.125" style="2" bestFit="1" customWidth="1"/>
    <col min="16136" max="16136" width="9" style="2"/>
    <col min="16137" max="16139" width="11.125" style="2" bestFit="1" customWidth="1"/>
    <col min="16140" max="16140" width="9.625" style="2" bestFit="1" customWidth="1"/>
    <col min="16141" max="16384" width="9" style="2"/>
  </cols>
  <sheetData>
    <row r="1" spans="1:14">
      <c r="A1" s="1" t="s">
        <v>0</v>
      </c>
    </row>
    <row r="2" spans="1:14">
      <c r="A2" s="1" t="s">
        <v>1</v>
      </c>
    </row>
    <row r="3" spans="1:14" ht="19.5" thickBot="1">
      <c r="A3" s="1" t="s">
        <v>78</v>
      </c>
    </row>
    <row r="4" spans="1:14">
      <c r="B4" s="3"/>
      <c r="C4" s="7" t="s">
        <v>4</v>
      </c>
      <c r="D4" s="8" t="s">
        <v>9</v>
      </c>
      <c r="E4" s="49" t="s">
        <v>79</v>
      </c>
      <c r="F4" s="6" t="s">
        <v>3</v>
      </c>
      <c r="G4" s="7" t="s">
        <v>5</v>
      </c>
      <c r="H4" s="7" t="s">
        <v>6</v>
      </c>
      <c r="I4" s="7" t="s">
        <v>7</v>
      </c>
      <c r="J4" s="51" t="s">
        <v>8</v>
      </c>
      <c r="K4" s="62" t="s">
        <v>79</v>
      </c>
      <c r="L4" s="63" t="s">
        <v>18</v>
      </c>
    </row>
    <row r="5" spans="1:14" ht="19.5" thickBot="1">
      <c r="A5" s="75"/>
      <c r="B5" s="25" t="s">
        <v>10</v>
      </c>
      <c r="C5" s="27" t="s">
        <v>12</v>
      </c>
      <c r="D5" s="28" t="s">
        <v>17</v>
      </c>
      <c r="E5" s="50" t="s">
        <v>80</v>
      </c>
      <c r="F5" s="26" t="s">
        <v>11</v>
      </c>
      <c r="G5" s="27" t="s">
        <v>13</v>
      </c>
      <c r="H5" s="27" t="s">
        <v>14</v>
      </c>
      <c r="I5" s="27" t="s">
        <v>15</v>
      </c>
      <c r="J5" s="52" t="s">
        <v>16</v>
      </c>
      <c r="K5" s="64" t="s">
        <v>81</v>
      </c>
      <c r="L5" s="65" t="s">
        <v>82</v>
      </c>
    </row>
    <row r="6" spans="1:14">
      <c r="A6" s="1" t="s">
        <v>2</v>
      </c>
      <c r="B6" s="21" t="s">
        <v>19</v>
      </c>
      <c r="C6" s="23">
        <v>17</v>
      </c>
      <c r="D6" s="24">
        <v>17</v>
      </c>
      <c r="E6" s="43">
        <f>SUM(C6:D6)</f>
        <v>34</v>
      </c>
      <c r="F6" s="22">
        <v>17</v>
      </c>
      <c r="G6" s="23">
        <v>18</v>
      </c>
      <c r="H6" s="23">
        <v>17</v>
      </c>
      <c r="I6" s="23">
        <v>17</v>
      </c>
      <c r="J6" s="53">
        <v>18</v>
      </c>
      <c r="K6" s="66">
        <f>SUM(F6:J6)</f>
        <v>87</v>
      </c>
      <c r="L6" s="66">
        <f>E6+K6</f>
        <v>121</v>
      </c>
      <c r="N6"/>
    </row>
    <row r="7" spans="1:14">
      <c r="A7" s="1" t="s">
        <v>2</v>
      </c>
      <c r="B7" s="4" t="s">
        <v>20</v>
      </c>
      <c r="C7" s="10">
        <v>0</v>
      </c>
      <c r="D7" s="11">
        <v>0</v>
      </c>
      <c r="E7" s="44"/>
      <c r="F7" s="9">
        <v>1</v>
      </c>
      <c r="G7" s="10">
        <v>2</v>
      </c>
      <c r="H7" s="10">
        <v>3</v>
      </c>
      <c r="I7" s="10">
        <v>1</v>
      </c>
      <c r="J7" s="54">
        <v>2</v>
      </c>
      <c r="K7" s="67">
        <f>SUM(F7:J7)</f>
        <v>9</v>
      </c>
      <c r="L7" s="67">
        <f t="shared" ref="L7:L55" si="0">E7+K7</f>
        <v>9</v>
      </c>
      <c r="N7"/>
    </row>
    <row r="8" spans="1:14">
      <c r="A8" s="1" t="s">
        <v>2</v>
      </c>
      <c r="B8" s="4" t="s">
        <v>21</v>
      </c>
      <c r="C8" s="10">
        <v>0</v>
      </c>
      <c r="D8" s="11">
        <v>0</v>
      </c>
      <c r="E8" s="44"/>
      <c r="F8" s="9">
        <v>1</v>
      </c>
      <c r="G8" s="10">
        <v>0</v>
      </c>
      <c r="H8" s="10">
        <v>1</v>
      </c>
      <c r="I8" s="10">
        <v>0</v>
      </c>
      <c r="J8" s="54">
        <v>0</v>
      </c>
      <c r="K8" s="67">
        <f t="shared" ref="K8:K10" si="1">SUM(F8:J8)</f>
        <v>2</v>
      </c>
      <c r="L8" s="67">
        <f t="shared" si="0"/>
        <v>2</v>
      </c>
      <c r="N8"/>
    </row>
    <row r="9" spans="1:14">
      <c r="A9" s="1" t="s">
        <v>2</v>
      </c>
      <c r="B9" s="4" t="s">
        <v>22</v>
      </c>
      <c r="C9" s="10">
        <v>0</v>
      </c>
      <c r="D9" s="11">
        <v>0</v>
      </c>
      <c r="E9" s="44"/>
      <c r="F9" s="9">
        <v>1</v>
      </c>
      <c r="G9" s="10">
        <v>0</v>
      </c>
      <c r="H9" s="10">
        <v>0</v>
      </c>
      <c r="I9" s="10">
        <v>0</v>
      </c>
      <c r="J9" s="54">
        <v>0</v>
      </c>
      <c r="K9" s="67">
        <f t="shared" si="1"/>
        <v>1</v>
      </c>
      <c r="L9" s="67">
        <f t="shared" si="0"/>
        <v>1</v>
      </c>
      <c r="N9"/>
    </row>
    <row r="10" spans="1:14">
      <c r="A10" s="1" t="s">
        <v>2</v>
      </c>
      <c r="B10" s="4" t="s">
        <v>23</v>
      </c>
      <c r="C10" s="10">
        <v>1</v>
      </c>
      <c r="D10" s="11">
        <v>0</v>
      </c>
      <c r="E10" s="44">
        <f>SUM(C10:D10)</f>
        <v>1</v>
      </c>
      <c r="F10" s="9">
        <v>0</v>
      </c>
      <c r="G10" s="10">
        <v>0</v>
      </c>
      <c r="H10" s="10">
        <v>1</v>
      </c>
      <c r="I10" s="10">
        <v>1</v>
      </c>
      <c r="J10" s="54">
        <v>0</v>
      </c>
      <c r="K10" s="67">
        <f t="shared" si="1"/>
        <v>2</v>
      </c>
      <c r="L10" s="67">
        <f t="shared" si="0"/>
        <v>3</v>
      </c>
      <c r="N10"/>
    </row>
    <row r="11" spans="1:14">
      <c r="A11" s="1" t="s">
        <v>2</v>
      </c>
      <c r="B11" s="4" t="s">
        <v>24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54">
        <v>0</v>
      </c>
      <c r="K11" s="67"/>
      <c r="L11" s="67">
        <f t="shared" si="0"/>
        <v>0</v>
      </c>
      <c r="N11"/>
    </row>
    <row r="12" spans="1:14">
      <c r="A12" s="1" t="s">
        <v>2</v>
      </c>
      <c r="B12" s="4" t="s">
        <v>25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54">
        <v>0</v>
      </c>
      <c r="K12" s="67"/>
      <c r="L12" s="67">
        <f t="shared" si="0"/>
        <v>0</v>
      </c>
      <c r="N12"/>
    </row>
    <row r="13" spans="1:14">
      <c r="A13" s="1" t="s">
        <v>2</v>
      </c>
      <c r="B13" s="4" t="s">
        <v>26</v>
      </c>
      <c r="C13" s="10">
        <v>0</v>
      </c>
      <c r="D13" s="11">
        <v>0</v>
      </c>
      <c r="E13" s="44"/>
      <c r="F13" s="9">
        <v>0</v>
      </c>
      <c r="G13" s="10">
        <v>0</v>
      </c>
      <c r="H13" s="10">
        <v>0</v>
      </c>
      <c r="I13" s="10">
        <v>0</v>
      </c>
      <c r="J13" s="54">
        <v>0</v>
      </c>
      <c r="K13" s="67"/>
      <c r="L13" s="67">
        <f t="shared" si="0"/>
        <v>0</v>
      </c>
      <c r="N13"/>
    </row>
    <row r="14" spans="1:14">
      <c r="A14" s="1" t="s">
        <v>2</v>
      </c>
      <c r="B14" s="4" t="s">
        <v>27</v>
      </c>
      <c r="C14" s="13">
        <v>0</v>
      </c>
      <c r="D14" s="14">
        <v>3.5</v>
      </c>
      <c r="E14" s="45">
        <f>SUM(C14:D14)</f>
        <v>3.5</v>
      </c>
      <c r="F14" s="12">
        <v>0</v>
      </c>
      <c r="G14" s="13">
        <v>0</v>
      </c>
      <c r="H14" s="13">
        <v>0</v>
      </c>
      <c r="I14" s="13">
        <v>0</v>
      </c>
      <c r="J14" s="55">
        <v>0</v>
      </c>
      <c r="K14" s="68"/>
      <c r="L14" s="68">
        <f t="shared" si="0"/>
        <v>3.5</v>
      </c>
      <c r="N14"/>
    </row>
    <row r="15" spans="1:14">
      <c r="A15" s="1" t="s">
        <v>2</v>
      </c>
      <c r="B15" s="4" t="s">
        <v>28</v>
      </c>
      <c r="C15" s="13">
        <v>0</v>
      </c>
      <c r="D15" s="14">
        <v>0</v>
      </c>
      <c r="E15" s="45"/>
      <c r="F15" s="12">
        <v>0</v>
      </c>
      <c r="G15" s="13">
        <v>0</v>
      </c>
      <c r="H15" s="13">
        <v>0</v>
      </c>
      <c r="I15" s="13">
        <v>0</v>
      </c>
      <c r="J15" s="55">
        <v>0</v>
      </c>
      <c r="K15" s="68"/>
      <c r="L15" s="68">
        <f t="shared" si="0"/>
        <v>0</v>
      </c>
      <c r="N15"/>
    </row>
    <row r="16" spans="1:14">
      <c r="A16" s="1" t="s">
        <v>2</v>
      </c>
      <c r="B16" s="4" t="s">
        <v>29</v>
      </c>
      <c r="C16" s="13">
        <v>0</v>
      </c>
      <c r="D16" s="14">
        <v>0</v>
      </c>
      <c r="E16" s="45"/>
      <c r="F16" s="12">
        <v>0.75</v>
      </c>
      <c r="G16" s="13">
        <v>0.79166666666666663</v>
      </c>
      <c r="H16" s="13">
        <v>1.0833333333333333</v>
      </c>
      <c r="I16" s="13">
        <v>1.0833333333333333</v>
      </c>
      <c r="J16" s="55">
        <v>0.375</v>
      </c>
      <c r="K16" s="68">
        <f>SUM(F16:J16)</f>
        <v>4.083333333333333</v>
      </c>
      <c r="L16" s="68">
        <f t="shared" si="0"/>
        <v>4.083333333333333</v>
      </c>
      <c r="N16"/>
    </row>
    <row r="17" spans="1:14">
      <c r="A17" s="1" t="s">
        <v>2</v>
      </c>
      <c r="B17" s="4" t="s">
        <v>30</v>
      </c>
      <c r="C17" s="13">
        <v>0</v>
      </c>
      <c r="D17" s="14">
        <v>0</v>
      </c>
      <c r="E17" s="45"/>
      <c r="F17" s="12">
        <v>0.25</v>
      </c>
      <c r="G17" s="13">
        <v>0.83333333333333337</v>
      </c>
      <c r="H17" s="13">
        <v>1.125</v>
      </c>
      <c r="I17" s="13">
        <v>0.41666666666666669</v>
      </c>
      <c r="J17" s="55">
        <v>0.79166666666666663</v>
      </c>
      <c r="K17" s="68">
        <f t="shared" ref="K17:K18" si="2">SUM(F17:J17)</f>
        <v>3.4166666666666665</v>
      </c>
      <c r="L17" s="68">
        <f t="shared" si="0"/>
        <v>3.4166666666666665</v>
      </c>
      <c r="N17"/>
    </row>
    <row r="18" spans="1:14">
      <c r="A18" s="1" t="s">
        <v>2</v>
      </c>
      <c r="B18" s="4" t="s">
        <v>31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0.29166666666666669</v>
      </c>
      <c r="I18" s="13">
        <v>0</v>
      </c>
      <c r="J18" s="55">
        <v>0</v>
      </c>
      <c r="K18" s="68">
        <f t="shared" si="2"/>
        <v>0.29166666666666669</v>
      </c>
      <c r="L18" s="68">
        <f t="shared" si="0"/>
        <v>0.29166666666666669</v>
      </c>
      <c r="N18"/>
    </row>
    <row r="19" spans="1:14">
      <c r="A19" s="1" t="s">
        <v>2</v>
      </c>
      <c r="B19" s="4" t="s">
        <v>32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55">
        <v>0</v>
      </c>
      <c r="K19" s="68"/>
      <c r="L19" s="68">
        <f t="shared" si="0"/>
        <v>0</v>
      </c>
      <c r="N19"/>
    </row>
    <row r="20" spans="1:14">
      <c r="A20" s="1" t="s">
        <v>2</v>
      </c>
      <c r="B20" s="4" t="s">
        <v>33</v>
      </c>
      <c r="C20" s="13">
        <v>0</v>
      </c>
      <c r="D20" s="14">
        <v>0</v>
      </c>
      <c r="E20" s="45"/>
      <c r="F20" s="12">
        <v>0.125</v>
      </c>
      <c r="G20" s="13">
        <v>0</v>
      </c>
      <c r="H20" s="13">
        <v>0</v>
      </c>
      <c r="I20" s="13">
        <v>0</v>
      </c>
      <c r="J20" s="55">
        <v>0</v>
      </c>
      <c r="K20" s="68"/>
      <c r="L20" s="68">
        <f t="shared" si="0"/>
        <v>0</v>
      </c>
      <c r="N20"/>
    </row>
    <row r="21" spans="1:14">
      <c r="A21" s="1" t="s">
        <v>2</v>
      </c>
      <c r="B21" s="4" t="s">
        <v>34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55">
        <v>0</v>
      </c>
      <c r="K21" s="68"/>
      <c r="L21" s="68">
        <f t="shared" si="0"/>
        <v>0</v>
      </c>
      <c r="N21"/>
    </row>
    <row r="22" spans="1:14">
      <c r="A22" s="1" t="s">
        <v>2</v>
      </c>
      <c r="B22" s="4" t="s">
        <v>35</v>
      </c>
      <c r="C22" s="13">
        <v>0</v>
      </c>
      <c r="D22" s="14">
        <v>0</v>
      </c>
      <c r="E22" s="45"/>
      <c r="F22" s="12">
        <v>0</v>
      </c>
      <c r="G22" s="13">
        <v>0</v>
      </c>
      <c r="H22" s="13">
        <v>0</v>
      </c>
      <c r="I22" s="13">
        <v>0</v>
      </c>
      <c r="J22" s="55">
        <v>0</v>
      </c>
      <c r="K22" s="68"/>
      <c r="L22" s="68">
        <f t="shared" si="0"/>
        <v>0</v>
      </c>
      <c r="N22"/>
    </row>
    <row r="23" spans="1:14">
      <c r="A23" s="1" t="s">
        <v>2</v>
      </c>
      <c r="B23" s="4" t="s">
        <v>36</v>
      </c>
      <c r="C23" s="13">
        <v>0</v>
      </c>
      <c r="D23" s="14">
        <v>0</v>
      </c>
      <c r="E23" s="45"/>
      <c r="F23" s="12">
        <v>0</v>
      </c>
      <c r="G23" s="13">
        <v>0</v>
      </c>
      <c r="H23" s="13">
        <v>0</v>
      </c>
      <c r="I23" s="13">
        <v>0</v>
      </c>
      <c r="J23" s="55">
        <v>0</v>
      </c>
      <c r="K23" s="68"/>
      <c r="L23" s="68">
        <f t="shared" si="0"/>
        <v>0</v>
      </c>
      <c r="N23"/>
    </row>
    <row r="24" spans="1:14">
      <c r="A24" s="1" t="s">
        <v>2</v>
      </c>
      <c r="B24" s="4" t="s">
        <v>37</v>
      </c>
      <c r="C24" s="13">
        <v>0</v>
      </c>
      <c r="D24" s="14">
        <v>0</v>
      </c>
      <c r="E24" s="45"/>
      <c r="F24" s="12">
        <v>0.16666666666666666</v>
      </c>
      <c r="G24" s="13">
        <v>0.16666666666666666</v>
      </c>
      <c r="H24" s="13">
        <v>0.125</v>
      </c>
      <c r="I24" s="13">
        <v>8.3333333333333329E-2</v>
      </c>
      <c r="J24" s="55">
        <v>4.1666666666666664E-2</v>
      </c>
      <c r="K24" s="68">
        <f>SUM(F24:J24)</f>
        <v>0.58333333333333326</v>
      </c>
      <c r="L24" s="68">
        <f t="shared" si="0"/>
        <v>0.58333333333333326</v>
      </c>
      <c r="N24"/>
    </row>
    <row r="25" spans="1:14" ht="19.5" thickBot="1">
      <c r="A25" s="1" t="s">
        <v>2</v>
      </c>
      <c r="B25" s="5" t="s">
        <v>38</v>
      </c>
      <c r="C25" s="33">
        <v>24</v>
      </c>
      <c r="D25" s="34">
        <v>16</v>
      </c>
      <c r="E25" s="46">
        <f>SUM(C25:D25)</f>
        <v>40</v>
      </c>
      <c r="F25" s="32">
        <v>2</v>
      </c>
      <c r="G25" s="33">
        <v>6</v>
      </c>
      <c r="H25" s="33">
        <v>13</v>
      </c>
      <c r="I25" s="33">
        <v>16</v>
      </c>
      <c r="J25" s="56">
        <v>9</v>
      </c>
      <c r="K25" s="69">
        <f>SUM(F25:J25)</f>
        <v>46</v>
      </c>
      <c r="L25" s="69">
        <f t="shared" si="0"/>
        <v>86</v>
      </c>
      <c r="N25"/>
    </row>
    <row r="26" spans="1:14">
      <c r="A26" s="1" t="s">
        <v>2</v>
      </c>
      <c r="B26" s="21" t="s">
        <v>39</v>
      </c>
      <c r="C26" s="30">
        <v>365000</v>
      </c>
      <c r="D26" s="31">
        <v>0</v>
      </c>
      <c r="E26" s="31">
        <f>SUM(C26:D26)</f>
        <v>365000</v>
      </c>
      <c r="F26" s="29">
        <v>187000</v>
      </c>
      <c r="G26" s="30">
        <v>187000</v>
      </c>
      <c r="H26" s="30">
        <v>182000</v>
      </c>
      <c r="I26" s="30">
        <v>187000</v>
      </c>
      <c r="J26" s="57">
        <v>170000</v>
      </c>
      <c r="K26" s="70">
        <f>SUM(F26:J26)</f>
        <v>913000</v>
      </c>
      <c r="L26" s="70">
        <f t="shared" si="0"/>
        <v>1278000</v>
      </c>
      <c r="N26"/>
    </row>
    <row r="27" spans="1:14">
      <c r="A27" s="1" t="s">
        <v>2</v>
      </c>
      <c r="B27" s="4" t="s">
        <v>40</v>
      </c>
      <c r="C27" s="16">
        <v>0</v>
      </c>
      <c r="D27" s="17">
        <v>0</v>
      </c>
      <c r="E27" s="17">
        <f t="shared" ref="E27:E63" si="3">SUM(C27:D27)</f>
        <v>0</v>
      </c>
      <c r="F27" s="15">
        <v>0</v>
      </c>
      <c r="G27" s="16">
        <v>0</v>
      </c>
      <c r="H27" s="16">
        <v>0</v>
      </c>
      <c r="I27" s="16">
        <v>0</v>
      </c>
      <c r="J27" s="58">
        <v>0</v>
      </c>
      <c r="K27" s="71">
        <f t="shared" ref="K27:K63" si="4">SUM(F27:J27)</f>
        <v>0</v>
      </c>
      <c r="L27" s="71">
        <f t="shared" si="0"/>
        <v>0</v>
      </c>
      <c r="N27"/>
    </row>
    <row r="28" spans="1:14">
      <c r="A28" s="1" t="s">
        <v>2</v>
      </c>
      <c r="B28" s="4" t="s">
        <v>41</v>
      </c>
      <c r="C28" s="16">
        <v>0</v>
      </c>
      <c r="D28" s="17">
        <v>0</v>
      </c>
      <c r="E28" s="17">
        <f t="shared" si="3"/>
        <v>0</v>
      </c>
      <c r="F28" s="15">
        <v>6000</v>
      </c>
      <c r="G28" s="16">
        <v>0</v>
      </c>
      <c r="H28" s="16">
        <v>6000</v>
      </c>
      <c r="I28" s="16">
        <v>0</v>
      </c>
      <c r="J28" s="58">
        <v>0</v>
      </c>
      <c r="K28" s="71">
        <f t="shared" si="4"/>
        <v>12000</v>
      </c>
      <c r="L28" s="71">
        <f t="shared" si="0"/>
        <v>12000</v>
      </c>
      <c r="N28"/>
    </row>
    <row r="29" spans="1:14">
      <c r="A29" s="1" t="s">
        <v>2</v>
      </c>
      <c r="B29" s="4" t="s">
        <v>42</v>
      </c>
      <c r="C29" s="16">
        <v>0</v>
      </c>
      <c r="D29" s="17">
        <v>0</v>
      </c>
      <c r="E29" s="17">
        <f t="shared" si="3"/>
        <v>0</v>
      </c>
      <c r="F29" s="15">
        <v>0</v>
      </c>
      <c r="G29" s="16">
        <v>0</v>
      </c>
      <c r="H29" s="16">
        <v>0</v>
      </c>
      <c r="I29" s="16">
        <v>0</v>
      </c>
      <c r="J29" s="58">
        <v>0</v>
      </c>
      <c r="K29" s="71">
        <f t="shared" si="4"/>
        <v>0</v>
      </c>
      <c r="L29" s="71">
        <f t="shared" si="0"/>
        <v>0</v>
      </c>
      <c r="N29"/>
    </row>
    <row r="30" spans="1:14">
      <c r="A30" s="1" t="s">
        <v>2</v>
      </c>
      <c r="B30" s="4" t="s">
        <v>43</v>
      </c>
      <c r="C30" s="16">
        <v>0</v>
      </c>
      <c r="D30" s="17">
        <v>0</v>
      </c>
      <c r="E30" s="17">
        <f t="shared" si="3"/>
        <v>0</v>
      </c>
      <c r="F30" s="15">
        <v>74655</v>
      </c>
      <c r="G30" s="16">
        <v>70952</v>
      </c>
      <c r="H30" s="16">
        <v>63360</v>
      </c>
      <c r="I30" s="16">
        <v>61096</v>
      </c>
      <c r="J30" s="58">
        <v>64923</v>
      </c>
      <c r="K30" s="71">
        <f t="shared" si="4"/>
        <v>334986</v>
      </c>
      <c r="L30" s="71">
        <f t="shared" si="0"/>
        <v>334986</v>
      </c>
      <c r="N30"/>
    </row>
    <row r="31" spans="1:14">
      <c r="A31" s="1" t="s">
        <v>2</v>
      </c>
      <c r="B31" s="4" t="s">
        <v>44</v>
      </c>
      <c r="C31" s="16">
        <v>0</v>
      </c>
      <c r="D31" s="17">
        <v>80640</v>
      </c>
      <c r="E31" s="17">
        <f t="shared" si="3"/>
        <v>80640</v>
      </c>
      <c r="F31" s="15">
        <v>0</v>
      </c>
      <c r="G31" s="16">
        <v>0</v>
      </c>
      <c r="H31" s="16">
        <v>0</v>
      </c>
      <c r="I31" s="16">
        <v>0</v>
      </c>
      <c r="J31" s="58">
        <v>0</v>
      </c>
      <c r="K31" s="71">
        <f t="shared" si="4"/>
        <v>0</v>
      </c>
      <c r="L31" s="71">
        <f t="shared" si="0"/>
        <v>80640</v>
      </c>
      <c r="N31"/>
    </row>
    <row r="32" spans="1:14">
      <c r="A32" s="1" t="s">
        <v>2</v>
      </c>
      <c r="B32" s="4" t="s">
        <v>45</v>
      </c>
      <c r="C32" s="16">
        <v>0</v>
      </c>
      <c r="D32" s="17">
        <v>0</v>
      </c>
      <c r="E32" s="17">
        <f t="shared" si="3"/>
        <v>0</v>
      </c>
      <c r="F32" s="15">
        <v>0</v>
      </c>
      <c r="G32" s="16">
        <v>0</v>
      </c>
      <c r="H32" s="16">
        <v>0</v>
      </c>
      <c r="I32" s="16">
        <v>0</v>
      </c>
      <c r="J32" s="58">
        <v>0</v>
      </c>
      <c r="K32" s="71">
        <f t="shared" si="4"/>
        <v>0</v>
      </c>
      <c r="L32" s="71">
        <f t="shared" si="0"/>
        <v>0</v>
      </c>
      <c r="N32"/>
    </row>
    <row r="33" spans="1:14">
      <c r="A33" s="1" t="s">
        <v>2</v>
      </c>
      <c r="B33" s="4" t="s">
        <v>46</v>
      </c>
      <c r="C33" s="16">
        <v>0</v>
      </c>
      <c r="D33" s="17">
        <v>0</v>
      </c>
      <c r="E33" s="17">
        <f t="shared" si="3"/>
        <v>0</v>
      </c>
      <c r="F33" s="15">
        <v>0</v>
      </c>
      <c r="G33" s="16">
        <v>0</v>
      </c>
      <c r="H33" s="16">
        <v>0</v>
      </c>
      <c r="I33" s="16">
        <v>0</v>
      </c>
      <c r="J33" s="58">
        <v>0</v>
      </c>
      <c r="K33" s="71">
        <f t="shared" si="4"/>
        <v>0</v>
      </c>
      <c r="L33" s="71">
        <f t="shared" si="0"/>
        <v>0</v>
      </c>
      <c r="N33"/>
    </row>
    <row r="34" spans="1:14">
      <c r="A34" s="1" t="s">
        <v>2</v>
      </c>
      <c r="B34" s="4" t="s">
        <v>47</v>
      </c>
      <c r="C34" s="16">
        <v>0</v>
      </c>
      <c r="D34" s="17">
        <v>0</v>
      </c>
      <c r="E34" s="17">
        <f t="shared" si="3"/>
        <v>0</v>
      </c>
      <c r="F34" s="15">
        <v>0</v>
      </c>
      <c r="G34" s="16">
        <v>0</v>
      </c>
      <c r="H34" s="16">
        <v>0</v>
      </c>
      <c r="I34" s="16">
        <v>0</v>
      </c>
      <c r="J34" s="58">
        <v>0</v>
      </c>
      <c r="K34" s="71">
        <f t="shared" si="4"/>
        <v>0</v>
      </c>
      <c r="L34" s="71">
        <f t="shared" si="0"/>
        <v>0</v>
      </c>
      <c r="N34"/>
    </row>
    <row r="35" spans="1:14">
      <c r="A35" s="1" t="s">
        <v>2</v>
      </c>
      <c r="B35" s="4" t="s">
        <v>48</v>
      </c>
      <c r="C35" s="16">
        <v>0</v>
      </c>
      <c r="D35" s="17">
        <v>0</v>
      </c>
      <c r="E35" s="17">
        <f t="shared" si="3"/>
        <v>0</v>
      </c>
      <c r="F35" s="15">
        <v>1000</v>
      </c>
      <c r="G35" s="16">
        <v>1000</v>
      </c>
      <c r="H35" s="16">
        <v>0</v>
      </c>
      <c r="I35" s="16">
        <v>1000</v>
      </c>
      <c r="J35" s="58">
        <v>0</v>
      </c>
      <c r="K35" s="71">
        <f t="shared" si="4"/>
        <v>3000</v>
      </c>
      <c r="L35" s="71">
        <f t="shared" si="0"/>
        <v>3000</v>
      </c>
      <c r="N35"/>
    </row>
    <row r="36" spans="1:14">
      <c r="A36" s="1" t="s">
        <v>2</v>
      </c>
      <c r="B36" s="4" t="s">
        <v>49</v>
      </c>
      <c r="C36" s="16">
        <v>0</v>
      </c>
      <c r="D36" s="17">
        <v>0</v>
      </c>
      <c r="E36" s="17">
        <f t="shared" si="3"/>
        <v>0</v>
      </c>
      <c r="F36" s="15">
        <v>0</v>
      </c>
      <c r="G36" s="16">
        <v>0</v>
      </c>
      <c r="H36" s="16">
        <v>0</v>
      </c>
      <c r="I36" s="16">
        <v>0</v>
      </c>
      <c r="J36" s="58">
        <v>0</v>
      </c>
      <c r="K36" s="71">
        <f t="shared" si="4"/>
        <v>0</v>
      </c>
      <c r="L36" s="71">
        <f t="shared" si="0"/>
        <v>0</v>
      </c>
      <c r="N36"/>
    </row>
    <row r="37" spans="1:14">
      <c r="A37" s="1" t="s">
        <v>2</v>
      </c>
      <c r="B37" s="4" t="s">
        <v>50</v>
      </c>
      <c r="C37" s="16">
        <v>0</v>
      </c>
      <c r="D37" s="17">
        <v>0</v>
      </c>
      <c r="E37" s="17">
        <f t="shared" si="3"/>
        <v>0</v>
      </c>
      <c r="F37" s="15">
        <v>0</v>
      </c>
      <c r="G37" s="16">
        <v>0</v>
      </c>
      <c r="H37" s="16">
        <v>0</v>
      </c>
      <c r="I37" s="16">
        <v>0</v>
      </c>
      <c r="J37" s="58">
        <v>0</v>
      </c>
      <c r="K37" s="71">
        <f t="shared" si="4"/>
        <v>0</v>
      </c>
      <c r="L37" s="71">
        <f t="shared" si="0"/>
        <v>0</v>
      </c>
      <c r="N37"/>
    </row>
    <row r="38" spans="1:14">
      <c r="A38" s="1" t="s">
        <v>2</v>
      </c>
      <c r="B38" s="4" t="s">
        <v>51</v>
      </c>
      <c r="C38" s="16">
        <v>0</v>
      </c>
      <c r="D38" s="17">
        <v>0</v>
      </c>
      <c r="E38" s="17">
        <f t="shared" si="3"/>
        <v>0</v>
      </c>
      <c r="F38" s="15">
        <v>0</v>
      </c>
      <c r="G38" s="16">
        <v>0</v>
      </c>
      <c r="H38" s="16">
        <v>0</v>
      </c>
      <c r="I38" s="16">
        <v>0</v>
      </c>
      <c r="J38" s="58">
        <v>0</v>
      </c>
      <c r="K38" s="71">
        <f t="shared" si="4"/>
        <v>0</v>
      </c>
      <c r="L38" s="71">
        <f t="shared" si="0"/>
        <v>0</v>
      </c>
      <c r="N38"/>
    </row>
    <row r="39" spans="1:14">
      <c r="A39" s="1" t="s">
        <v>2</v>
      </c>
      <c r="B39" s="4" t="s">
        <v>29</v>
      </c>
      <c r="C39" s="16">
        <v>0</v>
      </c>
      <c r="D39" s="17">
        <v>0</v>
      </c>
      <c r="E39" s="17">
        <f t="shared" si="3"/>
        <v>0</v>
      </c>
      <c r="F39" s="15">
        <v>26154</v>
      </c>
      <c r="G39" s="16">
        <v>26752</v>
      </c>
      <c r="H39" s="16">
        <v>36608</v>
      </c>
      <c r="I39" s="16">
        <v>36608</v>
      </c>
      <c r="J39" s="58">
        <v>11457</v>
      </c>
      <c r="K39" s="71">
        <f t="shared" si="4"/>
        <v>137579</v>
      </c>
      <c r="L39" s="71">
        <f t="shared" si="0"/>
        <v>137579</v>
      </c>
      <c r="N39"/>
    </row>
    <row r="40" spans="1:14">
      <c r="A40" s="1" t="s">
        <v>2</v>
      </c>
      <c r="B40" s="4" t="s">
        <v>52</v>
      </c>
      <c r="C40" s="16">
        <v>0</v>
      </c>
      <c r="D40" s="17">
        <v>0</v>
      </c>
      <c r="E40" s="17">
        <f t="shared" si="3"/>
        <v>0</v>
      </c>
      <c r="F40" s="15">
        <v>9414</v>
      </c>
      <c r="G40" s="16">
        <v>30400</v>
      </c>
      <c r="H40" s="16">
        <v>41040</v>
      </c>
      <c r="I40" s="16">
        <v>15200</v>
      </c>
      <c r="J40" s="58">
        <v>26106</v>
      </c>
      <c r="K40" s="71">
        <f t="shared" si="4"/>
        <v>122160</v>
      </c>
      <c r="L40" s="71">
        <f t="shared" si="0"/>
        <v>122160</v>
      </c>
      <c r="N40"/>
    </row>
    <row r="41" spans="1:14">
      <c r="A41" s="1" t="s">
        <v>2</v>
      </c>
      <c r="B41" s="4" t="s">
        <v>53</v>
      </c>
      <c r="C41" s="16">
        <v>0</v>
      </c>
      <c r="D41" s="17">
        <v>0</v>
      </c>
      <c r="E41" s="17">
        <f t="shared" si="3"/>
        <v>0</v>
      </c>
      <c r="F41" s="15">
        <v>0</v>
      </c>
      <c r="G41" s="16">
        <v>0</v>
      </c>
      <c r="H41" s="16">
        <v>10640</v>
      </c>
      <c r="I41" s="16">
        <v>0</v>
      </c>
      <c r="J41" s="58">
        <v>0</v>
      </c>
      <c r="K41" s="71">
        <f t="shared" si="4"/>
        <v>10640</v>
      </c>
      <c r="L41" s="71">
        <f t="shared" si="0"/>
        <v>10640</v>
      </c>
      <c r="N41"/>
    </row>
    <row r="42" spans="1:14">
      <c r="A42" s="1" t="s">
        <v>2</v>
      </c>
      <c r="B42" s="4" t="s">
        <v>54</v>
      </c>
      <c r="C42" s="16">
        <v>0</v>
      </c>
      <c r="D42" s="17">
        <v>0</v>
      </c>
      <c r="E42" s="17">
        <f t="shared" si="3"/>
        <v>0</v>
      </c>
      <c r="F42" s="15">
        <v>0</v>
      </c>
      <c r="G42" s="16">
        <v>0</v>
      </c>
      <c r="H42" s="16">
        <v>0</v>
      </c>
      <c r="I42" s="16">
        <v>0</v>
      </c>
      <c r="J42" s="58">
        <v>0</v>
      </c>
      <c r="K42" s="71">
        <f t="shared" si="4"/>
        <v>0</v>
      </c>
      <c r="L42" s="71">
        <f t="shared" si="0"/>
        <v>0</v>
      </c>
      <c r="N42"/>
    </row>
    <row r="43" spans="1:14">
      <c r="A43" s="1" t="s">
        <v>2</v>
      </c>
      <c r="B43" s="4" t="s">
        <v>55</v>
      </c>
      <c r="C43" s="16">
        <v>0</v>
      </c>
      <c r="D43" s="17">
        <v>0</v>
      </c>
      <c r="E43" s="17">
        <f t="shared" si="3"/>
        <v>0</v>
      </c>
      <c r="F43" s="15">
        <v>1221</v>
      </c>
      <c r="G43" s="16">
        <v>0</v>
      </c>
      <c r="H43" s="16">
        <v>0</v>
      </c>
      <c r="I43" s="16">
        <v>0</v>
      </c>
      <c r="J43" s="58">
        <v>0</v>
      </c>
      <c r="K43" s="71">
        <f t="shared" si="4"/>
        <v>1221</v>
      </c>
      <c r="L43" s="71">
        <f t="shared" si="0"/>
        <v>1221</v>
      </c>
      <c r="N43"/>
    </row>
    <row r="44" spans="1:14">
      <c r="A44" s="1" t="s">
        <v>2</v>
      </c>
      <c r="B44" s="4" t="s">
        <v>56</v>
      </c>
      <c r="C44" s="16">
        <v>0</v>
      </c>
      <c r="D44" s="17">
        <v>0</v>
      </c>
      <c r="E44" s="17">
        <f t="shared" si="3"/>
        <v>0</v>
      </c>
      <c r="F44" s="15">
        <v>0</v>
      </c>
      <c r="G44" s="16">
        <v>0</v>
      </c>
      <c r="H44" s="16">
        <v>0</v>
      </c>
      <c r="I44" s="16">
        <v>0</v>
      </c>
      <c r="J44" s="58">
        <v>0</v>
      </c>
      <c r="K44" s="71">
        <f t="shared" si="4"/>
        <v>0</v>
      </c>
      <c r="L44" s="71">
        <f t="shared" si="0"/>
        <v>0</v>
      </c>
      <c r="N44"/>
    </row>
    <row r="45" spans="1:14" ht="19.5" thickBot="1">
      <c r="A45" s="1" t="s">
        <v>2</v>
      </c>
      <c r="B45" s="35" t="s">
        <v>37</v>
      </c>
      <c r="C45" s="37">
        <v>0</v>
      </c>
      <c r="D45" s="38">
        <v>0</v>
      </c>
      <c r="E45" s="38">
        <f t="shared" si="3"/>
        <v>0</v>
      </c>
      <c r="F45" s="36">
        <v>1164</v>
      </c>
      <c r="G45" s="37">
        <v>1128</v>
      </c>
      <c r="H45" s="37">
        <v>846</v>
      </c>
      <c r="I45" s="37">
        <v>564</v>
      </c>
      <c r="J45" s="59">
        <v>255</v>
      </c>
      <c r="K45" s="72">
        <f t="shared" si="4"/>
        <v>3957</v>
      </c>
      <c r="L45" s="72">
        <f t="shared" si="0"/>
        <v>3957</v>
      </c>
      <c r="N45"/>
    </row>
    <row r="46" spans="1:14" ht="19.5" thickBot="1">
      <c r="A46" s="1" t="s">
        <v>2</v>
      </c>
      <c r="B46" s="39" t="s">
        <v>57</v>
      </c>
      <c r="C46" s="41">
        <v>365000</v>
      </c>
      <c r="D46" s="42">
        <v>80640</v>
      </c>
      <c r="E46" s="42">
        <f t="shared" si="3"/>
        <v>445640</v>
      </c>
      <c r="F46" s="40">
        <v>306608</v>
      </c>
      <c r="G46" s="41">
        <v>317232</v>
      </c>
      <c r="H46" s="41">
        <v>340494</v>
      </c>
      <c r="I46" s="41">
        <v>301468</v>
      </c>
      <c r="J46" s="60">
        <v>272741</v>
      </c>
      <c r="K46" s="73">
        <f t="shared" si="4"/>
        <v>1538543</v>
      </c>
      <c r="L46" s="73">
        <f t="shared" si="0"/>
        <v>1984183</v>
      </c>
      <c r="N46"/>
    </row>
    <row r="47" spans="1:14" ht="19.5" thickBot="1">
      <c r="A47" s="1" t="s">
        <v>2</v>
      </c>
      <c r="B47" s="21" t="s">
        <v>58</v>
      </c>
      <c r="C47" s="30">
        <v>3831</v>
      </c>
      <c r="D47" s="31">
        <v>2849</v>
      </c>
      <c r="E47" s="31">
        <f t="shared" si="3"/>
        <v>6680</v>
      </c>
      <c r="F47" s="29">
        <v>5458</v>
      </c>
      <c r="G47" s="30">
        <v>4309</v>
      </c>
      <c r="H47" s="30">
        <v>8547</v>
      </c>
      <c r="I47" s="30">
        <v>1293</v>
      </c>
      <c r="J47" s="57">
        <v>5746</v>
      </c>
      <c r="K47" s="70">
        <f t="shared" si="4"/>
        <v>25353</v>
      </c>
      <c r="L47" s="70">
        <f t="shared" si="0"/>
        <v>32033</v>
      </c>
      <c r="N47"/>
    </row>
    <row r="48" spans="1:14" ht="19.5" thickBot="1">
      <c r="A48" s="1" t="s">
        <v>2</v>
      </c>
      <c r="B48" s="39" t="s">
        <v>59</v>
      </c>
      <c r="C48" s="41">
        <v>3831</v>
      </c>
      <c r="D48" s="42">
        <v>2849</v>
      </c>
      <c r="E48" s="42">
        <f t="shared" si="3"/>
        <v>6680</v>
      </c>
      <c r="F48" s="40">
        <v>5458</v>
      </c>
      <c r="G48" s="41">
        <v>4309</v>
      </c>
      <c r="H48" s="41">
        <v>8547</v>
      </c>
      <c r="I48" s="41">
        <v>1293</v>
      </c>
      <c r="J48" s="60">
        <v>5746</v>
      </c>
      <c r="K48" s="73">
        <f t="shared" si="4"/>
        <v>25353</v>
      </c>
      <c r="L48" s="73">
        <f t="shared" si="0"/>
        <v>32033</v>
      </c>
      <c r="N48"/>
    </row>
    <row r="49" spans="1:14" ht="19.5" thickBot="1">
      <c r="A49" s="1" t="s">
        <v>2</v>
      </c>
      <c r="B49" s="39" t="s">
        <v>60</v>
      </c>
      <c r="C49" s="41">
        <v>368831</v>
      </c>
      <c r="D49" s="42">
        <v>83489</v>
      </c>
      <c r="E49" s="42">
        <f t="shared" si="3"/>
        <v>452320</v>
      </c>
      <c r="F49" s="40">
        <v>312066</v>
      </c>
      <c r="G49" s="41">
        <v>321541</v>
      </c>
      <c r="H49" s="41">
        <v>349041</v>
      </c>
      <c r="I49" s="41">
        <v>302761</v>
      </c>
      <c r="J49" s="60">
        <v>278487</v>
      </c>
      <c r="K49" s="73">
        <f t="shared" si="4"/>
        <v>1563896</v>
      </c>
      <c r="L49" s="73">
        <f t="shared" si="0"/>
        <v>2016216</v>
      </c>
      <c r="N49"/>
    </row>
    <row r="50" spans="1:14">
      <c r="A50" s="1" t="s">
        <v>2</v>
      </c>
      <c r="B50" s="21" t="s">
        <v>61</v>
      </c>
      <c r="C50" s="30">
        <v>18360</v>
      </c>
      <c r="D50" s="31">
        <v>0</v>
      </c>
      <c r="E50" s="31">
        <f t="shared" si="3"/>
        <v>18360</v>
      </c>
      <c r="F50" s="29">
        <v>16320</v>
      </c>
      <c r="G50" s="30">
        <v>17340</v>
      </c>
      <c r="H50" s="30">
        <v>16320</v>
      </c>
      <c r="I50" s="30">
        <v>16320</v>
      </c>
      <c r="J50" s="57">
        <v>13260</v>
      </c>
      <c r="K50" s="70">
        <f t="shared" si="4"/>
        <v>79560</v>
      </c>
      <c r="L50" s="70">
        <f t="shared" si="0"/>
        <v>97920</v>
      </c>
      <c r="N50"/>
    </row>
    <row r="51" spans="1:14">
      <c r="A51" s="1" t="s">
        <v>2</v>
      </c>
      <c r="B51" s="4" t="s">
        <v>62</v>
      </c>
      <c r="C51" s="16">
        <v>3240</v>
      </c>
      <c r="D51" s="17">
        <v>0</v>
      </c>
      <c r="E51" s="17">
        <f t="shared" si="3"/>
        <v>3240</v>
      </c>
      <c r="F51" s="15">
        <v>0</v>
      </c>
      <c r="G51" s="16">
        <v>3060</v>
      </c>
      <c r="H51" s="16">
        <v>2880</v>
      </c>
      <c r="I51" s="16">
        <v>2880</v>
      </c>
      <c r="J51" s="58">
        <v>2340</v>
      </c>
      <c r="K51" s="71">
        <f t="shared" si="4"/>
        <v>11160</v>
      </c>
      <c r="L51" s="71">
        <f t="shared" si="0"/>
        <v>14400</v>
      </c>
      <c r="N51"/>
    </row>
    <row r="52" spans="1:14">
      <c r="A52" s="1" t="s">
        <v>2</v>
      </c>
      <c r="B52" s="4" t="s">
        <v>63</v>
      </c>
      <c r="C52" s="16">
        <v>32940</v>
      </c>
      <c r="D52" s="17">
        <v>0</v>
      </c>
      <c r="E52" s="17">
        <f t="shared" si="3"/>
        <v>32940</v>
      </c>
      <c r="F52" s="15">
        <v>29280</v>
      </c>
      <c r="G52" s="16">
        <v>31110</v>
      </c>
      <c r="H52" s="16">
        <v>29280</v>
      </c>
      <c r="I52" s="16">
        <v>29280</v>
      </c>
      <c r="J52" s="58">
        <v>23790</v>
      </c>
      <c r="K52" s="71">
        <f t="shared" si="4"/>
        <v>142740</v>
      </c>
      <c r="L52" s="71">
        <f t="shared" si="0"/>
        <v>175680</v>
      </c>
      <c r="N52"/>
    </row>
    <row r="53" spans="1:14" ht="19.5" thickBot="1">
      <c r="A53" s="1" t="s">
        <v>2</v>
      </c>
      <c r="B53" s="4" t="s">
        <v>64</v>
      </c>
      <c r="C53" s="16">
        <v>1106</v>
      </c>
      <c r="D53" s="17">
        <v>250</v>
      </c>
      <c r="E53" s="17">
        <f t="shared" si="3"/>
        <v>1356</v>
      </c>
      <c r="F53" s="15">
        <v>936</v>
      </c>
      <c r="G53" s="16">
        <v>965</v>
      </c>
      <c r="H53" s="16">
        <v>1047</v>
      </c>
      <c r="I53" s="16">
        <v>908</v>
      </c>
      <c r="J53" s="58">
        <v>835</v>
      </c>
      <c r="K53" s="71">
        <f t="shared" si="4"/>
        <v>4691</v>
      </c>
      <c r="L53" s="71">
        <f t="shared" si="0"/>
        <v>6047</v>
      </c>
      <c r="N53"/>
    </row>
    <row r="54" spans="1:14" ht="19.5" thickBot="1">
      <c r="A54" s="1" t="s">
        <v>2</v>
      </c>
      <c r="B54" s="39" t="s">
        <v>65</v>
      </c>
      <c r="C54" s="41">
        <v>55646</v>
      </c>
      <c r="D54" s="42">
        <v>250</v>
      </c>
      <c r="E54" s="42">
        <f t="shared" si="3"/>
        <v>55896</v>
      </c>
      <c r="F54" s="40">
        <v>46536</v>
      </c>
      <c r="G54" s="41">
        <v>52475</v>
      </c>
      <c r="H54" s="41">
        <v>49527</v>
      </c>
      <c r="I54" s="41">
        <v>49388</v>
      </c>
      <c r="J54" s="60">
        <v>40225</v>
      </c>
      <c r="K54" s="73">
        <f t="shared" si="4"/>
        <v>238151</v>
      </c>
      <c r="L54" s="73">
        <f t="shared" si="0"/>
        <v>294047</v>
      </c>
      <c r="N54"/>
    </row>
    <row r="55" spans="1:14">
      <c r="A55" s="1" t="s">
        <v>2</v>
      </c>
      <c r="B55" s="21" t="s">
        <v>66</v>
      </c>
      <c r="C55" s="30">
        <v>9140</v>
      </c>
      <c r="D55" s="31">
        <v>0</v>
      </c>
      <c r="E55" s="31">
        <f t="shared" si="3"/>
        <v>9140</v>
      </c>
      <c r="F55" s="29">
        <v>6910</v>
      </c>
      <c r="G55" s="30">
        <v>5460</v>
      </c>
      <c r="H55" s="30">
        <v>6400</v>
      </c>
      <c r="I55" s="30">
        <v>5010</v>
      </c>
      <c r="J55" s="57">
        <v>5930</v>
      </c>
      <c r="K55" s="70">
        <f t="shared" si="4"/>
        <v>29710</v>
      </c>
      <c r="L55" s="70">
        <f t="shared" si="0"/>
        <v>38850</v>
      </c>
      <c r="N55"/>
    </row>
    <row r="56" spans="1:14">
      <c r="A56" s="1" t="s">
        <v>2</v>
      </c>
      <c r="B56" s="4" t="s">
        <v>67</v>
      </c>
      <c r="C56" s="16">
        <v>0</v>
      </c>
      <c r="D56" s="17">
        <v>0</v>
      </c>
      <c r="E56" s="17">
        <f t="shared" si="3"/>
        <v>0</v>
      </c>
      <c r="F56" s="15">
        <v>0</v>
      </c>
      <c r="G56" s="16">
        <v>0</v>
      </c>
      <c r="H56" s="16">
        <v>0</v>
      </c>
      <c r="I56" s="16">
        <v>0</v>
      </c>
      <c r="J56" s="58">
        <v>0</v>
      </c>
      <c r="K56" s="71">
        <f t="shared" si="4"/>
        <v>0</v>
      </c>
      <c r="L56" s="71">
        <f t="shared" ref="L56:L63" si="5">E56+K56</f>
        <v>0</v>
      </c>
      <c r="N56"/>
    </row>
    <row r="57" spans="1:14">
      <c r="A57" s="1" t="s">
        <v>2</v>
      </c>
      <c r="B57" s="4" t="s">
        <v>68</v>
      </c>
      <c r="C57" s="16">
        <v>18800</v>
      </c>
      <c r="D57" s="17">
        <v>500</v>
      </c>
      <c r="E57" s="17">
        <f t="shared" si="3"/>
        <v>19300</v>
      </c>
      <c r="F57" s="15">
        <v>11900</v>
      </c>
      <c r="G57" s="16">
        <v>6100</v>
      </c>
      <c r="H57" s="16">
        <v>6800</v>
      </c>
      <c r="I57" s="16">
        <v>10800</v>
      </c>
      <c r="J57" s="58">
        <v>10400</v>
      </c>
      <c r="K57" s="71">
        <f t="shared" si="4"/>
        <v>46000</v>
      </c>
      <c r="L57" s="71">
        <f t="shared" si="5"/>
        <v>65300</v>
      </c>
      <c r="N57"/>
    </row>
    <row r="58" spans="1:14" ht="19.5" thickBot="1">
      <c r="A58" s="1" t="s">
        <v>2</v>
      </c>
      <c r="B58" s="35" t="s">
        <v>69</v>
      </c>
      <c r="C58" s="37">
        <v>0</v>
      </c>
      <c r="D58" s="17">
        <v>0</v>
      </c>
      <c r="E58" s="17">
        <f t="shared" si="3"/>
        <v>0</v>
      </c>
      <c r="F58" s="15">
        <v>0</v>
      </c>
      <c r="G58" s="16">
        <v>5000</v>
      </c>
      <c r="H58" s="16">
        <v>0</v>
      </c>
      <c r="I58" s="16">
        <v>0</v>
      </c>
      <c r="J58" s="58">
        <v>0</v>
      </c>
      <c r="K58" s="71">
        <f t="shared" si="4"/>
        <v>5000</v>
      </c>
      <c r="L58" s="71">
        <f t="shared" si="5"/>
        <v>5000</v>
      </c>
      <c r="N58"/>
    </row>
    <row r="59" spans="1:14" ht="19.5" thickBot="1">
      <c r="A59" s="1" t="s">
        <v>2</v>
      </c>
      <c r="B59" s="39" t="s">
        <v>70</v>
      </c>
      <c r="C59" s="41">
        <v>83586</v>
      </c>
      <c r="D59" s="42">
        <v>750</v>
      </c>
      <c r="E59" s="42">
        <f t="shared" si="3"/>
        <v>84336</v>
      </c>
      <c r="F59" s="40">
        <v>65346</v>
      </c>
      <c r="G59" s="41">
        <v>69035</v>
      </c>
      <c r="H59" s="41">
        <v>62727</v>
      </c>
      <c r="I59" s="41">
        <v>65198</v>
      </c>
      <c r="J59" s="60">
        <v>56555</v>
      </c>
      <c r="K59" s="73">
        <f t="shared" si="4"/>
        <v>318861</v>
      </c>
      <c r="L59" s="73">
        <f t="shared" si="5"/>
        <v>403197</v>
      </c>
      <c r="N59"/>
    </row>
    <row r="60" spans="1:14" ht="19.5" thickBot="1">
      <c r="A60" s="1" t="s">
        <v>2</v>
      </c>
      <c r="B60" s="39" t="s">
        <v>71</v>
      </c>
      <c r="C60" s="41">
        <v>309354</v>
      </c>
      <c r="D60" s="42">
        <v>80390</v>
      </c>
      <c r="E60" s="42">
        <f t="shared" si="3"/>
        <v>389744</v>
      </c>
      <c r="F60" s="40">
        <v>260072</v>
      </c>
      <c r="G60" s="41">
        <v>264757</v>
      </c>
      <c r="H60" s="41">
        <v>290967</v>
      </c>
      <c r="I60" s="41">
        <v>252080</v>
      </c>
      <c r="J60" s="60">
        <v>232516</v>
      </c>
      <c r="K60" s="73">
        <f t="shared" si="4"/>
        <v>1300392</v>
      </c>
      <c r="L60" s="73">
        <f t="shared" si="5"/>
        <v>1690136</v>
      </c>
      <c r="N60"/>
    </row>
    <row r="61" spans="1:14" ht="19.5" thickBot="1">
      <c r="A61" s="1" t="s">
        <v>2</v>
      </c>
      <c r="B61" s="39" t="s">
        <v>72</v>
      </c>
      <c r="C61" s="41">
        <v>285245</v>
      </c>
      <c r="D61" s="42">
        <v>82739</v>
      </c>
      <c r="E61" s="42">
        <f t="shared" si="3"/>
        <v>367984</v>
      </c>
      <c r="F61" s="40">
        <v>246720</v>
      </c>
      <c r="G61" s="41">
        <v>252506</v>
      </c>
      <c r="H61" s="41">
        <v>286314</v>
      </c>
      <c r="I61" s="41">
        <v>237563</v>
      </c>
      <c r="J61" s="60">
        <v>221932</v>
      </c>
      <c r="K61" s="73">
        <f t="shared" si="4"/>
        <v>1245035</v>
      </c>
      <c r="L61" s="73">
        <f t="shared" si="5"/>
        <v>1613019</v>
      </c>
      <c r="N61"/>
    </row>
    <row r="62" spans="1:14">
      <c r="A62" s="1" t="s">
        <v>2</v>
      </c>
      <c r="B62" s="21" t="s">
        <v>73</v>
      </c>
      <c r="C62" s="30">
        <v>0</v>
      </c>
      <c r="D62" s="31">
        <v>0</v>
      </c>
      <c r="E62" s="31">
        <f t="shared" si="3"/>
        <v>0</v>
      </c>
      <c r="F62" s="29">
        <v>0</v>
      </c>
      <c r="G62" s="30">
        <v>0</v>
      </c>
      <c r="H62" s="30">
        <v>0</v>
      </c>
      <c r="I62" s="30">
        <v>0</v>
      </c>
      <c r="J62" s="57">
        <v>0</v>
      </c>
      <c r="K62" s="70">
        <f t="shared" si="4"/>
        <v>0</v>
      </c>
      <c r="L62" s="70">
        <f t="shared" si="5"/>
        <v>0</v>
      </c>
      <c r="N62"/>
    </row>
    <row r="63" spans="1:14">
      <c r="A63" s="1" t="s">
        <v>2</v>
      </c>
      <c r="B63" s="4" t="s">
        <v>74</v>
      </c>
      <c r="C63" s="16">
        <v>285245</v>
      </c>
      <c r="D63" s="17">
        <v>82739</v>
      </c>
      <c r="E63" s="17">
        <f t="shared" si="3"/>
        <v>367984</v>
      </c>
      <c r="F63" s="15">
        <v>246720</v>
      </c>
      <c r="G63" s="16">
        <v>252506</v>
      </c>
      <c r="H63" s="16">
        <v>286314</v>
      </c>
      <c r="I63" s="16">
        <v>237563</v>
      </c>
      <c r="J63" s="58">
        <v>221932</v>
      </c>
      <c r="K63" s="71">
        <f t="shared" si="4"/>
        <v>1245035</v>
      </c>
      <c r="L63" s="71">
        <f t="shared" si="5"/>
        <v>1613019</v>
      </c>
      <c r="N63"/>
    </row>
    <row r="64" spans="1:14">
      <c r="A64" s="1" t="s">
        <v>2</v>
      </c>
      <c r="B64" s="4" t="s">
        <v>75</v>
      </c>
      <c r="C64" s="16">
        <v>0</v>
      </c>
      <c r="D64" s="17">
        <v>0</v>
      </c>
      <c r="E64" s="47"/>
      <c r="F64" s="15">
        <v>0</v>
      </c>
      <c r="G64" s="16">
        <v>1</v>
      </c>
      <c r="H64" s="16">
        <v>1</v>
      </c>
      <c r="I64" s="16">
        <v>1</v>
      </c>
      <c r="J64" s="58">
        <v>0</v>
      </c>
      <c r="K64" s="71"/>
      <c r="L64" s="71"/>
    </row>
    <row r="65" spans="1:12" ht="19.5" thickBot="1">
      <c r="A65" s="1" t="s">
        <v>2</v>
      </c>
      <c r="B65" s="5" t="s">
        <v>76</v>
      </c>
      <c r="C65" s="19" t="s">
        <v>77</v>
      </c>
      <c r="D65" s="20" t="s">
        <v>77</v>
      </c>
      <c r="E65" s="48"/>
      <c r="F65" s="18" t="s">
        <v>77</v>
      </c>
      <c r="G65" s="19" t="s">
        <v>77</v>
      </c>
      <c r="H65" s="19" t="s">
        <v>77</v>
      </c>
      <c r="I65" s="19" t="s">
        <v>77</v>
      </c>
      <c r="J65" s="61" t="s">
        <v>77</v>
      </c>
      <c r="K65" s="74"/>
      <c r="L65" s="74"/>
    </row>
  </sheetData>
  <phoneticPr fontId="3"/>
  <pageMargins left="0.11811023622047245" right="0.11811023622047245" top="0.15748031496062992" bottom="0.15748031496062992" header="0.11811023622047245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2月度給与 (2)</vt:lpstr>
      <vt:lpstr>'2022年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2022-03-11T04:32:52Z</cp:lastPrinted>
  <dcterms:created xsi:type="dcterms:W3CDTF">2022-03-09T04:56:02Z</dcterms:created>
  <dcterms:modified xsi:type="dcterms:W3CDTF">2022-03-11T06:16:30Z</dcterms:modified>
</cp:coreProperties>
</file>