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4EEB3D22-6475-45CD-A494-D6875B478C83}" xr6:coauthVersionLast="47" xr6:coauthVersionMax="47" xr10:uidLastSave="{00000000-0000-0000-0000-000000000000}"/>
  <bookViews>
    <workbookView xWindow="-120" yWindow="-120" windowWidth="20730" windowHeight="11160" xr2:uid="{0125D8ED-1FA7-472A-BB72-CBE883876912}"/>
  </bookViews>
  <sheets>
    <sheet name="4年夏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10" i="3"/>
  <c r="L13" i="3"/>
  <c r="L14" i="3"/>
  <c r="L17" i="3"/>
  <c r="L18" i="3"/>
  <c r="L21" i="3"/>
  <c r="L22" i="3"/>
  <c r="L25" i="3"/>
  <c r="L26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9" i="3"/>
  <c r="L9" i="3" s="1"/>
  <c r="K6" i="3"/>
  <c r="E11" i="3"/>
  <c r="L11" i="3" s="1"/>
  <c r="E12" i="3"/>
  <c r="L12" i="3" s="1"/>
  <c r="E13" i="3"/>
  <c r="E14" i="3"/>
  <c r="E15" i="3"/>
  <c r="L15" i="3" s="1"/>
  <c r="E16" i="3"/>
  <c r="L16" i="3" s="1"/>
  <c r="E17" i="3"/>
  <c r="E18" i="3"/>
  <c r="E19" i="3"/>
  <c r="L19" i="3" s="1"/>
  <c r="E20" i="3"/>
  <c r="L20" i="3" s="1"/>
  <c r="E21" i="3"/>
  <c r="E22" i="3"/>
  <c r="E23" i="3"/>
  <c r="L23" i="3" s="1"/>
  <c r="E24" i="3"/>
  <c r="L24" i="3" s="1"/>
  <c r="E25" i="3"/>
  <c r="E26" i="3"/>
  <c r="E27" i="3"/>
  <c r="E28" i="3"/>
  <c r="E10" i="3"/>
  <c r="E6" i="3"/>
  <c r="L6" i="3" s="1"/>
</calcChain>
</file>

<file path=xl/sharedStrings.xml><?xml version="1.0" encoding="utf-8"?>
<sst xmlns="http://schemas.openxmlformats.org/spreadsheetml/2006/main" count="69" uniqueCount="45">
  <si>
    <t>賞与支給控除一覧表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</si>
  <si>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</si>
  <si>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</si>
  <si>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</si>
  <si>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</si>
  <si>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</si>
  <si>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</si>
  <si>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</si>
  <si>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</si>
  <si>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</si>
  <si>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</si>
  <si>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</si>
  <si>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</si>
  <si>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</si>
  <si>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</si>
  <si>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</si>
  <si>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</si>
  <si>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</si>
  <si>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</si>
  <si>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</si>
  <si>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</si>
  <si>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</si>
  <si>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</si>
  <si>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</si>
  <si>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</si>
  <si>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</si>
  <si>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</si>
  <si>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</si>
  <si>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</si>
  <si>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</si>
  <si>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</si>
  <si>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</si>
  <si>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</si>
  <si>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</si>
  <si>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</si>
  <si>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</si>
  <si>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</si>
  <si>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</si>
  <si>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</si>
  <si>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</si>
  <si>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</si>
  <si>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2021年度夏季賞与</t>
    <rPh sb="4" eb="6">
      <t>ネンド</t>
    </rPh>
    <rPh sb="6" eb="8">
      <t>カキ</t>
    </rPh>
    <rPh sb="8" eb="10">
      <t>ショウヨ</t>
    </rPh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</si>
  <si>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</si>
  <si>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</si>
  <si>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5名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</si>
</sst>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176" fontId="2" fillId="0" borderId="36" xfId="1" applyNumberFormat="1" applyFont="1" applyBorder="1"/>
    <xf numFmtId="3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176" fontId="2" fillId="0" borderId="42" xfId="1" applyNumberFormat="1" applyFont="1" applyBorder="1"/>
    <xf numFmtId="3" fontId="2" fillId="0" borderId="40" xfId="1" applyNumberFormat="1" applyFont="1" applyBorder="1"/>
  </cellXfs>
  <cellStyles count="2">
    <cellStyle name="標準" xfId="0" builtinId="0"/>
    <cellStyle name="標準 2" xfId="1" xr:uid="{AADA5755-D7D7-473D-BE19-499F68A08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E961-2BED-4951-891E-1CB4923EA151}">
  <dimension ref="B1:L29"/>
  <sheetViews>
    <sheetView showZeros="0" tabSelected="1" workbookViewId="0"/>
  </sheetViews>
  <sheetFormatPr defaultRowHeight="18.75"/>
  <cols>
    <col min="1" max="1" width="9" style="2"/>
    <col min="2" max="2" width="2.375" style="2" customWidth="1"/>
    <col min="3" max="3" width="13.25" style="2" bestFit="1" customWidth="1"/>
    <col min="4" max="12" width="10.25" style="2" customWidth="1"/>
    <col min="13" max="257" width="9" style="2"/>
    <col min="258" max="258" width="2.375" style="2" customWidth="1"/>
    <col min="259" max="259" width="13.25" style="2" bestFit="1" customWidth="1"/>
    <col min="260" max="263" width="11.125" style="2" bestFit="1" customWidth="1"/>
    <col min="264" max="264" width="9" style="2"/>
    <col min="265" max="266" width="11.125" style="2" bestFit="1" customWidth="1"/>
    <col min="267" max="513" width="9" style="2"/>
    <col min="514" max="514" width="2.375" style="2" customWidth="1"/>
    <col min="515" max="515" width="13.25" style="2" bestFit="1" customWidth="1"/>
    <col min="516" max="519" width="11.125" style="2" bestFit="1" customWidth="1"/>
    <col min="520" max="520" width="9" style="2"/>
    <col min="521" max="522" width="11.125" style="2" bestFit="1" customWidth="1"/>
    <col min="523" max="769" width="9" style="2"/>
    <col min="770" max="770" width="2.375" style="2" customWidth="1"/>
    <col min="771" max="771" width="13.25" style="2" bestFit="1" customWidth="1"/>
    <col min="772" max="775" width="11.125" style="2" bestFit="1" customWidth="1"/>
    <col min="776" max="776" width="9" style="2"/>
    <col min="777" max="778" width="11.1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1" width="11.125" style="2" bestFit="1" customWidth="1"/>
    <col min="1032" max="1032" width="9" style="2"/>
    <col min="1033" max="1034" width="11.1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7" width="11.125" style="2" bestFit="1" customWidth="1"/>
    <col min="1288" max="1288" width="9" style="2"/>
    <col min="1289" max="1290" width="11.1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3" width="11.125" style="2" bestFit="1" customWidth="1"/>
    <col min="1544" max="1544" width="9" style="2"/>
    <col min="1545" max="1546" width="11.1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9" width="11.125" style="2" bestFit="1" customWidth="1"/>
    <col min="1800" max="1800" width="9" style="2"/>
    <col min="1801" max="1802" width="11.1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5" width="11.125" style="2" bestFit="1" customWidth="1"/>
    <col min="2056" max="2056" width="9" style="2"/>
    <col min="2057" max="2058" width="11.1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1" width="11.125" style="2" bestFit="1" customWidth="1"/>
    <col min="2312" max="2312" width="9" style="2"/>
    <col min="2313" max="2314" width="11.1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7" width="11.125" style="2" bestFit="1" customWidth="1"/>
    <col min="2568" max="2568" width="9" style="2"/>
    <col min="2569" max="2570" width="11.1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3" width="11.125" style="2" bestFit="1" customWidth="1"/>
    <col min="2824" max="2824" width="9" style="2"/>
    <col min="2825" max="2826" width="11.1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9" width="11.125" style="2" bestFit="1" customWidth="1"/>
    <col min="3080" max="3080" width="9" style="2"/>
    <col min="3081" max="3082" width="11.1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5" width="11.125" style="2" bestFit="1" customWidth="1"/>
    <col min="3336" max="3336" width="9" style="2"/>
    <col min="3337" max="3338" width="11.1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1" width="11.125" style="2" bestFit="1" customWidth="1"/>
    <col min="3592" max="3592" width="9" style="2"/>
    <col min="3593" max="3594" width="11.1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7" width="11.125" style="2" bestFit="1" customWidth="1"/>
    <col min="3848" max="3848" width="9" style="2"/>
    <col min="3849" max="3850" width="11.1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3" width="11.125" style="2" bestFit="1" customWidth="1"/>
    <col min="4104" max="4104" width="9" style="2"/>
    <col min="4105" max="4106" width="11.1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9" width="11.125" style="2" bestFit="1" customWidth="1"/>
    <col min="4360" max="4360" width="9" style="2"/>
    <col min="4361" max="4362" width="11.1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5" width="11.125" style="2" bestFit="1" customWidth="1"/>
    <col min="4616" max="4616" width="9" style="2"/>
    <col min="4617" max="4618" width="11.1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1" width="11.125" style="2" bestFit="1" customWidth="1"/>
    <col min="4872" max="4872" width="9" style="2"/>
    <col min="4873" max="4874" width="11.1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7" width="11.125" style="2" bestFit="1" customWidth="1"/>
    <col min="5128" max="5128" width="9" style="2"/>
    <col min="5129" max="5130" width="11.1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3" width="11.125" style="2" bestFit="1" customWidth="1"/>
    <col min="5384" max="5384" width="9" style="2"/>
    <col min="5385" max="5386" width="11.1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9" width="11.125" style="2" bestFit="1" customWidth="1"/>
    <col min="5640" max="5640" width="9" style="2"/>
    <col min="5641" max="5642" width="11.1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5" width="11.125" style="2" bestFit="1" customWidth="1"/>
    <col min="5896" max="5896" width="9" style="2"/>
    <col min="5897" max="5898" width="11.1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1" width="11.125" style="2" bestFit="1" customWidth="1"/>
    <col min="6152" max="6152" width="9" style="2"/>
    <col min="6153" max="6154" width="11.1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7" width="11.125" style="2" bestFit="1" customWidth="1"/>
    <col min="6408" max="6408" width="9" style="2"/>
    <col min="6409" max="6410" width="11.1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3" width="11.125" style="2" bestFit="1" customWidth="1"/>
    <col min="6664" max="6664" width="9" style="2"/>
    <col min="6665" max="6666" width="11.1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9" width="11.125" style="2" bestFit="1" customWidth="1"/>
    <col min="6920" max="6920" width="9" style="2"/>
    <col min="6921" max="6922" width="11.1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5" width="11.125" style="2" bestFit="1" customWidth="1"/>
    <col min="7176" max="7176" width="9" style="2"/>
    <col min="7177" max="7178" width="11.1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1" width="11.125" style="2" bestFit="1" customWidth="1"/>
    <col min="7432" max="7432" width="9" style="2"/>
    <col min="7433" max="7434" width="11.1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7" width="11.125" style="2" bestFit="1" customWidth="1"/>
    <col min="7688" max="7688" width="9" style="2"/>
    <col min="7689" max="7690" width="11.1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3" width="11.125" style="2" bestFit="1" customWidth="1"/>
    <col min="7944" max="7944" width="9" style="2"/>
    <col min="7945" max="7946" width="11.1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9" width="11.125" style="2" bestFit="1" customWidth="1"/>
    <col min="8200" max="8200" width="9" style="2"/>
    <col min="8201" max="8202" width="11.1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5" width="11.125" style="2" bestFit="1" customWidth="1"/>
    <col min="8456" max="8456" width="9" style="2"/>
    <col min="8457" max="8458" width="11.1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1" width="11.125" style="2" bestFit="1" customWidth="1"/>
    <col min="8712" max="8712" width="9" style="2"/>
    <col min="8713" max="8714" width="11.1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7" width="11.125" style="2" bestFit="1" customWidth="1"/>
    <col min="8968" max="8968" width="9" style="2"/>
    <col min="8969" max="8970" width="11.1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3" width="11.125" style="2" bestFit="1" customWidth="1"/>
    <col min="9224" max="9224" width="9" style="2"/>
    <col min="9225" max="9226" width="11.1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9" width="11.125" style="2" bestFit="1" customWidth="1"/>
    <col min="9480" max="9480" width="9" style="2"/>
    <col min="9481" max="9482" width="11.1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5" width="11.125" style="2" bestFit="1" customWidth="1"/>
    <col min="9736" max="9736" width="9" style="2"/>
    <col min="9737" max="9738" width="11.1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1" width="11.125" style="2" bestFit="1" customWidth="1"/>
    <col min="9992" max="9992" width="9" style="2"/>
    <col min="9993" max="9994" width="11.1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7" width="11.125" style="2" bestFit="1" customWidth="1"/>
    <col min="10248" max="10248" width="9" style="2"/>
    <col min="10249" max="10250" width="11.1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3" width="11.125" style="2" bestFit="1" customWidth="1"/>
    <col min="10504" max="10504" width="9" style="2"/>
    <col min="10505" max="10506" width="11.1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9" width="11.125" style="2" bestFit="1" customWidth="1"/>
    <col min="10760" max="10760" width="9" style="2"/>
    <col min="10761" max="10762" width="11.1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5" width="11.125" style="2" bestFit="1" customWidth="1"/>
    <col min="11016" max="11016" width="9" style="2"/>
    <col min="11017" max="11018" width="11.1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1" width="11.125" style="2" bestFit="1" customWidth="1"/>
    <col min="11272" max="11272" width="9" style="2"/>
    <col min="11273" max="11274" width="11.1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7" width="11.125" style="2" bestFit="1" customWidth="1"/>
    <col min="11528" max="11528" width="9" style="2"/>
    <col min="11529" max="11530" width="11.1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3" width="11.125" style="2" bestFit="1" customWidth="1"/>
    <col min="11784" max="11784" width="9" style="2"/>
    <col min="11785" max="11786" width="11.1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9" width="11.125" style="2" bestFit="1" customWidth="1"/>
    <col min="12040" max="12040" width="9" style="2"/>
    <col min="12041" max="12042" width="11.1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5" width="11.125" style="2" bestFit="1" customWidth="1"/>
    <col min="12296" max="12296" width="9" style="2"/>
    <col min="12297" max="12298" width="11.1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1" width="11.125" style="2" bestFit="1" customWidth="1"/>
    <col min="12552" max="12552" width="9" style="2"/>
    <col min="12553" max="12554" width="11.1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7" width="11.125" style="2" bestFit="1" customWidth="1"/>
    <col min="12808" max="12808" width="9" style="2"/>
    <col min="12809" max="12810" width="11.1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3" width="11.125" style="2" bestFit="1" customWidth="1"/>
    <col min="13064" max="13064" width="9" style="2"/>
    <col min="13065" max="13066" width="11.1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9" width="11.125" style="2" bestFit="1" customWidth="1"/>
    <col min="13320" max="13320" width="9" style="2"/>
    <col min="13321" max="13322" width="11.1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5" width="11.125" style="2" bestFit="1" customWidth="1"/>
    <col min="13576" max="13576" width="9" style="2"/>
    <col min="13577" max="13578" width="11.1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1" width="11.125" style="2" bestFit="1" customWidth="1"/>
    <col min="13832" max="13832" width="9" style="2"/>
    <col min="13833" max="13834" width="11.1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7" width="11.125" style="2" bestFit="1" customWidth="1"/>
    <col min="14088" max="14088" width="9" style="2"/>
    <col min="14089" max="14090" width="11.1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3" width="11.125" style="2" bestFit="1" customWidth="1"/>
    <col min="14344" max="14344" width="9" style="2"/>
    <col min="14345" max="14346" width="11.1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9" width="11.125" style="2" bestFit="1" customWidth="1"/>
    <col min="14600" max="14600" width="9" style="2"/>
    <col min="14601" max="14602" width="11.1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5" width="11.125" style="2" bestFit="1" customWidth="1"/>
    <col min="14856" max="14856" width="9" style="2"/>
    <col min="14857" max="14858" width="11.1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1" width="11.125" style="2" bestFit="1" customWidth="1"/>
    <col min="15112" max="15112" width="9" style="2"/>
    <col min="15113" max="15114" width="11.1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7" width="11.125" style="2" bestFit="1" customWidth="1"/>
    <col min="15368" max="15368" width="9" style="2"/>
    <col min="15369" max="15370" width="11.1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3" width="11.125" style="2" bestFit="1" customWidth="1"/>
    <col min="15624" max="15624" width="9" style="2"/>
    <col min="15625" max="15626" width="11.1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9" width="11.125" style="2" bestFit="1" customWidth="1"/>
    <col min="15880" max="15880" width="9" style="2"/>
    <col min="15881" max="15882" width="11.1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5" width="11.125" style="2" bestFit="1" customWidth="1"/>
    <col min="16136" max="16136" width="9" style="2"/>
    <col min="16137" max="16138" width="11.125" style="2" bestFit="1" customWidth="1"/>
    <col min="16139" max="16384" width="9" style="2"/>
  </cols>
  <sheetData>
    <row r="1" spans="2:12">
      <c r="B1" s="1" t="s">
        <v>0</v>
      </c>
    </row>
    <row r="2" spans="2:12">
      <c r="B2" s="1" t="s">
        <v>1</v>
      </c>
    </row>
    <row r="3" spans="2:12" ht="19.5" thickBot="1">
      <c r="B3" s="1" t="s">
        <v>41</v>
      </c>
    </row>
    <row r="4" spans="2:12">
      <c r="C4" s="3"/>
      <c r="D4" s="43" t="s">
        <v>4</v>
      </c>
      <c r="E4" s="51" t="s">
        <v>42</v>
      </c>
      <c r="F4" s="10" t="s">
        <v>3</v>
      </c>
      <c r="G4" s="11" t="s">
        <v>5</v>
      </c>
      <c r="H4" s="11" t="s">
        <v>6</v>
      </c>
      <c r="I4" s="11" t="s">
        <v>7</v>
      </c>
      <c r="J4" s="12" t="s">
        <v>8</v>
      </c>
      <c r="K4" s="51" t="s">
        <v>42</v>
      </c>
      <c r="L4" s="4"/>
    </row>
    <row r="5" spans="2:12" ht="19.5" thickBot="1">
      <c r="B5" s="42"/>
      <c r="C5" s="27" t="s">
        <v>9</v>
      </c>
      <c r="D5" s="44" t="s">
        <v>11</v>
      </c>
      <c r="E5" s="52" t="s">
        <v>43</v>
      </c>
      <c r="F5" s="28" t="s">
        <v>10</v>
      </c>
      <c r="G5" s="29" t="s">
        <v>12</v>
      </c>
      <c r="H5" s="29" t="s">
        <v>13</v>
      </c>
      <c r="I5" s="29" t="s">
        <v>14</v>
      </c>
      <c r="J5" s="30" t="s">
        <v>15</v>
      </c>
      <c r="K5" s="52" t="s">
        <v>44</v>
      </c>
      <c r="L5" s="31" t="s">
        <v>16</v>
      </c>
    </row>
    <row r="6" spans="2:12">
      <c r="B6" s="1" t="s">
        <v>2</v>
      </c>
      <c r="C6" s="22" t="s">
        <v>17</v>
      </c>
      <c r="D6" s="45">
        <v>380000</v>
      </c>
      <c r="E6" s="53">
        <f>SUM(D6)</f>
        <v>380000</v>
      </c>
      <c r="F6" s="23">
        <v>83000</v>
      </c>
      <c r="G6" s="24">
        <v>71000</v>
      </c>
      <c r="H6" s="24">
        <v>71000</v>
      </c>
      <c r="I6" s="24">
        <v>71000</v>
      </c>
      <c r="J6" s="25">
        <v>59000</v>
      </c>
      <c r="K6" s="53">
        <f>SUM(F6:J6)</f>
        <v>355000</v>
      </c>
      <c r="L6" s="26">
        <f>E6+K6</f>
        <v>735000</v>
      </c>
    </row>
    <row r="7" spans="2:12">
      <c r="B7" s="1" t="s">
        <v>2</v>
      </c>
      <c r="C7" s="5" t="s">
        <v>18</v>
      </c>
      <c r="D7" s="46">
        <v>0</v>
      </c>
      <c r="E7" s="54"/>
      <c r="F7" s="13">
        <v>0</v>
      </c>
      <c r="G7" s="14">
        <v>0</v>
      </c>
      <c r="H7" s="14">
        <v>0</v>
      </c>
      <c r="I7" s="14">
        <v>0</v>
      </c>
      <c r="J7" s="15">
        <v>0</v>
      </c>
      <c r="K7" s="54"/>
      <c r="L7" s="7">
        <f t="shared" ref="L7:L26" si="0">E7+K7</f>
        <v>0</v>
      </c>
    </row>
    <row r="8" spans="2:12">
      <c r="B8" s="1" t="s">
        <v>2</v>
      </c>
      <c r="C8" s="5" t="s">
        <v>19</v>
      </c>
      <c r="D8" s="46">
        <v>0</v>
      </c>
      <c r="E8" s="54"/>
      <c r="F8" s="13">
        <v>0</v>
      </c>
      <c r="G8" s="14">
        <v>0</v>
      </c>
      <c r="H8" s="14">
        <v>0</v>
      </c>
      <c r="I8" s="14">
        <v>0</v>
      </c>
      <c r="J8" s="15">
        <v>0</v>
      </c>
      <c r="K8" s="54"/>
      <c r="L8" s="7">
        <f t="shared" si="0"/>
        <v>0</v>
      </c>
    </row>
    <row r="9" spans="2:12" ht="19.5" thickBot="1">
      <c r="B9" s="1" t="s">
        <v>2</v>
      </c>
      <c r="C9" s="32" t="s">
        <v>20</v>
      </c>
      <c r="D9" s="47">
        <v>0</v>
      </c>
      <c r="E9" s="55"/>
      <c r="F9" s="33">
        <v>3000</v>
      </c>
      <c r="G9" s="34">
        <v>0</v>
      </c>
      <c r="H9" s="34">
        <v>6000</v>
      </c>
      <c r="I9" s="34">
        <v>0</v>
      </c>
      <c r="J9" s="35">
        <v>0</v>
      </c>
      <c r="K9" s="55">
        <f>SUM(F9:J9)</f>
        <v>9000</v>
      </c>
      <c r="L9" s="36">
        <f t="shared" si="0"/>
        <v>9000</v>
      </c>
    </row>
    <row r="10" spans="2:12" ht="19.5" thickBot="1">
      <c r="B10" s="1" t="s">
        <v>2</v>
      </c>
      <c r="C10" s="37" t="s">
        <v>21</v>
      </c>
      <c r="D10" s="48">
        <v>380000</v>
      </c>
      <c r="E10" s="56">
        <f>SUM(D10)</f>
        <v>380000</v>
      </c>
      <c r="F10" s="38">
        <v>86000</v>
      </c>
      <c r="G10" s="39">
        <v>71000</v>
      </c>
      <c r="H10" s="39">
        <v>77000</v>
      </c>
      <c r="I10" s="39">
        <v>71000</v>
      </c>
      <c r="J10" s="40">
        <v>59000</v>
      </c>
      <c r="K10" s="56">
        <f t="shared" ref="K10:K28" si="1">SUM(F10:J10)</f>
        <v>364000</v>
      </c>
      <c r="L10" s="41">
        <f t="shared" si="0"/>
        <v>744000</v>
      </c>
    </row>
    <row r="11" spans="2:12" ht="19.5" thickBot="1">
      <c r="B11" s="1" t="s">
        <v>2</v>
      </c>
      <c r="C11" s="37" t="s">
        <v>22</v>
      </c>
      <c r="D11" s="48">
        <v>0</v>
      </c>
      <c r="E11" s="56">
        <f t="shared" ref="E11:E28" si="2">SUM(D11)</f>
        <v>0</v>
      </c>
      <c r="F11" s="38">
        <v>0</v>
      </c>
      <c r="G11" s="39">
        <v>0</v>
      </c>
      <c r="H11" s="39">
        <v>0</v>
      </c>
      <c r="I11" s="39">
        <v>0</v>
      </c>
      <c r="J11" s="40">
        <v>0</v>
      </c>
      <c r="K11" s="56">
        <f t="shared" si="1"/>
        <v>0</v>
      </c>
      <c r="L11" s="41">
        <f t="shared" si="0"/>
        <v>0</v>
      </c>
    </row>
    <row r="12" spans="2:12" ht="19.5" thickBot="1">
      <c r="B12" s="1" t="s">
        <v>2</v>
      </c>
      <c r="C12" s="37" t="s">
        <v>23</v>
      </c>
      <c r="D12" s="48">
        <v>380000</v>
      </c>
      <c r="E12" s="56">
        <f t="shared" si="2"/>
        <v>380000</v>
      </c>
      <c r="F12" s="38">
        <v>86000</v>
      </c>
      <c r="G12" s="39">
        <v>71000</v>
      </c>
      <c r="H12" s="39">
        <v>77000</v>
      </c>
      <c r="I12" s="39">
        <v>71000</v>
      </c>
      <c r="J12" s="40">
        <v>59000</v>
      </c>
      <c r="K12" s="56">
        <f t="shared" si="1"/>
        <v>364000</v>
      </c>
      <c r="L12" s="41">
        <f t="shared" si="0"/>
        <v>744000</v>
      </c>
    </row>
    <row r="13" spans="2:12">
      <c r="B13" s="1" t="s">
        <v>2</v>
      </c>
      <c r="C13" s="22" t="s">
        <v>24</v>
      </c>
      <c r="D13" s="45">
        <v>19380</v>
      </c>
      <c r="E13" s="53">
        <f t="shared" si="2"/>
        <v>19380</v>
      </c>
      <c r="F13" s="23">
        <v>4386</v>
      </c>
      <c r="G13" s="24">
        <v>3621</v>
      </c>
      <c r="H13" s="24">
        <v>3927</v>
      </c>
      <c r="I13" s="24">
        <v>3621</v>
      </c>
      <c r="J13" s="25">
        <v>3009</v>
      </c>
      <c r="K13" s="53">
        <f t="shared" si="1"/>
        <v>18564</v>
      </c>
      <c r="L13" s="26">
        <f t="shared" si="0"/>
        <v>37944</v>
      </c>
    </row>
    <row r="14" spans="2:12">
      <c r="B14" s="1" t="s">
        <v>2</v>
      </c>
      <c r="C14" s="5" t="s">
        <v>25</v>
      </c>
      <c r="D14" s="46">
        <v>3420</v>
      </c>
      <c r="E14" s="54">
        <f t="shared" si="2"/>
        <v>3420</v>
      </c>
      <c r="F14" s="13">
        <v>0</v>
      </c>
      <c r="G14" s="14">
        <v>639</v>
      </c>
      <c r="H14" s="14">
        <v>693</v>
      </c>
      <c r="I14" s="14">
        <v>639</v>
      </c>
      <c r="J14" s="15">
        <v>531</v>
      </c>
      <c r="K14" s="54">
        <f t="shared" si="1"/>
        <v>2502</v>
      </c>
      <c r="L14" s="7">
        <f t="shared" si="0"/>
        <v>5922</v>
      </c>
    </row>
    <row r="15" spans="2:12">
      <c r="B15" s="1" t="s">
        <v>2</v>
      </c>
      <c r="C15" s="5" t="s">
        <v>26</v>
      </c>
      <c r="D15" s="46">
        <v>34770</v>
      </c>
      <c r="E15" s="54">
        <f t="shared" si="2"/>
        <v>34770</v>
      </c>
      <c r="F15" s="13">
        <v>7869</v>
      </c>
      <c r="G15" s="14">
        <v>6496</v>
      </c>
      <c r="H15" s="14">
        <v>7045</v>
      </c>
      <c r="I15" s="14">
        <v>6496</v>
      </c>
      <c r="J15" s="15">
        <v>5398</v>
      </c>
      <c r="K15" s="54">
        <f t="shared" si="1"/>
        <v>33304</v>
      </c>
      <c r="L15" s="7">
        <f t="shared" si="0"/>
        <v>68074</v>
      </c>
    </row>
    <row r="16" spans="2:12" ht="19.5" thickBot="1">
      <c r="B16" s="1" t="s">
        <v>2</v>
      </c>
      <c r="C16" s="32" t="s">
        <v>27</v>
      </c>
      <c r="D16" s="47">
        <v>1140</v>
      </c>
      <c r="E16" s="55">
        <f t="shared" si="2"/>
        <v>1140</v>
      </c>
      <c r="F16" s="33">
        <v>258</v>
      </c>
      <c r="G16" s="34">
        <v>213</v>
      </c>
      <c r="H16" s="34">
        <v>231</v>
      </c>
      <c r="I16" s="34">
        <v>213</v>
      </c>
      <c r="J16" s="35">
        <v>177</v>
      </c>
      <c r="K16" s="55">
        <f t="shared" si="1"/>
        <v>1092</v>
      </c>
      <c r="L16" s="36">
        <f t="shared" si="0"/>
        <v>2232</v>
      </c>
    </row>
    <row r="17" spans="2:12" ht="19.5" thickBot="1">
      <c r="B17" s="1" t="s">
        <v>2</v>
      </c>
      <c r="C17" s="37" t="s">
        <v>28</v>
      </c>
      <c r="D17" s="48">
        <v>321290</v>
      </c>
      <c r="E17" s="56">
        <f t="shared" si="2"/>
        <v>321290</v>
      </c>
      <c r="F17" s="38">
        <v>73487</v>
      </c>
      <c r="G17" s="39">
        <v>60031</v>
      </c>
      <c r="H17" s="39">
        <v>65104</v>
      </c>
      <c r="I17" s="39">
        <v>60031</v>
      </c>
      <c r="J17" s="40">
        <v>49885</v>
      </c>
      <c r="K17" s="56">
        <f t="shared" si="1"/>
        <v>308538</v>
      </c>
      <c r="L17" s="41">
        <f t="shared" si="0"/>
        <v>629828</v>
      </c>
    </row>
    <row r="18" spans="2:12" ht="19.5" thickBot="1">
      <c r="B18" s="1" t="s">
        <v>2</v>
      </c>
      <c r="C18" s="37" t="s">
        <v>29</v>
      </c>
      <c r="D18" s="48">
        <v>26242</v>
      </c>
      <c r="E18" s="56">
        <f t="shared" si="2"/>
        <v>26242</v>
      </c>
      <c r="F18" s="38">
        <v>4501</v>
      </c>
      <c r="G18" s="39">
        <v>2451</v>
      </c>
      <c r="H18" s="39">
        <v>2658</v>
      </c>
      <c r="I18" s="39">
        <v>2451</v>
      </c>
      <c r="J18" s="40">
        <v>2037</v>
      </c>
      <c r="K18" s="56">
        <f t="shared" si="1"/>
        <v>14098</v>
      </c>
      <c r="L18" s="41">
        <f t="shared" si="0"/>
        <v>40340</v>
      </c>
    </row>
    <row r="19" spans="2:12" ht="19.5" thickBot="1">
      <c r="B19" s="1" t="s">
        <v>2</v>
      </c>
      <c r="C19" s="37" t="s">
        <v>30</v>
      </c>
      <c r="D19" s="48">
        <v>58710</v>
      </c>
      <c r="E19" s="56">
        <f t="shared" si="2"/>
        <v>58710</v>
      </c>
      <c r="F19" s="38">
        <v>12513</v>
      </c>
      <c r="G19" s="39">
        <v>10969</v>
      </c>
      <c r="H19" s="39">
        <v>11896</v>
      </c>
      <c r="I19" s="39">
        <v>10969</v>
      </c>
      <c r="J19" s="40">
        <v>9115</v>
      </c>
      <c r="K19" s="56">
        <f t="shared" si="1"/>
        <v>55462</v>
      </c>
      <c r="L19" s="41">
        <f t="shared" si="0"/>
        <v>114172</v>
      </c>
    </row>
    <row r="20" spans="2:12" ht="19.5" thickBot="1">
      <c r="B20" s="1" t="s">
        <v>2</v>
      </c>
      <c r="C20" s="37" t="s">
        <v>31</v>
      </c>
      <c r="D20" s="48">
        <v>84952</v>
      </c>
      <c r="E20" s="56">
        <f t="shared" si="2"/>
        <v>84952</v>
      </c>
      <c r="F20" s="38">
        <v>17014</v>
      </c>
      <c r="G20" s="39">
        <v>13420</v>
      </c>
      <c r="H20" s="39">
        <v>14554</v>
      </c>
      <c r="I20" s="39">
        <v>13420</v>
      </c>
      <c r="J20" s="40">
        <v>11152</v>
      </c>
      <c r="K20" s="56">
        <f t="shared" si="1"/>
        <v>69560</v>
      </c>
      <c r="L20" s="41">
        <f t="shared" si="0"/>
        <v>154512</v>
      </c>
    </row>
    <row r="21" spans="2:12">
      <c r="B21" s="1" t="s">
        <v>2</v>
      </c>
      <c r="C21" s="22" t="s">
        <v>32</v>
      </c>
      <c r="D21" s="45">
        <v>0</v>
      </c>
      <c r="E21" s="53">
        <f t="shared" si="2"/>
        <v>0</v>
      </c>
      <c r="F21" s="23">
        <v>0</v>
      </c>
      <c r="G21" s="24">
        <v>0</v>
      </c>
      <c r="H21" s="24">
        <v>0</v>
      </c>
      <c r="I21" s="24">
        <v>0</v>
      </c>
      <c r="J21" s="25">
        <v>0</v>
      </c>
      <c r="K21" s="53">
        <f t="shared" si="1"/>
        <v>0</v>
      </c>
      <c r="L21" s="26">
        <f t="shared" si="0"/>
        <v>0</v>
      </c>
    </row>
    <row r="22" spans="2:12">
      <c r="B22" s="1" t="s">
        <v>2</v>
      </c>
      <c r="C22" s="5" t="s">
        <v>33</v>
      </c>
      <c r="D22" s="46">
        <v>0</v>
      </c>
      <c r="E22" s="54">
        <f t="shared" si="2"/>
        <v>0</v>
      </c>
      <c r="F22" s="13">
        <v>0</v>
      </c>
      <c r="G22" s="14">
        <v>0</v>
      </c>
      <c r="H22" s="14">
        <v>0</v>
      </c>
      <c r="I22" s="14">
        <v>0</v>
      </c>
      <c r="J22" s="15">
        <v>0</v>
      </c>
      <c r="K22" s="54">
        <f t="shared" si="1"/>
        <v>0</v>
      </c>
      <c r="L22" s="7">
        <f t="shared" si="0"/>
        <v>0</v>
      </c>
    </row>
    <row r="23" spans="2:12" ht="19.5" thickBot="1">
      <c r="B23" s="1" t="s">
        <v>2</v>
      </c>
      <c r="C23" s="32" t="s">
        <v>34</v>
      </c>
      <c r="D23" s="47">
        <v>0</v>
      </c>
      <c r="E23" s="55">
        <f t="shared" si="2"/>
        <v>0</v>
      </c>
      <c r="F23" s="33">
        <v>0</v>
      </c>
      <c r="G23" s="34">
        <v>0</v>
      </c>
      <c r="H23" s="34">
        <v>0</v>
      </c>
      <c r="I23" s="34">
        <v>0</v>
      </c>
      <c r="J23" s="35">
        <v>0</v>
      </c>
      <c r="K23" s="55">
        <f t="shared" si="1"/>
        <v>0</v>
      </c>
      <c r="L23" s="36">
        <f t="shared" si="0"/>
        <v>0</v>
      </c>
    </row>
    <row r="24" spans="2:12" ht="19.5" thickBot="1">
      <c r="B24" s="1" t="s">
        <v>2</v>
      </c>
      <c r="C24" s="37" t="s">
        <v>35</v>
      </c>
      <c r="D24" s="48">
        <v>295048</v>
      </c>
      <c r="E24" s="56">
        <f t="shared" si="2"/>
        <v>295048</v>
      </c>
      <c r="F24" s="38">
        <v>68986</v>
      </c>
      <c r="G24" s="39">
        <v>57580</v>
      </c>
      <c r="H24" s="39">
        <v>62446</v>
      </c>
      <c r="I24" s="39">
        <v>57580</v>
      </c>
      <c r="J24" s="40">
        <v>47848</v>
      </c>
      <c r="K24" s="56">
        <f t="shared" si="1"/>
        <v>294440</v>
      </c>
      <c r="L24" s="41">
        <f t="shared" si="0"/>
        <v>589488</v>
      </c>
    </row>
    <row r="25" spans="2:12" ht="19.5" thickBot="1">
      <c r="B25" s="1" t="s">
        <v>2</v>
      </c>
      <c r="C25" s="37" t="s">
        <v>36</v>
      </c>
      <c r="D25" s="48">
        <v>0</v>
      </c>
      <c r="E25" s="56">
        <f t="shared" si="2"/>
        <v>0</v>
      </c>
      <c r="F25" s="38">
        <v>0</v>
      </c>
      <c r="G25" s="39">
        <v>0</v>
      </c>
      <c r="H25" s="39">
        <v>0</v>
      </c>
      <c r="I25" s="39">
        <v>0</v>
      </c>
      <c r="J25" s="40">
        <v>0</v>
      </c>
      <c r="K25" s="56">
        <f t="shared" si="1"/>
        <v>0</v>
      </c>
      <c r="L25" s="41">
        <f t="shared" si="0"/>
        <v>0</v>
      </c>
    </row>
    <row r="26" spans="2:12" ht="19.5" thickBot="1">
      <c r="B26" s="1" t="s">
        <v>2</v>
      </c>
      <c r="C26" s="37" t="s">
        <v>37</v>
      </c>
      <c r="D26" s="48">
        <v>295048</v>
      </c>
      <c r="E26" s="56">
        <f t="shared" si="2"/>
        <v>295048</v>
      </c>
      <c r="F26" s="38">
        <v>68986</v>
      </c>
      <c r="G26" s="39">
        <v>57580</v>
      </c>
      <c r="H26" s="39">
        <v>62446</v>
      </c>
      <c r="I26" s="39">
        <v>57580</v>
      </c>
      <c r="J26" s="40">
        <v>47848</v>
      </c>
      <c r="K26" s="56">
        <f t="shared" si="1"/>
        <v>294440</v>
      </c>
      <c r="L26" s="41">
        <f t="shared" si="0"/>
        <v>589488</v>
      </c>
    </row>
    <row r="27" spans="2:12">
      <c r="B27" s="1" t="s">
        <v>2</v>
      </c>
      <c r="C27" s="22" t="s">
        <v>38</v>
      </c>
      <c r="D27" s="45">
        <v>0</v>
      </c>
      <c r="E27" s="53">
        <f t="shared" si="2"/>
        <v>0</v>
      </c>
      <c r="F27" s="23">
        <v>0</v>
      </c>
      <c r="G27" s="24">
        <v>1</v>
      </c>
      <c r="H27" s="24">
        <v>1</v>
      </c>
      <c r="I27" s="24">
        <v>1</v>
      </c>
      <c r="J27" s="25">
        <v>0</v>
      </c>
      <c r="K27" s="53">
        <f t="shared" si="1"/>
        <v>3</v>
      </c>
      <c r="L27" s="26"/>
    </row>
    <row r="28" spans="2:12">
      <c r="B28" s="1" t="s">
        <v>2</v>
      </c>
      <c r="C28" s="5" t="s">
        <v>39</v>
      </c>
      <c r="D28" s="49">
        <v>8.1679999999999993</v>
      </c>
      <c r="E28" s="57">
        <f t="shared" si="2"/>
        <v>8.1679999999999993</v>
      </c>
      <c r="F28" s="16">
        <v>6.1260000000000003</v>
      </c>
      <c r="G28" s="17">
        <v>4.0839999999999996</v>
      </c>
      <c r="H28" s="17">
        <v>4.0839999999999996</v>
      </c>
      <c r="I28" s="17">
        <v>4.0839999999999996</v>
      </c>
      <c r="J28" s="18">
        <v>4.0839999999999996</v>
      </c>
      <c r="K28" s="57">
        <f t="shared" si="1"/>
        <v>22.462</v>
      </c>
      <c r="L28" s="8"/>
    </row>
    <row r="29" spans="2:12" ht="19.5" thickBot="1">
      <c r="B29" s="1" t="s">
        <v>2</v>
      </c>
      <c r="C29" s="6" t="s">
        <v>40</v>
      </c>
      <c r="D29" s="50">
        <v>309352</v>
      </c>
      <c r="E29" s="58"/>
      <c r="F29" s="19">
        <v>296939</v>
      </c>
      <c r="G29" s="20">
        <v>267910</v>
      </c>
      <c r="H29" s="20">
        <v>265737</v>
      </c>
      <c r="I29" s="20">
        <v>276894</v>
      </c>
      <c r="J29" s="21">
        <v>247035</v>
      </c>
      <c r="K29" s="58"/>
      <c r="L29" s="9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4年夏賞与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2022-06-16T06:12:51Z</cp:lastPrinted>
  <dcterms:created xsi:type="dcterms:W3CDTF">2022-06-14T04:31:11Z</dcterms:created>
  <dcterms:modified xsi:type="dcterms:W3CDTF">2022-06-16T07:39:15Z</dcterms:modified>
</cp:coreProperties>
</file>