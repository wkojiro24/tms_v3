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1年度夏季賞与\"/>
    </mc:Choice>
  </mc:AlternateContent>
  <xr:revisionPtr revIDLastSave="0" documentId="13_ncr:1_{96D62BB6-C0A4-497D-B997-2F9178516931}" xr6:coauthVersionLast="47" xr6:coauthVersionMax="47" xr10:uidLastSave="{00000000-0000-0000-0000-000000000000}"/>
  <bookViews>
    <workbookView xWindow="-120" yWindow="-120" windowWidth="20730" windowHeight="11160" xr2:uid="{1F5D3171-574A-4DC8-AE0A-70B03F6BF07A}"/>
  </bookViews>
  <sheets>
    <sheet name="4年夏賞与 (2)" sheetId="3" r:id="rId1"/>
  </sheets>
  <definedNames>
    <definedName name="_xlnm.Print_Area" localSheetId="0">'4年夏賞与 (2)'!$A$1:$J$29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7" i="3" l="1"/>
  <c r="I9" i="3"/>
  <c r="J9" i="3" s="1"/>
  <c r="I10" i="3"/>
  <c r="I11" i="3"/>
  <c r="I12" i="3"/>
  <c r="I13" i="3"/>
  <c r="I14" i="3"/>
  <c r="J14" i="3" s="1"/>
  <c r="I15" i="3"/>
  <c r="I16" i="3"/>
  <c r="I17" i="3"/>
  <c r="I18" i="3"/>
  <c r="J18" i="3" s="1"/>
  <c r="I19" i="3"/>
  <c r="I20" i="3"/>
  <c r="I21" i="3"/>
  <c r="I22" i="3"/>
  <c r="J22" i="3" s="1"/>
  <c r="I23" i="3"/>
  <c r="I24" i="3"/>
  <c r="I25" i="3"/>
  <c r="I26" i="3"/>
  <c r="J26" i="3" s="1"/>
  <c r="I27" i="3"/>
  <c r="I28" i="3"/>
  <c r="I29" i="3"/>
  <c r="I8" i="3"/>
  <c r="J8" i="3" s="1"/>
  <c r="I6" i="3"/>
  <c r="E11" i="3"/>
  <c r="J11" i="3" s="1"/>
  <c r="E12" i="3"/>
  <c r="J12" i="3" s="1"/>
  <c r="E13" i="3"/>
  <c r="J13" i="3" s="1"/>
  <c r="E14" i="3"/>
  <c r="E15" i="3"/>
  <c r="J15" i="3" s="1"/>
  <c r="E16" i="3"/>
  <c r="J16" i="3" s="1"/>
  <c r="E17" i="3"/>
  <c r="J17" i="3" s="1"/>
  <c r="E18" i="3"/>
  <c r="E19" i="3"/>
  <c r="J19" i="3" s="1"/>
  <c r="E20" i="3"/>
  <c r="J20" i="3" s="1"/>
  <c r="E21" i="3"/>
  <c r="J21" i="3" s="1"/>
  <c r="E22" i="3"/>
  <c r="E23" i="3"/>
  <c r="J23" i="3" s="1"/>
  <c r="E24" i="3"/>
  <c r="J24" i="3" s="1"/>
  <c r="E25" i="3"/>
  <c r="J25" i="3" s="1"/>
  <c r="E26" i="3"/>
  <c r="E27" i="3"/>
  <c r="J27" i="3" s="1"/>
  <c r="E28" i="3"/>
  <c r="E10" i="3"/>
  <c r="J10" i="3" s="1"/>
  <c r="E6" i="3"/>
  <c r="J6" i="3" s="1"/>
</calcChain>
</file>

<file path=xl/sharedStrings.xml><?xml version="1.0" encoding="utf-8"?>
<sst xmlns="http://schemas.openxmlformats.org/spreadsheetml/2006/main" count="66" uniqueCount="42">
  <si>
    <t>賞与支給控除一覧表</t>
    <phoneticPr fontId="4"/>
  </si>
  <si>
    <t>若林運送株式会社</t>
    <phoneticPr fontId="4"/>
  </si>
  <si>
    <t/>
  </si>
  <si>
    <t>1049</t>
    <phoneticPr fontId="4"/>
  </si>
  <si>
    <t>1050</t>
    <phoneticPr fontId="4"/>
  </si>
  <si>
    <t>1078</t>
    <phoneticPr fontId="4"/>
  </si>
  <si>
    <t>1090</t>
    <phoneticPr fontId="4"/>
  </si>
  <si>
    <t>項目名</t>
    <phoneticPr fontId="4"/>
  </si>
  <si>
    <t>菅原　幸志</t>
    <phoneticPr fontId="4"/>
  </si>
  <si>
    <t>伊藤　正典</t>
    <phoneticPr fontId="4"/>
  </si>
  <si>
    <t>伊藤　尚</t>
    <phoneticPr fontId="4"/>
  </si>
  <si>
    <t>橋本　淳志</t>
    <phoneticPr fontId="4"/>
  </si>
  <si>
    <t>合計</t>
    <phoneticPr fontId="4"/>
  </si>
  <si>
    <t>賞与</t>
    <phoneticPr fontId="4"/>
  </si>
  <si>
    <t>役員賞与</t>
    <phoneticPr fontId="4"/>
  </si>
  <si>
    <t>職位加算</t>
    <phoneticPr fontId="4"/>
  </si>
  <si>
    <t>職責加算</t>
    <phoneticPr fontId="4"/>
  </si>
  <si>
    <t>課税支給合計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</si>
  <si>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</si>
  <si>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</si>
  <si>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</si>
  <si>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</si>
  <si>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</si>
  <si>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</si>
  <si>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</si>
  <si>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所得税</t>
    <phoneticPr fontId="4"/>
  </si>
  <si>
    <t>社会保険料計</t>
    <phoneticPr fontId="4"/>
  </si>
  <si>
    <t>控除合計</t>
    <phoneticPr fontId="4"/>
  </si>
  <si>
    <t>年末調整還付</t>
    <phoneticPr fontId="4"/>
  </si>
  <si>
    <t>年末調整徴収</t>
    <phoneticPr fontId="4"/>
  </si>
  <si>
    <t>その他合計</t>
    <phoneticPr fontId="4"/>
  </si>
  <si>
    <t>差引支給合計</t>
    <phoneticPr fontId="4"/>
  </si>
  <si>
    <t>現金支給額</t>
    <phoneticPr fontId="4"/>
  </si>
  <si>
    <t>振込支給合計</t>
    <phoneticPr fontId="4"/>
  </si>
  <si>
    <t>扶養人数</t>
    <phoneticPr fontId="4"/>
  </si>
  <si>
    <t>税率</t>
    <phoneticPr fontId="4"/>
  </si>
  <si>
    <t>前社保控除後</t>
    <phoneticPr fontId="4"/>
  </si>
  <si>
    <t>2021年度夏季賞与</t>
    <rPh sb="4" eb="6">
      <t>ネンド</t>
    </rPh>
    <rPh sb="6" eb="8">
      <t>カキ</t>
    </rPh>
    <phoneticPr fontId="4"/>
  </si>
  <si>
    <t>小計</t>
    <rPh sb="0" eb="2">
      <t>ショウケイ</t>
    </rPh>
    <phoneticPr fontId="3"/>
  </si>
  <si>
    <t>1名</t>
    <rPh sb="1" eb="2">
      <t>メイ</t>
    </rPh>
    <phoneticPr fontId="3"/>
  </si>
  <si>
    <t>3名</t>
    <rPh sb="1" eb="2">
      <t>メイ</t>
    </rPh>
    <phoneticPr fontId="3"/>
  </si>
  <si>
    <t>4名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</si>
</sst>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59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2" xfId="1" applyFont="1" applyBorder="1"/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left"/>
    </xf>
    <xf numFmtId="3" fontId="2" fillId="0" borderId="5" xfId="1" applyNumberFormat="1" applyFont="1" applyBorder="1"/>
    <xf numFmtId="176" fontId="2" fillId="0" borderId="5" xfId="1" applyNumberFormat="1" applyFont="1" applyBorder="1"/>
    <xf numFmtId="3" fontId="2" fillId="0" borderId="6" xfId="1" applyNumberFormat="1" applyFont="1" applyBorder="1"/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3" fontId="2" fillId="0" borderId="10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176" fontId="2" fillId="0" borderId="10" xfId="1" applyNumberFormat="1" applyFont="1" applyBorder="1"/>
    <xf numFmtId="176" fontId="2" fillId="0" borderId="11" xfId="1" applyNumberFormat="1" applyFont="1" applyBorder="1"/>
    <xf numFmtId="176" fontId="2" fillId="0" borderId="12" xfId="1" applyNumberFormat="1" applyFont="1" applyBorder="1"/>
    <xf numFmtId="3" fontId="2" fillId="0" borderId="13" xfId="1" applyNumberFormat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49" fontId="2" fillId="0" borderId="16" xfId="1" applyNumberFormat="1" applyFont="1" applyBorder="1" applyAlignment="1">
      <alignment horizontal="left"/>
    </xf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26" xfId="1" applyNumberFormat="1" applyFont="1" applyBorder="1" applyAlignment="1">
      <alignment horizontal="left"/>
    </xf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0" fontId="2" fillId="0" borderId="31" xfId="1" applyFont="1" applyBorder="1"/>
    <xf numFmtId="0" fontId="2" fillId="0" borderId="6" xfId="1" applyFont="1" applyBorder="1" applyAlignment="1">
      <alignment horizontal="right"/>
    </xf>
    <xf numFmtId="49" fontId="2" fillId="0" borderId="33" xfId="1" applyNumberFormat="1" applyFont="1" applyBorder="1" applyAlignment="1">
      <alignment horizontal="center"/>
    </xf>
    <xf numFmtId="49" fontId="2" fillId="0" borderId="34" xfId="1" applyNumberFormat="1" applyFont="1" applyBorder="1" applyAlignment="1">
      <alignment horizontal="center"/>
    </xf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3" fontId="2" fillId="0" borderId="38" xfId="1" applyNumberFormat="1" applyFont="1" applyBorder="1"/>
    <xf numFmtId="176" fontId="2" fillId="0" borderId="36" xfId="1" applyNumberFormat="1" applyFont="1" applyBorder="1"/>
    <xf numFmtId="3" fontId="2" fillId="0" borderId="34" xfId="1" applyNumberFormat="1" applyFont="1" applyBorder="1"/>
    <xf numFmtId="49" fontId="2" fillId="0" borderId="39" xfId="1" applyNumberFormat="1" applyFont="1" applyBorder="1" applyAlignment="1">
      <alignment horizontal="left"/>
    </xf>
    <xf numFmtId="49" fontId="2" fillId="0" borderId="40" xfId="1" applyNumberFormat="1" applyFont="1" applyBorder="1" applyAlignment="1">
      <alignment horizontal="right"/>
    </xf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3" fontId="2" fillId="0" borderId="32" xfId="1" applyNumberFormat="1" applyFont="1" applyBorder="1"/>
    <xf numFmtId="176" fontId="2" fillId="0" borderId="42" xfId="1" applyNumberFormat="1" applyFont="1" applyBorder="1"/>
    <xf numFmtId="3" fontId="2" fillId="0" borderId="40" xfId="1" applyNumberFormat="1" applyFont="1" applyBorder="1"/>
  </cellXfs>
  <cellStyles count="2">
    <cellStyle name="標準" xfId="0" builtinId="0"/>
    <cellStyle name="標準 2" xfId="1" xr:uid="{49CBB9B0-86E7-4A4D-8B35-57A19180E9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29691-F13E-4D98-8515-35450034404E}">
  <dimension ref="B1:J29"/>
  <sheetViews>
    <sheetView showZeros="0" tabSelected="1" workbookViewId="0"/>
  </sheetViews>
  <sheetFormatPr defaultRowHeight="18.75"/>
  <cols>
    <col min="1" max="1" width="9" style="2"/>
    <col min="2" max="2" width="2.375" style="2" customWidth="1"/>
    <col min="3" max="3" width="13.25" style="2" bestFit="1" customWidth="1"/>
    <col min="4" max="10" width="11.5" style="2" customWidth="1"/>
    <col min="11" max="257" width="9" style="2"/>
    <col min="258" max="258" width="2.375" style="2" customWidth="1"/>
    <col min="259" max="259" width="13.25" style="2" bestFit="1" customWidth="1"/>
    <col min="260" max="261" width="11.125" style="2" bestFit="1" customWidth="1"/>
    <col min="262" max="262" width="9" style="2"/>
    <col min="263" max="264" width="11.125" style="2" bestFit="1" customWidth="1"/>
    <col min="265" max="513" width="9" style="2"/>
    <col min="514" max="514" width="2.375" style="2" customWidth="1"/>
    <col min="515" max="515" width="13.25" style="2" bestFit="1" customWidth="1"/>
    <col min="516" max="517" width="11.125" style="2" bestFit="1" customWidth="1"/>
    <col min="518" max="518" width="9" style="2"/>
    <col min="519" max="520" width="11.125" style="2" bestFit="1" customWidth="1"/>
    <col min="521" max="769" width="9" style="2"/>
    <col min="770" max="770" width="2.375" style="2" customWidth="1"/>
    <col min="771" max="771" width="13.25" style="2" bestFit="1" customWidth="1"/>
    <col min="772" max="773" width="11.125" style="2" bestFit="1" customWidth="1"/>
    <col min="774" max="774" width="9" style="2"/>
    <col min="775" max="776" width="11.125" style="2" bestFit="1" customWidth="1"/>
    <col min="777" max="1025" width="9" style="2"/>
    <col min="1026" max="1026" width="2.375" style="2" customWidth="1"/>
    <col min="1027" max="1027" width="13.25" style="2" bestFit="1" customWidth="1"/>
    <col min="1028" max="1029" width="11.125" style="2" bestFit="1" customWidth="1"/>
    <col min="1030" max="1030" width="9" style="2"/>
    <col min="1031" max="1032" width="11.125" style="2" bestFit="1" customWidth="1"/>
    <col min="1033" max="1281" width="9" style="2"/>
    <col min="1282" max="1282" width="2.375" style="2" customWidth="1"/>
    <col min="1283" max="1283" width="13.25" style="2" bestFit="1" customWidth="1"/>
    <col min="1284" max="1285" width="11.125" style="2" bestFit="1" customWidth="1"/>
    <col min="1286" max="1286" width="9" style="2"/>
    <col min="1287" max="1288" width="11.125" style="2" bestFit="1" customWidth="1"/>
    <col min="1289" max="1537" width="9" style="2"/>
    <col min="1538" max="1538" width="2.375" style="2" customWidth="1"/>
    <col min="1539" max="1539" width="13.25" style="2" bestFit="1" customWidth="1"/>
    <col min="1540" max="1541" width="11.125" style="2" bestFit="1" customWidth="1"/>
    <col min="1542" max="1542" width="9" style="2"/>
    <col min="1543" max="1544" width="11.125" style="2" bestFit="1" customWidth="1"/>
    <col min="1545" max="1793" width="9" style="2"/>
    <col min="1794" max="1794" width="2.375" style="2" customWidth="1"/>
    <col min="1795" max="1795" width="13.25" style="2" bestFit="1" customWidth="1"/>
    <col min="1796" max="1797" width="11.125" style="2" bestFit="1" customWidth="1"/>
    <col min="1798" max="1798" width="9" style="2"/>
    <col min="1799" max="1800" width="11.125" style="2" bestFit="1" customWidth="1"/>
    <col min="1801" max="2049" width="9" style="2"/>
    <col min="2050" max="2050" width="2.375" style="2" customWidth="1"/>
    <col min="2051" max="2051" width="13.25" style="2" bestFit="1" customWidth="1"/>
    <col min="2052" max="2053" width="11.125" style="2" bestFit="1" customWidth="1"/>
    <col min="2054" max="2054" width="9" style="2"/>
    <col min="2055" max="2056" width="11.125" style="2" bestFit="1" customWidth="1"/>
    <col min="2057" max="2305" width="9" style="2"/>
    <col min="2306" max="2306" width="2.375" style="2" customWidth="1"/>
    <col min="2307" max="2307" width="13.25" style="2" bestFit="1" customWidth="1"/>
    <col min="2308" max="2309" width="11.125" style="2" bestFit="1" customWidth="1"/>
    <col min="2310" max="2310" width="9" style="2"/>
    <col min="2311" max="2312" width="11.125" style="2" bestFit="1" customWidth="1"/>
    <col min="2313" max="2561" width="9" style="2"/>
    <col min="2562" max="2562" width="2.375" style="2" customWidth="1"/>
    <col min="2563" max="2563" width="13.25" style="2" bestFit="1" customWidth="1"/>
    <col min="2564" max="2565" width="11.125" style="2" bestFit="1" customWidth="1"/>
    <col min="2566" max="2566" width="9" style="2"/>
    <col min="2567" max="2568" width="11.125" style="2" bestFit="1" customWidth="1"/>
    <col min="2569" max="2817" width="9" style="2"/>
    <col min="2818" max="2818" width="2.375" style="2" customWidth="1"/>
    <col min="2819" max="2819" width="13.25" style="2" bestFit="1" customWidth="1"/>
    <col min="2820" max="2821" width="11.125" style="2" bestFit="1" customWidth="1"/>
    <col min="2822" max="2822" width="9" style="2"/>
    <col min="2823" max="2824" width="11.125" style="2" bestFit="1" customWidth="1"/>
    <col min="2825" max="3073" width="9" style="2"/>
    <col min="3074" max="3074" width="2.375" style="2" customWidth="1"/>
    <col min="3075" max="3075" width="13.25" style="2" bestFit="1" customWidth="1"/>
    <col min="3076" max="3077" width="11.125" style="2" bestFit="1" customWidth="1"/>
    <col min="3078" max="3078" width="9" style="2"/>
    <col min="3079" max="3080" width="11.125" style="2" bestFit="1" customWidth="1"/>
    <col min="3081" max="3329" width="9" style="2"/>
    <col min="3330" max="3330" width="2.375" style="2" customWidth="1"/>
    <col min="3331" max="3331" width="13.25" style="2" bestFit="1" customWidth="1"/>
    <col min="3332" max="3333" width="11.125" style="2" bestFit="1" customWidth="1"/>
    <col min="3334" max="3334" width="9" style="2"/>
    <col min="3335" max="3336" width="11.125" style="2" bestFit="1" customWidth="1"/>
    <col min="3337" max="3585" width="9" style="2"/>
    <col min="3586" max="3586" width="2.375" style="2" customWidth="1"/>
    <col min="3587" max="3587" width="13.25" style="2" bestFit="1" customWidth="1"/>
    <col min="3588" max="3589" width="11.125" style="2" bestFit="1" customWidth="1"/>
    <col min="3590" max="3590" width="9" style="2"/>
    <col min="3591" max="3592" width="11.125" style="2" bestFit="1" customWidth="1"/>
    <col min="3593" max="3841" width="9" style="2"/>
    <col min="3842" max="3842" width="2.375" style="2" customWidth="1"/>
    <col min="3843" max="3843" width="13.25" style="2" bestFit="1" customWidth="1"/>
    <col min="3844" max="3845" width="11.125" style="2" bestFit="1" customWidth="1"/>
    <col min="3846" max="3846" width="9" style="2"/>
    <col min="3847" max="3848" width="11.125" style="2" bestFit="1" customWidth="1"/>
    <col min="3849" max="4097" width="9" style="2"/>
    <col min="4098" max="4098" width="2.375" style="2" customWidth="1"/>
    <col min="4099" max="4099" width="13.25" style="2" bestFit="1" customWidth="1"/>
    <col min="4100" max="4101" width="11.125" style="2" bestFit="1" customWidth="1"/>
    <col min="4102" max="4102" width="9" style="2"/>
    <col min="4103" max="4104" width="11.125" style="2" bestFit="1" customWidth="1"/>
    <col min="4105" max="4353" width="9" style="2"/>
    <col min="4354" max="4354" width="2.375" style="2" customWidth="1"/>
    <col min="4355" max="4355" width="13.25" style="2" bestFit="1" customWidth="1"/>
    <col min="4356" max="4357" width="11.125" style="2" bestFit="1" customWidth="1"/>
    <col min="4358" max="4358" width="9" style="2"/>
    <col min="4359" max="4360" width="11.125" style="2" bestFit="1" customWidth="1"/>
    <col min="4361" max="4609" width="9" style="2"/>
    <col min="4610" max="4610" width="2.375" style="2" customWidth="1"/>
    <col min="4611" max="4611" width="13.25" style="2" bestFit="1" customWidth="1"/>
    <col min="4612" max="4613" width="11.125" style="2" bestFit="1" customWidth="1"/>
    <col min="4614" max="4614" width="9" style="2"/>
    <col min="4615" max="4616" width="11.125" style="2" bestFit="1" customWidth="1"/>
    <col min="4617" max="4865" width="9" style="2"/>
    <col min="4866" max="4866" width="2.375" style="2" customWidth="1"/>
    <col min="4867" max="4867" width="13.25" style="2" bestFit="1" customWidth="1"/>
    <col min="4868" max="4869" width="11.125" style="2" bestFit="1" customWidth="1"/>
    <col min="4870" max="4870" width="9" style="2"/>
    <col min="4871" max="4872" width="11.125" style="2" bestFit="1" customWidth="1"/>
    <col min="4873" max="5121" width="9" style="2"/>
    <col min="5122" max="5122" width="2.375" style="2" customWidth="1"/>
    <col min="5123" max="5123" width="13.25" style="2" bestFit="1" customWidth="1"/>
    <col min="5124" max="5125" width="11.125" style="2" bestFit="1" customWidth="1"/>
    <col min="5126" max="5126" width="9" style="2"/>
    <col min="5127" max="5128" width="11.125" style="2" bestFit="1" customWidth="1"/>
    <col min="5129" max="5377" width="9" style="2"/>
    <col min="5378" max="5378" width="2.375" style="2" customWidth="1"/>
    <col min="5379" max="5379" width="13.25" style="2" bestFit="1" customWidth="1"/>
    <col min="5380" max="5381" width="11.125" style="2" bestFit="1" customWidth="1"/>
    <col min="5382" max="5382" width="9" style="2"/>
    <col min="5383" max="5384" width="11.125" style="2" bestFit="1" customWidth="1"/>
    <col min="5385" max="5633" width="9" style="2"/>
    <col min="5634" max="5634" width="2.375" style="2" customWidth="1"/>
    <col min="5635" max="5635" width="13.25" style="2" bestFit="1" customWidth="1"/>
    <col min="5636" max="5637" width="11.125" style="2" bestFit="1" customWidth="1"/>
    <col min="5638" max="5638" width="9" style="2"/>
    <col min="5639" max="5640" width="11.125" style="2" bestFit="1" customWidth="1"/>
    <col min="5641" max="5889" width="9" style="2"/>
    <col min="5890" max="5890" width="2.375" style="2" customWidth="1"/>
    <col min="5891" max="5891" width="13.25" style="2" bestFit="1" customWidth="1"/>
    <col min="5892" max="5893" width="11.125" style="2" bestFit="1" customWidth="1"/>
    <col min="5894" max="5894" width="9" style="2"/>
    <col min="5895" max="5896" width="11.125" style="2" bestFit="1" customWidth="1"/>
    <col min="5897" max="6145" width="9" style="2"/>
    <col min="6146" max="6146" width="2.375" style="2" customWidth="1"/>
    <col min="6147" max="6147" width="13.25" style="2" bestFit="1" customWidth="1"/>
    <col min="6148" max="6149" width="11.125" style="2" bestFit="1" customWidth="1"/>
    <col min="6150" max="6150" width="9" style="2"/>
    <col min="6151" max="6152" width="11.125" style="2" bestFit="1" customWidth="1"/>
    <col min="6153" max="6401" width="9" style="2"/>
    <col min="6402" max="6402" width="2.375" style="2" customWidth="1"/>
    <col min="6403" max="6403" width="13.25" style="2" bestFit="1" customWidth="1"/>
    <col min="6404" max="6405" width="11.125" style="2" bestFit="1" customWidth="1"/>
    <col min="6406" max="6406" width="9" style="2"/>
    <col min="6407" max="6408" width="11.125" style="2" bestFit="1" customWidth="1"/>
    <col min="6409" max="6657" width="9" style="2"/>
    <col min="6658" max="6658" width="2.375" style="2" customWidth="1"/>
    <col min="6659" max="6659" width="13.25" style="2" bestFit="1" customWidth="1"/>
    <col min="6660" max="6661" width="11.125" style="2" bestFit="1" customWidth="1"/>
    <col min="6662" max="6662" width="9" style="2"/>
    <col min="6663" max="6664" width="11.125" style="2" bestFit="1" customWidth="1"/>
    <col min="6665" max="6913" width="9" style="2"/>
    <col min="6914" max="6914" width="2.375" style="2" customWidth="1"/>
    <col min="6915" max="6915" width="13.25" style="2" bestFit="1" customWidth="1"/>
    <col min="6916" max="6917" width="11.125" style="2" bestFit="1" customWidth="1"/>
    <col min="6918" max="6918" width="9" style="2"/>
    <col min="6919" max="6920" width="11.125" style="2" bestFit="1" customWidth="1"/>
    <col min="6921" max="7169" width="9" style="2"/>
    <col min="7170" max="7170" width="2.375" style="2" customWidth="1"/>
    <col min="7171" max="7171" width="13.25" style="2" bestFit="1" customWidth="1"/>
    <col min="7172" max="7173" width="11.125" style="2" bestFit="1" customWidth="1"/>
    <col min="7174" max="7174" width="9" style="2"/>
    <col min="7175" max="7176" width="11.125" style="2" bestFit="1" customWidth="1"/>
    <col min="7177" max="7425" width="9" style="2"/>
    <col min="7426" max="7426" width="2.375" style="2" customWidth="1"/>
    <col min="7427" max="7427" width="13.25" style="2" bestFit="1" customWidth="1"/>
    <col min="7428" max="7429" width="11.125" style="2" bestFit="1" customWidth="1"/>
    <col min="7430" max="7430" width="9" style="2"/>
    <col min="7431" max="7432" width="11.125" style="2" bestFit="1" customWidth="1"/>
    <col min="7433" max="7681" width="9" style="2"/>
    <col min="7682" max="7682" width="2.375" style="2" customWidth="1"/>
    <col min="7683" max="7683" width="13.25" style="2" bestFit="1" customWidth="1"/>
    <col min="7684" max="7685" width="11.125" style="2" bestFit="1" customWidth="1"/>
    <col min="7686" max="7686" width="9" style="2"/>
    <col min="7687" max="7688" width="11.125" style="2" bestFit="1" customWidth="1"/>
    <col min="7689" max="7937" width="9" style="2"/>
    <col min="7938" max="7938" width="2.375" style="2" customWidth="1"/>
    <col min="7939" max="7939" width="13.25" style="2" bestFit="1" customWidth="1"/>
    <col min="7940" max="7941" width="11.125" style="2" bestFit="1" customWidth="1"/>
    <col min="7942" max="7942" width="9" style="2"/>
    <col min="7943" max="7944" width="11.125" style="2" bestFit="1" customWidth="1"/>
    <col min="7945" max="8193" width="9" style="2"/>
    <col min="8194" max="8194" width="2.375" style="2" customWidth="1"/>
    <col min="8195" max="8195" width="13.25" style="2" bestFit="1" customWidth="1"/>
    <col min="8196" max="8197" width="11.125" style="2" bestFit="1" customWidth="1"/>
    <col min="8198" max="8198" width="9" style="2"/>
    <col min="8199" max="8200" width="11.125" style="2" bestFit="1" customWidth="1"/>
    <col min="8201" max="8449" width="9" style="2"/>
    <col min="8450" max="8450" width="2.375" style="2" customWidth="1"/>
    <col min="8451" max="8451" width="13.25" style="2" bestFit="1" customWidth="1"/>
    <col min="8452" max="8453" width="11.125" style="2" bestFit="1" customWidth="1"/>
    <col min="8454" max="8454" width="9" style="2"/>
    <col min="8455" max="8456" width="11.125" style="2" bestFit="1" customWidth="1"/>
    <col min="8457" max="8705" width="9" style="2"/>
    <col min="8706" max="8706" width="2.375" style="2" customWidth="1"/>
    <col min="8707" max="8707" width="13.25" style="2" bestFit="1" customWidth="1"/>
    <col min="8708" max="8709" width="11.125" style="2" bestFit="1" customWidth="1"/>
    <col min="8710" max="8710" width="9" style="2"/>
    <col min="8711" max="8712" width="11.125" style="2" bestFit="1" customWidth="1"/>
    <col min="8713" max="8961" width="9" style="2"/>
    <col min="8962" max="8962" width="2.375" style="2" customWidth="1"/>
    <col min="8963" max="8963" width="13.25" style="2" bestFit="1" customWidth="1"/>
    <col min="8964" max="8965" width="11.125" style="2" bestFit="1" customWidth="1"/>
    <col min="8966" max="8966" width="9" style="2"/>
    <col min="8967" max="8968" width="11.125" style="2" bestFit="1" customWidth="1"/>
    <col min="8969" max="9217" width="9" style="2"/>
    <col min="9218" max="9218" width="2.375" style="2" customWidth="1"/>
    <col min="9219" max="9219" width="13.25" style="2" bestFit="1" customWidth="1"/>
    <col min="9220" max="9221" width="11.125" style="2" bestFit="1" customWidth="1"/>
    <col min="9222" max="9222" width="9" style="2"/>
    <col min="9223" max="9224" width="11.125" style="2" bestFit="1" customWidth="1"/>
    <col min="9225" max="9473" width="9" style="2"/>
    <col min="9474" max="9474" width="2.375" style="2" customWidth="1"/>
    <col min="9475" max="9475" width="13.25" style="2" bestFit="1" customWidth="1"/>
    <col min="9476" max="9477" width="11.125" style="2" bestFit="1" customWidth="1"/>
    <col min="9478" max="9478" width="9" style="2"/>
    <col min="9479" max="9480" width="11.125" style="2" bestFit="1" customWidth="1"/>
    <col min="9481" max="9729" width="9" style="2"/>
    <col min="9730" max="9730" width="2.375" style="2" customWidth="1"/>
    <col min="9731" max="9731" width="13.25" style="2" bestFit="1" customWidth="1"/>
    <col min="9732" max="9733" width="11.125" style="2" bestFit="1" customWidth="1"/>
    <col min="9734" max="9734" width="9" style="2"/>
    <col min="9735" max="9736" width="11.125" style="2" bestFit="1" customWidth="1"/>
    <col min="9737" max="9985" width="9" style="2"/>
    <col min="9986" max="9986" width="2.375" style="2" customWidth="1"/>
    <col min="9987" max="9987" width="13.25" style="2" bestFit="1" customWidth="1"/>
    <col min="9988" max="9989" width="11.125" style="2" bestFit="1" customWidth="1"/>
    <col min="9990" max="9990" width="9" style="2"/>
    <col min="9991" max="9992" width="11.125" style="2" bestFit="1" customWidth="1"/>
    <col min="9993" max="10241" width="9" style="2"/>
    <col min="10242" max="10242" width="2.375" style="2" customWidth="1"/>
    <col min="10243" max="10243" width="13.25" style="2" bestFit="1" customWidth="1"/>
    <col min="10244" max="10245" width="11.125" style="2" bestFit="1" customWidth="1"/>
    <col min="10246" max="10246" width="9" style="2"/>
    <col min="10247" max="10248" width="11.125" style="2" bestFit="1" customWidth="1"/>
    <col min="10249" max="10497" width="9" style="2"/>
    <col min="10498" max="10498" width="2.375" style="2" customWidth="1"/>
    <col min="10499" max="10499" width="13.25" style="2" bestFit="1" customWidth="1"/>
    <col min="10500" max="10501" width="11.125" style="2" bestFit="1" customWidth="1"/>
    <col min="10502" max="10502" width="9" style="2"/>
    <col min="10503" max="10504" width="11.125" style="2" bestFit="1" customWidth="1"/>
    <col min="10505" max="10753" width="9" style="2"/>
    <col min="10754" max="10754" width="2.375" style="2" customWidth="1"/>
    <col min="10755" max="10755" width="13.25" style="2" bestFit="1" customWidth="1"/>
    <col min="10756" max="10757" width="11.125" style="2" bestFit="1" customWidth="1"/>
    <col min="10758" max="10758" width="9" style="2"/>
    <col min="10759" max="10760" width="11.125" style="2" bestFit="1" customWidth="1"/>
    <col min="10761" max="11009" width="9" style="2"/>
    <col min="11010" max="11010" width="2.375" style="2" customWidth="1"/>
    <col min="11011" max="11011" width="13.25" style="2" bestFit="1" customWidth="1"/>
    <col min="11012" max="11013" width="11.125" style="2" bestFit="1" customWidth="1"/>
    <col min="11014" max="11014" width="9" style="2"/>
    <col min="11015" max="11016" width="11.125" style="2" bestFit="1" customWidth="1"/>
    <col min="11017" max="11265" width="9" style="2"/>
    <col min="11266" max="11266" width="2.375" style="2" customWidth="1"/>
    <col min="11267" max="11267" width="13.25" style="2" bestFit="1" customWidth="1"/>
    <col min="11268" max="11269" width="11.125" style="2" bestFit="1" customWidth="1"/>
    <col min="11270" max="11270" width="9" style="2"/>
    <col min="11271" max="11272" width="11.125" style="2" bestFit="1" customWidth="1"/>
    <col min="11273" max="11521" width="9" style="2"/>
    <col min="11522" max="11522" width="2.375" style="2" customWidth="1"/>
    <col min="11523" max="11523" width="13.25" style="2" bestFit="1" customWidth="1"/>
    <col min="11524" max="11525" width="11.125" style="2" bestFit="1" customWidth="1"/>
    <col min="11526" max="11526" width="9" style="2"/>
    <col min="11527" max="11528" width="11.125" style="2" bestFit="1" customWidth="1"/>
    <col min="11529" max="11777" width="9" style="2"/>
    <col min="11778" max="11778" width="2.375" style="2" customWidth="1"/>
    <col min="11779" max="11779" width="13.25" style="2" bestFit="1" customWidth="1"/>
    <col min="11780" max="11781" width="11.125" style="2" bestFit="1" customWidth="1"/>
    <col min="11782" max="11782" width="9" style="2"/>
    <col min="11783" max="11784" width="11.125" style="2" bestFit="1" customWidth="1"/>
    <col min="11785" max="12033" width="9" style="2"/>
    <col min="12034" max="12034" width="2.375" style="2" customWidth="1"/>
    <col min="12035" max="12035" width="13.25" style="2" bestFit="1" customWidth="1"/>
    <col min="12036" max="12037" width="11.125" style="2" bestFit="1" customWidth="1"/>
    <col min="12038" max="12038" width="9" style="2"/>
    <col min="12039" max="12040" width="11.125" style="2" bestFit="1" customWidth="1"/>
    <col min="12041" max="12289" width="9" style="2"/>
    <col min="12290" max="12290" width="2.375" style="2" customWidth="1"/>
    <col min="12291" max="12291" width="13.25" style="2" bestFit="1" customWidth="1"/>
    <col min="12292" max="12293" width="11.125" style="2" bestFit="1" customWidth="1"/>
    <col min="12294" max="12294" width="9" style="2"/>
    <col min="12295" max="12296" width="11.125" style="2" bestFit="1" customWidth="1"/>
    <col min="12297" max="12545" width="9" style="2"/>
    <col min="12546" max="12546" width="2.375" style="2" customWidth="1"/>
    <col min="12547" max="12547" width="13.25" style="2" bestFit="1" customWidth="1"/>
    <col min="12548" max="12549" width="11.125" style="2" bestFit="1" customWidth="1"/>
    <col min="12550" max="12550" width="9" style="2"/>
    <col min="12551" max="12552" width="11.125" style="2" bestFit="1" customWidth="1"/>
    <col min="12553" max="12801" width="9" style="2"/>
    <col min="12802" max="12802" width="2.375" style="2" customWidth="1"/>
    <col min="12803" max="12803" width="13.25" style="2" bestFit="1" customWidth="1"/>
    <col min="12804" max="12805" width="11.125" style="2" bestFit="1" customWidth="1"/>
    <col min="12806" max="12806" width="9" style="2"/>
    <col min="12807" max="12808" width="11.125" style="2" bestFit="1" customWidth="1"/>
    <col min="12809" max="13057" width="9" style="2"/>
    <col min="13058" max="13058" width="2.375" style="2" customWidth="1"/>
    <col min="13059" max="13059" width="13.25" style="2" bestFit="1" customWidth="1"/>
    <col min="13060" max="13061" width="11.125" style="2" bestFit="1" customWidth="1"/>
    <col min="13062" max="13062" width="9" style="2"/>
    <col min="13063" max="13064" width="11.125" style="2" bestFit="1" customWidth="1"/>
    <col min="13065" max="13313" width="9" style="2"/>
    <col min="13314" max="13314" width="2.375" style="2" customWidth="1"/>
    <col min="13315" max="13315" width="13.25" style="2" bestFit="1" customWidth="1"/>
    <col min="13316" max="13317" width="11.125" style="2" bestFit="1" customWidth="1"/>
    <col min="13318" max="13318" width="9" style="2"/>
    <col min="13319" max="13320" width="11.125" style="2" bestFit="1" customWidth="1"/>
    <col min="13321" max="13569" width="9" style="2"/>
    <col min="13570" max="13570" width="2.375" style="2" customWidth="1"/>
    <col min="13571" max="13571" width="13.25" style="2" bestFit="1" customWidth="1"/>
    <col min="13572" max="13573" width="11.125" style="2" bestFit="1" customWidth="1"/>
    <col min="13574" max="13574" width="9" style="2"/>
    <col min="13575" max="13576" width="11.125" style="2" bestFit="1" customWidth="1"/>
    <col min="13577" max="13825" width="9" style="2"/>
    <col min="13826" max="13826" width="2.375" style="2" customWidth="1"/>
    <col min="13827" max="13827" width="13.25" style="2" bestFit="1" customWidth="1"/>
    <col min="13828" max="13829" width="11.125" style="2" bestFit="1" customWidth="1"/>
    <col min="13830" max="13830" width="9" style="2"/>
    <col min="13831" max="13832" width="11.125" style="2" bestFit="1" customWidth="1"/>
    <col min="13833" max="14081" width="9" style="2"/>
    <col min="14082" max="14082" width="2.375" style="2" customWidth="1"/>
    <col min="14083" max="14083" width="13.25" style="2" bestFit="1" customWidth="1"/>
    <col min="14084" max="14085" width="11.125" style="2" bestFit="1" customWidth="1"/>
    <col min="14086" max="14086" width="9" style="2"/>
    <col min="14087" max="14088" width="11.125" style="2" bestFit="1" customWidth="1"/>
    <col min="14089" max="14337" width="9" style="2"/>
    <col min="14338" max="14338" width="2.375" style="2" customWidth="1"/>
    <col min="14339" max="14339" width="13.25" style="2" bestFit="1" customWidth="1"/>
    <col min="14340" max="14341" width="11.125" style="2" bestFit="1" customWidth="1"/>
    <col min="14342" max="14342" width="9" style="2"/>
    <col min="14343" max="14344" width="11.125" style="2" bestFit="1" customWidth="1"/>
    <col min="14345" max="14593" width="9" style="2"/>
    <col min="14594" max="14594" width="2.375" style="2" customWidth="1"/>
    <col min="14595" max="14595" width="13.25" style="2" bestFit="1" customWidth="1"/>
    <col min="14596" max="14597" width="11.125" style="2" bestFit="1" customWidth="1"/>
    <col min="14598" max="14598" width="9" style="2"/>
    <col min="14599" max="14600" width="11.125" style="2" bestFit="1" customWidth="1"/>
    <col min="14601" max="14849" width="9" style="2"/>
    <col min="14850" max="14850" width="2.375" style="2" customWidth="1"/>
    <col min="14851" max="14851" width="13.25" style="2" bestFit="1" customWidth="1"/>
    <col min="14852" max="14853" width="11.125" style="2" bestFit="1" customWidth="1"/>
    <col min="14854" max="14854" width="9" style="2"/>
    <col min="14855" max="14856" width="11.125" style="2" bestFit="1" customWidth="1"/>
    <col min="14857" max="15105" width="9" style="2"/>
    <col min="15106" max="15106" width="2.375" style="2" customWidth="1"/>
    <col min="15107" max="15107" width="13.25" style="2" bestFit="1" customWidth="1"/>
    <col min="15108" max="15109" width="11.125" style="2" bestFit="1" customWidth="1"/>
    <col min="15110" max="15110" width="9" style="2"/>
    <col min="15111" max="15112" width="11.125" style="2" bestFit="1" customWidth="1"/>
    <col min="15113" max="15361" width="9" style="2"/>
    <col min="15362" max="15362" width="2.375" style="2" customWidth="1"/>
    <col min="15363" max="15363" width="13.25" style="2" bestFit="1" customWidth="1"/>
    <col min="15364" max="15365" width="11.125" style="2" bestFit="1" customWidth="1"/>
    <col min="15366" max="15366" width="9" style="2"/>
    <col min="15367" max="15368" width="11.125" style="2" bestFit="1" customWidth="1"/>
    <col min="15369" max="15617" width="9" style="2"/>
    <col min="15618" max="15618" width="2.375" style="2" customWidth="1"/>
    <col min="15619" max="15619" width="13.25" style="2" bestFit="1" customWidth="1"/>
    <col min="15620" max="15621" width="11.125" style="2" bestFit="1" customWidth="1"/>
    <col min="15622" max="15622" width="9" style="2"/>
    <col min="15623" max="15624" width="11.125" style="2" bestFit="1" customWidth="1"/>
    <col min="15625" max="15873" width="9" style="2"/>
    <col min="15874" max="15874" width="2.375" style="2" customWidth="1"/>
    <col min="15875" max="15875" width="13.25" style="2" bestFit="1" customWidth="1"/>
    <col min="15876" max="15877" width="11.125" style="2" bestFit="1" customWidth="1"/>
    <col min="15878" max="15878" width="9" style="2"/>
    <col min="15879" max="15880" width="11.125" style="2" bestFit="1" customWidth="1"/>
    <col min="15881" max="16129" width="9" style="2"/>
    <col min="16130" max="16130" width="2.375" style="2" customWidth="1"/>
    <col min="16131" max="16131" width="13.25" style="2" bestFit="1" customWidth="1"/>
    <col min="16132" max="16133" width="11.125" style="2" bestFit="1" customWidth="1"/>
    <col min="16134" max="16134" width="9" style="2"/>
    <col min="16135" max="16136" width="11.125" style="2" bestFit="1" customWidth="1"/>
    <col min="16137" max="16384" width="9" style="2"/>
  </cols>
  <sheetData>
    <row r="1" spans="2:10">
      <c r="B1" s="1" t="s">
        <v>0</v>
      </c>
    </row>
    <row r="2" spans="2:10">
      <c r="B2" s="1" t="s">
        <v>1</v>
      </c>
    </row>
    <row r="3" spans="2:10" ht="19.5" thickBot="1">
      <c r="B3" s="1" t="s">
        <v>37</v>
      </c>
    </row>
    <row r="4" spans="2:10">
      <c r="C4" s="3"/>
      <c r="D4" s="43" t="s">
        <v>5</v>
      </c>
      <c r="E4" s="51" t="s">
        <v>38</v>
      </c>
      <c r="F4" s="10" t="s">
        <v>3</v>
      </c>
      <c r="G4" s="11" t="s">
        <v>4</v>
      </c>
      <c r="H4" s="12" t="s">
        <v>6</v>
      </c>
      <c r="I4" s="51" t="s">
        <v>38</v>
      </c>
      <c r="J4" s="4" t="s">
        <v>12</v>
      </c>
    </row>
    <row r="5" spans="2:10" ht="19.5" thickBot="1">
      <c r="B5" s="41"/>
      <c r="C5" s="27" t="s">
        <v>7</v>
      </c>
      <c r="D5" s="44" t="s">
        <v>10</v>
      </c>
      <c r="E5" s="52" t="s">
        <v>39</v>
      </c>
      <c r="F5" s="28" t="s">
        <v>8</v>
      </c>
      <c r="G5" s="29" t="s">
        <v>9</v>
      </c>
      <c r="H5" s="30" t="s">
        <v>11</v>
      </c>
      <c r="I5" s="52" t="s">
        <v>40</v>
      </c>
      <c r="J5" s="42" t="s">
        <v>41</v>
      </c>
    </row>
    <row r="6" spans="2:10">
      <c r="B6" s="1" t="s">
        <v>2</v>
      </c>
      <c r="C6" s="22" t="s">
        <v>13</v>
      </c>
      <c r="D6" s="45">
        <v>355000</v>
      </c>
      <c r="E6" s="53">
        <f>SUM(D6)</f>
        <v>355000</v>
      </c>
      <c r="F6" s="23">
        <v>71000</v>
      </c>
      <c r="G6" s="24">
        <v>83000</v>
      </c>
      <c r="H6" s="25">
        <v>59000</v>
      </c>
      <c r="I6" s="53">
        <f>SUM(F6:H6)</f>
        <v>213000</v>
      </c>
      <c r="J6" s="26">
        <f>E6+I6</f>
        <v>568000</v>
      </c>
    </row>
    <row r="7" spans="2:10">
      <c r="B7" s="1" t="s">
        <v>2</v>
      </c>
      <c r="C7" s="5" t="s">
        <v>14</v>
      </c>
      <c r="D7" s="46">
        <v>0</v>
      </c>
      <c r="E7" s="54"/>
      <c r="F7" s="13">
        <v>0</v>
      </c>
      <c r="G7" s="14">
        <v>0</v>
      </c>
      <c r="H7" s="15">
        <v>0</v>
      </c>
      <c r="I7" s="54"/>
      <c r="J7" s="7">
        <f t="shared" ref="J7:J27" si="0">E7+I7</f>
        <v>0</v>
      </c>
    </row>
    <row r="8" spans="2:10">
      <c r="B8" s="1" t="s">
        <v>2</v>
      </c>
      <c r="C8" s="5" t="s">
        <v>15</v>
      </c>
      <c r="D8" s="46">
        <v>0</v>
      </c>
      <c r="E8" s="54"/>
      <c r="F8" s="13">
        <v>15000</v>
      </c>
      <c r="G8" s="14">
        <v>0</v>
      </c>
      <c r="H8" s="15">
        <v>0</v>
      </c>
      <c r="I8" s="54">
        <f>SUM(F8:H8)</f>
        <v>15000</v>
      </c>
      <c r="J8" s="7">
        <f t="shared" si="0"/>
        <v>15000</v>
      </c>
    </row>
    <row r="9" spans="2:10" ht="19.5" thickBot="1">
      <c r="B9" s="1" t="s">
        <v>2</v>
      </c>
      <c r="C9" s="31" t="s">
        <v>16</v>
      </c>
      <c r="D9" s="47">
        <v>0</v>
      </c>
      <c r="E9" s="55"/>
      <c r="F9" s="32">
        <v>3000</v>
      </c>
      <c r="G9" s="33">
        <v>3000</v>
      </c>
      <c r="H9" s="34">
        <v>0</v>
      </c>
      <c r="I9" s="55">
        <f t="shared" ref="I9:I29" si="1">SUM(F9:H9)</f>
        <v>6000</v>
      </c>
      <c r="J9" s="35">
        <f t="shared" si="0"/>
        <v>6000</v>
      </c>
    </row>
    <row r="10" spans="2:10" ht="19.5" thickBot="1">
      <c r="B10" s="1" t="s">
        <v>2</v>
      </c>
      <c r="C10" s="36" t="s">
        <v>17</v>
      </c>
      <c r="D10" s="48">
        <v>355000</v>
      </c>
      <c r="E10" s="56">
        <f>SUM(D10)</f>
        <v>355000</v>
      </c>
      <c r="F10" s="37">
        <v>89000</v>
      </c>
      <c r="G10" s="38">
        <v>86000</v>
      </c>
      <c r="H10" s="39">
        <v>59000</v>
      </c>
      <c r="I10" s="56">
        <f t="shared" si="1"/>
        <v>234000</v>
      </c>
      <c r="J10" s="40">
        <f t="shared" si="0"/>
        <v>589000</v>
      </c>
    </row>
    <row r="11" spans="2:10" ht="19.5" thickBot="1">
      <c r="B11" s="1" t="s">
        <v>2</v>
      </c>
      <c r="C11" s="36" t="s">
        <v>18</v>
      </c>
      <c r="D11" s="48">
        <v>0</v>
      </c>
      <c r="E11" s="56">
        <f t="shared" ref="E11:E28" si="2">SUM(D11)</f>
        <v>0</v>
      </c>
      <c r="F11" s="37">
        <v>0</v>
      </c>
      <c r="G11" s="38">
        <v>0</v>
      </c>
      <c r="H11" s="39">
        <v>0</v>
      </c>
      <c r="I11" s="56">
        <f t="shared" si="1"/>
        <v>0</v>
      </c>
      <c r="J11" s="40">
        <f t="shared" si="0"/>
        <v>0</v>
      </c>
    </row>
    <row r="12" spans="2:10" ht="19.5" thickBot="1">
      <c r="B12" s="1" t="s">
        <v>2</v>
      </c>
      <c r="C12" s="36" t="s">
        <v>19</v>
      </c>
      <c r="D12" s="48">
        <v>355000</v>
      </c>
      <c r="E12" s="56">
        <f t="shared" si="2"/>
        <v>355000</v>
      </c>
      <c r="F12" s="37">
        <v>89000</v>
      </c>
      <c r="G12" s="38">
        <v>86000</v>
      </c>
      <c r="H12" s="39">
        <v>59000</v>
      </c>
      <c r="I12" s="56">
        <f t="shared" si="1"/>
        <v>234000</v>
      </c>
      <c r="J12" s="40">
        <f t="shared" si="0"/>
        <v>589000</v>
      </c>
    </row>
    <row r="13" spans="2:10">
      <c r="B13" s="1" t="s">
        <v>2</v>
      </c>
      <c r="C13" s="22" t="s">
        <v>20</v>
      </c>
      <c r="D13" s="45">
        <v>18105</v>
      </c>
      <c r="E13" s="53">
        <f t="shared" si="2"/>
        <v>18105</v>
      </c>
      <c r="F13" s="23">
        <v>4539</v>
      </c>
      <c r="G13" s="24">
        <v>4386</v>
      </c>
      <c r="H13" s="25">
        <v>3009</v>
      </c>
      <c r="I13" s="53">
        <f t="shared" si="1"/>
        <v>11934</v>
      </c>
      <c r="J13" s="26">
        <f t="shared" si="0"/>
        <v>30039</v>
      </c>
    </row>
    <row r="14" spans="2:10">
      <c r="B14" s="1" t="s">
        <v>2</v>
      </c>
      <c r="C14" s="5" t="s">
        <v>21</v>
      </c>
      <c r="D14" s="46">
        <v>3195</v>
      </c>
      <c r="E14" s="54">
        <f t="shared" si="2"/>
        <v>3195</v>
      </c>
      <c r="F14" s="13">
        <v>801</v>
      </c>
      <c r="G14" s="14">
        <v>774</v>
      </c>
      <c r="H14" s="15">
        <v>531</v>
      </c>
      <c r="I14" s="54">
        <f t="shared" si="1"/>
        <v>2106</v>
      </c>
      <c r="J14" s="7">
        <f t="shared" si="0"/>
        <v>5301</v>
      </c>
    </row>
    <row r="15" spans="2:10">
      <c r="B15" s="1" t="s">
        <v>2</v>
      </c>
      <c r="C15" s="5" t="s">
        <v>22</v>
      </c>
      <c r="D15" s="46">
        <v>32482</v>
      </c>
      <c r="E15" s="54">
        <f t="shared" si="2"/>
        <v>32482</v>
      </c>
      <c r="F15" s="13">
        <v>8143</v>
      </c>
      <c r="G15" s="14">
        <v>7869</v>
      </c>
      <c r="H15" s="15">
        <v>5398</v>
      </c>
      <c r="I15" s="54">
        <f t="shared" si="1"/>
        <v>21410</v>
      </c>
      <c r="J15" s="7">
        <f t="shared" si="0"/>
        <v>53892</v>
      </c>
    </row>
    <row r="16" spans="2:10" ht="19.5" thickBot="1">
      <c r="B16" s="1" t="s">
        <v>2</v>
      </c>
      <c r="C16" s="31" t="s">
        <v>23</v>
      </c>
      <c r="D16" s="47">
        <v>1065</v>
      </c>
      <c r="E16" s="55">
        <f t="shared" si="2"/>
        <v>1065</v>
      </c>
      <c r="F16" s="32">
        <v>267</v>
      </c>
      <c r="G16" s="33">
        <v>258</v>
      </c>
      <c r="H16" s="34">
        <v>177</v>
      </c>
      <c r="I16" s="55">
        <f t="shared" si="1"/>
        <v>702</v>
      </c>
      <c r="J16" s="35">
        <f t="shared" si="0"/>
        <v>1767</v>
      </c>
    </row>
    <row r="17" spans="2:10" ht="19.5" thickBot="1">
      <c r="B17" s="1" t="s">
        <v>2</v>
      </c>
      <c r="C17" s="36" t="s">
        <v>24</v>
      </c>
      <c r="D17" s="48">
        <v>300153</v>
      </c>
      <c r="E17" s="56">
        <f t="shared" si="2"/>
        <v>300153</v>
      </c>
      <c r="F17" s="37">
        <v>75250</v>
      </c>
      <c r="G17" s="38">
        <v>72713</v>
      </c>
      <c r="H17" s="39">
        <v>49885</v>
      </c>
      <c r="I17" s="56">
        <f t="shared" si="1"/>
        <v>197848</v>
      </c>
      <c r="J17" s="40">
        <f t="shared" si="0"/>
        <v>498001</v>
      </c>
    </row>
    <row r="18" spans="2:10" ht="19.5" thickBot="1">
      <c r="B18" s="1" t="s">
        <v>2</v>
      </c>
      <c r="C18" s="36" t="s">
        <v>25</v>
      </c>
      <c r="D18" s="48">
        <v>24516</v>
      </c>
      <c r="E18" s="56">
        <f t="shared" si="2"/>
        <v>24516</v>
      </c>
      <c r="F18" s="37">
        <v>4609</v>
      </c>
      <c r="G18" s="38">
        <v>5939</v>
      </c>
      <c r="H18" s="39">
        <v>2037</v>
      </c>
      <c r="I18" s="56">
        <f t="shared" si="1"/>
        <v>12585</v>
      </c>
      <c r="J18" s="40">
        <f t="shared" si="0"/>
        <v>37101</v>
      </c>
    </row>
    <row r="19" spans="2:10" ht="19.5" thickBot="1">
      <c r="B19" s="1" t="s">
        <v>2</v>
      </c>
      <c r="C19" s="36" t="s">
        <v>26</v>
      </c>
      <c r="D19" s="48">
        <v>54847</v>
      </c>
      <c r="E19" s="56">
        <f t="shared" si="2"/>
        <v>54847</v>
      </c>
      <c r="F19" s="37">
        <v>13750</v>
      </c>
      <c r="G19" s="38">
        <v>13287</v>
      </c>
      <c r="H19" s="39">
        <v>9115</v>
      </c>
      <c r="I19" s="56">
        <f t="shared" si="1"/>
        <v>36152</v>
      </c>
      <c r="J19" s="40">
        <f t="shared" si="0"/>
        <v>90999</v>
      </c>
    </row>
    <row r="20" spans="2:10" ht="19.5" thickBot="1">
      <c r="B20" s="1" t="s">
        <v>2</v>
      </c>
      <c r="C20" s="36" t="s">
        <v>27</v>
      </c>
      <c r="D20" s="48">
        <v>79363</v>
      </c>
      <c r="E20" s="56">
        <f t="shared" si="2"/>
        <v>79363</v>
      </c>
      <c r="F20" s="37">
        <v>18359</v>
      </c>
      <c r="G20" s="38">
        <v>19226</v>
      </c>
      <c r="H20" s="39">
        <v>11152</v>
      </c>
      <c r="I20" s="56">
        <f t="shared" si="1"/>
        <v>48737</v>
      </c>
      <c r="J20" s="40">
        <f t="shared" si="0"/>
        <v>128100</v>
      </c>
    </row>
    <row r="21" spans="2:10">
      <c r="B21" s="1" t="s">
        <v>2</v>
      </c>
      <c r="C21" s="22" t="s">
        <v>28</v>
      </c>
      <c r="D21" s="45">
        <v>0</v>
      </c>
      <c r="E21" s="53">
        <f t="shared" si="2"/>
        <v>0</v>
      </c>
      <c r="F21" s="23">
        <v>0</v>
      </c>
      <c r="G21" s="24">
        <v>0</v>
      </c>
      <c r="H21" s="25">
        <v>0</v>
      </c>
      <c r="I21" s="53">
        <f t="shared" si="1"/>
        <v>0</v>
      </c>
      <c r="J21" s="26">
        <f t="shared" si="0"/>
        <v>0</v>
      </c>
    </row>
    <row r="22" spans="2:10">
      <c r="B22" s="1" t="s">
        <v>2</v>
      </c>
      <c r="C22" s="5" t="s">
        <v>29</v>
      </c>
      <c r="D22" s="46">
        <v>0</v>
      </c>
      <c r="E22" s="54">
        <f t="shared" si="2"/>
        <v>0</v>
      </c>
      <c r="F22" s="13">
        <v>0</v>
      </c>
      <c r="G22" s="14">
        <v>0</v>
      </c>
      <c r="H22" s="15">
        <v>0</v>
      </c>
      <c r="I22" s="54">
        <f t="shared" si="1"/>
        <v>0</v>
      </c>
      <c r="J22" s="7">
        <f t="shared" si="0"/>
        <v>0</v>
      </c>
    </row>
    <row r="23" spans="2:10" ht="19.5" thickBot="1">
      <c r="B23" s="1" t="s">
        <v>2</v>
      </c>
      <c r="C23" s="31" t="s">
        <v>30</v>
      </c>
      <c r="D23" s="47">
        <v>0</v>
      </c>
      <c r="E23" s="55">
        <f t="shared" si="2"/>
        <v>0</v>
      </c>
      <c r="F23" s="32">
        <v>0</v>
      </c>
      <c r="G23" s="33">
        <v>0</v>
      </c>
      <c r="H23" s="34">
        <v>0</v>
      </c>
      <c r="I23" s="55">
        <f t="shared" si="1"/>
        <v>0</v>
      </c>
      <c r="J23" s="35">
        <f t="shared" si="0"/>
        <v>0</v>
      </c>
    </row>
    <row r="24" spans="2:10" ht="19.5" thickBot="1">
      <c r="B24" s="1" t="s">
        <v>2</v>
      </c>
      <c r="C24" s="36" t="s">
        <v>31</v>
      </c>
      <c r="D24" s="48">
        <v>275637</v>
      </c>
      <c r="E24" s="56">
        <f t="shared" si="2"/>
        <v>275637</v>
      </c>
      <c r="F24" s="37">
        <v>70641</v>
      </c>
      <c r="G24" s="38">
        <v>66774</v>
      </c>
      <c r="H24" s="39">
        <v>47848</v>
      </c>
      <c r="I24" s="56">
        <f t="shared" si="1"/>
        <v>185263</v>
      </c>
      <c r="J24" s="40">
        <f t="shared" si="0"/>
        <v>460900</v>
      </c>
    </row>
    <row r="25" spans="2:10" ht="19.5" thickBot="1">
      <c r="B25" s="1" t="s">
        <v>2</v>
      </c>
      <c r="C25" s="36" t="s">
        <v>32</v>
      </c>
      <c r="D25" s="48">
        <v>0</v>
      </c>
      <c r="E25" s="56">
        <f t="shared" si="2"/>
        <v>0</v>
      </c>
      <c r="F25" s="37">
        <v>0</v>
      </c>
      <c r="G25" s="38">
        <v>0</v>
      </c>
      <c r="H25" s="39">
        <v>0</v>
      </c>
      <c r="I25" s="56">
        <f t="shared" si="1"/>
        <v>0</v>
      </c>
      <c r="J25" s="40">
        <f t="shared" si="0"/>
        <v>0</v>
      </c>
    </row>
    <row r="26" spans="2:10" ht="19.5" thickBot="1">
      <c r="B26" s="1" t="s">
        <v>2</v>
      </c>
      <c r="C26" s="36" t="s">
        <v>33</v>
      </c>
      <c r="D26" s="48">
        <v>275637</v>
      </c>
      <c r="E26" s="56">
        <f t="shared" si="2"/>
        <v>275637</v>
      </c>
      <c r="F26" s="37">
        <v>70641</v>
      </c>
      <c r="G26" s="38">
        <v>66774</v>
      </c>
      <c r="H26" s="39">
        <v>47848</v>
      </c>
      <c r="I26" s="56">
        <f t="shared" si="1"/>
        <v>185263</v>
      </c>
      <c r="J26" s="40">
        <f t="shared" si="0"/>
        <v>460900</v>
      </c>
    </row>
    <row r="27" spans="2:10">
      <c r="B27" s="1" t="s">
        <v>2</v>
      </c>
      <c r="C27" s="22" t="s">
        <v>34</v>
      </c>
      <c r="D27" s="45">
        <v>1</v>
      </c>
      <c r="E27" s="53">
        <f t="shared" si="2"/>
        <v>1</v>
      </c>
      <c r="F27" s="23">
        <v>0</v>
      </c>
      <c r="G27" s="24">
        <v>0</v>
      </c>
      <c r="H27" s="25">
        <v>2</v>
      </c>
      <c r="I27" s="53">
        <f t="shared" si="1"/>
        <v>2</v>
      </c>
      <c r="J27" s="26">
        <f t="shared" si="0"/>
        <v>3</v>
      </c>
    </row>
    <row r="28" spans="2:10">
      <c r="B28" s="1" t="s">
        <v>2</v>
      </c>
      <c r="C28" s="5" t="s">
        <v>35</v>
      </c>
      <c r="D28" s="49">
        <v>8.1679999999999993</v>
      </c>
      <c r="E28" s="57">
        <f t="shared" si="2"/>
        <v>8.1679999999999993</v>
      </c>
      <c r="F28" s="16">
        <v>6.1260000000000003</v>
      </c>
      <c r="G28" s="17">
        <v>8.1679999999999993</v>
      </c>
      <c r="H28" s="18">
        <v>4.0839999999999996</v>
      </c>
      <c r="I28" s="57">
        <f t="shared" si="1"/>
        <v>18.378</v>
      </c>
      <c r="J28" s="8"/>
    </row>
    <row r="29" spans="2:10" ht="19.5" thickBot="1">
      <c r="B29" s="1" t="s">
        <v>2</v>
      </c>
      <c r="C29" s="6" t="s">
        <v>36</v>
      </c>
      <c r="D29" s="50">
        <v>341641</v>
      </c>
      <c r="E29" s="58"/>
      <c r="F29" s="19">
        <v>276910</v>
      </c>
      <c r="G29" s="20">
        <v>332656</v>
      </c>
      <c r="H29" s="21">
        <v>272953</v>
      </c>
      <c r="I29" s="58">
        <f t="shared" si="1"/>
        <v>882519</v>
      </c>
      <c r="J29" s="9"/>
    </row>
  </sheetData>
  <phoneticPr fontId="3"/>
  <pageMargins left="0.7" right="0.7" top="0.75" bottom="0.75" header="0.3" footer="0.3"/>
  <pageSetup paperSiz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4年夏賞与 (2)</vt:lpstr>
      <vt:lpstr>'4年夏賞与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2022-06-16T06:03:14Z</cp:lastPrinted>
  <dcterms:created xsi:type="dcterms:W3CDTF">2022-06-14T05:03:54Z</dcterms:created>
  <dcterms:modified xsi:type="dcterms:W3CDTF">2022-06-16T07:40:04Z</dcterms:modified>
</cp:coreProperties>
</file>