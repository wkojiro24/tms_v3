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1年度夏季賞与\"/>
    </mc:Choice>
  </mc:AlternateContent>
  <xr:revisionPtr revIDLastSave="0" documentId="13_ncr:1_{E187B2FB-0C5A-4535-AFE6-F9026019668A}" xr6:coauthVersionLast="47" xr6:coauthVersionMax="47" xr10:uidLastSave="{00000000-0000-0000-0000-000000000000}"/>
  <bookViews>
    <workbookView xWindow="-120" yWindow="-120" windowWidth="20730" windowHeight="11160" xr2:uid="{6F577A5F-2817-4D3A-9E67-B1FB8A83CAE2}"/>
  </bookViews>
  <sheets>
    <sheet name="4年夏賞与 (2)" sheetId="3" r:id="rId1"/>
  </sheets>
  <definedNames>
    <definedName name="_xlnm.Print_Area" localSheetId="0">'4年夏賞与 (2)'!$B$1:$Z$29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7" i="3" l="1"/>
  <c r="Z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8" i="3"/>
  <c r="Y6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10" i="3"/>
  <c r="G6" i="3"/>
  <c r="E10" i="3"/>
  <c r="Z10" i="3" s="1"/>
  <c r="E11" i="3"/>
  <c r="Z11" i="3" s="1"/>
  <c r="E12" i="3"/>
  <c r="Z12" i="3" s="1"/>
  <c r="E13" i="3"/>
  <c r="Z13" i="3" s="1"/>
  <c r="E14" i="3"/>
  <c r="Z14" i="3" s="1"/>
  <c r="E15" i="3"/>
  <c r="Z15" i="3" s="1"/>
  <c r="E16" i="3"/>
  <c r="Z16" i="3" s="1"/>
  <c r="E17" i="3"/>
  <c r="Z17" i="3" s="1"/>
  <c r="E18" i="3"/>
  <c r="Z18" i="3" s="1"/>
  <c r="E19" i="3"/>
  <c r="Z19" i="3" s="1"/>
  <c r="E20" i="3"/>
  <c r="Z20" i="3" s="1"/>
  <c r="E21" i="3"/>
  <c r="Z21" i="3" s="1"/>
  <c r="E22" i="3"/>
  <c r="Z22" i="3" s="1"/>
  <c r="E23" i="3"/>
  <c r="Z23" i="3" s="1"/>
  <c r="E24" i="3"/>
  <c r="Z24" i="3" s="1"/>
  <c r="E25" i="3"/>
  <c r="Z25" i="3" s="1"/>
  <c r="E26" i="3"/>
  <c r="Z26" i="3" s="1"/>
  <c r="E27" i="3"/>
  <c r="Z27" i="3" s="1"/>
  <c r="E28" i="3"/>
  <c r="Z28" i="3" s="1"/>
  <c r="E9" i="3"/>
  <c r="Z9" i="3" s="1"/>
  <c r="E6" i="3"/>
  <c r="Z6" i="3" s="1"/>
</calcChain>
</file>

<file path=xl/sharedStrings.xml><?xml version="1.0" encoding="utf-8"?>
<sst xmlns="http://schemas.openxmlformats.org/spreadsheetml/2006/main" count="98" uniqueCount="72">
  <si>
    <t>賞与支給控除一覧表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</si>
  <si>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</si>
  <si>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</si>
  <si>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</si>
  <si>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</si>
  <si>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</si>
  <si>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</si>
  <si>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</si>
  <si>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</si>
  <si>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</si>
  <si>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</si>
  <si>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</si>
  <si>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</si>
  <si>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</si>
  <si>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</si>
  <si>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</si>
  <si>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</si>
  <si>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</si>
  <si>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</si>
  <si>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</si>
  <si>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</si>
  <si>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</si>
  <si>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</si>
  <si>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</si>
  <si>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</si>
  <si>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</si>
  <si>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</si>
  <si>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</si>
  <si>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</si>
  <si>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</si>
  <si>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</si>
  <si>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</si>
  <si>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</si>
  <si>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</si>
  <si>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</si>
  <si>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</si>
  <si>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</si>
  <si>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</si>
  <si>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</si>
  <si>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</si>
  <si>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</si>
  <si>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</si>
  <si>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</si>
  <si>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</si>
  <si>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</si>
  <si>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</si>
  <si>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</si>
  <si>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</si>
  <si>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</si>
  <si>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</si>
  <si>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</si>
  <si>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</si>
  <si>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</si>
  <si>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</si>
  <si>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</si>
  <si>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</si>
  <si>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</si>
  <si>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</si>
  <si>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</si>
  <si>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</si>
  <si>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</si>
  <si>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</si>
  <si>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</si>
  <si>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</si>
  <si>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</si>
  <si>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</si>
  <si>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</si>
  <si>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2021年度夏季賞与</t>
    <rPh sb="5" eb="6">
      <t>ド</t>
    </rPh>
    <rPh sb="6" eb="8">
      <t>カキ</t>
    </rPh>
    <rPh sb="8" eb="10">
      <t>ショウヨ</t>
    </rPh>
    <phoneticPr fontId="4"/>
  </si>
  <si>
    <t>小計</t>
    <rPh sb="0" eb="2">
      <t>ショウケイ</t>
    </rPh>
    <phoneticPr fontId="3"/>
  </si>
  <si>
    <t>1名</t>
    <rPh sb="1" eb="2">
      <t>メイ</t>
    </rPh>
    <phoneticPr fontId="3"/>
  </si>
  <si>
    <t>17名</t>
    <rPh sb="2" eb="3">
      <t>メイ</t>
    </rPh>
    <phoneticPr fontId="3"/>
  </si>
  <si>
    <t>19名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</si>
</sst>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0" fontId="2" fillId="0" borderId="29" xfId="1" applyFont="1" applyBorder="1"/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176" fontId="2" fillId="0" borderId="33" xfId="1" applyNumberFormat="1" applyFont="1" applyBorder="1"/>
    <xf numFmtId="3" fontId="2" fillId="0" borderId="31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right"/>
    </xf>
    <xf numFmtId="49" fontId="2" fillId="0" borderId="37" xfId="1" applyNumberFormat="1" applyFont="1" applyBorder="1" applyAlignment="1">
      <alignment horizontal="left"/>
    </xf>
    <xf numFmtId="49" fontId="2" fillId="0" borderId="38" xfId="1" applyNumberFormat="1" applyFont="1" applyBorder="1" applyAlignment="1">
      <alignment horizontal="righ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6" xfId="1" applyNumberFormat="1" applyFont="1" applyBorder="1"/>
    <xf numFmtId="176" fontId="2" fillId="0" borderId="40" xfId="1" applyNumberFormat="1" applyFont="1" applyBorder="1"/>
    <xf numFmtId="3" fontId="2" fillId="0" borderId="38" xfId="1" applyNumberFormat="1" applyFont="1" applyBorder="1"/>
    <xf numFmtId="49" fontId="2" fillId="0" borderId="42" xfId="1" applyNumberFormat="1" applyFont="1" applyBorder="1" applyAlignment="1">
      <alignment horizontal="center"/>
    </xf>
    <xf numFmtId="49" fontId="2" fillId="0" borderId="43" xfId="1" applyNumberFormat="1" applyFont="1" applyBorder="1" applyAlignment="1">
      <alignment horizontal="center"/>
    </xf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176" fontId="2" fillId="0" borderId="45" xfId="1" applyNumberFormat="1" applyFont="1" applyBorder="1"/>
    <xf numFmtId="3" fontId="2" fillId="0" borderId="43" xfId="1" applyNumberFormat="1" applyFont="1" applyBorder="1"/>
    <xf numFmtId="0" fontId="2" fillId="0" borderId="6" xfId="1" applyFont="1" applyBorder="1" applyAlignment="1">
      <alignment horizontal="right"/>
    </xf>
  </cellXfs>
  <cellStyles count="2">
    <cellStyle name="標準" xfId="0" builtinId="0"/>
    <cellStyle name="標準 2" xfId="1" xr:uid="{3AE2327F-4FBD-4562-9DAC-4CC90E3C7F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7A10-E070-461B-9AD8-272BCAC5E496}">
  <sheetPr>
    <pageSetUpPr fitToPage="1"/>
  </sheetPr>
  <dimension ref="B1:Z29"/>
  <sheetViews>
    <sheetView showZeros="0" tabSelected="1" workbookViewId="0"/>
  </sheetViews>
  <sheetFormatPr defaultRowHeight="18.75"/>
  <cols>
    <col min="1" max="1" width="3.75" style="2" customWidth="1"/>
    <col min="2" max="2" width="2.375" style="2" customWidth="1"/>
    <col min="3" max="3" width="13.25" style="2" bestFit="1" customWidth="1"/>
    <col min="4" max="26" width="10.375" style="2" customWidth="1"/>
    <col min="27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78" width="11.125" style="2" bestFit="1" customWidth="1"/>
    <col min="279" max="279" width="9" style="2"/>
    <col min="280" max="280" width="11.125" style="2" bestFit="1" customWidth="1"/>
    <col min="281" max="281" width="9.625" style="2" bestFit="1" customWidth="1"/>
    <col min="282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4" width="11.125" style="2" bestFit="1" customWidth="1"/>
    <col min="535" max="535" width="9" style="2"/>
    <col min="536" max="536" width="11.125" style="2" bestFit="1" customWidth="1"/>
    <col min="537" max="537" width="9.625" style="2" bestFit="1" customWidth="1"/>
    <col min="538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0" width="11.125" style="2" bestFit="1" customWidth="1"/>
    <col min="791" max="791" width="9" style="2"/>
    <col min="792" max="792" width="11.125" style="2" bestFit="1" customWidth="1"/>
    <col min="793" max="793" width="9.625" style="2" bestFit="1" customWidth="1"/>
    <col min="794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6" width="11.125" style="2" bestFit="1" customWidth="1"/>
    <col min="1047" max="1047" width="9" style="2"/>
    <col min="1048" max="1048" width="11.125" style="2" bestFit="1" customWidth="1"/>
    <col min="1049" max="1049" width="9.625" style="2" bestFit="1" customWidth="1"/>
    <col min="1050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2" width="11.125" style="2" bestFit="1" customWidth="1"/>
    <col min="1303" max="1303" width="9" style="2"/>
    <col min="1304" max="1304" width="11.125" style="2" bestFit="1" customWidth="1"/>
    <col min="1305" max="1305" width="9.625" style="2" bestFit="1" customWidth="1"/>
    <col min="1306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58" width="11.125" style="2" bestFit="1" customWidth="1"/>
    <col min="1559" max="1559" width="9" style="2"/>
    <col min="1560" max="1560" width="11.125" style="2" bestFit="1" customWidth="1"/>
    <col min="1561" max="1561" width="9.625" style="2" bestFit="1" customWidth="1"/>
    <col min="1562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4" width="11.125" style="2" bestFit="1" customWidth="1"/>
    <col min="1815" max="1815" width="9" style="2"/>
    <col min="1816" max="1816" width="11.125" style="2" bestFit="1" customWidth="1"/>
    <col min="1817" max="1817" width="9.625" style="2" bestFit="1" customWidth="1"/>
    <col min="1818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0" width="11.125" style="2" bestFit="1" customWidth="1"/>
    <col min="2071" max="2071" width="9" style="2"/>
    <col min="2072" max="2072" width="11.125" style="2" bestFit="1" customWidth="1"/>
    <col min="2073" max="2073" width="9.625" style="2" bestFit="1" customWidth="1"/>
    <col min="2074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6" width="11.125" style="2" bestFit="1" customWidth="1"/>
    <col min="2327" max="2327" width="9" style="2"/>
    <col min="2328" max="2328" width="11.125" style="2" bestFit="1" customWidth="1"/>
    <col min="2329" max="2329" width="9.625" style="2" bestFit="1" customWidth="1"/>
    <col min="2330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2" width="11.125" style="2" bestFit="1" customWidth="1"/>
    <col min="2583" max="2583" width="9" style="2"/>
    <col min="2584" max="2584" width="11.125" style="2" bestFit="1" customWidth="1"/>
    <col min="2585" max="2585" width="9.625" style="2" bestFit="1" customWidth="1"/>
    <col min="2586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38" width="11.125" style="2" bestFit="1" customWidth="1"/>
    <col min="2839" max="2839" width="9" style="2"/>
    <col min="2840" max="2840" width="11.125" style="2" bestFit="1" customWidth="1"/>
    <col min="2841" max="2841" width="9.625" style="2" bestFit="1" customWidth="1"/>
    <col min="2842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4" width="11.125" style="2" bestFit="1" customWidth="1"/>
    <col min="3095" max="3095" width="9" style="2"/>
    <col min="3096" max="3096" width="11.125" style="2" bestFit="1" customWidth="1"/>
    <col min="3097" max="3097" width="9.625" style="2" bestFit="1" customWidth="1"/>
    <col min="3098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0" width="11.125" style="2" bestFit="1" customWidth="1"/>
    <col min="3351" max="3351" width="9" style="2"/>
    <col min="3352" max="3352" width="11.125" style="2" bestFit="1" customWidth="1"/>
    <col min="3353" max="3353" width="9.625" style="2" bestFit="1" customWidth="1"/>
    <col min="3354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6" width="11.125" style="2" bestFit="1" customWidth="1"/>
    <col min="3607" max="3607" width="9" style="2"/>
    <col min="3608" max="3608" width="11.125" style="2" bestFit="1" customWidth="1"/>
    <col min="3609" max="3609" width="9.625" style="2" bestFit="1" customWidth="1"/>
    <col min="3610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2" width="11.125" style="2" bestFit="1" customWidth="1"/>
    <col min="3863" max="3863" width="9" style="2"/>
    <col min="3864" max="3864" width="11.125" style="2" bestFit="1" customWidth="1"/>
    <col min="3865" max="3865" width="9.625" style="2" bestFit="1" customWidth="1"/>
    <col min="3866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18" width="11.125" style="2" bestFit="1" customWidth="1"/>
    <col min="4119" max="4119" width="9" style="2"/>
    <col min="4120" max="4120" width="11.125" style="2" bestFit="1" customWidth="1"/>
    <col min="4121" max="4121" width="9.625" style="2" bestFit="1" customWidth="1"/>
    <col min="4122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4" width="11.125" style="2" bestFit="1" customWidth="1"/>
    <col min="4375" max="4375" width="9" style="2"/>
    <col min="4376" max="4376" width="11.125" style="2" bestFit="1" customWidth="1"/>
    <col min="4377" max="4377" width="9.625" style="2" bestFit="1" customWidth="1"/>
    <col min="4378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0" width="11.125" style="2" bestFit="1" customWidth="1"/>
    <col min="4631" max="4631" width="9" style="2"/>
    <col min="4632" max="4632" width="11.125" style="2" bestFit="1" customWidth="1"/>
    <col min="4633" max="4633" width="9.625" style="2" bestFit="1" customWidth="1"/>
    <col min="4634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6" width="11.125" style="2" bestFit="1" customWidth="1"/>
    <col min="4887" max="4887" width="9" style="2"/>
    <col min="4888" max="4888" width="11.125" style="2" bestFit="1" customWidth="1"/>
    <col min="4889" max="4889" width="9.625" style="2" bestFit="1" customWidth="1"/>
    <col min="4890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2" width="11.125" style="2" bestFit="1" customWidth="1"/>
    <col min="5143" max="5143" width="9" style="2"/>
    <col min="5144" max="5144" width="11.125" style="2" bestFit="1" customWidth="1"/>
    <col min="5145" max="5145" width="9.625" style="2" bestFit="1" customWidth="1"/>
    <col min="5146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398" width="11.125" style="2" bestFit="1" customWidth="1"/>
    <col min="5399" max="5399" width="9" style="2"/>
    <col min="5400" max="5400" width="11.125" style="2" bestFit="1" customWidth="1"/>
    <col min="5401" max="5401" width="9.625" style="2" bestFit="1" customWidth="1"/>
    <col min="5402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4" width="11.125" style="2" bestFit="1" customWidth="1"/>
    <col min="5655" max="5655" width="9" style="2"/>
    <col min="5656" max="5656" width="11.125" style="2" bestFit="1" customWidth="1"/>
    <col min="5657" max="5657" width="9.625" style="2" bestFit="1" customWidth="1"/>
    <col min="5658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0" width="11.125" style="2" bestFit="1" customWidth="1"/>
    <col min="5911" max="5911" width="9" style="2"/>
    <col min="5912" max="5912" width="11.125" style="2" bestFit="1" customWidth="1"/>
    <col min="5913" max="5913" width="9.625" style="2" bestFit="1" customWidth="1"/>
    <col min="5914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6" width="11.125" style="2" bestFit="1" customWidth="1"/>
    <col min="6167" max="6167" width="9" style="2"/>
    <col min="6168" max="6168" width="11.125" style="2" bestFit="1" customWidth="1"/>
    <col min="6169" max="6169" width="9.625" style="2" bestFit="1" customWidth="1"/>
    <col min="6170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2" width="11.125" style="2" bestFit="1" customWidth="1"/>
    <col min="6423" max="6423" width="9" style="2"/>
    <col min="6424" max="6424" width="11.125" style="2" bestFit="1" customWidth="1"/>
    <col min="6425" max="6425" width="9.625" style="2" bestFit="1" customWidth="1"/>
    <col min="6426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78" width="11.125" style="2" bestFit="1" customWidth="1"/>
    <col min="6679" max="6679" width="9" style="2"/>
    <col min="6680" max="6680" width="11.125" style="2" bestFit="1" customWidth="1"/>
    <col min="6681" max="6681" width="9.625" style="2" bestFit="1" customWidth="1"/>
    <col min="6682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4" width="11.125" style="2" bestFit="1" customWidth="1"/>
    <col min="6935" max="6935" width="9" style="2"/>
    <col min="6936" max="6936" width="11.125" style="2" bestFit="1" customWidth="1"/>
    <col min="6937" max="6937" width="9.625" style="2" bestFit="1" customWidth="1"/>
    <col min="6938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0" width="11.125" style="2" bestFit="1" customWidth="1"/>
    <col min="7191" max="7191" width="9" style="2"/>
    <col min="7192" max="7192" width="11.125" style="2" bestFit="1" customWidth="1"/>
    <col min="7193" max="7193" width="9.625" style="2" bestFit="1" customWidth="1"/>
    <col min="7194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6" width="11.125" style="2" bestFit="1" customWidth="1"/>
    <col min="7447" max="7447" width="9" style="2"/>
    <col min="7448" max="7448" width="11.125" style="2" bestFit="1" customWidth="1"/>
    <col min="7449" max="7449" width="9.625" style="2" bestFit="1" customWidth="1"/>
    <col min="7450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2" width="11.125" style="2" bestFit="1" customWidth="1"/>
    <col min="7703" max="7703" width="9" style="2"/>
    <col min="7704" max="7704" width="11.125" style="2" bestFit="1" customWidth="1"/>
    <col min="7705" max="7705" width="9.625" style="2" bestFit="1" customWidth="1"/>
    <col min="7706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58" width="11.125" style="2" bestFit="1" customWidth="1"/>
    <col min="7959" max="7959" width="9" style="2"/>
    <col min="7960" max="7960" width="11.125" style="2" bestFit="1" customWidth="1"/>
    <col min="7961" max="7961" width="9.625" style="2" bestFit="1" customWidth="1"/>
    <col min="7962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4" width="11.125" style="2" bestFit="1" customWidth="1"/>
    <col min="8215" max="8215" width="9" style="2"/>
    <col min="8216" max="8216" width="11.125" style="2" bestFit="1" customWidth="1"/>
    <col min="8217" max="8217" width="9.625" style="2" bestFit="1" customWidth="1"/>
    <col min="8218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0" width="11.125" style="2" bestFit="1" customWidth="1"/>
    <col min="8471" max="8471" width="9" style="2"/>
    <col min="8472" max="8472" width="11.125" style="2" bestFit="1" customWidth="1"/>
    <col min="8473" max="8473" width="9.625" style="2" bestFit="1" customWidth="1"/>
    <col min="8474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6" width="11.125" style="2" bestFit="1" customWidth="1"/>
    <col min="8727" max="8727" width="9" style="2"/>
    <col min="8728" max="8728" width="11.125" style="2" bestFit="1" customWidth="1"/>
    <col min="8729" max="8729" width="9.625" style="2" bestFit="1" customWidth="1"/>
    <col min="8730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2" width="11.125" style="2" bestFit="1" customWidth="1"/>
    <col min="8983" max="8983" width="9" style="2"/>
    <col min="8984" max="8984" width="11.125" style="2" bestFit="1" customWidth="1"/>
    <col min="8985" max="8985" width="9.625" style="2" bestFit="1" customWidth="1"/>
    <col min="8986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38" width="11.125" style="2" bestFit="1" customWidth="1"/>
    <col min="9239" max="9239" width="9" style="2"/>
    <col min="9240" max="9240" width="11.125" style="2" bestFit="1" customWidth="1"/>
    <col min="9241" max="9241" width="9.625" style="2" bestFit="1" customWidth="1"/>
    <col min="9242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4" width="11.125" style="2" bestFit="1" customWidth="1"/>
    <col min="9495" max="9495" width="9" style="2"/>
    <col min="9496" max="9496" width="11.125" style="2" bestFit="1" customWidth="1"/>
    <col min="9497" max="9497" width="9.625" style="2" bestFit="1" customWidth="1"/>
    <col min="9498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0" width="11.125" style="2" bestFit="1" customWidth="1"/>
    <col min="9751" max="9751" width="9" style="2"/>
    <col min="9752" max="9752" width="11.125" style="2" bestFit="1" customWidth="1"/>
    <col min="9753" max="9753" width="9.625" style="2" bestFit="1" customWidth="1"/>
    <col min="9754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6" width="11.125" style="2" bestFit="1" customWidth="1"/>
    <col min="10007" max="10007" width="9" style="2"/>
    <col min="10008" max="10008" width="11.125" style="2" bestFit="1" customWidth="1"/>
    <col min="10009" max="10009" width="9.625" style="2" bestFit="1" customWidth="1"/>
    <col min="10010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2" width="11.125" style="2" bestFit="1" customWidth="1"/>
    <col min="10263" max="10263" width="9" style="2"/>
    <col min="10264" max="10264" width="11.125" style="2" bestFit="1" customWidth="1"/>
    <col min="10265" max="10265" width="9.625" style="2" bestFit="1" customWidth="1"/>
    <col min="10266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18" width="11.125" style="2" bestFit="1" customWidth="1"/>
    <col min="10519" max="10519" width="9" style="2"/>
    <col min="10520" max="10520" width="11.125" style="2" bestFit="1" customWidth="1"/>
    <col min="10521" max="10521" width="9.625" style="2" bestFit="1" customWidth="1"/>
    <col min="10522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4" width="11.125" style="2" bestFit="1" customWidth="1"/>
    <col min="10775" max="10775" width="9" style="2"/>
    <col min="10776" max="10776" width="11.125" style="2" bestFit="1" customWidth="1"/>
    <col min="10777" max="10777" width="9.625" style="2" bestFit="1" customWidth="1"/>
    <col min="10778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0" width="11.125" style="2" bestFit="1" customWidth="1"/>
    <col min="11031" max="11031" width="9" style="2"/>
    <col min="11032" max="11032" width="11.125" style="2" bestFit="1" customWidth="1"/>
    <col min="11033" max="11033" width="9.625" style="2" bestFit="1" customWidth="1"/>
    <col min="11034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6" width="11.125" style="2" bestFit="1" customWidth="1"/>
    <col min="11287" max="11287" width="9" style="2"/>
    <col min="11288" max="11288" width="11.125" style="2" bestFit="1" customWidth="1"/>
    <col min="11289" max="11289" width="9.625" style="2" bestFit="1" customWidth="1"/>
    <col min="11290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2" width="11.125" style="2" bestFit="1" customWidth="1"/>
    <col min="11543" max="11543" width="9" style="2"/>
    <col min="11544" max="11544" width="11.125" style="2" bestFit="1" customWidth="1"/>
    <col min="11545" max="11545" width="9.625" style="2" bestFit="1" customWidth="1"/>
    <col min="11546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798" width="11.125" style="2" bestFit="1" customWidth="1"/>
    <col min="11799" max="11799" width="9" style="2"/>
    <col min="11800" max="11800" width="11.125" style="2" bestFit="1" customWidth="1"/>
    <col min="11801" max="11801" width="9.625" style="2" bestFit="1" customWidth="1"/>
    <col min="11802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4" width="11.125" style="2" bestFit="1" customWidth="1"/>
    <col min="12055" max="12055" width="9" style="2"/>
    <col min="12056" max="12056" width="11.125" style="2" bestFit="1" customWidth="1"/>
    <col min="12057" max="12057" width="9.625" style="2" bestFit="1" customWidth="1"/>
    <col min="12058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0" width="11.125" style="2" bestFit="1" customWidth="1"/>
    <col min="12311" max="12311" width="9" style="2"/>
    <col min="12312" max="12312" width="11.125" style="2" bestFit="1" customWidth="1"/>
    <col min="12313" max="12313" width="9.625" style="2" bestFit="1" customWidth="1"/>
    <col min="12314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6" width="11.125" style="2" bestFit="1" customWidth="1"/>
    <col min="12567" max="12567" width="9" style="2"/>
    <col min="12568" max="12568" width="11.125" style="2" bestFit="1" customWidth="1"/>
    <col min="12569" max="12569" width="9.625" style="2" bestFit="1" customWidth="1"/>
    <col min="12570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2" width="11.125" style="2" bestFit="1" customWidth="1"/>
    <col min="12823" max="12823" width="9" style="2"/>
    <col min="12824" max="12824" width="11.125" style="2" bestFit="1" customWidth="1"/>
    <col min="12825" max="12825" width="9.625" style="2" bestFit="1" customWidth="1"/>
    <col min="12826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78" width="11.125" style="2" bestFit="1" customWidth="1"/>
    <col min="13079" max="13079" width="9" style="2"/>
    <col min="13080" max="13080" width="11.125" style="2" bestFit="1" customWidth="1"/>
    <col min="13081" max="13081" width="9.625" style="2" bestFit="1" customWidth="1"/>
    <col min="13082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4" width="11.125" style="2" bestFit="1" customWidth="1"/>
    <col min="13335" max="13335" width="9" style="2"/>
    <col min="13336" max="13336" width="11.125" style="2" bestFit="1" customWidth="1"/>
    <col min="13337" max="13337" width="9.625" style="2" bestFit="1" customWidth="1"/>
    <col min="13338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0" width="11.125" style="2" bestFit="1" customWidth="1"/>
    <col min="13591" max="13591" width="9" style="2"/>
    <col min="13592" max="13592" width="11.125" style="2" bestFit="1" customWidth="1"/>
    <col min="13593" max="13593" width="9.625" style="2" bestFit="1" customWidth="1"/>
    <col min="13594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6" width="11.125" style="2" bestFit="1" customWidth="1"/>
    <col min="13847" max="13847" width="9" style="2"/>
    <col min="13848" max="13848" width="11.125" style="2" bestFit="1" customWidth="1"/>
    <col min="13849" max="13849" width="9.625" style="2" bestFit="1" customWidth="1"/>
    <col min="13850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2" width="11.125" style="2" bestFit="1" customWidth="1"/>
    <col min="14103" max="14103" width="9" style="2"/>
    <col min="14104" max="14104" width="11.125" style="2" bestFit="1" customWidth="1"/>
    <col min="14105" max="14105" width="9.625" style="2" bestFit="1" customWidth="1"/>
    <col min="14106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58" width="11.125" style="2" bestFit="1" customWidth="1"/>
    <col min="14359" max="14359" width="9" style="2"/>
    <col min="14360" max="14360" width="11.125" style="2" bestFit="1" customWidth="1"/>
    <col min="14361" max="14361" width="9.625" style="2" bestFit="1" customWidth="1"/>
    <col min="14362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4" width="11.125" style="2" bestFit="1" customWidth="1"/>
    <col min="14615" max="14615" width="9" style="2"/>
    <col min="14616" max="14616" width="11.125" style="2" bestFit="1" customWidth="1"/>
    <col min="14617" max="14617" width="9.625" style="2" bestFit="1" customWidth="1"/>
    <col min="14618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0" width="11.125" style="2" bestFit="1" customWidth="1"/>
    <col min="14871" max="14871" width="9" style="2"/>
    <col min="14872" max="14872" width="11.125" style="2" bestFit="1" customWidth="1"/>
    <col min="14873" max="14873" width="9.625" style="2" bestFit="1" customWidth="1"/>
    <col min="14874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6" width="11.125" style="2" bestFit="1" customWidth="1"/>
    <col min="15127" max="15127" width="9" style="2"/>
    <col min="15128" max="15128" width="11.125" style="2" bestFit="1" customWidth="1"/>
    <col min="15129" max="15129" width="9.625" style="2" bestFit="1" customWidth="1"/>
    <col min="15130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2" width="11.125" style="2" bestFit="1" customWidth="1"/>
    <col min="15383" max="15383" width="9" style="2"/>
    <col min="15384" max="15384" width="11.125" style="2" bestFit="1" customWidth="1"/>
    <col min="15385" max="15385" width="9.625" style="2" bestFit="1" customWidth="1"/>
    <col min="15386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38" width="11.125" style="2" bestFit="1" customWidth="1"/>
    <col min="15639" max="15639" width="9" style="2"/>
    <col min="15640" max="15640" width="11.125" style="2" bestFit="1" customWidth="1"/>
    <col min="15641" max="15641" width="9.625" style="2" bestFit="1" customWidth="1"/>
    <col min="15642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4" width="11.125" style="2" bestFit="1" customWidth="1"/>
    <col min="15895" max="15895" width="9" style="2"/>
    <col min="15896" max="15896" width="11.125" style="2" bestFit="1" customWidth="1"/>
    <col min="15897" max="15897" width="9.625" style="2" bestFit="1" customWidth="1"/>
    <col min="15898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0" width="11.125" style="2" bestFit="1" customWidth="1"/>
    <col min="16151" max="16151" width="9" style="2"/>
    <col min="16152" max="16152" width="11.125" style="2" bestFit="1" customWidth="1"/>
    <col min="16153" max="16153" width="9.625" style="2" bestFit="1" customWidth="1"/>
    <col min="16154" max="16384" width="9" style="2"/>
  </cols>
  <sheetData>
    <row r="1" spans="2:26">
      <c r="B1" s="1" t="s">
        <v>0</v>
      </c>
    </row>
    <row r="2" spans="2:26">
      <c r="B2" s="1" t="s">
        <v>1</v>
      </c>
    </row>
    <row r="3" spans="2:26" ht="19.5" thickBot="1">
      <c r="B3" s="1" t="s">
        <v>67</v>
      </c>
    </row>
    <row r="4" spans="2:26">
      <c r="C4" s="3"/>
      <c r="D4" s="38" t="s">
        <v>5</v>
      </c>
      <c r="E4" s="48" t="s">
        <v>68</v>
      </c>
      <c r="F4" s="56" t="s">
        <v>6</v>
      </c>
      <c r="G4" s="48" t="s">
        <v>68</v>
      </c>
      <c r="H4" s="8" t="s">
        <v>3</v>
      </c>
      <c r="I4" s="9" t="s">
        <v>4</v>
      </c>
      <c r="J4" s="9" t="s">
        <v>7</v>
      </c>
      <c r="K4" s="9" t="s">
        <v>8</v>
      </c>
      <c r="L4" s="9" t="s">
        <v>9</v>
      </c>
      <c r="M4" s="9" t="s">
        <v>10</v>
      </c>
      <c r="N4" s="9" t="s">
        <v>11</v>
      </c>
      <c r="O4" s="9" t="s">
        <v>12</v>
      </c>
      <c r="P4" s="9" t="s">
        <v>13</v>
      </c>
      <c r="Q4" s="9" t="s">
        <v>14</v>
      </c>
      <c r="R4" s="9" t="s">
        <v>15</v>
      </c>
      <c r="S4" s="9" t="s">
        <v>16</v>
      </c>
      <c r="T4" s="9" t="s">
        <v>17</v>
      </c>
      <c r="U4" s="9" t="s">
        <v>18</v>
      </c>
      <c r="V4" s="9" t="s">
        <v>19</v>
      </c>
      <c r="W4" s="9" t="s">
        <v>20</v>
      </c>
      <c r="X4" s="10" t="s">
        <v>21</v>
      </c>
      <c r="Y4" s="46" t="s">
        <v>68</v>
      </c>
      <c r="Z4" s="4" t="s">
        <v>42</v>
      </c>
    </row>
    <row r="5" spans="2:26" ht="19.5" thickBot="1">
      <c r="B5" s="37"/>
      <c r="C5" s="25" t="s">
        <v>22</v>
      </c>
      <c r="D5" s="39" t="s">
        <v>25</v>
      </c>
      <c r="E5" s="49" t="s">
        <v>69</v>
      </c>
      <c r="F5" s="57" t="s">
        <v>26</v>
      </c>
      <c r="G5" s="49" t="s">
        <v>69</v>
      </c>
      <c r="H5" s="26" t="s">
        <v>23</v>
      </c>
      <c r="I5" s="27" t="s">
        <v>24</v>
      </c>
      <c r="J5" s="27" t="s">
        <v>27</v>
      </c>
      <c r="K5" s="27" t="s">
        <v>28</v>
      </c>
      <c r="L5" s="27" t="s">
        <v>29</v>
      </c>
      <c r="M5" s="27" t="s">
        <v>30</v>
      </c>
      <c r="N5" s="27" t="s">
        <v>31</v>
      </c>
      <c r="O5" s="27" t="s">
        <v>32</v>
      </c>
      <c r="P5" s="27" t="s">
        <v>33</v>
      </c>
      <c r="Q5" s="27" t="s">
        <v>34</v>
      </c>
      <c r="R5" s="27" t="s">
        <v>35</v>
      </c>
      <c r="S5" s="27" t="s">
        <v>36</v>
      </c>
      <c r="T5" s="27" t="s">
        <v>37</v>
      </c>
      <c r="U5" s="27" t="s">
        <v>38</v>
      </c>
      <c r="V5" s="27" t="s">
        <v>39</v>
      </c>
      <c r="W5" s="27" t="s">
        <v>40</v>
      </c>
      <c r="X5" s="28" t="s">
        <v>41</v>
      </c>
      <c r="Y5" s="47" t="s">
        <v>70</v>
      </c>
      <c r="Z5" s="64" t="s">
        <v>71</v>
      </c>
    </row>
    <row r="6" spans="2:26">
      <c r="B6" s="1" t="s">
        <v>2</v>
      </c>
      <c r="C6" s="20" t="s">
        <v>43</v>
      </c>
      <c r="D6" s="40">
        <v>103000</v>
      </c>
      <c r="E6" s="50">
        <f>SUM(D6)</f>
        <v>103000</v>
      </c>
      <c r="F6" s="58">
        <v>355000</v>
      </c>
      <c r="G6" s="50">
        <f>SUM(F6)</f>
        <v>355000</v>
      </c>
      <c r="H6" s="21">
        <v>59000</v>
      </c>
      <c r="I6" s="22">
        <v>63496</v>
      </c>
      <c r="J6" s="22">
        <v>71000</v>
      </c>
      <c r="K6" s="22">
        <v>83000</v>
      </c>
      <c r="L6" s="22">
        <v>71000</v>
      </c>
      <c r="M6" s="22">
        <v>83000</v>
      </c>
      <c r="N6" s="22">
        <v>59000</v>
      </c>
      <c r="O6" s="22">
        <v>59000</v>
      </c>
      <c r="P6" s="22">
        <v>59000</v>
      </c>
      <c r="Q6" s="22">
        <v>59000</v>
      </c>
      <c r="R6" s="22">
        <v>30220</v>
      </c>
      <c r="S6" s="22">
        <v>71000</v>
      </c>
      <c r="T6" s="22">
        <v>53000</v>
      </c>
      <c r="U6" s="22">
        <v>83000</v>
      </c>
      <c r="V6" s="22">
        <v>59000</v>
      </c>
      <c r="W6" s="22">
        <v>59000</v>
      </c>
      <c r="X6" s="23">
        <v>44167</v>
      </c>
      <c r="Y6" s="24">
        <f>SUM(H6:X6)</f>
        <v>1065883</v>
      </c>
      <c r="Z6" s="24">
        <f>E6+G6+Y6</f>
        <v>1523883</v>
      </c>
    </row>
    <row r="7" spans="2:26">
      <c r="B7" s="1" t="s">
        <v>2</v>
      </c>
      <c r="C7" s="5" t="s">
        <v>44</v>
      </c>
      <c r="D7" s="41">
        <v>0</v>
      </c>
      <c r="E7" s="51"/>
      <c r="F7" s="59">
        <v>0</v>
      </c>
      <c r="G7" s="51"/>
      <c r="H7" s="11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3">
        <v>0</v>
      </c>
      <c r="Y7" s="7"/>
      <c r="Z7" s="7">
        <f t="shared" ref="Z7:Z28" si="0">E7+G7+Y7</f>
        <v>0</v>
      </c>
    </row>
    <row r="8" spans="2:26">
      <c r="B8" s="1" t="s">
        <v>2</v>
      </c>
      <c r="C8" s="5" t="s">
        <v>45</v>
      </c>
      <c r="D8" s="41">
        <v>0</v>
      </c>
      <c r="E8" s="51"/>
      <c r="F8" s="59">
        <v>0</v>
      </c>
      <c r="G8" s="51"/>
      <c r="H8" s="11">
        <v>0</v>
      </c>
      <c r="I8" s="12">
        <v>0</v>
      </c>
      <c r="J8" s="12">
        <v>30000</v>
      </c>
      <c r="K8" s="12">
        <v>15000</v>
      </c>
      <c r="L8" s="12">
        <v>15000</v>
      </c>
      <c r="M8" s="12">
        <v>15000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3">
        <v>0</v>
      </c>
      <c r="Y8" s="13">
        <f>SUM(H8:X8)</f>
        <v>75000</v>
      </c>
      <c r="Z8" s="13">
        <f t="shared" si="0"/>
        <v>75000</v>
      </c>
    </row>
    <row r="9" spans="2:26" ht="19.5" thickBot="1">
      <c r="B9" s="1" t="s">
        <v>2</v>
      </c>
      <c r="C9" s="29" t="s">
        <v>46</v>
      </c>
      <c r="D9" s="42">
        <v>33000</v>
      </c>
      <c r="E9" s="52">
        <f>SUM(D9)</f>
        <v>33000</v>
      </c>
      <c r="F9" s="60">
        <v>0</v>
      </c>
      <c r="G9" s="52"/>
      <c r="H9" s="30">
        <v>0</v>
      </c>
      <c r="I9" s="31">
        <v>0</v>
      </c>
      <c r="J9" s="31">
        <v>3000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2">
        <v>0</v>
      </c>
      <c r="Y9" s="32">
        <f t="shared" ref="Y9:Y27" si="1">SUM(H9:X9)</f>
        <v>3000</v>
      </c>
      <c r="Z9" s="32">
        <f t="shared" si="0"/>
        <v>36000</v>
      </c>
    </row>
    <row r="10" spans="2:26" ht="19.5" thickBot="1">
      <c r="B10" s="1" t="s">
        <v>2</v>
      </c>
      <c r="C10" s="33" t="s">
        <v>47</v>
      </c>
      <c r="D10" s="43">
        <v>136000</v>
      </c>
      <c r="E10" s="53">
        <f t="shared" ref="E10:E28" si="2">SUM(D10)</f>
        <v>136000</v>
      </c>
      <c r="F10" s="61">
        <v>355000</v>
      </c>
      <c r="G10" s="53">
        <f>SUM(F10)</f>
        <v>355000</v>
      </c>
      <c r="H10" s="34">
        <v>59000</v>
      </c>
      <c r="I10" s="35">
        <v>63496</v>
      </c>
      <c r="J10" s="35">
        <v>104000</v>
      </c>
      <c r="K10" s="35">
        <v>98000</v>
      </c>
      <c r="L10" s="35">
        <v>86000</v>
      </c>
      <c r="M10" s="35">
        <v>98000</v>
      </c>
      <c r="N10" s="35">
        <v>59000</v>
      </c>
      <c r="O10" s="35">
        <v>59000</v>
      </c>
      <c r="P10" s="35">
        <v>59000</v>
      </c>
      <c r="Q10" s="35">
        <v>59000</v>
      </c>
      <c r="R10" s="35">
        <v>30220</v>
      </c>
      <c r="S10" s="35">
        <v>71000</v>
      </c>
      <c r="T10" s="35">
        <v>53000</v>
      </c>
      <c r="U10" s="35">
        <v>83000</v>
      </c>
      <c r="V10" s="35">
        <v>59000</v>
      </c>
      <c r="W10" s="35">
        <v>59000</v>
      </c>
      <c r="X10" s="36">
        <v>44167</v>
      </c>
      <c r="Y10" s="36">
        <f t="shared" si="1"/>
        <v>1143883</v>
      </c>
      <c r="Z10" s="36">
        <f t="shared" si="0"/>
        <v>1634883</v>
      </c>
    </row>
    <row r="11" spans="2:26" ht="19.5" thickBot="1">
      <c r="B11" s="1" t="s">
        <v>2</v>
      </c>
      <c r="C11" s="33" t="s">
        <v>48</v>
      </c>
      <c r="D11" s="43">
        <v>0</v>
      </c>
      <c r="E11" s="53">
        <f t="shared" si="2"/>
        <v>0</v>
      </c>
      <c r="F11" s="61">
        <v>0</v>
      </c>
      <c r="G11" s="53">
        <f t="shared" ref="G11:G27" si="3">SUM(F11)</f>
        <v>0</v>
      </c>
      <c r="H11" s="34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6">
        <v>0</v>
      </c>
      <c r="Y11" s="36">
        <f t="shared" si="1"/>
        <v>0</v>
      </c>
      <c r="Z11" s="36">
        <f t="shared" si="0"/>
        <v>0</v>
      </c>
    </row>
    <row r="12" spans="2:26" ht="19.5" thickBot="1">
      <c r="B12" s="1" t="s">
        <v>2</v>
      </c>
      <c r="C12" s="33" t="s">
        <v>49</v>
      </c>
      <c r="D12" s="43">
        <v>136000</v>
      </c>
      <c r="E12" s="53">
        <f t="shared" si="2"/>
        <v>136000</v>
      </c>
      <c r="F12" s="61">
        <v>355000</v>
      </c>
      <c r="G12" s="53">
        <f t="shared" si="3"/>
        <v>355000</v>
      </c>
      <c r="H12" s="34">
        <v>59000</v>
      </c>
      <c r="I12" s="35">
        <v>63496</v>
      </c>
      <c r="J12" s="35">
        <v>104000</v>
      </c>
      <c r="K12" s="35">
        <v>98000</v>
      </c>
      <c r="L12" s="35">
        <v>86000</v>
      </c>
      <c r="M12" s="35">
        <v>98000</v>
      </c>
      <c r="N12" s="35">
        <v>59000</v>
      </c>
      <c r="O12" s="35">
        <v>59000</v>
      </c>
      <c r="P12" s="35">
        <v>59000</v>
      </c>
      <c r="Q12" s="35">
        <v>59000</v>
      </c>
      <c r="R12" s="35">
        <v>30220</v>
      </c>
      <c r="S12" s="35">
        <v>71000</v>
      </c>
      <c r="T12" s="35">
        <v>53000</v>
      </c>
      <c r="U12" s="35">
        <v>83000</v>
      </c>
      <c r="V12" s="35">
        <v>59000</v>
      </c>
      <c r="W12" s="35">
        <v>59000</v>
      </c>
      <c r="X12" s="36">
        <v>44167</v>
      </c>
      <c r="Y12" s="36">
        <f t="shared" si="1"/>
        <v>1143883</v>
      </c>
      <c r="Z12" s="36">
        <f t="shared" si="0"/>
        <v>1634883</v>
      </c>
    </row>
    <row r="13" spans="2:26">
      <c r="B13" s="1" t="s">
        <v>2</v>
      </c>
      <c r="C13" s="20" t="s">
        <v>50</v>
      </c>
      <c r="D13" s="40">
        <v>6936</v>
      </c>
      <c r="E13" s="50">
        <f t="shared" si="2"/>
        <v>6936</v>
      </c>
      <c r="F13" s="58">
        <v>18105</v>
      </c>
      <c r="G13" s="50">
        <f t="shared" si="3"/>
        <v>18105</v>
      </c>
      <c r="H13" s="21">
        <v>3009</v>
      </c>
      <c r="I13" s="22">
        <v>3213</v>
      </c>
      <c r="J13" s="22">
        <v>5304</v>
      </c>
      <c r="K13" s="22">
        <v>4998</v>
      </c>
      <c r="L13" s="22">
        <v>4386</v>
      </c>
      <c r="M13" s="22">
        <v>4998</v>
      </c>
      <c r="N13" s="22">
        <v>3009</v>
      </c>
      <c r="O13" s="22">
        <v>3009</v>
      </c>
      <c r="P13" s="22">
        <v>3009</v>
      </c>
      <c r="Q13" s="22">
        <v>3009</v>
      </c>
      <c r="R13" s="22">
        <v>1530</v>
      </c>
      <c r="S13" s="22">
        <v>3621</v>
      </c>
      <c r="T13" s="22">
        <v>2703</v>
      </c>
      <c r="U13" s="22">
        <v>4233</v>
      </c>
      <c r="V13" s="22">
        <v>3009</v>
      </c>
      <c r="W13" s="22">
        <v>3009</v>
      </c>
      <c r="X13" s="23">
        <v>2244</v>
      </c>
      <c r="Y13" s="23">
        <f t="shared" si="1"/>
        <v>58293</v>
      </c>
      <c r="Z13" s="23">
        <f t="shared" si="0"/>
        <v>83334</v>
      </c>
    </row>
    <row r="14" spans="2:26">
      <c r="B14" s="1" t="s">
        <v>2</v>
      </c>
      <c r="C14" s="5" t="s">
        <v>51</v>
      </c>
      <c r="D14" s="41">
        <v>1224</v>
      </c>
      <c r="E14" s="51">
        <f t="shared" si="2"/>
        <v>1224</v>
      </c>
      <c r="F14" s="59">
        <v>3195</v>
      </c>
      <c r="G14" s="51">
        <f t="shared" si="3"/>
        <v>3195</v>
      </c>
      <c r="H14" s="11">
        <v>531</v>
      </c>
      <c r="I14" s="12">
        <v>567</v>
      </c>
      <c r="J14" s="12">
        <v>936</v>
      </c>
      <c r="K14" s="12">
        <v>882</v>
      </c>
      <c r="L14" s="12">
        <v>774</v>
      </c>
      <c r="M14" s="12">
        <v>882</v>
      </c>
      <c r="N14" s="12">
        <v>531</v>
      </c>
      <c r="O14" s="12">
        <v>531</v>
      </c>
      <c r="P14" s="12">
        <v>531</v>
      </c>
      <c r="Q14" s="12">
        <v>531</v>
      </c>
      <c r="R14" s="12">
        <v>270</v>
      </c>
      <c r="S14" s="12">
        <v>0</v>
      </c>
      <c r="T14" s="12">
        <v>477</v>
      </c>
      <c r="U14" s="12">
        <v>747</v>
      </c>
      <c r="V14" s="12">
        <v>531</v>
      </c>
      <c r="W14" s="12">
        <v>531</v>
      </c>
      <c r="X14" s="13">
        <v>0</v>
      </c>
      <c r="Y14" s="13">
        <f t="shared" si="1"/>
        <v>9252</v>
      </c>
      <c r="Z14" s="13">
        <f t="shared" si="0"/>
        <v>13671</v>
      </c>
    </row>
    <row r="15" spans="2:26">
      <c r="B15" s="1" t="s">
        <v>2</v>
      </c>
      <c r="C15" s="5" t="s">
        <v>52</v>
      </c>
      <c r="D15" s="41">
        <v>12444</v>
      </c>
      <c r="E15" s="51">
        <f t="shared" si="2"/>
        <v>12444</v>
      </c>
      <c r="F15" s="59">
        <v>32482</v>
      </c>
      <c r="G15" s="51">
        <f t="shared" si="3"/>
        <v>32482</v>
      </c>
      <c r="H15" s="11">
        <v>5398</v>
      </c>
      <c r="I15" s="12">
        <v>5764</v>
      </c>
      <c r="J15" s="12">
        <v>9516</v>
      </c>
      <c r="K15" s="12">
        <v>8967</v>
      </c>
      <c r="L15" s="12">
        <v>7869</v>
      </c>
      <c r="M15" s="12">
        <v>8967</v>
      </c>
      <c r="N15" s="12">
        <v>5398</v>
      </c>
      <c r="O15" s="12">
        <v>5398</v>
      </c>
      <c r="P15" s="12">
        <v>5398</v>
      </c>
      <c r="Q15" s="12">
        <v>5398</v>
      </c>
      <c r="R15" s="12">
        <v>2745</v>
      </c>
      <c r="S15" s="12">
        <v>6496</v>
      </c>
      <c r="T15" s="12">
        <v>4849</v>
      </c>
      <c r="U15" s="12">
        <v>7594</v>
      </c>
      <c r="V15" s="12">
        <v>5398</v>
      </c>
      <c r="W15" s="12">
        <v>5398</v>
      </c>
      <c r="X15" s="13">
        <v>4026</v>
      </c>
      <c r="Y15" s="13">
        <f t="shared" si="1"/>
        <v>104579</v>
      </c>
      <c r="Z15" s="13">
        <f t="shared" si="0"/>
        <v>149505</v>
      </c>
    </row>
    <row r="16" spans="2:26" ht="19.5" thickBot="1">
      <c r="B16" s="1" t="s">
        <v>2</v>
      </c>
      <c r="C16" s="29" t="s">
        <v>53</v>
      </c>
      <c r="D16" s="42">
        <v>408</v>
      </c>
      <c r="E16" s="52">
        <f t="shared" si="2"/>
        <v>408</v>
      </c>
      <c r="F16" s="60">
        <v>1065</v>
      </c>
      <c r="G16" s="52">
        <f t="shared" si="3"/>
        <v>1065</v>
      </c>
      <c r="H16" s="30">
        <v>177</v>
      </c>
      <c r="I16" s="31">
        <v>190</v>
      </c>
      <c r="J16" s="31">
        <v>312</v>
      </c>
      <c r="K16" s="31">
        <v>294</v>
      </c>
      <c r="L16" s="31">
        <v>258</v>
      </c>
      <c r="M16" s="31">
        <v>294</v>
      </c>
      <c r="N16" s="31">
        <v>177</v>
      </c>
      <c r="O16" s="31">
        <v>177</v>
      </c>
      <c r="P16" s="31">
        <v>177</v>
      </c>
      <c r="Q16" s="31">
        <v>177</v>
      </c>
      <c r="R16" s="31">
        <v>91</v>
      </c>
      <c r="S16" s="31">
        <v>213</v>
      </c>
      <c r="T16" s="31">
        <v>159</v>
      </c>
      <c r="U16" s="31">
        <v>249</v>
      </c>
      <c r="V16" s="31">
        <v>177</v>
      </c>
      <c r="W16" s="31">
        <v>177</v>
      </c>
      <c r="X16" s="32">
        <v>133</v>
      </c>
      <c r="Y16" s="32">
        <f t="shared" si="1"/>
        <v>3432</v>
      </c>
      <c r="Z16" s="32">
        <f t="shared" si="0"/>
        <v>4905</v>
      </c>
    </row>
    <row r="17" spans="2:26" ht="19.5" thickBot="1">
      <c r="B17" s="1" t="s">
        <v>2</v>
      </c>
      <c r="C17" s="33" t="s">
        <v>54</v>
      </c>
      <c r="D17" s="43">
        <v>114988</v>
      </c>
      <c r="E17" s="53">
        <f t="shared" si="2"/>
        <v>114988</v>
      </c>
      <c r="F17" s="61">
        <v>300153</v>
      </c>
      <c r="G17" s="53">
        <f t="shared" si="3"/>
        <v>300153</v>
      </c>
      <c r="H17" s="34">
        <v>49885</v>
      </c>
      <c r="I17" s="35">
        <v>53762</v>
      </c>
      <c r="J17" s="35">
        <v>87932</v>
      </c>
      <c r="K17" s="35">
        <v>82859</v>
      </c>
      <c r="L17" s="35">
        <v>72713</v>
      </c>
      <c r="M17" s="35">
        <v>82859</v>
      </c>
      <c r="N17" s="35">
        <v>49885</v>
      </c>
      <c r="O17" s="35">
        <v>49885</v>
      </c>
      <c r="P17" s="35">
        <v>49885</v>
      </c>
      <c r="Q17" s="35">
        <v>49885</v>
      </c>
      <c r="R17" s="35">
        <v>25584</v>
      </c>
      <c r="S17" s="35">
        <v>60670</v>
      </c>
      <c r="T17" s="35">
        <v>44812</v>
      </c>
      <c r="U17" s="35">
        <v>70177</v>
      </c>
      <c r="V17" s="35">
        <v>49885</v>
      </c>
      <c r="W17" s="35">
        <v>49885</v>
      </c>
      <c r="X17" s="36">
        <v>37764</v>
      </c>
      <c r="Y17" s="36">
        <f t="shared" si="1"/>
        <v>968327</v>
      </c>
      <c r="Z17" s="36">
        <f t="shared" si="0"/>
        <v>1383468</v>
      </c>
    </row>
    <row r="18" spans="2:26" ht="19.5" thickBot="1">
      <c r="B18" s="1" t="s">
        <v>2</v>
      </c>
      <c r="C18" s="33" t="s">
        <v>55</v>
      </c>
      <c r="D18" s="43">
        <v>7044</v>
      </c>
      <c r="E18" s="53">
        <f t="shared" si="2"/>
        <v>7044</v>
      </c>
      <c r="F18" s="61">
        <v>24516</v>
      </c>
      <c r="G18" s="53">
        <f t="shared" si="3"/>
        <v>24516</v>
      </c>
      <c r="H18" s="34">
        <v>3055</v>
      </c>
      <c r="I18" s="35">
        <v>0</v>
      </c>
      <c r="J18" s="35">
        <v>5386</v>
      </c>
      <c r="K18" s="35">
        <v>6767</v>
      </c>
      <c r="L18" s="35">
        <v>4454</v>
      </c>
      <c r="M18" s="35">
        <v>6767</v>
      </c>
      <c r="N18" s="35">
        <v>3055</v>
      </c>
      <c r="O18" s="35">
        <v>2037</v>
      </c>
      <c r="P18" s="35">
        <v>3055</v>
      </c>
      <c r="Q18" s="35">
        <v>4074</v>
      </c>
      <c r="R18" s="35">
        <v>1567</v>
      </c>
      <c r="S18" s="35">
        <v>3716</v>
      </c>
      <c r="T18" s="35">
        <v>1830</v>
      </c>
      <c r="U18" s="35">
        <v>4299</v>
      </c>
      <c r="V18" s="35">
        <v>2037</v>
      </c>
      <c r="W18" s="35">
        <v>3055</v>
      </c>
      <c r="X18" s="36">
        <v>1542</v>
      </c>
      <c r="Y18" s="36">
        <f t="shared" si="1"/>
        <v>56696</v>
      </c>
      <c r="Z18" s="36">
        <f t="shared" si="0"/>
        <v>88256</v>
      </c>
    </row>
    <row r="19" spans="2:26" ht="19.5" thickBot="1">
      <c r="B19" s="1" t="s">
        <v>2</v>
      </c>
      <c r="C19" s="33" t="s">
        <v>56</v>
      </c>
      <c r="D19" s="43">
        <v>21012</v>
      </c>
      <c r="E19" s="53">
        <f t="shared" si="2"/>
        <v>21012</v>
      </c>
      <c r="F19" s="61">
        <v>54847</v>
      </c>
      <c r="G19" s="53">
        <f t="shared" si="3"/>
        <v>54847</v>
      </c>
      <c r="H19" s="34">
        <v>9115</v>
      </c>
      <c r="I19" s="35">
        <v>9734</v>
      </c>
      <c r="J19" s="35">
        <v>16068</v>
      </c>
      <c r="K19" s="35">
        <v>15141</v>
      </c>
      <c r="L19" s="35">
        <v>13287</v>
      </c>
      <c r="M19" s="35">
        <v>15141</v>
      </c>
      <c r="N19" s="35">
        <v>9115</v>
      </c>
      <c r="O19" s="35">
        <v>9115</v>
      </c>
      <c r="P19" s="35">
        <v>9115</v>
      </c>
      <c r="Q19" s="35">
        <v>9115</v>
      </c>
      <c r="R19" s="35">
        <v>4636</v>
      </c>
      <c r="S19" s="35">
        <v>10330</v>
      </c>
      <c r="T19" s="35">
        <v>8188</v>
      </c>
      <c r="U19" s="35">
        <v>12823</v>
      </c>
      <c r="V19" s="35">
        <v>9115</v>
      </c>
      <c r="W19" s="35">
        <v>9115</v>
      </c>
      <c r="X19" s="36">
        <v>6403</v>
      </c>
      <c r="Y19" s="36">
        <f t="shared" si="1"/>
        <v>175556</v>
      </c>
      <c r="Z19" s="36">
        <f t="shared" si="0"/>
        <v>251415</v>
      </c>
    </row>
    <row r="20" spans="2:26" ht="19.5" thickBot="1">
      <c r="B20" s="1" t="s">
        <v>2</v>
      </c>
      <c r="C20" s="33" t="s">
        <v>57</v>
      </c>
      <c r="D20" s="43">
        <v>28056</v>
      </c>
      <c r="E20" s="53">
        <f t="shared" si="2"/>
        <v>28056</v>
      </c>
      <c r="F20" s="61">
        <v>79363</v>
      </c>
      <c r="G20" s="53">
        <f t="shared" si="3"/>
        <v>79363</v>
      </c>
      <c r="H20" s="34">
        <v>12170</v>
      </c>
      <c r="I20" s="35">
        <v>9734</v>
      </c>
      <c r="J20" s="35">
        <v>21454</v>
      </c>
      <c r="K20" s="35">
        <v>21908</v>
      </c>
      <c r="L20" s="35">
        <v>17741</v>
      </c>
      <c r="M20" s="35">
        <v>21908</v>
      </c>
      <c r="N20" s="35">
        <v>12170</v>
      </c>
      <c r="O20" s="35">
        <v>11152</v>
      </c>
      <c r="P20" s="35">
        <v>12170</v>
      </c>
      <c r="Q20" s="35">
        <v>13189</v>
      </c>
      <c r="R20" s="35">
        <v>6203</v>
      </c>
      <c r="S20" s="35">
        <v>14046</v>
      </c>
      <c r="T20" s="35">
        <v>10018</v>
      </c>
      <c r="U20" s="35">
        <v>17122</v>
      </c>
      <c r="V20" s="35">
        <v>11152</v>
      </c>
      <c r="W20" s="35">
        <v>12170</v>
      </c>
      <c r="X20" s="36">
        <v>7945</v>
      </c>
      <c r="Y20" s="36">
        <f t="shared" si="1"/>
        <v>232252</v>
      </c>
      <c r="Z20" s="36">
        <f t="shared" si="0"/>
        <v>339671</v>
      </c>
    </row>
    <row r="21" spans="2:26">
      <c r="B21" s="1" t="s">
        <v>2</v>
      </c>
      <c r="C21" s="20" t="s">
        <v>58</v>
      </c>
      <c r="D21" s="40">
        <v>0</v>
      </c>
      <c r="E21" s="50">
        <f t="shared" si="2"/>
        <v>0</v>
      </c>
      <c r="F21" s="58">
        <v>0</v>
      </c>
      <c r="G21" s="50">
        <f t="shared" si="3"/>
        <v>0</v>
      </c>
      <c r="H21" s="21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3">
        <v>0</v>
      </c>
      <c r="Y21" s="23">
        <f t="shared" si="1"/>
        <v>0</v>
      </c>
      <c r="Z21" s="23">
        <f t="shared" si="0"/>
        <v>0</v>
      </c>
    </row>
    <row r="22" spans="2:26">
      <c r="B22" s="1" t="s">
        <v>2</v>
      </c>
      <c r="C22" s="5" t="s">
        <v>59</v>
      </c>
      <c r="D22" s="41">
        <v>0</v>
      </c>
      <c r="E22" s="51">
        <f t="shared" si="2"/>
        <v>0</v>
      </c>
      <c r="F22" s="59">
        <v>0</v>
      </c>
      <c r="G22" s="51">
        <f t="shared" si="3"/>
        <v>0</v>
      </c>
      <c r="H22" s="11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3">
        <v>0</v>
      </c>
      <c r="Y22" s="13">
        <f t="shared" si="1"/>
        <v>0</v>
      </c>
      <c r="Z22" s="13">
        <f t="shared" si="0"/>
        <v>0</v>
      </c>
    </row>
    <row r="23" spans="2:26" ht="19.5" thickBot="1">
      <c r="B23" s="1" t="s">
        <v>2</v>
      </c>
      <c r="C23" s="29" t="s">
        <v>60</v>
      </c>
      <c r="D23" s="42">
        <v>0</v>
      </c>
      <c r="E23" s="52">
        <f t="shared" si="2"/>
        <v>0</v>
      </c>
      <c r="F23" s="60">
        <v>0</v>
      </c>
      <c r="G23" s="52">
        <f t="shared" si="3"/>
        <v>0</v>
      </c>
      <c r="H23" s="30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2">
        <v>0</v>
      </c>
      <c r="Y23" s="32">
        <f t="shared" si="1"/>
        <v>0</v>
      </c>
      <c r="Z23" s="32">
        <f t="shared" si="0"/>
        <v>0</v>
      </c>
    </row>
    <row r="24" spans="2:26" ht="19.5" thickBot="1">
      <c r="B24" s="1" t="s">
        <v>2</v>
      </c>
      <c r="C24" s="33" t="s">
        <v>61</v>
      </c>
      <c r="D24" s="43">
        <v>107944</v>
      </c>
      <c r="E24" s="53">
        <f t="shared" si="2"/>
        <v>107944</v>
      </c>
      <c r="F24" s="61">
        <v>275637</v>
      </c>
      <c r="G24" s="53">
        <f t="shared" si="3"/>
        <v>275637</v>
      </c>
      <c r="H24" s="34">
        <v>46830</v>
      </c>
      <c r="I24" s="35">
        <v>53762</v>
      </c>
      <c r="J24" s="35">
        <v>82546</v>
      </c>
      <c r="K24" s="35">
        <v>76092</v>
      </c>
      <c r="L24" s="35">
        <v>68259</v>
      </c>
      <c r="M24" s="35">
        <v>76092</v>
      </c>
      <c r="N24" s="35">
        <v>46830</v>
      </c>
      <c r="O24" s="35">
        <v>47848</v>
      </c>
      <c r="P24" s="35">
        <v>46830</v>
      </c>
      <c r="Q24" s="35">
        <v>45811</v>
      </c>
      <c r="R24" s="35">
        <v>24017</v>
      </c>
      <c r="S24" s="35">
        <v>56954</v>
      </c>
      <c r="T24" s="35">
        <v>42982</v>
      </c>
      <c r="U24" s="35">
        <v>65878</v>
      </c>
      <c r="V24" s="35">
        <v>47848</v>
      </c>
      <c r="W24" s="35">
        <v>46830</v>
      </c>
      <c r="X24" s="36">
        <v>36222</v>
      </c>
      <c r="Y24" s="36">
        <f t="shared" si="1"/>
        <v>911631</v>
      </c>
      <c r="Z24" s="36">
        <f t="shared" si="0"/>
        <v>1295212</v>
      </c>
    </row>
    <row r="25" spans="2:26" ht="19.5" thickBot="1">
      <c r="B25" s="1" t="s">
        <v>2</v>
      </c>
      <c r="C25" s="33" t="s">
        <v>62</v>
      </c>
      <c r="D25" s="43">
        <v>0</v>
      </c>
      <c r="E25" s="53">
        <f t="shared" si="2"/>
        <v>0</v>
      </c>
      <c r="F25" s="61">
        <v>0</v>
      </c>
      <c r="G25" s="53">
        <f t="shared" si="3"/>
        <v>0</v>
      </c>
      <c r="H25" s="34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6">
        <v>0</v>
      </c>
      <c r="Y25" s="36">
        <f t="shared" si="1"/>
        <v>0</v>
      </c>
      <c r="Z25" s="36">
        <f t="shared" si="0"/>
        <v>0</v>
      </c>
    </row>
    <row r="26" spans="2:26" ht="19.5" thickBot="1">
      <c r="B26" s="1" t="s">
        <v>2</v>
      </c>
      <c r="C26" s="33" t="s">
        <v>63</v>
      </c>
      <c r="D26" s="43">
        <v>107944</v>
      </c>
      <c r="E26" s="53">
        <f t="shared" si="2"/>
        <v>107944</v>
      </c>
      <c r="F26" s="61">
        <v>275637</v>
      </c>
      <c r="G26" s="53">
        <f t="shared" si="3"/>
        <v>275637</v>
      </c>
      <c r="H26" s="34">
        <v>46830</v>
      </c>
      <c r="I26" s="35">
        <v>53762</v>
      </c>
      <c r="J26" s="35">
        <v>82546</v>
      </c>
      <c r="K26" s="35">
        <v>76092</v>
      </c>
      <c r="L26" s="35">
        <v>68259</v>
      </c>
      <c r="M26" s="35">
        <v>76092</v>
      </c>
      <c r="N26" s="35">
        <v>46830</v>
      </c>
      <c r="O26" s="35">
        <v>47848</v>
      </c>
      <c r="P26" s="35">
        <v>46830</v>
      </c>
      <c r="Q26" s="35">
        <v>45811</v>
      </c>
      <c r="R26" s="35">
        <v>24017</v>
      </c>
      <c r="S26" s="35">
        <v>56954</v>
      </c>
      <c r="T26" s="35">
        <v>42982</v>
      </c>
      <c r="U26" s="35">
        <v>65878</v>
      </c>
      <c r="V26" s="35">
        <v>47848</v>
      </c>
      <c r="W26" s="35">
        <v>46830</v>
      </c>
      <c r="X26" s="36">
        <v>36222</v>
      </c>
      <c r="Y26" s="36">
        <f t="shared" si="1"/>
        <v>911631</v>
      </c>
      <c r="Z26" s="36">
        <f t="shared" si="0"/>
        <v>1295212</v>
      </c>
    </row>
    <row r="27" spans="2:26">
      <c r="B27" s="1" t="s">
        <v>2</v>
      </c>
      <c r="C27" s="20" t="s">
        <v>64</v>
      </c>
      <c r="D27" s="40">
        <v>1</v>
      </c>
      <c r="E27" s="50">
        <f t="shared" si="2"/>
        <v>1</v>
      </c>
      <c r="F27" s="58">
        <v>0</v>
      </c>
      <c r="G27" s="50">
        <f t="shared" si="3"/>
        <v>0</v>
      </c>
      <c r="H27" s="21">
        <v>1</v>
      </c>
      <c r="I27" s="22">
        <v>0</v>
      </c>
      <c r="J27" s="22">
        <v>1</v>
      </c>
      <c r="K27" s="22">
        <v>0</v>
      </c>
      <c r="L27" s="22">
        <v>1</v>
      </c>
      <c r="M27" s="22">
        <v>0</v>
      </c>
      <c r="N27" s="22">
        <v>0</v>
      </c>
      <c r="O27" s="22">
        <v>1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3</v>
      </c>
      <c r="W27" s="22">
        <v>0</v>
      </c>
      <c r="X27" s="23">
        <v>0</v>
      </c>
      <c r="Y27" s="23">
        <f t="shared" si="1"/>
        <v>7</v>
      </c>
      <c r="Z27" s="23">
        <f t="shared" si="0"/>
        <v>8</v>
      </c>
    </row>
    <row r="28" spans="2:26">
      <c r="B28" s="1" t="s">
        <v>2</v>
      </c>
      <c r="C28" s="5" t="s">
        <v>65</v>
      </c>
      <c r="D28" s="44">
        <v>6.1260000000000003</v>
      </c>
      <c r="E28" s="54">
        <f t="shared" si="2"/>
        <v>6.1260000000000003</v>
      </c>
      <c r="F28" s="62">
        <v>8.1679999999999993</v>
      </c>
      <c r="G28" s="54"/>
      <c r="H28" s="14">
        <v>6.1260000000000003</v>
      </c>
      <c r="I28" s="15">
        <v>0</v>
      </c>
      <c r="J28" s="15">
        <v>6.1260000000000003</v>
      </c>
      <c r="K28" s="15">
        <v>8.1679999999999993</v>
      </c>
      <c r="L28" s="15">
        <v>6.1260000000000003</v>
      </c>
      <c r="M28" s="15">
        <v>8.1679999999999993</v>
      </c>
      <c r="N28" s="15">
        <v>6.1260000000000003</v>
      </c>
      <c r="O28" s="15">
        <v>4.0839999999999996</v>
      </c>
      <c r="P28" s="15">
        <v>6.1260000000000003</v>
      </c>
      <c r="Q28" s="15">
        <v>8.1679999999999993</v>
      </c>
      <c r="R28" s="15">
        <v>6.1260000000000003</v>
      </c>
      <c r="S28" s="15">
        <v>6.1260000000000003</v>
      </c>
      <c r="T28" s="15">
        <v>4.0839999999999996</v>
      </c>
      <c r="U28" s="15">
        <v>6.1260000000000003</v>
      </c>
      <c r="V28" s="15">
        <v>4.0839999999999996</v>
      </c>
      <c r="W28" s="15">
        <v>6.1260000000000003</v>
      </c>
      <c r="X28" s="16">
        <v>4.0839999999999996</v>
      </c>
      <c r="Y28" s="16"/>
      <c r="Z28" s="16">
        <f t="shared" si="0"/>
        <v>6.1260000000000003</v>
      </c>
    </row>
    <row r="29" spans="2:26" ht="19.5" thickBot="1">
      <c r="B29" s="1" t="s">
        <v>2</v>
      </c>
      <c r="C29" s="6" t="s">
        <v>66</v>
      </c>
      <c r="D29" s="45">
        <v>335343</v>
      </c>
      <c r="E29" s="55"/>
      <c r="F29" s="63">
        <v>316285</v>
      </c>
      <c r="G29" s="55"/>
      <c r="H29" s="17">
        <v>289368</v>
      </c>
      <c r="I29" s="18">
        <v>-33642</v>
      </c>
      <c r="J29" s="18">
        <v>314774</v>
      </c>
      <c r="K29" s="18">
        <v>308500</v>
      </c>
      <c r="L29" s="18">
        <v>288029</v>
      </c>
      <c r="M29" s="18">
        <v>306265</v>
      </c>
      <c r="N29" s="18">
        <v>295833</v>
      </c>
      <c r="O29" s="18">
        <v>280624</v>
      </c>
      <c r="P29" s="18">
        <v>282003</v>
      </c>
      <c r="Q29" s="18">
        <v>313908</v>
      </c>
      <c r="R29" s="18">
        <v>256519</v>
      </c>
      <c r="S29" s="18">
        <v>284882</v>
      </c>
      <c r="T29" s="18">
        <v>222501</v>
      </c>
      <c r="U29" s="18">
        <v>293933</v>
      </c>
      <c r="V29" s="18">
        <v>296555</v>
      </c>
      <c r="W29" s="18">
        <v>252227</v>
      </c>
      <c r="X29" s="19">
        <v>209264</v>
      </c>
      <c r="Y29" s="19"/>
      <c r="Z29" s="19"/>
    </row>
  </sheetData>
  <phoneticPr fontId="3"/>
  <pageMargins left="0.70866141732283472" right="0.70866141732283472" top="0.74803149606299213" bottom="0.74803149606299213" header="0.31496062992125984" footer="0.31496062992125984"/>
  <pageSetup paperSize="12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4年夏賞与 (2)</vt:lpstr>
      <vt:lpstr>'4年夏賞与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2022-06-16T06:47:38Z</cp:lastPrinted>
  <dcterms:created xsi:type="dcterms:W3CDTF">2022-06-14T05:58:20Z</dcterms:created>
  <dcterms:modified xsi:type="dcterms:W3CDTF">2022-06-16T07:39:35Z</dcterms:modified>
</cp:coreProperties>
</file>