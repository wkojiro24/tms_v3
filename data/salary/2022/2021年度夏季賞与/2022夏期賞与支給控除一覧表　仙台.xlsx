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1年度夏季賞与\"/>
    </mc:Choice>
  </mc:AlternateContent>
  <xr:revisionPtr revIDLastSave="0" documentId="13_ncr:1_{E71979F0-CCD2-4F4F-A341-E1790A446706}" xr6:coauthVersionLast="47" xr6:coauthVersionMax="47" xr10:uidLastSave="{00000000-0000-0000-0000-000000000000}"/>
  <bookViews>
    <workbookView xWindow="-120" yWindow="-120" windowWidth="20730" windowHeight="11160" xr2:uid="{545C1EC0-71FB-43DB-ABC2-16F16D35B7ED}"/>
  </bookViews>
  <sheets>
    <sheet name="4年夏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0" i="3" l="1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8" i="3"/>
  <c r="O8" i="3" s="1"/>
  <c r="N6" i="3"/>
  <c r="O6" i="3" s="1"/>
  <c r="G11" i="3"/>
  <c r="O11" i="3" s="1"/>
  <c r="G12" i="3"/>
  <c r="O12" i="3" s="1"/>
  <c r="G13" i="3"/>
  <c r="O13" i="3" s="1"/>
  <c r="G14" i="3"/>
  <c r="O14" i="3" s="1"/>
  <c r="G15" i="3"/>
  <c r="O15" i="3" s="1"/>
  <c r="G16" i="3"/>
  <c r="O16" i="3" s="1"/>
  <c r="G17" i="3"/>
  <c r="O17" i="3" s="1"/>
  <c r="G18" i="3"/>
  <c r="O18" i="3" s="1"/>
  <c r="G19" i="3"/>
  <c r="O19" i="3" s="1"/>
  <c r="G20" i="3"/>
  <c r="O20" i="3" s="1"/>
  <c r="G21" i="3"/>
  <c r="O21" i="3" s="1"/>
  <c r="G22" i="3"/>
  <c r="O22" i="3" s="1"/>
  <c r="G23" i="3"/>
  <c r="O23" i="3" s="1"/>
  <c r="G24" i="3"/>
  <c r="O24" i="3" s="1"/>
  <c r="G25" i="3"/>
  <c r="O25" i="3" s="1"/>
  <c r="G26" i="3"/>
  <c r="O26" i="3" s="1"/>
  <c r="G27" i="3"/>
  <c r="G28" i="3"/>
  <c r="G10" i="3"/>
  <c r="G9" i="3"/>
  <c r="O9" i="3" s="1"/>
  <c r="G6" i="3"/>
  <c r="O7" i="3"/>
</calcChain>
</file>

<file path=xl/sharedStrings.xml><?xml version="1.0" encoding="utf-8"?>
<sst xmlns="http://schemas.openxmlformats.org/spreadsheetml/2006/main" count="76" uniqueCount="52">
  <si>
    <t>賞与支給控除一覧表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</si>
  <si>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</si>
  <si>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</si>
  <si>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</si>
  <si>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</si>
  <si>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</si>
  <si>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</si>
  <si>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</si>
  <si>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</si>
  <si>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</si>
  <si>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</si>
  <si>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</si>
  <si>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</si>
  <si>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</si>
  <si>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</si>
  <si>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</si>
  <si>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</si>
  <si>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</si>
  <si>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</si>
  <si>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</si>
  <si>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</si>
  <si>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</si>
  <si>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</si>
  <si>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</si>
  <si>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</si>
  <si>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</si>
  <si>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</si>
  <si>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</si>
  <si>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</si>
  <si>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</si>
  <si>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</si>
  <si>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</si>
  <si>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</si>
  <si>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</si>
  <si>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</si>
  <si>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</si>
  <si>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</si>
  <si>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</si>
  <si>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</si>
  <si>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</si>
  <si>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</si>
  <si>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</si>
  <si>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</si>
  <si>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</si>
  <si>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</si>
  <si>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</si>
  <si>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2021年度夏季賞与</t>
    <rPh sb="4" eb="6">
      <t>ネンド</t>
    </rPh>
    <rPh sb="6" eb="8">
      <t>カキ</t>
    </rPh>
    <rPh sb="8" eb="10">
      <t>ショウヨ</t>
    </rPh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</si>
  <si>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</si>
  <si>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</si>
  <si>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6名</t>
    <rPh sb="1" eb="2">
      <t>メイ</t>
    </rPh>
    <phoneticPr fontId="3"/>
  </si>
  <si>
    <t>9名</t>
    <rPh sb="1" eb="2">
      <t>メイ</t>
    </rPh>
    <phoneticPr fontId="4"/>
  </si>
  <si>
    <t>佐藤ゆうこ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</si>
</sst>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0" fontId="2" fillId="0" borderId="29" xfId="1" applyFont="1" applyBorder="1"/>
    <xf numFmtId="0" fontId="2" fillId="0" borderId="6" xfId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176" fontId="2" fillId="0" borderId="34" xfId="1" applyNumberFormat="1" applyFont="1" applyBorder="1"/>
    <xf numFmtId="3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49" fontId="2" fillId="0" borderId="38" xfId="1" applyNumberFormat="1" applyFont="1" applyBorder="1" applyAlignment="1">
      <alignment horizontal="righ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176" fontId="2" fillId="0" borderId="40" xfId="1" applyNumberFormat="1" applyFont="1" applyBorder="1"/>
    <xf numFmtId="3" fontId="2" fillId="0" borderId="38" xfId="1" applyNumberFormat="1" applyFont="1" applyBorder="1"/>
  </cellXfs>
  <cellStyles count="2">
    <cellStyle name="標準" xfId="0" builtinId="0"/>
    <cellStyle name="標準 2" xfId="1" xr:uid="{90B50E45-7A59-42D7-A6D1-FC67973360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96C2-260B-4F95-A1EE-DA84A14405AA}">
  <dimension ref="B1:O29"/>
  <sheetViews>
    <sheetView showZeros="0" tabSelected="1" workbookViewId="0">
      <selection activeCell="A3" sqref="A3"/>
    </sheetView>
  </sheetViews>
  <sheetFormatPr defaultRowHeight="18.75"/>
  <cols>
    <col min="1" max="1" width="6.25" style="2" customWidth="1"/>
    <col min="2" max="2" width="2.375" style="2" customWidth="1"/>
    <col min="3" max="3" width="13.25" style="2" bestFit="1" customWidth="1"/>
    <col min="4" max="15" width="10.3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2:15">
      <c r="B1" s="1" t="s">
        <v>0</v>
      </c>
    </row>
    <row r="2" spans="2:15">
      <c r="B2" s="1" t="s">
        <v>1</v>
      </c>
    </row>
    <row r="3" spans="2:15" ht="19.5" thickBot="1">
      <c r="B3" s="1" t="s">
        <v>46</v>
      </c>
    </row>
    <row r="4" spans="2:15">
      <c r="C4" s="3"/>
      <c r="D4" s="9" t="s">
        <v>6</v>
      </c>
      <c r="E4" s="9" t="s">
        <v>10</v>
      </c>
      <c r="F4" s="39" t="s">
        <v>8</v>
      </c>
      <c r="G4" s="47" t="s">
        <v>47</v>
      </c>
      <c r="H4" s="8" t="s">
        <v>3</v>
      </c>
      <c r="I4" s="9" t="s">
        <v>4</v>
      </c>
      <c r="J4" s="9" t="s">
        <v>5</v>
      </c>
      <c r="K4" s="9" t="s">
        <v>7</v>
      </c>
      <c r="L4" s="9" t="s">
        <v>9</v>
      </c>
      <c r="M4" s="10" t="s">
        <v>11</v>
      </c>
      <c r="N4" s="47" t="s">
        <v>47</v>
      </c>
      <c r="O4" s="4" t="s">
        <v>21</v>
      </c>
    </row>
    <row r="5" spans="2:15" ht="19.5" thickBot="1">
      <c r="B5" s="37"/>
      <c r="C5" s="25" t="s">
        <v>12</v>
      </c>
      <c r="D5" s="27" t="s">
        <v>16</v>
      </c>
      <c r="E5" s="27" t="s">
        <v>19</v>
      </c>
      <c r="F5" s="40" t="s">
        <v>51</v>
      </c>
      <c r="G5" s="48" t="s">
        <v>48</v>
      </c>
      <c r="H5" s="26" t="s">
        <v>13</v>
      </c>
      <c r="I5" s="27" t="s">
        <v>14</v>
      </c>
      <c r="J5" s="27" t="s">
        <v>15</v>
      </c>
      <c r="K5" s="27" t="s">
        <v>17</v>
      </c>
      <c r="L5" s="27" t="s">
        <v>18</v>
      </c>
      <c r="M5" s="28" t="s">
        <v>20</v>
      </c>
      <c r="N5" s="48" t="s">
        <v>49</v>
      </c>
      <c r="O5" s="38" t="s">
        <v>50</v>
      </c>
    </row>
    <row r="6" spans="2:15">
      <c r="B6" s="1" t="s">
        <v>2</v>
      </c>
      <c r="C6" s="20" t="s">
        <v>22</v>
      </c>
      <c r="D6" s="22">
        <v>335000</v>
      </c>
      <c r="E6" s="22">
        <v>335000</v>
      </c>
      <c r="F6" s="41">
        <v>53000</v>
      </c>
      <c r="G6" s="49">
        <f>SUM(D6:F6)</f>
        <v>723000</v>
      </c>
      <c r="H6" s="21">
        <v>59000</v>
      </c>
      <c r="I6" s="22">
        <v>59000</v>
      </c>
      <c r="J6" s="22">
        <v>59000</v>
      </c>
      <c r="K6" s="22">
        <v>83000</v>
      </c>
      <c r="L6" s="22">
        <v>59000</v>
      </c>
      <c r="M6" s="23">
        <v>28668</v>
      </c>
      <c r="N6" s="49">
        <f>SUM(H6:M6)</f>
        <v>347668</v>
      </c>
      <c r="O6" s="24">
        <f>G6+N6</f>
        <v>1070668</v>
      </c>
    </row>
    <row r="7" spans="2:15">
      <c r="B7" s="1" t="s">
        <v>2</v>
      </c>
      <c r="C7" s="5" t="s">
        <v>23</v>
      </c>
      <c r="D7" s="12">
        <v>0</v>
      </c>
      <c r="E7" s="12">
        <v>0</v>
      </c>
      <c r="F7" s="42">
        <v>0</v>
      </c>
      <c r="G7" s="50"/>
      <c r="H7" s="11">
        <v>0</v>
      </c>
      <c r="I7" s="12">
        <v>0</v>
      </c>
      <c r="J7" s="12">
        <v>0</v>
      </c>
      <c r="K7" s="12">
        <v>0</v>
      </c>
      <c r="L7" s="12">
        <v>0</v>
      </c>
      <c r="M7" s="13">
        <v>0</v>
      </c>
      <c r="N7" s="50"/>
      <c r="O7" s="7">
        <f>SUM(D7:M7)</f>
        <v>0</v>
      </c>
    </row>
    <row r="8" spans="2:15">
      <c r="B8" s="1" t="s">
        <v>2</v>
      </c>
      <c r="C8" s="5" t="s">
        <v>24</v>
      </c>
      <c r="D8" s="12">
        <v>0</v>
      </c>
      <c r="E8" s="12">
        <v>0</v>
      </c>
      <c r="F8" s="42">
        <v>0</v>
      </c>
      <c r="G8" s="50"/>
      <c r="H8" s="11">
        <v>15000</v>
      </c>
      <c r="I8" s="12">
        <v>0</v>
      </c>
      <c r="J8" s="12">
        <v>0</v>
      </c>
      <c r="K8" s="12">
        <v>0</v>
      </c>
      <c r="L8" s="12">
        <v>0</v>
      </c>
      <c r="M8" s="13">
        <v>0</v>
      </c>
      <c r="N8" s="50">
        <f>SUM(H8:M8)</f>
        <v>15000</v>
      </c>
      <c r="O8" s="50">
        <f>G8+N8</f>
        <v>15000</v>
      </c>
    </row>
    <row r="9" spans="2:15" ht="19.5" thickBot="1">
      <c r="B9" s="1" t="s">
        <v>2</v>
      </c>
      <c r="C9" s="29" t="s">
        <v>25</v>
      </c>
      <c r="D9" s="31">
        <v>0</v>
      </c>
      <c r="E9" s="31">
        <v>0</v>
      </c>
      <c r="F9" s="43">
        <v>3000</v>
      </c>
      <c r="G9" s="51">
        <f>SUM(D9:F9)</f>
        <v>3000</v>
      </c>
      <c r="H9" s="30">
        <v>3000</v>
      </c>
      <c r="I9" s="31">
        <v>5000</v>
      </c>
      <c r="J9" s="31">
        <v>0</v>
      </c>
      <c r="K9" s="31">
        <v>0</v>
      </c>
      <c r="L9" s="31">
        <v>0</v>
      </c>
      <c r="M9" s="32">
        <v>0</v>
      </c>
      <c r="N9" s="51">
        <f t="shared" ref="N9:N28" si="0">SUM(H9:M9)</f>
        <v>8000</v>
      </c>
      <c r="O9" s="51">
        <f t="shared" ref="O9:O26" si="1">G9+N9</f>
        <v>11000</v>
      </c>
    </row>
    <row r="10" spans="2:15" ht="19.5" thickBot="1">
      <c r="B10" s="1" t="s">
        <v>2</v>
      </c>
      <c r="C10" s="33" t="s">
        <v>26</v>
      </c>
      <c r="D10" s="35">
        <v>335000</v>
      </c>
      <c r="E10" s="35">
        <v>335000</v>
      </c>
      <c r="F10" s="44">
        <v>56000</v>
      </c>
      <c r="G10" s="52">
        <f>SUM(D10:F10)</f>
        <v>726000</v>
      </c>
      <c r="H10" s="34">
        <v>77000</v>
      </c>
      <c r="I10" s="35">
        <v>64000</v>
      </c>
      <c r="J10" s="35">
        <v>59000</v>
      </c>
      <c r="K10" s="35">
        <v>83000</v>
      </c>
      <c r="L10" s="35">
        <v>59000</v>
      </c>
      <c r="M10" s="36">
        <v>28668</v>
      </c>
      <c r="N10" s="52">
        <f t="shared" si="0"/>
        <v>370668</v>
      </c>
      <c r="O10" s="52">
        <f t="shared" si="1"/>
        <v>1096668</v>
      </c>
    </row>
    <row r="11" spans="2:15" ht="19.5" thickBot="1">
      <c r="B11" s="1" t="s">
        <v>2</v>
      </c>
      <c r="C11" s="33" t="s">
        <v>27</v>
      </c>
      <c r="D11" s="35">
        <v>0</v>
      </c>
      <c r="E11" s="35">
        <v>0</v>
      </c>
      <c r="F11" s="44">
        <v>0</v>
      </c>
      <c r="G11" s="52">
        <f t="shared" ref="G11:G28" si="2">SUM(D11:F11)</f>
        <v>0</v>
      </c>
      <c r="H11" s="34">
        <v>0</v>
      </c>
      <c r="I11" s="35">
        <v>0</v>
      </c>
      <c r="J11" s="35">
        <v>0</v>
      </c>
      <c r="K11" s="35">
        <v>0</v>
      </c>
      <c r="L11" s="35">
        <v>0</v>
      </c>
      <c r="M11" s="36">
        <v>0</v>
      </c>
      <c r="N11" s="52">
        <f t="shared" si="0"/>
        <v>0</v>
      </c>
      <c r="O11" s="52">
        <f t="shared" si="1"/>
        <v>0</v>
      </c>
    </row>
    <row r="12" spans="2:15" ht="19.5" thickBot="1">
      <c r="B12" s="1" t="s">
        <v>2</v>
      </c>
      <c r="C12" s="33" t="s">
        <v>28</v>
      </c>
      <c r="D12" s="35">
        <v>335000</v>
      </c>
      <c r="E12" s="35">
        <v>335000</v>
      </c>
      <c r="F12" s="44">
        <v>56000</v>
      </c>
      <c r="G12" s="52">
        <f t="shared" si="2"/>
        <v>726000</v>
      </c>
      <c r="H12" s="34">
        <v>77000</v>
      </c>
      <c r="I12" s="35">
        <v>64000</v>
      </c>
      <c r="J12" s="35">
        <v>59000</v>
      </c>
      <c r="K12" s="35">
        <v>83000</v>
      </c>
      <c r="L12" s="35">
        <v>59000</v>
      </c>
      <c r="M12" s="36">
        <v>28668</v>
      </c>
      <c r="N12" s="52">
        <f t="shared" si="0"/>
        <v>370668</v>
      </c>
      <c r="O12" s="52">
        <f t="shared" si="1"/>
        <v>1096668</v>
      </c>
    </row>
    <row r="13" spans="2:15">
      <c r="B13" s="1" t="s">
        <v>2</v>
      </c>
      <c r="C13" s="20" t="s">
        <v>29</v>
      </c>
      <c r="D13" s="22">
        <v>17085</v>
      </c>
      <c r="E13" s="22">
        <v>17085</v>
      </c>
      <c r="F13" s="41">
        <v>2856</v>
      </c>
      <c r="G13" s="49">
        <f t="shared" si="2"/>
        <v>37026</v>
      </c>
      <c r="H13" s="21">
        <v>3927</v>
      </c>
      <c r="I13" s="22">
        <v>3264</v>
      </c>
      <c r="J13" s="22">
        <v>3009</v>
      </c>
      <c r="K13" s="22">
        <v>4233</v>
      </c>
      <c r="L13" s="22">
        <v>3009</v>
      </c>
      <c r="M13" s="23">
        <v>1428</v>
      </c>
      <c r="N13" s="49">
        <f t="shared" si="0"/>
        <v>18870</v>
      </c>
      <c r="O13" s="49">
        <f t="shared" si="1"/>
        <v>55896</v>
      </c>
    </row>
    <row r="14" spans="2:15">
      <c r="B14" s="1" t="s">
        <v>2</v>
      </c>
      <c r="C14" s="5" t="s">
        <v>30</v>
      </c>
      <c r="D14" s="12">
        <v>3015</v>
      </c>
      <c r="E14" s="12">
        <v>3015</v>
      </c>
      <c r="F14" s="42">
        <v>0</v>
      </c>
      <c r="G14" s="50">
        <f t="shared" si="2"/>
        <v>6030</v>
      </c>
      <c r="H14" s="11">
        <v>693</v>
      </c>
      <c r="I14" s="12">
        <v>576</v>
      </c>
      <c r="J14" s="12">
        <v>531</v>
      </c>
      <c r="K14" s="12">
        <v>747</v>
      </c>
      <c r="L14" s="12">
        <v>531</v>
      </c>
      <c r="M14" s="13">
        <v>252</v>
      </c>
      <c r="N14" s="50">
        <f t="shared" si="0"/>
        <v>3330</v>
      </c>
      <c r="O14" s="50">
        <f t="shared" si="1"/>
        <v>9360</v>
      </c>
    </row>
    <row r="15" spans="2:15">
      <c r="B15" s="1" t="s">
        <v>2</v>
      </c>
      <c r="C15" s="5" t="s">
        <v>31</v>
      </c>
      <c r="D15" s="12">
        <v>30652</v>
      </c>
      <c r="E15" s="12">
        <v>30652</v>
      </c>
      <c r="F15" s="42">
        <v>5124</v>
      </c>
      <c r="G15" s="50">
        <f t="shared" si="2"/>
        <v>66428</v>
      </c>
      <c r="H15" s="11">
        <v>7045</v>
      </c>
      <c r="I15" s="12">
        <v>5856</v>
      </c>
      <c r="J15" s="12">
        <v>5398</v>
      </c>
      <c r="K15" s="12">
        <v>7594</v>
      </c>
      <c r="L15" s="12">
        <v>5398</v>
      </c>
      <c r="M15" s="13">
        <v>2562</v>
      </c>
      <c r="N15" s="50">
        <f t="shared" si="0"/>
        <v>33853</v>
      </c>
      <c r="O15" s="50">
        <f t="shared" si="1"/>
        <v>100281</v>
      </c>
    </row>
    <row r="16" spans="2:15" ht="19.5" thickBot="1">
      <c r="B16" s="1" t="s">
        <v>2</v>
      </c>
      <c r="C16" s="29" t="s">
        <v>32</v>
      </c>
      <c r="D16" s="31">
        <v>1005</v>
      </c>
      <c r="E16" s="31">
        <v>1005</v>
      </c>
      <c r="F16" s="43">
        <v>168</v>
      </c>
      <c r="G16" s="51">
        <f t="shared" si="2"/>
        <v>2178</v>
      </c>
      <c r="H16" s="30">
        <v>231</v>
      </c>
      <c r="I16" s="31">
        <v>192</v>
      </c>
      <c r="J16" s="31">
        <v>177</v>
      </c>
      <c r="K16" s="31">
        <v>249</v>
      </c>
      <c r="L16" s="31">
        <v>177</v>
      </c>
      <c r="M16" s="32">
        <v>86</v>
      </c>
      <c r="N16" s="51">
        <f t="shared" si="0"/>
        <v>1112</v>
      </c>
      <c r="O16" s="51">
        <f t="shared" si="1"/>
        <v>3290</v>
      </c>
    </row>
    <row r="17" spans="2:15" ht="19.5" thickBot="1">
      <c r="B17" s="1" t="s">
        <v>2</v>
      </c>
      <c r="C17" s="33" t="s">
        <v>33</v>
      </c>
      <c r="D17" s="35">
        <v>283243</v>
      </c>
      <c r="E17" s="35">
        <v>283243</v>
      </c>
      <c r="F17" s="44">
        <v>47852</v>
      </c>
      <c r="G17" s="52">
        <f t="shared" si="2"/>
        <v>614338</v>
      </c>
      <c r="H17" s="34">
        <v>65104</v>
      </c>
      <c r="I17" s="35">
        <v>54112</v>
      </c>
      <c r="J17" s="35">
        <v>49885</v>
      </c>
      <c r="K17" s="35">
        <v>70177</v>
      </c>
      <c r="L17" s="35">
        <v>49885</v>
      </c>
      <c r="M17" s="36">
        <v>24340</v>
      </c>
      <c r="N17" s="52">
        <f t="shared" si="0"/>
        <v>313503</v>
      </c>
      <c r="O17" s="52">
        <f t="shared" si="1"/>
        <v>927841</v>
      </c>
    </row>
    <row r="18" spans="2:15" ht="19.5" thickBot="1">
      <c r="B18" s="1" t="s">
        <v>2</v>
      </c>
      <c r="C18" s="33" t="s">
        <v>34</v>
      </c>
      <c r="D18" s="35">
        <v>17351</v>
      </c>
      <c r="E18" s="35">
        <v>17351</v>
      </c>
      <c r="F18" s="44">
        <v>1954</v>
      </c>
      <c r="G18" s="52">
        <f t="shared" si="2"/>
        <v>36656</v>
      </c>
      <c r="H18" s="34">
        <v>3988</v>
      </c>
      <c r="I18" s="35">
        <v>1104</v>
      </c>
      <c r="J18" s="35">
        <v>4074</v>
      </c>
      <c r="K18" s="35">
        <v>5732</v>
      </c>
      <c r="L18" s="35">
        <v>2037</v>
      </c>
      <c r="M18" s="36">
        <v>994</v>
      </c>
      <c r="N18" s="52">
        <f t="shared" si="0"/>
        <v>17929</v>
      </c>
      <c r="O18" s="52">
        <f t="shared" si="1"/>
        <v>54585</v>
      </c>
    </row>
    <row r="19" spans="2:15" ht="19.5" thickBot="1">
      <c r="B19" s="1" t="s">
        <v>2</v>
      </c>
      <c r="C19" s="33" t="s">
        <v>35</v>
      </c>
      <c r="D19" s="35">
        <v>51757</v>
      </c>
      <c r="E19" s="35">
        <v>51757</v>
      </c>
      <c r="F19" s="44">
        <v>8148</v>
      </c>
      <c r="G19" s="52">
        <f t="shared" si="2"/>
        <v>111662</v>
      </c>
      <c r="H19" s="34">
        <v>11896</v>
      </c>
      <c r="I19" s="35">
        <v>9888</v>
      </c>
      <c r="J19" s="35">
        <v>9115</v>
      </c>
      <c r="K19" s="35">
        <v>12823</v>
      </c>
      <c r="L19" s="35">
        <v>9115</v>
      </c>
      <c r="M19" s="36">
        <v>4328</v>
      </c>
      <c r="N19" s="52">
        <f t="shared" si="0"/>
        <v>57165</v>
      </c>
      <c r="O19" s="52">
        <f t="shared" si="1"/>
        <v>168827</v>
      </c>
    </row>
    <row r="20" spans="2:15" ht="19.5" thickBot="1">
      <c r="B20" s="1" t="s">
        <v>2</v>
      </c>
      <c r="C20" s="33" t="s">
        <v>36</v>
      </c>
      <c r="D20" s="35">
        <v>69108</v>
      </c>
      <c r="E20" s="35">
        <v>69108</v>
      </c>
      <c r="F20" s="44">
        <v>10102</v>
      </c>
      <c r="G20" s="52">
        <f t="shared" si="2"/>
        <v>148318</v>
      </c>
      <c r="H20" s="34">
        <v>15884</v>
      </c>
      <c r="I20" s="35">
        <v>10992</v>
      </c>
      <c r="J20" s="35">
        <v>13189</v>
      </c>
      <c r="K20" s="35">
        <v>18555</v>
      </c>
      <c r="L20" s="35">
        <v>11152</v>
      </c>
      <c r="M20" s="36">
        <v>5322</v>
      </c>
      <c r="N20" s="52">
        <f t="shared" si="0"/>
        <v>75094</v>
      </c>
      <c r="O20" s="52">
        <f t="shared" si="1"/>
        <v>223412</v>
      </c>
    </row>
    <row r="21" spans="2:15">
      <c r="B21" s="1" t="s">
        <v>2</v>
      </c>
      <c r="C21" s="20" t="s">
        <v>37</v>
      </c>
      <c r="D21" s="22">
        <v>0</v>
      </c>
      <c r="E21" s="22">
        <v>0</v>
      </c>
      <c r="F21" s="41">
        <v>0</v>
      </c>
      <c r="G21" s="49">
        <f t="shared" si="2"/>
        <v>0</v>
      </c>
      <c r="H21" s="21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49">
        <f t="shared" si="0"/>
        <v>0</v>
      </c>
      <c r="O21" s="49">
        <f t="shared" si="1"/>
        <v>0</v>
      </c>
    </row>
    <row r="22" spans="2:15">
      <c r="B22" s="1" t="s">
        <v>2</v>
      </c>
      <c r="C22" s="5" t="s">
        <v>38</v>
      </c>
      <c r="D22" s="12">
        <v>0</v>
      </c>
      <c r="E22" s="12">
        <v>0</v>
      </c>
      <c r="F22" s="42">
        <v>0</v>
      </c>
      <c r="G22" s="50">
        <f t="shared" si="2"/>
        <v>0</v>
      </c>
      <c r="H22" s="11">
        <v>0</v>
      </c>
      <c r="I22" s="12">
        <v>0</v>
      </c>
      <c r="J22" s="12">
        <v>0</v>
      </c>
      <c r="K22" s="12">
        <v>0</v>
      </c>
      <c r="L22" s="12">
        <v>0</v>
      </c>
      <c r="M22" s="13">
        <v>0</v>
      </c>
      <c r="N22" s="50">
        <f t="shared" si="0"/>
        <v>0</v>
      </c>
      <c r="O22" s="50">
        <f t="shared" si="1"/>
        <v>0</v>
      </c>
    </row>
    <row r="23" spans="2:15" ht="19.5" thickBot="1">
      <c r="B23" s="1" t="s">
        <v>2</v>
      </c>
      <c r="C23" s="29" t="s">
        <v>39</v>
      </c>
      <c r="D23" s="31">
        <v>0</v>
      </c>
      <c r="E23" s="31">
        <v>0</v>
      </c>
      <c r="F23" s="43">
        <v>0</v>
      </c>
      <c r="G23" s="51">
        <f t="shared" si="2"/>
        <v>0</v>
      </c>
      <c r="H23" s="30">
        <v>0</v>
      </c>
      <c r="I23" s="31">
        <v>0</v>
      </c>
      <c r="J23" s="31">
        <v>0</v>
      </c>
      <c r="K23" s="31">
        <v>0</v>
      </c>
      <c r="L23" s="31">
        <v>0</v>
      </c>
      <c r="M23" s="32">
        <v>0</v>
      </c>
      <c r="N23" s="51">
        <f t="shared" si="0"/>
        <v>0</v>
      </c>
      <c r="O23" s="51">
        <f t="shared" si="1"/>
        <v>0</v>
      </c>
    </row>
    <row r="24" spans="2:15" ht="19.5" thickBot="1">
      <c r="B24" s="1" t="s">
        <v>2</v>
      </c>
      <c r="C24" s="33" t="s">
        <v>40</v>
      </c>
      <c r="D24" s="35">
        <v>265892</v>
      </c>
      <c r="E24" s="35">
        <v>265892</v>
      </c>
      <c r="F24" s="44">
        <v>45898</v>
      </c>
      <c r="G24" s="52">
        <f t="shared" si="2"/>
        <v>577682</v>
      </c>
      <c r="H24" s="34">
        <v>61116</v>
      </c>
      <c r="I24" s="35">
        <v>53008</v>
      </c>
      <c r="J24" s="35">
        <v>45811</v>
      </c>
      <c r="K24" s="35">
        <v>64445</v>
      </c>
      <c r="L24" s="35">
        <v>47848</v>
      </c>
      <c r="M24" s="36">
        <v>23346</v>
      </c>
      <c r="N24" s="52">
        <f t="shared" si="0"/>
        <v>295574</v>
      </c>
      <c r="O24" s="52">
        <f t="shared" si="1"/>
        <v>873256</v>
      </c>
    </row>
    <row r="25" spans="2:15" ht="19.5" thickBot="1">
      <c r="B25" s="1" t="s">
        <v>2</v>
      </c>
      <c r="C25" s="33" t="s">
        <v>41</v>
      </c>
      <c r="D25" s="35">
        <v>0</v>
      </c>
      <c r="E25" s="35">
        <v>0</v>
      </c>
      <c r="F25" s="44">
        <v>0</v>
      </c>
      <c r="G25" s="52">
        <f t="shared" si="2"/>
        <v>0</v>
      </c>
      <c r="H25" s="34">
        <v>0</v>
      </c>
      <c r="I25" s="35">
        <v>0</v>
      </c>
      <c r="J25" s="35">
        <v>0</v>
      </c>
      <c r="K25" s="35">
        <v>0</v>
      </c>
      <c r="L25" s="35">
        <v>0</v>
      </c>
      <c r="M25" s="36">
        <v>0</v>
      </c>
      <c r="N25" s="52">
        <f t="shared" si="0"/>
        <v>0</v>
      </c>
      <c r="O25" s="52">
        <f t="shared" si="1"/>
        <v>0</v>
      </c>
    </row>
    <row r="26" spans="2:15" ht="19.5" thickBot="1">
      <c r="B26" s="1" t="s">
        <v>2</v>
      </c>
      <c r="C26" s="33" t="s">
        <v>42</v>
      </c>
      <c r="D26" s="35">
        <v>265892</v>
      </c>
      <c r="E26" s="35">
        <v>265892</v>
      </c>
      <c r="F26" s="44">
        <v>45898</v>
      </c>
      <c r="G26" s="52">
        <f t="shared" si="2"/>
        <v>577682</v>
      </c>
      <c r="H26" s="34">
        <v>61116</v>
      </c>
      <c r="I26" s="35">
        <v>53008</v>
      </c>
      <c r="J26" s="35">
        <v>45811</v>
      </c>
      <c r="K26" s="35">
        <v>64445</v>
      </c>
      <c r="L26" s="35">
        <v>47848</v>
      </c>
      <c r="M26" s="36">
        <v>23346</v>
      </c>
      <c r="N26" s="52">
        <f t="shared" si="0"/>
        <v>295574</v>
      </c>
      <c r="O26" s="52">
        <f t="shared" si="1"/>
        <v>873256</v>
      </c>
    </row>
    <row r="27" spans="2:15">
      <c r="B27" s="1" t="s">
        <v>2</v>
      </c>
      <c r="C27" s="20" t="s">
        <v>43</v>
      </c>
      <c r="D27" s="22">
        <v>0</v>
      </c>
      <c r="E27" s="22">
        <v>0</v>
      </c>
      <c r="F27" s="41">
        <v>0</v>
      </c>
      <c r="G27" s="49">
        <f t="shared" si="2"/>
        <v>0</v>
      </c>
      <c r="H27" s="21">
        <v>2</v>
      </c>
      <c r="I27" s="22">
        <v>2</v>
      </c>
      <c r="J27" s="22">
        <v>0</v>
      </c>
      <c r="K27" s="22">
        <v>0</v>
      </c>
      <c r="L27" s="22">
        <v>2</v>
      </c>
      <c r="M27" s="23">
        <v>0</v>
      </c>
      <c r="N27" s="49">
        <f t="shared" si="0"/>
        <v>6</v>
      </c>
      <c r="O27" s="49"/>
    </row>
    <row r="28" spans="2:15">
      <c r="B28" s="1" t="s">
        <v>2</v>
      </c>
      <c r="C28" s="5" t="s">
        <v>44</v>
      </c>
      <c r="D28" s="15">
        <v>6.1260000000000003</v>
      </c>
      <c r="E28" s="15">
        <v>6.1260000000000003</v>
      </c>
      <c r="F28" s="45">
        <v>4.0839999999999996</v>
      </c>
      <c r="G28" s="53">
        <f t="shared" si="2"/>
        <v>16.335999999999999</v>
      </c>
      <c r="H28" s="14">
        <v>6.1260000000000003</v>
      </c>
      <c r="I28" s="15">
        <v>2.0419999999999998</v>
      </c>
      <c r="J28" s="15">
        <v>8.1679999999999993</v>
      </c>
      <c r="K28" s="15">
        <v>8.1679999999999993</v>
      </c>
      <c r="L28" s="15">
        <v>4.0839999999999996</v>
      </c>
      <c r="M28" s="16">
        <v>4.0839999999999996</v>
      </c>
      <c r="N28" s="53">
        <f t="shared" si="0"/>
        <v>32.671999999999997</v>
      </c>
      <c r="O28" s="53"/>
    </row>
    <row r="29" spans="2:15" ht="19.5" thickBot="1">
      <c r="B29" s="1" t="s">
        <v>2</v>
      </c>
      <c r="C29" s="6" t="s">
        <v>45</v>
      </c>
      <c r="D29" s="18">
        <v>289470</v>
      </c>
      <c r="E29" s="18">
        <v>282428</v>
      </c>
      <c r="F29" s="46">
        <v>177658</v>
      </c>
      <c r="G29" s="54"/>
      <c r="H29" s="17">
        <v>340993</v>
      </c>
      <c r="I29" s="18">
        <v>267190</v>
      </c>
      <c r="J29" s="18">
        <v>322926</v>
      </c>
      <c r="K29" s="18">
        <v>314533</v>
      </c>
      <c r="L29" s="18">
        <v>311668</v>
      </c>
      <c r="M29" s="19">
        <v>219572</v>
      </c>
      <c r="N29" s="54"/>
      <c r="O29" s="54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4年夏賞与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2022-06-16T06:25:25Z</cp:lastPrinted>
  <dcterms:created xsi:type="dcterms:W3CDTF">2022-06-14T05:08:11Z</dcterms:created>
  <dcterms:modified xsi:type="dcterms:W3CDTF">2022-06-16T07:39:50Z</dcterms:modified>
</cp:coreProperties>
</file>