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1年度夏季賞与\"/>
    </mc:Choice>
  </mc:AlternateContent>
  <xr:revisionPtr revIDLastSave="0" documentId="13_ncr:1_{2ECB7759-E486-4742-8C7F-7381B4BFB167}" xr6:coauthVersionLast="47" xr6:coauthVersionMax="47" xr10:uidLastSave="{00000000-0000-0000-0000-000000000000}"/>
  <bookViews>
    <workbookView xWindow="-120" yWindow="-120" windowWidth="20730" windowHeight="11160" xr2:uid="{D0D64C8C-A3F2-438B-B163-C454D8CA3F05}"/>
  </bookViews>
  <sheets>
    <sheet name="4年夏賞与 (2)" sheetId="3" r:id="rId1"/>
  </sheets>
  <definedNames>
    <definedName name="_xlnm.Print_Area" localSheetId="0">'4年夏賞与 (2)'!$A$1:$M$29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3" l="1"/>
  <c r="M9" i="3"/>
  <c r="M10" i="3"/>
  <c r="M20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8" i="3"/>
  <c r="M8" i="3" s="1"/>
  <c r="L6" i="3"/>
  <c r="E11" i="3"/>
  <c r="M11" i="3" s="1"/>
  <c r="E12" i="3"/>
  <c r="M12" i="3" s="1"/>
  <c r="E13" i="3"/>
  <c r="M13" i="3" s="1"/>
  <c r="E14" i="3"/>
  <c r="M14" i="3" s="1"/>
  <c r="E15" i="3"/>
  <c r="M15" i="3" s="1"/>
  <c r="E16" i="3"/>
  <c r="M16" i="3" s="1"/>
  <c r="E17" i="3"/>
  <c r="M17" i="3" s="1"/>
  <c r="E18" i="3"/>
  <c r="M18" i="3" s="1"/>
  <c r="E19" i="3"/>
  <c r="M19" i="3" s="1"/>
  <c r="E20" i="3"/>
  <c r="E21" i="3"/>
  <c r="M21" i="3" s="1"/>
  <c r="E22" i="3"/>
  <c r="M22" i="3" s="1"/>
  <c r="E23" i="3"/>
  <c r="M23" i="3" s="1"/>
  <c r="E24" i="3"/>
  <c r="M24" i="3" s="1"/>
  <c r="E25" i="3"/>
  <c r="M25" i="3" s="1"/>
  <c r="E26" i="3"/>
  <c r="M26" i="3" s="1"/>
  <c r="E27" i="3"/>
  <c r="E28" i="3"/>
  <c r="E10" i="3"/>
  <c r="E6" i="3"/>
  <c r="M6" i="3" s="1"/>
</calcChain>
</file>

<file path=xl/sharedStrings.xml><?xml version="1.0" encoding="utf-8"?>
<sst xmlns="http://schemas.openxmlformats.org/spreadsheetml/2006/main" count="71" uniqueCount="47">
  <si>
    <t>賞与支給控除一覧表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</si>
  <si>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</si>
  <si>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</si>
  <si>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</si>
  <si>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</si>
  <si>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</si>
  <si>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</si>
  <si>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</si>
  <si>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</si>
  <si>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</si>
  <si>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</si>
  <si>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</si>
  <si>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</si>
  <si>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</si>
  <si>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</si>
  <si>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</si>
  <si>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</si>
  <si>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</si>
  <si>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</si>
  <si>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</si>
  <si>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</si>
  <si>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</si>
  <si>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</si>
  <si>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</si>
  <si>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</si>
  <si>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</si>
  <si>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</si>
  <si>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</si>
  <si>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</si>
  <si>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</si>
  <si>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</si>
  <si>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</si>
  <si>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</si>
  <si>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</si>
  <si>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</si>
  <si>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</si>
  <si>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</si>
  <si>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</si>
  <si>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</si>
  <si>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</si>
  <si>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</si>
  <si>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</si>
  <si>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</si>
  <si>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2021年度夏季賞与</t>
    <rPh sb="4" eb="6">
      <t>ネンド</t>
    </rPh>
    <rPh sb="6" eb="8">
      <t>カキ</t>
    </rPh>
    <rPh sb="8" eb="10">
      <t>ショウヨ</t>
    </rPh>
    <phoneticPr fontId="4"/>
  </si>
  <si>
    <t>小計</t>
    <rPh sb="0" eb="2">
      <t>ショウケイ</t>
    </rPh>
    <phoneticPr fontId="3"/>
  </si>
  <si>
    <t>1名</t>
    <rPh sb="1" eb="2">
      <t>メイ</t>
    </rPh>
    <phoneticPr fontId="3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</si>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</sst>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0" fontId="2" fillId="0" borderId="31" xfId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176" fontId="2" fillId="0" borderId="35" xfId="1" applyNumberFormat="1" applyFont="1" applyBorder="1"/>
    <xf numFmtId="3" fontId="2" fillId="0" borderId="33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40" xfId="1" applyNumberFormat="1" applyFont="1" applyBorder="1" applyAlignment="1">
      <alignment horizontal="right"/>
    </xf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8" xfId="1" applyNumberFormat="1" applyFont="1" applyBorder="1"/>
    <xf numFmtId="176" fontId="2" fillId="0" borderId="42" xfId="1" applyNumberFormat="1" applyFont="1" applyBorder="1"/>
    <xf numFmtId="3" fontId="2" fillId="0" borderId="40" xfId="1" applyNumberFormat="1" applyFont="1" applyBorder="1"/>
  </cellXfs>
  <cellStyles count="2">
    <cellStyle name="標準" xfId="0" builtinId="0"/>
    <cellStyle name="標準 2" xfId="1" xr:uid="{1570F414-F501-4CBA-BD98-3DE369864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C824-5DE1-4EAF-9CF2-0BDA0C95A3F7}">
  <dimension ref="B1:M29"/>
  <sheetViews>
    <sheetView showZeros="0" tabSelected="1" workbookViewId="0">
      <selection activeCell="A3" sqref="A3"/>
    </sheetView>
  </sheetViews>
  <sheetFormatPr defaultRowHeight="18.75"/>
  <cols>
    <col min="1" max="1" width="9" style="2"/>
    <col min="2" max="2" width="2.375" style="2" customWidth="1"/>
    <col min="3" max="3" width="13.25" style="2" bestFit="1" customWidth="1"/>
    <col min="4" max="6" width="11.125" style="2" customWidth="1"/>
    <col min="7" max="7" width="11.125" style="2" bestFit="1" customWidth="1"/>
    <col min="8" max="8" width="9" style="2" bestFit="1" customWidth="1"/>
    <col min="9" max="10" width="11.125" style="2" bestFit="1" customWidth="1"/>
    <col min="11" max="12" width="11.125" style="2" customWidth="1"/>
    <col min="13" max="13" width="9.5" style="2" bestFit="1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384" width="9" style="2"/>
  </cols>
  <sheetData>
    <row r="1" spans="2:13">
      <c r="B1" s="1" t="s">
        <v>0</v>
      </c>
    </row>
    <row r="2" spans="2:13">
      <c r="B2" s="1" t="s">
        <v>1</v>
      </c>
    </row>
    <row r="3" spans="2:13" ht="19.5" thickBot="1">
      <c r="B3" s="1" t="s">
        <v>43</v>
      </c>
    </row>
    <row r="4" spans="2:13">
      <c r="C4" s="3"/>
      <c r="D4" s="43" t="s">
        <v>5</v>
      </c>
      <c r="E4" s="51" t="s">
        <v>44</v>
      </c>
      <c r="F4" s="10" t="s">
        <v>3</v>
      </c>
      <c r="G4" s="11" t="s">
        <v>4</v>
      </c>
      <c r="H4" s="11" t="s">
        <v>6</v>
      </c>
      <c r="I4" s="11" t="s">
        <v>7</v>
      </c>
      <c r="J4" s="11" t="s">
        <v>8</v>
      </c>
      <c r="K4" s="12" t="s">
        <v>9</v>
      </c>
      <c r="L4" s="51" t="s">
        <v>44</v>
      </c>
      <c r="M4" s="4"/>
    </row>
    <row r="5" spans="2:13" ht="19.5" thickBot="1">
      <c r="B5" s="42"/>
      <c r="C5" s="27" t="s">
        <v>10</v>
      </c>
      <c r="D5" s="44" t="s">
        <v>13</v>
      </c>
      <c r="E5" s="52" t="s">
        <v>45</v>
      </c>
      <c r="F5" s="28" t="s">
        <v>11</v>
      </c>
      <c r="G5" s="29" t="s">
        <v>12</v>
      </c>
      <c r="H5" s="29" t="s">
        <v>14</v>
      </c>
      <c r="I5" s="29" t="s">
        <v>15</v>
      </c>
      <c r="J5" s="29" t="s">
        <v>16</v>
      </c>
      <c r="K5" s="30" t="s">
        <v>17</v>
      </c>
      <c r="L5" s="52" t="s">
        <v>46</v>
      </c>
      <c r="M5" s="31" t="s">
        <v>18</v>
      </c>
    </row>
    <row r="6" spans="2:13">
      <c r="B6" s="1" t="s">
        <v>2</v>
      </c>
      <c r="C6" s="22" t="s">
        <v>19</v>
      </c>
      <c r="D6" s="45">
        <v>355000</v>
      </c>
      <c r="E6" s="53">
        <f>SUM(D6)</f>
        <v>355000</v>
      </c>
      <c r="F6" s="23">
        <v>59000</v>
      </c>
      <c r="G6" s="24">
        <v>83000</v>
      </c>
      <c r="H6" s="24">
        <v>59000</v>
      </c>
      <c r="I6" s="24">
        <v>59000</v>
      </c>
      <c r="J6" s="24">
        <v>59000</v>
      </c>
      <c r="K6" s="25">
        <v>53000</v>
      </c>
      <c r="L6" s="53">
        <f>SUM(F6:K6)</f>
        <v>372000</v>
      </c>
      <c r="M6" s="26">
        <f>E6+L6</f>
        <v>727000</v>
      </c>
    </row>
    <row r="7" spans="2:13">
      <c r="B7" s="1" t="s">
        <v>2</v>
      </c>
      <c r="C7" s="5" t="s">
        <v>20</v>
      </c>
      <c r="D7" s="46">
        <v>0</v>
      </c>
      <c r="E7" s="54"/>
      <c r="F7" s="13">
        <v>0</v>
      </c>
      <c r="G7" s="14">
        <v>0</v>
      </c>
      <c r="H7" s="14">
        <v>0</v>
      </c>
      <c r="I7" s="14">
        <v>0</v>
      </c>
      <c r="J7" s="14">
        <v>0</v>
      </c>
      <c r="K7" s="15">
        <v>0</v>
      </c>
      <c r="L7" s="54"/>
      <c r="M7" s="7">
        <f t="shared" ref="M7:M26" si="0">E7+L7</f>
        <v>0</v>
      </c>
    </row>
    <row r="8" spans="2:13">
      <c r="B8" s="1" t="s">
        <v>2</v>
      </c>
      <c r="C8" s="5" t="s">
        <v>21</v>
      </c>
      <c r="D8" s="46">
        <v>0</v>
      </c>
      <c r="E8" s="54"/>
      <c r="F8" s="13">
        <v>0</v>
      </c>
      <c r="G8" s="14">
        <v>15000</v>
      </c>
      <c r="H8" s="14">
        <v>0</v>
      </c>
      <c r="I8" s="14">
        <v>0</v>
      </c>
      <c r="J8" s="14">
        <v>0</v>
      </c>
      <c r="K8" s="15">
        <v>0</v>
      </c>
      <c r="L8" s="54">
        <f>SUM(F8:K8)</f>
        <v>15000</v>
      </c>
      <c r="M8" s="7">
        <f t="shared" si="0"/>
        <v>15000</v>
      </c>
    </row>
    <row r="9" spans="2:13" ht="19.5" thickBot="1">
      <c r="B9" s="1" t="s">
        <v>2</v>
      </c>
      <c r="C9" s="32" t="s">
        <v>22</v>
      </c>
      <c r="D9" s="47">
        <v>0</v>
      </c>
      <c r="E9" s="55"/>
      <c r="F9" s="33">
        <v>6000</v>
      </c>
      <c r="G9" s="34">
        <v>0</v>
      </c>
      <c r="H9" s="34">
        <v>3000</v>
      </c>
      <c r="I9" s="34">
        <v>0</v>
      </c>
      <c r="J9" s="34">
        <v>0</v>
      </c>
      <c r="K9" s="35">
        <v>0</v>
      </c>
      <c r="L9" s="55">
        <f t="shared" ref="L9:L29" si="1">SUM(F9:K9)</f>
        <v>9000</v>
      </c>
      <c r="M9" s="36">
        <f t="shared" si="0"/>
        <v>9000</v>
      </c>
    </row>
    <row r="10" spans="2:13" ht="19.5" thickBot="1">
      <c r="B10" s="1" t="s">
        <v>2</v>
      </c>
      <c r="C10" s="37" t="s">
        <v>23</v>
      </c>
      <c r="D10" s="48">
        <v>355000</v>
      </c>
      <c r="E10" s="56">
        <f>SUM(D10)</f>
        <v>355000</v>
      </c>
      <c r="F10" s="38">
        <v>65000</v>
      </c>
      <c r="G10" s="39">
        <v>98000</v>
      </c>
      <c r="H10" s="39">
        <v>62000</v>
      </c>
      <c r="I10" s="39">
        <v>59000</v>
      </c>
      <c r="J10" s="39">
        <v>59000</v>
      </c>
      <c r="K10" s="40">
        <v>53000</v>
      </c>
      <c r="L10" s="56">
        <f t="shared" si="1"/>
        <v>396000</v>
      </c>
      <c r="M10" s="41">
        <f t="shared" si="0"/>
        <v>751000</v>
      </c>
    </row>
    <row r="11" spans="2:13" ht="19.5" thickBot="1">
      <c r="B11" s="1" t="s">
        <v>2</v>
      </c>
      <c r="C11" s="37" t="s">
        <v>24</v>
      </c>
      <c r="D11" s="48">
        <v>0</v>
      </c>
      <c r="E11" s="56">
        <f t="shared" ref="E11:E28" si="2">SUM(D11)</f>
        <v>0</v>
      </c>
      <c r="F11" s="38">
        <v>0</v>
      </c>
      <c r="G11" s="39">
        <v>0</v>
      </c>
      <c r="H11" s="39">
        <v>0</v>
      </c>
      <c r="I11" s="39">
        <v>0</v>
      </c>
      <c r="J11" s="39">
        <v>0</v>
      </c>
      <c r="K11" s="40">
        <v>0</v>
      </c>
      <c r="L11" s="56">
        <f t="shared" si="1"/>
        <v>0</v>
      </c>
      <c r="M11" s="41">
        <f t="shared" si="0"/>
        <v>0</v>
      </c>
    </row>
    <row r="12" spans="2:13" ht="19.5" thickBot="1">
      <c r="B12" s="1" t="s">
        <v>2</v>
      </c>
      <c r="C12" s="37" t="s">
        <v>25</v>
      </c>
      <c r="D12" s="48">
        <v>355000</v>
      </c>
      <c r="E12" s="56">
        <f t="shared" si="2"/>
        <v>355000</v>
      </c>
      <c r="F12" s="38">
        <v>65000</v>
      </c>
      <c r="G12" s="39">
        <v>98000</v>
      </c>
      <c r="H12" s="39">
        <v>62000</v>
      </c>
      <c r="I12" s="39">
        <v>59000</v>
      </c>
      <c r="J12" s="39">
        <v>59000</v>
      </c>
      <c r="K12" s="40">
        <v>53000</v>
      </c>
      <c r="L12" s="56">
        <f t="shared" si="1"/>
        <v>396000</v>
      </c>
      <c r="M12" s="41">
        <f t="shared" si="0"/>
        <v>751000</v>
      </c>
    </row>
    <row r="13" spans="2:13">
      <c r="B13" s="1" t="s">
        <v>2</v>
      </c>
      <c r="C13" s="22" t="s">
        <v>26</v>
      </c>
      <c r="D13" s="45">
        <v>18105</v>
      </c>
      <c r="E13" s="53">
        <f t="shared" si="2"/>
        <v>18105</v>
      </c>
      <c r="F13" s="23">
        <v>3315</v>
      </c>
      <c r="G13" s="24">
        <v>4998</v>
      </c>
      <c r="H13" s="24">
        <v>3162</v>
      </c>
      <c r="I13" s="24">
        <v>3009</v>
      </c>
      <c r="J13" s="24">
        <v>3009</v>
      </c>
      <c r="K13" s="25">
        <v>2703</v>
      </c>
      <c r="L13" s="53">
        <f t="shared" si="1"/>
        <v>20196</v>
      </c>
      <c r="M13" s="26">
        <f t="shared" si="0"/>
        <v>38301</v>
      </c>
    </row>
    <row r="14" spans="2:13">
      <c r="B14" s="1" t="s">
        <v>2</v>
      </c>
      <c r="C14" s="5" t="s">
        <v>27</v>
      </c>
      <c r="D14" s="46">
        <v>3195</v>
      </c>
      <c r="E14" s="54">
        <f t="shared" si="2"/>
        <v>3195</v>
      </c>
      <c r="F14" s="13">
        <v>585</v>
      </c>
      <c r="G14" s="14">
        <v>882</v>
      </c>
      <c r="H14" s="14">
        <v>558</v>
      </c>
      <c r="I14" s="14">
        <v>531</v>
      </c>
      <c r="J14" s="14">
        <v>531</v>
      </c>
      <c r="K14" s="15">
        <v>477</v>
      </c>
      <c r="L14" s="54">
        <f t="shared" si="1"/>
        <v>3564</v>
      </c>
      <c r="M14" s="7">
        <f t="shared" si="0"/>
        <v>6759</v>
      </c>
    </row>
    <row r="15" spans="2:13">
      <c r="B15" s="1" t="s">
        <v>2</v>
      </c>
      <c r="C15" s="5" t="s">
        <v>28</v>
      </c>
      <c r="D15" s="46">
        <v>32482</v>
      </c>
      <c r="E15" s="54">
        <f t="shared" si="2"/>
        <v>32482</v>
      </c>
      <c r="F15" s="13">
        <v>5947</v>
      </c>
      <c r="G15" s="14">
        <v>8967</v>
      </c>
      <c r="H15" s="14">
        <v>5673</v>
      </c>
      <c r="I15" s="14">
        <v>5398</v>
      </c>
      <c r="J15" s="14">
        <v>5398</v>
      </c>
      <c r="K15" s="15">
        <v>4849</v>
      </c>
      <c r="L15" s="54">
        <f t="shared" si="1"/>
        <v>36232</v>
      </c>
      <c r="M15" s="7">
        <f t="shared" si="0"/>
        <v>68714</v>
      </c>
    </row>
    <row r="16" spans="2:13" ht="19.5" thickBot="1">
      <c r="B16" s="1" t="s">
        <v>2</v>
      </c>
      <c r="C16" s="32" t="s">
        <v>29</v>
      </c>
      <c r="D16" s="47">
        <v>1065</v>
      </c>
      <c r="E16" s="55">
        <f t="shared" si="2"/>
        <v>1065</v>
      </c>
      <c r="F16" s="33">
        <v>195</v>
      </c>
      <c r="G16" s="34">
        <v>294</v>
      </c>
      <c r="H16" s="34">
        <v>186</v>
      </c>
      <c r="I16" s="34">
        <v>177</v>
      </c>
      <c r="J16" s="34">
        <v>177</v>
      </c>
      <c r="K16" s="35">
        <v>159</v>
      </c>
      <c r="L16" s="55">
        <f t="shared" si="1"/>
        <v>1188</v>
      </c>
      <c r="M16" s="36">
        <f t="shared" si="0"/>
        <v>2253</v>
      </c>
    </row>
    <row r="17" spans="2:13" ht="19.5" thickBot="1">
      <c r="B17" s="1" t="s">
        <v>2</v>
      </c>
      <c r="C17" s="37" t="s">
        <v>30</v>
      </c>
      <c r="D17" s="48">
        <v>300153</v>
      </c>
      <c r="E17" s="56">
        <f t="shared" si="2"/>
        <v>300153</v>
      </c>
      <c r="F17" s="38">
        <v>54958</v>
      </c>
      <c r="G17" s="39">
        <v>82859</v>
      </c>
      <c r="H17" s="39">
        <v>52421</v>
      </c>
      <c r="I17" s="39">
        <v>49885</v>
      </c>
      <c r="J17" s="39">
        <v>49885</v>
      </c>
      <c r="K17" s="40">
        <v>44812</v>
      </c>
      <c r="L17" s="56">
        <f t="shared" si="1"/>
        <v>334820</v>
      </c>
      <c r="M17" s="41">
        <f t="shared" si="0"/>
        <v>634973</v>
      </c>
    </row>
    <row r="18" spans="2:13" ht="19.5" thickBot="1">
      <c r="B18" s="1" t="s">
        <v>2</v>
      </c>
      <c r="C18" s="37" t="s">
        <v>31</v>
      </c>
      <c r="D18" s="48">
        <v>18387</v>
      </c>
      <c r="E18" s="56">
        <f t="shared" si="2"/>
        <v>18387</v>
      </c>
      <c r="F18" s="38">
        <v>3366</v>
      </c>
      <c r="G18" s="39">
        <v>5075</v>
      </c>
      <c r="H18" s="39">
        <v>2140</v>
      </c>
      <c r="I18" s="39">
        <v>2037</v>
      </c>
      <c r="J18" s="39">
        <v>4074</v>
      </c>
      <c r="K18" s="40">
        <v>2745</v>
      </c>
      <c r="L18" s="56">
        <f t="shared" si="1"/>
        <v>19437</v>
      </c>
      <c r="M18" s="41">
        <f t="shared" si="0"/>
        <v>37824</v>
      </c>
    </row>
    <row r="19" spans="2:13" ht="19.5" thickBot="1">
      <c r="B19" s="1" t="s">
        <v>2</v>
      </c>
      <c r="C19" s="37" t="s">
        <v>32</v>
      </c>
      <c r="D19" s="48">
        <v>54847</v>
      </c>
      <c r="E19" s="56">
        <f t="shared" si="2"/>
        <v>54847</v>
      </c>
      <c r="F19" s="38">
        <v>10042</v>
      </c>
      <c r="G19" s="39">
        <v>15141</v>
      </c>
      <c r="H19" s="39">
        <v>9579</v>
      </c>
      <c r="I19" s="39">
        <v>9115</v>
      </c>
      <c r="J19" s="39">
        <v>9115</v>
      </c>
      <c r="K19" s="40">
        <v>8188</v>
      </c>
      <c r="L19" s="56">
        <f t="shared" si="1"/>
        <v>61180</v>
      </c>
      <c r="M19" s="41">
        <f t="shared" si="0"/>
        <v>116027</v>
      </c>
    </row>
    <row r="20" spans="2:13" ht="19.5" thickBot="1">
      <c r="B20" s="1" t="s">
        <v>2</v>
      </c>
      <c r="C20" s="37" t="s">
        <v>33</v>
      </c>
      <c r="D20" s="48">
        <v>73234</v>
      </c>
      <c r="E20" s="56">
        <f t="shared" si="2"/>
        <v>73234</v>
      </c>
      <c r="F20" s="38">
        <v>13408</v>
      </c>
      <c r="G20" s="39">
        <v>20216</v>
      </c>
      <c r="H20" s="39">
        <v>11719</v>
      </c>
      <c r="I20" s="39">
        <v>11152</v>
      </c>
      <c r="J20" s="39">
        <v>13189</v>
      </c>
      <c r="K20" s="40">
        <v>10933</v>
      </c>
      <c r="L20" s="56">
        <f t="shared" si="1"/>
        <v>80617</v>
      </c>
      <c r="M20" s="41">
        <f t="shared" si="0"/>
        <v>153851</v>
      </c>
    </row>
    <row r="21" spans="2:13">
      <c r="B21" s="1" t="s">
        <v>2</v>
      </c>
      <c r="C21" s="22" t="s">
        <v>34</v>
      </c>
      <c r="D21" s="45">
        <v>0</v>
      </c>
      <c r="E21" s="53">
        <f t="shared" si="2"/>
        <v>0</v>
      </c>
      <c r="F21" s="23">
        <v>0</v>
      </c>
      <c r="G21" s="24">
        <v>0</v>
      </c>
      <c r="H21" s="24">
        <v>0</v>
      </c>
      <c r="I21" s="24">
        <v>0</v>
      </c>
      <c r="J21" s="24">
        <v>0</v>
      </c>
      <c r="K21" s="25">
        <v>0</v>
      </c>
      <c r="L21" s="53">
        <f t="shared" si="1"/>
        <v>0</v>
      </c>
      <c r="M21" s="26">
        <f t="shared" si="0"/>
        <v>0</v>
      </c>
    </row>
    <row r="22" spans="2:13">
      <c r="B22" s="1" t="s">
        <v>2</v>
      </c>
      <c r="C22" s="5" t="s">
        <v>35</v>
      </c>
      <c r="D22" s="46">
        <v>0</v>
      </c>
      <c r="E22" s="54">
        <f t="shared" si="2"/>
        <v>0</v>
      </c>
      <c r="F22" s="13">
        <v>0</v>
      </c>
      <c r="G22" s="14">
        <v>0</v>
      </c>
      <c r="H22" s="14">
        <v>0</v>
      </c>
      <c r="I22" s="14">
        <v>0</v>
      </c>
      <c r="J22" s="14">
        <v>0</v>
      </c>
      <c r="K22" s="15">
        <v>0</v>
      </c>
      <c r="L22" s="54">
        <f t="shared" si="1"/>
        <v>0</v>
      </c>
      <c r="M22" s="7">
        <f t="shared" si="0"/>
        <v>0</v>
      </c>
    </row>
    <row r="23" spans="2:13" ht="19.5" thickBot="1">
      <c r="B23" s="1" t="s">
        <v>2</v>
      </c>
      <c r="C23" s="32" t="s">
        <v>36</v>
      </c>
      <c r="D23" s="47">
        <v>0</v>
      </c>
      <c r="E23" s="55">
        <f t="shared" si="2"/>
        <v>0</v>
      </c>
      <c r="F23" s="33">
        <v>0</v>
      </c>
      <c r="G23" s="34">
        <v>0</v>
      </c>
      <c r="H23" s="34">
        <v>0</v>
      </c>
      <c r="I23" s="34">
        <v>0</v>
      </c>
      <c r="J23" s="34">
        <v>0</v>
      </c>
      <c r="K23" s="35">
        <v>0</v>
      </c>
      <c r="L23" s="55">
        <f t="shared" si="1"/>
        <v>0</v>
      </c>
      <c r="M23" s="36">
        <f t="shared" si="0"/>
        <v>0</v>
      </c>
    </row>
    <row r="24" spans="2:13" ht="19.5" thickBot="1">
      <c r="B24" s="1" t="s">
        <v>2</v>
      </c>
      <c r="C24" s="37" t="s">
        <v>37</v>
      </c>
      <c r="D24" s="48">
        <v>281766</v>
      </c>
      <c r="E24" s="56">
        <f t="shared" si="2"/>
        <v>281766</v>
      </c>
      <c r="F24" s="38">
        <v>51592</v>
      </c>
      <c r="G24" s="39">
        <v>77784</v>
      </c>
      <c r="H24" s="39">
        <v>50281</v>
      </c>
      <c r="I24" s="39">
        <v>47848</v>
      </c>
      <c r="J24" s="39">
        <v>45811</v>
      </c>
      <c r="K24" s="40">
        <v>42067</v>
      </c>
      <c r="L24" s="56">
        <f t="shared" si="1"/>
        <v>315383</v>
      </c>
      <c r="M24" s="41">
        <f t="shared" si="0"/>
        <v>597149</v>
      </c>
    </row>
    <row r="25" spans="2:13" ht="19.5" thickBot="1">
      <c r="B25" s="1" t="s">
        <v>2</v>
      </c>
      <c r="C25" s="37" t="s">
        <v>38</v>
      </c>
      <c r="D25" s="48">
        <v>0</v>
      </c>
      <c r="E25" s="56">
        <f t="shared" si="2"/>
        <v>0</v>
      </c>
      <c r="F25" s="38">
        <v>0</v>
      </c>
      <c r="G25" s="39">
        <v>0</v>
      </c>
      <c r="H25" s="39">
        <v>0</v>
      </c>
      <c r="I25" s="39">
        <v>0</v>
      </c>
      <c r="J25" s="39">
        <v>0</v>
      </c>
      <c r="K25" s="40">
        <v>0</v>
      </c>
      <c r="L25" s="56">
        <f t="shared" si="1"/>
        <v>0</v>
      </c>
      <c r="M25" s="41">
        <f t="shared" si="0"/>
        <v>0</v>
      </c>
    </row>
    <row r="26" spans="2:13" ht="19.5" thickBot="1">
      <c r="B26" s="1" t="s">
        <v>2</v>
      </c>
      <c r="C26" s="37" t="s">
        <v>39</v>
      </c>
      <c r="D26" s="48">
        <v>281766</v>
      </c>
      <c r="E26" s="56">
        <f t="shared" si="2"/>
        <v>281766</v>
      </c>
      <c r="F26" s="38">
        <v>51592</v>
      </c>
      <c r="G26" s="39">
        <v>77784</v>
      </c>
      <c r="H26" s="39">
        <v>50281</v>
      </c>
      <c r="I26" s="39">
        <v>47848</v>
      </c>
      <c r="J26" s="39">
        <v>45811</v>
      </c>
      <c r="K26" s="40">
        <v>42067</v>
      </c>
      <c r="L26" s="56">
        <f t="shared" si="1"/>
        <v>315383</v>
      </c>
      <c r="M26" s="41">
        <f t="shared" si="0"/>
        <v>597149</v>
      </c>
    </row>
    <row r="27" spans="2:13">
      <c r="B27" s="1" t="s">
        <v>2</v>
      </c>
      <c r="C27" s="22" t="s">
        <v>40</v>
      </c>
      <c r="D27" s="45">
        <v>2</v>
      </c>
      <c r="E27" s="53">
        <f t="shared" si="2"/>
        <v>2</v>
      </c>
      <c r="F27" s="23">
        <v>1</v>
      </c>
      <c r="G27" s="24">
        <v>0</v>
      </c>
      <c r="H27" s="24">
        <v>1</v>
      </c>
      <c r="I27" s="24">
        <v>2</v>
      </c>
      <c r="J27" s="24">
        <v>0</v>
      </c>
      <c r="K27" s="25">
        <v>0</v>
      </c>
      <c r="L27" s="53">
        <f t="shared" si="1"/>
        <v>4</v>
      </c>
      <c r="M27" s="26"/>
    </row>
    <row r="28" spans="2:13">
      <c r="B28" s="1" t="s">
        <v>2</v>
      </c>
      <c r="C28" s="5" t="s">
        <v>41</v>
      </c>
      <c r="D28" s="49">
        <v>6.1260000000000003</v>
      </c>
      <c r="E28" s="57">
        <f t="shared" si="2"/>
        <v>6.1260000000000003</v>
      </c>
      <c r="F28" s="16">
        <v>6.1260000000000003</v>
      </c>
      <c r="G28" s="17">
        <v>6.1260000000000003</v>
      </c>
      <c r="H28" s="17">
        <v>4.0839999999999996</v>
      </c>
      <c r="I28" s="17">
        <v>4.0839999999999996</v>
      </c>
      <c r="J28" s="17">
        <v>8.1679999999999993</v>
      </c>
      <c r="K28" s="18">
        <v>6.1260000000000003</v>
      </c>
      <c r="L28" s="57">
        <f t="shared" si="1"/>
        <v>34.713999999999999</v>
      </c>
      <c r="M28" s="8"/>
    </row>
    <row r="29" spans="2:13" ht="19.5" thickBot="1">
      <c r="B29" s="1" t="s">
        <v>2</v>
      </c>
      <c r="C29" s="6" t="s">
        <v>42</v>
      </c>
      <c r="D29" s="50">
        <v>341633</v>
      </c>
      <c r="E29" s="58"/>
      <c r="F29" s="19">
        <v>312607</v>
      </c>
      <c r="G29" s="20">
        <v>297364</v>
      </c>
      <c r="H29" s="20">
        <v>259991</v>
      </c>
      <c r="I29" s="20">
        <v>294904</v>
      </c>
      <c r="J29" s="20">
        <v>311759</v>
      </c>
      <c r="K29" s="21">
        <v>291726</v>
      </c>
      <c r="L29" s="58">
        <f t="shared" si="1"/>
        <v>1768351</v>
      </c>
      <c r="M29" s="9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4年夏賞与 (2)</vt:lpstr>
      <vt:lpstr>'4年夏賞与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2022-06-16T05:56:30Z</cp:lastPrinted>
  <dcterms:created xsi:type="dcterms:W3CDTF">2022-06-14T04:23:54Z</dcterms:created>
  <dcterms:modified xsi:type="dcterms:W3CDTF">2022-06-16T07:40:18Z</dcterms:modified>
</cp:coreProperties>
</file>