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12\"/>
    </mc:Choice>
  </mc:AlternateContent>
  <xr:revisionPtr revIDLastSave="0" documentId="13_ncr:1_{E335721D-A5E8-43E7-B511-90E2ED51A208}" xr6:coauthVersionLast="47" xr6:coauthVersionMax="47" xr10:uidLastSave="{00000000-0000-0000-0000-000000000000}"/>
  <bookViews>
    <workbookView xWindow="-120" yWindow="-120" windowWidth="20730" windowHeight="11160" xr2:uid="{A34B5451-A5BF-4530-BA96-34A314F952EF}"/>
  </bookViews>
  <sheets>
    <sheet name="2022年 12月度給与 (2)" sheetId="3" r:id="rId1"/>
  </sheets>
  <definedNames>
    <definedName name="_xlnm.Print_Area" localSheetId="0">'2022年 12月度給与 (2)'!$A$1:$O$66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3" i="3" l="1"/>
  <c r="O17" i="3"/>
  <c r="O18" i="3"/>
  <c r="O20" i="3"/>
  <c r="O21" i="3"/>
  <c r="O23" i="3"/>
  <c r="N15" i="3"/>
  <c r="N16" i="3"/>
  <c r="N1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24" i="3"/>
  <c r="N22" i="3"/>
  <c r="N7" i="3"/>
  <c r="N8" i="3"/>
  <c r="N9" i="3"/>
  <c r="N10" i="3"/>
  <c r="N11" i="3"/>
  <c r="N12" i="3"/>
  <c r="N6" i="3"/>
  <c r="N5" i="3"/>
  <c r="F25" i="3"/>
  <c r="F26" i="3"/>
  <c r="F27" i="3"/>
  <c r="F28" i="3"/>
  <c r="F29" i="3"/>
  <c r="F30" i="3"/>
  <c r="F31" i="3"/>
  <c r="F32" i="3"/>
  <c r="F33" i="3"/>
  <c r="F34" i="3"/>
  <c r="F35" i="3"/>
  <c r="F36" i="3"/>
  <c r="O36" i="3" s="1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24" i="3"/>
  <c r="F22" i="3"/>
  <c r="F19" i="3"/>
  <c r="O19" i="3" s="1"/>
  <c r="F15" i="3"/>
  <c r="F16" i="3"/>
  <c r="F14" i="3"/>
  <c r="F7" i="3"/>
  <c r="F8" i="3"/>
  <c r="F9" i="3"/>
  <c r="F10" i="3"/>
  <c r="F11" i="3"/>
  <c r="F12" i="3"/>
  <c r="F6" i="3"/>
  <c r="F5" i="3"/>
  <c r="O7" i="3" l="1"/>
  <c r="O63" i="3"/>
  <c r="O58" i="3"/>
  <c r="O54" i="3"/>
  <c r="O47" i="3"/>
  <c r="O43" i="3"/>
  <c r="O39" i="3"/>
  <c r="O11" i="3"/>
  <c r="O50" i="3"/>
  <c r="O31" i="3"/>
  <c r="O15" i="3"/>
  <c r="O14" i="3"/>
  <c r="O25" i="3"/>
  <c r="O12" i="3"/>
  <c r="O8" i="3"/>
  <c r="O64" i="3"/>
  <c r="O60" i="3"/>
  <c r="O59" i="3"/>
  <c r="O55" i="3"/>
  <c r="O51" i="3"/>
  <c r="O44" i="3"/>
  <c r="O40" i="3"/>
  <c r="O37" i="3"/>
  <c r="O32" i="3"/>
  <c r="O28" i="3"/>
  <c r="O10" i="3"/>
  <c r="O22" i="3"/>
  <c r="O53" i="3"/>
  <c r="O46" i="3"/>
  <c r="O42" i="3"/>
  <c r="O38" i="3"/>
  <c r="O35" i="3"/>
  <c r="O33" i="3"/>
  <c r="O30" i="3"/>
  <c r="O27" i="3"/>
  <c r="O5" i="3"/>
  <c r="O62" i="3"/>
  <c r="O57" i="3"/>
  <c r="O49" i="3"/>
  <c r="O6" i="3"/>
  <c r="O9" i="3"/>
  <c r="O16" i="3"/>
  <c r="O24" i="3"/>
  <c r="O61" i="3"/>
  <c r="O56" i="3"/>
  <c r="O52" i="3"/>
  <c r="O48" i="3"/>
  <c r="O45" i="3"/>
  <c r="O41" i="3"/>
  <c r="O34" i="3"/>
  <c r="O29" i="3"/>
  <c r="O26" i="3"/>
</calcChain>
</file>

<file path=xl/sharedStrings.xml><?xml version="1.0" encoding="utf-8"?>
<sst xmlns="http://schemas.openxmlformats.org/spreadsheetml/2006/main" count="162" uniqueCount="89">
  <si>
    <t>支給控除一覧表</t>
    <phoneticPr fontId="4"/>
  </si>
  <si>
    <t/>
  </si>
  <si>
    <t>1037</t>
    <phoneticPr fontId="4"/>
  </si>
  <si>
    <t>1038</t>
    <phoneticPr fontId="4"/>
  </si>
  <si>
    <t>1042</t>
    <phoneticPr fontId="4"/>
  </si>
  <si>
    <t>1043</t>
    <phoneticPr fontId="4"/>
  </si>
  <si>
    <t>1046</t>
    <phoneticPr fontId="4"/>
  </si>
  <si>
    <t>1072</t>
    <phoneticPr fontId="4"/>
  </si>
  <si>
    <t>1084</t>
    <phoneticPr fontId="4"/>
  </si>
  <si>
    <t>1093</t>
    <phoneticPr fontId="4"/>
  </si>
  <si>
    <t>1099</t>
    <phoneticPr fontId="4"/>
  </si>
  <si>
    <t>1102</t>
    <phoneticPr fontId="4"/>
  </si>
  <si>
    <t>項目名</t>
    <phoneticPr fontId="4"/>
  </si>
  <si>
    <t>佐藤　守</t>
    <phoneticPr fontId="4"/>
  </si>
  <si>
    <t>高橋　徹</t>
    <phoneticPr fontId="4"/>
  </si>
  <si>
    <t>高橋　英晃</t>
    <phoneticPr fontId="4"/>
  </si>
  <si>
    <t>鈴木　貴雄</t>
    <phoneticPr fontId="4"/>
  </si>
  <si>
    <t>井上　隆良</t>
    <phoneticPr fontId="4"/>
  </si>
  <si>
    <t>大沼　幸夫</t>
    <phoneticPr fontId="4"/>
  </si>
  <si>
    <t>佐藤　禎尚</t>
    <phoneticPr fontId="4"/>
  </si>
  <si>
    <t>土谷　栄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</si>
  <si>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</si>
  <si>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</si>
  <si>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</si>
  <si>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</si>
  <si>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</si>
  <si>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</si>
  <si>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</si>
  <si>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</si>
  <si>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</si>
  <si>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</si>
  <si>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</si>
  <si>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</si>
  <si>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</si>
  <si>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</si>
  <si>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</si>
  <si>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</si>
  <si>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</si>
  <si>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</si>
  <si>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</si>
  <si>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</si>
  <si>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</si>
  <si>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</si>
  <si>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</si>
  <si>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</si>
  <si>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</si>
  <si>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</si>
  <si>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</si>
  <si>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</si>
  <si>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</si>
  <si>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</si>
  <si>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調整加算</t>
    <phoneticPr fontId="4"/>
  </si>
  <si>
    <t>正月出勤手当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</si>
  <si>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</si>
  <si>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</si>
  <si>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</si>
  <si>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</si>
  <si>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</si>
  <si>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</si>
  <si>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</si>
  <si>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</si>
  <si>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</si>
  <si>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</si>
  <si>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</si>
  <si>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</si>
  <si>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</si>
  <si>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</si>
  <si>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</si>
  <si>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社保調整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</si>
  <si>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</si>
  <si>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</si>
  <si>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</si>
  <si>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</si>
  <si>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</si>
  <si>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</si>
  <si>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</si>
  <si>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</si>
  <si>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</si>
  <si>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</si>
  <si>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</si>
  <si>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</si>
  <si>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</si>
  <si>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 12月度給与</t>
    <phoneticPr fontId="4"/>
  </si>
  <si>
    <t>小計</t>
    <rPh sb="0" eb="2">
      <t>ショウケイ</t>
    </rPh>
    <phoneticPr fontId="3"/>
  </si>
  <si>
    <t>３名</t>
    <rPh sb="1" eb="2">
      <t>メイ</t>
    </rPh>
    <phoneticPr fontId="3"/>
  </si>
  <si>
    <t>小田島健司</t>
    <phoneticPr fontId="4"/>
  </si>
  <si>
    <t>７名</t>
    <rPh sb="1" eb="2">
      <t>メイ</t>
    </rPh>
    <phoneticPr fontId="3"/>
  </si>
  <si>
    <t>１０名</t>
    <rPh sb="2" eb="3">
      <t>メイ</t>
    </rPh>
    <phoneticPr fontId="4"/>
  </si>
  <si>
    <t>佐藤ゆうこ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</si>
</sst>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61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2" fontId="2" fillId="0" borderId="6" xfId="1" applyNumberFormat="1" applyFont="1" applyBorder="1"/>
    <xf numFmtId="2" fontId="2" fillId="0" borderId="7" xfId="1" applyNumberFormat="1" applyFont="1" applyBorder="1"/>
    <xf numFmtId="176" fontId="2" fillId="0" borderId="6" xfId="1" applyNumberFormat="1" applyFont="1" applyBorder="1"/>
    <xf numFmtId="176" fontId="2" fillId="0" borderId="7" xfId="1" applyNumberFormat="1" applyFont="1" applyBorder="1"/>
    <xf numFmtId="3" fontId="2" fillId="0" borderId="6" xfId="1" applyNumberFormat="1" applyFont="1" applyBorder="1"/>
    <xf numFmtId="3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49" fontId="2" fillId="0" borderId="10" xfId="1" applyNumberFormat="1" applyFont="1" applyBorder="1" applyAlignment="1">
      <alignment horizontal="left"/>
    </xf>
    <xf numFmtId="2" fontId="2" fillId="0" borderId="11" xfId="1" applyNumberFormat="1" applyFont="1" applyBorder="1"/>
    <xf numFmtId="2" fontId="2" fillId="0" borderId="12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3" fontId="2" fillId="0" borderId="11" xfId="1" applyNumberFormat="1" applyFont="1" applyBorder="1"/>
    <xf numFmtId="3" fontId="2" fillId="0" borderId="12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49" fontId="2" fillId="0" borderId="13" xfId="1" applyNumberFormat="1" applyFont="1" applyBorder="1" applyAlignment="1">
      <alignment horizontal="left"/>
    </xf>
    <xf numFmtId="3" fontId="2" fillId="0" borderId="14" xfId="1" applyNumberFormat="1" applyFont="1" applyBorder="1"/>
    <xf numFmtId="3" fontId="2" fillId="0" borderId="15" xfId="1" applyNumberFormat="1" applyFont="1" applyBorder="1"/>
    <xf numFmtId="49" fontId="2" fillId="0" borderId="16" xfId="1" applyNumberFormat="1" applyFont="1" applyBorder="1" applyAlignment="1">
      <alignment horizontal="left"/>
    </xf>
    <xf numFmtId="3" fontId="2" fillId="0" borderId="17" xfId="1" applyNumberFormat="1" applyFont="1" applyBorder="1"/>
    <xf numFmtId="3" fontId="2" fillId="0" borderId="18" xfId="1" applyNumberFormat="1" applyFont="1" applyBorder="1"/>
    <xf numFmtId="49" fontId="2" fillId="0" borderId="19" xfId="1" applyNumberFormat="1" applyFont="1" applyBorder="1" applyAlignment="1">
      <alignment horizontal="center"/>
    </xf>
    <xf numFmtId="49" fontId="2" fillId="0" borderId="20" xfId="1" applyNumberFormat="1" applyFont="1" applyBorder="1" applyAlignment="1">
      <alignment horizontal="center"/>
    </xf>
    <xf numFmtId="2" fontId="2" fillId="0" borderId="21" xfId="1" applyNumberFormat="1" applyFont="1" applyBorder="1"/>
    <xf numFmtId="2" fontId="2" fillId="0" borderId="22" xfId="1" applyNumberFormat="1" applyFont="1" applyBorder="1"/>
    <xf numFmtId="176" fontId="2" fillId="0" borderId="22" xfId="1" applyNumberFormat="1" applyFont="1" applyBorder="1"/>
    <xf numFmtId="2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20" xfId="1" applyNumberFormat="1" applyFont="1" applyBorder="1"/>
    <xf numFmtId="49" fontId="2" fillId="0" borderId="26" xfId="1" applyNumberFormat="1" applyFont="1" applyBorder="1" applyAlignment="1">
      <alignment horizontal="center"/>
    </xf>
    <xf numFmtId="0" fontId="2" fillId="0" borderId="26" xfId="1" applyFont="1" applyBorder="1"/>
    <xf numFmtId="49" fontId="2" fillId="0" borderId="27" xfId="1" applyNumberFormat="1" applyFont="1" applyBorder="1" applyAlignment="1">
      <alignment horizontal="center"/>
    </xf>
    <xf numFmtId="49" fontId="2" fillId="0" borderId="27" xfId="1" applyNumberFormat="1" applyFont="1" applyBorder="1" applyAlignment="1">
      <alignment horizontal="right"/>
    </xf>
    <xf numFmtId="0" fontId="2" fillId="0" borderId="27" xfId="1" applyFont="1" applyBorder="1" applyAlignment="1">
      <alignment horizontal="right"/>
    </xf>
    <xf numFmtId="2" fontId="2" fillId="0" borderId="28" xfId="1" applyNumberFormat="1" applyFont="1" applyBorder="1"/>
    <xf numFmtId="2" fontId="2" fillId="0" borderId="29" xfId="1" applyNumberFormat="1" applyFont="1" applyBorder="1"/>
    <xf numFmtId="176" fontId="2" fillId="0" borderId="29" xfId="1" applyNumberFormat="1" applyFont="1" applyBorder="1"/>
    <xf numFmtId="2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177" fontId="2" fillId="0" borderId="29" xfId="1" applyNumberFormat="1" applyFont="1" applyBorder="1"/>
    <xf numFmtId="3" fontId="2" fillId="0" borderId="30" xfId="1" applyNumberFormat="1" applyFont="1" applyBorder="1"/>
    <xf numFmtId="3" fontId="2" fillId="0" borderId="25" xfId="1" applyNumberFormat="1" applyFont="1" applyBorder="1"/>
    <xf numFmtId="49" fontId="2" fillId="0" borderId="27" xfId="1" applyNumberFormat="1" applyFont="1" applyBorder="1"/>
    <xf numFmtId="0" fontId="2" fillId="0" borderId="31" xfId="1" applyFont="1" applyBorder="1"/>
    <xf numFmtId="177" fontId="2" fillId="0" borderId="22" xfId="1" applyNumberFormat="1" applyFont="1" applyBorder="1"/>
    <xf numFmtId="49" fontId="2" fillId="0" borderId="26" xfId="1" applyNumberFormat="1" applyFont="1" applyBorder="1" applyAlignment="1">
      <alignment horizontal="left"/>
    </xf>
  </cellXfs>
  <cellStyles count="2">
    <cellStyle name="標準" xfId="0" builtinId="0"/>
    <cellStyle name="標準 2" xfId="1" xr:uid="{E702D229-67AC-4B58-B21F-6366C32B9A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D493D-FB0A-4D63-8422-896318CB07D6}">
  <sheetPr>
    <pageSetUpPr fitToPage="1"/>
  </sheetPr>
  <dimension ref="A1:O66"/>
  <sheetViews>
    <sheetView showZeros="0"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5" width="10.125" style="2" customWidth="1"/>
    <col min="16" max="256" width="9" style="2"/>
    <col min="257" max="257" width="2.375" style="2" customWidth="1"/>
    <col min="258" max="258" width="13.25" style="2" bestFit="1" customWidth="1"/>
    <col min="259" max="260" width="9" style="2"/>
    <col min="261" max="263" width="11.125" style="2" bestFit="1" customWidth="1"/>
    <col min="264" max="264" width="13.25" style="2" bestFit="1" customWidth="1"/>
    <col min="265" max="266" width="11.125" style="2" bestFit="1" customWidth="1"/>
    <col min="267" max="267" width="9" style="2"/>
    <col min="268" max="268" width="13.25" style="2" bestFit="1" customWidth="1"/>
    <col min="269" max="269" width="9.625" style="2" bestFit="1" customWidth="1"/>
    <col min="270" max="512" width="9" style="2"/>
    <col min="513" max="513" width="2.375" style="2" customWidth="1"/>
    <col min="514" max="514" width="13.25" style="2" bestFit="1" customWidth="1"/>
    <col min="515" max="516" width="9" style="2"/>
    <col min="517" max="519" width="11.125" style="2" bestFit="1" customWidth="1"/>
    <col min="520" max="520" width="13.25" style="2" bestFit="1" customWidth="1"/>
    <col min="521" max="522" width="11.125" style="2" bestFit="1" customWidth="1"/>
    <col min="523" max="523" width="9" style="2"/>
    <col min="524" max="524" width="13.25" style="2" bestFit="1" customWidth="1"/>
    <col min="525" max="525" width="9.625" style="2" bestFit="1" customWidth="1"/>
    <col min="526" max="768" width="9" style="2"/>
    <col min="769" max="769" width="2.375" style="2" customWidth="1"/>
    <col min="770" max="770" width="13.25" style="2" bestFit="1" customWidth="1"/>
    <col min="771" max="772" width="9" style="2"/>
    <col min="773" max="775" width="11.125" style="2" bestFit="1" customWidth="1"/>
    <col min="776" max="776" width="13.25" style="2" bestFit="1" customWidth="1"/>
    <col min="777" max="778" width="11.125" style="2" bestFit="1" customWidth="1"/>
    <col min="779" max="779" width="9" style="2"/>
    <col min="780" max="780" width="13.25" style="2" bestFit="1" customWidth="1"/>
    <col min="781" max="781" width="9.625" style="2" bestFit="1" customWidth="1"/>
    <col min="782" max="1024" width="9" style="2"/>
    <col min="1025" max="1025" width="2.375" style="2" customWidth="1"/>
    <col min="1026" max="1026" width="13.25" style="2" bestFit="1" customWidth="1"/>
    <col min="1027" max="1028" width="9" style="2"/>
    <col min="1029" max="1031" width="11.125" style="2" bestFit="1" customWidth="1"/>
    <col min="1032" max="1032" width="13.25" style="2" bestFit="1" customWidth="1"/>
    <col min="1033" max="1034" width="11.125" style="2" bestFit="1" customWidth="1"/>
    <col min="1035" max="1035" width="9" style="2"/>
    <col min="1036" max="1036" width="13.25" style="2" bestFit="1" customWidth="1"/>
    <col min="1037" max="1037" width="9.625" style="2" bestFit="1" customWidth="1"/>
    <col min="1038" max="1280" width="9" style="2"/>
    <col min="1281" max="1281" width="2.375" style="2" customWidth="1"/>
    <col min="1282" max="1282" width="13.25" style="2" bestFit="1" customWidth="1"/>
    <col min="1283" max="1284" width="9" style="2"/>
    <col min="1285" max="1287" width="11.125" style="2" bestFit="1" customWidth="1"/>
    <col min="1288" max="1288" width="13.25" style="2" bestFit="1" customWidth="1"/>
    <col min="1289" max="1290" width="11.125" style="2" bestFit="1" customWidth="1"/>
    <col min="1291" max="1291" width="9" style="2"/>
    <col min="1292" max="1292" width="13.25" style="2" bestFit="1" customWidth="1"/>
    <col min="1293" max="1293" width="9.625" style="2" bestFit="1" customWidth="1"/>
    <col min="1294" max="1536" width="9" style="2"/>
    <col min="1537" max="1537" width="2.375" style="2" customWidth="1"/>
    <col min="1538" max="1538" width="13.25" style="2" bestFit="1" customWidth="1"/>
    <col min="1539" max="1540" width="9" style="2"/>
    <col min="1541" max="1543" width="11.125" style="2" bestFit="1" customWidth="1"/>
    <col min="1544" max="1544" width="13.25" style="2" bestFit="1" customWidth="1"/>
    <col min="1545" max="1546" width="11.125" style="2" bestFit="1" customWidth="1"/>
    <col min="1547" max="1547" width="9" style="2"/>
    <col min="1548" max="1548" width="13.25" style="2" bestFit="1" customWidth="1"/>
    <col min="1549" max="1549" width="9.625" style="2" bestFit="1" customWidth="1"/>
    <col min="1550" max="1792" width="9" style="2"/>
    <col min="1793" max="1793" width="2.375" style="2" customWidth="1"/>
    <col min="1794" max="1794" width="13.25" style="2" bestFit="1" customWidth="1"/>
    <col min="1795" max="1796" width="9" style="2"/>
    <col min="1797" max="1799" width="11.125" style="2" bestFit="1" customWidth="1"/>
    <col min="1800" max="1800" width="13.25" style="2" bestFit="1" customWidth="1"/>
    <col min="1801" max="1802" width="11.125" style="2" bestFit="1" customWidth="1"/>
    <col min="1803" max="1803" width="9" style="2"/>
    <col min="1804" max="1804" width="13.25" style="2" bestFit="1" customWidth="1"/>
    <col min="1805" max="1805" width="9.625" style="2" bestFit="1" customWidth="1"/>
    <col min="1806" max="2048" width="9" style="2"/>
    <col min="2049" max="2049" width="2.375" style="2" customWidth="1"/>
    <col min="2050" max="2050" width="13.25" style="2" bestFit="1" customWidth="1"/>
    <col min="2051" max="2052" width="9" style="2"/>
    <col min="2053" max="2055" width="11.125" style="2" bestFit="1" customWidth="1"/>
    <col min="2056" max="2056" width="13.25" style="2" bestFit="1" customWidth="1"/>
    <col min="2057" max="2058" width="11.125" style="2" bestFit="1" customWidth="1"/>
    <col min="2059" max="2059" width="9" style="2"/>
    <col min="2060" max="2060" width="13.25" style="2" bestFit="1" customWidth="1"/>
    <col min="2061" max="2061" width="9.625" style="2" bestFit="1" customWidth="1"/>
    <col min="2062" max="2304" width="9" style="2"/>
    <col min="2305" max="2305" width="2.375" style="2" customWidth="1"/>
    <col min="2306" max="2306" width="13.25" style="2" bestFit="1" customWidth="1"/>
    <col min="2307" max="2308" width="9" style="2"/>
    <col min="2309" max="2311" width="11.125" style="2" bestFit="1" customWidth="1"/>
    <col min="2312" max="2312" width="13.25" style="2" bestFit="1" customWidth="1"/>
    <col min="2313" max="2314" width="11.125" style="2" bestFit="1" customWidth="1"/>
    <col min="2315" max="2315" width="9" style="2"/>
    <col min="2316" max="2316" width="13.25" style="2" bestFit="1" customWidth="1"/>
    <col min="2317" max="2317" width="9.625" style="2" bestFit="1" customWidth="1"/>
    <col min="2318" max="2560" width="9" style="2"/>
    <col min="2561" max="2561" width="2.375" style="2" customWidth="1"/>
    <col min="2562" max="2562" width="13.25" style="2" bestFit="1" customWidth="1"/>
    <col min="2563" max="2564" width="9" style="2"/>
    <col min="2565" max="2567" width="11.125" style="2" bestFit="1" customWidth="1"/>
    <col min="2568" max="2568" width="13.25" style="2" bestFit="1" customWidth="1"/>
    <col min="2569" max="2570" width="11.125" style="2" bestFit="1" customWidth="1"/>
    <col min="2571" max="2571" width="9" style="2"/>
    <col min="2572" max="2572" width="13.25" style="2" bestFit="1" customWidth="1"/>
    <col min="2573" max="2573" width="9.625" style="2" bestFit="1" customWidth="1"/>
    <col min="2574" max="2816" width="9" style="2"/>
    <col min="2817" max="2817" width="2.375" style="2" customWidth="1"/>
    <col min="2818" max="2818" width="13.25" style="2" bestFit="1" customWidth="1"/>
    <col min="2819" max="2820" width="9" style="2"/>
    <col min="2821" max="2823" width="11.125" style="2" bestFit="1" customWidth="1"/>
    <col min="2824" max="2824" width="13.25" style="2" bestFit="1" customWidth="1"/>
    <col min="2825" max="2826" width="11.125" style="2" bestFit="1" customWidth="1"/>
    <col min="2827" max="2827" width="9" style="2"/>
    <col min="2828" max="2828" width="13.25" style="2" bestFit="1" customWidth="1"/>
    <col min="2829" max="2829" width="9.625" style="2" bestFit="1" customWidth="1"/>
    <col min="2830" max="3072" width="9" style="2"/>
    <col min="3073" max="3073" width="2.375" style="2" customWidth="1"/>
    <col min="3074" max="3074" width="13.25" style="2" bestFit="1" customWidth="1"/>
    <col min="3075" max="3076" width="9" style="2"/>
    <col min="3077" max="3079" width="11.125" style="2" bestFit="1" customWidth="1"/>
    <col min="3080" max="3080" width="13.25" style="2" bestFit="1" customWidth="1"/>
    <col min="3081" max="3082" width="11.125" style="2" bestFit="1" customWidth="1"/>
    <col min="3083" max="3083" width="9" style="2"/>
    <col min="3084" max="3084" width="13.25" style="2" bestFit="1" customWidth="1"/>
    <col min="3085" max="3085" width="9.625" style="2" bestFit="1" customWidth="1"/>
    <col min="3086" max="3328" width="9" style="2"/>
    <col min="3329" max="3329" width="2.375" style="2" customWidth="1"/>
    <col min="3330" max="3330" width="13.25" style="2" bestFit="1" customWidth="1"/>
    <col min="3331" max="3332" width="9" style="2"/>
    <col min="3333" max="3335" width="11.125" style="2" bestFit="1" customWidth="1"/>
    <col min="3336" max="3336" width="13.25" style="2" bestFit="1" customWidth="1"/>
    <col min="3337" max="3338" width="11.125" style="2" bestFit="1" customWidth="1"/>
    <col min="3339" max="3339" width="9" style="2"/>
    <col min="3340" max="3340" width="13.25" style="2" bestFit="1" customWidth="1"/>
    <col min="3341" max="3341" width="9.625" style="2" bestFit="1" customWidth="1"/>
    <col min="3342" max="3584" width="9" style="2"/>
    <col min="3585" max="3585" width="2.375" style="2" customWidth="1"/>
    <col min="3586" max="3586" width="13.25" style="2" bestFit="1" customWidth="1"/>
    <col min="3587" max="3588" width="9" style="2"/>
    <col min="3589" max="3591" width="11.125" style="2" bestFit="1" customWidth="1"/>
    <col min="3592" max="3592" width="13.25" style="2" bestFit="1" customWidth="1"/>
    <col min="3593" max="3594" width="11.125" style="2" bestFit="1" customWidth="1"/>
    <col min="3595" max="3595" width="9" style="2"/>
    <col min="3596" max="3596" width="13.25" style="2" bestFit="1" customWidth="1"/>
    <col min="3597" max="3597" width="9.625" style="2" bestFit="1" customWidth="1"/>
    <col min="3598" max="3840" width="9" style="2"/>
    <col min="3841" max="3841" width="2.375" style="2" customWidth="1"/>
    <col min="3842" max="3842" width="13.25" style="2" bestFit="1" customWidth="1"/>
    <col min="3843" max="3844" width="9" style="2"/>
    <col min="3845" max="3847" width="11.125" style="2" bestFit="1" customWidth="1"/>
    <col min="3848" max="3848" width="13.25" style="2" bestFit="1" customWidth="1"/>
    <col min="3849" max="3850" width="11.125" style="2" bestFit="1" customWidth="1"/>
    <col min="3851" max="3851" width="9" style="2"/>
    <col min="3852" max="3852" width="13.25" style="2" bestFit="1" customWidth="1"/>
    <col min="3853" max="3853" width="9.625" style="2" bestFit="1" customWidth="1"/>
    <col min="3854" max="4096" width="9" style="2"/>
    <col min="4097" max="4097" width="2.375" style="2" customWidth="1"/>
    <col min="4098" max="4098" width="13.25" style="2" bestFit="1" customWidth="1"/>
    <col min="4099" max="4100" width="9" style="2"/>
    <col min="4101" max="4103" width="11.125" style="2" bestFit="1" customWidth="1"/>
    <col min="4104" max="4104" width="13.25" style="2" bestFit="1" customWidth="1"/>
    <col min="4105" max="4106" width="11.125" style="2" bestFit="1" customWidth="1"/>
    <col min="4107" max="4107" width="9" style="2"/>
    <col min="4108" max="4108" width="13.25" style="2" bestFit="1" customWidth="1"/>
    <col min="4109" max="4109" width="9.625" style="2" bestFit="1" customWidth="1"/>
    <col min="4110" max="4352" width="9" style="2"/>
    <col min="4353" max="4353" width="2.375" style="2" customWidth="1"/>
    <col min="4354" max="4354" width="13.25" style="2" bestFit="1" customWidth="1"/>
    <col min="4355" max="4356" width="9" style="2"/>
    <col min="4357" max="4359" width="11.125" style="2" bestFit="1" customWidth="1"/>
    <col min="4360" max="4360" width="13.25" style="2" bestFit="1" customWidth="1"/>
    <col min="4361" max="4362" width="11.125" style="2" bestFit="1" customWidth="1"/>
    <col min="4363" max="4363" width="9" style="2"/>
    <col min="4364" max="4364" width="13.25" style="2" bestFit="1" customWidth="1"/>
    <col min="4365" max="4365" width="9.625" style="2" bestFit="1" customWidth="1"/>
    <col min="4366" max="4608" width="9" style="2"/>
    <col min="4609" max="4609" width="2.375" style="2" customWidth="1"/>
    <col min="4610" max="4610" width="13.25" style="2" bestFit="1" customWidth="1"/>
    <col min="4611" max="4612" width="9" style="2"/>
    <col min="4613" max="4615" width="11.125" style="2" bestFit="1" customWidth="1"/>
    <col min="4616" max="4616" width="13.25" style="2" bestFit="1" customWidth="1"/>
    <col min="4617" max="4618" width="11.125" style="2" bestFit="1" customWidth="1"/>
    <col min="4619" max="4619" width="9" style="2"/>
    <col min="4620" max="4620" width="13.25" style="2" bestFit="1" customWidth="1"/>
    <col min="4621" max="4621" width="9.625" style="2" bestFit="1" customWidth="1"/>
    <col min="4622" max="4864" width="9" style="2"/>
    <col min="4865" max="4865" width="2.375" style="2" customWidth="1"/>
    <col min="4866" max="4866" width="13.25" style="2" bestFit="1" customWidth="1"/>
    <col min="4867" max="4868" width="9" style="2"/>
    <col min="4869" max="4871" width="11.125" style="2" bestFit="1" customWidth="1"/>
    <col min="4872" max="4872" width="13.25" style="2" bestFit="1" customWidth="1"/>
    <col min="4873" max="4874" width="11.125" style="2" bestFit="1" customWidth="1"/>
    <col min="4875" max="4875" width="9" style="2"/>
    <col min="4876" max="4876" width="13.25" style="2" bestFit="1" customWidth="1"/>
    <col min="4877" max="4877" width="9.625" style="2" bestFit="1" customWidth="1"/>
    <col min="4878" max="5120" width="9" style="2"/>
    <col min="5121" max="5121" width="2.375" style="2" customWidth="1"/>
    <col min="5122" max="5122" width="13.25" style="2" bestFit="1" customWidth="1"/>
    <col min="5123" max="5124" width="9" style="2"/>
    <col min="5125" max="5127" width="11.125" style="2" bestFit="1" customWidth="1"/>
    <col min="5128" max="5128" width="13.25" style="2" bestFit="1" customWidth="1"/>
    <col min="5129" max="5130" width="11.125" style="2" bestFit="1" customWidth="1"/>
    <col min="5131" max="5131" width="9" style="2"/>
    <col min="5132" max="5132" width="13.25" style="2" bestFit="1" customWidth="1"/>
    <col min="5133" max="5133" width="9.625" style="2" bestFit="1" customWidth="1"/>
    <col min="5134" max="5376" width="9" style="2"/>
    <col min="5377" max="5377" width="2.375" style="2" customWidth="1"/>
    <col min="5378" max="5378" width="13.25" style="2" bestFit="1" customWidth="1"/>
    <col min="5379" max="5380" width="9" style="2"/>
    <col min="5381" max="5383" width="11.125" style="2" bestFit="1" customWidth="1"/>
    <col min="5384" max="5384" width="13.25" style="2" bestFit="1" customWidth="1"/>
    <col min="5385" max="5386" width="11.125" style="2" bestFit="1" customWidth="1"/>
    <col min="5387" max="5387" width="9" style="2"/>
    <col min="5388" max="5388" width="13.25" style="2" bestFit="1" customWidth="1"/>
    <col min="5389" max="5389" width="9.625" style="2" bestFit="1" customWidth="1"/>
    <col min="5390" max="5632" width="9" style="2"/>
    <col min="5633" max="5633" width="2.375" style="2" customWidth="1"/>
    <col min="5634" max="5634" width="13.25" style="2" bestFit="1" customWidth="1"/>
    <col min="5635" max="5636" width="9" style="2"/>
    <col min="5637" max="5639" width="11.125" style="2" bestFit="1" customWidth="1"/>
    <col min="5640" max="5640" width="13.25" style="2" bestFit="1" customWidth="1"/>
    <col min="5641" max="5642" width="11.125" style="2" bestFit="1" customWidth="1"/>
    <col min="5643" max="5643" width="9" style="2"/>
    <col min="5644" max="5644" width="13.25" style="2" bestFit="1" customWidth="1"/>
    <col min="5645" max="5645" width="9.625" style="2" bestFit="1" customWidth="1"/>
    <col min="5646" max="5888" width="9" style="2"/>
    <col min="5889" max="5889" width="2.375" style="2" customWidth="1"/>
    <col min="5890" max="5890" width="13.25" style="2" bestFit="1" customWidth="1"/>
    <col min="5891" max="5892" width="9" style="2"/>
    <col min="5893" max="5895" width="11.125" style="2" bestFit="1" customWidth="1"/>
    <col min="5896" max="5896" width="13.25" style="2" bestFit="1" customWidth="1"/>
    <col min="5897" max="5898" width="11.125" style="2" bestFit="1" customWidth="1"/>
    <col min="5899" max="5899" width="9" style="2"/>
    <col min="5900" max="5900" width="13.25" style="2" bestFit="1" customWidth="1"/>
    <col min="5901" max="5901" width="9.625" style="2" bestFit="1" customWidth="1"/>
    <col min="5902" max="6144" width="9" style="2"/>
    <col min="6145" max="6145" width="2.375" style="2" customWidth="1"/>
    <col min="6146" max="6146" width="13.25" style="2" bestFit="1" customWidth="1"/>
    <col min="6147" max="6148" width="9" style="2"/>
    <col min="6149" max="6151" width="11.125" style="2" bestFit="1" customWidth="1"/>
    <col min="6152" max="6152" width="13.25" style="2" bestFit="1" customWidth="1"/>
    <col min="6153" max="6154" width="11.125" style="2" bestFit="1" customWidth="1"/>
    <col min="6155" max="6155" width="9" style="2"/>
    <col min="6156" max="6156" width="13.25" style="2" bestFit="1" customWidth="1"/>
    <col min="6157" max="6157" width="9.625" style="2" bestFit="1" customWidth="1"/>
    <col min="6158" max="6400" width="9" style="2"/>
    <col min="6401" max="6401" width="2.375" style="2" customWidth="1"/>
    <col min="6402" max="6402" width="13.25" style="2" bestFit="1" customWidth="1"/>
    <col min="6403" max="6404" width="9" style="2"/>
    <col min="6405" max="6407" width="11.125" style="2" bestFit="1" customWidth="1"/>
    <col min="6408" max="6408" width="13.25" style="2" bestFit="1" customWidth="1"/>
    <col min="6409" max="6410" width="11.125" style="2" bestFit="1" customWidth="1"/>
    <col min="6411" max="6411" width="9" style="2"/>
    <col min="6412" max="6412" width="13.25" style="2" bestFit="1" customWidth="1"/>
    <col min="6413" max="6413" width="9.625" style="2" bestFit="1" customWidth="1"/>
    <col min="6414" max="6656" width="9" style="2"/>
    <col min="6657" max="6657" width="2.375" style="2" customWidth="1"/>
    <col min="6658" max="6658" width="13.25" style="2" bestFit="1" customWidth="1"/>
    <col min="6659" max="6660" width="9" style="2"/>
    <col min="6661" max="6663" width="11.125" style="2" bestFit="1" customWidth="1"/>
    <col min="6664" max="6664" width="13.25" style="2" bestFit="1" customWidth="1"/>
    <col min="6665" max="6666" width="11.125" style="2" bestFit="1" customWidth="1"/>
    <col min="6667" max="6667" width="9" style="2"/>
    <col min="6668" max="6668" width="13.25" style="2" bestFit="1" customWidth="1"/>
    <col min="6669" max="6669" width="9.625" style="2" bestFit="1" customWidth="1"/>
    <col min="6670" max="6912" width="9" style="2"/>
    <col min="6913" max="6913" width="2.375" style="2" customWidth="1"/>
    <col min="6914" max="6914" width="13.25" style="2" bestFit="1" customWidth="1"/>
    <col min="6915" max="6916" width="9" style="2"/>
    <col min="6917" max="6919" width="11.125" style="2" bestFit="1" customWidth="1"/>
    <col min="6920" max="6920" width="13.25" style="2" bestFit="1" customWidth="1"/>
    <col min="6921" max="6922" width="11.125" style="2" bestFit="1" customWidth="1"/>
    <col min="6923" max="6923" width="9" style="2"/>
    <col min="6924" max="6924" width="13.25" style="2" bestFit="1" customWidth="1"/>
    <col min="6925" max="6925" width="9.625" style="2" bestFit="1" customWidth="1"/>
    <col min="6926" max="7168" width="9" style="2"/>
    <col min="7169" max="7169" width="2.375" style="2" customWidth="1"/>
    <col min="7170" max="7170" width="13.25" style="2" bestFit="1" customWidth="1"/>
    <col min="7171" max="7172" width="9" style="2"/>
    <col min="7173" max="7175" width="11.125" style="2" bestFit="1" customWidth="1"/>
    <col min="7176" max="7176" width="13.25" style="2" bestFit="1" customWidth="1"/>
    <col min="7177" max="7178" width="11.125" style="2" bestFit="1" customWidth="1"/>
    <col min="7179" max="7179" width="9" style="2"/>
    <col min="7180" max="7180" width="13.25" style="2" bestFit="1" customWidth="1"/>
    <col min="7181" max="7181" width="9.625" style="2" bestFit="1" customWidth="1"/>
    <col min="7182" max="7424" width="9" style="2"/>
    <col min="7425" max="7425" width="2.375" style="2" customWidth="1"/>
    <col min="7426" max="7426" width="13.25" style="2" bestFit="1" customWidth="1"/>
    <col min="7427" max="7428" width="9" style="2"/>
    <col min="7429" max="7431" width="11.125" style="2" bestFit="1" customWidth="1"/>
    <col min="7432" max="7432" width="13.25" style="2" bestFit="1" customWidth="1"/>
    <col min="7433" max="7434" width="11.125" style="2" bestFit="1" customWidth="1"/>
    <col min="7435" max="7435" width="9" style="2"/>
    <col min="7436" max="7436" width="13.25" style="2" bestFit="1" customWidth="1"/>
    <col min="7437" max="7437" width="9.625" style="2" bestFit="1" customWidth="1"/>
    <col min="7438" max="7680" width="9" style="2"/>
    <col min="7681" max="7681" width="2.375" style="2" customWidth="1"/>
    <col min="7682" max="7682" width="13.25" style="2" bestFit="1" customWidth="1"/>
    <col min="7683" max="7684" width="9" style="2"/>
    <col min="7685" max="7687" width="11.125" style="2" bestFit="1" customWidth="1"/>
    <col min="7688" max="7688" width="13.25" style="2" bestFit="1" customWidth="1"/>
    <col min="7689" max="7690" width="11.125" style="2" bestFit="1" customWidth="1"/>
    <col min="7691" max="7691" width="9" style="2"/>
    <col min="7692" max="7692" width="13.25" style="2" bestFit="1" customWidth="1"/>
    <col min="7693" max="7693" width="9.625" style="2" bestFit="1" customWidth="1"/>
    <col min="7694" max="7936" width="9" style="2"/>
    <col min="7937" max="7937" width="2.375" style="2" customWidth="1"/>
    <col min="7938" max="7938" width="13.25" style="2" bestFit="1" customWidth="1"/>
    <col min="7939" max="7940" width="9" style="2"/>
    <col min="7941" max="7943" width="11.125" style="2" bestFit="1" customWidth="1"/>
    <col min="7944" max="7944" width="13.25" style="2" bestFit="1" customWidth="1"/>
    <col min="7945" max="7946" width="11.125" style="2" bestFit="1" customWidth="1"/>
    <col min="7947" max="7947" width="9" style="2"/>
    <col min="7948" max="7948" width="13.25" style="2" bestFit="1" customWidth="1"/>
    <col min="7949" max="7949" width="9.625" style="2" bestFit="1" customWidth="1"/>
    <col min="7950" max="8192" width="9" style="2"/>
    <col min="8193" max="8193" width="2.375" style="2" customWidth="1"/>
    <col min="8194" max="8194" width="13.25" style="2" bestFit="1" customWidth="1"/>
    <col min="8195" max="8196" width="9" style="2"/>
    <col min="8197" max="8199" width="11.125" style="2" bestFit="1" customWidth="1"/>
    <col min="8200" max="8200" width="13.25" style="2" bestFit="1" customWidth="1"/>
    <col min="8201" max="8202" width="11.125" style="2" bestFit="1" customWidth="1"/>
    <col min="8203" max="8203" width="9" style="2"/>
    <col min="8204" max="8204" width="13.25" style="2" bestFit="1" customWidth="1"/>
    <col min="8205" max="8205" width="9.625" style="2" bestFit="1" customWidth="1"/>
    <col min="8206" max="8448" width="9" style="2"/>
    <col min="8449" max="8449" width="2.375" style="2" customWidth="1"/>
    <col min="8450" max="8450" width="13.25" style="2" bestFit="1" customWidth="1"/>
    <col min="8451" max="8452" width="9" style="2"/>
    <col min="8453" max="8455" width="11.125" style="2" bestFit="1" customWidth="1"/>
    <col min="8456" max="8456" width="13.25" style="2" bestFit="1" customWidth="1"/>
    <col min="8457" max="8458" width="11.125" style="2" bestFit="1" customWidth="1"/>
    <col min="8459" max="8459" width="9" style="2"/>
    <col min="8460" max="8460" width="13.25" style="2" bestFit="1" customWidth="1"/>
    <col min="8461" max="8461" width="9.625" style="2" bestFit="1" customWidth="1"/>
    <col min="8462" max="8704" width="9" style="2"/>
    <col min="8705" max="8705" width="2.375" style="2" customWidth="1"/>
    <col min="8706" max="8706" width="13.25" style="2" bestFit="1" customWidth="1"/>
    <col min="8707" max="8708" width="9" style="2"/>
    <col min="8709" max="8711" width="11.125" style="2" bestFit="1" customWidth="1"/>
    <col min="8712" max="8712" width="13.25" style="2" bestFit="1" customWidth="1"/>
    <col min="8713" max="8714" width="11.125" style="2" bestFit="1" customWidth="1"/>
    <col min="8715" max="8715" width="9" style="2"/>
    <col min="8716" max="8716" width="13.25" style="2" bestFit="1" customWidth="1"/>
    <col min="8717" max="8717" width="9.625" style="2" bestFit="1" customWidth="1"/>
    <col min="8718" max="8960" width="9" style="2"/>
    <col min="8961" max="8961" width="2.375" style="2" customWidth="1"/>
    <col min="8962" max="8962" width="13.25" style="2" bestFit="1" customWidth="1"/>
    <col min="8963" max="8964" width="9" style="2"/>
    <col min="8965" max="8967" width="11.125" style="2" bestFit="1" customWidth="1"/>
    <col min="8968" max="8968" width="13.25" style="2" bestFit="1" customWidth="1"/>
    <col min="8969" max="8970" width="11.125" style="2" bestFit="1" customWidth="1"/>
    <col min="8971" max="8971" width="9" style="2"/>
    <col min="8972" max="8972" width="13.25" style="2" bestFit="1" customWidth="1"/>
    <col min="8973" max="8973" width="9.625" style="2" bestFit="1" customWidth="1"/>
    <col min="8974" max="9216" width="9" style="2"/>
    <col min="9217" max="9217" width="2.375" style="2" customWidth="1"/>
    <col min="9218" max="9218" width="13.25" style="2" bestFit="1" customWidth="1"/>
    <col min="9219" max="9220" width="9" style="2"/>
    <col min="9221" max="9223" width="11.125" style="2" bestFit="1" customWidth="1"/>
    <col min="9224" max="9224" width="13.25" style="2" bestFit="1" customWidth="1"/>
    <col min="9225" max="9226" width="11.125" style="2" bestFit="1" customWidth="1"/>
    <col min="9227" max="9227" width="9" style="2"/>
    <col min="9228" max="9228" width="13.25" style="2" bestFit="1" customWidth="1"/>
    <col min="9229" max="9229" width="9.625" style="2" bestFit="1" customWidth="1"/>
    <col min="9230" max="9472" width="9" style="2"/>
    <col min="9473" max="9473" width="2.375" style="2" customWidth="1"/>
    <col min="9474" max="9474" width="13.25" style="2" bestFit="1" customWidth="1"/>
    <col min="9475" max="9476" width="9" style="2"/>
    <col min="9477" max="9479" width="11.125" style="2" bestFit="1" customWidth="1"/>
    <col min="9480" max="9480" width="13.25" style="2" bestFit="1" customWidth="1"/>
    <col min="9481" max="9482" width="11.125" style="2" bestFit="1" customWidth="1"/>
    <col min="9483" max="9483" width="9" style="2"/>
    <col min="9484" max="9484" width="13.25" style="2" bestFit="1" customWidth="1"/>
    <col min="9485" max="9485" width="9.625" style="2" bestFit="1" customWidth="1"/>
    <col min="9486" max="9728" width="9" style="2"/>
    <col min="9729" max="9729" width="2.375" style="2" customWidth="1"/>
    <col min="9730" max="9730" width="13.25" style="2" bestFit="1" customWidth="1"/>
    <col min="9731" max="9732" width="9" style="2"/>
    <col min="9733" max="9735" width="11.125" style="2" bestFit="1" customWidth="1"/>
    <col min="9736" max="9736" width="13.25" style="2" bestFit="1" customWidth="1"/>
    <col min="9737" max="9738" width="11.125" style="2" bestFit="1" customWidth="1"/>
    <col min="9739" max="9739" width="9" style="2"/>
    <col min="9740" max="9740" width="13.25" style="2" bestFit="1" customWidth="1"/>
    <col min="9741" max="9741" width="9.625" style="2" bestFit="1" customWidth="1"/>
    <col min="9742" max="9984" width="9" style="2"/>
    <col min="9985" max="9985" width="2.375" style="2" customWidth="1"/>
    <col min="9986" max="9986" width="13.25" style="2" bestFit="1" customWidth="1"/>
    <col min="9987" max="9988" width="9" style="2"/>
    <col min="9989" max="9991" width="11.125" style="2" bestFit="1" customWidth="1"/>
    <col min="9992" max="9992" width="13.25" style="2" bestFit="1" customWidth="1"/>
    <col min="9993" max="9994" width="11.125" style="2" bestFit="1" customWidth="1"/>
    <col min="9995" max="9995" width="9" style="2"/>
    <col min="9996" max="9996" width="13.25" style="2" bestFit="1" customWidth="1"/>
    <col min="9997" max="9997" width="9.625" style="2" bestFit="1" customWidth="1"/>
    <col min="9998" max="10240" width="9" style="2"/>
    <col min="10241" max="10241" width="2.375" style="2" customWidth="1"/>
    <col min="10242" max="10242" width="13.25" style="2" bestFit="1" customWidth="1"/>
    <col min="10243" max="10244" width="9" style="2"/>
    <col min="10245" max="10247" width="11.125" style="2" bestFit="1" customWidth="1"/>
    <col min="10248" max="10248" width="13.25" style="2" bestFit="1" customWidth="1"/>
    <col min="10249" max="10250" width="11.125" style="2" bestFit="1" customWidth="1"/>
    <col min="10251" max="10251" width="9" style="2"/>
    <col min="10252" max="10252" width="13.25" style="2" bestFit="1" customWidth="1"/>
    <col min="10253" max="10253" width="9.625" style="2" bestFit="1" customWidth="1"/>
    <col min="10254" max="10496" width="9" style="2"/>
    <col min="10497" max="10497" width="2.375" style="2" customWidth="1"/>
    <col min="10498" max="10498" width="13.25" style="2" bestFit="1" customWidth="1"/>
    <col min="10499" max="10500" width="9" style="2"/>
    <col min="10501" max="10503" width="11.125" style="2" bestFit="1" customWidth="1"/>
    <col min="10504" max="10504" width="13.25" style="2" bestFit="1" customWidth="1"/>
    <col min="10505" max="10506" width="11.125" style="2" bestFit="1" customWidth="1"/>
    <col min="10507" max="10507" width="9" style="2"/>
    <col min="10508" max="10508" width="13.25" style="2" bestFit="1" customWidth="1"/>
    <col min="10509" max="10509" width="9.625" style="2" bestFit="1" customWidth="1"/>
    <col min="10510" max="10752" width="9" style="2"/>
    <col min="10753" max="10753" width="2.375" style="2" customWidth="1"/>
    <col min="10754" max="10754" width="13.25" style="2" bestFit="1" customWidth="1"/>
    <col min="10755" max="10756" width="9" style="2"/>
    <col min="10757" max="10759" width="11.125" style="2" bestFit="1" customWidth="1"/>
    <col min="10760" max="10760" width="13.25" style="2" bestFit="1" customWidth="1"/>
    <col min="10761" max="10762" width="11.125" style="2" bestFit="1" customWidth="1"/>
    <col min="10763" max="10763" width="9" style="2"/>
    <col min="10764" max="10764" width="13.25" style="2" bestFit="1" customWidth="1"/>
    <col min="10765" max="10765" width="9.625" style="2" bestFit="1" customWidth="1"/>
    <col min="10766" max="11008" width="9" style="2"/>
    <col min="11009" max="11009" width="2.375" style="2" customWidth="1"/>
    <col min="11010" max="11010" width="13.25" style="2" bestFit="1" customWidth="1"/>
    <col min="11011" max="11012" width="9" style="2"/>
    <col min="11013" max="11015" width="11.125" style="2" bestFit="1" customWidth="1"/>
    <col min="11016" max="11016" width="13.25" style="2" bestFit="1" customWidth="1"/>
    <col min="11017" max="11018" width="11.125" style="2" bestFit="1" customWidth="1"/>
    <col min="11019" max="11019" width="9" style="2"/>
    <col min="11020" max="11020" width="13.25" style="2" bestFit="1" customWidth="1"/>
    <col min="11021" max="11021" width="9.625" style="2" bestFit="1" customWidth="1"/>
    <col min="11022" max="11264" width="9" style="2"/>
    <col min="11265" max="11265" width="2.375" style="2" customWidth="1"/>
    <col min="11266" max="11266" width="13.25" style="2" bestFit="1" customWidth="1"/>
    <col min="11267" max="11268" width="9" style="2"/>
    <col min="11269" max="11271" width="11.125" style="2" bestFit="1" customWidth="1"/>
    <col min="11272" max="11272" width="13.25" style="2" bestFit="1" customWidth="1"/>
    <col min="11273" max="11274" width="11.125" style="2" bestFit="1" customWidth="1"/>
    <col min="11275" max="11275" width="9" style="2"/>
    <col min="11276" max="11276" width="13.25" style="2" bestFit="1" customWidth="1"/>
    <col min="11277" max="11277" width="9.625" style="2" bestFit="1" customWidth="1"/>
    <col min="11278" max="11520" width="9" style="2"/>
    <col min="11521" max="11521" width="2.375" style="2" customWidth="1"/>
    <col min="11522" max="11522" width="13.25" style="2" bestFit="1" customWidth="1"/>
    <col min="11523" max="11524" width="9" style="2"/>
    <col min="11525" max="11527" width="11.125" style="2" bestFit="1" customWidth="1"/>
    <col min="11528" max="11528" width="13.25" style="2" bestFit="1" customWidth="1"/>
    <col min="11529" max="11530" width="11.125" style="2" bestFit="1" customWidth="1"/>
    <col min="11531" max="11531" width="9" style="2"/>
    <col min="11532" max="11532" width="13.25" style="2" bestFit="1" customWidth="1"/>
    <col min="11533" max="11533" width="9.625" style="2" bestFit="1" customWidth="1"/>
    <col min="11534" max="11776" width="9" style="2"/>
    <col min="11777" max="11777" width="2.375" style="2" customWidth="1"/>
    <col min="11778" max="11778" width="13.25" style="2" bestFit="1" customWidth="1"/>
    <col min="11779" max="11780" width="9" style="2"/>
    <col min="11781" max="11783" width="11.125" style="2" bestFit="1" customWidth="1"/>
    <col min="11784" max="11784" width="13.25" style="2" bestFit="1" customWidth="1"/>
    <col min="11785" max="11786" width="11.125" style="2" bestFit="1" customWidth="1"/>
    <col min="11787" max="11787" width="9" style="2"/>
    <col min="11788" max="11788" width="13.25" style="2" bestFit="1" customWidth="1"/>
    <col min="11789" max="11789" width="9.625" style="2" bestFit="1" customWidth="1"/>
    <col min="11790" max="12032" width="9" style="2"/>
    <col min="12033" max="12033" width="2.375" style="2" customWidth="1"/>
    <col min="12034" max="12034" width="13.25" style="2" bestFit="1" customWidth="1"/>
    <col min="12035" max="12036" width="9" style="2"/>
    <col min="12037" max="12039" width="11.125" style="2" bestFit="1" customWidth="1"/>
    <col min="12040" max="12040" width="13.25" style="2" bestFit="1" customWidth="1"/>
    <col min="12041" max="12042" width="11.125" style="2" bestFit="1" customWidth="1"/>
    <col min="12043" max="12043" width="9" style="2"/>
    <col min="12044" max="12044" width="13.25" style="2" bestFit="1" customWidth="1"/>
    <col min="12045" max="12045" width="9.625" style="2" bestFit="1" customWidth="1"/>
    <col min="12046" max="12288" width="9" style="2"/>
    <col min="12289" max="12289" width="2.375" style="2" customWidth="1"/>
    <col min="12290" max="12290" width="13.25" style="2" bestFit="1" customWidth="1"/>
    <col min="12291" max="12292" width="9" style="2"/>
    <col min="12293" max="12295" width="11.125" style="2" bestFit="1" customWidth="1"/>
    <col min="12296" max="12296" width="13.25" style="2" bestFit="1" customWidth="1"/>
    <col min="12297" max="12298" width="11.125" style="2" bestFit="1" customWidth="1"/>
    <col min="12299" max="12299" width="9" style="2"/>
    <col min="12300" max="12300" width="13.25" style="2" bestFit="1" customWidth="1"/>
    <col min="12301" max="12301" width="9.625" style="2" bestFit="1" customWidth="1"/>
    <col min="12302" max="12544" width="9" style="2"/>
    <col min="12545" max="12545" width="2.375" style="2" customWidth="1"/>
    <col min="12546" max="12546" width="13.25" style="2" bestFit="1" customWidth="1"/>
    <col min="12547" max="12548" width="9" style="2"/>
    <col min="12549" max="12551" width="11.125" style="2" bestFit="1" customWidth="1"/>
    <col min="12552" max="12552" width="13.25" style="2" bestFit="1" customWidth="1"/>
    <col min="12553" max="12554" width="11.125" style="2" bestFit="1" customWidth="1"/>
    <col min="12555" max="12555" width="9" style="2"/>
    <col min="12556" max="12556" width="13.25" style="2" bestFit="1" customWidth="1"/>
    <col min="12557" max="12557" width="9.625" style="2" bestFit="1" customWidth="1"/>
    <col min="12558" max="12800" width="9" style="2"/>
    <col min="12801" max="12801" width="2.375" style="2" customWidth="1"/>
    <col min="12802" max="12802" width="13.25" style="2" bestFit="1" customWidth="1"/>
    <col min="12803" max="12804" width="9" style="2"/>
    <col min="12805" max="12807" width="11.125" style="2" bestFit="1" customWidth="1"/>
    <col min="12808" max="12808" width="13.25" style="2" bestFit="1" customWidth="1"/>
    <col min="12809" max="12810" width="11.125" style="2" bestFit="1" customWidth="1"/>
    <col min="12811" max="12811" width="9" style="2"/>
    <col min="12812" max="12812" width="13.25" style="2" bestFit="1" customWidth="1"/>
    <col min="12813" max="12813" width="9.625" style="2" bestFit="1" customWidth="1"/>
    <col min="12814" max="13056" width="9" style="2"/>
    <col min="13057" max="13057" width="2.375" style="2" customWidth="1"/>
    <col min="13058" max="13058" width="13.25" style="2" bestFit="1" customWidth="1"/>
    <col min="13059" max="13060" width="9" style="2"/>
    <col min="13061" max="13063" width="11.125" style="2" bestFit="1" customWidth="1"/>
    <col min="13064" max="13064" width="13.25" style="2" bestFit="1" customWidth="1"/>
    <col min="13065" max="13066" width="11.125" style="2" bestFit="1" customWidth="1"/>
    <col min="13067" max="13067" width="9" style="2"/>
    <col min="13068" max="13068" width="13.25" style="2" bestFit="1" customWidth="1"/>
    <col min="13069" max="13069" width="9.625" style="2" bestFit="1" customWidth="1"/>
    <col min="13070" max="13312" width="9" style="2"/>
    <col min="13313" max="13313" width="2.375" style="2" customWidth="1"/>
    <col min="13314" max="13314" width="13.25" style="2" bestFit="1" customWidth="1"/>
    <col min="13315" max="13316" width="9" style="2"/>
    <col min="13317" max="13319" width="11.125" style="2" bestFit="1" customWidth="1"/>
    <col min="13320" max="13320" width="13.25" style="2" bestFit="1" customWidth="1"/>
    <col min="13321" max="13322" width="11.125" style="2" bestFit="1" customWidth="1"/>
    <col min="13323" max="13323" width="9" style="2"/>
    <col min="13324" max="13324" width="13.25" style="2" bestFit="1" customWidth="1"/>
    <col min="13325" max="13325" width="9.625" style="2" bestFit="1" customWidth="1"/>
    <col min="13326" max="13568" width="9" style="2"/>
    <col min="13569" max="13569" width="2.375" style="2" customWidth="1"/>
    <col min="13570" max="13570" width="13.25" style="2" bestFit="1" customWidth="1"/>
    <col min="13571" max="13572" width="9" style="2"/>
    <col min="13573" max="13575" width="11.125" style="2" bestFit="1" customWidth="1"/>
    <col min="13576" max="13576" width="13.25" style="2" bestFit="1" customWidth="1"/>
    <col min="13577" max="13578" width="11.125" style="2" bestFit="1" customWidth="1"/>
    <col min="13579" max="13579" width="9" style="2"/>
    <col min="13580" max="13580" width="13.25" style="2" bestFit="1" customWidth="1"/>
    <col min="13581" max="13581" width="9.625" style="2" bestFit="1" customWidth="1"/>
    <col min="13582" max="13824" width="9" style="2"/>
    <col min="13825" max="13825" width="2.375" style="2" customWidth="1"/>
    <col min="13826" max="13826" width="13.25" style="2" bestFit="1" customWidth="1"/>
    <col min="13827" max="13828" width="9" style="2"/>
    <col min="13829" max="13831" width="11.125" style="2" bestFit="1" customWidth="1"/>
    <col min="13832" max="13832" width="13.25" style="2" bestFit="1" customWidth="1"/>
    <col min="13833" max="13834" width="11.125" style="2" bestFit="1" customWidth="1"/>
    <col min="13835" max="13835" width="9" style="2"/>
    <col min="13836" max="13836" width="13.25" style="2" bestFit="1" customWidth="1"/>
    <col min="13837" max="13837" width="9.625" style="2" bestFit="1" customWidth="1"/>
    <col min="13838" max="14080" width="9" style="2"/>
    <col min="14081" max="14081" width="2.375" style="2" customWidth="1"/>
    <col min="14082" max="14082" width="13.25" style="2" bestFit="1" customWidth="1"/>
    <col min="14083" max="14084" width="9" style="2"/>
    <col min="14085" max="14087" width="11.125" style="2" bestFit="1" customWidth="1"/>
    <col min="14088" max="14088" width="13.25" style="2" bestFit="1" customWidth="1"/>
    <col min="14089" max="14090" width="11.125" style="2" bestFit="1" customWidth="1"/>
    <col min="14091" max="14091" width="9" style="2"/>
    <col min="14092" max="14092" width="13.25" style="2" bestFit="1" customWidth="1"/>
    <col min="14093" max="14093" width="9.625" style="2" bestFit="1" customWidth="1"/>
    <col min="14094" max="14336" width="9" style="2"/>
    <col min="14337" max="14337" width="2.375" style="2" customWidth="1"/>
    <col min="14338" max="14338" width="13.25" style="2" bestFit="1" customWidth="1"/>
    <col min="14339" max="14340" width="9" style="2"/>
    <col min="14341" max="14343" width="11.125" style="2" bestFit="1" customWidth="1"/>
    <col min="14344" max="14344" width="13.25" style="2" bestFit="1" customWidth="1"/>
    <col min="14345" max="14346" width="11.125" style="2" bestFit="1" customWidth="1"/>
    <col min="14347" max="14347" width="9" style="2"/>
    <col min="14348" max="14348" width="13.25" style="2" bestFit="1" customWidth="1"/>
    <col min="14349" max="14349" width="9.625" style="2" bestFit="1" customWidth="1"/>
    <col min="14350" max="14592" width="9" style="2"/>
    <col min="14593" max="14593" width="2.375" style="2" customWidth="1"/>
    <col min="14594" max="14594" width="13.25" style="2" bestFit="1" customWidth="1"/>
    <col min="14595" max="14596" width="9" style="2"/>
    <col min="14597" max="14599" width="11.125" style="2" bestFit="1" customWidth="1"/>
    <col min="14600" max="14600" width="13.25" style="2" bestFit="1" customWidth="1"/>
    <col min="14601" max="14602" width="11.125" style="2" bestFit="1" customWidth="1"/>
    <col min="14603" max="14603" width="9" style="2"/>
    <col min="14604" max="14604" width="13.25" style="2" bestFit="1" customWidth="1"/>
    <col min="14605" max="14605" width="9.625" style="2" bestFit="1" customWidth="1"/>
    <col min="14606" max="14848" width="9" style="2"/>
    <col min="14849" max="14849" width="2.375" style="2" customWidth="1"/>
    <col min="14850" max="14850" width="13.25" style="2" bestFit="1" customWidth="1"/>
    <col min="14851" max="14852" width="9" style="2"/>
    <col min="14853" max="14855" width="11.125" style="2" bestFit="1" customWidth="1"/>
    <col min="14856" max="14856" width="13.25" style="2" bestFit="1" customWidth="1"/>
    <col min="14857" max="14858" width="11.125" style="2" bestFit="1" customWidth="1"/>
    <col min="14859" max="14859" width="9" style="2"/>
    <col min="14860" max="14860" width="13.25" style="2" bestFit="1" customWidth="1"/>
    <col min="14861" max="14861" width="9.625" style="2" bestFit="1" customWidth="1"/>
    <col min="14862" max="15104" width="9" style="2"/>
    <col min="15105" max="15105" width="2.375" style="2" customWidth="1"/>
    <col min="15106" max="15106" width="13.25" style="2" bestFit="1" customWidth="1"/>
    <col min="15107" max="15108" width="9" style="2"/>
    <col min="15109" max="15111" width="11.125" style="2" bestFit="1" customWidth="1"/>
    <col min="15112" max="15112" width="13.25" style="2" bestFit="1" customWidth="1"/>
    <col min="15113" max="15114" width="11.125" style="2" bestFit="1" customWidth="1"/>
    <col min="15115" max="15115" width="9" style="2"/>
    <col min="15116" max="15116" width="13.25" style="2" bestFit="1" customWidth="1"/>
    <col min="15117" max="15117" width="9.625" style="2" bestFit="1" customWidth="1"/>
    <col min="15118" max="15360" width="9" style="2"/>
    <col min="15361" max="15361" width="2.375" style="2" customWidth="1"/>
    <col min="15362" max="15362" width="13.25" style="2" bestFit="1" customWidth="1"/>
    <col min="15363" max="15364" width="9" style="2"/>
    <col min="15365" max="15367" width="11.125" style="2" bestFit="1" customWidth="1"/>
    <col min="15368" max="15368" width="13.25" style="2" bestFit="1" customWidth="1"/>
    <col min="15369" max="15370" width="11.125" style="2" bestFit="1" customWidth="1"/>
    <col min="15371" max="15371" width="9" style="2"/>
    <col min="15372" max="15372" width="13.25" style="2" bestFit="1" customWidth="1"/>
    <col min="15373" max="15373" width="9.625" style="2" bestFit="1" customWidth="1"/>
    <col min="15374" max="15616" width="9" style="2"/>
    <col min="15617" max="15617" width="2.375" style="2" customWidth="1"/>
    <col min="15618" max="15618" width="13.25" style="2" bestFit="1" customWidth="1"/>
    <col min="15619" max="15620" width="9" style="2"/>
    <col min="15621" max="15623" width="11.125" style="2" bestFit="1" customWidth="1"/>
    <col min="15624" max="15624" width="13.25" style="2" bestFit="1" customWidth="1"/>
    <col min="15625" max="15626" width="11.125" style="2" bestFit="1" customWidth="1"/>
    <col min="15627" max="15627" width="9" style="2"/>
    <col min="15628" max="15628" width="13.25" style="2" bestFit="1" customWidth="1"/>
    <col min="15629" max="15629" width="9.625" style="2" bestFit="1" customWidth="1"/>
    <col min="15630" max="15872" width="9" style="2"/>
    <col min="15873" max="15873" width="2.375" style="2" customWidth="1"/>
    <col min="15874" max="15874" width="13.25" style="2" bestFit="1" customWidth="1"/>
    <col min="15875" max="15876" width="9" style="2"/>
    <col min="15877" max="15879" width="11.125" style="2" bestFit="1" customWidth="1"/>
    <col min="15880" max="15880" width="13.25" style="2" bestFit="1" customWidth="1"/>
    <col min="15881" max="15882" width="11.125" style="2" bestFit="1" customWidth="1"/>
    <col min="15883" max="15883" width="9" style="2"/>
    <col min="15884" max="15884" width="13.25" style="2" bestFit="1" customWidth="1"/>
    <col min="15885" max="15885" width="9.625" style="2" bestFit="1" customWidth="1"/>
    <col min="15886" max="16128" width="9" style="2"/>
    <col min="16129" max="16129" width="2.375" style="2" customWidth="1"/>
    <col min="16130" max="16130" width="13.25" style="2" bestFit="1" customWidth="1"/>
    <col min="16131" max="16132" width="9" style="2"/>
    <col min="16133" max="16135" width="11.125" style="2" bestFit="1" customWidth="1"/>
    <col min="16136" max="16136" width="13.25" style="2" bestFit="1" customWidth="1"/>
    <col min="16137" max="16138" width="11.125" style="2" bestFit="1" customWidth="1"/>
    <col min="16139" max="16139" width="9" style="2"/>
    <col min="16140" max="16140" width="13.25" style="2" bestFit="1" customWidth="1"/>
    <col min="16141" max="16141" width="9.625" style="2" bestFit="1" customWidth="1"/>
    <col min="16142" max="16384" width="9" style="2"/>
  </cols>
  <sheetData>
    <row r="1" spans="1:15">
      <c r="A1" s="1" t="s">
        <v>0</v>
      </c>
    </row>
    <row r="2" spans="1:15" ht="19.5" thickBot="1">
      <c r="A2" s="1" t="s">
        <v>82</v>
      </c>
    </row>
    <row r="3" spans="1:15">
      <c r="B3" s="3"/>
      <c r="C3" s="7" t="s">
        <v>5</v>
      </c>
      <c r="D3" s="7" t="s">
        <v>9</v>
      </c>
      <c r="E3" s="32" t="s">
        <v>7</v>
      </c>
      <c r="F3" s="60" t="s">
        <v>83</v>
      </c>
      <c r="G3" s="6" t="s">
        <v>2</v>
      </c>
      <c r="H3" s="7" t="s">
        <v>3</v>
      </c>
      <c r="I3" s="7" t="s">
        <v>4</v>
      </c>
      <c r="J3" s="7" t="s">
        <v>6</v>
      </c>
      <c r="K3" s="7" t="s">
        <v>8</v>
      </c>
      <c r="L3" s="32" t="s">
        <v>10</v>
      </c>
      <c r="M3" s="43" t="s">
        <v>11</v>
      </c>
      <c r="N3" s="43" t="s">
        <v>83</v>
      </c>
      <c r="O3" s="44" t="s">
        <v>21</v>
      </c>
    </row>
    <row r="4" spans="1:15" ht="19.5" thickBot="1">
      <c r="A4" s="58"/>
      <c r="B4" s="19" t="s">
        <v>12</v>
      </c>
      <c r="C4" s="21" t="s">
        <v>16</v>
      </c>
      <c r="D4" s="21" t="s">
        <v>19</v>
      </c>
      <c r="E4" s="33" t="s">
        <v>88</v>
      </c>
      <c r="F4" s="46" t="s">
        <v>84</v>
      </c>
      <c r="G4" s="20" t="s">
        <v>13</v>
      </c>
      <c r="H4" s="21" t="s">
        <v>14</v>
      </c>
      <c r="I4" s="21" t="s">
        <v>15</v>
      </c>
      <c r="J4" s="21" t="s">
        <v>17</v>
      </c>
      <c r="K4" s="21" t="s">
        <v>18</v>
      </c>
      <c r="L4" s="33" t="s">
        <v>20</v>
      </c>
      <c r="M4" s="45" t="s">
        <v>85</v>
      </c>
      <c r="N4" s="46" t="s">
        <v>86</v>
      </c>
      <c r="O4" s="47" t="s">
        <v>87</v>
      </c>
    </row>
    <row r="5" spans="1:15">
      <c r="A5" s="1" t="s">
        <v>1</v>
      </c>
      <c r="B5" s="16" t="s">
        <v>22</v>
      </c>
      <c r="C5" s="18">
        <v>21</v>
      </c>
      <c r="D5" s="18">
        <v>21</v>
      </c>
      <c r="E5" s="34">
        <v>20</v>
      </c>
      <c r="F5" s="48">
        <f>SUM(C5:E5)</f>
        <v>62</v>
      </c>
      <c r="G5" s="17">
        <v>21</v>
      </c>
      <c r="H5" s="18">
        <v>19</v>
      </c>
      <c r="I5" s="18">
        <v>16</v>
      </c>
      <c r="J5" s="18">
        <v>20</v>
      </c>
      <c r="K5" s="18">
        <v>20</v>
      </c>
      <c r="L5" s="34">
        <v>19</v>
      </c>
      <c r="M5" s="48">
        <v>13</v>
      </c>
      <c r="N5" s="48">
        <f>SUM(G5:M5)</f>
        <v>128</v>
      </c>
      <c r="O5" s="48">
        <f>F5+N5</f>
        <v>190</v>
      </c>
    </row>
    <row r="6" spans="1:15">
      <c r="A6" s="1" t="s">
        <v>1</v>
      </c>
      <c r="B6" s="4" t="s">
        <v>23</v>
      </c>
      <c r="C6" s="9">
        <v>0</v>
      </c>
      <c r="D6" s="9">
        <v>0</v>
      </c>
      <c r="E6" s="35">
        <v>2</v>
      </c>
      <c r="F6" s="49">
        <f>SUM(C6:E6)</f>
        <v>2</v>
      </c>
      <c r="G6" s="8">
        <v>0</v>
      </c>
      <c r="H6" s="9">
        <v>2</v>
      </c>
      <c r="I6" s="9">
        <v>2</v>
      </c>
      <c r="J6" s="9">
        <v>4</v>
      </c>
      <c r="K6" s="9">
        <v>4</v>
      </c>
      <c r="L6" s="35">
        <v>3</v>
      </c>
      <c r="M6" s="49">
        <v>1</v>
      </c>
      <c r="N6" s="49">
        <f>SUM(G6:M6)</f>
        <v>16</v>
      </c>
      <c r="O6" s="49">
        <f t="shared" ref="O6:O56" si="0">F6+N6</f>
        <v>18</v>
      </c>
    </row>
    <row r="7" spans="1:15">
      <c r="A7" s="1" t="s">
        <v>1</v>
      </c>
      <c r="B7" s="4" t="s">
        <v>24</v>
      </c>
      <c r="C7" s="9">
        <v>0</v>
      </c>
      <c r="D7" s="9">
        <v>0</v>
      </c>
      <c r="E7" s="35">
        <v>1</v>
      </c>
      <c r="F7" s="49">
        <f t="shared" ref="F7:F12" si="1">SUM(C7:E7)</f>
        <v>1</v>
      </c>
      <c r="G7" s="8">
        <v>3</v>
      </c>
      <c r="H7" s="9">
        <v>2</v>
      </c>
      <c r="I7" s="9">
        <v>5</v>
      </c>
      <c r="J7" s="9">
        <v>0</v>
      </c>
      <c r="K7" s="9">
        <v>0</v>
      </c>
      <c r="L7" s="35">
        <v>2</v>
      </c>
      <c r="M7" s="49">
        <v>2</v>
      </c>
      <c r="N7" s="49">
        <f t="shared" ref="N7:N12" si="2">SUM(G7:M7)</f>
        <v>14</v>
      </c>
      <c r="O7" s="49">
        <f t="shared" si="0"/>
        <v>15</v>
      </c>
    </row>
    <row r="8" spans="1:15">
      <c r="A8" s="1" t="s">
        <v>1</v>
      </c>
      <c r="B8" s="4" t="s">
        <v>25</v>
      </c>
      <c r="C8" s="9">
        <v>0</v>
      </c>
      <c r="D8" s="9">
        <v>0</v>
      </c>
      <c r="E8" s="35">
        <v>0</v>
      </c>
      <c r="F8" s="49">
        <f t="shared" si="1"/>
        <v>0</v>
      </c>
      <c r="G8" s="8">
        <v>0</v>
      </c>
      <c r="H8" s="9">
        <v>0</v>
      </c>
      <c r="I8" s="9">
        <v>3</v>
      </c>
      <c r="J8" s="9">
        <v>0</v>
      </c>
      <c r="K8" s="9">
        <v>0</v>
      </c>
      <c r="L8" s="35">
        <v>0</v>
      </c>
      <c r="M8" s="49">
        <v>0</v>
      </c>
      <c r="N8" s="49">
        <f t="shared" si="2"/>
        <v>3</v>
      </c>
      <c r="O8" s="49">
        <f t="shared" si="0"/>
        <v>3</v>
      </c>
    </row>
    <row r="9" spans="1:15">
      <c r="A9" s="1" t="s">
        <v>1</v>
      </c>
      <c r="B9" s="4" t="s">
        <v>26</v>
      </c>
      <c r="C9" s="9">
        <v>0</v>
      </c>
      <c r="D9" s="9">
        <v>0</v>
      </c>
      <c r="E9" s="35">
        <v>0.5</v>
      </c>
      <c r="F9" s="49">
        <f t="shared" si="1"/>
        <v>0.5</v>
      </c>
      <c r="G9" s="8">
        <v>0</v>
      </c>
      <c r="H9" s="9">
        <v>2</v>
      </c>
      <c r="I9" s="9">
        <v>2</v>
      </c>
      <c r="J9" s="9">
        <v>1</v>
      </c>
      <c r="K9" s="9">
        <v>1</v>
      </c>
      <c r="L9" s="35">
        <v>2</v>
      </c>
      <c r="M9" s="49">
        <v>1</v>
      </c>
      <c r="N9" s="49">
        <f t="shared" si="2"/>
        <v>9</v>
      </c>
      <c r="O9" s="49">
        <f t="shared" si="0"/>
        <v>9.5</v>
      </c>
    </row>
    <row r="10" spans="1:15">
      <c r="A10" s="1" t="s">
        <v>1</v>
      </c>
      <c r="B10" s="4" t="s">
        <v>27</v>
      </c>
      <c r="C10" s="9">
        <v>0</v>
      </c>
      <c r="D10" s="9">
        <v>0</v>
      </c>
      <c r="E10" s="35">
        <v>0</v>
      </c>
      <c r="F10" s="49">
        <f t="shared" si="1"/>
        <v>0</v>
      </c>
      <c r="G10" s="8">
        <v>0</v>
      </c>
      <c r="H10" s="9">
        <v>0</v>
      </c>
      <c r="I10" s="9">
        <v>0</v>
      </c>
      <c r="J10" s="9">
        <v>0</v>
      </c>
      <c r="K10" s="9">
        <v>0</v>
      </c>
      <c r="L10" s="35">
        <v>0</v>
      </c>
      <c r="M10" s="49">
        <v>0</v>
      </c>
      <c r="N10" s="49">
        <f t="shared" si="2"/>
        <v>0</v>
      </c>
      <c r="O10" s="49">
        <f t="shared" si="0"/>
        <v>0</v>
      </c>
    </row>
    <row r="11" spans="1:15">
      <c r="A11" s="1" t="s">
        <v>1</v>
      </c>
      <c r="B11" s="4" t="s">
        <v>28</v>
      </c>
      <c r="C11" s="9">
        <v>0</v>
      </c>
      <c r="D11" s="9">
        <v>0</v>
      </c>
      <c r="E11" s="35">
        <v>1</v>
      </c>
      <c r="F11" s="49">
        <f t="shared" si="1"/>
        <v>1</v>
      </c>
      <c r="G11" s="8">
        <v>0</v>
      </c>
      <c r="H11" s="9">
        <v>0</v>
      </c>
      <c r="I11" s="9">
        <v>0</v>
      </c>
      <c r="J11" s="9">
        <v>0</v>
      </c>
      <c r="K11" s="9">
        <v>0</v>
      </c>
      <c r="L11" s="35">
        <v>0</v>
      </c>
      <c r="M11" s="49">
        <v>7</v>
      </c>
      <c r="N11" s="49">
        <f t="shared" si="2"/>
        <v>7</v>
      </c>
      <c r="O11" s="49">
        <f t="shared" si="0"/>
        <v>8</v>
      </c>
    </row>
    <row r="12" spans="1:15">
      <c r="A12" s="1" t="s">
        <v>1</v>
      </c>
      <c r="B12" s="4" t="s">
        <v>29</v>
      </c>
      <c r="C12" s="9">
        <v>0</v>
      </c>
      <c r="D12" s="9">
        <v>0</v>
      </c>
      <c r="E12" s="35">
        <v>1</v>
      </c>
      <c r="F12" s="49">
        <f t="shared" si="1"/>
        <v>1</v>
      </c>
      <c r="G12" s="8">
        <v>0</v>
      </c>
      <c r="H12" s="9">
        <v>0</v>
      </c>
      <c r="I12" s="9">
        <v>0</v>
      </c>
      <c r="J12" s="9">
        <v>0</v>
      </c>
      <c r="K12" s="9">
        <v>0</v>
      </c>
      <c r="L12" s="35">
        <v>0</v>
      </c>
      <c r="M12" s="49">
        <v>3</v>
      </c>
      <c r="N12" s="49">
        <f t="shared" si="2"/>
        <v>3</v>
      </c>
      <c r="O12" s="49">
        <f t="shared" si="0"/>
        <v>4</v>
      </c>
    </row>
    <row r="13" spans="1:15">
      <c r="A13" s="1" t="s">
        <v>1</v>
      </c>
      <c r="B13" s="4" t="s">
        <v>30</v>
      </c>
      <c r="C13" s="11">
        <v>0</v>
      </c>
      <c r="D13" s="11">
        <v>0</v>
      </c>
      <c r="E13" s="36">
        <v>0</v>
      </c>
      <c r="F13" s="50"/>
      <c r="G13" s="10">
        <v>0</v>
      </c>
      <c r="H13" s="11">
        <v>0</v>
      </c>
      <c r="I13" s="11">
        <v>0</v>
      </c>
      <c r="J13" s="11">
        <v>0</v>
      </c>
      <c r="K13" s="11">
        <v>0</v>
      </c>
      <c r="L13" s="36">
        <v>0</v>
      </c>
      <c r="M13" s="50">
        <v>0</v>
      </c>
      <c r="N13" s="50"/>
      <c r="O13" s="50">
        <f t="shared" si="0"/>
        <v>0</v>
      </c>
    </row>
    <row r="14" spans="1:15">
      <c r="A14" s="1" t="s">
        <v>1</v>
      </c>
      <c r="B14" s="4" t="s">
        <v>31</v>
      </c>
      <c r="C14" s="11">
        <v>0</v>
      </c>
      <c r="D14" s="11">
        <v>0</v>
      </c>
      <c r="E14" s="36">
        <v>8.3333333333333329E-2</v>
      </c>
      <c r="F14" s="50">
        <f>SUM(C14:E14)</f>
        <v>8.3333333333333329E-2</v>
      </c>
      <c r="G14" s="10">
        <v>2</v>
      </c>
      <c r="H14" s="11">
        <v>0.875</v>
      </c>
      <c r="I14" s="11">
        <v>1.125</v>
      </c>
      <c r="J14" s="11">
        <v>2.7916666666666665</v>
      </c>
      <c r="K14" s="11">
        <v>2.9583333333333335</v>
      </c>
      <c r="L14" s="36">
        <v>1.9583333333333335</v>
      </c>
      <c r="M14" s="50">
        <v>1.2916666666666667</v>
      </c>
      <c r="N14" s="50">
        <f>SUM(G14:M14)</f>
        <v>13</v>
      </c>
      <c r="O14" s="50">
        <f t="shared" si="0"/>
        <v>13.083333333333334</v>
      </c>
    </row>
    <row r="15" spans="1:15">
      <c r="A15" s="1" t="s">
        <v>1</v>
      </c>
      <c r="B15" s="4" t="s">
        <v>32</v>
      </c>
      <c r="C15" s="11">
        <v>0</v>
      </c>
      <c r="D15" s="11">
        <v>0</v>
      </c>
      <c r="E15" s="36">
        <v>0.625</v>
      </c>
      <c r="F15" s="50">
        <f t="shared" ref="F15:F16" si="3">SUM(C15:E15)</f>
        <v>0.625</v>
      </c>
      <c r="G15" s="10">
        <v>0</v>
      </c>
      <c r="H15" s="11">
        <v>0.66666666666666663</v>
      </c>
      <c r="I15" s="11">
        <v>0.41666666666666669</v>
      </c>
      <c r="J15" s="11">
        <v>1.6666666666666665</v>
      </c>
      <c r="K15" s="11">
        <v>1.7916666666666665</v>
      </c>
      <c r="L15" s="36">
        <v>1.2916666666666667</v>
      </c>
      <c r="M15" s="50">
        <v>0.125</v>
      </c>
      <c r="N15" s="50">
        <f t="shared" ref="N15:N16" si="4">SUM(G15:M15)</f>
        <v>5.958333333333333</v>
      </c>
      <c r="O15" s="50">
        <f t="shared" si="0"/>
        <v>6.583333333333333</v>
      </c>
    </row>
    <row r="16" spans="1:15">
      <c r="A16" s="1" t="s">
        <v>1</v>
      </c>
      <c r="B16" s="4" t="s">
        <v>33</v>
      </c>
      <c r="C16" s="11">
        <v>0</v>
      </c>
      <c r="D16" s="11">
        <v>0</v>
      </c>
      <c r="E16" s="36">
        <v>0.25</v>
      </c>
      <c r="F16" s="50">
        <f t="shared" si="3"/>
        <v>0.25</v>
      </c>
      <c r="G16" s="10">
        <v>1.25</v>
      </c>
      <c r="H16" s="11">
        <v>0.70833333333333337</v>
      </c>
      <c r="I16" s="11">
        <v>1.25</v>
      </c>
      <c r="J16" s="11">
        <v>0</v>
      </c>
      <c r="K16" s="11">
        <v>0</v>
      </c>
      <c r="L16" s="36">
        <v>0.83333333333333337</v>
      </c>
      <c r="M16" s="50">
        <v>0.95833333333333337</v>
      </c>
      <c r="N16" s="50">
        <f t="shared" si="4"/>
        <v>5</v>
      </c>
      <c r="O16" s="50">
        <f t="shared" si="0"/>
        <v>5.25</v>
      </c>
    </row>
    <row r="17" spans="1:15">
      <c r="A17" s="1" t="s">
        <v>1</v>
      </c>
      <c r="B17" s="4" t="s">
        <v>34</v>
      </c>
      <c r="C17" s="11">
        <v>0</v>
      </c>
      <c r="D17" s="11">
        <v>0</v>
      </c>
      <c r="E17" s="36">
        <v>0</v>
      </c>
      <c r="F17" s="50"/>
      <c r="G17" s="10">
        <v>0</v>
      </c>
      <c r="H17" s="11">
        <v>0</v>
      </c>
      <c r="I17" s="11">
        <v>0.33333333333333331</v>
      </c>
      <c r="J17" s="11">
        <v>0</v>
      </c>
      <c r="K17" s="11">
        <v>0</v>
      </c>
      <c r="L17" s="36">
        <v>0</v>
      </c>
      <c r="M17" s="50">
        <v>0</v>
      </c>
      <c r="N17" s="50"/>
      <c r="O17" s="50">
        <f t="shared" si="0"/>
        <v>0</v>
      </c>
    </row>
    <row r="18" spans="1:15">
      <c r="A18" s="1" t="s">
        <v>1</v>
      </c>
      <c r="B18" s="4" t="s">
        <v>35</v>
      </c>
      <c r="C18" s="11">
        <v>0</v>
      </c>
      <c r="D18" s="11">
        <v>0</v>
      </c>
      <c r="E18" s="36">
        <v>0</v>
      </c>
      <c r="F18" s="50"/>
      <c r="G18" s="10">
        <v>0</v>
      </c>
      <c r="H18" s="11">
        <v>0</v>
      </c>
      <c r="I18" s="11">
        <v>0.75</v>
      </c>
      <c r="J18" s="11">
        <v>0</v>
      </c>
      <c r="K18" s="11">
        <v>0</v>
      </c>
      <c r="L18" s="36">
        <v>0</v>
      </c>
      <c r="M18" s="50">
        <v>0</v>
      </c>
      <c r="N18" s="50"/>
      <c r="O18" s="50">
        <f t="shared" si="0"/>
        <v>0</v>
      </c>
    </row>
    <row r="19" spans="1:15">
      <c r="A19" s="1" t="s">
        <v>1</v>
      </c>
      <c r="B19" s="4" t="s">
        <v>36</v>
      </c>
      <c r="C19" s="11">
        <v>0</v>
      </c>
      <c r="D19" s="11">
        <v>0</v>
      </c>
      <c r="E19" s="36">
        <v>0.20833333333333334</v>
      </c>
      <c r="F19" s="50">
        <f>SUM(C19:E19)</f>
        <v>0.20833333333333334</v>
      </c>
      <c r="G19" s="10">
        <v>0</v>
      </c>
      <c r="H19" s="11">
        <v>0</v>
      </c>
      <c r="I19" s="11">
        <v>0</v>
      </c>
      <c r="J19" s="11">
        <v>0</v>
      </c>
      <c r="K19" s="11">
        <v>0</v>
      </c>
      <c r="L19" s="36">
        <v>0</v>
      </c>
      <c r="M19" s="50">
        <v>0</v>
      </c>
      <c r="N19" s="50"/>
      <c r="O19" s="50">
        <f t="shared" si="0"/>
        <v>0.20833333333333334</v>
      </c>
    </row>
    <row r="20" spans="1:15">
      <c r="A20" s="1" t="s">
        <v>1</v>
      </c>
      <c r="B20" s="4" t="s">
        <v>37</v>
      </c>
      <c r="C20" s="11">
        <v>0</v>
      </c>
      <c r="D20" s="11">
        <v>0</v>
      </c>
      <c r="E20" s="36">
        <v>0</v>
      </c>
      <c r="F20" s="50"/>
      <c r="G20" s="10">
        <v>0</v>
      </c>
      <c r="H20" s="11">
        <v>0</v>
      </c>
      <c r="I20" s="11">
        <v>0</v>
      </c>
      <c r="J20" s="11">
        <v>0</v>
      </c>
      <c r="K20" s="11">
        <v>0</v>
      </c>
      <c r="L20" s="36">
        <v>0</v>
      </c>
      <c r="M20" s="50">
        <v>0</v>
      </c>
      <c r="N20" s="50"/>
      <c r="O20" s="50">
        <f t="shared" si="0"/>
        <v>0</v>
      </c>
    </row>
    <row r="21" spans="1:15">
      <c r="A21" s="1" t="s">
        <v>1</v>
      </c>
      <c r="B21" s="4" t="s">
        <v>38</v>
      </c>
      <c r="C21" s="11">
        <v>0</v>
      </c>
      <c r="D21" s="11">
        <v>0</v>
      </c>
      <c r="E21" s="36">
        <v>0</v>
      </c>
      <c r="F21" s="50"/>
      <c r="G21" s="10">
        <v>0</v>
      </c>
      <c r="H21" s="11">
        <v>0</v>
      </c>
      <c r="I21" s="11">
        <v>0</v>
      </c>
      <c r="J21" s="11">
        <v>0</v>
      </c>
      <c r="K21" s="11">
        <v>0</v>
      </c>
      <c r="L21" s="36">
        <v>0</v>
      </c>
      <c r="M21" s="50">
        <v>0</v>
      </c>
      <c r="N21" s="50"/>
      <c r="O21" s="50">
        <f t="shared" si="0"/>
        <v>0</v>
      </c>
    </row>
    <row r="22" spans="1:15">
      <c r="A22" s="1" t="s">
        <v>1</v>
      </c>
      <c r="B22" s="4" t="s">
        <v>39</v>
      </c>
      <c r="C22" s="11">
        <v>0.16666666666666666</v>
      </c>
      <c r="D22" s="11">
        <v>8.3333333333333329E-2</v>
      </c>
      <c r="E22" s="36">
        <v>0</v>
      </c>
      <c r="F22" s="50">
        <f>SUM(C22:E22)</f>
        <v>0.25</v>
      </c>
      <c r="G22" s="10">
        <v>1.0833333333333333</v>
      </c>
      <c r="H22" s="11">
        <v>1.625</v>
      </c>
      <c r="I22" s="11">
        <v>1.9166666666666665</v>
      </c>
      <c r="J22" s="11">
        <v>1.5416666666666665</v>
      </c>
      <c r="K22" s="11">
        <v>1.25</v>
      </c>
      <c r="L22" s="36">
        <v>1</v>
      </c>
      <c r="M22" s="50">
        <v>0.5</v>
      </c>
      <c r="N22" s="50">
        <f>SUM(G22:M22)</f>
        <v>8.9166666666666661</v>
      </c>
      <c r="O22" s="50">
        <f t="shared" si="0"/>
        <v>9.1666666666666661</v>
      </c>
    </row>
    <row r="23" spans="1:15" ht="19.5" thickBot="1">
      <c r="A23" s="1" t="s">
        <v>1</v>
      </c>
      <c r="B23" s="5" t="s">
        <v>40</v>
      </c>
      <c r="C23" s="25">
        <v>34.5</v>
      </c>
      <c r="D23" s="25">
        <v>15</v>
      </c>
      <c r="E23" s="37">
        <v>14</v>
      </c>
      <c r="F23" s="51"/>
      <c r="G23" s="24">
        <v>31</v>
      </c>
      <c r="H23" s="25">
        <v>26</v>
      </c>
      <c r="I23" s="25">
        <v>25</v>
      </c>
      <c r="J23" s="25">
        <v>28</v>
      </c>
      <c r="K23" s="25">
        <v>11</v>
      </c>
      <c r="L23" s="37">
        <v>6</v>
      </c>
      <c r="M23" s="51">
        <v>6</v>
      </c>
      <c r="N23" s="51"/>
      <c r="O23" s="51">
        <f t="shared" si="0"/>
        <v>0</v>
      </c>
    </row>
    <row r="24" spans="1:15">
      <c r="A24" s="1" t="s">
        <v>1</v>
      </c>
      <c r="B24" s="16" t="s">
        <v>41</v>
      </c>
      <c r="C24" s="23">
        <v>355000</v>
      </c>
      <c r="D24" s="23">
        <v>355000</v>
      </c>
      <c r="E24" s="38">
        <v>170000</v>
      </c>
      <c r="F24" s="52">
        <f>SUM(C24:E24)</f>
        <v>880000</v>
      </c>
      <c r="G24" s="22">
        <v>177000</v>
      </c>
      <c r="H24" s="23">
        <v>177000</v>
      </c>
      <c r="I24" s="23">
        <v>177000</v>
      </c>
      <c r="J24" s="23">
        <v>192000</v>
      </c>
      <c r="K24" s="23">
        <v>177000</v>
      </c>
      <c r="L24" s="38">
        <v>170000</v>
      </c>
      <c r="M24" s="52">
        <v>170000</v>
      </c>
      <c r="N24" s="52">
        <f>SUM(G24:M24)</f>
        <v>1240000</v>
      </c>
      <c r="O24" s="52">
        <f t="shared" si="0"/>
        <v>2120000</v>
      </c>
    </row>
    <row r="25" spans="1:15">
      <c r="A25" s="1" t="s">
        <v>1</v>
      </c>
      <c r="B25" s="4" t="s">
        <v>42</v>
      </c>
      <c r="C25" s="13">
        <v>0</v>
      </c>
      <c r="D25" s="13">
        <v>0</v>
      </c>
      <c r="E25" s="39">
        <v>0</v>
      </c>
      <c r="F25" s="53">
        <f t="shared" ref="F25:F64" si="5">SUM(C25:E25)</f>
        <v>0</v>
      </c>
      <c r="G25" s="12">
        <v>5000</v>
      </c>
      <c r="H25" s="13">
        <v>0</v>
      </c>
      <c r="I25" s="13">
        <v>0</v>
      </c>
      <c r="J25" s="13">
        <v>0</v>
      </c>
      <c r="K25" s="13">
        <v>0</v>
      </c>
      <c r="L25" s="39">
        <v>0</v>
      </c>
      <c r="M25" s="53">
        <v>0</v>
      </c>
      <c r="N25" s="53">
        <f t="shared" ref="N25:N64" si="6">SUM(G25:M25)</f>
        <v>5000</v>
      </c>
      <c r="O25" s="53">
        <f t="shared" si="0"/>
        <v>5000</v>
      </c>
    </row>
    <row r="26" spans="1:15">
      <c r="A26" s="1" t="s">
        <v>1</v>
      </c>
      <c r="B26" s="4" t="s">
        <v>43</v>
      </c>
      <c r="C26" s="13">
        <v>0</v>
      </c>
      <c r="D26" s="13">
        <v>0</v>
      </c>
      <c r="E26" s="39">
        <v>6000</v>
      </c>
      <c r="F26" s="53">
        <f t="shared" si="5"/>
        <v>6000</v>
      </c>
      <c r="G26" s="12">
        <v>0</v>
      </c>
      <c r="H26" s="13">
        <v>10000</v>
      </c>
      <c r="I26" s="13">
        <v>0</v>
      </c>
      <c r="J26" s="13">
        <v>0</v>
      </c>
      <c r="K26" s="13">
        <v>0</v>
      </c>
      <c r="L26" s="39">
        <v>0</v>
      </c>
      <c r="M26" s="53">
        <v>0</v>
      </c>
      <c r="N26" s="53">
        <f t="shared" si="6"/>
        <v>10000</v>
      </c>
      <c r="O26" s="53">
        <f t="shared" si="0"/>
        <v>16000</v>
      </c>
    </row>
    <row r="27" spans="1:15">
      <c r="A27" s="1" t="s">
        <v>1</v>
      </c>
      <c r="B27" s="4" t="s">
        <v>44</v>
      </c>
      <c r="C27" s="13">
        <v>0</v>
      </c>
      <c r="D27" s="13">
        <v>0</v>
      </c>
      <c r="E27" s="39">
        <v>0</v>
      </c>
      <c r="F27" s="53">
        <f t="shared" si="5"/>
        <v>0</v>
      </c>
      <c r="G27" s="12">
        <v>0</v>
      </c>
      <c r="H27" s="13">
        <v>0</v>
      </c>
      <c r="I27" s="13">
        <v>0</v>
      </c>
      <c r="J27" s="13">
        <v>0</v>
      </c>
      <c r="K27" s="13">
        <v>0</v>
      </c>
      <c r="L27" s="39">
        <v>0</v>
      </c>
      <c r="M27" s="53">
        <v>0</v>
      </c>
      <c r="N27" s="53">
        <f t="shared" si="6"/>
        <v>0</v>
      </c>
      <c r="O27" s="53">
        <f t="shared" si="0"/>
        <v>0</v>
      </c>
    </row>
    <row r="28" spans="1:15">
      <c r="A28" s="1" t="s">
        <v>1</v>
      </c>
      <c r="B28" s="4" t="s">
        <v>45</v>
      </c>
      <c r="C28" s="13">
        <v>0</v>
      </c>
      <c r="D28" s="13">
        <v>0</v>
      </c>
      <c r="E28" s="39">
        <v>0</v>
      </c>
      <c r="F28" s="53">
        <f t="shared" si="5"/>
        <v>0</v>
      </c>
      <c r="G28" s="12">
        <v>0</v>
      </c>
      <c r="H28" s="13">
        <v>0</v>
      </c>
      <c r="I28" s="13">
        <v>0</v>
      </c>
      <c r="J28" s="13">
        <v>0</v>
      </c>
      <c r="K28" s="13">
        <v>0</v>
      </c>
      <c r="L28" s="39">
        <v>0</v>
      </c>
      <c r="M28" s="53">
        <v>0</v>
      </c>
      <c r="N28" s="53">
        <f t="shared" si="6"/>
        <v>0</v>
      </c>
      <c r="O28" s="53">
        <f t="shared" si="0"/>
        <v>0</v>
      </c>
    </row>
    <row r="29" spans="1:15">
      <c r="A29" s="1" t="s">
        <v>1</v>
      </c>
      <c r="B29" s="4" t="s">
        <v>46</v>
      </c>
      <c r="C29" s="13">
        <v>0</v>
      </c>
      <c r="D29" s="13">
        <v>0</v>
      </c>
      <c r="E29" s="39">
        <v>0</v>
      </c>
      <c r="F29" s="53">
        <f t="shared" si="5"/>
        <v>0</v>
      </c>
      <c r="G29" s="12">
        <v>0</v>
      </c>
      <c r="H29" s="13">
        <v>0</v>
      </c>
      <c r="I29" s="13">
        <v>0</v>
      </c>
      <c r="J29" s="13">
        <v>0</v>
      </c>
      <c r="K29" s="13">
        <v>0</v>
      </c>
      <c r="L29" s="39">
        <v>0</v>
      </c>
      <c r="M29" s="53">
        <v>0</v>
      </c>
      <c r="N29" s="53">
        <f t="shared" si="6"/>
        <v>0</v>
      </c>
      <c r="O29" s="53">
        <f t="shared" si="0"/>
        <v>0</v>
      </c>
    </row>
    <row r="30" spans="1:15">
      <c r="A30" s="1" t="s">
        <v>1</v>
      </c>
      <c r="B30" s="4" t="s">
        <v>47</v>
      </c>
      <c r="C30" s="13">
        <v>0</v>
      </c>
      <c r="D30" s="13">
        <v>0</v>
      </c>
      <c r="E30" s="39">
        <v>0</v>
      </c>
      <c r="F30" s="53">
        <f t="shared" si="5"/>
        <v>0</v>
      </c>
      <c r="G30" s="12">
        <v>0</v>
      </c>
      <c r="H30" s="13">
        <v>0</v>
      </c>
      <c r="I30" s="13">
        <v>0</v>
      </c>
      <c r="J30" s="13">
        <v>0</v>
      </c>
      <c r="K30" s="13">
        <v>0</v>
      </c>
      <c r="L30" s="39">
        <v>0</v>
      </c>
      <c r="M30" s="53">
        <v>0</v>
      </c>
      <c r="N30" s="53">
        <f t="shared" si="6"/>
        <v>0</v>
      </c>
      <c r="O30" s="53">
        <f t="shared" si="0"/>
        <v>0</v>
      </c>
    </row>
    <row r="31" spans="1:15">
      <c r="A31" s="1" t="s">
        <v>1</v>
      </c>
      <c r="B31" s="4" t="s">
        <v>48</v>
      </c>
      <c r="C31" s="13">
        <v>0</v>
      </c>
      <c r="D31" s="13">
        <v>0</v>
      </c>
      <c r="E31" s="39">
        <v>0</v>
      </c>
      <c r="F31" s="53">
        <f t="shared" si="5"/>
        <v>0</v>
      </c>
      <c r="G31" s="12">
        <v>2000</v>
      </c>
      <c r="H31" s="13">
        <v>2000</v>
      </c>
      <c r="I31" s="13">
        <v>2000</v>
      </c>
      <c r="J31" s="13">
        <v>2000</v>
      </c>
      <c r="K31" s="13">
        <v>1000</v>
      </c>
      <c r="L31" s="39">
        <v>0</v>
      </c>
      <c r="M31" s="53">
        <v>0</v>
      </c>
      <c r="N31" s="53">
        <f t="shared" si="6"/>
        <v>9000</v>
      </c>
      <c r="O31" s="53">
        <f t="shared" si="0"/>
        <v>9000</v>
      </c>
    </row>
    <row r="32" spans="1:15">
      <c r="A32" s="1" t="s">
        <v>1</v>
      </c>
      <c r="B32" s="4" t="s">
        <v>49</v>
      </c>
      <c r="C32" s="13">
        <v>0</v>
      </c>
      <c r="D32" s="13">
        <v>0</v>
      </c>
      <c r="E32" s="39">
        <v>0</v>
      </c>
      <c r="F32" s="53">
        <f t="shared" si="5"/>
        <v>0</v>
      </c>
      <c r="G32" s="12">
        <v>0</v>
      </c>
      <c r="H32" s="13">
        <v>0</v>
      </c>
      <c r="I32" s="13">
        <v>0</v>
      </c>
      <c r="J32" s="13">
        <v>0</v>
      </c>
      <c r="K32" s="13">
        <v>0</v>
      </c>
      <c r="L32" s="39">
        <v>0</v>
      </c>
      <c r="M32" s="53">
        <v>0</v>
      </c>
      <c r="N32" s="53">
        <f t="shared" si="6"/>
        <v>0</v>
      </c>
      <c r="O32" s="53">
        <f t="shared" si="0"/>
        <v>0</v>
      </c>
    </row>
    <row r="33" spans="1:15">
      <c r="A33" s="1" t="s">
        <v>1</v>
      </c>
      <c r="B33" s="4" t="s">
        <v>50</v>
      </c>
      <c r="C33" s="13">
        <v>0</v>
      </c>
      <c r="D33" s="13">
        <v>0</v>
      </c>
      <c r="E33" s="39">
        <v>0</v>
      </c>
      <c r="F33" s="53">
        <f t="shared" si="5"/>
        <v>0</v>
      </c>
      <c r="G33" s="12">
        <v>0</v>
      </c>
      <c r="H33" s="13">
        <v>0</v>
      </c>
      <c r="I33" s="13">
        <v>0</v>
      </c>
      <c r="J33" s="13">
        <v>0</v>
      </c>
      <c r="K33" s="13">
        <v>0</v>
      </c>
      <c r="L33" s="39">
        <v>0</v>
      </c>
      <c r="M33" s="53">
        <v>0</v>
      </c>
      <c r="N33" s="53">
        <f t="shared" si="6"/>
        <v>0</v>
      </c>
      <c r="O33" s="53">
        <f t="shared" si="0"/>
        <v>0</v>
      </c>
    </row>
    <row r="34" spans="1:15">
      <c r="A34" s="1" t="s">
        <v>1</v>
      </c>
      <c r="B34" s="4" t="s">
        <v>51</v>
      </c>
      <c r="C34" s="13">
        <v>0</v>
      </c>
      <c r="D34" s="13">
        <v>0</v>
      </c>
      <c r="E34" s="39">
        <v>0</v>
      </c>
      <c r="F34" s="53">
        <f t="shared" si="5"/>
        <v>0</v>
      </c>
      <c r="G34" s="12">
        <v>0</v>
      </c>
      <c r="H34" s="13">
        <v>12600</v>
      </c>
      <c r="I34" s="13">
        <v>0</v>
      </c>
      <c r="J34" s="13">
        <v>0</v>
      </c>
      <c r="K34" s="13">
        <v>0</v>
      </c>
      <c r="L34" s="39">
        <v>0</v>
      </c>
      <c r="M34" s="53">
        <v>0</v>
      </c>
      <c r="N34" s="53">
        <f t="shared" si="6"/>
        <v>12600</v>
      </c>
      <c r="O34" s="53">
        <f t="shared" si="0"/>
        <v>12600</v>
      </c>
    </row>
    <row r="35" spans="1:15">
      <c r="A35" s="1" t="s">
        <v>1</v>
      </c>
      <c r="B35" s="4" t="s">
        <v>52</v>
      </c>
      <c r="C35" s="13">
        <v>0</v>
      </c>
      <c r="D35" s="13">
        <v>0</v>
      </c>
      <c r="E35" s="39">
        <v>0</v>
      </c>
      <c r="F35" s="53">
        <f t="shared" si="5"/>
        <v>0</v>
      </c>
      <c r="G35" s="12">
        <v>0</v>
      </c>
      <c r="H35" s="13">
        <v>0</v>
      </c>
      <c r="I35" s="13">
        <v>0</v>
      </c>
      <c r="J35" s="13">
        <v>0</v>
      </c>
      <c r="K35" s="13">
        <v>0</v>
      </c>
      <c r="L35" s="39">
        <v>0</v>
      </c>
      <c r="M35" s="53">
        <v>0</v>
      </c>
      <c r="N35" s="53">
        <f t="shared" si="6"/>
        <v>0</v>
      </c>
      <c r="O35" s="53">
        <f t="shared" si="0"/>
        <v>0</v>
      </c>
    </row>
    <row r="36" spans="1:15">
      <c r="A36" s="1" t="s">
        <v>1</v>
      </c>
      <c r="B36" s="4" t="s">
        <v>53</v>
      </c>
      <c r="C36" s="13">
        <v>0</v>
      </c>
      <c r="D36" s="13">
        <v>0</v>
      </c>
      <c r="E36" s="39">
        <v>0</v>
      </c>
      <c r="F36" s="53">
        <f t="shared" si="5"/>
        <v>0</v>
      </c>
      <c r="G36" s="12">
        <v>0</v>
      </c>
      <c r="H36" s="13">
        <v>0</v>
      </c>
      <c r="I36" s="13">
        <v>0</v>
      </c>
      <c r="J36" s="13">
        <v>0</v>
      </c>
      <c r="K36" s="13">
        <v>0</v>
      </c>
      <c r="L36" s="39">
        <v>0</v>
      </c>
      <c r="M36" s="53">
        <v>0</v>
      </c>
      <c r="N36" s="53">
        <f t="shared" si="6"/>
        <v>0</v>
      </c>
      <c r="O36" s="53">
        <f t="shared" si="0"/>
        <v>0</v>
      </c>
    </row>
    <row r="37" spans="1:15">
      <c r="A37" s="1" t="s">
        <v>1</v>
      </c>
      <c r="B37" s="4" t="s">
        <v>54</v>
      </c>
      <c r="C37" s="13">
        <v>0</v>
      </c>
      <c r="D37" s="13">
        <v>0</v>
      </c>
      <c r="E37" s="59">
        <v>-8421</v>
      </c>
      <c r="F37" s="54">
        <f t="shared" si="5"/>
        <v>-8421</v>
      </c>
      <c r="G37" s="12">
        <v>0</v>
      </c>
      <c r="H37" s="13">
        <v>0</v>
      </c>
      <c r="I37" s="13">
        <v>0</v>
      </c>
      <c r="J37" s="13">
        <v>0</v>
      </c>
      <c r="K37" s="13">
        <v>0</v>
      </c>
      <c r="L37" s="39">
        <v>0</v>
      </c>
      <c r="M37" s="54">
        <v>-56931</v>
      </c>
      <c r="N37" s="54">
        <f t="shared" si="6"/>
        <v>-56931</v>
      </c>
      <c r="O37" s="54">
        <f t="shared" si="0"/>
        <v>-65352</v>
      </c>
    </row>
    <row r="38" spans="1:15">
      <c r="A38" s="1" t="s">
        <v>1</v>
      </c>
      <c r="B38" s="4" t="s">
        <v>31</v>
      </c>
      <c r="C38" s="13">
        <v>0</v>
      </c>
      <c r="D38" s="13">
        <v>0</v>
      </c>
      <c r="E38" s="39">
        <v>3012</v>
      </c>
      <c r="F38" s="53">
        <f t="shared" si="5"/>
        <v>3012</v>
      </c>
      <c r="G38" s="12">
        <v>66144</v>
      </c>
      <c r="H38" s="13">
        <v>31689</v>
      </c>
      <c r="I38" s="13">
        <v>36180</v>
      </c>
      <c r="J38" s="13">
        <v>97351</v>
      </c>
      <c r="K38" s="13">
        <v>94643</v>
      </c>
      <c r="L38" s="39">
        <v>59831</v>
      </c>
      <c r="M38" s="53">
        <v>39463</v>
      </c>
      <c r="N38" s="53">
        <f t="shared" si="6"/>
        <v>425301</v>
      </c>
      <c r="O38" s="53">
        <f t="shared" si="0"/>
        <v>428313</v>
      </c>
    </row>
    <row r="39" spans="1:15">
      <c r="A39" s="1" t="s">
        <v>1</v>
      </c>
      <c r="B39" s="4" t="s">
        <v>55</v>
      </c>
      <c r="C39" s="13">
        <v>0</v>
      </c>
      <c r="D39" s="13">
        <v>0</v>
      </c>
      <c r="E39" s="39">
        <v>24405</v>
      </c>
      <c r="F39" s="53">
        <f t="shared" si="5"/>
        <v>24405</v>
      </c>
      <c r="G39" s="12">
        <v>0</v>
      </c>
      <c r="H39" s="13">
        <v>26064</v>
      </c>
      <c r="I39" s="13">
        <v>14470</v>
      </c>
      <c r="J39" s="13">
        <v>62760</v>
      </c>
      <c r="K39" s="13">
        <v>61877</v>
      </c>
      <c r="L39" s="39">
        <v>42594</v>
      </c>
      <c r="M39" s="53">
        <v>4122</v>
      </c>
      <c r="N39" s="53">
        <f t="shared" si="6"/>
        <v>211887</v>
      </c>
      <c r="O39" s="53">
        <f t="shared" si="0"/>
        <v>236292</v>
      </c>
    </row>
    <row r="40" spans="1:15">
      <c r="A40" s="1" t="s">
        <v>1</v>
      </c>
      <c r="B40" s="4" t="s">
        <v>56</v>
      </c>
      <c r="C40" s="13">
        <v>0</v>
      </c>
      <c r="D40" s="13">
        <v>0</v>
      </c>
      <c r="E40" s="39">
        <v>9762</v>
      </c>
      <c r="F40" s="53">
        <f t="shared" si="5"/>
        <v>9762</v>
      </c>
      <c r="G40" s="12">
        <v>44640</v>
      </c>
      <c r="H40" s="13">
        <v>27693</v>
      </c>
      <c r="I40" s="13">
        <v>43410</v>
      </c>
      <c r="J40" s="13">
        <v>0</v>
      </c>
      <c r="K40" s="13">
        <v>0</v>
      </c>
      <c r="L40" s="39">
        <v>27480</v>
      </c>
      <c r="M40" s="53">
        <v>31602</v>
      </c>
      <c r="N40" s="53">
        <f t="shared" si="6"/>
        <v>174825</v>
      </c>
      <c r="O40" s="53">
        <f t="shared" si="0"/>
        <v>184587</v>
      </c>
    </row>
    <row r="41" spans="1:15">
      <c r="A41" s="1" t="s">
        <v>1</v>
      </c>
      <c r="B41" s="4" t="s">
        <v>57</v>
      </c>
      <c r="C41" s="13">
        <v>0</v>
      </c>
      <c r="D41" s="13">
        <v>0</v>
      </c>
      <c r="E41" s="39">
        <v>0</v>
      </c>
      <c r="F41" s="53">
        <f t="shared" si="5"/>
        <v>0</v>
      </c>
      <c r="G41" s="12">
        <v>0</v>
      </c>
      <c r="H41" s="13">
        <v>0</v>
      </c>
      <c r="I41" s="13">
        <v>3000</v>
      </c>
      <c r="J41" s="13">
        <v>0</v>
      </c>
      <c r="K41" s="13">
        <v>0</v>
      </c>
      <c r="L41" s="39">
        <v>0</v>
      </c>
      <c r="M41" s="53">
        <v>0</v>
      </c>
      <c r="N41" s="53">
        <f t="shared" si="6"/>
        <v>3000</v>
      </c>
      <c r="O41" s="53">
        <f t="shared" si="0"/>
        <v>3000</v>
      </c>
    </row>
    <row r="42" spans="1:15">
      <c r="A42" s="1" t="s">
        <v>1</v>
      </c>
      <c r="B42" s="4" t="s">
        <v>58</v>
      </c>
      <c r="C42" s="13">
        <v>0</v>
      </c>
      <c r="D42" s="13">
        <v>0</v>
      </c>
      <c r="E42" s="39">
        <v>0</v>
      </c>
      <c r="F42" s="53">
        <f t="shared" si="5"/>
        <v>0</v>
      </c>
      <c r="G42" s="12">
        <v>0</v>
      </c>
      <c r="H42" s="13">
        <v>0</v>
      </c>
      <c r="I42" s="13">
        <v>6750</v>
      </c>
      <c r="J42" s="13">
        <v>0</v>
      </c>
      <c r="K42" s="13">
        <v>0</v>
      </c>
      <c r="L42" s="39">
        <v>0</v>
      </c>
      <c r="M42" s="53">
        <v>0</v>
      </c>
      <c r="N42" s="53">
        <f t="shared" si="6"/>
        <v>6750</v>
      </c>
      <c r="O42" s="53">
        <f t="shared" si="0"/>
        <v>6750</v>
      </c>
    </row>
    <row r="43" spans="1:15">
      <c r="A43" s="1" t="s">
        <v>1</v>
      </c>
      <c r="B43" s="4" t="s">
        <v>59</v>
      </c>
      <c r="C43" s="13">
        <v>0</v>
      </c>
      <c r="D43" s="13">
        <v>0</v>
      </c>
      <c r="E43" s="39">
        <v>8421</v>
      </c>
      <c r="F43" s="53">
        <f t="shared" si="5"/>
        <v>8421</v>
      </c>
      <c r="G43" s="12">
        <v>0</v>
      </c>
      <c r="H43" s="13">
        <v>0</v>
      </c>
      <c r="I43" s="13">
        <v>0</v>
      </c>
      <c r="J43" s="13">
        <v>0</v>
      </c>
      <c r="K43" s="13">
        <v>0</v>
      </c>
      <c r="L43" s="39">
        <v>0</v>
      </c>
      <c r="M43" s="53">
        <v>24399</v>
      </c>
      <c r="N43" s="53">
        <f t="shared" si="6"/>
        <v>24399</v>
      </c>
      <c r="O43" s="53">
        <f t="shared" si="0"/>
        <v>32820</v>
      </c>
    </row>
    <row r="44" spans="1:15">
      <c r="A44" s="1" t="s">
        <v>1</v>
      </c>
      <c r="B44" s="4" t="s">
        <v>36</v>
      </c>
      <c r="C44" s="13">
        <v>0</v>
      </c>
      <c r="D44" s="13">
        <v>0</v>
      </c>
      <c r="E44" s="39">
        <v>6025</v>
      </c>
      <c r="F44" s="53">
        <f t="shared" si="5"/>
        <v>6025</v>
      </c>
      <c r="G44" s="12">
        <v>0</v>
      </c>
      <c r="H44" s="13">
        <v>0</v>
      </c>
      <c r="I44" s="13">
        <v>0</v>
      </c>
      <c r="J44" s="13">
        <v>0</v>
      </c>
      <c r="K44" s="13">
        <v>0</v>
      </c>
      <c r="L44" s="39">
        <v>0</v>
      </c>
      <c r="M44" s="53">
        <v>0</v>
      </c>
      <c r="N44" s="53">
        <f t="shared" si="6"/>
        <v>0</v>
      </c>
      <c r="O44" s="53">
        <f t="shared" si="0"/>
        <v>6025</v>
      </c>
    </row>
    <row r="45" spans="1:15" ht="19.5" thickBot="1">
      <c r="A45" s="1" t="s">
        <v>1</v>
      </c>
      <c r="B45" s="26" t="s">
        <v>39</v>
      </c>
      <c r="C45" s="28">
        <v>2128</v>
      </c>
      <c r="D45" s="28">
        <v>1064</v>
      </c>
      <c r="E45" s="40">
        <v>0</v>
      </c>
      <c r="F45" s="55">
        <f t="shared" si="5"/>
        <v>3192</v>
      </c>
      <c r="G45" s="27">
        <v>7176</v>
      </c>
      <c r="H45" s="28">
        <v>11778</v>
      </c>
      <c r="I45" s="28">
        <v>12328</v>
      </c>
      <c r="J45" s="28">
        <v>10767</v>
      </c>
      <c r="K45" s="28">
        <v>8010</v>
      </c>
      <c r="L45" s="40">
        <v>6120</v>
      </c>
      <c r="M45" s="55">
        <v>3060</v>
      </c>
      <c r="N45" s="55">
        <f t="shared" si="6"/>
        <v>59239</v>
      </c>
      <c r="O45" s="55">
        <f t="shared" si="0"/>
        <v>62431</v>
      </c>
    </row>
    <row r="46" spans="1:15" ht="19.5" thickBot="1">
      <c r="A46" s="1" t="s">
        <v>1</v>
      </c>
      <c r="B46" s="29" t="s">
        <v>60</v>
      </c>
      <c r="C46" s="31">
        <v>357128</v>
      </c>
      <c r="D46" s="31">
        <v>356064</v>
      </c>
      <c r="E46" s="41">
        <v>219204</v>
      </c>
      <c r="F46" s="56">
        <f t="shared" si="5"/>
        <v>932396</v>
      </c>
      <c r="G46" s="30">
        <v>301960</v>
      </c>
      <c r="H46" s="31">
        <v>298824</v>
      </c>
      <c r="I46" s="31">
        <v>295138</v>
      </c>
      <c r="J46" s="31">
        <v>364878</v>
      </c>
      <c r="K46" s="31">
        <v>342530</v>
      </c>
      <c r="L46" s="41">
        <v>306025</v>
      </c>
      <c r="M46" s="56">
        <v>215715</v>
      </c>
      <c r="N46" s="56">
        <f t="shared" si="6"/>
        <v>2125070</v>
      </c>
      <c r="O46" s="56">
        <f t="shared" si="0"/>
        <v>3057466</v>
      </c>
    </row>
    <row r="47" spans="1:15" ht="19.5" thickBot="1">
      <c r="A47" s="1" t="s">
        <v>1</v>
      </c>
      <c r="B47" s="16" t="s">
        <v>61</v>
      </c>
      <c r="C47" s="23">
        <v>7342</v>
      </c>
      <c r="D47" s="23">
        <v>17286</v>
      </c>
      <c r="E47" s="38">
        <v>565</v>
      </c>
      <c r="F47" s="52">
        <f t="shared" si="5"/>
        <v>25193</v>
      </c>
      <c r="G47" s="22">
        <v>8840</v>
      </c>
      <c r="H47" s="23">
        <v>2259</v>
      </c>
      <c r="I47" s="23">
        <v>2259</v>
      </c>
      <c r="J47" s="23">
        <v>11197</v>
      </c>
      <c r="K47" s="23">
        <v>5304</v>
      </c>
      <c r="L47" s="38">
        <v>7072</v>
      </c>
      <c r="M47" s="52">
        <v>786</v>
      </c>
      <c r="N47" s="52">
        <f t="shared" si="6"/>
        <v>37717</v>
      </c>
      <c r="O47" s="52">
        <f t="shared" si="0"/>
        <v>62910</v>
      </c>
    </row>
    <row r="48" spans="1:15" ht="19.5" thickBot="1">
      <c r="A48" s="1" t="s">
        <v>1</v>
      </c>
      <c r="B48" s="29" t="s">
        <v>62</v>
      </c>
      <c r="C48" s="31">
        <v>7342</v>
      </c>
      <c r="D48" s="31">
        <v>17286</v>
      </c>
      <c r="E48" s="41">
        <v>565</v>
      </c>
      <c r="F48" s="56">
        <f t="shared" si="5"/>
        <v>25193</v>
      </c>
      <c r="G48" s="30">
        <v>8840</v>
      </c>
      <c r="H48" s="31">
        <v>2259</v>
      </c>
      <c r="I48" s="31">
        <v>2259</v>
      </c>
      <c r="J48" s="31">
        <v>11197</v>
      </c>
      <c r="K48" s="31">
        <v>5304</v>
      </c>
      <c r="L48" s="41">
        <v>7072</v>
      </c>
      <c r="M48" s="56">
        <v>786</v>
      </c>
      <c r="N48" s="56">
        <f t="shared" si="6"/>
        <v>37717</v>
      </c>
      <c r="O48" s="56">
        <f t="shared" si="0"/>
        <v>62910</v>
      </c>
    </row>
    <row r="49" spans="1:15" ht="19.5" thickBot="1">
      <c r="A49" s="1" t="s">
        <v>1</v>
      </c>
      <c r="B49" s="29" t="s">
        <v>63</v>
      </c>
      <c r="C49" s="31">
        <v>364470</v>
      </c>
      <c r="D49" s="31">
        <v>373350</v>
      </c>
      <c r="E49" s="41">
        <v>219769</v>
      </c>
      <c r="F49" s="56">
        <f t="shared" si="5"/>
        <v>957589</v>
      </c>
      <c r="G49" s="30">
        <v>310800</v>
      </c>
      <c r="H49" s="31">
        <v>301083</v>
      </c>
      <c r="I49" s="31">
        <v>297397</v>
      </c>
      <c r="J49" s="31">
        <v>376075</v>
      </c>
      <c r="K49" s="31">
        <v>347834</v>
      </c>
      <c r="L49" s="41">
        <v>313097</v>
      </c>
      <c r="M49" s="56">
        <v>216501</v>
      </c>
      <c r="N49" s="56">
        <f t="shared" si="6"/>
        <v>2162787</v>
      </c>
      <c r="O49" s="56">
        <f t="shared" si="0"/>
        <v>3120376</v>
      </c>
    </row>
    <row r="50" spans="1:15">
      <c r="A50" s="1" t="s">
        <v>1</v>
      </c>
      <c r="B50" s="16" t="s">
        <v>64</v>
      </c>
      <c r="C50" s="23">
        <v>17340</v>
      </c>
      <c r="D50" s="23">
        <v>18360</v>
      </c>
      <c r="E50" s="38">
        <v>11220</v>
      </c>
      <c r="F50" s="52">
        <f t="shared" si="5"/>
        <v>46920</v>
      </c>
      <c r="G50" s="22">
        <v>19380</v>
      </c>
      <c r="H50" s="23">
        <v>16320</v>
      </c>
      <c r="I50" s="23">
        <v>16320</v>
      </c>
      <c r="J50" s="23">
        <v>17340</v>
      </c>
      <c r="K50" s="23">
        <v>15300</v>
      </c>
      <c r="L50" s="38">
        <v>15300</v>
      </c>
      <c r="M50" s="52">
        <v>15300</v>
      </c>
      <c r="N50" s="52">
        <f t="shared" si="6"/>
        <v>115260</v>
      </c>
      <c r="O50" s="52">
        <f t="shared" si="0"/>
        <v>162180</v>
      </c>
    </row>
    <row r="51" spans="1:15">
      <c r="A51" s="1" t="s">
        <v>1</v>
      </c>
      <c r="B51" s="4" t="s">
        <v>65</v>
      </c>
      <c r="C51" s="13">
        <v>3060</v>
      </c>
      <c r="D51" s="13">
        <v>3240</v>
      </c>
      <c r="E51" s="39">
        <v>0</v>
      </c>
      <c r="F51" s="53">
        <f t="shared" si="5"/>
        <v>6300</v>
      </c>
      <c r="G51" s="12">
        <v>3420</v>
      </c>
      <c r="H51" s="13">
        <v>2880</v>
      </c>
      <c r="I51" s="13">
        <v>2880</v>
      </c>
      <c r="J51" s="13">
        <v>3060</v>
      </c>
      <c r="K51" s="13">
        <v>2700</v>
      </c>
      <c r="L51" s="39">
        <v>2700</v>
      </c>
      <c r="M51" s="53">
        <v>2700</v>
      </c>
      <c r="N51" s="53">
        <f t="shared" si="6"/>
        <v>20340</v>
      </c>
      <c r="O51" s="53">
        <f t="shared" si="0"/>
        <v>26640</v>
      </c>
    </row>
    <row r="52" spans="1:15">
      <c r="A52" s="1" t="s">
        <v>1</v>
      </c>
      <c r="B52" s="4" t="s">
        <v>66</v>
      </c>
      <c r="C52" s="13">
        <v>31110</v>
      </c>
      <c r="D52" s="13">
        <v>32940</v>
      </c>
      <c r="E52" s="39">
        <v>20130</v>
      </c>
      <c r="F52" s="53">
        <f t="shared" si="5"/>
        <v>84180</v>
      </c>
      <c r="G52" s="12">
        <v>42181</v>
      </c>
      <c r="H52" s="13">
        <v>29280</v>
      </c>
      <c r="I52" s="13">
        <v>29280</v>
      </c>
      <c r="J52" s="13">
        <v>31110</v>
      </c>
      <c r="K52" s="13">
        <v>27450</v>
      </c>
      <c r="L52" s="39">
        <v>32574</v>
      </c>
      <c r="M52" s="53">
        <v>27450</v>
      </c>
      <c r="N52" s="53">
        <f t="shared" si="6"/>
        <v>219325</v>
      </c>
      <c r="O52" s="53">
        <f t="shared" si="0"/>
        <v>303505</v>
      </c>
    </row>
    <row r="53" spans="1:15">
      <c r="A53" s="1" t="s">
        <v>1</v>
      </c>
      <c r="B53" s="4" t="s">
        <v>67</v>
      </c>
      <c r="C53" s="13">
        <v>1822</v>
      </c>
      <c r="D53" s="13">
        <v>1867</v>
      </c>
      <c r="E53" s="39">
        <v>1099</v>
      </c>
      <c r="F53" s="53">
        <f t="shared" si="5"/>
        <v>4788</v>
      </c>
      <c r="G53" s="12">
        <v>1554</v>
      </c>
      <c r="H53" s="13">
        <v>1505</v>
      </c>
      <c r="I53" s="13">
        <v>1487</v>
      </c>
      <c r="J53" s="13">
        <v>1880</v>
      </c>
      <c r="K53" s="13">
        <v>1739</v>
      </c>
      <c r="L53" s="39">
        <v>1565</v>
      </c>
      <c r="M53" s="53">
        <v>1083</v>
      </c>
      <c r="N53" s="53">
        <f t="shared" si="6"/>
        <v>10813</v>
      </c>
      <c r="O53" s="53">
        <f t="shared" si="0"/>
        <v>15601</v>
      </c>
    </row>
    <row r="54" spans="1:15" ht="19.5" thickBot="1">
      <c r="A54" s="1" t="s">
        <v>1</v>
      </c>
      <c r="B54" s="26" t="s">
        <v>68</v>
      </c>
      <c r="C54" s="28">
        <v>0</v>
      </c>
      <c r="D54" s="28">
        <v>0</v>
      </c>
      <c r="E54" s="40">
        <v>0</v>
      </c>
      <c r="F54" s="55">
        <f t="shared" si="5"/>
        <v>0</v>
      </c>
      <c r="G54" s="27">
        <v>0</v>
      </c>
      <c r="H54" s="28">
        <v>0</v>
      </c>
      <c r="I54" s="28">
        <v>0</v>
      </c>
      <c r="J54" s="28">
        <v>0</v>
      </c>
      <c r="K54" s="28">
        <v>0</v>
      </c>
      <c r="L54" s="40">
        <v>0</v>
      </c>
      <c r="M54" s="55">
        <v>0</v>
      </c>
      <c r="N54" s="55">
        <f t="shared" si="6"/>
        <v>0</v>
      </c>
      <c r="O54" s="55">
        <f t="shared" si="0"/>
        <v>0</v>
      </c>
    </row>
    <row r="55" spans="1:15" ht="19.5" thickBot="1">
      <c r="A55" s="1" t="s">
        <v>1</v>
      </c>
      <c r="B55" s="29" t="s">
        <v>69</v>
      </c>
      <c r="C55" s="31">
        <v>53332</v>
      </c>
      <c r="D55" s="31">
        <v>56407</v>
      </c>
      <c r="E55" s="41">
        <v>32449</v>
      </c>
      <c r="F55" s="56">
        <f t="shared" si="5"/>
        <v>142188</v>
      </c>
      <c r="G55" s="30">
        <v>66535</v>
      </c>
      <c r="H55" s="31">
        <v>49985</v>
      </c>
      <c r="I55" s="31">
        <v>49967</v>
      </c>
      <c r="J55" s="31">
        <v>53390</v>
      </c>
      <c r="K55" s="31">
        <v>47189</v>
      </c>
      <c r="L55" s="41">
        <v>52139</v>
      </c>
      <c r="M55" s="56">
        <v>46533</v>
      </c>
      <c r="N55" s="56">
        <f t="shared" si="6"/>
        <v>365738</v>
      </c>
      <c r="O55" s="56">
        <f t="shared" si="0"/>
        <v>507926</v>
      </c>
    </row>
    <row r="56" spans="1:15">
      <c r="A56" s="1" t="s">
        <v>1</v>
      </c>
      <c r="B56" s="16" t="s">
        <v>70</v>
      </c>
      <c r="C56" s="23">
        <v>8690</v>
      </c>
      <c r="D56" s="23">
        <v>8360</v>
      </c>
      <c r="E56" s="38">
        <v>4290</v>
      </c>
      <c r="F56" s="52">
        <f t="shared" si="5"/>
        <v>21340</v>
      </c>
      <c r="G56" s="22">
        <v>2800</v>
      </c>
      <c r="H56" s="23">
        <v>3280</v>
      </c>
      <c r="I56" s="23">
        <v>6380</v>
      </c>
      <c r="J56" s="23">
        <v>9320</v>
      </c>
      <c r="K56" s="23">
        <v>4940</v>
      </c>
      <c r="L56" s="38">
        <v>6690</v>
      </c>
      <c r="M56" s="52">
        <v>2050</v>
      </c>
      <c r="N56" s="52">
        <f t="shared" si="6"/>
        <v>35460</v>
      </c>
      <c r="O56" s="52">
        <f t="shared" si="0"/>
        <v>56800</v>
      </c>
    </row>
    <row r="57" spans="1:15">
      <c r="A57" s="1" t="s">
        <v>1</v>
      </c>
      <c r="B57" s="4" t="s">
        <v>71</v>
      </c>
      <c r="C57" s="13">
        <v>0</v>
      </c>
      <c r="D57" s="13">
        <v>0</v>
      </c>
      <c r="E57" s="39">
        <v>0</v>
      </c>
      <c r="F57" s="53">
        <f t="shared" si="5"/>
        <v>0</v>
      </c>
      <c r="G57" s="12">
        <v>0</v>
      </c>
      <c r="H57" s="13">
        <v>0</v>
      </c>
      <c r="I57" s="13">
        <v>0</v>
      </c>
      <c r="J57" s="13">
        <v>0</v>
      </c>
      <c r="K57" s="13">
        <v>0</v>
      </c>
      <c r="L57" s="39">
        <v>0</v>
      </c>
      <c r="M57" s="53">
        <v>0</v>
      </c>
      <c r="N57" s="53">
        <f t="shared" si="6"/>
        <v>0</v>
      </c>
      <c r="O57" s="53">
        <f t="shared" ref="O57:O64" si="7">F57+N57</f>
        <v>0</v>
      </c>
    </row>
    <row r="58" spans="1:15">
      <c r="A58" s="1" t="s">
        <v>1</v>
      </c>
      <c r="B58" s="4" t="s">
        <v>72</v>
      </c>
      <c r="C58" s="13">
        <v>14100</v>
      </c>
      <c r="D58" s="13">
        <v>15500</v>
      </c>
      <c r="E58" s="39">
        <v>5500</v>
      </c>
      <c r="F58" s="53">
        <f t="shared" si="5"/>
        <v>35100</v>
      </c>
      <c r="G58" s="12">
        <v>7700</v>
      </c>
      <c r="H58" s="13">
        <v>9200</v>
      </c>
      <c r="I58" s="13">
        <v>12700</v>
      </c>
      <c r="J58" s="13">
        <v>14400</v>
      </c>
      <c r="K58" s="13">
        <v>9200</v>
      </c>
      <c r="L58" s="39">
        <v>10700</v>
      </c>
      <c r="M58" s="53">
        <v>12800</v>
      </c>
      <c r="N58" s="53">
        <f t="shared" si="6"/>
        <v>76700</v>
      </c>
      <c r="O58" s="53">
        <f t="shared" si="7"/>
        <v>111800</v>
      </c>
    </row>
    <row r="59" spans="1:15" ht="19.5" thickBot="1">
      <c r="A59" s="1" t="s">
        <v>1</v>
      </c>
      <c r="B59" s="4" t="s">
        <v>73</v>
      </c>
      <c r="C59" s="13">
        <v>0</v>
      </c>
      <c r="D59" s="13">
        <v>0</v>
      </c>
      <c r="E59" s="39">
        <v>0</v>
      </c>
      <c r="F59" s="53">
        <f t="shared" si="5"/>
        <v>0</v>
      </c>
      <c r="G59" s="12">
        <v>0</v>
      </c>
      <c r="H59" s="13">
        <v>0</v>
      </c>
      <c r="I59" s="13">
        <v>0</v>
      </c>
      <c r="J59" s="13">
        <v>0</v>
      </c>
      <c r="K59" s="13">
        <v>0</v>
      </c>
      <c r="L59" s="39">
        <v>0</v>
      </c>
      <c r="M59" s="53">
        <v>0</v>
      </c>
      <c r="N59" s="53">
        <f t="shared" si="6"/>
        <v>0</v>
      </c>
      <c r="O59" s="53">
        <f t="shared" si="7"/>
        <v>0</v>
      </c>
    </row>
    <row r="60" spans="1:15" ht="19.5" thickBot="1">
      <c r="A60" s="1" t="s">
        <v>1</v>
      </c>
      <c r="B60" s="29" t="s">
        <v>74</v>
      </c>
      <c r="C60" s="31">
        <v>76122</v>
      </c>
      <c r="D60" s="31">
        <v>80267</v>
      </c>
      <c r="E60" s="41">
        <v>42239</v>
      </c>
      <c r="F60" s="56">
        <f t="shared" si="5"/>
        <v>198628</v>
      </c>
      <c r="G60" s="30">
        <v>77035</v>
      </c>
      <c r="H60" s="31">
        <v>62465</v>
      </c>
      <c r="I60" s="31">
        <v>69047</v>
      </c>
      <c r="J60" s="31">
        <v>77110</v>
      </c>
      <c r="K60" s="31">
        <v>61329</v>
      </c>
      <c r="L60" s="41">
        <v>69529</v>
      </c>
      <c r="M60" s="56">
        <v>61383</v>
      </c>
      <c r="N60" s="56">
        <f t="shared" si="6"/>
        <v>477898</v>
      </c>
      <c r="O60" s="56">
        <f t="shared" si="7"/>
        <v>676526</v>
      </c>
    </row>
    <row r="61" spans="1:15" ht="19.5" thickBot="1">
      <c r="A61" s="1" t="s">
        <v>1</v>
      </c>
      <c r="B61" s="29" t="s">
        <v>75</v>
      </c>
      <c r="C61" s="31">
        <v>303796</v>
      </c>
      <c r="D61" s="31">
        <v>299657</v>
      </c>
      <c r="E61" s="41">
        <v>186755</v>
      </c>
      <c r="F61" s="56">
        <f t="shared" si="5"/>
        <v>790208</v>
      </c>
      <c r="G61" s="30">
        <v>235425</v>
      </c>
      <c r="H61" s="31">
        <v>248839</v>
      </c>
      <c r="I61" s="31">
        <v>245171</v>
      </c>
      <c r="J61" s="31">
        <v>311488</v>
      </c>
      <c r="K61" s="31">
        <v>295341</v>
      </c>
      <c r="L61" s="41">
        <v>253886</v>
      </c>
      <c r="M61" s="56">
        <v>169182</v>
      </c>
      <c r="N61" s="56">
        <f t="shared" si="6"/>
        <v>1759332</v>
      </c>
      <c r="O61" s="56">
        <f t="shared" si="7"/>
        <v>2549540</v>
      </c>
    </row>
    <row r="62" spans="1:15" ht="19.5" thickBot="1">
      <c r="A62" s="1" t="s">
        <v>1</v>
      </c>
      <c r="B62" s="29" t="s">
        <v>76</v>
      </c>
      <c r="C62" s="31">
        <v>288348</v>
      </c>
      <c r="D62" s="31">
        <v>293083</v>
      </c>
      <c r="E62" s="41">
        <v>177530</v>
      </c>
      <c r="F62" s="56">
        <f t="shared" si="5"/>
        <v>758961</v>
      </c>
      <c r="G62" s="30">
        <v>233765</v>
      </c>
      <c r="H62" s="31">
        <v>238618</v>
      </c>
      <c r="I62" s="31">
        <v>228350</v>
      </c>
      <c r="J62" s="31">
        <v>298965</v>
      </c>
      <c r="K62" s="31">
        <v>286505</v>
      </c>
      <c r="L62" s="41">
        <v>243568</v>
      </c>
      <c r="M62" s="56">
        <v>155118</v>
      </c>
      <c r="N62" s="56">
        <f t="shared" si="6"/>
        <v>1684889</v>
      </c>
      <c r="O62" s="56">
        <f t="shared" si="7"/>
        <v>2443850</v>
      </c>
    </row>
    <row r="63" spans="1:15">
      <c r="A63" s="1" t="s">
        <v>1</v>
      </c>
      <c r="B63" s="16" t="s">
        <v>77</v>
      </c>
      <c r="C63" s="23">
        <v>0</v>
      </c>
      <c r="D63" s="23">
        <v>0</v>
      </c>
      <c r="E63" s="38">
        <v>0</v>
      </c>
      <c r="F63" s="52">
        <f t="shared" si="5"/>
        <v>0</v>
      </c>
      <c r="G63" s="22">
        <v>0</v>
      </c>
      <c r="H63" s="23">
        <v>0</v>
      </c>
      <c r="I63" s="23">
        <v>0</v>
      </c>
      <c r="J63" s="23">
        <v>0</v>
      </c>
      <c r="K63" s="23">
        <v>0</v>
      </c>
      <c r="L63" s="38">
        <v>0</v>
      </c>
      <c r="M63" s="52">
        <v>0</v>
      </c>
      <c r="N63" s="52">
        <f t="shared" si="6"/>
        <v>0</v>
      </c>
      <c r="O63" s="52">
        <f t="shared" si="7"/>
        <v>0</v>
      </c>
    </row>
    <row r="64" spans="1:15">
      <c r="A64" s="1" t="s">
        <v>1</v>
      </c>
      <c r="B64" s="4" t="s">
        <v>78</v>
      </c>
      <c r="C64" s="13">
        <v>288348</v>
      </c>
      <c r="D64" s="13">
        <v>293083</v>
      </c>
      <c r="E64" s="39">
        <v>177530</v>
      </c>
      <c r="F64" s="53">
        <f t="shared" si="5"/>
        <v>758961</v>
      </c>
      <c r="G64" s="12">
        <v>233765</v>
      </c>
      <c r="H64" s="13">
        <v>238618</v>
      </c>
      <c r="I64" s="13">
        <v>228350</v>
      </c>
      <c r="J64" s="13">
        <v>298965</v>
      </c>
      <c r="K64" s="13">
        <v>286505</v>
      </c>
      <c r="L64" s="39">
        <v>243568</v>
      </c>
      <c r="M64" s="53">
        <v>155118</v>
      </c>
      <c r="N64" s="53">
        <f t="shared" si="6"/>
        <v>1684889</v>
      </c>
      <c r="O64" s="53">
        <f t="shared" si="7"/>
        <v>2443850</v>
      </c>
    </row>
    <row r="65" spans="1:15">
      <c r="A65" s="1" t="s">
        <v>1</v>
      </c>
      <c r="B65" s="4" t="s">
        <v>79</v>
      </c>
      <c r="C65" s="13">
        <v>0</v>
      </c>
      <c r="D65" s="13">
        <v>0</v>
      </c>
      <c r="E65" s="39">
        <v>0</v>
      </c>
      <c r="F65" s="53"/>
      <c r="G65" s="12">
        <v>2</v>
      </c>
      <c r="H65" s="13">
        <v>2</v>
      </c>
      <c r="I65" s="13">
        <v>0</v>
      </c>
      <c r="J65" s="13">
        <v>0</v>
      </c>
      <c r="K65" s="13">
        <v>2</v>
      </c>
      <c r="L65" s="39">
        <v>0</v>
      </c>
      <c r="M65" s="53">
        <v>1</v>
      </c>
      <c r="N65" s="53"/>
      <c r="O65" s="53"/>
    </row>
    <row r="66" spans="1:15" ht="19.5" thickBot="1">
      <c r="A66" s="1" t="s">
        <v>1</v>
      </c>
      <c r="B66" s="5" t="s">
        <v>80</v>
      </c>
      <c r="C66" s="15" t="s">
        <v>81</v>
      </c>
      <c r="D66" s="15" t="s">
        <v>81</v>
      </c>
      <c r="E66" s="42" t="s">
        <v>81</v>
      </c>
      <c r="F66" s="57"/>
      <c r="G66" s="14" t="s">
        <v>81</v>
      </c>
      <c r="H66" s="15" t="s">
        <v>81</v>
      </c>
      <c r="I66" s="15" t="s">
        <v>81</v>
      </c>
      <c r="J66" s="15" t="s">
        <v>81</v>
      </c>
      <c r="K66" s="15" t="s">
        <v>81</v>
      </c>
      <c r="L66" s="42" t="s">
        <v>81</v>
      </c>
      <c r="M66" s="57"/>
      <c r="N66" s="57"/>
      <c r="O66" s="57"/>
    </row>
  </sheetData>
  <phoneticPr fontId="4"/>
  <pageMargins left="0.31496062992125984" right="0.31496062992125984" top="0.35433070866141736" bottom="0.35433070866141736" header="0.11811023622047245" footer="0.11811023622047245"/>
  <pageSetup paperSize="12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2022年 12月度給与 (2)</vt:lpstr>
      <vt:lpstr>'2022年 12月度給与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2023-01-12T08:02:23Z</cp:lastPrinted>
  <dcterms:created xsi:type="dcterms:W3CDTF">2023-01-11T01:34:30Z</dcterms:created>
  <dcterms:modified xsi:type="dcterms:W3CDTF">2023-01-12T08:52:22Z</dcterms:modified>
</cp:coreProperties>
</file>