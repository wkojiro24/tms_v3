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2\"/>
    </mc:Choice>
  </mc:AlternateContent>
  <xr:revisionPtr revIDLastSave="0" documentId="13_ncr:1_{C3A166BF-E372-4014-86F1-7F92F6E26C15}" xr6:coauthVersionLast="47" xr6:coauthVersionMax="47" xr10:uidLastSave="{00000000-0000-0000-0000-000000000000}"/>
  <bookViews>
    <workbookView xWindow="-120" yWindow="-120" windowWidth="20730" windowHeight="11160" firstSheet="1" activeTab="1" xr2:uid="{94C18A73-8A78-46E8-B6E9-A766ED4CC20F}"/>
  </bookViews>
  <sheets>
    <sheet name="2022年 12月度給与" sheetId="2" r:id="rId1"/>
    <sheet name="2022年 12月度給与 (4)" sheetId="5" r:id="rId2"/>
    <sheet name="2022年 12月度給与 (3)" sheetId="4" r:id="rId3"/>
  </sheets>
  <definedNames>
    <definedName name="_xlnm.Print_Area" localSheetId="2">'2022年 12月度給与 (3)'!$A$1:$U$63</definedName>
    <definedName name="_xlnm.Print_Area" localSheetId="1">'2022年 12月度給与 (4)'!$A$1:$O$63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2" i="5" l="1"/>
  <c r="N61" i="5"/>
  <c r="L61" i="5"/>
  <c r="N60" i="5"/>
  <c r="L60" i="5"/>
  <c r="N59" i="5"/>
  <c r="L59" i="5"/>
  <c r="N58" i="5"/>
  <c r="L58" i="5"/>
  <c r="N57" i="5"/>
  <c r="L57" i="5"/>
  <c r="N56" i="5"/>
  <c r="L56" i="5"/>
  <c r="N55" i="5"/>
  <c r="L55" i="5"/>
  <c r="N54" i="5"/>
  <c r="L54" i="5"/>
  <c r="N53" i="5"/>
  <c r="L53" i="5"/>
  <c r="N52" i="5"/>
  <c r="L52" i="5"/>
  <c r="N51" i="5"/>
  <c r="L51" i="5"/>
  <c r="N50" i="5"/>
  <c r="L50" i="5"/>
  <c r="N49" i="5"/>
  <c r="L49" i="5"/>
  <c r="N48" i="5"/>
  <c r="L48" i="5"/>
  <c r="N47" i="5"/>
  <c r="L47" i="5"/>
  <c r="N46" i="5"/>
  <c r="L46" i="5"/>
  <c r="N45" i="5"/>
  <c r="L45" i="5"/>
  <c r="N44" i="5"/>
  <c r="L44" i="5"/>
  <c r="N43" i="5"/>
  <c r="L43" i="5"/>
  <c r="N42" i="5"/>
  <c r="L42" i="5"/>
  <c r="N41" i="5"/>
  <c r="L41" i="5"/>
  <c r="N40" i="5"/>
  <c r="L40" i="5"/>
  <c r="N39" i="5"/>
  <c r="L39" i="5"/>
  <c r="N38" i="5"/>
  <c r="L38" i="5"/>
  <c r="N37" i="5"/>
  <c r="L37" i="5"/>
  <c r="N36" i="5"/>
  <c r="L36" i="5"/>
  <c r="N35" i="5"/>
  <c r="L35" i="5"/>
  <c r="N34" i="5"/>
  <c r="L34" i="5"/>
  <c r="N33" i="5"/>
  <c r="L33" i="5"/>
  <c r="N32" i="5"/>
  <c r="L32" i="5"/>
  <c r="N31" i="5"/>
  <c r="L31" i="5"/>
  <c r="N30" i="5"/>
  <c r="L30" i="5"/>
  <c r="N29" i="5"/>
  <c r="L29" i="5"/>
  <c r="N28" i="5"/>
  <c r="L28" i="5"/>
  <c r="N27" i="5"/>
  <c r="L27" i="5"/>
  <c r="N26" i="5"/>
  <c r="L26" i="5"/>
  <c r="N25" i="5"/>
  <c r="L25" i="5"/>
  <c r="N24" i="5"/>
  <c r="L24" i="5"/>
  <c r="N23" i="5"/>
  <c r="L23" i="5"/>
  <c r="N21" i="5"/>
  <c r="L21" i="5"/>
  <c r="L19" i="5"/>
  <c r="L18" i="5"/>
  <c r="L17" i="5"/>
  <c r="L16" i="5"/>
  <c r="L15" i="5"/>
  <c r="L14" i="5"/>
  <c r="L13" i="5"/>
  <c r="L12" i="5"/>
  <c r="L9" i="5"/>
  <c r="L8" i="5"/>
  <c r="L7" i="5"/>
  <c r="L6" i="5"/>
  <c r="N5" i="5"/>
  <c r="L5" i="5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1" i="4"/>
  <c r="U18" i="4"/>
  <c r="U17" i="4"/>
  <c r="U16" i="4"/>
  <c r="U15" i="4"/>
  <c r="U14" i="4"/>
  <c r="U12" i="4"/>
  <c r="U11" i="4"/>
  <c r="U10" i="4"/>
  <c r="U9" i="4"/>
  <c r="U8" i="4"/>
  <c r="U7" i="4"/>
  <c r="U6" i="4"/>
  <c r="U5" i="4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</calcChain>
</file>

<file path=xl/sharedStrings.xml><?xml version="1.0" encoding="utf-8"?>
<sst xmlns="http://schemas.openxmlformats.org/spreadsheetml/2006/main" count="581" uniqueCount="144">
  <si>
    <t>支給控除一覧表</t>
    <phoneticPr fontId="4"/>
  </si>
  <si>
    <t>若林運送株式会社</t>
    <phoneticPr fontId="4"/>
  </si>
  <si>
    <t>2023年 1月11日 作成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</si>
  <si>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</si>
  <si>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</si>
  <si>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</si>
  <si>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</si>
  <si>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</si>
  <si>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</si>
  <si>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</si>
  <si>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</si>
  <si>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</si>
  <si>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</si>
  <si>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</si>
  <si>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</si>
  <si>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</si>
  <si>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</si>
  <si>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</si>
  <si>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</si>
  <si>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</si>
  <si>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</si>
  <si>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</si>
  <si>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</si>
  <si>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</si>
  <si>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</si>
  <si>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</si>
  <si>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</si>
  <si>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</si>
  <si>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</si>
  <si>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</si>
  <si>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</si>
  <si>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</si>
  <si>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</si>
  <si>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</si>
  <si>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</si>
  <si>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</si>
  <si>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</si>
  <si>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</si>
  <si>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</si>
  <si>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</si>
  <si>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</si>
  <si>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</si>
  <si>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</si>
  <si>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</si>
  <si>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</si>
  <si>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</si>
  <si>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</si>
  <si>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</si>
  <si>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</si>
  <si>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</si>
  <si>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</si>
  <si>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</si>
  <si>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渡邉進一</t>
    <phoneticPr fontId="4"/>
  </si>
  <si>
    <t>山口豊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</si>
  <si>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</si>
  <si>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</si>
  <si>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</si>
  <si>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</si>
  <si>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</si>
  <si>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</si>
  <si>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</si>
  <si>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</si>
  <si>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</si>
  <si>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</si>
  <si>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</si>
  <si>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</si>
  <si>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</si>
  <si>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</si>
  <si>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</si>
  <si>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</si>
  <si>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</si>
  <si>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</si>
  <si>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</si>
  <si>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</si>
  <si>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</si>
  <si>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</si>
  <si>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</si>
  <si>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</si>
  <si>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</si>
  <si>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</si>
  <si>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</si>
  <si>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</si>
  <si>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</si>
  <si>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</si>
  <si>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</si>
  <si>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</si>
  <si>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</si>
  <si>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</si>
  <si>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</si>
  <si>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</si>
  <si>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</si>
  <si>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</si>
  <si>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</si>
  <si>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</si>
  <si>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</si>
  <si>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</si>
  <si>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</si>
  <si>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</si>
  <si>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</si>
  <si>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</si>
  <si>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</si>
  <si>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</si>
  <si>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</si>
  <si>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</si>
  <si>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</si>
  <si>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</si>
  <si>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</si>
  <si>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</si>
  <si>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</si>
  <si>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</si>
  <si>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</si>
  <si>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</si>
  <si>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</si>
  <si>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</si>
  <si>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</si>
  <si>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</si>
  <si>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</si>
  <si>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</si>
  <si>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</si>
  <si>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</si>
  <si>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</si>
  <si>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</si>
  <si>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</si>
  <si>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</si>
  <si>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</si>
  <si>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</si>
  <si>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</si>
  <si>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</si>
  <si>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</si>
  <si>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</si>
  <si>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</si>
  <si>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</si>
  <si>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</si>
  <si>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</si>
  <si>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</si>
  <si>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</si>
  <si>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</si>
  <si>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</si>
  <si>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12月度給与</t>
    <phoneticPr fontId="4"/>
  </si>
  <si>
    <t>小計</t>
    <rPh sb="0" eb="2">
      <t>ショウケイ</t>
    </rPh>
    <phoneticPr fontId="3"/>
  </si>
  <si>
    <t>１８名</t>
    <rPh sb="2" eb="3">
      <t>メイ</t>
    </rPh>
    <phoneticPr fontId="3"/>
  </si>
  <si>
    <t>9名</t>
    <rPh sb="1" eb="2">
      <t>メイ</t>
    </rPh>
    <phoneticPr fontId="3"/>
  </si>
  <si>
    <t>1名</t>
    <rPh sb="1" eb="2">
      <t>メイ</t>
    </rPh>
    <phoneticPr fontId="3"/>
  </si>
  <si>
    <t>28名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</si>
</sst>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/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176" fontId="2" fillId="0" borderId="6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7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177" fontId="2" fillId="0" borderId="12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9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center"/>
    </xf>
    <xf numFmtId="0" fontId="2" fillId="0" borderId="39" xfId="1" applyFont="1" applyBorder="1"/>
    <xf numFmtId="49" fontId="2" fillId="0" borderId="40" xfId="1" applyNumberFormat="1" applyFont="1" applyBorder="1" applyAlignment="1">
      <alignment horizontal="right"/>
    </xf>
    <xf numFmtId="49" fontId="2" fillId="0" borderId="40" xfId="1" applyNumberFormat="1" applyFont="1" applyBorder="1" applyAlignment="1">
      <alignment horizontal="center"/>
    </xf>
    <xf numFmtId="0" fontId="2" fillId="0" borderId="40" xfId="1" applyFont="1" applyBorder="1" applyAlignment="1">
      <alignment horizontal="right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8" xfId="1" applyNumberFormat="1" applyFont="1" applyBorder="1"/>
    <xf numFmtId="49" fontId="2" fillId="0" borderId="40" xfId="1" applyNumberFormat="1" applyFont="1" applyBorder="1"/>
    <xf numFmtId="0" fontId="2" fillId="0" borderId="44" xfId="1" applyFont="1" applyBorder="1"/>
    <xf numFmtId="177" fontId="2" fillId="0" borderId="42" xfId="1" applyNumberFormat="1" applyFont="1" applyBorder="1"/>
  </cellXfs>
  <cellStyles count="2">
    <cellStyle name="標準" xfId="0" builtinId="0"/>
    <cellStyle name="標準 2" xfId="1" xr:uid="{B4B6ACAE-FA80-4C63-B134-2ACD5F9B0E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1FC4-8F4D-4320-91F4-6146B7D254B7}">
  <dimension ref="A1:AE86"/>
  <sheetViews>
    <sheetView showZero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E31" activeCellId="1" sqref="AE10:AE29 AE31:AE84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13.25" style="2" bestFit="1" customWidth="1"/>
    <col min="6" max="6" width="11.125" style="2" bestFit="1" customWidth="1"/>
    <col min="7" max="7" width="9" style="2" bestFit="1" customWidth="1"/>
    <col min="8" max="8" width="11.125" style="2" bestFit="1" customWidth="1"/>
    <col min="9" max="9" width="9" style="2" bestFit="1" customWidth="1"/>
    <col min="10" max="21" width="11.125" style="2" bestFit="1" customWidth="1"/>
    <col min="22" max="22" width="9" style="2" bestFit="1" customWidth="1"/>
    <col min="23" max="23" width="8" style="2" bestFit="1" customWidth="1"/>
    <col min="24" max="30" width="11.125" style="2" bestFit="1" customWidth="1"/>
    <col min="31" max="31" width="9.625" style="2" bestFit="1" customWidth="1"/>
    <col min="32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1" width="13.25" style="2" bestFit="1" customWidth="1"/>
    <col min="262" max="262" width="11.125" style="2" bestFit="1" customWidth="1"/>
    <col min="263" max="263" width="9" style="2" bestFit="1"/>
    <col min="264" max="264" width="11.125" style="2" bestFit="1" customWidth="1"/>
    <col min="265" max="265" width="9" style="2" bestFit="1"/>
    <col min="266" max="277" width="11.125" style="2" bestFit="1" customWidth="1"/>
    <col min="278" max="278" width="9" style="2" bestFit="1"/>
    <col min="279" max="279" width="8" style="2" bestFit="1" customWidth="1"/>
    <col min="280" max="286" width="11.125" style="2" bestFit="1" customWidth="1"/>
    <col min="287" max="287" width="9.625" style="2" bestFit="1" customWidth="1"/>
    <col min="288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7" width="13.25" style="2" bestFit="1" customWidth="1"/>
    <col min="518" max="518" width="11.125" style="2" bestFit="1" customWidth="1"/>
    <col min="519" max="519" width="9" style="2" bestFit="1"/>
    <col min="520" max="520" width="11.125" style="2" bestFit="1" customWidth="1"/>
    <col min="521" max="521" width="9" style="2" bestFit="1"/>
    <col min="522" max="533" width="11.125" style="2" bestFit="1" customWidth="1"/>
    <col min="534" max="534" width="9" style="2" bestFit="1"/>
    <col min="535" max="535" width="8" style="2" bestFit="1" customWidth="1"/>
    <col min="536" max="542" width="11.125" style="2" bestFit="1" customWidth="1"/>
    <col min="543" max="543" width="9.625" style="2" bestFit="1" customWidth="1"/>
    <col min="544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3" width="13.25" style="2" bestFit="1" customWidth="1"/>
    <col min="774" max="774" width="11.125" style="2" bestFit="1" customWidth="1"/>
    <col min="775" max="775" width="9" style="2" bestFit="1"/>
    <col min="776" max="776" width="11.125" style="2" bestFit="1" customWidth="1"/>
    <col min="777" max="777" width="9" style="2" bestFit="1"/>
    <col min="778" max="789" width="11.125" style="2" bestFit="1" customWidth="1"/>
    <col min="790" max="790" width="9" style="2" bestFit="1"/>
    <col min="791" max="791" width="8" style="2" bestFit="1" customWidth="1"/>
    <col min="792" max="798" width="11.125" style="2" bestFit="1" customWidth="1"/>
    <col min="799" max="799" width="9.625" style="2" bestFit="1" customWidth="1"/>
    <col min="800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29" width="13.25" style="2" bestFit="1" customWidth="1"/>
    <col min="1030" max="1030" width="11.125" style="2" bestFit="1" customWidth="1"/>
    <col min="1031" max="1031" width="9" style="2" bestFit="1"/>
    <col min="1032" max="1032" width="11.125" style="2" bestFit="1" customWidth="1"/>
    <col min="1033" max="1033" width="9" style="2" bestFit="1"/>
    <col min="1034" max="1045" width="11.125" style="2" bestFit="1" customWidth="1"/>
    <col min="1046" max="1046" width="9" style="2" bestFit="1"/>
    <col min="1047" max="1047" width="8" style="2" bestFit="1" customWidth="1"/>
    <col min="1048" max="1054" width="11.125" style="2" bestFit="1" customWidth="1"/>
    <col min="1055" max="1055" width="9.625" style="2" bestFit="1" customWidth="1"/>
    <col min="1056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5" width="13.25" style="2" bestFit="1" customWidth="1"/>
    <col min="1286" max="1286" width="11.125" style="2" bestFit="1" customWidth="1"/>
    <col min="1287" max="1287" width="9" style="2" bestFit="1"/>
    <col min="1288" max="1288" width="11.125" style="2" bestFit="1" customWidth="1"/>
    <col min="1289" max="1289" width="9" style="2" bestFit="1"/>
    <col min="1290" max="1301" width="11.125" style="2" bestFit="1" customWidth="1"/>
    <col min="1302" max="1302" width="9" style="2" bestFit="1"/>
    <col min="1303" max="1303" width="8" style="2" bestFit="1" customWidth="1"/>
    <col min="1304" max="1310" width="11.125" style="2" bestFit="1" customWidth="1"/>
    <col min="1311" max="1311" width="9.625" style="2" bestFit="1" customWidth="1"/>
    <col min="1312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1" width="13.25" style="2" bestFit="1" customWidth="1"/>
    <col min="1542" max="1542" width="11.125" style="2" bestFit="1" customWidth="1"/>
    <col min="1543" max="1543" width="9" style="2" bestFit="1"/>
    <col min="1544" max="1544" width="11.125" style="2" bestFit="1" customWidth="1"/>
    <col min="1545" max="1545" width="9" style="2" bestFit="1"/>
    <col min="1546" max="1557" width="11.125" style="2" bestFit="1" customWidth="1"/>
    <col min="1558" max="1558" width="9" style="2" bestFit="1"/>
    <col min="1559" max="1559" width="8" style="2" bestFit="1" customWidth="1"/>
    <col min="1560" max="1566" width="11.125" style="2" bestFit="1" customWidth="1"/>
    <col min="1567" max="1567" width="9.625" style="2" bestFit="1" customWidth="1"/>
    <col min="1568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7" width="13.25" style="2" bestFit="1" customWidth="1"/>
    <col min="1798" max="1798" width="11.125" style="2" bestFit="1" customWidth="1"/>
    <col min="1799" max="1799" width="9" style="2" bestFit="1"/>
    <col min="1800" max="1800" width="11.125" style="2" bestFit="1" customWidth="1"/>
    <col min="1801" max="1801" width="9" style="2" bestFit="1"/>
    <col min="1802" max="1813" width="11.125" style="2" bestFit="1" customWidth="1"/>
    <col min="1814" max="1814" width="9" style="2" bestFit="1"/>
    <col min="1815" max="1815" width="8" style="2" bestFit="1" customWidth="1"/>
    <col min="1816" max="1822" width="11.125" style="2" bestFit="1" customWidth="1"/>
    <col min="1823" max="1823" width="9.625" style="2" bestFit="1" customWidth="1"/>
    <col min="1824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3" width="13.25" style="2" bestFit="1" customWidth="1"/>
    <col min="2054" max="2054" width="11.125" style="2" bestFit="1" customWidth="1"/>
    <col min="2055" max="2055" width="9" style="2" bestFit="1"/>
    <col min="2056" max="2056" width="11.125" style="2" bestFit="1" customWidth="1"/>
    <col min="2057" max="2057" width="9" style="2" bestFit="1"/>
    <col min="2058" max="2069" width="11.125" style="2" bestFit="1" customWidth="1"/>
    <col min="2070" max="2070" width="9" style="2" bestFit="1"/>
    <col min="2071" max="2071" width="8" style="2" bestFit="1" customWidth="1"/>
    <col min="2072" max="2078" width="11.125" style="2" bestFit="1" customWidth="1"/>
    <col min="2079" max="2079" width="9.625" style="2" bestFit="1" customWidth="1"/>
    <col min="2080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09" width="13.25" style="2" bestFit="1" customWidth="1"/>
    <col min="2310" max="2310" width="11.125" style="2" bestFit="1" customWidth="1"/>
    <col min="2311" max="2311" width="9" style="2" bestFit="1"/>
    <col min="2312" max="2312" width="11.125" style="2" bestFit="1" customWidth="1"/>
    <col min="2313" max="2313" width="9" style="2" bestFit="1"/>
    <col min="2314" max="2325" width="11.125" style="2" bestFit="1" customWidth="1"/>
    <col min="2326" max="2326" width="9" style="2" bestFit="1"/>
    <col min="2327" max="2327" width="8" style="2" bestFit="1" customWidth="1"/>
    <col min="2328" max="2334" width="11.125" style="2" bestFit="1" customWidth="1"/>
    <col min="2335" max="2335" width="9.625" style="2" bestFit="1" customWidth="1"/>
    <col min="2336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5" width="13.25" style="2" bestFit="1" customWidth="1"/>
    <col min="2566" max="2566" width="11.125" style="2" bestFit="1" customWidth="1"/>
    <col min="2567" max="2567" width="9" style="2" bestFit="1"/>
    <col min="2568" max="2568" width="11.125" style="2" bestFit="1" customWidth="1"/>
    <col min="2569" max="2569" width="9" style="2" bestFit="1"/>
    <col min="2570" max="2581" width="11.125" style="2" bestFit="1" customWidth="1"/>
    <col min="2582" max="2582" width="9" style="2" bestFit="1"/>
    <col min="2583" max="2583" width="8" style="2" bestFit="1" customWidth="1"/>
    <col min="2584" max="2590" width="11.125" style="2" bestFit="1" customWidth="1"/>
    <col min="2591" max="2591" width="9.625" style="2" bestFit="1" customWidth="1"/>
    <col min="2592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1" width="13.25" style="2" bestFit="1" customWidth="1"/>
    <col min="2822" max="2822" width="11.125" style="2" bestFit="1" customWidth="1"/>
    <col min="2823" max="2823" width="9" style="2" bestFit="1"/>
    <col min="2824" max="2824" width="11.125" style="2" bestFit="1" customWidth="1"/>
    <col min="2825" max="2825" width="9" style="2" bestFit="1"/>
    <col min="2826" max="2837" width="11.125" style="2" bestFit="1" customWidth="1"/>
    <col min="2838" max="2838" width="9" style="2" bestFit="1"/>
    <col min="2839" max="2839" width="8" style="2" bestFit="1" customWidth="1"/>
    <col min="2840" max="2846" width="11.125" style="2" bestFit="1" customWidth="1"/>
    <col min="2847" max="2847" width="9.625" style="2" bestFit="1" customWidth="1"/>
    <col min="2848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7" width="13.25" style="2" bestFit="1" customWidth="1"/>
    <col min="3078" max="3078" width="11.125" style="2" bestFit="1" customWidth="1"/>
    <col min="3079" max="3079" width="9" style="2" bestFit="1"/>
    <col min="3080" max="3080" width="11.125" style="2" bestFit="1" customWidth="1"/>
    <col min="3081" max="3081" width="9" style="2" bestFit="1"/>
    <col min="3082" max="3093" width="11.125" style="2" bestFit="1" customWidth="1"/>
    <col min="3094" max="3094" width="9" style="2" bestFit="1"/>
    <col min="3095" max="3095" width="8" style="2" bestFit="1" customWidth="1"/>
    <col min="3096" max="3102" width="11.125" style="2" bestFit="1" customWidth="1"/>
    <col min="3103" max="3103" width="9.625" style="2" bestFit="1" customWidth="1"/>
    <col min="3104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3" width="13.25" style="2" bestFit="1" customWidth="1"/>
    <col min="3334" max="3334" width="11.125" style="2" bestFit="1" customWidth="1"/>
    <col min="3335" max="3335" width="9" style="2" bestFit="1"/>
    <col min="3336" max="3336" width="11.125" style="2" bestFit="1" customWidth="1"/>
    <col min="3337" max="3337" width="9" style="2" bestFit="1"/>
    <col min="3338" max="3349" width="11.125" style="2" bestFit="1" customWidth="1"/>
    <col min="3350" max="3350" width="9" style="2" bestFit="1"/>
    <col min="3351" max="3351" width="8" style="2" bestFit="1" customWidth="1"/>
    <col min="3352" max="3358" width="11.125" style="2" bestFit="1" customWidth="1"/>
    <col min="3359" max="3359" width="9.625" style="2" bestFit="1" customWidth="1"/>
    <col min="3360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89" width="13.25" style="2" bestFit="1" customWidth="1"/>
    <col min="3590" max="3590" width="11.125" style="2" bestFit="1" customWidth="1"/>
    <col min="3591" max="3591" width="9" style="2" bestFit="1"/>
    <col min="3592" max="3592" width="11.125" style="2" bestFit="1" customWidth="1"/>
    <col min="3593" max="3593" width="9" style="2" bestFit="1"/>
    <col min="3594" max="3605" width="11.125" style="2" bestFit="1" customWidth="1"/>
    <col min="3606" max="3606" width="9" style="2" bestFit="1"/>
    <col min="3607" max="3607" width="8" style="2" bestFit="1" customWidth="1"/>
    <col min="3608" max="3614" width="11.125" style="2" bestFit="1" customWidth="1"/>
    <col min="3615" max="3615" width="9.625" style="2" bestFit="1" customWidth="1"/>
    <col min="3616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5" width="13.25" style="2" bestFit="1" customWidth="1"/>
    <col min="3846" max="3846" width="11.125" style="2" bestFit="1" customWidth="1"/>
    <col min="3847" max="3847" width="9" style="2" bestFit="1"/>
    <col min="3848" max="3848" width="11.125" style="2" bestFit="1" customWidth="1"/>
    <col min="3849" max="3849" width="9" style="2" bestFit="1"/>
    <col min="3850" max="3861" width="11.125" style="2" bestFit="1" customWidth="1"/>
    <col min="3862" max="3862" width="9" style="2" bestFit="1"/>
    <col min="3863" max="3863" width="8" style="2" bestFit="1" customWidth="1"/>
    <col min="3864" max="3870" width="11.125" style="2" bestFit="1" customWidth="1"/>
    <col min="3871" max="3871" width="9.625" style="2" bestFit="1" customWidth="1"/>
    <col min="3872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1" width="13.25" style="2" bestFit="1" customWidth="1"/>
    <col min="4102" max="4102" width="11.125" style="2" bestFit="1" customWidth="1"/>
    <col min="4103" max="4103" width="9" style="2" bestFit="1"/>
    <col min="4104" max="4104" width="11.125" style="2" bestFit="1" customWidth="1"/>
    <col min="4105" max="4105" width="9" style="2" bestFit="1"/>
    <col min="4106" max="4117" width="11.125" style="2" bestFit="1" customWidth="1"/>
    <col min="4118" max="4118" width="9" style="2" bestFit="1"/>
    <col min="4119" max="4119" width="8" style="2" bestFit="1" customWidth="1"/>
    <col min="4120" max="4126" width="11.125" style="2" bestFit="1" customWidth="1"/>
    <col min="4127" max="4127" width="9.625" style="2" bestFit="1" customWidth="1"/>
    <col min="4128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7" width="13.25" style="2" bestFit="1" customWidth="1"/>
    <col min="4358" max="4358" width="11.125" style="2" bestFit="1" customWidth="1"/>
    <col min="4359" max="4359" width="9" style="2" bestFit="1"/>
    <col min="4360" max="4360" width="11.125" style="2" bestFit="1" customWidth="1"/>
    <col min="4361" max="4361" width="9" style="2" bestFit="1"/>
    <col min="4362" max="4373" width="11.125" style="2" bestFit="1" customWidth="1"/>
    <col min="4374" max="4374" width="9" style="2" bestFit="1"/>
    <col min="4375" max="4375" width="8" style="2" bestFit="1" customWidth="1"/>
    <col min="4376" max="4382" width="11.125" style="2" bestFit="1" customWidth="1"/>
    <col min="4383" max="4383" width="9.625" style="2" bestFit="1" customWidth="1"/>
    <col min="4384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3" width="13.25" style="2" bestFit="1" customWidth="1"/>
    <col min="4614" max="4614" width="11.125" style="2" bestFit="1" customWidth="1"/>
    <col min="4615" max="4615" width="9" style="2" bestFit="1"/>
    <col min="4616" max="4616" width="11.125" style="2" bestFit="1" customWidth="1"/>
    <col min="4617" max="4617" width="9" style="2" bestFit="1"/>
    <col min="4618" max="4629" width="11.125" style="2" bestFit="1" customWidth="1"/>
    <col min="4630" max="4630" width="9" style="2" bestFit="1"/>
    <col min="4631" max="4631" width="8" style="2" bestFit="1" customWidth="1"/>
    <col min="4632" max="4638" width="11.125" style="2" bestFit="1" customWidth="1"/>
    <col min="4639" max="4639" width="9.625" style="2" bestFit="1" customWidth="1"/>
    <col min="4640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69" width="13.25" style="2" bestFit="1" customWidth="1"/>
    <col min="4870" max="4870" width="11.125" style="2" bestFit="1" customWidth="1"/>
    <col min="4871" max="4871" width="9" style="2" bestFit="1"/>
    <col min="4872" max="4872" width="11.125" style="2" bestFit="1" customWidth="1"/>
    <col min="4873" max="4873" width="9" style="2" bestFit="1"/>
    <col min="4874" max="4885" width="11.125" style="2" bestFit="1" customWidth="1"/>
    <col min="4886" max="4886" width="9" style="2" bestFit="1"/>
    <col min="4887" max="4887" width="8" style="2" bestFit="1" customWidth="1"/>
    <col min="4888" max="4894" width="11.125" style="2" bestFit="1" customWidth="1"/>
    <col min="4895" max="4895" width="9.625" style="2" bestFit="1" customWidth="1"/>
    <col min="4896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5" width="13.25" style="2" bestFit="1" customWidth="1"/>
    <col min="5126" max="5126" width="11.125" style="2" bestFit="1" customWidth="1"/>
    <col min="5127" max="5127" width="9" style="2" bestFit="1"/>
    <col min="5128" max="5128" width="11.125" style="2" bestFit="1" customWidth="1"/>
    <col min="5129" max="5129" width="9" style="2" bestFit="1"/>
    <col min="5130" max="5141" width="11.125" style="2" bestFit="1" customWidth="1"/>
    <col min="5142" max="5142" width="9" style="2" bestFit="1"/>
    <col min="5143" max="5143" width="8" style="2" bestFit="1" customWidth="1"/>
    <col min="5144" max="5150" width="11.125" style="2" bestFit="1" customWidth="1"/>
    <col min="5151" max="5151" width="9.625" style="2" bestFit="1" customWidth="1"/>
    <col min="5152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1" width="13.25" style="2" bestFit="1" customWidth="1"/>
    <col min="5382" max="5382" width="11.125" style="2" bestFit="1" customWidth="1"/>
    <col min="5383" max="5383" width="9" style="2" bestFit="1"/>
    <col min="5384" max="5384" width="11.125" style="2" bestFit="1" customWidth="1"/>
    <col min="5385" max="5385" width="9" style="2" bestFit="1"/>
    <col min="5386" max="5397" width="11.125" style="2" bestFit="1" customWidth="1"/>
    <col min="5398" max="5398" width="9" style="2" bestFit="1"/>
    <col min="5399" max="5399" width="8" style="2" bestFit="1" customWidth="1"/>
    <col min="5400" max="5406" width="11.125" style="2" bestFit="1" customWidth="1"/>
    <col min="5407" max="5407" width="9.625" style="2" bestFit="1" customWidth="1"/>
    <col min="5408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7" width="13.25" style="2" bestFit="1" customWidth="1"/>
    <col min="5638" max="5638" width="11.125" style="2" bestFit="1" customWidth="1"/>
    <col min="5639" max="5639" width="9" style="2" bestFit="1"/>
    <col min="5640" max="5640" width="11.125" style="2" bestFit="1" customWidth="1"/>
    <col min="5641" max="5641" width="9" style="2" bestFit="1"/>
    <col min="5642" max="5653" width="11.125" style="2" bestFit="1" customWidth="1"/>
    <col min="5654" max="5654" width="9" style="2" bestFit="1"/>
    <col min="5655" max="5655" width="8" style="2" bestFit="1" customWidth="1"/>
    <col min="5656" max="5662" width="11.125" style="2" bestFit="1" customWidth="1"/>
    <col min="5663" max="5663" width="9.625" style="2" bestFit="1" customWidth="1"/>
    <col min="5664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3" width="13.25" style="2" bestFit="1" customWidth="1"/>
    <col min="5894" max="5894" width="11.125" style="2" bestFit="1" customWidth="1"/>
    <col min="5895" max="5895" width="9" style="2" bestFit="1"/>
    <col min="5896" max="5896" width="11.125" style="2" bestFit="1" customWidth="1"/>
    <col min="5897" max="5897" width="9" style="2" bestFit="1"/>
    <col min="5898" max="5909" width="11.125" style="2" bestFit="1" customWidth="1"/>
    <col min="5910" max="5910" width="9" style="2" bestFit="1"/>
    <col min="5911" max="5911" width="8" style="2" bestFit="1" customWidth="1"/>
    <col min="5912" max="5918" width="11.125" style="2" bestFit="1" customWidth="1"/>
    <col min="5919" max="5919" width="9.625" style="2" bestFit="1" customWidth="1"/>
    <col min="5920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49" width="13.25" style="2" bestFit="1" customWidth="1"/>
    <col min="6150" max="6150" width="11.125" style="2" bestFit="1" customWidth="1"/>
    <col min="6151" max="6151" width="9" style="2" bestFit="1"/>
    <col min="6152" max="6152" width="11.125" style="2" bestFit="1" customWidth="1"/>
    <col min="6153" max="6153" width="9" style="2" bestFit="1"/>
    <col min="6154" max="6165" width="11.125" style="2" bestFit="1" customWidth="1"/>
    <col min="6166" max="6166" width="9" style="2" bestFit="1"/>
    <col min="6167" max="6167" width="8" style="2" bestFit="1" customWidth="1"/>
    <col min="6168" max="6174" width="11.125" style="2" bestFit="1" customWidth="1"/>
    <col min="6175" max="6175" width="9.625" style="2" bestFit="1" customWidth="1"/>
    <col min="6176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5" width="13.25" style="2" bestFit="1" customWidth="1"/>
    <col min="6406" max="6406" width="11.125" style="2" bestFit="1" customWidth="1"/>
    <col min="6407" max="6407" width="9" style="2" bestFit="1"/>
    <col min="6408" max="6408" width="11.125" style="2" bestFit="1" customWidth="1"/>
    <col min="6409" max="6409" width="9" style="2" bestFit="1"/>
    <col min="6410" max="6421" width="11.125" style="2" bestFit="1" customWidth="1"/>
    <col min="6422" max="6422" width="9" style="2" bestFit="1"/>
    <col min="6423" max="6423" width="8" style="2" bestFit="1" customWidth="1"/>
    <col min="6424" max="6430" width="11.125" style="2" bestFit="1" customWidth="1"/>
    <col min="6431" max="6431" width="9.625" style="2" bestFit="1" customWidth="1"/>
    <col min="6432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1" width="13.25" style="2" bestFit="1" customWidth="1"/>
    <col min="6662" max="6662" width="11.125" style="2" bestFit="1" customWidth="1"/>
    <col min="6663" max="6663" width="9" style="2" bestFit="1"/>
    <col min="6664" max="6664" width="11.125" style="2" bestFit="1" customWidth="1"/>
    <col min="6665" max="6665" width="9" style="2" bestFit="1"/>
    <col min="6666" max="6677" width="11.125" style="2" bestFit="1" customWidth="1"/>
    <col min="6678" max="6678" width="9" style="2" bestFit="1"/>
    <col min="6679" max="6679" width="8" style="2" bestFit="1" customWidth="1"/>
    <col min="6680" max="6686" width="11.125" style="2" bestFit="1" customWidth="1"/>
    <col min="6687" max="6687" width="9.625" style="2" bestFit="1" customWidth="1"/>
    <col min="6688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7" width="13.25" style="2" bestFit="1" customWidth="1"/>
    <col min="6918" max="6918" width="11.125" style="2" bestFit="1" customWidth="1"/>
    <col min="6919" max="6919" width="9" style="2" bestFit="1"/>
    <col min="6920" max="6920" width="11.125" style="2" bestFit="1" customWidth="1"/>
    <col min="6921" max="6921" width="9" style="2" bestFit="1"/>
    <col min="6922" max="6933" width="11.125" style="2" bestFit="1" customWidth="1"/>
    <col min="6934" max="6934" width="9" style="2" bestFit="1"/>
    <col min="6935" max="6935" width="8" style="2" bestFit="1" customWidth="1"/>
    <col min="6936" max="6942" width="11.125" style="2" bestFit="1" customWidth="1"/>
    <col min="6943" max="6943" width="9.625" style="2" bestFit="1" customWidth="1"/>
    <col min="6944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3" width="13.25" style="2" bestFit="1" customWidth="1"/>
    <col min="7174" max="7174" width="11.125" style="2" bestFit="1" customWidth="1"/>
    <col min="7175" max="7175" width="9" style="2" bestFit="1"/>
    <col min="7176" max="7176" width="11.125" style="2" bestFit="1" customWidth="1"/>
    <col min="7177" max="7177" width="9" style="2" bestFit="1"/>
    <col min="7178" max="7189" width="11.125" style="2" bestFit="1" customWidth="1"/>
    <col min="7190" max="7190" width="9" style="2" bestFit="1"/>
    <col min="7191" max="7191" width="8" style="2" bestFit="1" customWidth="1"/>
    <col min="7192" max="7198" width="11.125" style="2" bestFit="1" customWidth="1"/>
    <col min="7199" max="7199" width="9.625" style="2" bestFit="1" customWidth="1"/>
    <col min="7200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29" width="13.25" style="2" bestFit="1" customWidth="1"/>
    <col min="7430" max="7430" width="11.125" style="2" bestFit="1" customWidth="1"/>
    <col min="7431" max="7431" width="9" style="2" bestFit="1"/>
    <col min="7432" max="7432" width="11.125" style="2" bestFit="1" customWidth="1"/>
    <col min="7433" max="7433" width="9" style="2" bestFit="1"/>
    <col min="7434" max="7445" width="11.125" style="2" bestFit="1" customWidth="1"/>
    <col min="7446" max="7446" width="9" style="2" bestFit="1"/>
    <col min="7447" max="7447" width="8" style="2" bestFit="1" customWidth="1"/>
    <col min="7448" max="7454" width="11.125" style="2" bestFit="1" customWidth="1"/>
    <col min="7455" max="7455" width="9.625" style="2" bestFit="1" customWidth="1"/>
    <col min="7456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5" width="13.25" style="2" bestFit="1" customWidth="1"/>
    <col min="7686" max="7686" width="11.125" style="2" bestFit="1" customWidth="1"/>
    <col min="7687" max="7687" width="9" style="2" bestFit="1"/>
    <col min="7688" max="7688" width="11.125" style="2" bestFit="1" customWidth="1"/>
    <col min="7689" max="7689" width="9" style="2" bestFit="1"/>
    <col min="7690" max="7701" width="11.125" style="2" bestFit="1" customWidth="1"/>
    <col min="7702" max="7702" width="9" style="2" bestFit="1"/>
    <col min="7703" max="7703" width="8" style="2" bestFit="1" customWidth="1"/>
    <col min="7704" max="7710" width="11.125" style="2" bestFit="1" customWidth="1"/>
    <col min="7711" max="7711" width="9.625" style="2" bestFit="1" customWidth="1"/>
    <col min="7712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1" width="13.25" style="2" bestFit="1" customWidth="1"/>
    <col min="7942" max="7942" width="11.125" style="2" bestFit="1" customWidth="1"/>
    <col min="7943" max="7943" width="9" style="2" bestFit="1"/>
    <col min="7944" max="7944" width="11.125" style="2" bestFit="1" customWidth="1"/>
    <col min="7945" max="7945" width="9" style="2" bestFit="1"/>
    <col min="7946" max="7957" width="11.125" style="2" bestFit="1" customWidth="1"/>
    <col min="7958" max="7958" width="9" style="2" bestFit="1"/>
    <col min="7959" max="7959" width="8" style="2" bestFit="1" customWidth="1"/>
    <col min="7960" max="7966" width="11.125" style="2" bestFit="1" customWidth="1"/>
    <col min="7967" max="7967" width="9.625" style="2" bestFit="1" customWidth="1"/>
    <col min="7968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7" width="13.25" style="2" bestFit="1" customWidth="1"/>
    <col min="8198" max="8198" width="11.125" style="2" bestFit="1" customWidth="1"/>
    <col min="8199" max="8199" width="9" style="2" bestFit="1"/>
    <col min="8200" max="8200" width="11.125" style="2" bestFit="1" customWidth="1"/>
    <col min="8201" max="8201" width="9" style="2" bestFit="1"/>
    <col min="8202" max="8213" width="11.125" style="2" bestFit="1" customWidth="1"/>
    <col min="8214" max="8214" width="9" style="2" bestFit="1"/>
    <col min="8215" max="8215" width="8" style="2" bestFit="1" customWidth="1"/>
    <col min="8216" max="8222" width="11.125" style="2" bestFit="1" customWidth="1"/>
    <col min="8223" max="8223" width="9.625" style="2" bestFit="1" customWidth="1"/>
    <col min="8224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3" width="13.25" style="2" bestFit="1" customWidth="1"/>
    <col min="8454" max="8454" width="11.125" style="2" bestFit="1" customWidth="1"/>
    <col min="8455" max="8455" width="9" style="2" bestFit="1"/>
    <col min="8456" max="8456" width="11.125" style="2" bestFit="1" customWidth="1"/>
    <col min="8457" max="8457" width="9" style="2" bestFit="1"/>
    <col min="8458" max="8469" width="11.125" style="2" bestFit="1" customWidth="1"/>
    <col min="8470" max="8470" width="9" style="2" bestFit="1"/>
    <col min="8471" max="8471" width="8" style="2" bestFit="1" customWidth="1"/>
    <col min="8472" max="8478" width="11.125" style="2" bestFit="1" customWidth="1"/>
    <col min="8479" max="8479" width="9.625" style="2" bestFit="1" customWidth="1"/>
    <col min="8480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09" width="13.25" style="2" bestFit="1" customWidth="1"/>
    <col min="8710" max="8710" width="11.125" style="2" bestFit="1" customWidth="1"/>
    <col min="8711" max="8711" width="9" style="2" bestFit="1"/>
    <col min="8712" max="8712" width="11.125" style="2" bestFit="1" customWidth="1"/>
    <col min="8713" max="8713" width="9" style="2" bestFit="1"/>
    <col min="8714" max="8725" width="11.125" style="2" bestFit="1" customWidth="1"/>
    <col min="8726" max="8726" width="9" style="2" bestFit="1"/>
    <col min="8727" max="8727" width="8" style="2" bestFit="1" customWidth="1"/>
    <col min="8728" max="8734" width="11.125" style="2" bestFit="1" customWidth="1"/>
    <col min="8735" max="8735" width="9.625" style="2" bestFit="1" customWidth="1"/>
    <col min="8736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5" width="13.25" style="2" bestFit="1" customWidth="1"/>
    <col min="8966" max="8966" width="11.125" style="2" bestFit="1" customWidth="1"/>
    <col min="8967" max="8967" width="9" style="2" bestFit="1"/>
    <col min="8968" max="8968" width="11.125" style="2" bestFit="1" customWidth="1"/>
    <col min="8969" max="8969" width="9" style="2" bestFit="1"/>
    <col min="8970" max="8981" width="11.125" style="2" bestFit="1" customWidth="1"/>
    <col min="8982" max="8982" width="9" style="2" bestFit="1"/>
    <col min="8983" max="8983" width="8" style="2" bestFit="1" customWidth="1"/>
    <col min="8984" max="8990" width="11.125" style="2" bestFit="1" customWidth="1"/>
    <col min="8991" max="8991" width="9.625" style="2" bestFit="1" customWidth="1"/>
    <col min="8992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1" width="13.25" style="2" bestFit="1" customWidth="1"/>
    <col min="9222" max="9222" width="11.125" style="2" bestFit="1" customWidth="1"/>
    <col min="9223" max="9223" width="9" style="2" bestFit="1"/>
    <col min="9224" max="9224" width="11.125" style="2" bestFit="1" customWidth="1"/>
    <col min="9225" max="9225" width="9" style="2" bestFit="1"/>
    <col min="9226" max="9237" width="11.125" style="2" bestFit="1" customWidth="1"/>
    <col min="9238" max="9238" width="9" style="2" bestFit="1"/>
    <col min="9239" max="9239" width="8" style="2" bestFit="1" customWidth="1"/>
    <col min="9240" max="9246" width="11.125" style="2" bestFit="1" customWidth="1"/>
    <col min="9247" max="9247" width="9.625" style="2" bestFit="1" customWidth="1"/>
    <col min="9248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7" width="13.25" style="2" bestFit="1" customWidth="1"/>
    <col min="9478" max="9478" width="11.125" style="2" bestFit="1" customWidth="1"/>
    <col min="9479" max="9479" width="9" style="2" bestFit="1"/>
    <col min="9480" max="9480" width="11.125" style="2" bestFit="1" customWidth="1"/>
    <col min="9481" max="9481" width="9" style="2" bestFit="1"/>
    <col min="9482" max="9493" width="11.125" style="2" bestFit="1" customWidth="1"/>
    <col min="9494" max="9494" width="9" style="2" bestFit="1"/>
    <col min="9495" max="9495" width="8" style="2" bestFit="1" customWidth="1"/>
    <col min="9496" max="9502" width="11.125" style="2" bestFit="1" customWidth="1"/>
    <col min="9503" max="9503" width="9.625" style="2" bestFit="1" customWidth="1"/>
    <col min="9504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3" width="13.25" style="2" bestFit="1" customWidth="1"/>
    <col min="9734" max="9734" width="11.125" style="2" bestFit="1" customWidth="1"/>
    <col min="9735" max="9735" width="9" style="2" bestFit="1"/>
    <col min="9736" max="9736" width="11.125" style="2" bestFit="1" customWidth="1"/>
    <col min="9737" max="9737" width="9" style="2" bestFit="1"/>
    <col min="9738" max="9749" width="11.125" style="2" bestFit="1" customWidth="1"/>
    <col min="9750" max="9750" width="9" style="2" bestFit="1"/>
    <col min="9751" max="9751" width="8" style="2" bestFit="1" customWidth="1"/>
    <col min="9752" max="9758" width="11.125" style="2" bestFit="1" customWidth="1"/>
    <col min="9759" max="9759" width="9.625" style="2" bestFit="1" customWidth="1"/>
    <col min="9760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89" width="13.25" style="2" bestFit="1" customWidth="1"/>
    <col min="9990" max="9990" width="11.125" style="2" bestFit="1" customWidth="1"/>
    <col min="9991" max="9991" width="9" style="2" bestFit="1"/>
    <col min="9992" max="9992" width="11.125" style="2" bestFit="1" customWidth="1"/>
    <col min="9993" max="9993" width="9" style="2" bestFit="1"/>
    <col min="9994" max="10005" width="11.125" style="2" bestFit="1" customWidth="1"/>
    <col min="10006" max="10006" width="9" style="2" bestFit="1"/>
    <col min="10007" max="10007" width="8" style="2" bestFit="1" customWidth="1"/>
    <col min="10008" max="10014" width="11.125" style="2" bestFit="1" customWidth="1"/>
    <col min="10015" max="10015" width="9.625" style="2" bestFit="1" customWidth="1"/>
    <col min="10016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5" width="13.25" style="2" bestFit="1" customWidth="1"/>
    <col min="10246" max="10246" width="11.125" style="2" bestFit="1" customWidth="1"/>
    <col min="10247" max="10247" width="9" style="2" bestFit="1"/>
    <col min="10248" max="10248" width="11.125" style="2" bestFit="1" customWidth="1"/>
    <col min="10249" max="10249" width="9" style="2" bestFit="1"/>
    <col min="10250" max="10261" width="11.125" style="2" bestFit="1" customWidth="1"/>
    <col min="10262" max="10262" width="9" style="2" bestFit="1"/>
    <col min="10263" max="10263" width="8" style="2" bestFit="1" customWidth="1"/>
    <col min="10264" max="10270" width="11.125" style="2" bestFit="1" customWidth="1"/>
    <col min="10271" max="10271" width="9.625" style="2" bestFit="1" customWidth="1"/>
    <col min="10272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1" width="13.25" style="2" bestFit="1" customWidth="1"/>
    <col min="10502" max="10502" width="11.125" style="2" bestFit="1" customWidth="1"/>
    <col min="10503" max="10503" width="9" style="2" bestFit="1"/>
    <col min="10504" max="10504" width="11.125" style="2" bestFit="1" customWidth="1"/>
    <col min="10505" max="10505" width="9" style="2" bestFit="1"/>
    <col min="10506" max="10517" width="11.125" style="2" bestFit="1" customWidth="1"/>
    <col min="10518" max="10518" width="9" style="2" bestFit="1"/>
    <col min="10519" max="10519" width="8" style="2" bestFit="1" customWidth="1"/>
    <col min="10520" max="10526" width="11.125" style="2" bestFit="1" customWidth="1"/>
    <col min="10527" max="10527" width="9.625" style="2" bestFit="1" customWidth="1"/>
    <col min="10528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7" width="13.25" style="2" bestFit="1" customWidth="1"/>
    <col min="10758" max="10758" width="11.125" style="2" bestFit="1" customWidth="1"/>
    <col min="10759" max="10759" width="9" style="2" bestFit="1"/>
    <col min="10760" max="10760" width="11.125" style="2" bestFit="1" customWidth="1"/>
    <col min="10761" max="10761" width="9" style="2" bestFit="1"/>
    <col min="10762" max="10773" width="11.125" style="2" bestFit="1" customWidth="1"/>
    <col min="10774" max="10774" width="9" style="2" bestFit="1"/>
    <col min="10775" max="10775" width="8" style="2" bestFit="1" customWidth="1"/>
    <col min="10776" max="10782" width="11.125" style="2" bestFit="1" customWidth="1"/>
    <col min="10783" max="10783" width="9.625" style="2" bestFit="1" customWidth="1"/>
    <col min="10784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3" width="13.25" style="2" bestFit="1" customWidth="1"/>
    <col min="11014" max="11014" width="11.125" style="2" bestFit="1" customWidth="1"/>
    <col min="11015" max="11015" width="9" style="2" bestFit="1"/>
    <col min="11016" max="11016" width="11.125" style="2" bestFit="1" customWidth="1"/>
    <col min="11017" max="11017" width="9" style="2" bestFit="1"/>
    <col min="11018" max="11029" width="11.125" style="2" bestFit="1" customWidth="1"/>
    <col min="11030" max="11030" width="9" style="2" bestFit="1"/>
    <col min="11031" max="11031" width="8" style="2" bestFit="1" customWidth="1"/>
    <col min="11032" max="11038" width="11.125" style="2" bestFit="1" customWidth="1"/>
    <col min="11039" max="11039" width="9.625" style="2" bestFit="1" customWidth="1"/>
    <col min="11040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69" width="13.25" style="2" bestFit="1" customWidth="1"/>
    <col min="11270" max="11270" width="11.125" style="2" bestFit="1" customWidth="1"/>
    <col min="11271" max="11271" width="9" style="2" bestFit="1"/>
    <col min="11272" max="11272" width="11.125" style="2" bestFit="1" customWidth="1"/>
    <col min="11273" max="11273" width="9" style="2" bestFit="1"/>
    <col min="11274" max="11285" width="11.125" style="2" bestFit="1" customWidth="1"/>
    <col min="11286" max="11286" width="9" style="2" bestFit="1"/>
    <col min="11287" max="11287" width="8" style="2" bestFit="1" customWidth="1"/>
    <col min="11288" max="11294" width="11.125" style="2" bestFit="1" customWidth="1"/>
    <col min="11295" max="11295" width="9.625" style="2" bestFit="1" customWidth="1"/>
    <col min="11296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5" width="13.25" style="2" bestFit="1" customWidth="1"/>
    <col min="11526" max="11526" width="11.125" style="2" bestFit="1" customWidth="1"/>
    <col min="11527" max="11527" width="9" style="2" bestFit="1"/>
    <col min="11528" max="11528" width="11.125" style="2" bestFit="1" customWidth="1"/>
    <col min="11529" max="11529" width="9" style="2" bestFit="1"/>
    <col min="11530" max="11541" width="11.125" style="2" bestFit="1" customWidth="1"/>
    <col min="11542" max="11542" width="9" style="2" bestFit="1"/>
    <col min="11543" max="11543" width="8" style="2" bestFit="1" customWidth="1"/>
    <col min="11544" max="11550" width="11.125" style="2" bestFit="1" customWidth="1"/>
    <col min="11551" max="11551" width="9.625" style="2" bestFit="1" customWidth="1"/>
    <col min="11552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1" width="13.25" style="2" bestFit="1" customWidth="1"/>
    <col min="11782" max="11782" width="11.125" style="2" bestFit="1" customWidth="1"/>
    <col min="11783" max="11783" width="9" style="2" bestFit="1"/>
    <col min="11784" max="11784" width="11.125" style="2" bestFit="1" customWidth="1"/>
    <col min="11785" max="11785" width="9" style="2" bestFit="1"/>
    <col min="11786" max="11797" width="11.125" style="2" bestFit="1" customWidth="1"/>
    <col min="11798" max="11798" width="9" style="2" bestFit="1"/>
    <col min="11799" max="11799" width="8" style="2" bestFit="1" customWidth="1"/>
    <col min="11800" max="11806" width="11.125" style="2" bestFit="1" customWidth="1"/>
    <col min="11807" max="11807" width="9.625" style="2" bestFit="1" customWidth="1"/>
    <col min="11808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7" width="13.25" style="2" bestFit="1" customWidth="1"/>
    <col min="12038" max="12038" width="11.125" style="2" bestFit="1" customWidth="1"/>
    <col min="12039" max="12039" width="9" style="2" bestFit="1"/>
    <col min="12040" max="12040" width="11.125" style="2" bestFit="1" customWidth="1"/>
    <col min="12041" max="12041" width="9" style="2" bestFit="1"/>
    <col min="12042" max="12053" width="11.125" style="2" bestFit="1" customWidth="1"/>
    <col min="12054" max="12054" width="9" style="2" bestFit="1"/>
    <col min="12055" max="12055" width="8" style="2" bestFit="1" customWidth="1"/>
    <col min="12056" max="12062" width="11.125" style="2" bestFit="1" customWidth="1"/>
    <col min="12063" max="12063" width="9.625" style="2" bestFit="1" customWidth="1"/>
    <col min="12064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3" width="13.25" style="2" bestFit="1" customWidth="1"/>
    <col min="12294" max="12294" width="11.125" style="2" bestFit="1" customWidth="1"/>
    <col min="12295" max="12295" width="9" style="2" bestFit="1"/>
    <col min="12296" max="12296" width="11.125" style="2" bestFit="1" customWidth="1"/>
    <col min="12297" max="12297" width="9" style="2" bestFit="1"/>
    <col min="12298" max="12309" width="11.125" style="2" bestFit="1" customWidth="1"/>
    <col min="12310" max="12310" width="9" style="2" bestFit="1"/>
    <col min="12311" max="12311" width="8" style="2" bestFit="1" customWidth="1"/>
    <col min="12312" max="12318" width="11.125" style="2" bestFit="1" customWidth="1"/>
    <col min="12319" max="12319" width="9.625" style="2" bestFit="1" customWidth="1"/>
    <col min="12320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49" width="13.25" style="2" bestFit="1" customWidth="1"/>
    <col min="12550" max="12550" width="11.125" style="2" bestFit="1" customWidth="1"/>
    <col min="12551" max="12551" width="9" style="2" bestFit="1"/>
    <col min="12552" max="12552" width="11.125" style="2" bestFit="1" customWidth="1"/>
    <col min="12553" max="12553" width="9" style="2" bestFit="1"/>
    <col min="12554" max="12565" width="11.125" style="2" bestFit="1" customWidth="1"/>
    <col min="12566" max="12566" width="9" style="2" bestFit="1"/>
    <col min="12567" max="12567" width="8" style="2" bestFit="1" customWidth="1"/>
    <col min="12568" max="12574" width="11.125" style="2" bestFit="1" customWidth="1"/>
    <col min="12575" max="12575" width="9.625" style="2" bestFit="1" customWidth="1"/>
    <col min="12576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5" width="13.25" style="2" bestFit="1" customWidth="1"/>
    <col min="12806" max="12806" width="11.125" style="2" bestFit="1" customWidth="1"/>
    <col min="12807" max="12807" width="9" style="2" bestFit="1"/>
    <col min="12808" max="12808" width="11.125" style="2" bestFit="1" customWidth="1"/>
    <col min="12809" max="12809" width="9" style="2" bestFit="1"/>
    <col min="12810" max="12821" width="11.125" style="2" bestFit="1" customWidth="1"/>
    <col min="12822" max="12822" width="9" style="2" bestFit="1"/>
    <col min="12823" max="12823" width="8" style="2" bestFit="1" customWidth="1"/>
    <col min="12824" max="12830" width="11.125" style="2" bestFit="1" customWidth="1"/>
    <col min="12831" max="12831" width="9.625" style="2" bestFit="1" customWidth="1"/>
    <col min="12832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1" width="13.25" style="2" bestFit="1" customWidth="1"/>
    <col min="13062" max="13062" width="11.125" style="2" bestFit="1" customWidth="1"/>
    <col min="13063" max="13063" width="9" style="2" bestFit="1"/>
    <col min="13064" max="13064" width="11.125" style="2" bestFit="1" customWidth="1"/>
    <col min="13065" max="13065" width="9" style="2" bestFit="1"/>
    <col min="13066" max="13077" width="11.125" style="2" bestFit="1" customWidth="1"/>
    <col min="13078" max="13078" width="9" style="2" bestFit="1"/>
    <col min="13079" max="13079" width="8" style="2" bestFit="1" customWidth="1"/>
    <col min="13080" max="13086" width="11.125" style="2" bestFit="1" customWidth="1"/>
    <col min="13087" max="13087" width="9.625" style="2" bestFit="1" customWidth="1"/>
    <col min="13088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7" width="13.25" style="2" bestFit="1" customWidth="1"/>
    <col min="13318" max="13318" width="11.125" style="2" bestFit="1" customWidth="1"/>
    <col min="13319" max="13319" width="9" style="2" bestFit="1"/>
    <col min="13320" max="13320" width="11.125" style="2" bestFit="1" customWidth="1"/>
    <col min="13321" max="13321" width="9" style="2" bestFit="1"/>
    <col min="13322" max="13333" width="11.125" style="2" bestFit="1" customWidth="1"/>
    <col min="13334" max="13334" width="9" style="2" bestFit="1"/>
    <col min="13335" max="13335" width="8" style="2" bestFit="1" customWidth="1"/>
    <col min="13336" max="13342" width="11.125" style="2" bestFit="1" customWidth="1"/>
    <col min="13343" max="13343" width="9.625" style="2" bestFit="1" customWidth="1"/>
    <col min="13344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3" width="13.25" style="2" bestFit="1" customWidth="1"/>
    <col min="13574" max="13574" width="11.125" style="2" bestFit="1" customWidth="1"/>
    <col min="13575" max="13575" width="9" style="2" bestFit="1"/>
    <col min="13576" max="13576" width="11.125" style="2" bestFit="1" customWidth="1"/>
    <col min="13577" max="13577" width="9" style="2" bestFit="1"/>
    <col min="13578" max="13589" width="11.125" style="2" bestFit="1" customWidth="1"/>
    <col min="13590" max="13590" width="9" style="2" bestFit="1"/>
    <col min="13591" max="13591" width="8" style="2" bestFit="1" customWidth="1"/>
    <col min="13592" max="13598" width="11.125" style="2" bestFit="1" customWidth="1"/>
    <col min="13599" max="13599" width="9.625" style="2" bestFit="1" customWidth="1"/>
    <col min="13600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29" width="13.25" style="2" bestFit="1" customWidth="1"/>
    <col min="13830" max="13830" width="11.125" style="2" bestFit="1" customWidth="1"/>
    <col min="13831" max="13831" width="9" style="2" bestFit="1"/>
    <col min="13832" max="13832" width="11.125" style="2" bestFit="1" customWidth="1"/>
    <col min="13833" max="13833" width="9" style="2" bestFit="1"/>
    <col min="13834" max="13845" width="11.125" style="2" bestFit="1" customWidth="1"/>
    <col min="13846" max="13846" width="9" style="2" bestFit="1"/>
    <col min="13847" max="13847" width="8" style="2" bestFit="1" customWidth="1"/>
    <col min="13848" max="13854" width="11.125" style="2" bestFit="1" customWidth="1"/>
    <col min="13855" max="13855" width="9.625" style="2" bestFit="1" customWidth="1"/>
    <col min="13856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5" width="13.25" style="2" bestFit="1" customWidth="1"/>
    <col min="14086" max="14086" width="11.125" style="2" bestFit="1" customWidth="1"/>
    <col min="14087" max="14087" width="9" style="2" bestFit="1"/>
    <col min="14088" max="14088" width="11.125" style="2" bestFit="1" customWidth="1"/>
    <col min="14089" max="14089" width="9" style="2" bestFit="1"/>
    <col min="14090" max="14101" width="11.125" style="2" bestFit="1" customWidth="1"/>
    <col min="14102" max="14102" width="9" style="2" bestFit="1"/>
    <col min="14103" max="14103" width="8" style="2" bestFit="1" customWidth="1"/>
    <col min="14104" max="14110" width="11.125" style="2" bestFit="1" customWidth="1"/>
    <col min="14111" max="14111" width="9.625" style="2" bestFit="1" customWidth="1"/>
    <col min="14112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1" width="13.25" style="2" bestFit="1" customWidth="1"/>
    <col min="14342" max="14342" width="11.125" style="2" bestFit="1" customWidth="1"/>
    <col min="14343" max="14343" width="9" style="2" bestFit="1"/>
    <col min="14344" max="14344" width="11.125" style="2" bestFit="1" customWidth="1"/>
    <col min="14345" max="14345" width="9" style="2" bestFit="1"/>
    <col min="14346" max="14357" width="11.125" style="2" bestFit="1" customWidth="1"/>
    <col min="14358" max="14358" width="9" style="2" bestFit="1"/>
    <col min="14359" max="14359" width="8" style="2" bestFit="1" customWidth="1"/>
    <col min="14360" max="14366" width="11.125" style="2" bestFit="1" customWidth="1"/>
    <col min="14367" max="14367" width="9.625" style="2" bestFit="1" customWidth="1"/>
    <col min="14368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7" width="13.25" style="2" bestFit="1" customWidth="1"/>
    <col min="14598" max="14598" width="11.125" style="2" bestFit="1" customWidth="1"/>
    <col min="14599" max="14599" width="9" style="2" bestFit="1"/>
    <col min="14600" max="14600" width="11.125" style="2" bestFit="1" customWidth="1"/>
    <col min="14601" max="14601" width="9" style="2" bestFit="1"/>
    <col min="14602" max="14613" width="11.125" style="2" bestFit="1" customWidth="1"/>
    <col min="14614" max="14614" width="9" style="2" bestFit="1"/>
    <col min="14615" max="14615" width="8" style="2" bestFit="1" customWidth="1"/>
    <col min="14616" max="14622" width="11.125" style="2" bestFit="1" customWidth="1"/>
    <col min="14623" max="14623" width="9.625" style="2" bestFit="1" customWidth="1"/>
    <col min="14624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3" width="13.25" style="2" bestFit="1" customWidth="1"/>
    <col min="14854" max="14854" width="11.125" style="2" bestFit="1" customWidth="1"/>
    <col min="14855" max="14855" width="9" style="2" bestFit="1"/>
    <col min="14856" max="14856" width="11.125" style="2" bestFit="1" customWidth="1"/>
    <col min="14857" max="14857" width="9" style="2" bestFit="1"/>
    <col min="14858" max="14869" width="11.125" style="2" bestFit="1" customWidth="1"/>
    <col min="14870" max="14870" width="9" style="2" bestFit="1"/>
    <col min="14871" max="14871" width="8" style="2" bestFit="1" customWidth="1"/>
    <col min="14872" max="14878" width="11.125" style="2" bestFit="1" customWidth="1"/>
    <col min="14879" max="14879" width="9.625" style="2" bestFit="1" customWidth="1"/>
    <col min="14880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09" width="13.25" style="2" bestFit="1" customWidth="1"/>
    <col min="15110" max="15110" width="11.125" style="2" bestFit="1" customWidth="1"/>
    <col min="15111" max="15111" width="9" style="2" bestFit="1"/>
    <col min="15112" max="15112" width="11.125" style="2" bestFit="1" customWidth="1"/>
    <col min="15113" max="15113" width="9" style="2" bestFit="1"/>
    <col min="15114" max="15125" width="11.125" style="2" bestFit="1" customWidth="1"/>
    <col min="15126" max="15126" width="9" style="2" bestFit="1"/>
    <col min="15127" max="15127" width="8" style="2" bestFit="1" customWidth="1"/>
    <col min="15128" max="15134" width="11.125" style="2" bestFit="1" customWidth="1"/>
    <col min="15135" max="15135" width="9.625" style="2" bestFit="1" customWidth="1"/>
    <col min="15136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5" width="13.25" style="2" bestFit="1" customWidth="1"/>
    <col min="15366" max="15366" width="11.125" style="2" bestFit="1" customWidth="1"/>
    <col min="15367" max="15367" width="9" style="2" bestFit="1"/>
    <col min="15368" max="15368" width="11.125" style="2" bestFit="1" customWidth="1"/>
    <col min="15369" max="15369" width="9" style="2" bestFit="1"/>
    <col min="15370" max="15381" width="11.125" style="2" bestFit="1" customWidth="1"/>
    <col min="15382" max="15382" width="9" style="2" bestFit="1"/>
    <col min="15383" max="15383" width="8" style="2" bestFit="1" customWidth="1"/>
    <col min="15384" max="15390" width="11.125" style="2" bestFit="1" customWidth="1"/>
    <col min="15391" max="15391" width="9.625" style="2" bestFit="1" customWidth="1"/>
    <col min="15392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1" width="13.25" style="2" bestFit="1" customWidth="1"/>
    <col min="15622" max="15622" width="11.125" style="2" bestFit="1" customWidth="1"/>
    <col min="15623" max="15623" width="9" style="2" bestFit="1"/>
    <col min="15624" max="15624" width="11.125" style="2" bestFit="1" customWidth="1"/>
    <col min="15625" max="15625" width="9" style="2" bestFit="1"/>
    <col min="15626" max="15637" width="11.125" style="2" bestFit="1" customWidth="1"/>
    <col min="15638" max="15638" width="9" style="2" bestFit="1"/>
    <col min="15639" max="15639" width="8" style="2" bestFit="1" customWidth="1"/>
    <col min="15640" max="15646" width="11.125" style="2" bestFit="1" customWidth="1"/>
    <col min="15647" max="15647" width="9.625" style="2" bestFit="1" customWidth="1"/>
    <col min="15648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7" width="13.25" style="2" bestFit="1" customWidth="1"/>
    <col min="15878" max="15878" width="11.125" style="2" bestFit="1" customWidth="1"/>
    <col min="15879" max="15879" width="9" style="2" bestFit="1"/>
    <col min="15880" max="15880" width="11.125" style="2" bestFit="1" customWidth="1"/>
    <col min="15881" max="15881" width="9" style="2" bestFit="1"/>
    <col min="15882" max="15893" width="11.125" style="2" bestFit="1" customWidth="1"/>
    <col min="15894" max="15894" width="9" style="2" bestFit="1"/>
    <col min="15895" max="15895" width="8" style="2" bestFit="1" customWidth="1"/>
    <col min="15896" max="15902" width="11.125" style="2" bestFit="1" customWidth="1"/>
    <col min="15903" max="15903" width="9.625" style="2" bestFit="1" customWidth="1"/>
    <col min="15904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3" width="13.25" style="2" bestFit="1" customWidth="1"/>
    <col min="16134" max="16134" width="11.125" style="2" bestFit="1" customWidth="1"/>
    <col min="16135" max="16135" width="9" style="2" bestFit="1"/>
    <col min="16136" max="16136" width="11.125" style="2" bestFit="1" customWidth="1"/>
    <col min="16137" max="16137" width="9" style="2" bestFit="1"/>
    <col min="16138" max="16149" width="11.125" style="2" bestFit="1" customWidth="1"/>
    <col min="16150" max="16150" width="9" style="2" bestFit="1"/>
    <col min="16151" max="16151" width="8" style="2" bestFit="1" customWidth="1"/>
    <col min="16152" max="16158" width="11.125" style="2" bestFit="1" customWidth="1"/>
    <col min="16159" max="16159" width="9.625" style="2" bestFit="1" customWidth="1"/>
    <col min="16160" max="16384" width="9" style="2"/>
  </cols>
  <sheetData>
    <row r="1" spans="1:31">
      <c r="A1" s="1" t="s">
        <v>0</v>
      </c>
    </row>
    <row r="2" spans="1:31">
      <c r="A2" s="1"/>
    </row>
    <row r="3" spans="1:31">
      <c r="A3" s="1" t="s">
        <v>1</v>
      </c>
    </row>
    <row r="4" spans="1:31">
      <c r="A4" s="1" t="s">
        <v>2</v>
      </c>
    </row>
    <row r="5" spans="1:31">
      <c r="A5" s="1" t="s">
        <v>3</v>
      </c>
    </row>
    <row r="6" spans="1:31" ht="19.5" thickBot="1">
      <c r="A6" s="1" t="s">
        <v>138</v>
      </c>
    </row>
    <row r="7" spans="1:31">
      <c r="B7" s="4"/>
      <c r="C7" s="12" t="s">
        <v>4</v>
      </c>
      <c r="D7" s="13" t="s">
        <v>5</v>
      </c>
      <c r="E7" s="13" t="s">
        <v>6</v>
      </c>
      <c r="F7" s="13" t="s">
        <v>7</v>
      </c>
      <c r="G7" s="13" t="s">
        <v>8</v>
      </c>
      <c r="H7" s="13" t="s">
        <v>9</v>
      </c>
      <c r="I7" s="13" t="s">
        <v>10</v>
      </c>
      <c r="J7" s="13" t="s">
        <v>11</v>
      </c>
      <c r="K7" s="13" t="s">
        <v>12</v>
      </c>
      <c r="L7" s="13" t="s">
        <v>13</v>
      </c>
      <c r="M7" s="13" t="s">
        <v>14</v>
      </c>
      <c r="N7" s="13" t="s">
        <v>15</v>
      </c>
      <c r="O7" s="13" t="s">
        <v>16</v>
      </c>
      <c r="P7" s="13" t="s">
        <v>17</v>
      </c>
      <c r="Q7" s="13" t="s">
        <v>18</v>
      </c>
      <c r="R7" s="13" t="s">
        <v>19</v>
      </c>
      <c r="S7" s="13" t="s">
        <v>20</v>
      </c>
      <c r="T7" s="13" t="s">
        <v>21</v>
      </c>
      <c r="U7" s="13" t="s">
        <v>22</v>
      </c>
      <c r="V7" s="13" t="s">
        <v>23</v>
      </c>
      <c r="W7" s="13" t="s">
        <v>24</v>
      </c>
      <c r="X7" s="13" t="s">
        <v>25</v>
      </c>
      <c r="Y7" s="13" t="s">
        <v>26</v>
      </c>
      <c r="Z7" s="13" t="s">
        <v>27</v>
      </c>
      <c r="AA7" s="13" t="s">
        <v>28</v>
      </c>
      <c r="AB7" s="13" t="s">
        <v>29</v>
      </c>
      <c r="AC7" s="13" t="s">
        <v>30</v>
      </c>
      <c r="AD7" s="14" t="s">
        <v>31</v>
      </c>
      <c r="AE7" s="5"/>
    </row>
    <row r="8" spans="1:31" ht="19.5" thickBot="1">
      <c r="A8" s="3"/>
      <c r="B8" s="32" t="s">
        <v>32</v>
      </c>
      <c r="C8" s="33" t="s">
        <v>33</v>
      </c>
      <c r="D8" s="34" t="s">
        <v>34</v>
      </c>
      <c r="E8" s="34" t="s">
        <v>35</v>
      </c>
      <c r="F8" s="34" t="s">
        <v>36</v>
      </c>
      <c r="G8" s="34" t="s">
        <v>37</v>
      </c>
      <c r="H8" s="34" t="s">
        <v>38</v>
      </c>
      <c r="I8" s="34" t="s">
        <v>39</v>
      </c>
      <c r="J8" s="34" t="s">
        <v>40</v>
      </c>
      <c r="K8" s="34" t="s">
        <v>41</v>
      </c>
      <c r="L8" s="34" t="s">
        <v>42</v>
      </c>
      <c r="M8" s="34" t="s">
        <v>43</v>
      </c>
      <c r="N8" s="34" t="s">
        <v>44</v>
      </c>
      <c r="O8" s="34" t="s">
        <v>45</v>
      </c>
      <c r="P8" s="34" t="s">
        <v>46</v>
      </c>
      <c r="Q8" s="34" t="s">
        <v>47</v>
      </c>
      <c r="R8" s="34" t="s">
        <v>48</v>
      </c>
      <c r="S8" s="34" t="s">
        <v>49</v>
      </c>
      <c r="T8" s="34" t="s">
        <v>50</v>
      </c>
      <c r="U8" s="34" t="s">
        <v>51</v>
      </c>
      <c r="V8" s="34" t="s">
        <v>52</v>
      </c>
      <c r="W8" s="34" t="s">
        <v>53</v>
      </c>
      <c r="X8" s="34" t="s">
        <v>54</v>
      </c>
      <c r="Y8" s="34" t="s">
        <v>55</v>
      </c>
      <c r="Z8" s="34" t="s">
        <v>56</v>
      </c>
      <c r="AA8" s="34" t="s">
        <v>57</v>
      </c>
      <c r="AB8" s="34" t="s">
        <v>58</v>
      </c>
      <c r="AC8" s="34" t="s">
        <v>59</v>
      </c>
      <c r="AD8" s="35" t="s">
        <v>60</v>
      </c>
      <c r="AE8" s="36" t="s">
        <v>61</v>
      </c>
    </row>
    <row r="9" spans="1:31">
      <c r="A9" s="1" t="s">
        <v>3</v>
      </c>
      <c r="B9" s="27" t="s">
        <v>62</v>
      </c>
      <c r="C9" s="28">
        <v>20</v>
      </c>
      <c r="D9" s="29">
        <v>21</v>
      </c>
      <c r="E9" s="29">
        <v>21</v>
      </c>
      <c r="F9" s="29">
        <v>21</v>
      </c>
      <c r="G9" s="29">
        <v>20</v>
      </c>
      <c r="H9" s="29">
        <v>20</v>
      </c>
      <c r="I9" s="29">
        <v>19</v>
      </c>
      <c r="J9" s="29">
        <v>15</v>
      </c>
      <c r="K9" s="29">
        <v>20</v>
      </c>
      <c r="L9" s="29">
        <v>20</v>
      </c>
      <c r="M9" s="29">
        <v>20</v>
      </c>
      <c r="N9" s="29">
        <v>21</v>
      </c>
      <c r="O9" s="29">
        <v>19</v>
      </c>
      <c r="P9" s="29">
        <v>17</v>
      </c>
      <c r="Q9" s="29">
        <v>21</v>
      </c>
      <c r="R9" s="29">
        <v>21</v>
      </c>
      <c r="S9" s="29">
        <v>20</v>
      </c>
      <c r="T9" s="29">
        <v>16</v>
      </c>
      <c r="U9" s="29">
        <v>20</v>
      </c>
      <c r="V9" s="29">
        <v>19</v>
      </c>
      <c r="W9" s="29">
        <v>21</v>
      </c>
      <c r="X9" s="29">
        <v>10</v>
      </c>
      <c r="Y9" s="29">
        <v>10</v>
      </c>
      <c r="Z9" s="29">
        <v>10</v>
      </c>
      <c r="AA9" s="29">
        <v>13</v>
      </c>
      <c r="AB9" s="29">
        <v>15</v>
      </c>
      <c r="AC9" s="29">
        <v>4</v>
      </c>
      <c r="AD9" s="30">
        <v>20</v>
      </c>
      <c r="AE9" s="31">
        <f>SUM(C9:AD9)</f>
        <v>494</v>
      </c>
    </row>
    <row r="10" spans="1:31">
      <c r="A10" s="1" t="s">
        <v>3</v>
      </c>
      <c r="B10" s="6" t="s">
        <v>63</v>
      </c>
      <c r="C10" s="15">
        <v>3</v>
      </c>
      <c r="D10" s="16">
        <v>3</v>
      </c>
      <c r="E10" s="16">
        <v>3</v>
      </c>
      <c r="F10" s="16">
        <v>0</v>
      </c>
      <c r="G10" s="16">
        <v>2</v>
      </c>
      <c r="H10" s="16">
        <v>4</v>
      </c>
      <c r="I10" s="16">
        <v>2</v>
      </c>
      <c r="J10" s="16">
        <v>1</v>
      </c>
      <c r="K10" s="16">
        <v>2</v>
      </c>
      <c r="L10" s="16">
        <v>4</v>
      </c>
      <c r="M10" s="16">
        <v>2</v>
      </c>
      <c r="N10" s="16">
        <v>2</v>
      </c>
      <c r="O10" s="16">
        <v>4</v>
      </c>
      <c r="P10" s="16">
        <v>5</v>
      </c>
      <c r="Q10" s="16">
        <v>2</v>
      </c>
      <c r="R10" s="16">
        <v>0</v>
      </c>
      <c r="S10" s="16">
        <v>4</v>
      </c>
      <c r="T10" s="16">
        <v>4</v>
      </c>
      <c r="U10" s="16">
        <v>2</v>
      </c>
      <c r="V10" s="16">
        <v>3</v>
      </c>
      <c r="W10" s="16">
        <v>4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7">
        <v>0</v>
      </c>
      <c r="AE10" s="8">
        <f t="shared" ref="AE10:AE29" si="0">SUM(C10:AD10)</f>
        <v>56</v>
      </c>
    </row>
    <row r="11" spans="1:31">
      <c r="A11" s="1" t="s">
        <v>3</v>
      </c>
      <c r="B11" s="6" t="s">
        <v>64</v>
      </c>
      <c r="C11" s="15">
        <v>2</v>
      </c>
      <c r="D11" s="16">
        <v>3</v>
      </c>
      <c r="E11" s="16">
        <v>0</v>
      </c>
      <c r="F11" s="16">
        <v>0</v>
      </c>
      <c r="G11" s="16">
        <v>2</v>
      </c>
      <c r="H11" s="16">
        <v>2</v>
      </c>
      <c r="I11" s="16">
        <v>1</v>
      </c>
      <c r="J11" s="16">
        <v>3</v>
      </c>
      <c r="K11" s="16">
        <v>2</v>
      </c>
      <c r="L11" s="16">
        <v>0</v>
      </c>
      <c r="M11" s="16">
        <v>3</v>
      </c>
      <c r="N11" s="16">
        <v>1</v>
      </c>
      <c r="O11" s="16">
        <v>2</v>
      </c>
      <c r="P11" s="16">
        <v>4</v>
      </c>
      <c r="Q11" s="16">
        <v>3</v>
      </c>
      <c r="R11" s="16">
        <v>0</v>
      </c>
      <c r="S11" s="16">
        <v>2</v>
      </c>
      <c r="T11" s="16">
        <v>3</v>
      </c>
      <c r="U11" s="16">
        <v>1</v>
      </c>
      <c r="V11" s="16">
        <v>1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7">
        <v>0</v>
      </c>
      <c r="AE11" s="8">
        <f t="shared" si="0"/>
        <v>35</v>
      </c>
    </row>
    <row r="12" spans="1:31">
      <c r="A12" s="1" t="s">
        <v>3</v>
      </c>
      <c r="B12" s="6" t="s">
        <v>65</v>
      </c>
      <c r="C12" s="15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2</v>
      </c>
      <c r="P12" s="16">
        <v>0</v>
      </c>
      <c r="Q12" s="16">
        <v>0</v>
      </c>
      <c r="R12" s="16">
        <v>0</v>
      </c>
      <c r="S12" s="16">
        <v>0</v>
      </c>
      <c r="T12" s="16">
        <v>4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7">
        <v>0</v>
      </c>
      <c r="AE12" s="8">
        <f t="shared" si="0"/>
        <v>7</v>
      </c>
    </row>
    <row r="13" spans="1:31">
      <c r="A13" s="1" t="s">
        <v>3</v>
      </c>
      <c r="B13" s="6" t="s">
        <v>66</v>
      </c>
      <c r="C13" s="15">
        <v>1</v>
      </c>
      <c r="D13" s="16">
        <v>0</v>
      </c>
      <c r="E13" s="16">
        <v>0</v>
      </c>
      <c r="F13" s="16">
        <v>0</v>
      </c>
      <c r="G13" s="16">
        <v>1</v>
      </c>
      <c r="H13" s="16">
        <v>1</v>
      </c>
      <c r="I13" s="16">
        <v>0</v>
      </c>
      <c r="J13" s="16">
        <v>1</v>
      </c>
      <c r="K13" s="16">
        <v>1</v>
      </c>
      <c r="L13" s="16">
        <v>1</v>
      </c>
      <c r="M13" s="16">
        <v>1</v>
      </c>
      <c r="N13" s="16">
        <v>0</v>
      </c>
      <c r="O13" s="16">
        <v>0</v>
      </c>
      <c r="P13" s="16">
        <v>4</v>
      </c>
      <c r="Q13" s="16">
        <v>0</v>
      </c>
      <c r="R13" s="16">
        <v>0</v>
      </c>
      <c r="S13" s="16">
        <v>1</v>
      </c>
      <c r="T13" s="16">
        <v>0</v>
      </c>
      <c r="U13" s="16">
        <v>1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7">
        <v>0</v>
      </c>
      <c r="AE13" s="8">
        <f t="shared" si="0"/>
        <v>14</v>
      </c>
    </row>
    <row r="14" spans="1:31">
      <c r="A14" s="1" t="s">
        <v>3</v>
      </c>
      <c r="B14" s="6" t="s">
        <v>67</v>
      </c>
      <c r="C14" s="15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2</v>
      </c>
      <c r="J14" s="16">
        <v>5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1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7">
        <v>0</v>
      </c>
      <c r="AE14" s="8">
        <f t="shared" si="0"/>
        <v>8</v>
      </c>
    </row>
    <row r="15" spans="1:31">
      <c r="A15" s="1" t="s">
        <v>3</v>
      </c>
      <c r="B15" s="6" t="s">
        <v>68</v>
      </c>
      <c r="C15" s="15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1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7">
        <v>0</v>
      </c>
      <c r="AE15" s="8">
        <f t="shared" si="0"/>
        <v>1</v>
      </c>
    </row>
    <row r="16" spans="1:31">
      <c r="A16" s="1" t="s">
        <v>3</v>
      </c>
      <c r="B16" s="6" t="s">
        <v>69</v>
      </c>
      <c r="C16" s="15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1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7">
        <v>1</v>
      </c>
      <c r="AE16" s="8">
        <f t="shared" si="0"/>
        <v>2</v>
      </c>
    </row>
    <row r="17" spans="1:31">
      <c r="A17" s="1" t="s">
        <v>3</v>
      </c>
      <c r="B17" s="6" t="s">
        <v>70</v>
      </c>
      <c r="C17" s="18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2.9166666666666665</v>
      </c>
      <c r="Y17" s="19">
        <v>2.9166666666666665</v>
      </c>
      <c r="Z17" s="19">
        <v>2.9166666666666665</v>
      </c>
      <c r="AA17" s="19">
        <v>3.625</v>
      </c>
      <c r="AB17" s="19">
        <v>4</v>
      </c>
      <c r="AC17" s="19">
        <v>1.3333333333333333</v>
      </c>
      <c r="AD17" s="20">
        <v>3.9166666666666665</v>
      </c>
      <c r="AE17" s="9">
        <f t="shared" si="0"/>
        <v>21.625</v>
      </c>
    </row>
    <row r="18" spans="1:31">
      <c r="A18" s="1" t="s">
        <v>3</v>
      </c>
      <c r="B18" s="6" t="s">
        <v>71</v>
      </c>
      <c r="C18" s="18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20">
        <v>0</v>
      </c>
      <c r="AE18" s="9">
        <f t="shared" si="0"/>
        <v>0</v>
      </c>
    </row>
    <row r="19" spans="1:31">
      <c r="A19" s="1" t="s">
        <v>3</v>
      </c>
      <c r="B19" s="6" t="s">
        <v>72</v>
      </c>
      <c r="C19" s="18">
        <v>1.25</v>
      </c>
      <c r="D19" s="19">
        <v>2.2083333333333335</v>
      </c>
      <c r="E19" s="19">
        <v>1.375</v>
      </c>
      <c r="F19" s="19">
        <v>0</v>
      </c>
      <c r="G19" s="19">
        <v>0.33333333333333331</v>
      </c>
      <c r="H19" s="19">
        <v>3.0833333333333335</v>
      </c>
      <c r="I19" s="19">
        <v>2.1666666666666665</v>
      </c>
      <c r="J19" s="19">
        <v>2.375</v>
      </c>
      <c r="K19" s="19">
        <v>2.7083333333333335</v>
      </c>
      <c r="L19" s="19">
        <v>2.2916666666666665</v>
      </c>
      <c r="M19" s="19">
        <v>2.8333333333333335</v>
      </c>
      <c r="N19" s="19">
        <v>2.125</v>
      </c>
      <c r="O19" s="19">
        <v>1.8333333333333335</v>
      </c>
      <c r="P19" s="19">
        <v>1.75</v>
      </c>
      <c r="Q19" s="19">
        <v>1.7083333333333335</v>
      </c>
      <c r="R19" s="19">
        <v>0</v>
      </c>
      <c r="S19" s="19">
        <v>3.1666666666666665</v>
      </c>
      <c r="T19" s="19">
        <v>0.875</v>
      </c>
      <c r="U19" s="19">
        <v>2.5</v>
      </c>
      <c r="V19" s="19">
        <v>2</v>
      </c>
      <c r="W19" s="19">
        <v>2.3333333333333335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0.125</v>
      </c>
      <c r="AD19" s="20">
        <v>0</v>
      </c>
      <c r="AE19" s="9">
        <f t="shared" si="0"/>
        <v>39.041666666666664</v>
      </c>
    </row>
    <row r="20" spans="1:31">
      <c r="A20" s="1" t="s">
        <v>3</v>
      </c>
      <c r="B20" s="6" t="s">
        <v>73</v>
      </c>
      <c r="C20" s="18">
        <v>1.1666666666666667</v>
      </c>
      <c r="D20" s="19">
        <v>1.3333333333333333</v>
      </c>
      <c r="E20" s="19">
        <v>0.91666666666666663</v>
      </c>
      <c r="F20" s="19">
        <v>0</v>
      </c>
      <c r="G20" s="19">
        <v>0.45833333333333331</v>
      </c>
      <c r="H20" s="19">
        <v>1.5416666666666665</v>
      </c>
      <c r="I20" s="19">
        <v>0.66666666666666663</v>
      </c>
      <c r="J20" s="19">
        <v>0.54166666666666663</v>
      </c>
      <c r="K20" s="19">
        <v>0.95833333333333337</v>
      </c>
      <c r="L20" s="19">
        <v>1.7916666666666665</v>
      </c>
      <c r="M20" s="19">
        <v>0.75</v>
      </c>
      <c r="N20" s="19">
        <v>0.70833333333333337</v>
      </c>
      <c r="O20" s="19">
        <v>0.95833333333333337</v>
      </c>
      <c r="P20" s="19">
        <v>2.375</v>
      </c>
      <c r="Q20" s="19">
        <v>0.75</v>
      </c>
      <c r="R20" s="19">
        <v>0</v>
      </c>
      <c r="S20" s="19">
        <v>1.625</v>
      </c>
      <c r="T20" s="19">
        <v>0.70833333333333337</v>
      </c>
      <c r="U20" s="19">
        <v>0.875</v>
      </c>
      <c r="V20" s="19">
        <v>0.66666666666666663</v>
      </c>
      <c r="W20" s="19">
        <v>1.8333333333333335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20">
        <v>0</v>
      </c>
      <c r="AE20" s="9">
        <f t="shared" si="0"/>
        <v>20.625</v>
      </c>
    </row>
    <row r="21" spans="1:31">
      <c r="A21" s="1" t="s">
        <v>3</v>
      </c>
      <c r="B21" s="6" t="s">
        <v>74</v>
      </c>
      <c r="C21" s="18">
        <v>0.625</v>
      </c>
      <c r="D21" s="19">
        <v>1</v>
      </c>
      <c r="E21" s="19">
        <v>0</v>
      </c>
      <c r="F21" s="19">
        <v>0</v>
      </c>
      <c r="G21" s="19">
        <v>0.625</v>
      </c>
      <c r="H21" s="19">
        <v>1.0833333333333333</v>
      </c>
      <c r="I21" s="19">
        <v>0.41666666666666669</v>
      </c>
      <c r="J21" s="19">
        <v>1.0833333333333333</v>
      </c>
      <c r="K21" s="19">
        <v>0.70833333333333337</v>
      </c>
      <c r="L21" s="19">
        <v>0</v>
      </c>
      <c r="M21" s="19">
        <v>0.91666666666666663</v>
      </c>
      <c r="N21" s="19">
        <v>0.375</v>
      </c>
      <c r="O21" s="19">
        <v>0.875</v>
      </c>
      <c r="P21" s="19">
        <v>1.7083333333333335</v>
      </c>
      <c r="Q21" s="19">
        <v>0.66666666666666663</v>
      </c>
      <c r="R21" s="19">
        <v>0</v>
      </c>
      <c r="S21" s="19">
        <v>1</v>
      </c>
      <c r="T21" s="19">
        <v>0.41666666666666669</v>
      </c>
      <c r="U21" s="19">
        <v>0.5</v>
      </c>
      <c r="V21" s="19">
        <v>0.41666666666666669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20">
        <v>0</v>
      </c>
      <c r="AE21" s="9">
        <f t="shared" si="0"/>
        <v>12.416666666666664</v>
      </c>
    </row>
    <row r="22" spans="1:31">
      <c r="A22" s="1" t="s">
        <v>3</v>
      </c>
      <c r="B22" s="6" t="s">
        <v>75</v>
      </c>
      <c r="C22" s="18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0.66666666666666663</v>
      </c>
      <c r="P22" s="19">
        <v>0</v>
      </c>
      <c r="Q22" s="19">
        <v>0</v>
      </c>
      <c r="R22" s="19">
        <v>0</v>
      </c>
      <c r="S22" s="19">
        <v>0</v>
      </c>
      <c r="T22" s="19">
        <v>0.66666666666666663</v>
      </c>
      <c r="U22" s="19">
        <v>0</v>
      </c>
      <c r="V22" s="19">
        <v>0.5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20">
        <v>0</v>
      </c>
      <c r="AE22" s="9">
        <f t="shared" si="0"/>
        <v>1.8333333333333333</v>
      </c>
    </row>
    <row r="23" spans="1:31">
      <c r="A23" s="1" t="s">
        <v>3</v>
      </c>
      <c r="B23" s="6" t="s">
        <v>76</v>
      </c>
      <c r="C23" s="18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0.875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20">
        <v>0</v>
      </c>
      <c r="AE23" s="9">
        <f t="shared" si="0"/>
        <v>0.875</v>
      </c>
    </row>
    <row r="24" spans="1:31">
      <c r="A24" s="1" t="s">
        <v>3</v>
      </c>
      <c r="B24" s="6" t="s">
        <v>77</v>
      </c>
      <c r="C24" s="18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20">
        <v>0</v>
      </c>
      <c r="AE24" s="9">
        <f t="shared" si="0"/>
        <v>0</v>
      </c>
    </row>
    <row r="25" spans="1:31">
      <c r="A25" s="1" t="s">
        <v>3</v>
      </c>
      <c r="B25" s="6" t="s">
        <v>78</v>
      </c>
      <c r="C25" s="18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20">
        <v>0</v>
      </c>
      <c r="AE25" s="9">
        <f t="shared" si="0"/>
        <v>0</v>
      </c>
    </row>
    <row r="26" spans="1:31">
      <c r="A26" s="1" t="s">
        <v>3</v>
      </c>
      <c r="B26" s="6" t="s">
        <v>79</v>
      </c>
      <c r="C26" s="18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0.29166666666666669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20">
        <v>0</v>
      </c>
      <c r="AE26" s="9">
        <f t="shared" si="0"/>
        <v>0.29166666666666669</v>
      </c>
    </row>
    <row r="27" spans="1:31">
      <c r="A27" s="1" t="s">
        <v>3</v>
      </c>
      <c r="B27" s="6" t="s">
        <v>80</v>
      </c>
      <c r="C27" s="18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20">
        <v>0</v>
      </c>
      <c r="AE27" s="9">
        <f t="shared" si="0"/>
        <v>0</v>
      </c>
    </row>
    <row r="28" spans="1:31">
      <c r="A28" s="1" t="s">
        <v>3</v>
      </c>
      <c r="B28" s="6" t="s">
        <v>81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20">
        <v>0</v>
      </c>
      <c r="AE28" s="9">
        <f t="shared" si="0"/>
        <v>0</v>
      </c>
    </row>
    <row r="29" spans="1:31">
      <c r="A29" s="1" t="s">
        <v>3</v>
      </c>
      <c r="B29" s="6" t="s">
        <v>82</v>
      </c>
      <c r="C29" s="18">
        <v>0.29166666666666669</v>
      </c>
      <c r="D29" s="19">
        <v>0.875</v>
      </c>
      <c r="E29" s="19">
        <v>0</v>
      </c>
      <c r="F29" s="19">
        <v>4.1666666666666664E-2</v>
      </c>
      <c r="G29" s="19">
        <v>0</v>
      </c>
      <c r="H29" s="19">
        <v>0.95833333333333337</v>
      </c>
      <c r="I29" s="19">
        <v>1.0416666666666667</v>
      </c>
      <c r="J29" s="19">
        <v>1.25</v>
      </c>
      <c r="K29" s="19">
        <v>0.375</v>
      </c>
      <c r="L29" s="19">
        <v>0.16666666666666666</v>
      </c>
      <c r="M29" s="19">
        <v>0.29166666666666669</v>
      </c>
      <c r="N29" s="19">
        <v>0.375</v>
      </c>
      <c r="O29" s="19">
        <v>0.25</v>
      </c>
      <c r="P29" s="19">
        <v>1.125</v>
      </c>
      <c r="Q29" s="19">
        <v>0.41666666666666669</v>
      </c>
      <c r="R29" s="19">
        <v>0</v>
      </c>
      <c r="S29" s="19">
        <v>2.125</v>
      </c>
      <c r="T29" s="19">
        <v>0.70833333333333337</v>
      </c>
      <c r="U29" s="19">
        <v>0.875</v>
      </c>
      <c r="V29" s="19">
        <v>1.125</v>
      </c>
      <c r="W29" s="19">
        <v>0.20833333333333334</v>
      </c>
      <c r="X29" s="19">
        <v>2.0833333333333335</v>
      </c>
      <c r="Y29" s="19">
        <v>2.0833333333333335</v>
      </c>
      <c r="Z29" s="19">
        <v>2.0833333333333335</v>
      </c>
      <c r="AA29" s="19">
        <v>0</v>
      </c>
      <c r="AB29" s="19">
        <v>0</v>
      </c>
      <c r="AC29" s="19">
        <v>0</v>
      </c>
      <c r="AD29" s="20">
        <v>0</v>
      </c>
      <c r="AE29" s="9">
        <f t="shared" si="0"/>
        <v>18.750000000000004</v>
      </c>
    </row>
    <row r="30" spans="1:31" ht="19.5" thickBot="1">
      <c r="A30" s="1" t="s">
        <v>3</v>
      </c>
      <c r="B30" s="7" t="s">
        <v>83</v>
      </c>
      <c r="C30" s="41">
        <v>13</v>
      </c>
      <c r="D30" s="42">
        <v>27</v>
      </c>
      <c r="E30" s="42">
        <v>38</v>
      </c>
      <c r="F30" s="42">
        <v>38</v>
      </c>
      <c r="G30" s="42">
        <v>26</v>
      </c>
      <c r="H30" s="42">
        <v>27</v>
      </c>
      <c r="I30" s="42">
        <v>24</v>
      </c>
      <c r="J30" s="42">
        <v>26</v>
      </c>
      <c r="K30" s="42">
        <v>25</v>
      </c>
      <c r="L30" s="42">
        <v>12</v>
      </c>
      <c r="M30" s="42">
        <v>26</v>
      </c>
      <c r="N30" s="42">
        <v>32</v>
      </c>
      <c r="O30" s="42">
        <v>0</v>
      </c>
      <c r="P30" s="42">
        <v>5</v>
      </c>
      <c r="Q30" s="42">
        <v>24</v>
      </c>
      <c r="R30" s="42">
        <v>19</v>
      </c>
      <c r="S30" s="42">
        <v>13</v>
      </c>
      <c r="T30" s="42">
        <v>11</v>
      </c>
      <c r="U30" s="42">
        <v>7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21</v>
      </c>
      <c r="AB30" s="42">
        <v>20</v>
      </c>
      <c r="AC30" s="42">
        <v>3</v>
      </c>
      <c r="AD30" s="43">
        <v>11</v>
      </c>
      <c r="AE30" s="44"/>
    </row>
    <row r="31" spans="1:31">
      <c r="A31" s="1" t="s">
        <v>3</v>
      </c>
      <c r="B31" s="27" t="s">
        <v>84</v>
      </c>
      <c r="C31" s="37">
        <v>177000</v>
      </c>
      <c r="D31" s="38">
        <v>187000</v>
      </c>
      <c r="E31" s="38">
        <v>270000</v>
      </c>
      <c r="F31" s="38">
        <v>365000</v>
      </c>
      <c r="G31" s="38">
        <v>187000</v>
      </c>
      <c r="H31" s="38">
        <v>192000</v>
      </c>
      <c r="I31" s="38">
        <v>187000</v>
      </c>
      <c r="J31" s="38">
        <v>192000</v>
      </c>
      <c r="K31" s="38">
        <v>177000</v>
      </c>
      <c r="L31" s="38">
        <v>177000</v>
      </c>
      <c r="M31" s="38">
        <v>177000</v>
      </c>
      <c r="N31" s="38">
        <v>187000</v>
      </c>
      <c r="O31" s="38">
        <v>177000</v>
      </c>
      <c r="P31" s="38">
        <v>177000</v>
      </c>
      <c r="Q31" s="38">
        <v>170000</v>
      </c>
      <c r="R31" s="38">
        <v>355000</v>
      </c>
      <c r="S31" s="38">
        <v>170000</v>
      </c>
      <c r="T31" s="38">
        <v>175000</v>
      </c>
      <c r="U31" s="38">
        <v>170000</v>
      </c>
      <c r="V31" s="38">
        <v>170000</v>
      </c>
      <c r="W31" s="38">
        <v>170000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8">
        <v>0</v>
      </c>
      <c r="AD31" s="39">
        <v>0</v>
      </c>
      <c r="AE31" s="40">
        <f t="shared" ref="AE31:AE84" si="1">SUM(C31:AD31)</f>
        <v>4209000</v>
      </c>
    </row>
    <row r="32" spans="1:31">
      <c r="A32" s="1" t="s">
        <v>3</v>
      </c>
      <c r="B32" s="6" t="s">
        <v>85</v>
      </c>
      <c r="C32" s="21">
        <v>0</v>
      </c>
      <c r="D32" s="22">
        <v>0</v>
      </c>
      <c r="E32" s="22">
        <v>0</v>
      </c>
      <c r="F32" s="22">
        <v>0</v>
      </c>
      <c r="G32" s="22">
        <v>20000</v>
      </c>
      <c r="H32" s="22">
        <v>5000</v>
      </c>
      <c r="I32" s="22">
        <v>5000</v>
      </c>
      <c r="J32" s="22">
        <v>5000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3">
        <v>0</v>
      </c>
      <c r="AE32" s="10">
        <f t="shared" si="1"/>
        <v>35000</v>
      </c>
    </row>
    <row r="33" spans="1:31">
      <c r="A33" s="1" t="s">
        <v>3</v>
      </c>
      <c r="B33" s="6" t="s">
        <v>86</v>
      </c>
      <c r="C33" s="21">
        <v>0</v>
      </c>
      <c r="D33" s="22">
        <v>0</v>
      </c>
      <c r="E33" s="22">
        <v>3000</v>
      </c>
      <c r="F33" s="22">
        <v>0</v>
      </c>
      <c r="G33" s="22">
        <v>3000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3">
        <v>0</v>
      </c>
      <c r="AE33" s="10">
        <f t="shared" si="1"/>
        <v>6000</v>
      </c>
    </row>
    <row r="34" spans="1:31">
      <c r="A34" s="1" t="s">
        <v>3</v>
      </c>
      <c r="B34" s="6" t="s">
        <v>87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3">
        <v>0</v>
      </c>
      <c r="AE34" s="10">
        <f t="shared" si="1"/>
        <v>0</v>
      </c>
    </row>
    <row r="35" spans="1:31">
      <c r="A35" s="1" t="s">
        <v>3</v>
      </c>
      <c r="B35" s="6" t="s">
        <v>88</v>
      </c>
      <c r="C35" s="21">
        <v>0</v>
      </c>
      <c r="D35" s="22">
        <v>0</v>
      </c>
      <c r="E35" s="22">
        <v>0</v>
      </c>
      <c r="F35" s="22">
        <v>0</v>
      </c>
      <c r="G35" s="22">
        <v>88945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36051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3">
        <v>0</v>
      </c>
      <c r="AE35" s="10">
        <f t="shared" si="1"/>
        <v>124996</v>
      </c>
    </row>
    <row r="36" spans="1:31">
      <c r="A36" s="1" t="s">
        <v>3</v>
      </c>
      <c r="B36" s="6" t="s">
        <v>89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3">
        <v>0</v>
      </c>
      <c r="AE36" s="10">
        <f t="shared" si="1"/>
        <v>0</v>
      </c>
    </row>
    <row r="37" spans="1:31">
      <c r="A37" s="1" t="s">
        <v>3</v>
      </c>
      <c r="B37" s="6" t="s">
        <v>90</v>
      </c>
      <c r="C37" s="21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3">
        <v>0</v>
      </c>
      <c r="AE37" s="10">
        <f t="shared" si="1"/>
        <v>0</v>
      </c>
    </row>
    <row r="38" spans="1:31">
      <c r="A38" s="1" t="s">
        <v>3</v>
      </c>
      <c r="B38" s="6" t="s">
        <v>91</v>
      </c>
      <c r="C38" s="21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3">
        <v>0</v>
      </c>
      <c r="AE38" s="10">
        <f t="shared" si="1"/>
        <v>0</v>
      </c>
    </row>
    <row r="39" spans="1:31">
      <c r="A39" s="1" t="s">
        <v>3</v>
      </c>
      <c r="B39" s="6" t="s">
        <v>92</v>
      </c>
      <c r="C39" s="21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60200</v>
      </c>
      <c r="Y39" s="22">
        <v>60200</v>
      </c>
      <c r="Z39" s="22">
        <v>60200</v>
      </c>
      <c r="AA39" s="22">
        <v>81780</v>
      </c>
      <c r="AB39" s="22">
        <v>90240</v>
      </c>
      <c r="AC39" s="22">
        <v>27520</v>
      </c>
      <c r="AD39" s="23">
        <v>80840</v>
      </c>
      <c r="AE39" s="10">
        <f t="shared" si="1"/>
        <v>460980</v>
      </c>
    </row>
    <row r="40" spans="1:31">
      <c r="A40" s="1" t="s">
        <v>3</v>
      </c>
      <c r="B40" s="6" t="s">
        <v>93</v>
      </c>
      <c r="C40" s="21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3">
        <v>0</v>
      </c>
      <c r="AE40" s="10">
        <f t="shared" si="1"/>
        <v>0</v>
      </c>
    </row>
    <row r="41" spans="1:31">
      <c r="A41" s="1" t="s">
        <v>3</v>
      </c>
      <c r="B41" s="6" t="s">
        <v>94</v>
      </c>
      <c r="C41" s="21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3">
        <v>0</v>
      </c>
      <c r="AE41" s="10">
        <f t="shared" si="1"/>
        <v>0</v>
      </c>
    </row>
    <row r="42" spans="1:31">
      <c r="A42" s="1" t="s">
        <v>3</v>
      </c>
      <c r="B42" s="6" t="s">
        <v>95</v>
      </c>
      <c r="C42" s="21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50000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3">
        <v>0</v>
      </c>
      <c r="AE42" s="10">
        <f t="shared" si="1"/>
        <v>50000</v>
      </c>
    </row>
    <row r="43" spans="1:31">
      <c r="A43" s="1" t="s">
        <v>3</v>
      </c>
      <c r="B43" s="6" t="s">
        <v>96</v>
      </c>
      <c r="C43" s="21">
        <v>2000</v>
      </c>
      <c r="D43" s="22">
        <v>2000</v>
      </c>
      <c r="E43" s="22">
        <v>0</v>
      </c>
      <c r="F43" s="22">
        <v>0</v>
      </c>
      <c r="G43" s="22">
        <v>2000</v>
      </c>
      <c r="H43" s="22">
        <v>2000</v>
      </c>
      <c r="I43" s="22">
        <v>2000</v>
      </c>
      <c r="J43" s="22">
        <v>2000</v>
      </c>
      <c r="K43" s="22">
        <v>2000</v>
      </c>
      <c r="L43" s="22">
        <v>2000</v>
      </c>
      <c r="M43" s="22">
        <v>2000</v>
      </c>
      <c r="N43" s="22">
        <v>2000</v>
      </c>
      <c r="O43" s="22">
        <v>1000</v>
      </c>
      <c r="P43" s="22">
        <v>1000</v>
      </c>
      <c r="Q43" s="22">
        <v>2000</v>
      </c>
      <c r="R43" s="22">
        <v>0</v>
      </c>
      <c r="S43" s="22">
        <v>1000</v>
      </c>
      <c r="T43" s="22">
        <v>2000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3">
        <v>0</v>
      </c>
      <c r="AE43" s="10">
        <f t="shared" si="1"/>
        <v>27000</v>
      </c>
    </row>
    <row r="44" spans="1:31">
      <c r="A44" s="1" t="s">
        <v>3</v>
      </c>
      <c r="B44" s="6" t="s">
        <v>97</v>
      </c>
      <c r="C44" s="21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6020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3">
        <v>0</v>
      </c>
      <c r="AE44" s="10">
        <f t="shared" si="1"/>
        <v>6020</v>
      </c>
    </row>
    <row r="45" spans="1:31">
      <c r="A45" s="1" t="s">
        <v>3</v>
      </c>
      <c r="B45" s="6" t="s">
        <v>98</v>
      </c>
      <c r="C45" s="21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3">
        <v>0</v>
      </c>
      <c r="AE45" s="10">
        <f t="shared" si="1"/>
        <v>0</v>
      </c>
    </row>
    <row r="46" spans="1:31">
      <c r="A46" s="1" t="s">
        <v>3</v>
      </c>
      <c r="B46" s="6" t="s">
        <v>99</v>
      </c>
      <c r="C46" s="21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3">
        <v>0</v>
      </c>
      <c r="AE46" s="10">
        <f t="shared" si="1"/>
        <v>0</v>
      </c>
    </row>
    <row r="47" spans="1:31">
      <c r="A47" s="1" t="s">
        <v>3</v>
      </c>
      <c r="B47" s="6" t="s">
        <v>100</v>
      </c>
      <c r="C47" s="21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3">
        <v>0</v>
      </c>
      <c r="AE47" s="10">
        <f t="shared" si="1"/>
        <v>0</v>
      </c>
    </row>
    <row r="48" spans="1:31">
      <c r="A48" s="1" t="s">
        <v>3</v>
      </c>
      <c r="B48" s="6" t="s">
        <v>101</v>
      </c>
      <c r="C48" s="21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3">
        <v>0</v>
      </c>
      <c r="AE48" s="10">
        <f t="shared" si="1"/>
        <v>0</v>
      </c>
    </row>
    <row r="49" spans="1:31">
      <c r="A49" s="1" t="s">
        <v>3</v>
      </c>
      <c r="B49" s="6" t="s">
        <v>102</v>
      </c>
      <c r="C49" s="21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3">
        <v>0</v>
      </c>
      <c r="AE49" s="10">
        <f t="shared" si="1"/>
        <v>0</v>
      </c>
    </row>
    <row r="50" spans="1:31">
      <c r="A50" s="1" t="s">
        <v>3</v>
      </c>
      <c r="B50" s="6" t="s">
        <v>103</v>
      </c>
      <c r="C50" s="21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3">
        <v>0</v>
      </c>
      <c r="AE50" s="10">
        <f t="shared" si="1"/>
        <v>0</v>
      </c>
    </row>
    <row r="51" spans="1:31">
      <c r="A51" s="1" t="s">
        <v>3</v>
      </c>
      <c r="B51" s="6" t="s">
        <v>104</v>
      </c>
      <c r="C51" s="21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3">
        <v>0</v>
      </c>
      <c r="AE51" s="10">
        <f t="shared" si="1"/>
        <v>0</v>
      </c>
    </row>
    <row r="52" spans="1:31">
      <c r="A52" s="1" t="s">
        <v>3</v>
      </c>
      <c r="B52" s="6" t="s">
        <v>105</v>
      </c>
      <c r="C52" s="21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8468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3">
        <v>0</v>
      </c>
      <c r="AE52" s="10">
        <f t="shared" si="1"/>
        <v>8468</v>
      </c>
    </row>
    <row r="53" spans="1:31">
      <c r="A53" s="1" t="s">
        <v>3</v>
      </c>
      <c r="B53" s="6" t="s">
        <v>106</v>
      </c>
      <c r="C53" s="21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3">
        <v>0</v>
      </c>
      <c r="AE53" s="10">
        <f t="shared" si="1"/>
        <v>0</v>
      </c>
    </row>
    <row r="54" spans="1:31">
      <c r="A54" s="1" t="s">
        <v>3</v>
      </c>
      <c r="B54" s="6" t="s">
        <v>72</v>
      </c>
      <c r="C54" s="21">
        <v>40200</v>
      </c>
      <c r="D54" s="22">
        <v>74995</v>
      </c>
      <c r="E54" s="22">
        <v>67452</v>
      </c>
      <c r="F54" s="22">
        <v>0</v>
      </c>
      <c r="G54" s="22">
        <v>12688</v>
      </c>
      <c r="H54" s="22">
        <v>110260</v>
      </c>
      <c r="I54" s="22">
        <v>75556</v>
      </c>
      <c r="J54" s="22">
        <v>84930</v>
      </c>
      <c r="K54" s="22">
        <v>87100</v>
      </c>
      <c r="L54" s="22">
        <v>73700</v>
      </c>
      <c r="M54" s="22">
        <v>91120</v>
      </c>
      <c r="N54" s="22">
        <v>72165</v>
      </c>
      <c r="O54" s="22">
        <v>58652</v>
      </c>
      <c r="P54" s="22">
        <v>55986</v>
      </c>
      <c r="Q54" s="22">
        <v>52808</v>
      </c>
      <c r="R54" s="22">
        <v>0</v>
      </c>
      <c r="S54" s="22">
        <v>97280</v>
      </c>
      <c r="T54" s="22">
        <v>27825</v>
      </c>
      <c r="U54" s="22">
        <v>76380</v>
      </c>
      <c r="V54" s="22">
        <v>61104</v>
      </c>
      <c r="W54" s="22">
        <v>71288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3225</v>
      </c>
      <c r="AD54" s="23">
        <v>0</v>
      </c>
      <c r="AE54" s="10">
        <f t="shared" si="1"/>
        <v>1294714</v>
      </c>
    </row>
    <row r="55" spans="1:31">
      <c r="A55" s="1" t="s">
        <v>3</v>
      </c>
      <c r="B55" s="6" t="s">
        <v>107</v>
      </c>
      <c r="C55" s="21">
        <v>40516</v>
      </c>
      <c r="D55" s="22">
        <v>48896</v>
      </c>
      <c r="E55" s="22">
        <v>48554</v>
      </c>
      <c r="F55" s="22">
        <v>0</v>
      </c>
      <c r="G55" s="22">
        <v>18843</v>
      </c>
      <c r="H55" s="22">
        <v>59533</v>
      </c>
      <c r="I55" s="22">
        <v>25104</v>
      </c>
      <c r="J55" s="22">
        <v>20917</v>
      </c>
      <c r="K55" s="22">
        <v>33281</v>
      </c>
      <c r="L55" s="22">
        <v>62221</v>
      </c>
      <c r="M55" s="22">
        <v>26046</v>
      </c>
      <c r="N55" s="22">
        <v>25976</v>
      </c>
      <c r="O55" s="22">
        <v>33097</v>
      </c>
      <c r="P55" s="22">
        <v>82023</v>
      </c>
      <c r="Q55" s="22">
        <v>25038</v>
      </c>
      <c r="R55" s="22">
        <v>0</v>
      </c>
      <c r="S55" s="22">
        <v>53898</v>
      </c>
      <c r="T55" s="22">
        <v>24327</v>
      </c>
      <c r="U55" s="22">
        <v>28854</v>
      </c>
      <c r="V55" s="22">
        <v>21984</v>
      </c>
      <c r="W55" s="22">
        <v>60456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3">
        <v>0</v>
      </c>
      <c r="AE55" s="10">
        <f t="shared" si="1"/>
        <v>739564</v>
      </c>
    </row>
    <row r="56" spans="1:31">
      <c r="A56" s="1" t="s">
        <v>3</v>
      </c>
      <c r="B56" s="6" t="s">
        <v>108</v>
      </c>
      <c r="C56" s="21">
        <v>21705</v>
      </c>
      <c r="D56" s="22">
        <v>36672</v>
      </c>
      <c r="E56" s="22">
        <v>0</v>
      </c>
      <c r="F56" s="22">
        <v>0</v>
      </c>
      <c r="G56" s="22">
        <v>25695</v>
      </c>
      <c r="H56" s="22">
        <v>41834</v>
      </c>
      <c r="I56" s="22">
        <v>15690</v>
      </c>
      <c r="J56" s="22">
        <v>41834</v>
      </c>
      <c r="K56" s="22">
        <v>24599</v>
      </c>
      <c r="L56" s="22">
        <v>0</v>
      </c>
      <c r="M56" s="22">
        <v>31834</v>
      </c>
      <c r="N56" s="22">
        <v>13752</v>
      </c>
      <c r="O56" s="22">
        <v>30219</v>
      </c>
      <c r="P56" s="22">
        <v>58999</v>
      </c>
      <c r="Q56" s="22">
        <v>22256</v>
      </c>
      <c r="R56" s="22">
        <v>0</v>
      </c>
      <c r="S56" s="22">
        <v>33168</v>
      </c>
      <c r="T56" s="22">
        <v>14310</v>
      </c>
      <c r="U56" s="22">
        <v>16488</v>
      </c>
      <c r="V56" s="22">
        <v>13740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3">
        <v>0</v>
      </c>
      <c r="AE56" s="10">
        <f t="shared" si="1"/>
        <v>442795</v>
      </c>
    </row>
    <row r="57" spans="1:31">
      <c r="A57" s="1" t="s">
        <v>3</v>
      </c>
      <c r="B57" s="6" t="s">
        <v>109</v>
      </c>
      <c r="C57" s="21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5968</v>
      </c>
      <c r="P57" s="22">
        <v>0</v>
      </c>
      <c r="Q57" s="22">
        <v>0</v>
      </c>
      <c r="R57" s="22">
        <v>0</v>
      </c>
      <c r="S57" s="22">
        <v>0</v>
      </c>
      <c r="T57" s="22">
        <v>5936</v>
      </c>
      <c r="U57" s="22">
        <v>0</v>
      </c>
      <c r="V57" s="22">
        <v>4272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3">
        <v>0</v>
      </c>
      <c r="AE57" s="10">
        <f t="shared" si="1"/>
        <v>16176</v>
      </c>
    </row>
    <row r="58" spans="1:31">
      <c r="A58" s="1" t="s">
        <v>3</v>
      </c>
      <c r="B58" s="6" t="s">
        <v>110</v>
      </c>
      <c r="C58" s="21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7791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3">
        <v>0</v>
      </c>
      <c r="AE58" s="10">
        <f t="shared" si="1"/>
        <v>7791</v>
      </c>
    </row>
    <row r="59" spans="1:31">
      <c r="A59" s="1" t="s">
        <v>3</v>
      </c>
      <c r="B59" s="6" t="s">
        <v>111</v>
      </c>
      <c r="C59" s="21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8468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3">
        <v>3440</v>
      </c>
      <c r="AE59" s="10">
        <f t="shared" si="1"/>
        <v>11908</v>
      </c>
    </row>
    <row r="60" spans="1:31">
      <c r="A60" s="1" t="s">
        <v>3</v>
      </c>
      <c r="B60" s="6" t="s">
        <v>77</v>
      </c>
      <c r="C60" s="21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3">
        <v>0</v>
      </c>
      <c r="AE60" s="10">
        <f t="shared" si="1"/>
        <v>0</v>
      </c>
    </row>
    <row r="61" spans="1:31" ht="19.5" thickBot="1">
      <c r="A61" s="1" t="s">
        <v>3</v>
      </c>
      <c r="B61" s="45" t="s">
        <v>82</v>
      </c>
      <c r="C61" s="46">
        <v>1876</v>
      </c>
      <c r="D61" s="47">
        <v>5943</v>
      </c>
      <c r="E61" s="47">
        <v>0</v>
      </c>
      <c r="F61" s="47">
        <v>547</v>
      </c>
      <c r="G61" s="47">
        <v>0</v>
      </c>
      <c r="H61" s="47">
        <v>6854</v>
      </c>
      <c r="I61" s="47">
        <v>7275</v>
      </c>
      <c r="J61" s="47">
        <v>8940</v>
      </c>
      <c r="K61" s="47">
        <v>2412</v>
      </c>
      <c r="L61" s="47">
        <v>1072</v>
      </c>
      <c r="M61" s="47">
        <v>1876</v>
      </c>
      <c r="N61" s="47">
        <v>2547</v>
      </c>
      <c r="O61" s="47">
        <v>1602</v>
      </c>
      <c r="P61" s="47">
        <v>7209</v>
      </c>
      <c r="Q61" s="47">
        <v>2580</v>
      </c>
      <c r="R61" s="47">
        <v>0</v>
      </c>
      <c r="S61" s="47">
        <v>13056</v>
      </c>
      <c r="T61" s="47">
        <v>4505</v>
      </c>
      <c r="U61" s="47">
        <v>5355</v>
      </c>
      <c r="V61" s="47">
        <v>6885</v>
      </c>
      <c r="W61" s="47">
        <v>1275</v>
      </c>
      <c r="X61" s="47">
        <v>10750</v>
      </c>
      <c r="Y61" s="47">
        <v>10750</v>
      </c>
      <c r="Z61" s="47">
        <v>10750</v>
      </c>
      <c r="AA61" s="47">
        <v>0</v>
      </c>
      <c r="AB61" s="47">
        <v>0</v>
      </c>
      <c r="AC61" s="47">
        <v>0</v>
      </c>
      <c r="AD61" s="48">
        <v>0</v>
      </c>
      <c r="AE61" s="49">
        <f t="shared" si="1"/>
        <v>114059</v>
      </c>
    </row>
    <row r="62" spans="1:31" ht="19.5" thickBot="1">
      <c r="A62" s="1" t="s">
        <v>3</v>
      </c>
      <c r="B62" s="50" t="s">
        <v>112</v>
      </c>
      <c r="C62" s="51">
        <v>283297</v>
      </c>
      <c r="D62" s="52">
        <v>355506</v>
      </c>
      <c r="E62" s="52">
        <v>389006</v>
      </c>
      <c r="F62" s="52">
        <v>365547</v>
      </c>
      <c r="G62" s="52">
        <v>358171</v>
      </c>
      <c r="H62" s="52">
        <v>417481</v>
      </c>
      <c r="I62" s="52">
        <v>317625</v>
      </c>
      <c r="J62" s="52">
        <v>355621</v>
      </c>
      <c r="K62" s="52">
        <v>326392</v>
      </c>
      <c r="L62" s="52">
        <v>315993</v>
      </c>
      <c r="M62" s="52">
        <v>329876</v>
      </c>
      <c r="N62" s="52">
        <v>339491</v>
      </c>
      <c r="O62" s="52">
        <v>307538</v>
      </c>
      <c r="P62" s="52">
        <v>382217</v>
      </c>
      <c r="Q62" s="52">
        <v>274682</v>
      </c>
      <c r="R62" s="52">
        <v>355000</v>
      </c>
      <c r="S62" s="52">
        <v>418402</v>
      </c>
      <c r="T62" s="52">
        <v>261694</v>
      </c>
      <c r="U62" s="52">
        <v>297077</v>
      </c>
      <c r="V62" s="52">
        <v>277985</v>
      </c>
      <c r="W62" s="52">
        <v>303019</v>
      </c>
      <c r="X62" s="52">
        <v>76970</v>
      </c>
      <c r="Y62" s="52">
        <v>70950</v>
      </c>
      <c r="Z62" s="52">
        <v>70950</v>
      </c>
      <c r="AA62" s="52">
        <v>81780</v>
      </c>
      <c r="AB62" s="52">
        <v>90240</v>
      </c>
      <c r="AC62" s="52">
        <v>30745</v>
      </c>
      <c r="AD62" s="53">
        <v>84280</v>
      </c>
      <c r="AE62" s="54">
        <f t="shared" si="1"/>
        <v>7537535</v>
      </c>
    </row>
    <row r="63" spans="1:31">
      <c r="A63" s="1" t="s">
        <v>3</v>
      </c>
      <c r="B63" s="27" t="s">
        <v>113</v>
      </c>
      <c r="C63" s="37">
        <v>12916</v>
      </c>
      <c r="D63" s="38">
        <v>3488</v>
      </c>
      <c r="E63" s="38">
        <v>5347</v>
      </c>
      <c r="F63" s="38">
        <v>7724</v>
      </c>
      <c r="G63" s="38">
        <v>5580</v>
      </c>
      <c r="H63" s="38">
        <v>3358</v>
      </c>
      <c r="I63" s="38">
        <v>13071</v>
      </c>
      <c r="J63" s="38">
        <v>1964</v>
      </c>
      <c r="K63" s="38">
        <v>2480</v>
      </c>
      <c r="L63" s="38">
        <v>1240</v>
      </c>
      <c r="M63" s="38">
        <v>3229</v>
      </c>
      <c r="N63" s="38">
        <v>4960</v>
      </c>
      <c r="O63" s="38">
        <v>6458</v>
      </c>
      <c r="P63" s="38">
        <v>4702</v>
      </c>
      <c r="Q63" s="38">
        <v>8060</v>
      </c>
      <c r="R63" s="38">
        <v>3100</v>
      </c>
      <c r="S63" s="38">
        <v>6716</v>
      </c>
      <c r="T63" s="38">
        <v>10100</v>
      </c>
      <c r="U63" s="38">
        <v>7130</v>
      </c>
      <c r="V63" s="38">
        <v>8912</v>
      </c>
      <c r="W63" s="38">
        <v>8395</v>
      </c>
      <c r="X63" s="38">
        <v>3100</v>
      </c>
      <c r="Y63" s="38">
        <v>3875</v>
      </c>
      <c r="Z63" s="38">
        <v>4133</v>
      </c>
      <c r="AA63" s="38">
        <v>2687</v>
      </c>
      <c r="AB63" s="38">
        <v>1938</v>
      </c>
      <c r="AC63" s="38">
        <v>1344</v>
      </c>
      <c r="AD63" s="39">
        <v>7233</v>
      </c>
      <c r="AE63" s="40">
        <f t="shared" si="1"/>
        <v>153240</v>
      </c>
    </row>
    <row r="64" spans="1:31" ht="19.5" thickBot="1">
      <c r="A64" s="1" t="s">
        <v>3</v>
      </c>
      <c r="B64" s="45" t="s">
        <v>114</v>
      </c>
      <c r="C64" s="46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</v>
      </c>
      <c r="Y64" s="47">
        <v>0</v>
      </c>
      <c r="Z64" s="47">
        <v>0</v>
      </c>
      <c r="AA64" s="47">
        <v>0</v>
      </c>
      <c r="AB64" s="47">
        <v>0</v>
      </c>
      <c r="AC64" s="47">
        <v>0</v>
      </c>
      <c r="AD64" s="48">
        <v>0</v>
      </c>
      <c r="AE64" s="49">
        <f t="shared" si="1"/>
        <v>0</v>
      </c>
    </row>
    <row r="65" spans="1:31" ht="19.5" thickBot="1">
      <c r="A65" s="1" t="s">
        <v>3</v>
      </c>
      <c r="B65" s="50" t="s">
        <v>115</v>
      </c>
      <c r="C65" s="51">
        <v>12916</v>
      </c>
      <c r="D65" s="52">
        <v>3488</v>
      </c>
      <c r="E65" s="52">
        <v>5347</v>
      </c>
      <c r="F65" s="52">
        <v>7724</v>
      </c>
      <c r="G65" s="52">
        <v>5580</v>
      </c>
      <c r="H65" s="52">
        <v>3358</v>
      </c>
      <c r="I65" s="52">
        <v>13071</v>
      </c>
      <c r="J65" s="52">
        <v>1964</v>
      </c>
      <c r="K65" s="52">
        <v>2480</v>
      </c>
      <c r="L65" s="52">
        <v>1240</v>
      </c>
      <c r="M65" s="52">
        <v>3229</v>
      </c>
      <c r="N65" s="52">
        <v>4960</v>
      </c>
      <c r="O65" s="52">
        <v>6458</v>
      </c>
      <c r="P65" s="52">
        <v>4702</v>
      </c>
      <c r="Q65" s="52">
        <v>8060</v>
      </c>
      <c r="R65" s="52">
        <v>3100</v>
      </c>
      <c r="S65" s="52">
        <v>6716</v>
      </c>
      <c r="T65" s="52">
        <v>10100</v>
      </c>
      <c r="U65" s="52">
        <v>7130</v>
      </c>
      <c r="V65" s="52">
        <v>8912</v>
      </c>
      <c r="W65" s="52">
        <v>8395</v>
      </c>
      <c r="X65" s="52">
        <v>3100</v>
      </c>
      <c r="Y65" s="52">
        <v>3875</v>
      </c>
      <c r="Z65" s="52">
        <v>4133</v>
      </c>
      <c r="AA65" s="52">
        <v>2687</v>
      </c>
      <c r="AB65" s="52">
        <v>1938</v>
      </c>
      <c r="AC65" s="52">
        <v>1344</v>
      </c>
      <c r="AD65" s="53">
        <v>7233</v>
      </c>
      <c r="AE65" s="54">
        <f t="shared" si="1"/>
        <v>153240</v>
      </c>
    </row>
    <row r="66" spans="1:31" ht="19.5" thickBot="1">
      <c r="A66" s="1" t="s">
        <v>3</v>
      </c>
      <c r="B66" s="50" t="s">
        <v>116</v>
      </c>
      <c r="C66" s="51">
        <v>296213</v>
      </c>
      <c r="D66" s="52">
        <v>358994</v>
      </c>
      <c r="E66" s="52">
        <v>394353</v>
      </c>
      <c r="F66" s="52">
        <v>373271</v>
      </c>
      <c r="G66" s="52">
        <v>363751</v>
      </c>
      <c r="H66" s="52">
        <v>420839</v>
      </c>
      <c r="I66" s="52">
        <v>330696</v>
      </c>
      <c r="J66" s="52">
        <v>357585</v>
      </c>
      <c r="K66" s="52">
        <v>328872</v>
      </c>
      <c r="L66" s="52">
        <v>317233</v>
      </c>
      <c r="M66" s="52">
        <v>333105</v>
      </c>
      <c r="N66" s="52">
        <v>344451</v>
      </c>
      <c r="O66" s="52">
        <v>313996</v>
      </c>
      <c r="P66" s="52">
        <v>386919</v>
      </c>
      <c r="Q66" s="52">
        <v>282742</v>
      </c>
      <c r="R66" s="52">
        <v>358100</v>
      </c>
      <c r="S66" s="52">
        <v>425118</v>
      </c>
      <c r="T66" s="52">
        <v>271794</v>
      </c>
      <c r="U66" s="52">
        <v>304207</v>
      </c>
      <c r="V66" s="52">
        <v>286897</v>
      </c>
      <c r="W66" s="52">
        <v>311414</v>
      </c>
      <c r="X66" s="52">
        <v>80070</v>
      </c>
      <c r="Y66" s="52">
        <v>74825</v>
      </c>
      <c r="Z66" s="52">
        <v>75083</v>
      </c>
      <c r="AA66" s="52">
        <v>84467</v>
      </c>
      <c r="AB66" s="52">
        <v>92178</v>
      </c>
      <c r="AC66" s="52">
        <v>32089</v>
      </c>
      <c r="AD66" s="53">
        <v>91513</v>
      </c>
      <c r="AE66" s="54">
        <f t="shared" si="1"/>
        <v>7690775</v>
      </c>
    </row>
    <row r="67" spans="1:31">
      <c r="A67" s="1" t="s">
        <v>3</v>
      </c>
      <c r="B67" s="27" t="s">
        <v>117</v>
      </c>
      <c r="C67" s="37">
        <v>16320</v>
      </c>
      <c r="D67" s="38">
        <v>19380</v>
      </c>
      <c r="E67" s="38">
        <v>20910</v>
      </c>
      <c r="F67" s="38">
        <v>19380</v>
      </c>
      <c r="G67" s="38">
        <v>19380</v>
      </c>
      <c r="H67" s="38">
        <v>18360</v>
      </c>
      <c r="I67" s="38">
        <v>16320</v>
      </c>
      <c r="J67" s="38">
        <v>19380</v>
      </c>
      <c r="K67" s="38">
        <v>17340</v>
      </c>
      <c r="L67" s="38">
        <v>16320</v>
      </c>
      <c r="M67" s="38">
        <v>16320</v>
      </c>
      <c r="N67" s="38">
        <v>18360</v>
      </c>
      <c r="O67" s="38">
        <v>15300</v>
      </c>
      <c r="P67" s="38">
        <v>17340</v>
      </c>
      <c r="Q67" s="38">
        <v>15300</v>
      </c>
      <c r="R67" s="38">
        <v>19380</v>
      </c>
      <c r="S67" s="38">
        <v>17340</v>
      </c>
      <c r="T67" s="38">
        <v>14280</v>
      </c>
      <c r="U67" s="38">
        <v>13260</v>
      </c>
      <c r="V67" s="38">
        <v>13260</v>
      </c>
      <c r="W67" s="38">
        <v>13260</v>
      </c>
      <c r="X67" s="38">
        <v>0</v>
      </c>
      <c r="Y67" s="38">
        <v>0</v>
      </c>
      <c r="Z67" s="38">
        <v>0</v>
      </c>
      <c r="AA67" s="38">
        <v>0</v>
      </c>
      <c r="AB67" s="38">
        <v>0</v>
      </c>
      <c r="AC67" s="38">
        <v>0</v>
      </c>
      <c r="AD67" s="39">
        <v>0</v>
      </c>
      <c r="AE67" s="40">
        <f t="shared" si="1"/>
        <v>356490</v>
      </c>
    </row>
    <row r="68" spans="1:31">
      <c r="A68" s="1" t="s">
        <v>3</v>
      </c>
      <c r="B68" s="6" t="s">
        <v>118</v>
      </c>
      <c r="C68" s="21">
        <v>2880</v>
      </c>
      <c r="D68" s="22">
        <v>3420</v>
      </c>
      <c r="E68" s="22">
        <v>3690</v>
      </c>
      <c r="F68" s="22">
        <v>3420</v>
      </c>
      <c r="G68" s="22">
        <v>3420</v>
      </c>
      <c r="H68" s="22">
        <v>3240</v>
      </c>
      <c r="I68" s="22">
        <v>2880</v>
      </c>
      <c r="J68" s="22">
        <v>3420</v>
      </c>
      <c r="K68" s="22">
        <v>3060</v>
      </c>
      <c r="L68" s="22">
        <v>2880</v>
      </c>
      <c r="M68" s="22">
        <v>2880</v>
      </c>
      <c r="N68" s="22">
        <v>3240</v>
      </c>
      <c r="O68" s="22">
        <v>2700</v>
      </c>
      <c r="P68" s="22">
        <v>3060</v>
      </c>
      <c r="Q68" s="22">
        <v>2700</v>
      </c>
      <c r="R68" s="22">
        <v>3420</v>
      </c>
      <c r="S68" s="22">
        <v>3060</v>
      </c>
      <c r="T68" s="22">
        <v>2520</v>
      </c>
      <c r="U68" s="22">
        <v>2340</v>
      </c>
      <c r="V68" s="22">
        <v>2340</v>
      </c>
      <c r="W68" s="22">
        <v>2340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3">
        <v>0</v>
      </c>
      <c r="AE68" s="10">
        <f t="shared" si="1"/>
        <v>62910</v>
      </c>
    </row>
    <row r="69" spans="1:31">
      <c r="A69" s="1" t="s">
        <v>3</v>
      </c>
      <c r="B69" s="6" t="s">
        <v>119</v>
      </c>
      <c r="C69" s="21">
        <v>29280</v>
      </c>
      <c r="D69" s="22">
        <v>34770</v>
      </c>
      <c r="E69" s="22">
        <v>37515</v>
      </c>
      <c r="F69" s="22">
        <v>34770</v>
      </c>
      <c r="G69" s="22">
        <v>34770</v>
      </c>
      <c r="H69" s="22">
        <v>32940</v>
      </c>
      <c r="I69" s="22">
        <v>29280</v>
      </c>
      <c r="J69" s="22">
        <v>34770</v>
      </c>
      <c r="K69" s="22">
        <v>31110</v>
      </c>
      <c r="L69" s="22">
        <v>29280</v>
      </c>
      <c r="M69" s="22">
        <v>29280</v>
      </c>
      <c r="N69" s="22">
        <v>32940</v>
      </c>
      <c r="O69" s="22">
        <v>27450</v>
      </c>
      <c r="P69" s="22">
        <v>31110</v>
      </c>
      <c r="Q69" s="22">
        <v>27450</v>
      </c>
      <c r="R69" s="22">
        <v>34770</v>
      </c>
      <c r="S69" s="22">
        <v>31110</v>
      </c>
      <c r="T69" s="22">
        <v>25620</v>
      </c>
      <c r="U69" s="22">
        <v>23790</v>
      </c>
      <c r="V69" s="22">
        <v>23790</v>
      </c>
      <c r="W69" s="22">
        <v>23790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3">
        <v>0</v>
      </c>
      <c r="AE69" s="10">
        <f t="shared" si="1"/>
        <v>639585</v>
      </c>
    </row>
    <row r="70" spans="1:31">
      <c r="A70" s="1" t="s">
        <v>3</v>
      </c>
      <c r="B70" s="6" t="s">
        <v>120</v>
      </c>
      <c r="C70" s="21">
        <v>1481</v>
      </c>
      <c r="D70" s="22">
        <v>1795</v>
      </c>
      <c r="E70" s="22">
        <v>1972</v>
      </c>
      <c r="F70" s="22">
        <v>1866</v>
      </c>
      <c r="G70" s="22">
        <v>1819</v>
      </c>
      <c r="H70" s="22">
        <v>2104</v>
      </c>
      <c r="I70" s="22">
        <v>1653</v>
      </c>
      <c r="J70" s="22">
        <v>1788</v>
      </c>
      <c r="K70" s="22">
        <v>1644</v>
      </c>
      <c r="L70" s="22">
        <v>1586</v>
      </c>
      <c r="M70" s="22">
        <v>1666</v>
      </c>
      <c r="N70" s="22">
        <v>1722</v>
      </c>
      <c r="O70" s="22">
        <v>1570</v>
      </c>
      <c r="P70" s="22">
        <v>1935</v>
      </c>
      <c r="Q70" s="22">
        <v>1414</v>
      </c>
      <c r="R70" s="22">
        <v>1790</v>
      </c>
      <c r="S70" s="22">
        <v>2126</v>
      </c>
      <c r="T70" s="22">
        <v>1359</v>
      </c>
      <c r="U70" s="22">
        <v>1521</v>
      </c>
      <c r="V70" s="22">
        <v>1434</v>
      </c>
      <c r="W70" s="22">
        <v>1557</v>
      </c>
      <c r="X70" s="22">
        <v>0</v>
      </c>
      <c r="Y70" s="22">
        <v>0</v>
      </c>
      <c r="Z70" s="22">
        <v>0</v>
      </c>
      <c r="AA70" s="22">
        <v>422</v>
      </c>
      <c r="AB70" s="22">
        <v>461</v>
      </c>
      <c r="AC70" s="22">
        <v>0</v>
      </c>
      <c r="AD70" s="23">
        <v>458</v>
      </c>
      <c r="AE70" s="10">
        <f t="shared" si="1"/>
        <v>37143</v>
      </c>
    </row>
    <row r="71" spans="1:31" ht="19.5" thickBot="1">
      <c r="A71" s="1" t="s">
        <v>3</v>
      </c>
      <c r="B71" s="45" t="s">
        <v>121</v>
      </c>
      <c r="C71" s="46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0</v>
      </c>
      <c r="V71" s="47">
        <v>0</v>
      </c>
      <c r="W71" s="47">
        <v>0</v>
      </c>
      <c r="X71" s="47">
        <v>0</v>
      </c>
      <c r="Y71" s="47">
        <v>0</v>
      </c>
      <c r="Z71" s="47">
        <v>0</v>
      </c>
      <c r="AA71" s="47">
        <v>0</v>
      </c>
      <c r="AB71" s="47">
        <v>0</v>
      </c>
      <c r="AC71" s="47">
        <v>0</v>
      </c>
      <c r="AD71" s="48">
        <v>0</v>
      </c>
      <c r="AE71" s="49">
        <f t="shared" si="1"/>
        <v>0</v>
      </c>
    </row>
    <row r="72" spans="1:31" ht="19.5" thickBot="1">
      <c r="A72" s="1" t="s">
        <v>3</v>
      </c>
      <c r="B72" s="50" t="s">
        <v>122</v>
      </c>
      <c r="C72" s="51">
        <v>49961</v>
      </c>
      <c r="D72" s="52">
        <v>59365</v>
      </c>
      <c r="E72" s="52">
        <v>64087</v>
      </c>
      <c r="F72" s="52">
        <v>59436</v>
      </c>
      <c r="G72" s="52">
        <v>59389</v>
      </c>
      <c r="H72" s="52">
        <v>56644</v>
      </c>
      <c r="I72" s="52">
        <v>50133</v>
      </c>
      <c r="J72" s="52">
        <v>59358</v>
      </c>
      <c r="K72" s="52">
        <v>53154</v>
      </c>
      <c r="L72" s="52">
        <v>50066</v>
      </c>
      <c r="M72" s="52">
        <v>50146</v>
      </c>
      <c r="N72" s="52">
        <v>56262</v>
      </c>
      <c r="O72" s="52">
        <v>47020</v>
      </c>
      <c r="P72" s="52">
        <v>53445</v>
      </c>
      <c r="Q72" s="52">
        <v>46864</v>
      </c>
      <c r="R72" s="52">
        <v>59360</v>
      </c>
      <c r="S72" s="52">
        <v>53636</v>
      </c>
      <c r="T72" s="52">
        <v>43779</v>
      </c>
      <c r="U72" s="52">
        <v>40911</v>
      </c>
      <c r="V72" s="52">
        <v>40824</v>
      </c>
      <c r="W72" s="52">
        <v>40947</v>
      </c>
      <c r="X72" s="52">
        <v>0</v>
      </c>
      <c r="Y72" s="52">
        <v>0</v>
      </c>
      <c r="Z72" s="52">
        <v>0</v>
      </c>
      <c r="AA72" s="52">
        <v>422</v>
      </c>
      <c r="AB72" s="52">
        <v>461</v>
      </c>
      <c r="AC72" s="52">
        <v>0</v>
      </c>
      <c r="AD72" s="53">
        <v>458</v>
      </c>
      <c r="AE72" s="54">
        <f t="shared" si="1"/>
        <v>1096128</v>
      </c>
    </row>
    <row r="73" spans="1:31">
      <c r="A73" s="1" t="s">
        <v>3</v>
      </c>
      <c r="B73" s="27" t="s">
        <v>123</v>
      </c>
      <c r="C73" s="37">
        <v>4340</v>
      </c>
      <c r="D73" s="38">
        <v>8200</v>
      </c>
      <c r="E73" s="38">
        <v>7740</v>
      </c>
      <c r="F73" s="38">
        <v>8880</v>
      </c>
      <c r="G73" s="38">
        <v>6680</v>
      </c>
      <c r="H73" s="38">
        <v>13350</v>
      </c>
      <c r="I73" s="38">
        <v>5560</v>
      </c>
      <c r="J73" s="38">
        <v>8200</v>
      </c>
      <c r="K73" s="38">
        <v>7380</v>
      </c>
      <c r="L73" s="38">
        <v>5500</v>
      </c>
      <c r="M73" s="38">
        <v>7610</v>
      </c>
      <c r="N73" s="38">
        <v>7740</v>
      </c>
      <c r="O73" s="38">
        <v>6930</v>
      </c>
      <c r="P73" s="38">
        <v>10730</v>
      </c>
      <c r="Q73" s="38">
        <v>5760</v>
      </c>
      <c r="R73" s="38">
        <v>8180</v>
      </c>
      <c r="S73" s="38">
        <v>6130</v>
      </c>
      <c r="T73" s="38">
        <v>5400</v>
      </c>
      <c r="U73" s="38">
        <v>6770</v>
      </c>
      <c r="V73" s="38">
        <v>4480</v>
      </c>
      <c r="W73" s="38">
        <v>6980</v>
      </c>
      <c r="X73" s="38">
        <v>0</v>
      </c>
      <c r="Y73" s="38">
        <v>0</v>
      </c>
      <c r="Z73" s="38">
        <v>0</v>
      </c>
      <c r="AA73" s="38">
        <v>0</v>
      </c>
      <c r="AB73" s="38">
        <v>200</v>
      </c>
      <c r="AC73" s="38">
        <v>0</v>
      </c>
      <c r="AD73" s="39">
        <v>0</v>
      </c>
      <c r="AE73" s="40">
        <f t="shared" si="1"/>
        <v>152740</v>
      </c>
    </row>
    <row r="74" spans="1:31">
      <c r="A74" s="1" t="s">
        <v>3</v>
      </c>
      <c r="B74" s="6" t="s">
        <v>124</v>
      </c>
      <c r="C74" s="21">
        <v>1300</v>
      </c>
      <c r="D74" s="22">
        <v>1300</v>
      </c>
      <c r="E74" s="22">
        <v>0</v>
      </c>
      <c r="F74" s="22">
        <v>0</v>
      </c>
      <c r="G74" s="22">
        <v>1300</v>
      </c>
      <c r="H74" s="22">
        <v>0</v>
      </c>
      <c r="I74" s="22">
        <v>1300</v>
      </c>
      <c r="J74" s="22">
        <v>1300</v>
      </c>
      <c r="K74" s="22">
        <v>1300</v>
      </c>
      <c r="L74" s="22">
        <v>1300</v>
      </c>
      <c r="M74" s="22">
        <v>1300</v>
      </c>
      <c r="N74" s="22">
        <v>1300</v>
      </c>
      <c r="O74" s="22">
        <v>0</v>
      </c>
      <c r="P74" s="22">
        <v>0</v>
      </c>
      <c r="Q74" s="22">
        <v>1300</v>
      </c>
      <c r="R74" s="22">
        <v>0</v>
      </c>
      <c r="S74" s="22">
        <v>1300</v>
      </c>
      <c r="T74" s="22">
        <v>1300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3">
        <v>0</v>
      </c>
      <c r="AE74" s="10">
        <f t="shared" si="1"/>
        <v>15600</v>
      </c>
    </row>
    <row r="75" spans="1:31">
      <c r="A75" s="1" t="s">
        <v>3</v>
      </c>
      <c r="B75" s="6" t="s">
        <v>125</v>
      </c>
      <c r="C75" s="21">
        <v>9900</v>
      </c>
      <c r="D75" s="22">
        <v>16100</v>
      </c>
      <c r="E75" s="22">
        <v>16300</v>
      </c>
      <c r="F75" s="22">
        <v>17800</v>
      </c>
      <c r="G75" s="22">
        <v>15700</v>
      </c>
      <c r="H75" s="22">
        <v>18800</v>
      </c>
      <c r="I75" s="22">
        <v>12100</v>
      </c>
      <c r="J75" s="22">
        <v>18500</v>
      </c>
      <c r="K75" s="22">
        <v>14500</v>
      </c>
      <c r="L75" s="22">
        <v>9300</v>
      </c>
      <c r="M75" s="22">
        <v>13400</v>
      </c>
      <c r="N75" s="22">
        <v>13900</v>
      </c>
      <c r="O75" s="22">
        <v>10400</v>
      </c>
      <c r="P75" s="22">
        <v>24600</v>
      </c>
      <c r="Q75" s="22">
        <v>12200</v>
      </c>
      <c r="R75" s="22">
        <v>15200</v>
      </c>
      <c r="S75" s="22">
        <v>6700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600</v>
      </c>
      <c r="AB75" s="22">
        <v>500</v>
      </c>
      <c r="AC75" s="22">
        <v>0</v>
      </c>
      <c r="AD75" s="23">
        <v>11600</v>
      </c>
      <c r="AE75" s="10">
        <f t="shared" si="1"/>
        <v>258100</v>
      </c>
    </row>
    <row r="76" spans="1:31">
      <c r="A76" s="1" t="s">
        <v>3</v>
      </c>
      <c r="B76" s="6" t="s">
        <v>126</v>
      </c>
      <c r="C76" s="21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3">
        <v>0</v>
      </c>
      <c r="AE76" s="10">
        <f t="shared" si="1"/>
        <v>0</v>
      </c>
    </row>
    <row r="77" spans="1:31">
      <c r="A77" s="1" t="s">
        <v>3</v>
      </c>
      <c r="B77" s="6" t="s">
        <v>127</v>
      </c>
      <c r="C77" s="21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3">
        <v>0</v>
      </c>
      <c r="AE77" s="10">
        <f t="shared" si="1"/>
        <v>0</v>
      </c>
    </row>
    <row r="78" spans="1:31">
      <c r="A78" s="1" t="s">
        <v>3</v>
      </c>
      <c r="B78" s="6" t="s">
        <v>128</v>
      </c>
      <c r="C78" s="21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3">
        <v>0</v>
      </c>
      <c r="AE78" s="10">
        <f t="shared" si="1"/>
        <v>0</v>
      </c>
    </row>
    <row r="79" spans="1:31" ht="19.5" thickBot="1">
      <c r="A79" s="1" t="s">
        <v>3</v>
      </c>
      <c r="B79" s="45" t="s">
        <v>129</v>
      </c>
      <c r="C79" s="46">
        <v>0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8">
        <v>0</v>
      </c>
      <c r="AE79" s="49">
        <f t="shared" si="1"/>
        <v>0</v>
      </c>
    </row>
    <row r="80" spans="1:31" ht="19.5" thickBot="1">
      <c r="A80" s="1" t="s">
        <v>3</v>
      </c>
      <c r="B80" s="50" t="s">
        <v>130</v>
      </c>
      <c r="C80" s="51">
        <v>65501</v>
      </c>
      <c r="D80" s="52">
        <v>84965</v>
      </c>
      <c r="E80" s="52">
        <v>88127</v>
      </c>
      <c r="F80" s="52">
        <v>86116</v>
      </c>
      <c r="G80" s="52">
        <v>83069</v>
      </c>
      <c r="H80" s="52">
        <v>88794</v>
      </c>
      <c r="I80" s="52">
        <v>69093</v>
      </c>
      <c r="J80" s="52">
        <v>87358</v>
      </c>
      <c r="K80" s="52">
        <v>76334</v>
      </c>
      <c r="L80" s="52">
        <v>66166</v>
      </c>
      <c r="M80" s="52">
        <v>72456</v>
      </c>
      <c r="N80" s="52">
        <v>79202</v>
      </c>
      <c r="O80" s="52">
        <v>64350</v>
      </c>
      <c r="P80" s="52">
        <v>88775</v>
      </c>
      <c r="Q80" s="52">
        <v>66124</v>
      </c>
      <c r="R80" s="52">
        <v>82740</v>
      </c>
      <c r="S80" s="52">
        <v>67766</v>
      </c>
      <c r="T80" s="52">
        <v>50479</v>
      </c>
      <c r="U80" s="52">
        <v>47681</v>
      </c>
      <c r="V80" s="52">
        <v>45304</v>
      </c>
      <c r="W80" s="52">
        <v>47927</v>
      </c>
      <c r="X80" s="52">
        <v>0</v>
      </c>
      <c r="Y80" s="52">
        <v>0</v>
      </c>
      <c r="Z80" s="52">
        <v>0</v>
      </c>
      <c r="AA80" s="52">
        <v>1022</v>
      </c>
      <c r="AB80" s="52">
        <v>1161</v>
      </c>
      <c r="AC80" s="52">
        <v>0</v>
      </c>
      <c r="AD80" s="53">
        <v>12058</v>
      </c>
      <c r="AE80" s="54">
        <f t="shared" si="1"/>
        <v>1522568</v>
      </c>
    </row>
    <row r="81" spans="1:31" ht="19.5" thickBot="1">
      <c r="A81" s="1" t="s">
        <v>3</v>
      </c>
      <c r="B81" s="50" t="s">
        <v>131</v>
      </c>
      <c r="C81" s="51">
        <v>233336</v>
      </c>
      <c r="D81" s="52">
        <v>296141</v>
      </c>
      <c r="E81" s="52">
        <v>324919</v>
      </c>
      <c r="F81" s="52">
        <v>306111</v>
      </c>
      <c r="G81" s="52">
        <v>298782</v>
      </c>
      <c r="H81" s="52">
        <v>360837</v>
      </c>
      <c r="I81" s="52">
        <v>267492</v>
      </c>
      <c r="J81" s="52">
        <v>296263</v>
      </c>
      <c r="K81" s="52">
        <v>273238</v>
      </c>
      <c r="L81" s="52">
        <v>265927</v>
      </c>
      <c r="M81" s="52">
        <v>279730</v>
      </c>
      <c r="N81" s="52">
        <v>283229</v>
      </c>
      <c r="O81" s="52">
        <v>260518</v>
      </c>
      <c r="P81" s="52">
        <v>328772</v>
      </c>
      <c r="Q81" s="52">
        <v>227818</v>
      </c>
      <c r="R81" s="52">
        <v>295640</v>
      </c>
      <c r="S81" s="52">
        <v>364766</v>
      </c>
      <c r="T81" s="52">
        <v>217915</v>
      </c>
      <c r="U81" s="52">
        <v>256166</v>
      </c>
      <c r="V81" s="52">
        <v>237161</v>
      </c>
      <c r="W81" s="52">
        <v>262072</v>
      </c>
      <c r="X81" s="52">
        <v>76970</v>
      </c>
      <c r="Y81" s="52">
        <v>70950</v>
      </c>
      <c r="Z81" s="52">
        <v>70950</v>
      </c>
      <c r="AA81" s="52">
        <v>81358</v>
      </c>
      <c r="AB81" s="52">
        <v>89779</v>
      </c>
      <c r="AC81" s="52">
        <v>30745</v>
      </c>
      <c r="AD81" s="53">
        <v>83822</v>
      </c>
      <c r="AE81" s="54">
        <f t="shared" si="1"/>
        <v>6441407</v>
      </c>
    </row>
    <row r="82" spans="1:31" ht="19.5" thickBot="1">
      <c r="A82" s="1" t="s">
        <v>3</v>
      </c>
      <c r="B82" s="50" t="s">
        <v>132</v>
      </c>
      <c r="C82" s="51">
        <v>230712</v>
      </c>
      <c r="D82" s="52">
        <v>274029</v>
      </c>
      <c r="E82" s="52">
        <v>306226</v>
      </c>
      <c r="F82" s="52">
        <v>287155</v>
      </c>
      <c r="G82" s="52">
        <v>280682</v>
      </c>
      <c r="H82" s="52">
        <v>332045</v>
      </c>
      <c r="I82" s="52">
        <v>261603</v>
      </c>
      <c r="J82" s="52">
        <v>270227</v>
      </c>
      <c r="K82" s="52">
        <v>252538</v>
      </c>
      <c r="L82" s="52">
        <v>251067</v>
      </c>
      <c r="M82" s="52">
        <v>260649</v>
      </c>
      <c r="N82" s="52">
        <v>265249</v>
      </c>
      <c r="O82" s="52">
        <v>249646</v>
      </c>
      <c r="P82" s="52">
        <v>298144</v>
      </c>
      <c r="Q82" s="52">
        <v>216618</v>
      </c>
      <c r="R82" s="52">
        <v>275360</v>
      </c>
      <c r="S82" s="52">
        <v>357352</v>
      </c>
      <c r="T82" s="52">
        <v>221315</v>
      </c>
      <c r="U82" s="52">
        <v>256526</v>
      </c>
      <c r="V82" s="52">
        <v>241593</v>
      </c>
      <c r="W82" s="52">
        <v>263487</v>
      </c>
      <c r="X82" s="52">
        <v>80070</v>
      </c>
      <c r="Y82" s="52">
        <v>74825</v>
      </c>
      <c r="Z82" s="52">
        <v>75083</v>
      </c>
      <c r="AA82" s="52">
        <v>83445</v>
      </c>
      <c r="AB82" s="52">
        <v>91017</v>
      </c>
      <c r="AC82" s="52">
        <v>32089</v>
      </c>
      <c r="AD82" s="53">
        <v>79455</v>
      </c>
      <c r="AE82" s="54">
        <f t="shared" si="1"/>
        <v>6168207</v>
      </c>
    </row>
    <row r="83" spans="1:31">
      <c r="A83" s="1" t="s">
        <v>3</v>
      </c>
      <c r="B83" s="27" t="s">
        <v>133</v>
      </c>
      <c r="C83" s="37">
        <v>0</v>
      </c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39">
        <v>0</v>
      </c>
      <c r="AE83" s="40">
        <f t="shared" si="1"/>
        <v>0</v>
      </c>
    </row>
    <row r="84" spans="1:31">
      <c r="A84" s="1" t="s">
        <v>3</v>
      </c>
      <c r="B84" s="6" t="s">
        <v>134</v>
      </c>
      <c r="C84" s="21">
        <v>230712</v>
      </c>
      <c r="D84" s="22">
        <v>274029</v>
      </c>
      <c r="E84" s="22">
        <v>306226</v>
      </c>
      <c r="F84" s="22">
        <v>287155</v>
      </c>
      <c r="G84" s="22">
        <v>280682</v>
      </c>
      <c r="H84" s="22">
        <v>332045</v>
      </c>
      <c r="I84" s="22">
        <v>261603</v>
      </c>
      <c r="J84" s="22">
        <v>270227</v>
      </c>
      <c r="K84" s="22">
        <v>252538</v>
      </c>
      <c r="L84" s="22">
        <v>251067</v>
      </c>
      <c r="M84" s="22">
        <v>260649</v>
      </c>
      <c r="N84" s="22">
        <v>265249</v>
      </c>
      <c r="O84" s="22">
        <v>249646</v>
      </c>
      <c r="P84" s="22">
        <v>298144</v>
      </c>
      <c r="Q84" s="22">
        <v>216618</v>
      </c>
      <c r="R84" s="22">
        <v>275360</v>
      </c>
      <c r="S84" s="22">
        <v>357352</v>
      </c>
      <c r="T84" s="22">
        <v>221315</v>
      </c>
      <c r="U84" s="22">
        <v>256526</v>
      </c>
      <c r="V84" s="22">
        <v>241593</v>
      </c>
      <c r="W84" s="22">
        <v>263487</v>
      </c>
      <c r="X84" s="22">
        <v>80070</v>
      </c>
      <c r="Y84" s="22">
        <v>74825</v>
      </c>
      <c r="Z84" s="22">
        <v>75083</v>
      </c>
      <c r="AA84" s="22">
        <v>83445</v>
      </c>
      <c r="AB84" s="22">
        <v>91017</v>
      </c>
      <c r="AC84" s="22">
        <v>32089</v>
      </c>
      <c r="AD84" s="23">
        <v>79455</v>
      </c>
      <c r="AE84" s="10">
        <f t="shared" si="1"/>
        <v>6168207</v>
      </c>
    </row>
    <row r="85" spans="1:31">
      <c r="A85" s="1" t="s">
        <v>3</v>
      </c>
      <c r="B85" s="6" t="s">
        <v>135</v>
      </c>
      <c r="C85" s="21">
        <v>1</v>
      </c>
      <c r="D85" s="22">
        <v>0</v>
      </c>
      <c r="E85" s="22">
        <v>1</v>
      </c>
      <c r="F85" s="22">
        <v>0</v>
      </c>
      <c r="G85" s="22">
        <v>1</v>
      </c>
      <c r="H85" s="22">
        <v>0</v>
      </c>
      <c r="I85" s="22">
        <v>1</v>
      </c>
      <c r="J85" s="22">
        <v>0</v>
      </c>
      <c r="K85" s="22">
        <v>0</v>
      </c>
      <c r="L85" s="22">
        <v>1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3</v>
      </c>
      <c r="T85" s="22">
        <v>0</v>
      </c>
      <c r="U85" s="22">
        <v>0</v>
      </c>
      <c r="V85" s="22">
        <v>1</v>
      </c>
      <c r="W85" s="22">
        <v>0</v>
      </c>
      <c r="X85" s="22">
        <v>1</v>
      </c>
      <c r="Y85" s="22">
        <v>1</v>
      </c>
      <c r="Z85" s="22">
        <v>1</v>
      </c>
      <c r="AA85" s="22">
        <v>0</v>
      </c>
      <c r="AB85" s="22">
        <v>0</v>
      </c>
      <c r="AC85" s="22">
        <v>1</v>
      </c>
      <c r="AD85" s="23">
        <v>1</v>
      </c>
      <c r="AE85" s="10"/>
    </row>
    <row r="86" spans="1:31" ht="19.5" thickBot="1">
      <c r="A86" s="1" t="s">
        <v>3</v>
      </c>
      <c r="B86" s="7" t="s">
        <v>136</v>
      </c>
      <c r="C86" s="24" t="s">
        <v>137</v>
      </c>
      <c r="D86" s="25" t="s">
        <v>137</v>
      </c>
      <c r="E86" s="25" t="s">
        <v>137</v>
      </c>
      <c r="F86" s="25" t="s">
        <v>137</v>
      </c>
      <c r="G86" s="25" t="s">
        <v>137</v>
      </c>
      <c r="H86" s="25" t="s">
        <v>137</v>
      </c>
      <c r="I86" s="25" t="s">
        <v>137</v>
      </c>
      <c r="J86" s="25" t="s">
        <v>137</v>
      </c>
      <c r="K86" s="25" t="s">
        <v>137</v>
      </c>
      <c r="L86" s="25" t="s">
        <v>137</v>
      </c>
      <c r="M86" s="25" t="s">
        <v>137</v>
      </c>
      <c r="N86" s="25" t="s">
        <v>137</v>
      </c>
      <c r="O86" s="25" t="s">
        <v>137</v>
      </c>
      <c r="P86" s="25" t="s">
        <v>137</v>
      </c>
      <c r="Q86" s="25" t="s">
        <v>137</v>
      </c>
      <c r="R86" s="25" t="s">
        <v>137</v>
      </c>
      <c r="S86" s="25" t="s">
        <v>137</v>
      </c>
      <c r="T86" s="25" t="s">
        <v>137</v>
      </c>
      <c r="U86" s="25" t="s">
        <v>137</v>
      </c>
      <c r="V86" s="25" t="s">
        <v>137</v>
      </c>
      <c r="W86" s="25" t="s">
        <v>137</v>
      </c>
      <c r="X86" s="25" t="s">
        <v>137</v>
      </c>
      <c r="Y86" s="25" t="s">
        <v>137</v>
      </c>
      <c r="Z86" s="25" t="s">
        <v>137</v>
      </c>
      <c r="AA86" s="25" t="s">
        <v>137</v>
      </c>
      <c r="AB86" s="25" t="s">
        <v>137</v>
      </c>
      <c r="AC86" s="25" t="s">
        <v>137</v>
      </c>
      <c r="AD86" s="26" t="s">
        <v>137</v>
      </c>
      <c r="AE86" s="11"/>
    </row>
  </sheetData>
  <phoneticPr fontId="3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BD56-B416-46B7-BA25-274805D79F74}">
  <sheetPr>
    <pageSetUpPr fitToPage="1"/>
  </sheetPr>
  <dimension ref="A1:O63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1" style="2" customWidth="1"/>
    <col min="16" max="238" width="9" style="2"/>
    <col min="239" max="239" width="2.375" style="2" customWidth="1"/>
    <col min="240" max="240" width="13.25" style="2" bestFit="1" customWidth="1"/>
    <col min="241" max="242" width="11.125" style="2" bestFit="1" customWidth="1"/>
    <col min="243" max="243" width="13.25" style="2" bestFit="1" customWidth="1"/>
    <col min="244" max="244" width="11.125" style="2" bestFit="1" customWidth="1"/>
    <col min="245" max="245" width="9" style="2"/>
    <col min="246" max="246" width="11.125" style="2" bestFit="1" customWidth="1"/>
    <col min="247" max="247" width="9" style="2"/>
    <col min="248" max="259" width="11.125" style="2" bestFit="1" customWidth="1"/>
    <col min="260" max="260" width="9" style="2"/>
    <col min="261" max="261" width="8" style="2" bestFit="1" customWidth="1"/>
    <col min="262" max="268" width="11.125" style="2" bestFit="1" customWidth="1"/>
    <col min="269" max="269" width="9.625" style="2" bestFit="1" customWidth="1"/>
    <col min="270" max="494" width="9" style="2"/>
    <col min="495" max="495" width="2.375" style="2" customWidth="1"/>
    <col min="496" max="496" width="13.25" style="2" bestFit="1" customWidth="1"/>
    <col min="497" max="498" width="11.125" style="2" bestFit="1" customWidth="1"/>
    <col min="499" max="499" width="13.25" style="2" bestFit="1" customWidth="1"/>
    <col min="500" max="500" width="11.125" style="2" bestFit="1" customWidth="1"/>
    <col min="501" max="501" width="9" style="2"/>
    <col min="502" max="502" width="11.125" style="2" bestFit="1" customWidth="1"/>
    <col min="503" max="503" width="9" style="2"/>
    <col min="504" max="515" width="11.125" style="2" bestFit="1" customWidth="1"/>
    <col min="516" max="516" width="9" style="2"/>
    <col min="517" max="517" width="8" style="2" bestFit="1" customWidth="1"/>
    <col min="518" max="524" width="11.125" style="2" bestFit="1" customWidth="1"/>
    <col min="525" max="525" width="9.625" style="2" bestFit="1" customWidth="1"/>
    <col min="526" max="750" width="9" style="2"/>
    <col min="751" max="751" width="2.375" style="2" customWidth="1"/>
    <col min="752" max="752" width="13.25" style="2" bestFit="1" customWidth="1"/>
    <col min="753" max="754" width="11.125" style="2" bestFit="1" customWidth="1"/>
    <col min="755" max="755" width="13.25" style="2" bestFit="1" customWidth="1"/>
    <col min="756" max="756" width="11.125" style="2" bestFit="1" customWidth="1"/>
    <col min="757" max="757" width="9" style="2"/>
    <col min="758" max="758" width="11.125" style="2" bestFit="1" customWidth="1"/>
    <col min="759" max="759" width="9" style="2"/>
    <col min="760" max="771" width="11.125" style="2" bestFit="1" customWidth="1"/>
    <col min="772" max="772" width="9" style="2"/>
    <col min="773" max="773" width="8" style="2" bestFit="1" customWidth="1"/>
    <col min="774" max="780" width="11.125" style="2" bestFit="1" customWidth="1"/>
    <col min="781" max="781" width="9.625" style="2" bestFit="1" customWidth="1"/>
    <col min="782" max="1006" width="9" style="2"/>
    <col min="1007" max="1007" width="2.375" style="2" customWidth="1"/>
    <col min="1008" max="1008" width="13.25" style="2" bestFit="1" customWidth="1"/>
    <col min="1009" max="1010" width="11.125" style="2" bestFit="1" customWidth="1"/>
    <col min="1011" max="1011" width="13.25" style="2" bestFit="1" customWidth="1"/>
    <col min="1012" max="1012" width="11.125" style="2" bestFit="1" customWidth="1"/>
    <col min="1013" max="1013" width="9" style="2"/>
    <col min="1014" max="1014" width="11.125" style="2" bestFit="1" customWidth="1"/>
    <col min="1015" max="1015" width="9" style="2"/>
    <col min="1016" max="1027" width="11.125" style="2" bestFit="1" customWidth="1"/>
    <col min="1028" max="1028" width="9" style="2"/>
    <col min="1029" max="1029" width="8" style="2" bestFit="1" customWidth="1"/>
    <col min="1030" max="1036" width="11.125" style="2" bestFit="1" customWidth="1"/>
    <col min="1037" max="1037" width="9.625" style="2" bestFit="1" customWidth="1"/>
    <col min="1038" max="1262" width="9" style="2"/>
    <col min="1263" max="1263" width="2.375" style="2" customWidth="1"/>
    <col min="1264" max="1264" width="13.25" style="2" bestFit="1" customWidth="1"/>
    <col min="1265" max="1266" width="11.125" style="2" bestFit="1" customWidth="1"/>
    <col min="1267" max="1267" width="13.25" style="2" bestFit="1" customWidth="1"/>
    <col min="1268" max="1268" width="11.125" style="2" bestFit="1" customWidth="1"/>
    <col min="1269" max="1269" width="9" style="2"/>
    <col min="1270" max="1270" width="11.125" style="2" bestFit="1" customWidth="1"/>
    <col min="1271" max="1271" width="9" style="2"/>
    <col min="1272" max="1283" width="11.125" style="2" bestFit="1" customWidth="1"/>
    <col min="1284" max="1284" width="9" style="2"/>
    <col min="1285" max="1285" width="8" style="2" bestFit="1" customWidth="1"/>
    <col min="1286" max="1292" width="11.125" style="2" bestFit="1" customWidth="1"/>
    <col min="1293" max="1293" width="9.625" style="2" bestFit="1" customWidth="1"/>
    <col min="1294" max="1518" width="9" style="2"/>
    <col min="1519" max="1519" width="2.375" style="2" customWidth="1"/>
    <col min="1520" max="1520" width="13.25" style="2" bestFit="1" customWidth="1"/>
    <col min="1521" max="1522" width="11.125" style="2" bestFit="1" customWidth="1"/>
    <col min="1523" max="1523" width="13.25" style="2" bestFit="1" customWidth="1"/>
    <col min="1524" max="1524" width="11.125" style="2" bestFit="1" customWidth="1"/>
    <col min="1525" max="1525" width="9" style="2"/>
    <col min="1526" max="1526" width="11.125" style="2" bestFit="1" customWidth="1"/>
    <col min="1527" max="1527" width="9" style="2"/>
    <col min="1528" max="1539" width="11.125" style="2" bestFit="1" customWidth="1"/>
    <col min="1540" max="1540" width="9" style="2"/>
    <col min="1541" max="1541" width="8" style="2" bestFit="1" customWidth="1"/>
    <col min="1542" max="1548" width="11.125" style="2" bestFit="1" customWidth="1"/>
    <col min="1549" max="1549" width="9.625" style="2" bestFit="1" customWidth="1"/>
    <col min="1550" max="1774" width="9" style="2"/>
    <col min="1775" max="1775" width="2.375" style="2" customWidth="1"/>
    <col min="1776" max="1776" width="13.25" style="2" bestFit="1" customWidth="1"/>
    <col min="1777" max="1778" width="11.125" style="2" bestFit="1" customWidth="1"/>
    <col min="1779" max="1779" width="13.25" style="2" bestFit="1" customWidth="1"/>
    <col min="1780" max="1780" width="11.125" style="2" bestFit="1" customWidth="1"/>
    <col min="1781" max="1781" width="9" style="2"/>
    <col min="1782" max="1782" width="11.125" style="2" bestFit="1" customWidth="1"/>
    <col min="1783" max="1783" width="9" style="2"/>
    <col min="1784" max="1795" width="11.125" style="2" bestFit="1" customWidth="1"/>
    <col min="1796" max="1796" width="9" style="2"/>
    <col min="1797" max="1797" width="8" style="2" bestFit="1" customWidth="1"/>
    <col min="1798" max="1804" width="11.125" style="2" bestFit="1" customWidth="1"/>
    <col min="1805" max="1805" width="9.625" style="2" bestFit="1" customWidth="1"/>
    <col min="1806" max="2030" width="9" style="2"/>
    <col min="2031" max="2031" width="2.375" style="2" customWidth="1"/>
    <col min="2032" max="2032" width="13.25" style="2" bestFit="1" customWidth="1"/>
    <col min="2033" max="2034" width="11.125" style="2" bestFit="1" customWidth="1"/>
    <col min="2035" max="2035" width="13.25" style="2" bestFit="1" customWidth="1"/>
    <col min="2036" max="2036" width="11.125" style="2" bestFit="1" customWidth="1"/>
    <col min="2037" max="2037" width="9" style="2"/>
    <col min="2038" max="2038" width="11.125" style="2" bestFit="1" customWidth="1"/>
    <col min="2039" max="2039" width="9" style="2"/>
    <col min="2040" max="2051" width="11.125" style="2" bestFit="1" customWidth="1"/>
    <col min="2052" max="2052" width="9" style="2"/>
    <col min="2053" max="2053" width="8" style="2" bestFit="1" customWidth="1"/>
    <col min="2054" max="2060" width="11.125" style="2" bestFit="1" customWidth="1"/>
    <col min="2061" max="2061" width="9.625" style="2" bestFit="1" customWidth="1"/>
    <col min="2062" max="2286" width="9" style="2"/>
    <col min="2287" max="2287" width="2.375" style="2" customWidth="1"/>
    <col min="2288" max="2288" width="13.25" style="2" bestFit="1" customWidth="1"/>
    <col min="2289" max="2290" width="11.125" style="2" bestFit="1" customWidth="1"/>
    <col min="2291" max="2291" width="13.25" style="2" bestFit="1" customWidth="1"/>
    <col min="2292" max="2292" width="11.125" style="2" bestFit="1" customWidth="1"/>
    <col min="2293" max="2293" width="9" style="2"/>
    <col min="2294" max="2294" width="11.125" style="2" bestFit="1" customWidth="1"/>
    <col min="2295" max="2295" width="9" style="2"/>
    <col min="2296" max="2307" width="11.125" style="2" bestFit="1" customWidth="1"/>
    <col min="2308" max="2308" width="9" style="2"/>
    <col min="2309" max="2309" width="8" style="2" bestFit="1" customWidth="1"/>
    <col min="2310" max="2316" width="11.125" style="2" bestFit="1" customWidth="1"/>
    <col min="2317" max="2317" width="9.625" style="2" bestFit="1" customWidth="1"/>
    <col min="2318" max="2542" width="9" style="2"/>
    <col min="2543" max="2543" width="2.375" style="2" customWidth="1"/>
    <col min="2544" max="2544" width="13.25" style="2" bestFit="1" customWidth="1"/>
    <col min="2545" max="2546" width="11.125" style="2" bestFit="1" customWidth="1"/>
    <col min="2547" max="2547" width="13.25" style="2" bestFit="1" customWidth="1"/>
    <col min="2548" max="2548" width="11.125" style="2" bestFit="1" customWidth="1"/>
    <col min="2549" max="2549" width="9" style="2"/>
    <col min="2550" max="2550" width="11.125" style="2" bestFit="1" customWidth="1"/>
    <col min="2551" max="2551" width="9" style="2"/>
    <col min="2552" max="2563" width="11.125" style="2" bestFit="1" customWidth="1"/>
    <col min="2564" max="2564" width="9" style="2"/>
    <col min="2565" max="2565" width="8" style="2" bestFit="1" customWidth="1"/>
    <col min="2566" max="2572" width="11.125" style="2" bestFit="1" customWidth="1"/>
    <col min="2573" max="2573" width="9.625" style="2" bestFit="1" customWidth="1"/>
    <col min="2574" max="2798" width="9" style="2"/>
    <col min="2799" max="2799" width="2.375" style="2" customWidth="1"/>
    <col min="2800" max="2800" width="13.25" style="2" bestFit="1" customWidth="1"/>
    <col min="2801" max="2802" width="11.125" style="2" bestFit="1" customWidth="1"/>
    <col min="2803" max="2803" width="13.25" style="2" bestFit="1" customWidth="1"/>
    <col min="2804" max="2804" width="11.125" style="2" bestFit="1" customWidth="1"/>
    <col min="2805" max="2805" width="9" style="2"/>
    <col min="2806" max="2806" width="11.125" style="2" bestFit="1" customWidth="1"/>
    <col min="2807" max="2807" width="9" style="2"/>
    <col min="2808" max="2819" width="11.125" style="2" bestFit="1" customWidth="1"/>
    <col min="2820" max="2820" width="9" style="2"/>
    <col min="2821" max="2821" width="8" style="2" bestFit="1" customWidth="1"/>
    <col min="2822" max="2828" width="11.125" style="2" bestFit="1" customWidth="1"/>
    <col min="2829" max="2829" width="9.625" style="2" bestFit="1" customWidth="1"/>
    <col min="2830" max="3054" width="9" style="2"/>
    <col min="3055" max="3055" width="2.375" style="2" customWidth="1"/>
    <col min="3056" max="3056" width="13.25" style="2" bestFit="1" customWidth="1"/>
    <col min="3057" max="3058" width="11.125" style="2" bestFit="1" customWidth="1"/>
    <col min="3059" max="3059" width="13.25" style="2" bestFit="1" customWidth="1"/>
    <col min="3060" max="3060" width="11.125" style="2" bestFit="1" customWidth="1"/>
    <col min="3061" max="3061" width="9" style="2"/>
    <col min="3062" max="3062" width="11.125" style="2" bestFit="1" customWidth="1"/>
    <col min="3063" max="3063" width="9" style="2"/>
    <col min="3064" max="3075" width="11.125" style="2" bestFit="1" customWidth="1"/>
    <col min="3076" max="3076" width="9" style="2"/>
    <col min="3077" max="3077" width="8" style="2" bestFit="1" customWidth="1"/>
    <col min="3078" max="3084" width="11.125" style="2" bestFit="1" customWidth="1"/>
    <col min="3085" max="3085" width="9.625" style="2" bestFit="1" customWidth="1"/>
    <col min="3086" max="3310" width="9" style="2"/>
    <col min="3311" max="3311" width="2.375" style="2" customWidth="1"/>
    <col min="3312" max="3312" width="13.25" style="2" bestFit="1" customWidth="1"/>
    <col min="3313" max="3314" width="11.125" style="2" bestFit="1" customWidth="1"/>
    <col min="3315" max="3315" width="13.25" style="2" bestFit="1" customWidth="1"/>
    <col min="3316" max="3316" width="11.125" style="2" bestFit="1" customWidth="1"/>
    <col min="3317" max="3317" width="9" style="2"/>
    <col min="3318" max="3318" width="11.125" style="2" bestFit="1" customWidth="1"/>
    <col min="3319" max="3319" width="9" style="2"/>
    <col min="3320" max="3331" width="11.125" style="2" bestFit="1" customWidth="1"/>
    <col min="3332" max="3332" width="9" style="2"/>
    <col min="3333" max="3333" width="8" style="2" bestFit="1" customWidth="1"/>
    <col min="3334" max="3340" width="11.125" style="2" bestFit="1" customWidth="1"/>
    <col min="3341" max="3341" width="9.625" style="2" bestFit="1" customWidth="1"/>
    <col min="3342" max="3566" width="9" style="2"/>
    <col min="3567" max="3567" width="2.375" style="2" customWidth="1"/>
    <col min="3568" max="3568" width="13.25" style="2" bestFit="1" customWidth="1"/>
    <col min="3569" max="3570" width="11.125" style="2" bestFit="1" customWidth="1"/>
    <col min="3571" max="3571" width="13.25" style="2" bestFit="1" customWidth="1"/>
    <col min="3572" max="3572" width="11.125" style="2" bestFit="1" customWidth="1"/>
    <col min="3573" max="3573" width="9" style="2"/>
    <col min="3574" max="3574" width="11.125" style="2" bestFit="1" customWidth="1"/>
    <col min="3575" max="3575" width="9" style="2"/>
    <col min="3576" max="3587" width="11.125" style="2" bestFit="1" customWidth="1"/>
    <col min="3588" max="3588" width="9" style="2"/>
    <col min="3589" max="3589" width="8" style="2" bestFit="1" customWidth="1"/>
    <col min="3590" max="3596" width="11.125" style="2" bestFit="1" customWidth="1"/>
    <col min="3597" max="3597" width="9.625" style="2" bestFit="1" customWidth="1"/>
    <col min="3598" max="3822" width="9" style="2"/>
    <col min="3823" max="3823" width="2.375" style="2" customWidth="1"/>
    <col min="3824" max="3824" width="13.25" style="2" bestFit="1" customWidth="1"/>
    <col min="3825" max="3826" width="11.125" style="2" bestFit="1" customWidth="1"/>
    <col min="3827" max="3827" width="13.25" style="2" bestFit="1" customWidth="1"/>
    <col min="3828" max="3828" width="11.125" style="2" bestFit="1" customWidth="1"/>
    <col min="3829" max="3829" width="9" style="2"/>
    <col min="3830" max="3830" width="11.125" style="2" bestFit="1" customWidth="1"/>
    <col min="3831" max="3831" width="9" style="2"/>
    <col min="3832" max="3843" width="11.125" style="2" bestFit="1" customWidth="1"/>
    <col min="3844" max="3844" width="9" style="2"/>
    <col min="3845" max="3845" width="8" style="2" bestFit="1" customWidth="1"/>
    <col min="3846" max="3852" width="11.125" style="2" bestFit="1" customWidth="1"/>
    <col min="3853" max="3853" width="9.625" style="2" bestFit="1" customWidth="1"/>
    <col min="3854" max="4078" width="9" style="2"/>
    <col min="4079" max="4079" width="2.375" style="2" customWidth="1"/>
    <col min="4080" max="4080" width="13.25" style="2" bestFit="1" customWidth="1"/>
    <col min="4081" max="4082" width="11.125" style="2" bestFit="1" customWidth="1"/>
    <col min="4083" max="4083" width="13.25" style="2" bestFit="1" customWidth="1"/>
    <col min="4084" max="4084" width="11.125" style="2" bestFit="1" customWidth="1"/>
    <col min="4085" max="4085" width="9" style="2"/>
    <col min="4086" max="4086" width="11.125" style="2" bestFit="1" customWidth="1"/>
    <col min="4087" max="4087" width="9" style="2"/>
    <col min="4088" max="4099" width="11.125" style="2" bestFit="1" customWidth="1"/>
    <col min="4100" max="4100" width="9" style="2"/>
    <col min="4101" max="4101" width="8" style="2" bestFit="1" customWidth="1"/>
    <col min="4102" max="4108" width="11.125" style="2" bestFit="1" customWidth="1"/>
    <col min="4109" max="4109" width="9.625" style="2" bestFit="1" customWidth="1"/>
    <col min="4110" max="4334" width="9" style="2"/>
    <col min="4335" max="4335" width="2.375" style="2" customWidth="1"/>
    <col min="4336" max="4336" width="13.25" style="2" bestFit="1" customWidth="1"/>
    <col min="4337" max="4338" width="11.125" style="2" bestFit="1" customWidth="1"/>
    <col min="4339" max="4339" width="13.25" style="2" bestFit="1" customWidth="1"/>
    <col min="4340" max="4340" width="11.125" style="2" bestFit="1" customWidth="1"/>
    <col min="4341" max="4341" width="9" style="2"/>
    <col min="4342" max="4342" width="11.125" style="2" bestFit="1" customWidth="1"/>
    <col min="4343" max="4343" width="9" style="2"/>
    <col min="4344" max="4355" width="11.125" style="2" bestFit="1" customWidth="1"/>
    <col min="4356" max="4356" width="9" style="2"/>
    <col min="4357" max="4357" width="8" style="2" bestFit="1" customWidth="1"/>
    <col min="4358" max="4364" width="11.125" style="2" bestFit="1" customWidth="1"/>
    <col min="4365" max="4365" width="9.625" style="2" bestFit="1" customWidth="1"/>
    <col min="4366" max="4590" width="9" style="2"/>
    <col min="4591" max="4591" width="2.375" style="2" customWidth="1"/>
    <col min="4592" max="4592" width="13.25" style="2" bestFit="1" customWidth="1"/>
    <col min="4593" max="4594" width="11.125" style="2" bestFit="1" customWidth="1"/>
    <col min="4595" max="4595" width="13.25" style="2" bestFit="1" customWidth="1"/>
    <col min="4596" max="4596" width="11.125" style="2" bestFit="1" customWidth="1"/>
    <col min="4597" max="4597" width="9" style="2"/>
    <col min="4598" max="4598" width="11.125" style="2" bestFit="1" customWidth="1"/>
    <col min="4599" max="4599" width="9" style="2"/>
    <col min="4600" max="4611" width="11.125" style="2" bestFit="1" customWidth="1"/>
    <col min="4612" max="4612" width="9" style="2"/>
    <col min="4613" max="4613" width="8" style="2" bestFit="1" customWidth="1"/>
    <col min="4614" max="4620" width="11.125" style="2" bestFit="1" customWidth="1"/>
    <col min="4621" max="4621" width="9.625" style="2" bestFit="1" customWidth="1"/>
    <col min="4622" max="4846" width="9" style="2"/>
    <col min="4847" max="4847" width="2.375" style="2" customWidth="1"/>
    <col min="4848" max="4848" width="13.25" style="2" bestFit="1" customWidth="1"/>
    <col min="4849" max="4850" width="11.125" style="2" bestFit="1" customWidth="1"/>
    <col min="4851" max="4851" width="13.25" style="2" bestFit="1" customWidth="1"/>
    <col min="4852" max="4852" width="11.125" style="2" bestFit="1" customWidth="1"/>
    <col min="4853" max="4853" width="9" style="2"/>
    <col min="4854" max="4854" width="11.125" style="2" bestFit="1" customWidth="1"/>
    <col min="4855" max="4855" width="9" style="2"/>
    <col min="4856" max="4867" width="11.125" style="2" bestFit="1" customWidth="1"/>
    <col min="4868" max="4868" width="9" style="2"/>
    <col min="4869" max="4869" width="8" style="2" bestFit="1" customWidth="1"/>
    <col min="4870" max="4876" width="11.125" style="2" bestFit="1" customWidth="1"/>
    <col min="4877" max="4877" width="9.625" style="2" bestFit="1" customWidth="1"/>
    <col min="4878" max="5102" width="9" style="2"/>
    <col min="5103" max="5103" width="2.375" style="2" customWidth="1"/>
    <col min="5104" max="5104" width="13.25" style="2" bestFit="1" customWidth="1"/>
    <col min="5105" max="5106" width="11.125" style="2" bestFit="1" customWidth="1"/>
    <col min="5107" max="5107" width="13.25" style="2" bestFit="1" customWidth="1"/>
    <col min="5108" max="5108" width="11.125" style="2" bestFit="1" customWidth="1"/>
    <col min="5109" max="5109" width="9" style="2"/>
    <col min="5110" max="5110" width="11.125" style="2" bestFit="1" customWidth="1"/>
    <col min="5111" max="5111" width="9" style="2"/>
    <col min="5112" max="5123" width="11.125" style="2" bestFit="1" customWidth="1"/>
    <col min="5124" max="5124" width="9" style="2"/>
    <col min="5125" max="5125" width="8" style="2" bestFit="1" customWidth="1"/>
    <col min="5126" max="5132" width="11.125" style="2" bestFit="1" customWidth="1"/>
    <col min="5133" max="5133" width="9.625" style="2" bestFit="1" customWidth="1"/>
    <col min="5134" max="5358" width="9" style="2"/>
    <col min="5359" max="5359" width="2.375" style="2" customWidth="1"/>
    <col min="5360" max="5360" width="13.25" style="2" bestFit="1" customWidth="1"/>
    <col min="5361" max="5362" width="11.125" style="2" bestFit="1" customWidth="1"/>
    <col min="5363" max="5363" width="13.25" style="2" bestFit="1" customWidth="1"/>
    <col min="5364" max="5364" width="11.125" style="2" bestFit="1" customWidth="1"/>
    <col min="5365" max="5365" width="9" style="2"/>
    <col min="5366" max="5366" width="11.125" style="2" bestFit="1" customWidth="1"/>
    <col min="5367" max="5367" width="9" style="2"/>
    <col min="5368" max="5379" width="11.125" style="2" bestFit="1" customWidth="1"/>
    <col min="5380" max="5380" width="9" style="2"/>
    <col min="5381" max="5381" width="8" style="2" bestFit="1" customWidth="1"/>
    <col min="5382" max="5388" width="11.125" style="2" bestFit="1" customWidth="1"/>
    <col min="5389" max="5389" width="9.625" style="2" bestFit="1" customWidth="1"/>
    <col min="5390" max="5614" width="9" style="2"/>
    <col min="5615" max="5615" width="2.375" style="2" customWidth="1"/>
    <col min="5616" max="5616" width="13.25" style="2" bestFit="1" customWidth="1"/>
    <col min="5617" max="5618" width="11.125" style="2" bestFit="1" customWidth="1"/>
    <col min="5619" max="5619" width="13.25" style="2" bestFit="1" customWidth="1"/>
    <col min="5620" max="5620" width="11.125" style="2" bestFit="1" customWidth="1"/>
    <col min="5621" max="5621" width="9" style="2"/>
    <col min="5622" max="5622" width="11.125" style="2" bestFit="1" customWidth="1"/>
    <col min="5623" max="5623" width="9" style="2"/>
    <col min="5624" max="5635" width="11.125" style="2" bestFit="1" customWidth="1"/>
    <col min="5636" max="5636" width="9" style="2"/>
    <col min="5637" max="5637" width="8" style="2" bestFit="1" customWidth="1"/>
    <col min="5638" max="5644" width="11.125" style="2" bestFit="1" customWidth="1"/>
    <col min="5645" max="5645" width="9.625" style="2" bestFit="1" customWidth="1"/>
    <col min="5646" max="5870" width="9" style="2"/>
    <col min="5871" max="5871" width="2.375" style="2" customWidth="1"/>
    <col min="5872" max="5872" width="13.25" style="2" bestFit="1" customWidth="1"/>
    <col min="5873" max="5874" width="11.125" style="2" bestFit="1" customWidth="1"/>
    <col min="5875" max="5875" width="13.25" style="2" bestFit="1" customWidth="1"/>
    <col min="5876" max="5876" width="11.125" style="2" bestFit="1" customWidth="1"/>
    <col min="5877" max="5877" width="9" style="2"/>
    <col min="5878" max="5878" width="11.125" style="2" bestFit="1" customWidth="1"/>
    <col min="5879" max="5879" width="9" style="2"/>
    <col min="5880" max="5891" width="11.125" style="2" bestFit="1" customWidth="1"/>
    <col min="5892" max="5892" width="9" style="2"/>
    <col min="5893" max="5893" width="8" style="2" bestFit="1" customWidth="1"/>
    <col min="5894" max="5900" width="11.125" style="2" bestFit="1" customWidth="1"/>
    <col min="5901" max="5901" width="9.625" style="2" bestFit="1" customWidth="1"/>
    <col min="5902" max="6126" width="9" style="2"/>
    <col min="6127" max="6127" width="2.375" style="2" customWidth="1"/>
    <col min="6128" max="6128" width="13.25" style="2" bestFit="1" customWidth="1"/>
    <col min="6129" max="6130" width="11.125" style="2" bestFit="1" customWidth="1"/>
    <col min="6131" max="6131" width="13.25" style="2" bestFit="1" customWidth="1"/>
    <col min="6132" max="6132" width="11.125" style="2" bestFit="1" customWidth="1"/>
    <col min="6133" max="6133" width="9" style="2"/>
    <col min="6134" max="6134" width="11.125" style="2" bestFit="1" customWidth="1"/>
    <col min="6135" max="6135" width="9" style="2"/>
    <col min="6136" max="6147" width="11.125" style="2" bestFit="1" customWidth="1"/>
    <col min="6148" max="6148" width="9" style="2"/>
    <col min="6149" max="6149" width="8" style="2" bestFit="1" customWidth="1"/>
    <col min="6150" max="6156" width="11.125" style="2" bestFit="1" customWidth="1"/>
    <col min="6157" max="6157" width="9.625" style="2" bestFit="1" customWidth="1"/>
    <col min="6158" max="6382" width="9" style="2"/>
    <col min="6383" max="6383" width="2.375" style="2" customWidth="1"/>
    <col min="6384" max="6384" width="13.25" style="2" bestFit="1" customWidth="1"/>
    <col min="6385" max="6386" width="11.125" style="2" bestFit="1" customWidth="1"/>
    <col min="6387" max="6387" width="13.25" style="2" bestFit="1" customWidth="1"/>
    <col min="6388" max="6388" width="11.125" style="2" bestFit="1" customWidth="1"/>
    <col min="6389" max="6389" width="9" style="2"/>
    <col min="6390" max="6390" width="11.125" style="2" bestFit="1" customWidth="1"/>
    <col min="6391" max="6391" width="9" style="2"/>
    <col min="6392" max="6403" width="11.125" style="2" bestFit="1" customWidth="1"/>
    <col min="6404" max="6404" width="9" style="2"/>
    <col min="6405" max="6405" width="8" style="2" bestFit="1" customWidth="1"/>
    <col min="6406" max="6412" width="11.125" style="2" bestFit="1" customWidth="1"/>
    <col min="6413" max="6413" width="9.625" style="2" bestFit="1" customWidth="1"/>
    <col min="6414" max="6638" width="9" style="2"/>
    <col min="6639" max="6639" width="2.375" style="2" customWidth="1"/>
    <col min="6640" max="6640" width="13.25" style="2" bestFit="1" customWidth="1"/>
    <col min="6641" max="6642" width="11.125" style="2" bestFit="1" customWidth="1"/>
    <col min="6643" max="6643" width="13.25" style="2" bestFit="1" customWidth="1"/>
    <col min="6644" max="6644" width="11.125" style="2" bestFit="1" customWidth="1"/>
    <col min="6645" max="6645" width="9" style="2"/>
    <col min="6646" max="6646" width="11.125" style="2" bestFit="1" customWidth="1"/>
    <col min="6647" max="6647" width="9" style="2"/>
    <col min="6648" max="6659" width="11.125" style="2" bestFit="1" customWidth="1"/>
    <col min="6660" max="6660" width="9" style="2"/>
    <col min="6661" max="6661" width="8" style="2" bestFit="1" customWidth="1"/>
    <col min="6662" max="6668" width="11.125" style="2" bestFit="1" customWidth="1"/>
    <col min="6669" max="6669" width="9.625" style="2" bestFit="1" customWidth="1"/>
    <col min="6670" max="6894" width="9" style="2"/>
    <col min="6895" max="6895" width="2.375" style="2" customWidth="1"/>
    <col min="6896" max="6896" width="13.25" style="2" bestFit="1" customWidth="1"/>
    <col min="6897" max="6898" width="11.125" style="2" bestFit="1" customWidth="1"/>
    <col min="6899" max="6899" width="13.25" style="2" bestFit="1" customWidth="1"/>
    <col min="6900" max="6900" width="11.125" style="2" bestFit="1" customWidth="1"/>
    <col min="6901" max="6901" width="9" style="2"/>
    <col min="6902" max="6902" width="11.125" style="2" bestFit="1" customWidth="1"/>
    <col min="6903" max="6903" width="9" style="2"/>
    <col min="6904" max="6915" width="11.125" style="2" bestFit="1" customWidth="1"/>
    <col min="6916" max="6916" width="9" style="2"/>
    <col min="6917" max="6917" width="8" style="2" bestFit="1" customWidth="1"/>
    <col min="6918" max="6924" width="11.125" style="2" bestFit="1" customWidth="1"/>
    <col min="6925" max="6925" width="9.625" style="2" bestFit="1" customWidth="1"/>
    <col min="6926" max="7150" width="9" style="2"/>
    <col min="7151" max="7151" width="2.375" style="2" customWidth="1"/>
    <col min="7152" max="7152" width="13.25" style="2" bestFit="1" customWidth="1"/>
    <col min="7153" max="7154" width="11.125" style="2" bestFit="1" customWidth="1"/>
    <col min="7155" max="7155" width="13.25" style="2" bestFit="1" customWidth="1"/>
    <col min="7156" max="7156" width="11.125" style="2" bestFit="1" customWidth="1"/>
    <col min="7157" max="7157" width="9" style="2"/>
    <col min="7158" max="7158" width="11.125" style="2" bestFit="1" customWidth="1"/>
    <col min="7159" max="7159" width="9" style="2"/>
    <col min="7160" max="7171" width="11.125" style="2" bestFit="1" customWidth="1"/>
    <col min="7172" max="7172" width="9" style="2"/>
    <col min="7173" max="7173" width="8" style="2" bestFit="1" customWidth="1"/>
    <col min="7174" max="7180" width="11.125" style="2" bestFit="1" customWidth="1"/>
    <col min="7181" max="7181" width="9.625" style="2" bestFit="1" customWidth="1"/>
    <col min="7182" max="7406" width="9" style="2"/>
    <col min="7407" max="7407" width="2.375" style="2" customWidth="1"/>
    <col min="7408" max="7408" width="13.25" style="2" bestFit="1" customWidth="1"/>
    <col min="7409" max="7410" width="11.125" style="2" bestFit="1" customWidth="1"/>
    <col min="7411" max="7411" width="13.25" style="2" bestFit="1" customWidth="1"/>
    <col min="7412" max="7412" width="11.125" style="2" bestFit="1" customWidth="1"/>
    <col min="7413" max="7413" width="9" style="2"/>
    <col min="7414" max="7414" width="11.125" style="2" bestFit="1" customWidth="1"/>
    <col min="7415" max="7415" width="9" style="2"/>
    <col min="7416" max="7427" width="11.125" style="2" bestFit="1" customWidth="1"/>
    <col min="7428" max="7428" width="9" style="2"/>
    <col min="7429" max="7429" width="8" style="2" bestFit="1" customWidth="1"/>
    <col min="7430" max="7436" width="11.125" style="2" bestFit="1" customWidth="1"/>
    <col min="7437" max="7437" width="9.625" style="2" bestFit="1" customWidth="1"/>
    <col min="7438" max="7662" width="9" style="2"/>
    <col min="7663" max="7663" width="2.375" style="2" customWidth="1"/>
    <col min="7664" max="7664" width="13.25" style="2" bestFit="1" customWidth="1"/>
    <col min="7665" max="7666" width="11.125" style="2" bestFit="1" customWidth="1"/>
    <col min="7667" max="7667" width="13.25" style="2" bestFit="1" customWidth="1"/>
    <col min="7668" max="7668" width="11.125" style="2" bestFit="1" customWidth="1"/>
    <col min="7669" max="7669" width="9" style="2"/>
    <col min="7670" max="7670" width="11.125" style="2" bestFit="1" customWidth="1"/>
    <col min="7671" max="7671" width="9" style="2"/>
    <col min="7672" max="7683" width="11.125" style="2" bestFit="1" customWidth="1"/>
    <col min="7684" max="7684" width="9" style="2"/>
    <col min="7685" max="7685" width="8" style="2" bestFit="1" customWidth="1"/>
    <col min="7686" max="7692" width="11.125" style="2" bestFit="1" customWidth="1"/>
    <col min="7693" max="7693" width="9.625" style="2" bestFit="1" customWidth="1"/>
    <col min="7694" max="7918" width="9" style="2"/>
    <col min="7919" max="7919" width="2.375" style="2" customWidth="1"/>
    <col min="7920" max="7920" width="13.25" style="2" bestFit="1" customWidth="1"/>
    <col min="7921" max="7922" width="11.125" style="2" bestFit="1" customWidth="1"/>
    <col min="7923" max="7923" width="13.25" style="2" bestFit="1" customWidth="1"/>
    <col min="7924" max="7924" width="11.125" style="2" bestFit="1" customWidth="1"/>
    <col min="7925" max="7925" width="9" style="2"/>
    <col min="7926" max="7926" width="11.125" style="2" bestFit="1" customWidth="1"/>
    <col min="7927" max="7927" width="9" style="2"/>
    <col min="7928" max="7939" width="11.125" style="2" bestFit="1" customWidth="1"/>
    <col min="7940" max="7940" width="9" style="2"/>
    <col min="7941" max="7941" width="8" style="2" bestFit="1" customWidth="1"/>
    <col min="7942" max="7948" width="11.125" style="2" bestFit="1" customWidth="1"/>
    <col min="7949" max="7949" width="9.625" style="2" bestFit="1" customWidth="1"/>
    <col min="7950" max="8174" width="9" style="2"/>
    <col min="8175" max="8175" width="2.375" style="2" customWidth="1"/>
    <col min="8176" max="8176" width="13.25" style="2" bestFit="1" customWidth="1"/>
    <col min="8177" max="8178" width="11.125" style="2" bestFit="1" customWidth="1"/>
    <col min="8179" max="8179" width="13.25" style="2" bestFit="1" customWidth="1"/>
    <col min="8180" max="8180" width="11.125" style="2" bestFit="1" customWidth="1"/>
    <col min="8181" max="8181" width="9" style="2"/>
    <col min="8182" max="8182" width="11.125" style="2" bestFit="1" customWidth="1"/>
    <col min="8183" max="8183" width="9" style="2"/>
    <col min="8184" max="8195" width="11.125" style="2" bestFit="1" customWidth="1"/>
    <col min="8196" max="8196" width="9" style="2"/>
    <col min="8197" max="8197" width="8" style="2" bestFit="1" customWidth="1"/>
    <col min="8198" max="8204" width="11.125" style="2" bestFit="1" customWidth="1"/>
    <col min="8205" max="8205" width="9.625" style="2" bestFit="1" customWidth="1"/>
    <col min="8206" max="8430" width="9" style="2"/>
    <col min="8431" max="8431" width="2.375" style="2" customWidth="1"/>
    <col min="8432" max="8432" width="13.25" style="2" bestFit="1" customWidth="1"/>
    <col min="8433" max="8434" width="11.125" style="2" bestFit="1" customWidth="1"/>
    <col min="8435" max="8435" width="13.25" style="2" bestFit="1" customWidth="1"/>
    <col min="8436" max="8436" width="11.125" style="2" bestFit="1" customWidth="1"/>
    <col min="8437" max="8437" width="9" style="2"/>
    <col min="8438" max="8438" width="11.125" style="2" bestFit="1" customWidth="1"/>
    <col min="8439" max="8439" width="9" style="2"/>
    <col min="8440" max="8451" width="11.125" style="2" bestFit="1" customWidth="1"/>
    <col min="8452" max="8452" width="9" style="2"/>
    <col min="8453" max="8453" width="8" style="2" bestFit="1" customWidth="1"/>
    <col min="8454" max="8460" width="11.125" style="2" bestFit="1" customWidth="1"/>
    <col min="8461" max="8461" width="9.625" style="2" bestFit="1" customWidth="1"/>
    <col min="8462" max="8686" width="9" style="2"/>
    <col min="8687" max="8687" width="2.375" style="2" customWidth="1"/>
    <col min="8688" max="8688" width="13.25" style="2" bestFit="1" customWidth="1"/>
    <col min="8689" max="8690" width="11.125" style="2" bestFit="1" customWidth="1"/>
    <col min="8691" max="8691" width="13.25" style="2" bestFit="1" customWidth="1"/>
    <col min="8692" max="8692" width="11.125" style="2" bestFit="1" customWidth="1"/>
    <col min="8693" max="8693" width="9" style="2"/>
    <col min="8694" max="8694" width="11.125" style="2" bestFit="1" customWidth="1"/>
    <col min="8695" max="8695" width="9" style="2"/>
    <col min="8696" max="8707" width="11.125" style="2" bestFit="1" customWidth="1"/>
    <col min="8708" max="8708" width="9" style="2"/>
    <col min="8709" max="8709" width="8" style="2" bestFit="1" customWidth="1"/>
    <col min="8710" max="8716" width="11.125" style="2" bestFit="1" customWidth="1"/>
    <col min="8717" max="8717" width="9.625" style="2" bestFit="1" customWidth="1"/>
    <col min="8718" max="8942" width="9" style="2"/>
    <col min="8943" max="8943" width="2.375" style="2" customWidth="1"/>
    <col min="8944" max="8944" width="13.25" style="2" bestFit="1" customWidth="1"/>
    <col min="8945" max="8946" width="11.125" style="2" bestFit="1" customWidth="1"/>
    <col min="8947" max="8947" width="13.25" style="2" bestFit="1" customWidth="1"/>
    <col min="8948" max="8948" width="11.125" style="2" bestFit="1" customWidth="1"/>
    <col min="8949" max="8949" width="9" style="2"/>
    <col min="8950" max="8950" width="11.125" style="2" bestFit="1" customWidth="1"/>
    <col min="8951" max="8951" width="9" style="2"/>
    <col min="8952" max="8963" width="11.125" style="2" bestFit="1" customWidth="1"/>
    <col min="8964" max="8964" width="9" style="2"/>
    <col min="8965" max="8965" width="8" style="2" bestFit="1" customWidth="1"/>
    <col min="8966" max="8972" width="11.125" style="2" bestFit="1" customWidth="1"/>
    <col min="8973" max="8973" width="9.625" style="2" bestFit="1" customWidth="1"/>
    <col min="8974" max="9198" width="9" style="2"/>
    <col min="9199" max="9199" width="2.375" style="2" customWidth="1"/>
    <col min="9200" max="9200" width="13.25" style="2" bestFit="1" customWidth="1"/>
    <col min="9201" max="9202" width="11.125" style="2" bestFit="1" customWidth="1"/>
    <col min="9203" max="9203" width="13.25" style="2" bestFit="1" customWidth="1"/>
    <col min="9204" max="9204" width="11.125" style="2" bestFit="1" customWidth="1"/>
    <col min="9205" max="9205" width="9" style="2"/>
    <col min="9206" max="9206" width="11.125" style="2" bestFit="1" customWidth="1"/>
    <col min="9207" max="9207" width="9" style="2"/>
    <col min="9208" max="9219" width="11.125" style="2" bestFit="1" customWidth="1"/>
    <col min="9220" max="9220" width="9" style="2"/>
    <col min="9221" max="9221" width="8" style="2" bestFit="1" customWidth="1"/>
    <col min="9222" max="9228" width="11.125" style="2" bestFit="1" customWidth="1"/>
    <col min="9229" max="9229" width="9.625" style="2" bestFit="1" customWidth="1"/>
    <col min="9230" max="9454" width="9" style="2"/>
    <col min="9455" max="9455" width="2.375" style="2" customWidth="1"/>
    <col min="9456" max="9456" width="13.25" style="2" bestFit="1" customWidth="1"/>
    <col min="9457" max="9458" width="11.125" style="2" bestFit="1" customWidth="1"/>
    <col min="9459" max="9459" width="13.25" style="2" bestFit="1" customWidth="1"/>
    <col min="9460" max="9460" width="11.125" style="2" bestFit="1" customWidth="1"/>
    <col min="9461" max="9461" width="9" style="2"/>
    <col min="9462" max="9462" width="11.125" style="2" bestFit="1" customWidth="1"/>
    <col min="9463" max="9463" width="9" style="2"/>
    <col min="9464" max="9475" width="11.125" style="2" bestFit="1" customWidth="1"/>
    <col min="9476" max="9476" width="9" style="2"/>
    <col min="9477" max="9477" width="8" style="2" bestFit="1" customWidth="1"/>
    <col min="9478" max="9484" width="11.125" style="2" bestFit="1" customWidth="1"/>
    <col min="9485" max="9485" width="9.625" style="2" bestFit="1" customWidth="1"/>
    <col min="9486" max="9710" width="9" style="2"/>
    <col min="9711" max="9711" width="2.375" style="2" customWidth="1"/>
    <col min="9712" max="9712" width="13.25" style="2" bestFit="1" customWidth="1"/>
    <col min="9713" max="9714" width="11.125" style="2" bestFit="1" customWidth="1"/>
    <col min="9715" max="9715" width="13.25" style="2" bestFit="1" customWidth="1"/>
    <col min="9716" max="9716" width="11.125" style="2" bestFit="1" customWidth="1"/>
    <col min="9717" max="9717" width="9" style="2"/>
    <col min="9718" max="9718" width="11.125" style="2" bestFit="1" customWidth="1"/>
    <col min="9719" max="9719" width="9" style="2"/>
    <col min="9720" max="9731" width="11.125" style="2" bestFit="1" customWidth="1"/>
    <col min="9732" max="9732" width="9" style="2"/>
    <col min="9733" max="9733" width="8" style="2" bestFit="1" customWidth="1"/>
    <col min="9734" max="9740" width="11.125" style="2" bestFit="1" customWidth="1"/>
    <col min="9741" max="9741" width="9.625" style="2" bestFit="1" customWidth="1"/>
    <col min="9742" max="9966" width="9" style="2"/>
    <col min="9967" max="9967" width="2.375" style="2" customWidth="1"/>
    <col min="9968" max="9968" width="13.25" style="2" bestFit="1" customWidth="1"/>
    <col min="9969" max="9970" width="11.125" style="2" bestFit="1" customWidth="1"/>
    <col min="9971" max="9971" width="13.25" style="2" bestFit="1" customWidth="1"/>
    <col min="9972" max="9972" width="11.125" style="2" bestFit="1" customWidth="1"/>
    <col min="9973" max="9973" width="9" style="2"/>
    <col min="9974" max="9974" width="11.125" style="2" bestFit="1" customWidth="1"/>
    <col min="9975" max="9975" width="9" style="2"/>
    <col min="9976" max="9987" width="11.125" style="2" bestFit="1" customWidth="1"/>
    <col min="9988" max="9988" width="9" style="2"/>
    <col min="9989" max="9989" width="8" style="2" bestFit="1" customWidth="1"/>
    <col min="9990" max="9996" width="11.125" style="2" bestFit="1" customWidth="1"/>
    <col min="9997" max="9997" width="9.625" style="2" bestFit="1" customWidth="1"/>
    <col min="9998" max="10222" width="9" style="2"/>
    <col min="10223" max="10223" width="2.375" style="2" customWidth="1"/>
    <col min="10224" max="10224" width="13.25" style="2" bestFit="1" customWidth="1"/>
    <col min="10225" max="10226" width="11.125" style="2" bestFit="1" customWidth="1"/>
    <col min="10227" max="10227" width="13.25" style="2" bestFit="1" customWidth="1"/>
    <col min="10228" max="10228" width="11.125" style="2" bestFit="1" customWidth="1"/>
    <col min="10229" max="10229" width="9" style="2"/>
    <col min="10230" max="10230" width="11.125" style="2" bestFit="1" customWidth="1"/>
    <col min="10231" max="10231" width="9" style="2"/>
    <col min="10232" max="10243" width="11.125" style="2" bestFit="1" customWidth="1"/>
    <col min="10244" max="10244" width="9" style="2"/>
    <col min="10245" max="10245" width="8" style="2" bestFit="1" customWidth="1"/>
    <col min="10246" max="10252" width="11.125" style="2" bestFit="1" customWidth="1"/>
    <col min="10253" max="10253" width="9.625" style="2" bestFit="1" customWidth="1"/>
    <col min="10254" max="10478" width="9" style="2"/>
    <col min="10479" max="10479" width="2.375" style="2" customWidth="1"/>
    <col min="10480" max="10480" width="13.25" style="2" bestFit="1" customWidth="1"/>
    <col min="10481" max="10482" width="11.125" style="2" bestFit="1" customWidth="1"/>
    <col min="10483" max="10483" width="13.25" style="2" bestFit="1" customWidth="1"/>
    <col min="10484" max="10484" width="11.125" style="2" bestFit="1" customWidth="1"/>
    <col min="10485" max="10485" width="9" style="2"/>
    <col min="10486" max="10486" width="11.125" style="2" bestFit="1" customWidth="1"/>
    <col min="10487" max="10487" width="9" style="2"/>
    <col min="10488" max="10499" width="11.125" style="2" bestFit="1" customWidth="1"/>
    <col min="10500" max="10500" width="9" style="2"/>
    <col min="10501" max="10501" width="8" style="2" bestFit="1" customWidth="1"/>
    <col min="10502" max="10508" width="11.125" style="2" bestFit="1" customWidth="1"/>
    <col min="10509" max="10509" width="9.625" style="2" bestFit="1" customWidth="1"/>
    <col min="10510" max="10734" width="9" style="2"/>
    <col min="10735" max="10735" width="2.375" style="2" customWidth="1"/>
    <col min="10736" max="10736" width="13.25" style="2" bestFit="1" customWidth="1"/>
    <col min="10737" max="10738" width="11.125" style="2" bestFit="1" customWidth="1"/>
    <col min="10739" max="10739" width="13.25" style="2" bestFit="1" customWidth="1"/>
    <col min="10740" max="10740" width="11.125" style="2" bestFit="1" customWidth="1"/>
    <col min="10741" max="10741" width="9" style="2"/>
    <col min="10742" max="10742" width="11.125" style="2" bestFit="1" customWidth="1"/>
    <col min="10743" max="10743" width="9" style="2"/>
    <col min="10744" max="10755" width="11.125" style="2" bestFit="1" customWidth="1"/>
    <col min="10756" max="10756" width="9" style="2"/>
    <col min="10757" max="10757" width="8" style="2" bestFit="1" customWidth="1"/>
    <col min="10758" max="10764" width="11.125" style="2" bestFit="1" customWidth="1"/>
    <col min="10765" max="10765" width="9.625" style="2" bestFit="1" customWidth="1"/>
    <col min="10766" max="10990" width="9" style="2"/>
    <col min="10991" max="10991" width="2.375" style="2" customWidth="1"/>
    <col min="10992" max="10992" width="13.25" style="2" bestFit="1" customWidth="1"/>
    <col min="10993" max="10994" width="11.125" style="2" bestFit="1" customWidth="1"/>
    <col min="10995" max="10995" width="13.25" style="2" bestFit="1" customWidth="1"/>
    <col min="10996" max="10996" width="11.125" style="2" bestFit="1" customWidth="1"/>
    <col min="10997" max="10997" width="9" style="2"/>
    <col min="10998" max="10998" width="11.125" style="2" bestFit="1" customWidth="1"/>
    <col min="10999" max="10999" width="9" style="2"/>
    <col min="11000" max="11011" width="11.125" style="2" bestFit="1" customWidth="1"/>
    <col min="11012" max="11012" width="9" style="2"/>
    <col min="11013" max="11013" width="8" style="2" bestFit="1" customWidth="1"/>
    <col min="11014" max="11020" width="11.125" style="2" bestFit="1" customWidth="1"/>
    <col min="11021" max="11021" width="9.625" style="2" bestFit="1" customWidth="1"/>
    <col min="11022" max="11246" width="9" style="2"/>
    <col min="11247" max="11247" width="2.375" style="2" customWidth="1"/>
    <col min="11248" max="11248" width="13.25" style="2" bestFit="1" customWidth="1"/>
    <col min="11249" max="11250" width="11.125" style="2" bestFit="1" customWidth="1"/>
    <col min="11251" max="11251" width="13.25" style="2" bestFit="1" customWidth="1"/>
    <col min="11252" max="11252" width="11.125" style="2" bestFit="1" customWidth="1"/>
    <col min="11253" max="11253" width="9" style="2"/>
    <col min="11254" max="11254" width="11.125" style="2" bestFit="1" customWidth="1"/>
    <col min="11255" max="11255" width="9" style="2"/>
    <col min="11256" max="11267" width="11.125" style="2" bestFit="1" customWidth="1"/>
    <col min="11268" max="11268" width="9" style="2"/>
    <col min="11269" max="11269" width="8" style="2" bestFit="1" customWidth="1"/>
    <col min="11270" max="11276" width="11.125" style="2" bestFit="1" customWidth="1"/>
    <col min="11277" max="11277" width="9.625" style="2" bestFit="1" customWidth="1"/>
    <col min="11278" max="11502" width="9" style="2"/>
    <col min="11503" max="11503" width="2.375" style="2" customWidth="1"/>
    <col min="11504" max="11504" width="13.25" style="2" bestFit="1" customWidth="1"/>
    <col min="11505" max="11506" width="11.125" style="2" bestFit="1" customWidth="1"/>
    <col min="11507" max="11507" width="13.25" style="2" bestFit="1" customWidth="1"/>
    <col min="11508" max="11508" width="11.125" style="2" bestFit="1" customWidth="1"/>
    <col min="11509" max="11509" width="9" style="2"/>
    <col min="11510" max="11510" width="11.125" style="2" bestFit="1" customWidth="1"/>
    <col min="11511" max="11511" width="9" style="2"/>
    <col min="11512" max="11523" width="11.125" style="2" bestFit="1" customWidth="1"/>
    <col min="11524" max="11524" width="9" style="2"/>
    <col min="11525" max="11525" width="8" style="2" bestFit="1" customWidth="1"/>
    <col min="11526" max="11532" width="11.125" style="2" bestFit="1" customWidth="1"/>
    <col min="11533" max="11533" width="9.625" style="2" bestFit="1" customWidth="1"/>
    <col min="11534" max="11758" width="9" style="2"/>
    <col min="11759" max="11759" width="2.375" style="2" customWidth="1"/>
    <col min="11760" max="11760" width="13.25" style="2" bestFit="1" customWidth="1"/>
    <col min="11761" max="11762" width="11.125" style="2" bestFit="1" customWidth="1"/>
    <col min="11763" max="11763" width="13.25" style="2" bestFit="1" customWidth="1"/>
    <col min="11764" max="11764" width="11.125" style="2" bestFit="1" customWidth="1"/>
    <col min="11765" max="11765" width="9" style="2"/>
    <col min="11766" max="11766" width="11.125" style="2" bestFit="1" customWidth="1"/>
    <col min="11767" max="11767" width="9" style="2"/>
    <col min="11768" max="11779" width="11.125" style="2" bestFit="1" customWidth="1"/>
    <col min="11780" max="11780" width="9" style="2"/>
    <col min="11781" max="11781" width="8" style="2" bestFit="1" customWidth="1"/>
    <col min="11782" max="11788" width="11.125" style="2" bestFit="1" customWidth="1"/>
    <col min="11789" max="11789" width="9.625" style="2" bestFit="1" customWidth="1"/>
    <col min="11790" max="12014" width="9" style="2"/>
    <col min="12015" max="12015" width="2.375" style="2" customWidth="1"/>
    <col min="12016" max="12016" width="13.25" style="2" bestFit="1" customWidth="1"/>
    <col min="12017" max="12018" width="11.125" style="2" bestFit="1" customWidth="1"/>
    <col min="12019" max="12019" width="13.25" style="2" bestFit="1" customWidth="1"/>
    <col min="12020" max="12020" width="11.125" style="2" bestFit="1" customWidth="1"/>
    <col min="12021" max="12021" width="9" style="2"/>
    <col min="12022" max="12022" width="11.125" style="2" bestFit="1" customWidth="1"/>
    <col min="12023" max="12023" width="9" style="2"/>
    <col min="12024" max="12035" width="11.125" style="2" bestFit="1" customWidth="1"/>
    <col min="12036" max="12036" width="9" style="2"/>
    <col min="12037" max="12037" width="8" style="2" bestFit="1" customWidth="1"/>
    <col min="12038" max="12044" width="11.125" style="2" bestFit="1" customWidth="1"/>
    <col min="12045" max="12045" width="9.625" style="2" bestFit="1" customWidth="1"/>
    <col min="12046" max="12270" width="9" style="2"/>
    <col min="12271" max="12271" width="2.375" style="2" customWidth="1"/>
    <col min="12272" max="12272" width="13.25" style="2" bestFit="1" customWidth="1"/>
    <col min="12273" max="12274" width="11.125" style="2" bestFit="1" customWidth="1"/>
    <col min="12275" max="12275" width="13.25" style="2" bestFit="1" customWidth="1"/>
    <col min="12276" max="12276" width="11.125" style="2" bestFit="1" customWidth="1"/>
    <col min="12277" max="12277" width="9" style="2"/>
    <col min="12278" max="12278" width="11.125" style="2" bestFit="1" customWidth="1"/>
    <col min="12279" max="12279" width="9" style="2"/>
    <col min="12280" max="12291" width="11.125" style="2" bestFit="1" customWidth="1"/>
    <col min="12292" max="12292" width="9" style="2"/>
    <col min="12293" max="12293" width="8" style="2" bestFit="1" customWidth="1"/>
    <col min="12294" max="12300" width="11.125" style="2" bestFit="1" customWidth="1"/>
    <col min="12301" max="12301" width="9.625" style="2" bestFit="1" customWidth="1"/>
    <col min="12302" max="12526" width="9" style="2"/>
    <col min="12527" max="12527" width="2.375" style="2" customWidth="1"/>
    <col min="12528" max="12528" width="13.25" style="2" bestFit="1" customWidth="1"/>
    <col min="12529" max="12530" width="11.125" style="2" bestFit="1" customWidth="1"/>
    <col min="12531" max="12531" width="13.25" style="2" bestFit="1" customWidth="1"/>
    <col min="12532" max="12532" width="11.125" style="2" bestFit="1" customWidth="1"/>
    <col min="12533" max="12533" width="9" style="2"/>
    <col min="12534" max="12534" width="11.125" style="2" bestFit="1" customWidth="1"/>
    <col min="12535" max="12535" width="9" style="2"/>
    <col min="12536" max="12547" width="11.125" style="2" bestFit="1" customWidth="1"/>
    <col min="12548" max="12548" width="9" style="2"/>
    <col min="12549" max="12549" width="8" style="2" bestFit="1" customWidth="1"/>
    <col min="12550" max="12556" width="11.125" style="2" bestFit="1" customWidth="1"/>
    <col min="12557" max="12557" width="9.625" style="2" bestFit="1" customWidth="1"/>
    <col min="12558" max="12782" width="9" style="2"/>
    <col min="12783" max="12783" width="2.375" style="2" customWidth="1"/>
    <col min="12784" max="12784" width="13.25" style="2" bestFit="1" customWidth="1"/>
    <col min="12785" max="12786" width="11.125" style="2" bestFit="1" customWidth="1"/>
    <col min="12787" max="12787" width="13.25" style="2" bestFit="1" customWidth="1"/>
    <col min="12788" max="12788" width="11.125" style="2" bestFit="1" customWidth="1"/>
    <col min="12789" max="12789" width="9" style="2"/>
    <col min="12790" max="12790" width="11.125" style="2" bestFit="1" customWidth="1"/>
    <col min="12791" max="12791" width="9" style="2"/>
    <col min="12792" max="12803" width="11.125" style="2" bestFit="1" customWidth="1"/>
    <col min="12804" max="12804" width="9" style="2"/>
    <col min="12805" max="12805" width="8" style="2" bestFit="1" customWidth="1"/>
    <col min="12806" max="12812" width="11.125" style="2" bestFit="1" customWidth="1"/>
    <col min="12813" max="12813" width="9.625" style="2" bestFit="1" customWidth="1"/>
    <col min="12814" max="13038" width="9" style="2"/>
    <col min="13039" max="13039" width="2.375" style="2" customWidth="1"/>
    <col min="13040" max="13040" width="13.25" style="2" bestFit="1" customWidth="1"/>
    <col min="13041" max="13042" width="11.125" style="2" bestFit="1" customWidth="1"/>
    <col min="13043" max="13043" width="13.25" style="2" bestFit="1" customWidth="1"/>
    <col min="13044" max="13044" width="11.125" style="2" bestFit="1" customWidth="1"/>
    <col min="13045" max="13045" width="9" style="2"/>
    <col min="13046" max="13046" width="11.125" style="2" bestFit="1" customWidth="1"/>
    <col min="13047" max="13047" width="9" style="2"/>
    <col min="13048" max="13059" width="11.125" style="2" bestFit="1" customWidth="1"/>
    <col min="13060" max="13060" width="9" style="2"/>
    <col min="13061" max="13061" width="8" style="2" bestFit="1" customWidth="1"/>
    <col min="13062" max="13068" width="11.125" style="2" bestFit="1" customWidth="1"/>
    <col min="13069" max="13069" width="9.625" style="2" bestFit="1" customWidth="1"/>
    <col min="13070" max="13294" width="9" style="2"/>
    <col min="13295" max="13295" width="2.375" style="2" customWidth="1"/>
    <col min="13296" max="13296" width="13.25" style="2" bestFit="1" customWidth="1"/>
    <col min="13297" max="13298" width="11.125" style="2" bestFit="1" customWidth="1"/>
    <col min="13299" max="13299" width="13.25" style="2" bestFit="1" customWidth="1"/>
    <col min="13300" max="13300" width="11.125" style="2" bestFit="1" customWidth="1"/>
    <col min="13301" max="13301" width="9" style="2"/>
    <col min="13302" max="13302" width="11.125" style="2" bestFit="1" customWidth="1"/>
    <col min="13303" max="13303" width="9" style="2"/>
    <col min="13304" max="13315" width="11.125" style="2" bestFit="1" customWidth="1"/>
    <col min="13316" max="13316" width="9" style="2"/>
    <col min="13317" max="13317" width="8" style="2" bestFit="1" customWidth="1"/>
    <col min="13318" max="13324" width="11.125" style="2" bestFit="1" customWidth="1"/>
    <col min="13325" max="13325" width="9.625" style="2" bestFit="1" customWidth="1"/>
    <col min="13326" max="13550" width="9" style="2"/>
    <col min="13551" max="13551" width="2.375" style="2" customWidth="1"/>
    <col min="13552" max="13552" width="13.25" style="2" bestFit="1" customWidth="1"/>
    <col min="13553" max="13554" width="11.125" style="2" bestFit="1" customWidth="1"/>
    <col min="13555" max="13555" width="13.25" style="2" bestFit="1" customWidth="1"/>
    <col min="13556" max="13556" width="11.125" style="2" bestFit="1" customWidth="1"/>
    <col min="13557" max="13557" width="9" style="2"/>
    <col min="13558" max="13558" width="11.125" style="2" bestFit="1" customWidth="1"/>
    <col min="13559" max="13559" width="9" style="2"/>
    <col min="13560" max="13571" width="11.125" style="2" bestFit="1" customWidth="1"/>
    <col min="13572" max="13572" width="9" style="2"/>
    <col min="13573" max="13573" width="8" style="2" bestFit="1" customWidth="1"/>
    <col min="13574" max="13580" width="11.125" style="2" bestFit="1" customWidth="1"/>
    <col min="13581" max="13581" width="9.625" style="2" bestFit="1" customWidth="1"/>
    <col min="13582" max="13806" width="9" style="2"/>
    <col min="13807" max="13807" width="2.375" style="2" customWidth="1"/>
    <col min="13808" max="13808" width="13.25" style="2" bestFit="1" customWidth="1"/>
    <col min="13809" max="13810" width="11.125" style="2" bestFit="1" customWidth="1"/>
    <col min="13811" max="13811" width="13.25" style="2" bestFit="1" customWidth="1"/>
    <col min="13812" max="13812" width="11.125" style="2" bestFit="1" customWidth="1"/>
    <col min="13813" max="13813" width="9" style="2"/>
    <col min="13814" max="13814" width="11.125" style="2" bestFit="1" customWidth="1"/>
    <col min="13815" max="13815" width="9" style="2"/>
    <col min="13816" max="13827" width="11.125" style="2" bestFit="1" customWidth="1"/>
    <col min="13828" max="13828" width="9" style="2"/>
    <col min="13829" max="13829" width="8" style="2" bestFit="1" customWidth="1"/>
    <col min="13830" max="13836" width="11.125" style="2" bestFit="1" customWidth="1"/>
    <col min="13837" max="13837" width="9.625" style="2" bestFit="1" customWidth="1"/>
    <col min="13838" max="14062" width="9" style="2"/>
    <col min="14063" max="14063" width="2.375" style="2" customWidth="1"/>
    <col min="14064" max="14064" width="13.25" style="2" bestFit="1" customWidth="1"/>
    <col min="14065" max="14066" width="11.125" style="2" bestFit="1" customWidth="1"/>
    <col min="14067" max="14067" width="13.25" style="2" bestFit="1" customWidth="1"/>
    <col min="14068" max="14068" width="11.125" style="2" bestFit="1" customWidth="1"/>
    <col min="14069" max="14069" width="9" style="2"/>
    <col min="14070" max="14070" width="11.125" style="2" bestFit="1" customWidth="1"/>
    <col min="14071" max="14071" width="9" style="2"/>
    <col min="14072" max="14083" width="11.125" style="2" bestFit="1" customWidth="1"/>
    <col min="14084" max="14084" width="9" style="2"/>
    <col min="14085" max="14085" width="8" style="2" bestFit="1" customWidth="1"/>
    <col min="14086" max="14092" width="11.125" style="2" bestFit="1" customWidth="1"/>
    <col min="14093" max="14093" width="9.625" style="2" bestFit="1" customWidth="1"/>
    <col min="14094" max="14318" width="9" style="2"/>
    <col min="14319" max="14319" width="2.375" style="2" customWidth="1"/>
    <col min="14320" max="14320" width="13.25" style="2" bestFit="1" customWidth="1"/>
    <col min="14321" max="14322" width="11.125" style="2" bestFit="1" customWidth="1"/>
    <col min="14323" max="14323" width="13.25" style="2" bestFit="1" customWidth="1"/>
    <col min="14324" max="14324" width="11.125" style="2" bestFit="1" customWidth="1"/>
    <col min="14325" max="14325" width="9" style="2"/>
    <col min="14326" max="14326" width="11.125" style="2" bestFit="1" customWidth="1"/>
    <col min="14327" max="14327" width="9" style="2"/>
    <col min="14328" max="14339" width="11.125" style="2" bestFit="1" customWidth="1"/>
    <col min="14340" max="14340" width="9" style="2"/>
    <col min="14341" max="14341" width="8" style="2" bestFit="1" customWidth="1"/>
    <col min="14342" max="14348" width="11.125" style="2" bestFit="1" customWidth="1"/>
    <col min="14349" max="14349" width="9.625" style="2" bestFit="1" customWidth="1"/>
    <col min="14350" max="14574" width="9" style="2"/>
    <col min="14575" max="14575" width="2.375" style="2" customWidth="1"/>
    <col min="14576" max="14576" width="13.25" style="2" bestFit="1" customWidth="1"/>
    <col min="14577" max="14578" width="11.125" style="2" bestFit="1" customWidth="1"/>
    <col min="14579" max="14579" width="13.25" style="2" bestFit="1" customWidth="1"/>
    <col min="14580" max="14580" width="11.125" style="2" bestFit="1" customWidth="1"/>
    <col min="14581" max="14581" width="9" style="2"/>
    <col min="14582" max="14582" width="11.125" style="2" bestFit="1" customWidth="1"/>
    <col min="14583" max="14583" width="9" style="2"/>
    <col min="14584" max="14595" width="11.125" style="2" bestFit="1" customWidth="1"/>
    <col min="14596" max="14596" width="9" style="2"/>
    <col min="14597" max="14597" width="8" style="2" bestFit="1" customWidth="1"/>
    <col min="14598" max="14604" width="11.125" style="2" bestFit="1" customWidth="1"/>
    <col min="14605" max="14605" width="9.625" style="2" bestFit="1" customWidth="1"/>
    <col min="14606" max="14830" width="9" style="2"/>
    <col min="14831" max="14831" width="2.375" style="2" customWidth="1"/>
    <col min="14832" max="14832" width="13.25" style="2" bestFit="1" customWidth="1"/>
    <col min="14833" max="14834" width="11.125" style="2" bestFit="1" customWidth="1"/>
    <col min="14835" max="14835" width="13.25" style="2" bestFit="1" customWidth="1"/>
    <col min="14836" max="14836" width="11.125" style="2" bestFit="1" customWidth="1"/>
    <col min="14837" max="14837" width="9" style="2"/>
    <col min="14838" max="14838" width="11.125" style="2" bestFit="1" customWidth="1"/>
    <col min="14839" max="14839" width="9" style="2"/>
    <col min="14840" max="14851" width="11.125" style="2" bestFit="1" customWidth="1"/>
    <col min="14852" max="14852" width="9" style="2"/>
    <col min="14853" max="14853" width="8" style="2" bestFit="1" customWidth="1"/>
    <col min="14854" max="14860" width="11.125" style="2" bestFit="1" customWidth="1"/>
    <col min="14861" max="14861" width="9.625" style="2" bestFit="1" customWidth="1"/>
    <col min="14862" max="15086" width="9" style="2"/>
    <col min="15087" max="15087" width="2.375" style="2" customWidth="1"/>
    <col min="15088" max="15088" width="13.25" style="2" bestFit="1" customWidth="1"/>
    <col min="15089" max="15090" width="11.125" style="2" bestFit="1" customWidth="1"/>
    <col min="15091" max="15091" width="13.25" style="2" bestFit="1" customWidth="1"/>
    <col min="15092" max="15092" width="11.125" style="2" bestFit="1" customWidth="1"/>
    <col min="15093" max="15093" width="9" style="2"/>
    <col min="15094" max="15094" width="11.125" style="2" bestFit="1" customWidth="1"/>
    <col min="15095" max="15095" width="9" style="2"/>
    <col min="15096" max="15107" width="11.125" style="2" bestFit="1" customWidth="1"/>
    <col min="15108" max="15108" width="9" style="2"/>
    <col min="15109" max="15109" width="8" style="2" bestFit="1" customWidth="1"/>
    <col min="15110" max="15116" width="11.125" style="2" bestFit="1" customWidth="1"/>
    <col min="15117" max="15117" width="9.625" style="2" bestFit="1" customWidth="1"/>
    <col min="15118" max="15342" width="9" style="2"/>
    <col min="15343" max="15343" width="2.375" style="2" customWidth="1"/>
    <col min="15344" max="15344" width="13.25" style="2" bestFit="1" customWidth="1"/>
    <col min="15345" max="15346" width="11.125" style="2" bestFit="1" customWidth="1"/>
    <col min="15347" max="15347" width="13.25" style="2" bestFit="1" customWidth="1"/>
    <col min="15348" max="15348" width="11.125" style="2" bestFit="1" customWidth="1"/>
    <col min="15349" max="15349" width="9" style="2"/>
    <col min="15350" max="15350" width="11.125" style="2" bestFit="1" customWidth="1"/>
    <col min="15351" max="15351" width="9" style="2"/>
    <col min="15352" max="15363" width="11.125" style="2" bestFit="1" customWidth="1"/>
    <col min="15364" max="15364" width="9" style="2"/>
    <col min="15365" max="15365" width="8" style="2" bestFit="1" customWidth="1"/>
    <col min="15366" max="15372" width="11.125" style="2" bestFit="1" customWidth="1"/>
    <col min="15373" max="15373" width="9.625" style="2" bestFit="1" customWidth="1"/>
    <col min="15374" max="15598" width="9" style="2"/>
    <col min="15599" max="15599" width="2.375" style="2" customWidth="1"/>
    <col min="15600" max="15600" width="13.25" style="2" bestFit="1" customWidth="1"/>
    <col min="15601" max="15602" width="11.125" style="2" bestFit="1" customWidth="1"/>
    <col min="15603" max="15603" width="13.25" style="2" bestFit="1" customWidth="1"/>
    <col min="15604" max="15604" width="11.125" style="2" bestFit="1" customWidth="1"/>
    <col min="15605" max="15605" width="9" style="2"/>
    <col min="15606" max="15606" width="11.125" style="2" bestFit="1" customWidth="1"/>
    <col min="15607" max="15607" width="9" style="2"/>
    <col min="15608" max="15619" width="11.125" style="2" bestFit="1" customWidth="1"/>
    <col min="15620" max="15620" width="9" style="2"/>
    <col min="15621" max="15621" width="8" style="2" bestFit="1" customWidth="1"/>
    <col min="15622" max="15628" width="11.125" style="2" bestFit="1" customWidth="1"/>
    <col min="15629" max="15629" width="9.625" style="2" bestFit="1" customWidth="1"/>
    <col min="15630" max="15854" width="9" style="2"/>
    <col min="15855" max="15855" width="2.375" style="2" customWidth="1"/>
    <col min="15856" max="15856" width="13.25" style="2" bestFit="1" customWidth="1"/>
    <col min="15857" max="15858" width="11.125" style="2" bestFit="1" customWidth="1"/>
    <col min="15859" max="15859" width="13.25" style="2" bestFit="1" customWidth="1"/>
    <col min="15860" max="15860" width="11.125" style="2" bestFit="1" customWidth="1"/>
    <col min="15861" max="15861" width="9" style="2"/>
    <col min="15862" max="15862" width="11.125" style="2" bestFit="1" customWidth="1"/>
    <col min="15863" max="15863" width="9" style="2"/>
    <col min="15864" max="15875" width="11.125" style="2" bestFit="1" customWidth="1"/>
    <col min="15876" max="15876" width="9" style="2"/>
    <col min="15877" max="15877" width="8" style="2" bestFit="1" customWidth="1"/>
    <col min="15878" max="15884" width="11.125" style="2" bestFit="1" customWidth="1"/>
    <col min="15885" max="15885" width="9.625" style="2" bestFit="1" customWidth="1"/>
    <col min="15886" max="16110" width="9" style="2"/>
    <col min="16111" max="16111" width="2.375" style="2" customWidth="1"/>
    <col min="16112" max="16112" width="13.25" style="2" bestFit="1" customWidth="1"/>
    <col min="16113" max="16114" width="11.125" style="2" bestFit="1" customWidth="1"/>
    <col min="16115" max="16115" width="13.25" style="2" bestFit="1" customWidth="1"/>
    <col min="16116" max="16116" width="11.125" style="2" bestFit="1" customWidth="1"/>
    <col min="16117" max="16117" width="9" style="2"/>
    <col min="16118" max="16118" width="11.125" style="2" bestFit="1" customWidth="1"/>
    <col min="16119" max="16119" width="9" style="2"/>
    <col min="16120" max="16131" width="11.125" style="2" bestFit="1" customWidth="1"/>
    <col min="16132" max="16132" width="9" style="2"/>
    <col min="16133" max="16133" width="8" style="2" bestFit="1" customWidth="1"/>
    <col min="16134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138</v>
      </c>
    </row>
    <row r="3" spans="1:15">
      <c r="B3" s="4"/>
      <c r="C3" s="13" t="s">
        <v>19</v>
      </c>
      <c r="D3" s="13" t="s">
        <v>6</v>
      </c>
      <c r="E3" s="13" t="s">
        <v>28</v>
      </c>
      <c r="F3" s="13" t="s">
        <v>29</v>
      </c>
      <c r="G3" s="13" t="s">
        <v>25</v>
      </c>
      <c r="H3" s="13" t="s">
        <v>26</v>
      </c>
      <c r="I3" s="13" t="s">
        <v>27</v>
      </c>
      <c r="J3" s="13" t="s">
        <v>30</v>
      </c>
      <c r="K3" s="14" t="s">
        <v>31</v>
      </c>
      <c r="L3" s="67" t="s">
        <v>139</v>
      </c>
      <c r="M3" s="68" t="s">
        <v>7</v>
      </c>
      <c r="N3" s="67" t="s">
        <v>139</v>
      </c>
      <c r="O3" s="69" t="s">
        <v>61</v>
      </c>
    </row>
    <row r="4" spans="1:15" ht="19.5" thickBot="1">
      <c r="A4" s="82"/>
      <c r="B4" s="32" t="s">
        <v>32</v>
      </c>
      <c r="C4" s="34" t="s">
        <v>48</v>
      </c>
      <c r="D4" s="34" t="s">
        <v>35</v>
      </c>
      <c r="E4" s="34" t="s">
        <v>57</v>
      </c>
      <c r="F4" s="34" t="s">
        <v>58</v>
      </c>
      <c r="G4" s="34" t="s">
        <v>54</v>
      </c>
      <c r="H4" s="34" t="s">
        <v>55</v>
      </c>
      <c r="I4" s="34" t="s">
        <v>56</v>
      </c>
      <c r="J4" s="34" t="s">
        <v>59</v>
      </c>
      <c r="K4" s="35" t="s">
        <v>60</v>
      </c>
      <c r="L4" s="70" t="s">
        <v>141</v>
      </c>
      <c r="M4" s="71" t="s">
        <v>36</v>
      </c>
      <c r="N4" s="70" t="s">
        <v>142</v>
      </c>
      <c r="O4" s="72" t="s">
        <v>143</v>
      </c>
    </row>
    <row r="5" spans="1:15">
      <c r="A5" s="1" t="s">
        <v>3</v>
      </c>
      <c r="B5" s="27" t="s">
        <v>62</v>
      </c>
      <c r="C5" s="29">
        <v>21</v>
      </c>
      <c r="D5" s="29">
        <v>21</v>
      </c>
      <c r="E5" s="29">
        <v>13</v>
      </c>
      <c r="F5" s="29">
        <v>15</v>
      </c>
      <c r="G5" s="29">
        <v>10</v>
      </c>
      <c r="H5" s="29">
        <v>10</v>
      </c>
      <c r="I5" s="29">
        <v>10</v>
      </c>
      <c r="J5" s="29">
        <v>4</v>
      </c>
      <c r="K5" s="30">
        <v>20</v>
      </c>
      <c r="L5" s="73">
        <f>SUM(C5:K5)</f>
        <v>124</v>
      </c>
      <c r="M5" s="73">
        <v>21</v>
      </c>
      <c r="N5" s="73">
        <f>SUM(M5)</f>
        <v>21</v>
      </c>
      <c r="O5" s="73">
        <v>494</v>
      </c>
    </row>
    <row r="6" spans="1:15">
      <c r="A6" s="1" t="s">
        <v>3</v>
      </c>
      <c r="B6" s="6" t="s">
        <v>63</v>
      </c>
      <c r="C6" s="16">
        <v>0</v>
      </c>
      <c r="D6" s="16">
        <v>3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7">
        <v>0</v>
      </c>
      <c r="L6" s="74">
        <f>SUM(C6:K6)</f>
        <v>3</v>
      </c>
      <c r="M6" s="74">
        <v>0</v>
      </c>
      <c r="N6" s="74"/>
      <c r="O6" s="74">
        <v>56</v>
      </c>
    </row>
    <row r="7" spans="1:15">
      <c r="A7" s="1" t="s">
        <v>3</v>
      </c>
      <c r="B7" s="6" t="s">
        <v>64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7">
        <v>0</v>
      </c>
      <c r="L7" s="74">
        <f t="shared" ref="L7:L9" si="0">SUM(C7:K7)</f>
        <v>0</v>
      </c>
      <c r="M7" s="74">
        <v>0</v>
      </c>
      <c r="N7" s="74"/>
      <c r="O7" s="74">
        <v>35</v>
      </c>
    </row>
    <row r="8" spans="1:15">
      <c r="A8" s="1" t="s">
        <v>3</v>
      </c>
      <c r="B8" s="6" t="s">
        <v>65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7">
        <v>0</v>
      </c>
      <c r="L8" s="74">
        <f t="shared" si="0"/>
        <v>0</v>
      </c>
      <c r="M8" s="74">
        <v>0</v>
      </c>
      <c r="N8" s="74"/>
      <c r="O8" s="74">
        <v>7</v>
      </c>
    </row>
    <row r="9" spans="1:15">
      <c r="A9" s="1" t="s">
        <v>3</v>
      </c>
      <c r="B9" s="6" t="s">
        <v>66</v>
      </c>
      <c r="C9" s="16">
        <v>0</v>
      </c>
      <c r="D9" s="16">
        <v>0</v>
      </c>
      <c r="E9" s="16">
        <v>0</v>
      </c>
      <c r="F9" s="16">
        <v>0</v>
      </c>
      <c r="G9" s="16">
        <v>1</v>
      </c>
      <c r="H9" s="16">
        <v>0</v>
      </c>
      <c r="I9" s="16">
        <v>0</v>
      </c>
      <c r="J9" s="16">
        <v>0</v>
      </c>
      <c r="K9" s="17">
        <v>0</v>
      </c>
      <c r="L9" s="74">
        <f t="shared" si="0"/>
        <v>1</v>
      </c>
      <c r="M9" s="74">
        <v>0</v>
      </c>
      <c r="N9" s="74"/>
      <c r="O9" s="74">
        <v>14</v>
      </c>
    </row>
    <row r="10" spans="1:15">
      <c r="A10" s="1" t="s">
        <v>3</v>
      </c>
      <c r="B10" s="6" t="s">
        <v>67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7">
        <v>0</v>
      </c>
      <c r="L10" s="74"/>
      <c r="M10" s="74">
        <v>0</v>
      </c>
      <c r="N10" s="74"/>
      <c r="O10" s="74">
        <v>8</v>
      </c>
    </row>
    <row r="11" spans="1:15">
      <c r="A11" s="1" t="s">
        <v>3</v>
      </c>
      <c r="B11" s="6" t="s">
        <v>68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7">
        <v>0</v>
      </c>
      <c r="L11" s="74"/>
      <c r="M11" s="74">
        <v>0</v>
      </c>
      <c r="N11" s="74"/>
      <c r="O11" s="74">
        <v>1</v>
      </c>
    </row>
    <row r="12" spans="1:15">
      <c r="A12" s="1" t="s">
        <v>3</v>
      </c>
      <c r="B12" s="6" t="s">
        <v>69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7">
        <v>1</v>
      </c>
      <c r="L12" s="74">
        <f>SUM(C12:K12)</f>
        <v>1</v>
      </c>
      <c r="M12" s="74">
        <v>0</v>
      </c>
      <c r="N12" s="74"/>
      <c r="O12" s="74">
        <v>2</v>
      </c>
    </row>
    <row r="13" spans="1:15">
      <c r="A13" s="1" t="s">
        <v>3</v>
      </c>
      <c r="B13" s="6" t="s">
        <v>70</v>
      </c>
      <c r="C13" s="19">
        <v>0</v>
      </c>
      <c r="D13" s="19">
        <v>0</v>
      </c>
      <c r="E13" s="19">
        <v>3.625</v>
      </c>
      <c r="F13" s="19">
        <v>4</v>
      </c>
      <c r="G13" s="19">
        <v>2.9166666666666665</v>
      </c>
      <c r="H13" s="19">
        <v>2.9166666666666665</v>
      </c>
      <c r="I13" s="19">
        <v>2.9166666666666665</v>
      </c>
      <c r="J13" s="19">
        <v>1.3333333333333333</v>
      </c>
      <c r="K13" s="20">
        <v>3.9166666666666665</v>
      </c>
      <c r="L13" s="75">
        <f>SUM(C13:K13)</f>
        <v>21.625</v>
      </c>
      <c r="M13" s="75">
        <v>0</v>
      </c>
      <c r="N13" s="75"/>
      <c r="O13" s="75">
        <v>21.625</v>
      </c>
    </row>
    <row r="14" spans="1:15">
      <c r="A14" s="1" t="s">
        <v>3</v>
      </c>
      <c r="B14" s="6" t="s">
        <v>72</v>
      </c>
      <c r="C14" s="19">
        <v>0</v>
      </c>
      <c r="D14" s="19">
        <v>1.375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0.125</v>
      </c>
      <c r="K14" s="20">
        <v>0</v>
      </c>
      <c r="L14" s="75">
        <f t="shared" ref="L14:L19" si="1">SUM(C14:K14)</f>
        <v>1.5</v>
      </c>
      <c r="M14" s="75">
        <v>0</v>
      </c>
      <c r="N14" s="75"/>
      <c r="O14" s="75">
        <v>39.041666666666664</v>
      </c>
    </row>
    <row r="15" spans="1:15">
      <c r="A15" s="1" t="s">
        <v>3</v>
      </c>
      <c r="B15" s="6" t="s">
        <v>73</v>
      </c>
      <c r="C15" s="19">
        <v>0</v>
      </c>
      <c r="D15" s="19">
        <v>0.91666666666666663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20">
        <v>0</v>
      </c>
      <c r="L15" s="75">
        <f t="shared" si="1"/>
        <v>0.91666666666666663</v>
      </c>
      <c r="M15" s="75">
        <v>0</v>
      </c>
      <c r="N15" s="75"/>
      <c r="O15" s="75">
        <v>20.625000000000004</v>
      </c>
    </row>
    <row r="16" spans="1:15">
      <c r="A16" s="1" t="s">
        <v>3</v>
      </c>
      <c r="B16" s="6" t="s">
        <v>74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20">
        <v>0</v>
      </c>
      <c r="L16" s="75">
        <f t="shared" si="1"/>
        <v>0</v>
      </c>
      <c r="M16" s="75">
        <v>0</v>
      </c>
      <c r="N16" s="75"/>
      <c r="O16" s="75">
        <v>12.416666666666664</v>
      </c>
    </row>
    <row r="17" spans="1:15">
      <c r="A17" s="1" t="s">
        <v>3</v>
      </c>
      <c r="B17" s="6" t="s">
        <v>75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20">
        <v>0</v>
      </c>
      <c r="L17" s="75">
        <f t="shared" si="1"/>
        <v>0</v>
      </c>
      <c r="M17" s="75">
        <v>0</v>
      </c>
      <c r="N17" s="75"/>
      <c r="O17" s="75">
        <v>1.8333333333333333</v>
      </c>
    </row>
    <row r="18" spans="1:15">
      <c r="A18" s="1" t="s">
        <v>3</v>
      </c>
      <c r="B18" s="6" t="s">
        <v>76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20">
        <v>0</v>
      </c>
      <c r="L18" s="75">
        <f t="shared" si="1"/>
        <v>0</v>
      </c>
      <c r="M18" s="75">
        <v>0</v>
      </c>
      <c r="N18" s="75"/>
      <c r="O18" s="75">
        <v>0.875</v>
      </c>
    </row>
    <row r="19" spans="1:15">
      <c r="A19" s="1" t="s">
        <v>3</v>
      </c>
      <c r="B19" s="6" t="s">
        <v>79</v>
      </c>
      <c r="C19" s="19">
        <v>0</v>
      </c>
      <c r="D19" s="19">
        <v>0</v>
      </c>
      <c r="E19" s="19">
        <v>0</v>
      </c>
      <c r="F19" s="19">
        <v>0</v>
      </c>
      <c r="G19" s="19">
        <v>0.29166666666666669</v>
      </c>
      <c r="H19" s="19">
        <v>0</v>
      </c>
      <c r="I19" s="19">
        <v>0</v>
      </c>
      <c r="J19" s="19">
        <v>0</v>
      </c>
      <c r="K19" s="20">
        <v>0</v>
      </c>
      <c r="L19" s="75">
        <f t="shared" si="1"/>
        <v>0.29166666666666669</v>
      </c>
      <c r="M19" s="75">
        <v>0</v>
      </c>
      <c r="N19" s="75"/>
      <c r="O19" s="75">
        <v>0.29166666666666669</v>
      </c>
    </row>
    <row r="20" spans="1:15">
      <c r="A20" s="1" t="s">
        <v>3</v>
      </c>
      <c r="B20" s="6" t="s">
        <v>81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20">
        <v>0</v>
      </c>
      <c r="L20" s="75"/>
      <c r="M20" s="75">
        <v>0</v>
      </c>
      <c r="N20" s="75"/>
      <c r="O20" s="75">
        <v>0</v>
      </c>
    </row>
    <row r="21" spans="1:15">
      <c r="A21" s="1" t="s">
        <v>3</v>
      </c>
      <c r="B21" s="6" t="s">
        <v>82</v>
      </c>
      <c r="C21" s="19">
        <v>0</v>
      </c>
      <c r="D21" s="19">
        <v>0</v>
      </c>
      <c r="E21" s="19">
        <v>0</v>
      </c>
      <c r="F21" s="19">
        <v>0</v>
      </c>
      <c r="G21" s="19">
        <v>2.0833333333333335</v>
      </c>
      <c r="H21" s="19">
        <v>2.0833333333333335</v>
      </c>
      <c r="I21" s="19">
        <v>2.0833333333333335</v>
      </c>
      <c r="J21" s="19">
        <v>0</v>
      </c>
      <c r="K21" s="20">
        <v>0</v>
      </c>
      <c r="L21" s="75">
        <f>SUM(C21:K21)</f>
        <v>6.25</v>
      </c>
      <c r="M21" s="75">
        <v>4.1666666666666664E-2</v>
      </c>
      <c r="N21" s="75">
        <f>SUM(M21)</f>
        <v>4.1666666666666664E-2</v>
      </c>
      <c r="O21" s="75">
        <v>18.750000000000004</v>
      </c>
    </row>
    <row r="22" spans="1:15" ht="19.5" thickBot="1">
      <c r="A22" s="1" t="s">
        <v>3</v>
      </c>
      <c r="B22" s="7" t="s">
        <v>83</v>
      </c>
      <c r="C22" s="42">
        <v>19</v>
      </c>
      <c r="D22" s="42">
        <v>38</v>
      </c>
      <c r="E22" s="42">
        <v>21</v>
      </c>
      <c r="F22" s="42">
        <v>20</v>
      </c>
      <c r="G22" s="42">
        <v>0</v>
      </c>
      <c r="H22" s="42">
        <v>0</v>
      </c>
      <c r="I22" s="42">
        <v>0</v>
      </c>
      <c r="J22" s="42">
        <v>3</v>
      </c>
      <c r="K22" s="43">
        <v>11</v>
      </c>
      <c r="L22" s="76"/>
      <c r="M22" s="76">
        <v>38</v>
      </c>
      <c r="N22" s="76"/>
      <c r="O22" s="76">
        <v>0</v>
      </c>
    </row>
    <row r="23" spans="1:15">
      <c r="A23" s="1" t="s">
        <v>3</v>
      </c>
      <c r="B23" s="27" t="s">
        <v>84</v>
      </c>
      <c r="C23" s="38">
        <v>355000</v>
      </c>
      <c r="D23" s="38">
        <v>270000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9">
        <v>0</v>
      </c>
      <c r="L23" s="77">
        <f>SUM(C23:K23)</f>
        <v>625000</v>
      </c>
      <c r="M23" s="77">
        <v>365000</v>
      </c>
      <c r="N23" s="77">
        <f>SUM(M23)</f>
        <v>365000</v>
      </c>
      <c r="O23" s="77">
        <v>4209000</v>
      </c>
    </row>
    <row r="24" spans="1:15">
      <c r="A24" s="1" t="s">
        <v>3</v>
      </c>
      <c r="B24" s="6" t="s">
        <v>85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3">
        <v>0</v>
      </c>
      <c r="L24" s="78">
        <f t="shared" ref="L24:L61" si="2">SUM(C24:K24)</f>
        <v>0</v>
      </c>
      <c r="M24" s="78">
        <v>0</v>
      </c>
      <c r="N24" s="78">
        <f t="shared" ref="N24:N62" si="3">SUM(M24)</f>
        <v>0</v>
      </c>
      <c r="O24" s="78">
        <v>35000</v>
      </c>
    </row>
    <row r="25" spans="1:15">
      <c r="A25" s="1" t="s">
        <v>3</v>
      </c>
      <c r="B25" s="6" t="s">
        <v>86</v>
      </c>
      <c r="C25" s="22">
        <v>0</v>
      </c>
      <c r="D25" s="22">
        <v>3000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3">
        <v>0</v>
      </c>
      <c r="L25" s="78">
        <f t="shared" si="2"/>
        <v>3000</v>
      </c>
      <c r="M25" s="78">
        <v>0</v>
      </c>
      <c r="N25" s="78">
        <f t="shared" si="3"/>
        <v>0</v>
      </c>
      <c r="O25" s="78">
        <v>6000</v>
      </c>
    </row>
    <row r="26" spans="1:15">
      <c r="A26" s="1" t="s">
        <v>3</v>
      </c>
      <c r="B26" s="6" t="s">
        <v>87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3">
        <v>0</v>
      </c>
      <c r="L26" s="78">
        <f t="shared" si="2"/>
        <v>0</v>
      </c>
      <c r="M26" s="78">
        <v>0</v>
      </c>
      <c r="N26" s="78">
        <f t="shared" si="3"/>
        <v>0</v>
      </c>
      <c r="O26" s="78">
        <v>0</v>
      </c>
    </row>
    <row r="27" spans="1:15">
      <c r="A27" s="1" t="s">
        <v>3</v>
      </c>
      <c r="B27" s="6" t="s">
        <v>88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3">
        <v>0</v>
      </c>
      <c r="L27" s="78">
        <f t="shared" si="2"/>
        <v>0</v>
      </c>
      <c r="M27" s="78">
        <v>0</v>
      </c>
      <c r="N27" s="78">
        <f t="shared" si="3"/>
        <v>0</v>
      </c>
      <c r="O27" s="78">
        <v>124996</v>
      </c>
    </row>
    <row r="28" spans="1:15">
      <c r="A28" s="1" t="s">
        <v>3</v>
      </c>
      <c r="B28" s="6" t="s">
        <v>92</v>
      </c>
      <c r="C28" s="22">
        <v>0</v>
      </c>
      <c r="D28" s="22">
        <v>0</v>
      </c>
      <c r="E28" s="22">
        <v>81780</v>
      </c>
      <c r="F28" s="22">
        <v>90240</v>
      </c>
      <c r="G28" s="22">
        <v>60200</v>
      </c>
      <c r="H28" s="22">
        <v>60200</v>
      </c>
      <c r="I28" s="22">
        <v>60200</v>
      </c>
      <c r="J28" s="22">
        <v>27520</v>
      </c>
      <c r="K28" s="23">
        <v>80840</v>
      </c>
      <c r="L28" s="78">
        <f t="shared" si="2"/>
        <v>460980</v>
      </c>
      <c r="M28" s="78">
        <v>0</v>
      </c>
      <c r="N28" s="78">
        <f t="shared" si="3"/>
        <v>0</v>
      </c>
      <c r="O28" s="78">
        <v>460980</v>
      </c>
    </row>
    <row r="29" spans="1:15">
      <c r="A29" s="1" t="s">
        <v>3</v>
      </c>
      <c r="B29" s="6" t="s">
        <v>94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3">
        <v>0</v>
      </c>
      <c r="L29" s="78">
        <f t="shared" si="2"/>
        <v>0</v>
      </c>
      <c r="M29" s="78">
        <v>0</v>
      </c>
      <c r="N29" s="78">
        <f t="shared" si="3"/>
        <v>0</v>
      </c>
      <c r="O29" s="78">
        <v>0</v>
      </c>
    </row>
    <row r="30" spans="1:15">
      <c r="A30" s="1" t="s">
        <v>3</v>
      </c>
      <c r="B30" s="6" t="s">
        <v>95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3">
        <v>0</v>
      </c>
      <c r="L30" s="78">
        <f t="shared" si="2"/>
        <v>0</v>
      </c>
      <c r="M30" s="78">
        <v>0</v>
      </c>
      <c r="N30" s="78">
        <f t="shared" si="3"/>
        <v>0</v>
      </c>
      <c r="O30" s="78">
        <v>50000</v>
      </c>
    </row>
    <row r="31" spans="1:15">
      <c r="A31" s="1" t="s">
        <v>3</v>
      </c>
      <c r="B31" s="6" t="s">
        <v>96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3">
        <v>0</v>
      </c>
      <c r="L31" s="78">
        <f t="shared" si="2"/>
        <v>0</v>
      </c>
      <c r="M31" s="78">
        <v>0</v>
      </c>
      <c r="N31" s="78">
        <f t="shared" si="3"/>
        <v>0</v>
      </c>
      <c r="O31" s="78">
        <v>27000</v>
      </c>
    </row>
    <row r="32" spans="1:15">
      <c r="A32" s="1" t="s">
        <v>3</v>
      </c>
      <c r="B32" s="6" t="s">
        <v>97</v>
      </c>
      <c r="C32" s="22">
        <v>0</v>
      </c>
      <c r="D32" s="22">
        <v>0</v>
      </c>
      <c r="E32" s="22">
        <v>0</v>
      </c>
      <c r="F32" s="22">
        <v>0</v>
      </c>
      <c r="G32" s="22">
        <v>6020</v>
      </c>
      <c r="H32" s="22">
        <v>0</v>
      </c>
      <c r="I32" s="22">
        <v>0</v>
      </c>
      <c r="J32" s="22">
        <v>0</v>
      </c>
      <c r="K32" s="23">
        <v>0</v>
      </c>
      <c r="L32" s="78">
        <f t="shared" si="2"/>
        <v>6020</v>
      </c>
      <c r="M32" s="78">
        <v>0</v>
      </c>
      <c r="N32" s="78">
        <f t="shared" si="3"/>
        <v>0</v>
      </c>
      <c r="O32" s="78">
        <v>6020</v>
      </c>
    </row>
    <row r="33" spans="1:15">
      <c r="A33" s="1" t="s">
        <v>3</v>
      </c>
      <c r="B33" s="6" t="s">
        <v>99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3">
        <v>0</v>
      </c>
      <c r="L33" s="78">
        <f t="shared" si="2"/>
        <v>0</v>
      </c>
      <c r="M33" s="78">
        <v>0</v>
      </c>
      <c r="N33" s="78">
        <f t="shared" si="3"/>
        <v>0</v>
      </c>
      <c r="O33" s="78">
        <v>0</v>
      </c>
    </row>
    <row r="34" spans="1:15">
      <c r="A34" s="1" t="s">
        <v>3</v>
      </c>
      <c r="B34" s="6" t="s">
        <v>103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3">
        <v>0</v>
      </c>
      <c r="L34" s="78">
        <f t="shared" si="2"/>
        <v>0</v>
      </c>
      <c r="M34" s="78">
        <v>0</v>
      </c>
      <c r="N34" s="78">
        <f t="shared" si="3"/>
        <v>0</v>
      </c>
      <c r="O34" s="78">
        <v>0</v>
      </c>
    </row>
    <row r="35" spans="1:15">
      <c r="A35" s="1" t="s">
        <v>3</v>
      </c>
      <c r="B35" s="6" t="s">
        <v>104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3">
        <v>0</v>
      </c>
      <c r="L35" s="78">
        <f t="shared" si="2"/>
        <v>0</v>
      </c>
      <c r="M35" s="78">
        <v>0</v>
      </c>
      <c r="N35" s="78">
        <f t="shared" si="3"/>
        <v>0</v>
      </c>
      <c r="O35" s="78">
        <v>0</v>
      </c>
    </row>
    <row r="36" spans="1:15">
      <c r="A36" s="1" t="s">
        <v>3</v>
      </c>
      <c r="B36" s="6" t="s">
        <v>105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3">
        <v>0</v>
      </c>
      <c r="L36" s="78">
        <f t="shared" si="2"/>
        <v>0</v>
      </c>
      <c r="M36" s="78">
        <v>0</v>
      </c>
      <c r="N36" s="78">
        <f t="shared" si="3"/>
        <v>0</v>
      </c>
      <c r="O36" s="83">
        <v>-8468</v>
      </c>
    </row>
    <row r="37" spans="1:15">
      <c r="A37" s="1" t="s">
        <v>3</v>
      </c>
      <c r="B37" s="6" t="s">
        <v>72</v>
      </c>
      <c r="C37" s="22">
        <v>0</v>
      </c>
      <c r="D37" s="22">
        <v>67452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3225</v>
      </c>
      <c r="K37" s="23">
        <v>0</v>
      </c>
      <c r="L37" s="78">
        <f t="shared" si="2"/>
        <v>70677</v>
      </c>
      <c r="M37" s="78">
        <v>0</v>
      </c>
      <c r="N37" s="78">
        <f t="shared" si="3"/>
        <v>0</v>
      </c>
      <c r="O37" s="78">
        <v>1294714</v>
      </c>
    </row>
    <row r="38" spans="1:15">
      <c r="A38" s="1" t="s">
        <v>3</v>
      </c>
      <c r="B38" s="6" t="s">
        <v>107</v>
      </c>
      <c r="C38" s="22">
        <v>0</v>
      </c>
      <c r="D38" s="22">
        <v>48554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3">
        <v>0</v>
      </c>
      <c r="L38" s="78">
        <f t="shared" si="2"/>
        <v>48554</v>
      </c>
      <c r="M38" s="78">
        <v>0</v>
      </c>
      <c r="N38" s="78">
        <f t="shared" si="3"/>
        <v>0</v>
      </c>
      <c r="O38" s="78">
        <v>739564</v>
      </c>
    </row>
    <row r="39" spans="1:15">
      <c r="A39" s="1" t="s">
        <v>3</v>
      </c>
      <c r="B39" s="6" t="s">
        <v>108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3">
        <v>0</v>
      </c>
      <c r="L39" s="78">
        <f t="shared" si="2"/>
        <v>0</v>
      </c>
      <c r="M39" s="78">
        <v>0</v>
      </c>
      <c r="N39" s="78">
        <f t="shared" si="3"/>
        <v>0</v>
      </c>
      <c r="O39" s="78">
        <v>442795</v>
      </c>
    </row>
    <row r="40" spans="1:15">
      <c r="A40" s="1" t="s">
        <v>3</v>
      </c>
      <c r="B40" s="6" t="s">
        <v>109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3">
        <v>0</v>
      </c>
      <c r="L40" s="78">
        <f t="shared" si="2"/>
        <v>0</v>
      </c>
      <c r="M40" s="78">
        <v>0</v>
      </c>
      <c r="N40" s="78">
        <f t="shared" si="3"/>
        <v>0</v>
      </c>
      <c r="O40" s="78">
        <v>16176</v>
      </c>
    </row>
    <row r="41" spans="1:15">
      <c r="A41" s="1" t="s">
        <v>3</v>
      </c>
      <c r="B41" s="6" t="s">
        <v>110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3">
        <v>0</v>
      </c>
      <c r="L41" s="78">
        <f t="shared" si="2"/>
        <v>0</v>
      </c>
      <c r="M41" s="78">
        <v>0</v>
      </c>
      <c r="N41" s="78">
        <f t="shared" si="3"/>
        <v>0</v>
      </c>
      <c r="O41" s="78">
        <v>7791</v>
      </c>
    </row>
    <row r="42" spans="1:15">
      <c r="A42" s="1" t="s">
        <v>3</v>
      </c>
      <c r="B42" s="6" t="s">
        <v>111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3">
        <v>3440</v>
      </c>
      <c r="L42" s="78">
        <f t="shared" si="2"/>
        <v>3440</v>
      </c>
      <c r="M42" s="78">
        <v>0</v>
      </c>
      <c r="N42" s="78">
        <f t="shared" si="3"/>
        <v>0</v>
      </c>
      <c r="O42" s="78">
        <v>11908</v>
      </c>
    </row>
    <row r="43" spans="1:15" ht="19.5" thickBot="1">
      <c r="A43" s="1" t="s">
        <v>3</v>
      </c>
      <c r="B43" s="45" t="s">
        <v>82</v>
      </c>
      <c r="C43" s="47">
        <v>0</v>
      </c>
      <c r="D43" s="47">
        <v>0</v>
      </c>
      <c r="E43" s="47">
        <v>0</v>
      </c>
      <c r="F43" s="47">
        <v>0</v>
      </c>
      <c r="G43" s="47">
        <v>10750</v>
      </c>
      <c r="H43" s="47">
        <v>10750</v>
      </c>
      <c r="I43" s="47">
        <v>10750</v>
      </c>
      <c r="J43" s="47">
        <v>0</v>
      </c>
      <c r="K43" s="48">
        <v>0</v>
      </c>
      <c r="L43" s="79">
        <f t="shared" si="2"/>
        <v>32250</v>
      </c>
      <c r="M43" s="79">
        <v>547</v>
      </c>
      <c r="N43" s="79">
        <f t="shared" si="3"/>
        <v>547</v>
      </c>
      <c r="O43" s="79">
        <v>114059</v>
      </c>
    </row>
    <row r="44" spans="1:15" ht="19.5" thickBot="1">
      <c r="A44" s="1" t="s">
        <v>3</v>
      </c>
      <c r="B44" s="50" t="s">
        <v>112</v>
      </c>
      <c r="C44" s="52">
        <v>355000</v>
      </c>
      <c r="D44" s="52">
        <v>389006</v>
      </c>
      <c r="E44" s="52">
        <v>81780</v>
      </c>
      <c r="F44" s="52">
        <v>90240</v>
      </c>
      <c r="G44" s="52">
        <v>76970</v>
      </c>
      <c r="H44" s="52">
        <v>70950</v>
      </c>
      <c r="I44" s="52">
        <v>70950</v>
      </c>
      <c r="J44" s="52">
        <v>30745</v>
      </c>
      <c r="K44" s="53">
        <v>84280</v>
      </c>
      <c r="L44" s="80">
        <f t="shared" si="2"/>
        <v>1249921</v>
      </c>
      <c r="M44" s="80">
        <v>365547</v>
      </c>
      <c r="N44" s="80">
        <f t="shared" si="3"/>
        <v>365547</v>
      </c>
      <c r="O44" s="80">
        <v>7537535</v>
      </c>
    </row>
    <row r="45" spans="1:15" ht="19.5" thickBot="1">
      <c r="A45" s="1" t="s">
        <v>3</v>
      </c>
      <c r="B45" s="27" t="s">
        <v>113</v>
      </c>
      <c r="C45" s="38">
        <v>3100</v>
      </c>
      <c r="D45" s="38">
        <v>5347</v>
      </c>
      <c r="E45" s="38">
        <v>2687</v>
      </c>
      <c r="F45" s="38">
        <v>1938</v>
      </c>
      <c r="G45" s="38">
        <v>3100</v>
      </c>
      <c r="H45" s="38">
        <v>3875</v>
      </c>
      <c r="I45" s="38">
        <v>4133</v>
      </c>
      <c r="J45" s="38">
        <v>1344</v>
      </c>
      <c r="K45" s="39">
        <v>7233</v>
      </c>
      <c r="L45" s="77">
        <f t="shared" si="2"/>
        <v>32757</v>
      </c>
      <c r="M45" s="77">
        <v>7724</v>
      </c>
      <c r="N45" s="77">
        <f t="shared" si="3"/>
        <v>7724</v>
      </c>
      <c r="O45" s="77">
        <v>153240</v>
      </c>
    </row>
    <row r="46" spans="1:15" ht="19.5" thickBot="1">
      <c r="A46" s="1" t="s">
        <v>3</v>
      </c>
      <c r="B46" s="50" t="s">
        <v>115</v>
      </c>
      <c r="C46" s="52">
        <v>3100</v>
      </c>
      <c r="D46" s="52">
        <v>5347</v>
      </c>
      <c r="E46" s="52">
        <v>2687</v>
      </c>
      <c r="F46" s="52">
        <v>1938</v>
      </c>
      <c r="G46" s="52">
        <v>3100</v>
      </c>
      <c r="H46" s="52">
        <v>3875</v>
      </c>
      <c r="I46" s="52">
        <v>4133</v>
      </c>
      <c r="J46" s="52">
        <v>1344</v>
      </c>
      <c r="K46" s="53">
        <v>7233</v>
      </c>
      <c r="L46" s="80">
        <f t="shared" si="2"/>
        <v>32757</v>
      </c>
      <c r="M46" s="80">
        <v>7724</v>
      </c>
      <c r="N46" s="80">
        <f t="shared" si="3"/>
        <v>7724</v>
      </c>
      <c r="O46" s="80">
        <v>153240</v>
      </c>
    </row>
    <row r="47" spans="1:15" ht="19.5" thickBot="1">
      <c r="A47" s="1" t="s">
        <v>3</v>
      </c>
      <c r="B47" s="50" t="s">
        <v>116</v>
      </c>
      <c r="C47" s="52">
        <v>358100</v>
      </c>
      <c r="D47" s="52">
        <v>394353</v>
      </c>
      <c r="E47" s="52">
        <v>84467</v>
      </c>
      <c r="F47" s="52">
        <v>92178</v>
      </c>
      <c r="G47" s="52">
        <v>80070</v>
      </c>
      <c r="H47" s="52">
        <v>74825</v>
      </c>
      <c r="I47" s="52">
        <v>75083</v>
      </c>
      <c r="J47" s="52">
        <v>32089</v>
      </c>
      <c r="K47" s="53">
        <v>91513</v>
      </c>
      <c r="L47" s="80">
        <f t="shared" si="2"/>
        <v>1282678</v>
      </c>
      <c r="M47" s="80">
        <v>373271</v>
      </c>
      <c r="N47" s="80">
        <f t="shared" si="3"/>
        <v>373271</v>
      </c>
      <c r="O47" s="80">
        <v>7690775</v>
      </c>
    </row>
    <row r="48" spans="1:15">
      <c r="A48" s="1" t="s">
        <v>3</v>
      </c>
      <c r="B48" s="27" t="s">
        <v>117</v>
      </c>
      <c r="C48" s="38">
        <v>19380</v>
      </c>
      <c r="D48" s="38">
        <v>20910</v>
      </c>
      <c r="E48" s="38">
        <v>0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9">
        <v>0</v>
      </c>
      <c r="L48" s="77">
        <f t="shared" si="2"/>
        <v>40290</v>
      </c>
      <c r="M48" s="77">
        <v>19380</v>
      </c>
      <c r="N48" s="77">
        <f t="shared" si="3"/>
        <v>19380</v>
      </c>
      <c r="O48" s="77">
        <v>356490</v>
      </c>
    </row>
    <row r="49" spans="1:15">
      <c r="A49" s="1" t="s">
        <v>3</v>
      </c>
      <c r="B49" s="6" t="s">
        <v>118</v>
      </c>
      <c r="C49" s="22">
        <v>3420</v>
      </c>
      <c r="D49" s="22">
        <v>3690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3">
        <v>0</v>
      </c>
      <c r="L49" s="78">
        <f t="shared" si="2"/>
        <v>7110</v>
      </c>
      <c r="M49" s="78">
        <v>3420</v>
      </c>
      <c r="N49" s="78">
        <f t="shared" si="3"/>
        <v>3420</v>
      </c>
      <c r="O49" s="78">
        <v>62910</v>
      </c>
    </row>
    <row r="50" spans="1:15">
      <c r="A50" s="1" t="s">
        <v>3</v>
      </c>
      <c r="B50" s="6" t="s">
        <v>119</v>
      </c>
      <c r="C50" s="22">
        <v>34770</v>
      </c>
      <c r="D50" s="22">
        <v>37515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3">
        <v>0</v>
      </c>
      <c r="L50" s="78">
        <f t="shared" si="2"/>
        <v>72285</v>
      </c>
      <c r="M50" s="78">
        <v>34770</v>
      </c>
      <c r="N50" s="78">
        <f t="shared" si="3"/>
        <v>34770</v>
      </c>
      <c r="O50" s="78">
        <v>639585</v>
      </c>
    </row>
    <row r="51" spans="1:15" ht="19.5" thickBot="1">
      <c r="A51" s="1" t="s">
        <v>3</v>
      </c>
      <c r="B51" s="6" t="s">
        <v>120</v>
      </c>
      <c r="C51" s="22">
        <v>1790</v>
      </c>
      <c r="D51" s="22">
        <v>1972</v>
      </c>
      <c r="E51" s="22">
        <v>422</v>
      </c>
      <c r="F51" s="22">
        <v>461</v>
      </c>
      <c r="G51" s="22">
        <v>0</v>
      </c>
      <c r="H51" s="22">
        <v>0</v>
      </c>
      <c r="I51" s="22">
        <v>0</v>
      </c>
      <c r="J51" s="22">
        <v>0</v>
      </c>
      <c r="K51" s="23">
        <v>458</v>
      </c>
      <c r="L51" s="78">
        <f t="shared" si="2"/>
        <v>5103</v>
      </c>
      <c r="M51" s="78">
        <v>1866</v>
      </c>
      <c r="N51" s="78">
        <f t="shared" si="3"/>
        <v>1866</v>
      </c>
      <c r="O51" s="78">
        <v>37143</v>
      </c>
    </row>
    <row r="52" spans="1:15" ht="19.5" thickBot="1">
      <c r="A52" s="1" t="s">
        <v>3</v>
      </c>
      <c r="B52" s="50" t="s">
        <v>122</v>
      </c>
      <c r="C52" s="52">
        <v>59360</v>
      </c>
      <c r="D52" s="52">
        <v>64087</v>
      </c>
      <c r="E52" s="52">
        <v>422</v>
      </c>
      <c r="F52" s="52">
        <v>461</v>
      </c>
      <c r="G52" s="52">
        <v>0</v>
      </c>
      <c r="H52" s="52">
        <v>0</v>
      </c>
      <c r="I52" s="52">
        <v>0</v>
      </c>
      <c r="J52" s="52">
        <v>0</v>
      </c>
      <c r="K52" s="53">
        <v>458</v>
      </c>
      <c r="L52" s="80">
        <f t="shared" si="2"/>
        <v>124788</v>
      </c>
      <c r="M52" s="80">
        <v>59436</v>
      </c>
      <c r="N52" s="80">
        <f t="shared" si="3"/>
        <v>59436</v>
      </c>
      <c r="O52" s="80">
        <v>1096128</v>
      </c>
    </row>
    <row r="53" spans="1:15">
      <c r="A53" s="1" t="s">
        <v>3</v>
      </c>
      <c r="B53" s="27" t="s">
        <v>123</v>
      </c>
      <c r="C53" s="38">
        <v>8180</v>
      </c>
      <c r="D53" s="38">
        <v>7740</v>
      </c>
      <c r="E53" s="38">
        <v>0</v>
      </c>
      <c r="F53" s="38">
        <v>200</v>
      </c>
      <c r="G53" s="38">
        <v>0</v>
      </c>
      <c r="H53" s="38">
        <v>0</v>
      </c>
      <c r="I53" s="38">
        <v>0</v>
      </c>
      <c r="J53" s="38">
        <v>0</v>
      </c>
      <c r="K53" s="39">
        <v>0</v>
      </c>
      <c r="L53" s="77">
        <f t="shared" si="2"/>
        <v>16120</v>
      </c>
      <c r="M53" s="77">
        <v>8880</v>
      </c>
      <c r="N53" s="77">
        <f t="shared" si="3"/>
        <v>8880</v>
      </c>
      <c r="O53" s="77">
        <v>152740</v>
      </c>
    </row>
    <row r="54" spans="1:15">
      <c r="A54" s="1" t="s">
        <v>3</v>
      </c>
      <c r="B54" s="6" t="s">
        <v>124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3">
        <v>0</v>
      </c>
      <c r="L54" s="78">
        <f t="shared" si="2"/>
        <v>0</v>
      </c>
      <c r="M54" s="78">
        <v>0</v>
      </c>
      <c r="N54" s="78">
        <f t="shared" si="3"/>
        <v>0</v>
      </c>
      <c r="O54" s="78">
        <v>15600</v>
      </c>
    </row>
    <row r="55" spans="1:15">
      <c r="A55" s="1" t="s">
        <v>3</v>
      </c>
      <c r="B55" s="6" t="s">
        <v>125</v>
      </c>
      <c r="C55" s="22">
        <v>15200</v>
      </c>
      <c r="D55" s="22">
        <v>16300</v>
      </c>
      <c r="E55" s="22">
        <v>600</v>
      </c>
      <c r="F55" s="22">
        <v>500</v>
      </c>
      <c r="G55" s="22">
        <v>0</v>
      </c>
      <c r="H55" s="22">
        <v>0</v>
      </c>
      <c r="I55" s="22">
        <v>0</v>
      </c>
      <c r="J55" s="22">
        <v>0</v>
      </c>
      <c r="K55" s="23">
        <v>11600</v>
      </c>
      <c r="L55" s="78">
        <f t="shared" si="2"/>
        <v>44200</v>
      </c>
      <c r="M55" s="78">
        <v>17800</v>
      </c>
      <c r="N55" s="78">
        <f t="shared" si="3"/>
        <v>17800</v>
      </c>
      <c r="O55" s="78">
        <v>258100</v>
      </c>
    </row>
    <row r="56" spans="1:15" ht="19.5" thickBot="1">
      <c r="A56" s="1" t="s">
        <v>3</v>
      </c>
      <c r="B56" s="6" t="s">
        <v>126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3">
        <v>0</v>
      </c>
      <c r="L56" s="78">
        <f t="shared" si="2"/>
        <v>0</v>
      </c>
      <c r="M56" s="78">
        <v>0</v>
      </c>
      <c r="N56" s="78">
        <f t="shared" si="3"/>
        <v>0</v>
      </c>
      <c r="O56" s="78">
        <v>0</v>
      </c>
    </row>
    <row r="57" spans="1:15" ht="19.5" thickBot="1">
      <c r="A57" s="1" t="s">
        <v>3</v>
      </c>
      <c r="B57" s="50" t="s">
        <v>130</v>
      </c>
      <c r="C57" s="52">
        <v>82740</v>
      </c>
      <c r="D57" s="52">
        <v>88127</v>
      </c>
      <c r="E57" s="52">
        <v>1022</v>
      </c>
      <c r="F57" s="52">
        <v>1161</v>
      </c>
      <c r="G57" s="52">
        <v>0</v>
      </c>
      <c r="H57" s="52">
        <v>0</v>
      </c>
      <c r="I57" s="52">
        <v>0</v>
      </c>
      <c r="J57" s="52">
        <v>0</v>
      </c>
      <c r="K57" s="53">
        <v>12058</v>
      </c>
      <c r="L57" s="80">
        <f t="shared" si="2"/>
        <v>185108</v>
      </c>
      <c r="M57" s="80">
        <v>86116</v>
      </c>
      <c r="N57" s="80">
        <f t="shared" si="3"/>
        <v>86116</v>
      </c>
      <c r="O57" s="80">
        <v>1522568</v>
      </c>
    </row>
    <row r="58" spans="1:15" ht="19.5" thickBot="1">
      <c r="A58" s="1" t="s">
        <v>3</v>
      </c>
      <c r="B58" s="50" t="s">
        <v>131</v>
      </c>
      <c r="C58" s="52">
        <v>295640</v>
      </c>
      <c r="D58" s="52">
        <v>324919</v>
      </c>
      <c r="E58" s="52">
        <v>81358</v>
      </c>
      <c r="F58" s="52">
        <v>89779</v>
      </c>
      <c r="G58" s="52">
        <v>76970</v>
      </c>
      <c r="H58" s="52">
        <v>70950</v>
      </c>
      <c r="I58" s="52">
        <v>70950</v>
      </c>
      <c r="J58" s="52">
        <v>30745</v>
      </c>
      <c r="K58" s="53">
        <v>83822</v>
      </c>
      <c r="L58" s="80">
        <f t="shared" si="2"/>
        <v>1125133</v>
      </c>
      <c r="M58" s="80">
        <v>306111</v>
      </c>
      <c r="N58" s="80">
        <f t="shared" si="3"/>
        <v>306111</v>
      </c>
      <c r="O58" s="80">
        <v>6441407</v>
      </c>
    </row>
    <row r="59" spans="1:15" ht="19.5" thickBot="1">
      <c r="A59" s="1" t="s">
        <v>3</v>
      </c>
      <c r="B59" s="50" t="s">
        <v>132</v>
      </c>
      <c r="C59" s="52">
        <v>275360</v>
      </c>
      <c r="D59" s="52">
        <v>306226</v>
      </c>
      <c r="E59" s="52">
        <v>83445</v>
      </c>
      <c r="F59" s="52">
        <v>91017</v>
      </c>
      <c r="G59" s="52">
        <v>80070</v>
      </c>
      <c r="H59" s="52">
        <v>74825</v>
      </c>
      <c r="I59" s="52">
        <v>75083</v>
      </c>
      <c r="J59" s="52">
        <v>32089</v>
      </c>
      <c r="K59" s="53">
        <v>79455</v>
      </c>
      <c r="L59" s="80">
        <f t="shared" si="2"/>
        <v>1097570</v>
      </c>
      <c r="M59" s="80">
        <v>287155</v>
      </c>
      <c r="N59" s="80">
        <f t="shared" si="3"/>
        <v>287155</v>
      </c>
      <c r="O59" s="80">
        <v>6168207</v>
      </c>
    </row>
    <row r="60" spans="1:15">
      <c r="A60" s="1" t="s">
        <v>3</v>
      </c>
      <c r="B60" s="27" t="s">
        <v>133</v>
      </c>
      <c r="C60" s="38">
        <v>0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9">
        <v>0</v>
      </c>
      <c r="L60" s="77">
        <f t="shared" si="2"/>
        <v>0</v>
      </c>
      <c r="M60" s="77">
        <v>0</v>
      </c>
      <c r="N60" s="77">
        <f t="shared" si="3"/>
        <v>0</v>
      </c>
      <c r="O60" s="77">
        <v>0</v>
      </c>
    </row>
    <row r="61" spans="1:15">
      <c r="A61" s="1" t="s">
        <v>3</v>
      </c>
      <c r="B61" s="6" t="s">
        <v>134</v>
      </c>
      <c r="C61" s="22">
        <v>275360</v>
      </c>
      <c r="D61" s="22">
        <v>306226</v>
      </c>
      <c r="E61" s="22">
        <v>83445</v>
      </c>
      <c r="F61" s="22">
        <v>91017</v>
      </c>
      <c r="G61" s="22">
        <v>80070</v>
      </c>
      <c r="H61" s="22">
        <v>74825</v>
      </c>
      <c r="I61" s="22">
        <v>75083</v>
      </c>
      <c r="J61" s="22">
        <v>32089</v>
      </c>
      <c r="K61" s="23">
        <v>79455</v>
      </c>
      <c r="L61" s="78">
        <f t="shared" si="2"/>
        <v>1097570</v>
      </c>
      <c r="M61" s="78">
        <v>287155</v>
      </c>
      <c r="N61" s="78">
        <f t="shared" si="3"/>
        <v>287155</v>
      </c>
      <c r="O61" s="78">
        <v>6168207</v>
      </c>
    </row>
    <row r="62" spans="1:15">
      <c r="A62" s="1" t="s">
        <v>3</v>
      </c>
      <c r="B62" s="6" t="s">
        <v>135</v>
      </c>
      <c r="C62" s="22">
        <v>0</v>
      </c>
      <c r="D62" s="22">
        <v>1</v>
      </c>
      <c r="E62" s="22">
        <v>0</v>
      </c>
      <c r="F62" s="22">
        <v>0</v>
      </c>
      <c r="G62" s="22">
        <v>1</v>
      </c>
      <c r="H62" s="22">
        <v>1</v>
      </c>
      <c r="I62" s="22">
        <v>1</v>
      </c>
      <c r="J62" s="22">
        <v>1</v>
      </c>
      <c r="K62" s="23">
        <v>1</v>
      </c>
      <c r="L62" s="78"/>
      <c r="M62" s="78">
        <v>0</v>
      </c>
      <c r="N62" s="78">
        <f t="shared" si="3"/>
        <v>0</v>
      </c>
      <c r="O62" s="78"/>
    </row>
    <row r="63" spans="1:15" ht="19.5" thickBot="1">
      <c r="A63" s="1" t="s">
        <v>3</v>
      </c>
      <c r="B63" s="7" t="s">
        <v>136</v>
      </c>
      <c r="C63" s="25" t="s">
        <v>137</v>
      </c>
      <c r="D63" s="25" t="s">
        <v>137</v>
      </c>
      <c r="E63" s="25" t="s">
        <v>137</v>
      </c>
      <c r="F63" s="25" t="s">
        <v>137</v>
      </c>
      <c r="G63" s="25" t="s">
        <v>137</v>
      </c>
      <c r="H63" s="25" t="s">
        <v>137</v>
      </c>
      <c r="I63" s="25" t="s">
        <v>137</v>
      </c>
      <c r="J63" s="25" t="s">
        <v>137</v>
      </c>
      <c r="K63" s="26" t="s">
        <v>137</v>
      </c>
      <c r="L63" s="81"/>
      <c r="M63" s="81" t="s">
        <v>137</v>
      </c>
      <c r="N63" s="81"/>
      <c r="O63" s="81"/>
    </row>
  </sheetData>
  <phoneticPr fontId="3"/>
  <pageMargins left="0.11811023622047245" right="0.11811023622047245" top="0.15748031496062992" bottom="0.15748031496062992" header="0.11811023622047245" footer="0.11811023622047245"/>
  <pageSetup paperSize="12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E3FA-4CAD-4E38-89FC-F959F4382282}">
  <sheetPr>
    <pageSetUpPr fitToPage="1"/>
  </sheetPr>
  <dimension ref="A1:U63"/>
  <sheetViews>
    <sheetView showZeros="0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21" width="11" style="2" customWidth="1"/>
    <col min="22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53" width="11.125" style="2" bestFit="1" customWidth="1"/>
    <col min="254" max="254" width="9" style="2"/>
    <col min="255" max="266" width="11.125" style="2" bestFit="1" customWidth="1"/>
    <col min="267" max="267" width="9" style="2"/>
    <col min="268" max="268" width="8" style="2" bestFit="1" customWidth="1"/>
    <col min="269" max="275" width="11.125" style="2" bestFit="1" customWidth="1"/>
    <col min="276" max="276" width="9.625" style="2" bestFit="1" customWidth="1"/>
    <col min="277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09" width="11.125" style="2" bestFit="1" customWidth="1"/>
    <col min="510" max="510" width="9" style="2"/>
    <col min="511" max="522" width="11.125" style="2" bestFit="1" customWidth="1"/>
    <col min="523" max="523" width="9" style="2"/>
    <col min="524" max="524" width="8" style="2" bestFit="1" customWidth="1"/>
    <col min="525" max="531" width="11.125" style="2" bestFit="1" customWidth="1"/>
    <col min="532" max="532" width="9.625" style="2" bestFit="1" customWidth="1"/>
    <col min="533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65" width="11.125" style="2" bestFit="1" customWidth="1"/>
    <col min="766" max="766" width="9" style="2"/>
    <col min="767" max="778" width="11.125" style="2" bestFit="1" customWidth="1"/>
    <col min="779" max="779" width="9" style="2"/>
    <col min="780" max="780" width="8" style="2" bestFit="1" customWidth="1"/>
    <col min="781" max="787" width="11.125" style="2" bestFit="1" customWidth="1"/>
    <col min="788" max="788" width="9.625" style="2" bestFit="1" customWidth="1"/>
    <col min="789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21" width="11.125" style="2" bestFit="1" customWidth="1"/>
    <col min="1022" max="1022" width="9" style="2"/>
    <col min="1023" max="1034" width="11.125" style="2" bestFit="1" customWidth="1"/>
    <col min="1035" max="1035" width="9" style="2"/>
    <col min="1036" max="1036" width="8" style="2" bestFit="1" customWidth="1"/>
    <col min="1037" max="1043" width="11.125" style="2" bestFit="1" customWidth="1"/>
    <col min="1044" max="1044" width="9.625" style="2" bestFit="1" customWidth="1"/>
    <col min="1045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77" width="11.125" style="2" bestFit="1" customWidth="1"/>
    <col min="1278" max="1278" width="9" style="2"/>
    <col min="1279" max="1290" width="11.125" style="2" bestFit="1" customWidth="1"/>
    <col min="1291" max="1291" width="9" style="2"/>
    <col min="1292" max="1292" width="8" style="2" bestFit="1" customWidth="1"/>
    <col min="1293" max="1299" width="11.125" style="2" bestFit="1" customWidth="1"/>
    <col min="1300" max="1300" width="9.625" style="2" bestFit="1" customWidth="1"/>
    <col min="1301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33" width="11.125" style="2" bestFit="1" customWidth="1"/>
    <col min="1534" max="1534" width="9" style="2"/>
    <col min="1535" max="1546" width="11.125" style="2" bestFit="1" customWidth="1"/>
    <col min="1547" max="1547" width="9" style="2"/>
    <col min="1548" max="1548" width="8" style="2" bestFit="1" customWidth="1"/>
    <col min="1549" max="1555" width="11.125" style="2" bestFit="1" customWidth="1"/>
    <col min="1556" max="1556" width="9.625" style="2" bestFit="1" customWidth="1"/>
    <col min="1557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89" width="11.125" style="2" bestFit="1" customWidth="1"/>
    <col min="1790" max="1790" width="9" style="2"/>
    <col min="1791" max="1802" width="11.125" style="2" bestFit="1" customWidth="1"/>
    <col min="1803" max="1803" width="9" style="2"/>
    <col min="1804" max="1804" width="8" style="2" bestFit="1" customWidth="1"/>
    <col min="1805" max="1811" width="11.125" style="2" bestFit="1" customWidth="1"/>
    <col min="1812" max="1812" width="9.625" style="2" bestFit="1" customWidth="1"/>
    <col min="1813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45" width="11.125" style="2" bestFit="1" customWidth="1"/>
    <col min="2046" max="2046" width="9" style="2"/>
    <col min="2047" max="2058" width="11.125" style="2" bestFit="1" customWidth="1"/>
    <col min="2059" max="2059" width="9" style="2"/>
    <col min="2060" max="2060" width="8" style="2" bestFit="1" customWidth="1"/>
    <col min="2061" max="2067" width="11.125" style="2" bestFit="1" customWidth="1"/>
    <col min="2068" max="2068" width="9.625" style="2" bestFit="1" customWidth="1"/>
    <col min="2069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01" width="11.125" style="2" bestFit="1" customWidth="1"/>
    <col min="2302" max="2302" width="9" style="2"/>
    <col min="2303" max="2314" width="11.125" style="2" bestFit="1" customWidth="1"/>
    <col min="2315" max="2315" width="9" style="2"/>
    <col min="2316" max="2316" width="8" style="2" bestFit="1" customWidth="1"/>
    <col min="2317" max="2323" width="11.125" style="2" bestFit="1" customWidth="1"/>
    <col min="2324" max="2324" width="9.625" style="2" bestFit="1" customWidth="1"/>
    <col min="2325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57" width="11.125" style="2" bestFit="1" customWidth="1"/>
    <col min="2558" max="2558" width="9" style="2"/>
    <col min="2559" max="2570" width="11.125" style="2" bestFit="1" customWidth="1"/>
    <col min="2571" max="2571" width="9" style="2"/>
    <col min="2572" max="2572" width="8" style="2" bestFit="1" customWidth="1"/>
    <col min="2573" max="2579" width="11.125" style="2" bestFit="1" customWidth="1"/>
    <col min="2580" max="2580" width="9.625" style="2" bestFit="1" customWidth="1"/>
    <col min="2581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13" width="11.125" style="2" bestFit="1" customWidth="1"/>
    <col min="2814" max="2814" width="9" style="2"/>
    <col min="2815" max="2826" width="11.125" style="2" bestFit="1" customWidth="1"/>
    <col min="2827" max="2827" width="9" style="2"/>
    <col min="2828" max="2828" width="8" style="2" bestFit="1" customWidth="1"/>
    <col min="2829" max="2835" width="11.125" style="2" bestFit="1" customWidth="1"/>
    <col min="2836" max="2836" width="9.625" style="2" bestFit="1" customWidth="1"/>
    <col min="2837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69" width="11.125" style="2" bestFit="1" customWidth="1"/>
    <col min="3070" max="3070" width="9" style="2"/>
    <col min="3071" max="3082" width="11.125" style="2" bestFit="1" customWidth="1"/>
    <col min="3083" max="3083" width="9" style="2"/>
    <col min="3084" max="3084" width="8" style="2" bestFit="1" customWidth="1"/>
    <col min="3085" max="3091" width="11.125" style="2" bestFit="1" customWidth="1"/>
    <col min="3092" max="3092" width="9.625" style="2" bestFit="1" customWidth="1"/>
    <col min="3093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25" width="11.125" style="2" bestFit="1" customWidth="1"/>
    <col min="3326" max="3326" width="9" style="2"/>
    <col min="3327" max="3338" width="11.125" style="2" bestFit="1" customWidth="1"/>
    <col min="3339" max="3339" width="9" style="2"/>
    <col min="3340" max="3340" width="8" style="2" bestFit="1" customWidth="1"/>
    <col min="3341" max="3347" width="11.125" style="2" bestFit="1" customWidth="1"/>
    <col min="3348" max="3348" width="9.625" style="2" bestFit="1" customWidth="1"/>
    <col min="3349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81" width="11.125" style="2" bestFit="1" customWidth="1"/>
    <col min="3582" max="3582" width="9" style="2"/>
    <col min="3583" max="3594" width="11.125" style="2" bestFit="1" customWidth="1"/>
    <col min="3595" max="3595" width="9" style="2"/>
    <col min="3596" max="3596" width="8" style="2" bestFit="1" customWidth="1"/>
    <col min="3597" max="3603" width="11.125" style="2" bestFit="1" customWidth="1"/>
    <col min="3604" max="3604" width="9.625" style="2" bestFit="1" customWidth="1"/>
    <col min="3605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37" width="11.125" style="2" bestFit="1" customWidth="1"/>
    <col min="3838" max="3838" width="9" style="2"/>
    <col min="3839" max="3850" width="11.125" style="2" bestFit="1" customWidth="1"/>
    <col min="3851" max="3851" width="9" style="2"/>
    <col min="3852" max="3852" width="8" style="2" bestFit="1" customWidth="1"/>
    <col min="3853" max="3859" width="11.125" style="2" bestFit="1" customWidth="1"/>
    <col min="3860" max="3860" width="9.625" style="2" bestFit="1" customWidth="1"/>
    <col min="3861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093" width="11.125" style="2" bestFit="1" customWidth="1"/>
    <col min="4094" max="4094" width="9" style="2"/>
    <col min="4095" max="4106" width="11.125" style="2" bestFit="1" customWidth="1"/>
    <col min="4107" max="4107" width="9" style="2"/>
    <col min="4108" max="4108" width="8" style="2" bestFit="1" customWidth="1"/>
    <col min="4109" max="4115" width="11.125" style="2" bestFit="1" customWidth="1"/>
    <col min="4116" max="4116" width="9.625" style="2" bestFit="1" customWidth="1"/>
    <col min="4117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49" width="11.125" style="2" bestFit="1" customWidth="1"/>
    <col min="4350" max="4350" width="9" style="2"/>
    <col min="4351" max="4362" width="11.125" style="2" bestFit="1" customWidth="1"/>
    <col min="4363" max="4363" width="9" style="2"/>
    <col min="4364" max="4364" width="8" style="2" bestFit="1" customWidth="1"/>
    <col min="4365" max="4371" width="11.125" style="2" bestFit="1" customWidth="1"/>
    <col min="4372" max="4372" width="9.625" style="2" bestFit="1" customWidth="1"/>
    <col min="4373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05" width="11.125" style="2" bestFit="1" customWidth="1"/>
    <col min="4606" max="4606" width="9" style="2"/>
    <col min="4607" max="4618" width="11.125" style="2" bestFit="1" customWidth="1"/>
    <col min="4619" max="4619" width="9" style="2"/>
    <col min="4620" max="4620" width="8" style="2" bestFit="1" customWidth="1"/>
    <col min="4621" max="4627" width="11.125" style="2" bestFit="1" customWidth="1"/>
    <col min="4628" max="4628" width="9.625" style="2" bestFit="1" customWidth="1"/>
    <col min="4629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61" width="11.125" style="2" bestFit="1" customWidth="1"/>
    <col min="4862" max="4862" width="9" style="2"/>
    <col min="4863" max="4874" width="11.125" style="2" bestFit="1" customWidth="1"/>
    <col min="4875" max="4875" width="9" style="2"/>
    <col min="4876" max="4876" width="8" style="2" bestFit="1" customWidth="1"/>
    <col min="4877" max="4883" width="11.125" style="2" bestFit="1" customWidth="1"/>
    <col min="4884" max="4884" width="9.625" style="2" bestFit="1" customWidth="1"/>
    <col min="4885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17" width="11.125" style="2" bestFit="1" customWidth="1"/>
    <col min="5118" max="5118" width="9" style="2"/>
    <col min="5119" max="5130" width="11.125" style="2" bestFit="1" customWidth="1"/>
    <col min="5131" max="5131" width="9" style="2"/>
    <col min="5132" max="5132" width="8" style="2" bestFit="1" customWidth="1"/>
    <col min="5133" max="5139" width="11.125" style="2" bestFit="1" customWidth="1"/>
    <col min="5140" max="5140" width="9.625" style="2" bestFit="1" customWidth="1"/>
    <col min="5141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73" width="11.125" style="2" bestFit="1" customWidth="1"/>
    <col min="5374" max="5374" width="9" style="2"/>
    <col min="5375" max="5386" width="11.125" style="2" bestFit="1" customWidth="1"/>
    <col min="5387" max="5387" width="9" style="2"/>
    <col min="5388" max="5388" width="8" style="2" bestFit="1" customWidth="1"/>
    <col min="5389" max="5395" width="11.125" style="2" bestFit="1" customWidth="1"/>
    <col min="5396" max="5396" width="9.625" style="2" bestFit="1" customWidth="1"/>
    <col min="5397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29" width="11.125" style="2" bestFit="1" customWidth="1"/>
    <col min="5630" max="5630" width="9" style="2"/>
    <col min="5631" max="5642" width="11.125" style="2" bestFit="1" customWidth="1"/>
    <col min="5643" max="5643" width="9" style="2"/>
    <col min="5644" max="5644" width="8" style="2" bestFit="1" customWidth="1"/>
    <col min="5645" max="5651" width="11.125" style="2" bestFit="1" customWidth="1"/>
    <col min="5652" max="5652" width="9.625" style="2" bestFit="1" customWidth="1"/>
    <col min="5653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85" width="11.125" style="2" bestFit="1" customWidth="1"/>
    <col min="5886" max="5886" width="9" style="2"/>
    <col min="5887" max="5898" width="11.125" style="2" bestFit="1" customWidth="1"/>
    <col min="5899" max="5899" width="9" style="2"/>
    <col min="5900" max="5900" width="8" style="2" bestFit="1" customWidth="1"/>
    <col min="5901" max="5907" width="11.125" style="2" bestFit="1" customWidth="1"/>
    <col min="5908" max="5908" width="9.625" style="2" bestFit="1" customWidth="1"/>
    <col min="5909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41" width="11.125" style="2" bestFit="1" customWidth="1"/>
    <col min="6142" max="6142" width="9" style="2"/>
    <col min="6143" max="6154" width="11.125" style="2" bestFit="1" customWidth="1"/>
    <col min="6155" max="6155" width="9" style="2"/>
    <col min="6156" max="6156" width="8" style="2" bestFit="1" customWidth="1"/>
    <col min="6157" max="6163" width="11.125" style="2" bestFit="1" customWidth="1"/>
    <col min="6164" max="6164" width="9.625" style="2" bestFit="1" customWidth="1"/>
    <col min="6165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397" width="11.125" style="2" bestFit="1" customWidth="1"/>
    <col min="6398" max="6398" width="9" style="2"/>
    <col min="6399" max="6410" width="11.125" style="2" bestFit="1" customWidth="1"/>
    <col min="6411" max="6411" width="9" style="2"/>
    <col min="6412" max="6412" width="8" style="2" bestFit="1" customWidth="1"/>
    <col min="6413" max="6419" width="11.125" style="2" bestFit="1" customWidth="1"/>
    <col min="6420" max="6420" width="9.625" style="2" bestFit="1" customWidth="1"/>
    <col min="6421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53" width="11.125" style="2" bestFit="1" customWidth="1"/>
    <col min="6654" max="6654" width="9" style="2"/>
    <col min="6655" max="6666" width="11.125" style="2" bestFit="1" customWidth="1"/>
    <col min="6667" max="6667" width="9" style="2"/>
    <col min="6668" max="6668" width="8" style="2" bestFit="1" customWidth="1"/>
    <col min="6669" max="6675" width="11.125" style="2" bestFit="1" customWidth="1"/>
    <col min="6676" max="6676" width="9.625" style="2" bestFit="1" customWidth="1"/>
    <col min="6677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09" width="11.125" style="2" bestFit="1" customWidth="1"/>
    <col min="6910" max="6910" width="9" style="2"/>
    <col min="6911" max="6922" width="11.125" style="2" bestFit="1" customWidth="1"/>
    <col min="6923" max="6923" width="9" style="2"/>
    <col min="6924" max="6924" width="8" style="2" bestFit="1" customWidth="1"/>
    <col min="6925" max="6931" width="11.125" style="2" bestFit="1" customWidth="1"/>
    <col min="6932" max="6932" width="9.625" style="2" bestFit="1" customWidth="1"/>
    <col min="6933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65" width="11.125" style="2" bestFit="1" customWidth="1"/>
    <col min="7166" max="7166" width="9" style="2"/>
    <col min="7167" max="7178" width="11.125" style="2" bestFit="1" customWidth="1"/>
    <col min="7179" max="7179" width="9" style="2"/>
    <col min="7180" max="7180" width="8" style="2" bestFit="1" customWidth="1"/>
    <col min="7181" max="7187" width="11.125" style="2" bestFit="1" customWidth="1"/>
    <col min="7188" max="7188" width="9.625" style="2" bestFit="1" customWidth="1"/>
    <col min="7189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21" width="11.125" style="2" bestFit="1" customWidth="1"/>
    <col min="7422" max="7422" width="9" style="2"/>
    <col min="7423" max="7434" width="11.125" style="2" bestFit="1" customWidth="1"/>
    <col min="7435" max="7435" width="9" style="2"/>
    <col min="7436" max="7436" width="8" style="2" bestFit="1" customWidth="1"/>
    <col min="7437" max="7443" width="11.125" style="2" bestFit="1" customWidth="1"/>
    <col min="7444" max="7444" width="9.625" style="2" bestFit="1" customWidth="1"/>
    <col min="7445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77" width="11.125" style="2" bestFit="1" customWidth="1"/>
    <col min="7678" max="7678" width="9" style="2"/>
    <col min="7679" max="7690" width="11.125" style="2" bestFit="1" customWidth="1"/>
    <col min="7691" max="7691" width="9" style="2"/>
    <col min="7692" max="7692" width="8" style="2" bestFit="1" customWidth="1"/>
    <col min="7693" max="7699" width="11.125" style="2" bestFit="1" customWidth="1"/>
    <col min="7700" max="7700" width="9.625" style="2" bestFit="1" customWidth="1"/>
    <col min="7701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33" width="11.125" style="2" bestFit="1" customWidth="1"/>
    <col min="7934" max="7934" width="9" style="2"/>
    <col min="7935" max="7946" width="11.125" style="2" bestFit="1" customWidth="1"/>
    <col min="7947" max="7947" width="9" style="2"/>
    <col min="7948" max="7948" width="8" style="2" bestFit="1" customWidth="1"/>
    <col min="7949" max="7955" width="11.125" style="2" bestFit="1" customWidth="1"/>
    <col min="7956" max="7956" width="9.625" style="2" bestFit="1" customWidth="1"/>
    <col min="7957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89" width="11.125" style="2" bestFit="1" customWidth="1"/>
    <col min="8190" max="8190" width="9" style="2"/>
    <col min="8191" max="8202" width="11.125" style="2" bestFit="1" customWidth="1"/>
    <col min="8203" max="8203" width="9" style="2"/>
    <col min="8204" max="8204" width="8" style="2" bestFit="1" customWidth="1"/>
    <col min="8205" max="8211" width="11.125" style="2" bestFit="1" customWidth="1"/>
    <col min="8212" max="8212" width="9.625" style="2" bestFit="1" customWidth="1"/>
    <col min="8213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45" width="11.125" style="2" bestFit="1" customWidth="1"/>
    <col min="8446" max="8446" width="9" style="2"/>
    <col min="8447" max="8458" width="11.125" style="2" bestFit="1" customWidth="1"/>
    <col min="8459" max="8459" width="9" style="2"/>
    <col min="8460" max="8460" width="8" style="2" bestFit="1" customWidth="1"/>
    <col min="8461" max="8467" width="11.125" style="2" bestFit="1" customWidth="1"/>
    <col min="8468" max="8468" width="9.625" style="2" bestFit="1" customWidth="1"/>
    <col min="8469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01" width="11.125" style="2" bestFit="1" customWidth="1"/>
    <col min="8702" max="8702" width="9" style="2"/>
    <col min="8703" max="8714" width="11.125" style="2" bestFit="1" customWidth="1"/>
    <col min="8715" max="8715" width="9" style="2"/>
    <col min="8716" max="8716" width="8" style="2" bestFit="1" customWidth="1"/>
    <col min="8717" max="8723" width="11.125" style="2" bestFit="1" customWidth="1"/>
    <col min="8724" max="8724" width="9.625" style="2" bestFit="1" customWidth="1"/>
    <col min="8725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57" width="11.125" style="2" bestFit="1" customWidth="1"/>
    <col min="8958" max="8958" width="9" style="2"/>
    <col min="8959" max="8970" width="11.125" style="2" bestFit="1" customWidth="1"/>
    <col min="8971" max="8971" width="9" style="2"/>
    <col min="8972" max="8972" width="8" style="2" bestFit="1" customWidth="1"/>
    <col min="8973" max="8979" width="11.125" style="2" bestFit="1" customWidth="1"/>
    <col min="8980" max="8980" width="9.625" style="2" bestFit="1" customWidth="1"/>
    <col min="8981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13" width="11.125" style="2" bestFit="1" customWidth="1"/>
    <col min="9214" max="9214" width="9" style="2"/>
    <col min="9215" max="9226" width="11.125" style="2" bestFit="1" customWidth="1"/>
    <col min="9227" max="9227" width="9" style="2"/>
    <col min="9228" max="9228" width="8" style="2" bestFit="1" customWidth="1"/>
    <col min="9229" max="9235" width="11.125" style="2" bestFit="1" customWidth="1"/>
    <col min="9236" max="9236" width="9.625" style="2" bestFit="1" customWidth="1"/>
    <col min="9237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69" width="11.125" style="2" bestFit="1" customWidth="1"/>
    <col min="9470" max="9470" width="9" style="2"/>
    <col min="9471" max="9482" width="11.125" style="2" bestFit="1" customWidth="1"/>
    <col min="9483" max="9483" width="9" style="2"/>
    <col min="9484" max="9484" width="8" style="2" bestFit="1" customWidth="1"/>
    <col min="9485" max="9491" width="11.125" style="2" bestFit="1" customWidth="1"/>
    <col min="9492" max="9492" width="9.625" style="2" bestFit="1" customWidth="1"/>
    <col min="9493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25" width="11.125" style="2" bestFit="1" customWidth="1"/>
    <col min="9726" max="9726" width="9" style="2"/>
    <col min="9727" max="9738" width="11.125" style="2" bestFit="1" customWidth="1"/>
    <col min="9739" max="9739" width="9" style="2"/>
    <col min="9740" max="9740" width="8" style="2" bestFit="1" customWidth="1"/>
    <col min="9741" max="9747" width="11.125" style="2" bestFit="1" customWidth="1"/>
    <col min="9748" max="9748" width="9.625" style="2" bestFit="1" customWidth="1"/>
    <col min="9749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81" width="11.125" style="2" bestFit="1" customWidth="1"/>
    <col min="9982" max="9982" width="9" style="2"/>
    <col min="9983" max="9994" width="11.125" style="2" bestFit="1" customWidth="1"/>
    <col min="9995" max="9995" width="9" style="2"/>
    <col min="9996" max="9996" width="8" style="2" bestFit="1" customWidth="1"/>
    <col min="9997" max="10003" width="11.125" style="2" bestFit="1" customWidth="1"/>
    <col min="10004" max="10004" width="9.625" style="2" bestFit="1" customWidth="1"/>
    <col min="10005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37" width="11.125" style="2" bestFit="1" customWidth="1"/>
    <col min="10238" max="10238" width="9" style="2"/>
    <col min="10239" max="10250" width="11.125" style="2" bestFit="1" customWidth="1"/>
    <col min="10251" max="10251" width="9" style="2"/>
    <col min="10252" max="10252" width="8" style="2" bestFit="1" customWidth="1"/>
    <col min="10253" max="10259" width="11.125" style="2" bestFit="1" customWidth="1"/>
    <col min="10260" max="10260" width="9.625" style="2" bestFit="1" customWidth="1"/>
    <col min="10261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493" width="11.125" style="2" bestFit="1" customWidth="1"/>
    <col min="10494" max="10494" width="9" style="2"/>
    <col min="10495" max="10506" width="11.125" style="2" bestFit="1" customWidth="1"/>
    <col min="10507" max="10507" width="9" style="2"/>
    <col min="10508" max="10508" width="8" style="2" bestFit="1" customWidth="1"/>
    <col min="10509" max="10515" width="11.125" style="2" bestFit="1" customWidth="1"/>
    <col min="10516" max="10516" width="9.625" style="2" bestFit="1" customWidth="1"/>
    <col min="10517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49" width="11.125" style="2" bestFit="1" customWidth="1"/>
    <col min="10750" max="10750" width="9" style="2"/>
    <col min="10751" max="10762" width="11.125" style="2" bestFit="1" customWidth="1"/>
    <col min="10763" max="10763" width="9" style="2"/>
    <col min="10764" max="10764" width="8" style="2" bestFit="1" customWidth="1"/>
    <col min="10765" max="10771" width="11.125" style="2" bestFit="1" customWidth="1"/>
    <col min="10772" max="10772" width="9.625" style="2" bestFit="1" customWidth="1"/>
    <col min="10773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05" width="11.125" style="2" bestFit="1" customWidth="1"/>
    <col min="11006" max="11006" width="9" style="2"/>
    <col min="11007" max="11018" width="11.125" style="2" bestFit="1" customWidth="1"/>
    <col min="11019" max="11019" width="9" style="2"/>
    <col min="11020" max="11020" width="8" style="2" bestFit="1" customWidth="1"/>
    <col min="11021" max="11027" width="11.125" style="2" bestFit="1" customWidth="1"/>
    <col min="11028" max="11028" width="9.625" style="2" bestFit="1" customWidth="1"/>
    <col min="11029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61" width="11.125" style="2" bestFit="1" customWidth="1"/>
    <col min="11262" max="11262" width="9" style="2"/>
    <col min="11263" max="11274" width="11.125" style="2" bestFit="1" customWidth="1"/>
    <col min="11275" max="11275" width="9" style="2"/>
    <col min="11276" max="11276" width="8" style="2" bestFit="1" customWidth="1"/>
    <col min="11277" max="11283" width="11.125" style="2" bestFit="1" customWidth="1"/>
    <col min="11284" max="11284" width="9.625" style="2" bestFit="1" customWidth="1"/>
    <col min="11285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17" width="11.125" style="2" bestFit="1" customWidth="1"/>
    <col min="11518" max="11518" width="9" style="2"/>
    <col min="11519" max="11530" width="11.125" style="2" bestFit="1" customWidth="1"/>
    <col min="11531" max="11531" width="9" style="2"/>
    <col min="11532" max="11532" width="8" style="2" bestFit="1" customWidth="1"/>
    <col min="11533" max="11539" width="11.125" style="2" bestFit="1" customWidth="1"/>
    <col min="11540" max="11540" width="9.625" style="2" bestFit="1" customWidth="1"/>
    <col min="11541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73" width="11.125" style="2" bestFit="1" customWidth="1"/>
    <col min="11774" max="11774" width="9" style="2"/>
    <col min="11775" max="11786" width="11.125" style="2" bestFit="1" customWidth="1"/>
    <col min="11787" max="11787" width="9" style="2"/>
    <col min="11788" max="11788" width="8" style="2" bestFit="1" customWidth="1"/>
    <col min="11789" max="11795" width="11.125" style="2" bestFit="1" customWidth="1"/>
    <col min="11796" max="11796" width="9.625" style="2" bestFit="1" customWidth="1"/>
    <col min="11797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29" width="11.125" style="2" bestFit="1" customWidth="1"/>
    <col min="12030" max="12030" width="9" style="2"/>
    <col min="12031" max="12042" width="11.125" style="2" bestFit="1" customWidth="1"/>
    <col min="12043" max="12043" width="9" style="2"/>
    <col min="12044" max="12044" width="8" style="2" bestFit="1" customWidth="1"/>
    <col min="12045" max="12051" width="11.125" style="2" bestFit="1" customWidth="1"/>
    <col min="12052" max="12052" width="9.625" style="2" bestFit="1" customWidth="1"/>
    <col min="12053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85" width="11.125" style="2" bestFit="1" customWidth="1"/>
    <col min="12286" max="12286" width="9" style="2"/>
    <col min="12287" max="12298" width="11.125" style="2" bestFit="1" customWidth="1"/>
    <col min="12299" max="12299" width="9" style="2"/>
    <col min="12300" max="12300" width="8" style="2" bestFit="1" customWidth="1"/>
    <col min="12301" max="12307" width="11.125" style="2" bestFit="1" customWidth="1"/>
    <col min="12308" max="12308" width="9.625" style="2" bestFit="1" customWidth="1"/>
    <col min="12309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41" width="11.125" style="2" bestFit="1" customWidth="1"/>
    <col min="12542" max="12542" width="9" style="2"/>
    <col min="12543" max="12554" width="11.125" style="2" bestFit="1" customWidth="1"/>
    <col min="12555" max="12555" width="9" style="2"/>
    <col min="12556" max="12556" width="8" style="2" bestFit="1" customWidth="1"/>
    <col min="12557" max="12563" width="11.125" style="2" bestFit="1" customWidth="1"/>
    <col min="12564" max="12564" width="9.625" style="2" bestFit="1" customWidth="1"/>
    <col min="12565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797" width="11.125" style="2" bestFit="1" customWidth="1"/>
    <col min="12798" max="12798" width="9" style="2"/>
    <col min="12799" max="12810" width="11.125" style="2" bestFit="1" customWidth="1"/>
    <col min="12811" max="12811" width="9" style="2"/>
    <col min="12812" max="12812" width="8" style="2" bestFit="1" customWidth="1"/>
    <col min="12813" max="12819" width="11.125" style="2" bestFit="1" customWidth="1"/>
    <col min="12820" max="12820" width="9.625" style="2" bestFit="1" customWidth="1"/>
    <col min="12821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53" width="11.125" style="2" bestFit="1" customWidth="1"/>
    <col min="13054" max="13054" width="9" style="2"/>
    <col min="13055" max="13066" width="11.125" style="2" bestFit="1" customWidth="1"/>
    <col min="13067" max="13067" width="9" style="2"/>
    <col min="13068" max="13068" width="8" style="2" bestFit="1" customWidth="1"/>
    <col min="13069" max="13075" width="11.125" style="2" bestFit="1" customWidth="1"/>
    <col min="13076" max="13076" width="9.625" style="2" bestFit="1" customWidth="1"/>
    <col min="13077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09" width="11.125" style="2" bestFit="1" customWidth="1"/>
    <col min="13310" max="13310" width="9" style="2"/>
    <col min="13311" max="13322" width="11.125" style="2" bestFit="1" customWidth="1"/>
    <col min="13323" max="13323" width="9" style="2"/>
    <col min="13324" max="13324" width="8" style="2" bestFit="1" customWidth="1"/>
    <col min="13325" max="13331" width="11.125" style="2" bestFit="1" customWidth="1"/>
    <col min="13332" max="13332" width="9.625" style="2" bestFit="1" customWidth="1"/>
    <col min="13333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65" width="11.125" style="2" bestFit="1" customWidth="1"/>
    <col min="13566" max="13566" width="9" style="2"/>
    <col min="13567" max="13578" width="11.125" style="2" bestFit="1" customWidth="1"/>
    <col min="13579" max="13579" width="9" style="2"/>
    <col min="13580" max="13580" width="8" style="2" bestFit="1" customWidth="1"/>
    <col min="13581" max="13587" width="11.125" style="2" bestFit="1" customWidth="1"/>
    <col min="13588" max="13588" width="9.625" style="2" bestFit="1" customWidth="1"/>
    <col min="13589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21" width="11.125" style="2" bestFit="1" customWidth="1"/>
    <col min="13822" max="13822" width="9" style="2"/>
    <col min="13823" max="13834" width="11.125" style="2" bestFit="1" customWidth="1"/>
    <col min="13835" max="13835" width="9" style="2"/>
    <col min="13836" max="13836" width="8" style="2" bestFit="1" customWidth="1"/>
    <col min="13837" max="13843" width="11.125" style="2" bestFit="1" customWidth="1"/>
    <col min="13844" max="13844" width="9.625" style="2" bestFit="1" customWidth="1"/>
    <col min="13845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77" width="11.125" style="2" bestFit="1" customWidth="1"/>
    <col min="14078" max="14078" width="9" style="2"/>
    <col min="14079" max="14090" width="11.125" style="2" bestFit="1" customWidth="1"/>
    <col min="14091" max="14091" width="9" style="2"/>
    <col min="14092" max="14092" width="8" style="2" bestFit="1" customWidth="1"/>
    <col min="14093" max="14099" width="11.125" style="2" bestFit="1" customWidth="1"/>
    <col min="14100" max="14100" width="9.625" style="2" bestFit="1" customWidth="1"/>
    <col min="14101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33" width="11.125" style="2" bestFit="1" customWidth="1"/>
    <col min="14334" max="14334" width="9" style="2"/>
    <col min="14335" max="14346" width="11.125" style="2" bestFit="1" customWidth="1"/>
    <col min="14347" max="14347" width="9" style="2"/>
    <col min="14348" max="14348" width="8" style="2" bestFit="1" customWidth="1"/>
    <col min="14349" max="14355" width="11.125" style="2" bestFit="1" customWidth="1"/>
    <col min="14356" max="14356" width="9.625" style="2" bestFit="1" customWidth="1"/>
    <col min="14357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89" width="11.125" style="2" bestFit="1" customWidth="1"/>
    <col min="14590" max="14590" width="9" style="2"/>
    <col min="14591" max="14602" width="11.125" style="2" bestFit="1" customWidth="1"/>
    <col min="14603" max="14603" width="9" style="2"/>
    <col min="14604" max="14604" width="8" style="2" bestFit="1" customWidth="1"/>
    <col min="14605" max="14611" width="11.125" style="2" bestFit="1" customWidth="1"/>
    <col min="14612" max="14612" width="9.625" style="2" bestFit="1" customWidth="1"/>
    <col min="14613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45" width="11.125" style="2" bestFit="1" customWidth="1"/>
    <col min="14846" max="14846" width="9" style="2"/>
    <col min="14847" max="14858" width="11.125" style="2" bestFit="1" customWidth="1"/>
    <col min="14859" max="14859" width="9" style="2"/>
    <col min="14860" max="14860" width="8" style="2" bestFit="1" customWidth="1"/>
    <col min="14861" max="14867" width="11.125" style="2" bestFit="1" customWidth="1"/>
    <col min="14868" max="14868" width="9.625" style="2" bestFit="1" customWidth="1"/>
    <col min="14869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01" width="11.125" style="2" bestFit="1" customWidth="1"/>
    <col min="15102" max="15102" width="9" style="2"/>
    <col min="15103" max="15114" width="11.125" style="2" bestFit="1" customWidth="1"/>
    <col min="15115" max="15115" width="9" style="2"/>
    <col min="15116" max="15116" width="8" style="2" bestFit="1" customWidth="1"/>
    <col min="15117" max="15123" width="11.125" style="2" bestFit="1" customWidth="1"/>
    <col min="15124" max="15124" width="9.625" style="2" bestFit="1" customWidth="1"/>
    <col min="15125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57" width="11.125" style="2" bestFit="1" customWidth="1"/>
    <col min="15358" max="15358" width="9" style="2"/>
    <col min="15359" max="15370" width="11.125" style="2" bestFit="1" customWidth="1"/>
    <col min="15371" max="15371" width="9" style="2"/>
    <col min="15372" max="15372" width="8" style="2" bestFit="1" customWidth="1"/>
    <col min="15373" max="15379" width="11.125" style="2" bestFit="1" customWidth="1"/>
    <col min="15380" max="15380" width="9.625" style="2" bestFit="1" customWidth="1"/>
    <col min="15381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13" width="11.125" style="2" bestFit="1" customWidth="1"/>
    <col min="15614" max="15614" width="9" style="2"/>
    <col min="15615" max="15626" width="11.125" style="2" bestFit="1" customWidth="1"/>
    <col min="15627" max="15627" width="9" style="2"/>
    <col min="15628" max="15628" width="8" style="2" bestFit="1" customWidth="1"/>
    <col min="15629" max="15635" width="11.125" style="2" bestFit="1" customWidth="1"/>
    <col min="15636" max="15636" width="9.625" style="2" bestFit="1" customWidth="1"/>
    <col min="15637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69" width="11.125" style="2" bestFit="1" customWidth="1"/>
    <col min="15870" max="15870" width="9" style="2"/>
    <col min="15871" max="15882" width="11.125" style="2" bestFit="1" customWidth="1"/>
    <col min="15883" max="15883" width="9" style="2"/>
    <col min="15884" max="15884" width="8" style="2" bestFit="1" customWidth="1"/>
    <col min="15885" max="15891" width="11.125" style="2" bestFit="1" customWidth="1"/>
    <col min="15892" max="15892" width="9.625" style="2" bestFit="1" customWidth="1"/>
    <col min="15893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25" width="11.125" style="2" bestFit="1" customWidth="1"/>
    <col min="16126" max="16126" width="9" style="2"/>
    <col min="16127" max="16138" width="11.125" style="2" bestFit="1" customWidth="1"/>
    <col min="16139" max="16139" width="9" style="2"/>
    <col min="16140" max="16140" width="8" style="2" bestFit="1" customWidth="1"/>
    <col min="16141" max="16147" width="11.125" style="2" bestFit="1" customWidth="1"/>
    <col min="16148" max="16148" width="9.625" style="2" bestFit="1" customWidth="1"/>
    <col min="16149" max="16384" width="9" style="2"/>
  </cols>
  <sheetData>
    <row r="1" spans="1:21">
      <c r="A1" s="1" t="s">
        <v>0</v>
      </c>
    </row>
    <row r="2" spans="1:21" ht="19.5" thickBot="1">
      <c r="A2" s="1" t="s">
        <v>138</v>
      </c>
    </row>
    <row r="3" spans="1:21">
      <c r="B3" s="4"/>
      <c r="C3" s="12" t="s">
        <v>4</v>
      </c>
      <c r="D3" s="13" t="s">
        <v>5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  <c r="K3" s="13" t="s">
        <v>14</v>
      </c>
      <c r="L3" s="13" t="s">
        <v>15</v>
      </c>
      <c r="M3" s="13" t="s">
        <v>16</v>
      </c>
      <c r="N3" s="13" t="s">
        <v>17</v>
      </c>
      <c r="O3" s="13" t="s">
        <v>18</v>
      </c>
      <c r="P3" s="13" t="s">
        <v>20</v>
      </c>
      <c r="Q3" s="13" t="s">
        <v>21</v>
      </c>
      <c r="R3" s="13" t="s">
        <v>22</v>
      </c>
      <c r="S3" s="13" t="s">
        <v>23</v>
      </c>
      <c r="T3" s="56" t="s">
        <v>24</v>
      </c>
      <c r="U3" s="67" t="s">
        <v>139</v>
      </c>
    </row>
    <row r="4" spans="1:21" ht="19.5" thickBot="1">
      <c r="A4" s="82"/>
      <c r="B4" s="32" t="s">
        <v>32</v>
      </c>
      <c r="C4" s="33" t="s">
        <v>33</v>
      </c>
      <c r="D4" s="34" t="s">
        <v>34</v>
      </c>
      <c r="E4" s="34" t="s">
        <v>37</v>
      </c>
      <c r="F4" s="34" t="s">
        <v>38</v>
      </c>
      <c r="G4" s="34" t="s">
        <v>39</v>
      </c>
      <c r="H4" s="34" t="s">
        <v>40</v>
      </c>
      <c r="I4" s="34" t="s">
        <v>41</v>
      </c>
      <c r="J4" s="34" t="s">
        <v>42</v>
      </c>
      <c r="K4" s="34" t="s">
        <v>43</v>
      </c>
      <c r="L4" s="34" t="s">
        <v>44</v>
      </c>
      <c r="M4" s="34" t="s">
        <v>45</v>
      </c>
      <c r="N4" s="34" t="s">
        <v>46</v>
      </c>
      <c r="O4" s="34" t="s">
        <v>47</v>
      </c>
      <c r="P4" s="34" t="s">
        <v>49</v>
      </c>
      <c r="Q4" s="34" t="s">
        <v>50</v>
      </c>
      <c r="R4" s="34" t="s">
        <v>51</v>
      </c>
      <c r="S4" s="34" t="s">
        <v>52</v>
      </c>
      <c r="T4" s="57" t="s">
        <v>53</v>
      </c>
      <c r="U4" s="70" t="s">
        <v>140</v>
      </c>
    </row>
    <row r="5" spans="1:21">
      <c r="A5" s="1" t="s">
        <v>3</v>
      </c>
      <c r="B5" s="27" t="s">
        <v>62</v>
      </c>
      <c r="C5" s="28">
        <v>20</v>
      </c>
      <c r="D5" s="29">
        <v>21</v>
      </c>
      <c r="E5" s="29">
        <v>20</v>
      </c>
      <c r="F5" s="29">
        <v>20</v>
      </c>
      <c r="G5" s="29">
        <v>19</v>
      </c>
      <c r="H5" s="29">
        <v>15</v>
      </c>
      <c r="I5" s="29">
        <v>20</v>
      </c>
      <c r="J5" s="29">
        <v>20</v>
      </c>
      <c r="K5" s="29">
        <v>20</v>
      </c>
      <c r="L5" s="29">
        <v>21</v>
      </c>
      <c r="M5" s="29">
        <v>19</v>
      </c>
      <c r="N5" s="29">
        <v>17</v>
      </c>
      <c r="O5" s="29">
        <v>21</v>
      </c>
      <c r="P5" s="29">
        <v>20</v>
      </c>
      <c r="Q5" s="29">
        <v>16</v>
      </c>
      <c r="R5" s="29">
        <v>20</v>
      </c>
      <c r="S5" s="29">
        <v>19</v>
      </c>
      <c r="T5" s="58">
        <v>21</v>
      </c>
      <c r="U5" s="73">
        <f>SUM(C5:T5)</f>
        <v>349</v>
      </c>
    </row>
    <row r="6" spans="1:21">
      <c r="A6" s="1" t="s">
        <v>3</v>
      </c>
      <c r="B6" s="6" t="s">
        <v>63</v>
      </c>
      <c r="C6" s="15">
        <v>3</v>
      </c>
      <c r="D6" s="16">
        <v>3</v>
      </c>
      <c r="E6" s="16">
        <v>2</v>
      </c>
      <c r="F6" s="16">
        <v>4</v>
      </c>
      <c r="G6" s="16">
        <v>2</v>
      </c>
      <c r="H6" s="16">
        <v>1</v>
      </c>
      <c r="I6" s="16">
        <v>2</v>
      </c>
      <c r="J6" s="16">
        <v>4</v>
      </c>
      <c r="K6" s="16">
        <v>2</v>
      </c>
      <c r="L6" s="16">
        <v>2</v>
      </c>
      <c r="M6" s="16">
        <v>4</v>
      </c>
      <c r="N6" s="16">
        <v>5</v>
      </c>
      <c r="O6" s="16">
        <v>2</v>
      </c>
      <c r="P6" s="16">
        <v>4</v>
      </c>
      <c r="Q6" s="16">
        <v>4</v>
      </c>
      <c r="R6" s="16">
        <v>2</v>
      </c>
      <c r="S6" s="16">
        <v>3</v>
      </c>
      <c r="T6" s="59">
        <v>4</v>
      </c>
      <c r="U6" s="73">
        <f t="shared" ref="U6:U12" si="0">SUM(C6:T6)</f>
        <v>53</v>
      </c>
    </row>
    <row r="7" spans="1:21">
      <c r="A7" s="1" t="s">
        <v>3</v>
      </c>
      <c r="B7" s="6" t="s">
        <v>64</v>
      </c>
      <c r="C7" s="15">
        <v>2</v>
      </c>
      <c r="D7" s="16">
        <v>3</v>
      </c>
      <c r="E7" s="16">
        <v>2</v>
      </c>
      <c r="F7" s="16">
        <v>2</v>
      </c>
      <c r="G7" s="16">
        <v>1</v>
      </c>
      <c r="H7" s="16">
        <v>3</v>
      </c>
      <c r="I7" s="16">
        <v>2</v>
      </c>
      <c r="J7" s="16">
        <v>0</v>
      </c>
      <c r="K7" s="16">
        <v>3</v>
      </c>
      <c r="L7" s="16">
        <v>1</v>
      </c>
      <c r="M7" s="16">
        <v>2</v>
      </c>
      <c r="N7" s="16">
        <v>4</v>
      </c>
      <c r="O7" s="16">
        <v>3</v>
      </c>
      <c r="P7" s="16">
        <v>2</v>
      </c>
      <c r="Q7" s="16">
        <v>3</v>
      </c>
      <c r="R7" s="16">
        <v>1</v>
      </c>
      <c r="S7" s="16">
        <v>1</v>
      </c>
      <c r="T7" s="59">
        <v>0</v>
      </c>
      <c r="U7" s="73">
        <f t="shared" si="0"/>
        <v>35</v>
      </c>
    </row>
    <row r="8" spans="1:21">
      <c r="A8" s="1" t="s">
        <v>3</v>
      </c>
      <c r="B8" s="6" t="s">
        <v>65</v>
      </c>
      <c r="C8" s="15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2</v>
      </c>
      <c r="N8" s="16">
        <v>0</v>
      </c>
      <c r="O8" s="16">
        <v>0</v>
      </c>
      <c r="P8" s="16">
        <v>0</v>
      </c>
      <c r="Q8" s="16">
        <v>4</v>
      </c>
      <c r="R8" s="16">
        <v>0</v>
      </c>
      <c r="S8" s="16">
        <v>1</v>
      </c>
      <c r="T8" s="59">
        <v>0</v>
      </c>
      <c r="U8" s="73">
        <f t="shared" si="0"/>
        <v>7</v>
      </c>
    </row>
    <row r="9" spans="1:21">
      <c r="A9" s="1" t="s">
        <v>3</v>
      </c>
      <c r="B9" s="6" t="s">
        <v>66</v>
      </c>
      <c r="C9" s="15">
        <v>1</v>
      </c>
      <c r="D9" s="16">
        <v>0</v>
      </c>
      <c r="E9" s="16">
        <v>1</v>
      </c>
      <c r="F9" s="16">
        <v>1</v>
      </c>
      <c r="G9" s="16">
        <v>0</v>
      </c>
      <c r="H9" s="16">
        <v>1</v>
      </c>
      <c r="I9" s="16">
        <v>1</v>
      </c>
      <c r="J9" s="16">
        <v>1</v>
      </c>
      <c r="K9" s="16">
        <v>1</v>
      </c>
      <c r="L9" s="16">
        <v>0</v>
      </c>
      <c r="M9" s="16">
        <v>0</v>
      </c>
      <c r="N9" s="16">
        <v>4</v>
      </c>
      <c r="O9" s="16">
        <v>0</v>
      </c>
      <c r="P9" s="16">
        <v>1</v>
      </c>
      <c r="Q9" s="16">
        <v>0</v>
      </c>
      <c r="R9" s="16">
        <v>1</v>
      </c>
      <c r="S9" s="16">
        <v>0</v>
      </c>
      <c r="T9" s="59">
        <v>0</v>
      </c>
      <c r="U9" s="73">
        <f t="shared" si="0"/>
        <v>13</v>
      </c>
    </row>
    <row r="10" spans="1:21">
      <c r="A10" s="1" t="s">
        <v>3</v>
      </c>
      <c r="B10" s="6" t="s">
        <v>67</v>
      </c>
      <c r="C10" s="15">
        <v>0</v>
      </c>
      <c r="D10" s="16">
        <v>0</v>
      </c>
      <c r="E10" s="16">
        <v>0</v>
      </c>
      <c r="F10" s="16">
        <v>0</v>
      </c>
      <c r="G10" s="16">
        <v>2</v>
      </c>
      <c r="H10" s="16">
        <v>5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1</v>
      </c>
      <c r="T10" s="59">
        <v>0</v>
      </c>
      <c r="U10" s="73">
        <f t="shared" si="0"/>
        <v>8</v>
      </c>
    </row>
    <row r="11" spans="1:21">
      <c r="A11" s="1" t="s">
        <v>3</v>
      </c>
      <c r="B11" s="6" t="s">
        <v>68</v>
      </c>
      <c r="C11" s="15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59">
        <v>0</v>
      </c>
      <c r="U11" s="73">
        <f t="shared" si="0"/>
        <v>1</v>
      </c>
    </row>
    <row r="12" spans="1:21">
      <c r="A12" s="1" t="s">
        <v>3</v>
      </c>
      <c r="B12" s="6" t="s">
        <v>69</v>
      </c>
      <c r="C12" s="15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59">
        <v>0</v>
      </c>
      <c r="U12" s="73">
        <f t="shared" si="0"/>
        <v>1</v>
      </c>
    </row>
    <row r="13" spans="1:21">
      <c r="A13" s="1" t="s">
        <v>3</v>
      </c>
      <c r="B13" s="6" t="s">
        <v>70</v>
      </c>
      <c r="C13" s="18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60">
        <v>0</v>
      </c>
      <c r="U13" s="75"/>
    </row>
    <row r="14" spans="1:21">
      <c r="A14" s="1" t="s">
        <v>3</v>
      </c>
      <c r="B14" s="6" t="s">
        <v>72</v>
      </c>
      <c r="C14" s="18">
        <v>1.25</v>
      </c>
      <c r="D14" s="19">
        <v>2.2083333333333335</v>
      </c>
      <c r="E14" s="19">
        <v>0.33333333333333331</v>
      </c>
      <c r="F14" s="19">
        <v>3.0833333333333335</v>
      </c>
      <c r="G14" s="19">
        <v>2.1666666666666665</v>
      </c>
      <c r="H14" s="19">
        <v>2.375</v>
      </c>
      <c r="I14" s="19">
        <v>2.7083333333333335</v>
      </c>
      <c r="J14" s="19">
        <v>2.2916666666666665</v>
      </c>
      <c r="K14" s="19">
        <v>2.8333333333333335</v>
      </c>
      <c r="L14" s="19">
        <v>2.125</v>
      </c>
      <c r="M14" s="19">
        <v>1.8333333333333335</v>
      </c>
      <c r="N14" s="19">
        <v>1.75</v>
      </c>
      <c r="O14" s="19">
        <v>1.7083333333333335</v>
      </c>
      <c r="P14" s="19">
        <v>3.1666666666666665</v>
      </c>
      <c r="Q14" s="19">
        <v>0.875</v>
      </c>
      <c r="R14" s="19">
        <v>2.5</v>
      </c>
      <c r="S14" s="19">
        <v>2</v>
      </c>
      <c r="T14" s="60">
        <v>2.3333333333333335</v>
      </c>
      <c r="U14" s="75">
        <f>SUM(C14:T14)</f>
        <v>37.541666666666664</v>
      </c>
    </row>
    <row r="15" spans="1:21">
      <c r="A15" s="1" t="s">
        <v>3</v>
      </c>
      <c r="B15" s="6" t="s">
        <v>73</v>
      </c>
      <c r="C15" s="18">
        <v>1.1666666666666667</v>
      </c>
      <c r="D15" s="19">
        <v>1.3333333333333333</v>
      </c>
      <c r="E15" s="19">
        <v>0.45833333333333331</v>
      </c>
      <c r="F15" s="19">
        <v>1.5416666666666665</v>
      </c>
      <c r="G15" s="19">
        <v>0.66666666666666663</v>
      </c>
      <c r="H15" s="19">
        <v>0.54166666666666663</v>
      </c>
      <c r="I15" s="19">
        <v>0.95833333333333337</v>
      </c>
      <c r="J15" s="19">
        <v>1.7916666666666665</v>
      </c>
      <c r="K15" s="19">
        <v>0.75</v>
      </c>
      <c r="L15" s="19">
        <v>0.70833333333333337</v>
      </c>
      <c r="M15" s="19">
        <v>0.95833333333333337</v>
      </c>
      <c r="N15" s="19">
        <v>2.375</v>
      </c>
      <c r="O15" s="19">
        <v>0.75</v>
      </c>
      <c r="P15" s="19">
        <v>1.625</v>
      </c>
      <c r="Q15" s="19">
        <v>0.70833333333333337</v>
      </c>
      <c r="R15" s="19">
        <v>0.875</v>
      </c>
      <c r="S15" s="19">
        <v>0.66666666666666663</v>
      </c>
      <c r="T15" s="60">
        <v>1.8333333333333335</v>
      </c>
      <c r="U15" s="75">
        <f t="shared" ref="U15:U18" si="1">SUM(C15:T15)</f>
        <v>19.708333333333336</v>
      </c>
    </row>
    <row r="16" spans="1:21">
      <c r="A16" s="1" t="s">
        <v>3</v>
      </c>
      <c r="B16" s="6" t="s">
        <v>74</v>
      </c>
      <c r="C16" s="18">
        <v>0.625</v>
      </c>
      <c r="D16" s="19">
        <v>1</v>
      </c>
      <c r="E16" s="19">
        <v>0.625</v>
      </c>
      <c r="F16" s="19">
        <v>1.0833333333333333</v>
      </c>
      <c r="G16" s="19">
        <v>0.41666666666666669</v>
      </c>
      <c r="H16" s="19">
        <v>1.0833333333333333</v>
      </c>
      <c r="I16" s="19">
        <v>0.70833333333333337</v>
      </c>
      <c r="J16" s="19">
        <v>0</v>
      </c>
      <c r="K16" s="19">
        <v>0.91666666666666663</v>
      </c>
      <c r="L16" s="19">
        <v>0.375</v>
      </c>
      <c r="M16" s="19">
        <v>0.875</v>
      </c>
      <c r="N16" s="19">
        <v>1.7083333333333335</v>
      </c>
      <c r="O16" s="19">
        <v>0.66666666666666663</v>
      </c>
      <c r="P16" s="19">
        <v>1</v>
      </c>
      <c r="Q16" s="19">
        <v>0.41666666666666669</v>
      </c>
      <c r="R16" s="19">
        <v>0.5</v>
      </c>
      <c r="S16" s="19">
        <v>0.41666666666666669</v>
      </c>
      <c r="T16" s="60">
        <v>0</v>
      </c>
      <c r="U16" s="75">
        <f t="shared" si="1"/>
        <v>12.416666666666664</v>
      </c>
    </row>
    <row r="17" spans="1:21">
      <c r="A17" s="1" t="s">
        <v>3</v>
      </c>
      <c r="B17" s="6" t="s">
        <v>75</v>
      </c>
      <c r="C17" s="18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0.66666666666666663</v>
      </c>
      <c r="N17" s="19">
        <v>0</v>
      </c>
      <c r="O17" s="19">
        <v>0</v>
      </c>
      <c r="P17" s="19">
        <v>0</v>
      </c>
      <c r="Q17" s="19">
        <v>0.66666666666666663</v>
      </c>
      <c r="R17" s="19">
        <v>0</v>
      </c>
      <c r="S17" s="19">
        <v>0.5</v>
      </c>
      <c r="T17" s="60">
        <v>0</v>
      </c>
      <c r="U17" s="75">
        <f t="shared" si="1"/>
        <v>1.8333333333333333</v>
      </c>
    </row>
    <row r="18" spans="1:21">
      <c r="A18" s="1" t="s">
        <v>3</v>
      </c>
      <c r="B18" s="6" t="s">
        <v>76</v>
      </c>
      <c r="C18" s="18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0.875</v>
      </c>
      <c r="R18" s="19">
        <v>0</v>
      </c>
      <c r="S18" s="19">
        <v>0</v>
      </c>
      <c r="T18" s="60">
        <v>0</v>
      </c>
      <c r="U18" s="75">
        <f t="shared" si="1"/>
        <v>0.875</v>
      </c>
    </row>
    <row r="19" spans="1:21">
      <c r="A19" s="1" t="s">
        <v>3</v>
      </c>
      <c r="B19" s="6" t="s">
        <v>79</v>
      </c>
      <c r="C19" s="18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60">
        <v>0</v>
      </c>
      <c r="U19" s="75"/>
    </row>
    <row r="20" spans="1:21">
      <c r="A20" s="1" t="s">
        <v>3</v>
      </c>
      <c r="B20" s="6" t="s">
        <v>81</v>
      </c>
      <c r="C20" s="18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60">
        <v>0</v>
      </c>
      <c r="U20" s="75"/>
    </row>
    <row r="21" spans="1:21">
      <c r="A21" s="1" t="s">
        <v>3</v>
      </c>
      <c r="B21" s="6" t="s">
        <v>82</v>
      </c>
      <c r="C21" s="18">
        <v>0.29166666666666669</v>
      </c>
      <c r="D21" s="19">
        <v>0.875</v>
      </c>
      <c r="E21" s="19">
        <v>0</v>
      </c>
      <c r="F21" s="19">
        <v>0.95833333333333337</v>
      </c>
      <c r="G21" s="19">
        <v>1.0416666666666667</v>
      </c>
      <c r="H21" s="19">
        <v>1.25</v>
      </c>
      <c r="I21" s="19">
        <v>0.375</v>
      </c>
      <c r="J21" s="19">
        <v>0.16666666666666666</v>
      </c>
      <c r="K21" s="19">
        <v>0.29166666666666669</v>
      </c>
      <c r="L21" s="19">
        <v>0.375</v>
      </c>
      <c r="M21" s="19">
        <v>0.25</v>
      </c>
      <c r="N21" s="19">
        <v>1.125</v>
      </c>
      <c r="O21" s="19">
        <v>0.41666666666666669</v>
      </c>
      <c r="P21" s="19">
        <v>2.125</v>
      </c>
      <c r="Q21" s="19">
        <v>0.70833333333333337</v>
      </c>
      <c r="R21" s="19">
        <v>0.875</v>
      </c>
      <c r="S21" s="19">
        <v>1.125</v>
      </c>
      <c r="T21" s="60">
        <v>0.20833333333333334</v>
      </c>
      <c r="U21" s="75">
        <f t="shared" ref="U21" si="2">SUM(C21:T21)</f>
        <v>12.458333333333336</v>
      </c>
    </row>
    <row r="22" spans="1:21" ht="19.5" thickBot="1">
      <c r="A22" s="1" t="s">
        <v>3</v>
      </c>
      <c r="B22" s="7" t="s">
        <v>83</v>
      </c>
      <c r="C22" s="41">
        <v>13</v>
      </c>
      <c r="D22" s="42">
        <v>27</v>
      </c>
      <c r="E22" s="42">
        <v>26</v>
      </c>
      <c r="F22" s="42">
        <v>27</v>
      </c>
      <c r="G22" s="42">
        <v>24</v>
      </c>
      <c r="H22" s="42">
        <v>26</v>
      </c>
      <c r="I22" s="42">
        <v>25</v>
      </c>
      <c r="J22" s="42">
        <v>12</v>
      </c>
      <c r="K22" s="42">
        <v>26</v>
      </c>
      <c r="L22" s="42">
        <v>32</v>
      </c>
      <c r="M22" s="42">
        <v>0</v>
      </c>
      <c r="N22" s="42">
        <v>5</v>
      </c>
      <c r="O22" s="42">
        <v>24</v>
      </c>
      <c r="P22" s="42">
        <v>13</v>
      </c>
      <c r="Q22" s="42">
        <v>11</v>
      </c>
      <c r="R22" s="42">
        <v>7</v>
      </c>
      <c r="S22" s="42">
        <v>0</v>
      </c>
      <c r="T22" s="61">
        <v>0</v>
      </c>
      <c r="U22" s="76"/>
    </row>
    <row r="23" spans="1:21">
      <c r="A23" s="1" t="s">
        <v>3</v>
      </c>
      <c r="B23" s="27" t="s">
        <v>84</v>
      </c>
      <c r="C23" s="37">
        <v>177000</v>
      </c>
      <c r="D23" s="38">
        <v>187000</v>
      </c>
      <c r="E23" s="38">
        <v>187000</v>
      </c>
      <c r="F23" s="38">
        <v>192000</v>
      </c>
      <c r="G23" s="38">
        <v>187000</v>
      </c>
      <c r="H23" s="38">
        <v>192000</v>
      </c>
      <c r="I23" s="38">
        <v>177000</v>
      </c>
      <c r="J23" s="38">
        <v>177000</v>
      </c>
      <c r="K23" s="38">
        <v>177000</v>
      </c>
      <c r="L23" s="38">
        <v>187000</v>
      </c>
      <c r="M23" s="38">
        <v>177000</v>
      </c>
      <c r="N23" s="38">
        <v>177000</v>
      </c>
      <c r="O23" s="38">
        <v>170000</v>
      </c>
      <c r="P23" s="38">
        <v>170000</v>
      </c>
      <c r="Q23" s="38">
        <v>175000</v>
      </c>
      <c r="R23" s="38">
        <v>170000</v>
      </c>
      <c r="S23" s="38">
        <v>170000</v>
      </c>
      <c r="T23" s="62">
        <v>170000</v>
      </c>
      <c r="U23" s="77">
        <f>SUM(C23:T23)</f>
        <v>3219000</v>
      </c>
    </row>
    <row r="24" spans="1:21">
      <c r="A24" s="1" t="s">
        <v>3</v>
      </c>
      <c r="B24" s="6" t="s">
        <v>85</v>
      </c>
      <c r="C24" s="21">
        <v>0</v>
      </c>
      <c r="D24" s="22">
        <v>0</v>
      </c>
      <c r="E24" s="22">
        <v>20000</v>
      </c>
      <c r="F24" s="22">
        <v>5000</v>
      </c>
      <c r="G24" s="22">
        <v>5000</v>
      </c>
      <c r="H24" s="22">
        <v>5000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63">
        <v>0</v>
      </c>
      <c r="U24" s="78">
        <f t="shared" ref="U24:U61" si="3">SUM(C24:T24)</f>
        <v>35000</v>
      </c>
    </row>
    <row r="25" spans="1:21">
      <c r="A25" s="1" t="s">
        <v>3</v>
      </c>
      <c r="B25" s="6" t="s">
        <v>86</v>
      </c>
      <c r="C25" s="21">
        <v>0</v>
      </c>
      <c r="D25" s="22">
        <v>0</v>
      </c>
      <c r="E25" s="22">
        <v>3000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63">
        <v>0</v>
      </c>
      <c r="U25" s="78">
        <f t="shared" si="3"/>
        <v>3000</v>
      </c>
    </row>
    <row r="26" spans="1:21">
      <c r="A26" s="1" t="s">
        <v>3</v>
      </c>
      <c r="B26" s="6" t="s">
        <v>87</v>
      </c>
      <c r="C26" s="21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63">
        <v>0</v>
      </c>
      <c r="U26" s="78">
        <f t="shared" si="3"/>
        <v>0</v>
      </c>
    </row>
    <row r="27" spans="1:21">
      <c r="A27" s="1" t="s">
        <v>3</v>
      </c>
      <c r="B27" s="6" t="s">
        <v>88</v>
      </c>
      <c r="C27" s="21">
        <v>0</v>
      </c>
      <c r="D27" s="22">
        <v>0</v>
      </c>
      <c r="E27" s="22">
        <v>88945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36051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63">
        <v>0</v>
      </c>
      <c r="U27" s="78">
        <f t="shared" si="3"/>
        <v>124996</v>
      </c>
    </row>
    <row r="28" spans="1:21">
      <c r="A28" s="1" t="s">
        <v>3</v>
      </c>
      <c r="B28" s="6" t="s">
        <v>92</v>
      </c>
      <c r="C28" s="21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63">
        <v>0</v>
      </c>
      <c r="U28" s="78">
        <f t="shared" si="3"/>
        <v>0</v>
      </c>
    </row>
    <row r="29" spans="1:21">
      <c r="A29" s="1" t="s">
        <v>3</v>
      </c>
      <c r="B29" s="6" t="s">
        <v>94</v>
      </c>
      <c r="C29" s="21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63">
        <v>0</v>
      </c>
      <c r="U29" s="78">
        <f t="shared" si="3"/>
        <v>0</v>
      </c>
    </row>
    <row r="30" spans="1:21">
      <c r="A30" s="1" t="s">
        <v>3</v>
      </c>
      <c r="B30" s="6" t="s">
        <v>95</v>
      </c>
      <c r="C30" s="21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50000</v>
      </c>
      <c r="Q30" s="22">
        <v>0</v>
      </c>
      <c r="R30" s="22">
        <v>0</v>
      </c>
      <c r="S30" s="22">
        <v>0</v>
      </c>
      <c r="T30" s="63">
        <v>0</v>
      </c>
      <c r="U30" s="78">
        <f t="shared" si="3"/>
        <v>50000</v>
      </c>
    </row>
    <row r="31" spans="1:21">
      <c r="A31" s="1" t="s">
        <v>3</v>
      </c>
      <c r="B31" s="6" t="s">
        <v>96</v>
      </c>
      <c r="C31" s="21">
        <v>2000</v>
      </c>
      <c r="D31" s="22">
        <v>2000</v>
      </c>
      <c r="E31" s="22">
        <v>2000</v>
      </c>
      <c r="F31" s="22">
        <v>2000</v>
      </c>
      <c r="G31" s="22">
        <v>2000</v>
      </c>
      <c r="H31" s="22">
        <v>2000</v>
      </c>
      <c r="I31" s="22">
        <v>2000</v>
      </c>
      <c r="J31" s="22">
        <v>2000</v>
      </c>
      <c r="K31" s="22">
        <v>2000</v>
      </c>
      <c r="L31" s="22">
        <v>2000</v>
      </c>
      <c r="M31" s="22">
        <v>1000</v>
      </c>
      <c r="N31" s="22">
        <v>1000</v>
      </c>
      <c r="O31" s="22">
        <v>2000</v>
      </c>
      <c r="P31" s="22">
        <v>1000</v>
      </c>
      <c r="Q31" s="22">
        <v>2000</v>
      </c>
      <c r="R31" s="22">
        <v>0</v>
      </c>
      <c r="S31" s="22">
        <v>0</v>
      </c>
      <c r="T31" s="63">
        <v>0</v>
      </c>
      <c r="U31" s="78">
        <f t="shared" si="3"/>
        <v>27000</v>
      </c>
    </row>
    <row r="32" spans="1:21">
      <c r="A32" s="1" t="s">
        <v>3</v>
      </c>
      <c r="B32" s="6" t="s">
        <v>97</v>
      </c>
      <c r="C32" s="21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63">
        <v>0</v>
      </c>
      <c r="U32" s="78">
        <f t="shared" si="3"/>
        <v>0</v>
      </c>
    </row>
    <row r="33" spans="1:21">
      <c r="A33" s="1" t="s">
        <v>3</v>
      </c>
      <c r="B33" s="6" t="s">
        <v>99</v>
      </c>
      <c r="C33" s="21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63">
        <v>0</v>
      </c>
      <c r="U33" s="78">
        <f t="shared" si="3"/>
        <v>0</v>
      </c>
    </row>
    <row r="34" spans="1:21">
      <c r="A34" s="1" t="s">
        <v>3</v>
      </c>
      <c r="B34" s="6" t="s">
        <v>103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63">
        <v>0</v>
      </c>
      <c r="U34" s="78">
        <f t="shared" si="3"/>
        <v>0</v>
      </c>
    </row>
    <row r="35" spans="1:21">
      <c r="A35" s="1" t="s">
        <v>3</v>
      </c>
      <c r="B35" s="6" t="s">
        <v>104</v>
      </c>
      <c r="C35" s="21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63">
        <v>0</v>
      </c>
      <c r="U35" s="78">
        <f t="shared" si="3"/>
        <v>0</v>
      </c>
    </row>
    <row r="36" spans="1:21">
      <c r="A36" s="1" t="s">
        <v>3</v>
      </c>
      <c r="B36" s="6" t="s">
        <v>105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55">
        <v>-8468</v>
      </c>
      <c r="R36" s="22">
        <v>0</v>
      </c>
      <c r="S36" s="22">
        <v>0</v>
      </c>
      <c r="T36" s="63">
        <v>0</v>
      </c>
      <c r="U36" s="83">
        <f t="shared" si="3"/>
        <v>-8468</v>
      </c>
    </row>
    <row r="37" spans="1:21">
      <c r="A37" s="1" t="s">
        <v>3</v>
      </c>
      <c r="B37" s="6" t="s">
        <v>72</v>
      </c>
      <c r="C37" s="21">
        <v>40200</v>
      </c>
      <c r="D37" s="22">
        <v>74995</v>
      </c>
      <c r="E37" s="22">
        <v>12688</v>
      </c>
      <c r="F37" s="22">
        <v>110260</v>
      </c>
      <c r="G37" s="22">
        <v>75556</v>
      </c>
      <c r="H37" s="22">
        <v>84930</v>
      </c>
      <c r="I37" s="22">
        <v>87100</v>
      </c>
      <c r="J37" s="22">
        <v>73700</v>
      </c>
      <c r="K37" s="22">
        <v>91120</v>
      </c>
      <c r="L37" s="22">
        <v>72165</v>
      </c>
      <c r="M37" s="22">
        <v>58652</v>
      </c>
      <c r="N37" s="22">
        <v>55986</v>
      </c>
      <c r="O37" s="22">
        <v>52808</v>
      </c>
      <c r="P37" s="22">
        <v>97280</v>
      </c>
      <c r="Q37" s="22">
        <v>27825</v>
      </c>
      <c r="R37" s="22">
        <v>76380</v>
      </c>
      <c r="S37" s="22">
        <v>61104</v>
      </c>
      <c r="T37" s="63">
        <v>71288</v>
      </c>
      <c r="U37" s="78">
        <f t="shared" si="3"/>
        <v>1224037</v>
      </c>
    </row>
    <row r="38" spans="1:21">
      <c r="A38" s="1" t="s">
        <v>3</v>
      </c>
      <c r="B38" s="6" t="s">
        <v>107</v>
      </c>
      <c r="C38" s="21">
        <v>40516</v>
      </c>
      <c r="D38" s="22">
        <v>48896</v>
      </c>
      <c r="E38" s="22">
        <v>18843</v>
      </c>
      <c r="F38" s="22">
        <v>59533</v>
      </c>
      <c r="G38" s="22">
        <v>25104</v>
      </c>
      <c r="H38" s="22">
        <v>20917</v>
      </c>
      <c r="I38" s="22">
        <v>33281</v>
      </c>
      <c r="J38" s="22">
        <v>62221</v>
      </c>
      <c r="K38" s="22">
        <v>26046</v>
      </c>
      <c r="L38" s="22">
        <v>25976</v>
      </c>
      <c r="M38" s="22">
        <v>33097</v>
      </c>
      <c r="N38" s="22">
        <v>82023</v>
      </c>
      <c r="O38" s="22">
        <v>25038</v>
      </c>
      <c r="P38" s="22">
        <v>53898</v>
      </c>
      <c r="Q38" s="22">
        <v>24327</v>
      </c>
      <c r="R38" s="22">
        <v>28854</v>
      </c>
      <c r="S38" s="22">
        <v>21984</v>
      </c>
      <c r="T38" s="63">
        <v>60456</v>
      </c>
      <c r="U38" s="78">
        <f t="shared" si="3"/>
        <v>691010</v>
      </c>
    </row>
    <row r="39" spans="1:21">
      <c r="A39" s="1" t="s">
        <v>3</v>
      </c>
      <c r="B39" s="6" t="s">
        <v>108</v>
      </c>
      <c r="C39" s="21">
        <v>21705</v>
      </c>
      <c r="D39" s="22">
        <v>36672</v>
      </c>
      <c r="E39" s="22">
        <v>25695</v>
      </c>
      <c r="F39" s="22">
        <v>41834</v>
      </c>
      <c r="G39" s="22">
        <v>15690</v>
      </c>
      <c r="H39" s="22">
        <v>41834</v>
      </c>
      <c r="I39" s="22">
        <v>24599</v>
      </c>
      <c r="J39" s="22">
        <v>0</v>
      </c>
      <c r="K39" s="22">
        <v>31834</v>
      </c>
      <c r="L39" s="22">
        <v>13752</v>
      </c>
      <c r="M39" s="22">
        <v>30219</v>
      </c>
      <c r="N39" s="22">
        <v>58999</v>
      </c>
      <c r="O39" s="22">
        <v>22256</v>
      </c>
      <c r="P39" s="22">
        <v>33168</v>
      </c>
      <c r="Q39" s="22">
        <v>14310</v>
      </c>
      <c r="R39" s="22">
        <v>16488</v>
      </c>
      <c r="S39" s="22">
        <v>13740</v>
      </c>
      <c r="T39" s="63">
        <v>0</v>
      </c>
      <c r="U39" s="78">
        <f t="shared" si="3"/>
        <v>442795</v>
      </c>
    </row>
    <row r="40" spans="1:21">
      <c r="A40" s="1" t="s">
        <v>3</v>
      </c>
      <c r="B40" s="6" t="s">
        <v>109</v>
      </c>
      <c r="C40" s="21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5968</v>
      </c>
      <c r="N40" s="22">
        <v>0</v>
      </c>
      <c r="O40" s="22">
        <v>0</v>
      </c>
      <c r="P40" s="22">
        <v>0</v>
      </c>
      <c r="Q40" s="22">
        <v>5936</v>
      </c>
      <c r="R40" s="22">
        <v>0</v>
      </c>
      <c r="S40" s="22">
        <v>4272</v>
      </c>
      <c r="T40" s="63">
        <v>0</v>
      </c>
      <c r="U40" s="78">
        <f t="shared" si="3"/>
        <v>16176</v>
      </c>
    </row>
    <row r="41" spans="1:21">
      <c r="A41" s="1" t="s">
        <v>3</v>
      </c>
      <c r="B41" s="6" t="s">
        <v>110</v>
      </c>
      <c r="C41" s="21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7791</v>
      </c>
      <c r="R41" s="22">
        <v>0</v>
      </c>
      <c r="S41" s="22">
        <v>0</v>
      </c>
      <c r="T41" s="63">
        <v>0</v>
      </c>
      <c r="U41" s="78">
        <f t="shared" si="3"/>
        <v>7791</v>
      </c>
    </row>
    <row r="42" spans="1:21">
      <c r="A42" s="1" t="s">
        <v>3</v>
      </c>
      <c r="B42" s="6" t="s">
        <v>111</v>
      </c>
      <c r="C42" s="21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8468</v>
      </c>
      <c r="R42" s="22">
        <v>0</v>
      </c>
      <c r="S42" s="22">
        <v>0</v>
      </c>
      <c r="T42" s="63">
        <v>0</v>
      </c>
      <c r="U42" s="78">
        <f t="shared" si="3"/>
        <v>8468</v>
      </c>
    </row>
    <row r="43" spans="1:21" ht="19.5" thickBot="1">
      <c r="A43" s="1" t="s">
        <v>3</v>
      </c>
      <c r="B43" s="45" t="s">
        <v>82</v>
      </c>
      <c r="C43" s="46">
        <v>1876</v>
      </c>
      <c r="D43" s="47">
        <v>5943</v>
      </c>
      <c r="E43" s="47">
        <v>0</v>
      </c>
      <c r="F43" s="47">
        <v>6854</v>
      </c>
      <c r="G43" s="47">
        <v>7275</v>
      </c>
      <c r="H43" s="47">
        <v>8940</v>
      </c>
      <c r="I43" s="47">
        <v>2412</v>
      </c>
      <c r="J43" s="47">
        <v>1072</v>
      </c>
      <c r="K43" s="47">
        <v>1876</v>
      </c>
      <c r="L43" s="47">
        <v>2547</v>
      </c>
      <c r="M43" s="47">
        <v>1602</v>
      </c>
      <c r="N43" s="47">
        <v>7209</v>
      </c>
      <c r="O43" s="47">
        <v>2580</v>
      </c>
      <c r="P43" s="47">
        <v>13056</v>
      </c>
      <c r="Q43" s="47">
        <v>4505</v>
      </c>
      <c r="R43" s="47">
        <v>5355</v>
      </c>
      <c r="S43" s="47">
        <v>6885</v>
      </c>
      <c r="T43" s="64">
        <v>1275</v>
      </c>
      <c r="U43" s="79">
        <f t="shared" si="3"/>
        <v>81262</v>
      </c>
    </row>
    <row r="44" spans="1:21" ht="19.5" thickBot="1">
      <c r="A44" s="1" t="s">
        <v>3</v>
      </c>
      <c r="B44" s="50" t="s">
        <v>112</v>
      </c>
      <c r="C44" s="51">
        <v>283297</v>
      </c>
      <c r="D44" s="52">
        <v>355506</v>
      </c>
      <c r="E44" s="52">
        <v>358171</v>
      </c>
      <c r="F44" s="52">
        <v>417481</v>
      </c>
      <c r="G44" s="52">
        <v>317625</v>
      </c>
      <c r="H44" s="52">
        <v>355621</v>
      </c>
      <c r="I44" s="52">
        <v>326392</v>
      </c>
      <c r="J44" s="52">
        <v>315993</v>
      </c>
      <c r="K44" s="52">
        <v>329876</v>
      </c>
      <c r="L44" s="52">
        <v>339491</v>
      </c>
      <c r="M44" s="52">
        <v>307538</v>
      </c>
      <c r="N44" s="52">
        <v>382217</v>
      </c>
      <c r="O44" s="52">
        <v>274682</v>
      </c>
      <c r="P44" s="52">
        <v>418402</v>
      </c>
      <c r="Q44" s="52">
        <v>261694</v>
      </c>
      <c r="R44" s="52">
        <v>297077</v>
      </c>
      <c r="S44" s="52">
        <v>277985</v>
      </c>
      <c r="T44" s="65">
        <v>303019</v>
      </c>
      <c r="U44" s="80">
        <f t="shared" si="3"/>
        <v>5922067</v>
      </c>
    </row>
    <row r="45" spans="1:21" ht="19.5" thickBot="1">
      <c r="A45" s="1" t="s">
        <v>3</v>
      </c>
      <c r="B45" s="27" t="s">
        <v>113</v>
      </c>
      <c r="C45" s="37">
        <v>12916</v>
      </c>
      <c r="D45" s="38">
        <v>3488</v>
      </c>
      <c r="E45" s="38">
        <v>5580</v>
      </c>
      <c r="F45" s="38">
        <v>3358</v>
      </c>
      <c r="G45" s="38">
        <v>13071</v>
      </c>
      <c r="H45" s="38">
        <v>1964</v>
      </c>
      <c r="I45" s="38">
        <v>2480</v>
      </c>
      <c r="J45" s="38">
        <v>1240</v>
      </c>
      <c r="K45" s="38">
        <v>3229</v>
      </c>
      <c r="L45" s="38">
        <v>4960</v>
      </c>
      <c r="M45" s="38">
        <v>6458</v>
      </c>
      <c r="N45" s="38">
        <v>4702</v>
      </c>
      <c r="O45" s="38">
        <v>8060</v>
      </c>
      <c r="P45" s="38">
        <v>6716</v>
      </c>
      <c r="Q45" s="38">
        <v>10100</v>
      </c>
      <c r="R45" s="38">
        <v>7130</v>
      </c>
      <c r="S45" s="38">
        <v>8912</v>
      </c>
      <c r="T45" s="62">
        <v>8395</v>
      </c>
      <c r="U45" s="77">
        <f t="shared" si="3"/>
        <v>112759</v>
      </c>
    </row>
    <row r="46" spans="1:21" ht="19.5" thickBot="1">
      <c r="A46" s="1" t="s">
        <v>3</v>
      </c>
      <c r="B46" s="50" t="s">
        <v>115</v>
      </c>
      <c r="C46" s="51">
        <v>12916</v>
      </c>
      <c r="D46" s="52">
        <v>3488</v>
      </c>
      <c r="E46" s="52">
        <v>5580</v>
      </c>
      <c r="F46" s="52">
        <v>3358</v>
      </c>
      <c r="G46" s="52">
        <v>13071</v>
      </c>
      <c r="H46" s="52">
        <v>1964</v>
      </c>
      <c r="I46" s="52">
        <v>2480</v>
      </c>
      <c r="J46" s="52">
        <v>1240</v>
      </c>
      <c r="K46" s="52">
        <v>3229</v>
      </c>
      <c r="L46" s="52">
        <v>4960</v>
      </c>
      <c r="M46" s="52">
        <v>6458</v>
      </c>
      <c r="N46" s="52">
        <v>4702</v>
      </c>
      <c r="O46" s="52">
        <v>8060</v>
      </c>
      <c r="P46" s="52">
        <v>6716</v>
      </c>
      <c r="Q46" s="52">
        <v>10100</v>
      </c>
      <c r="R46" s="52">
        <v>7130</v>
      </c>
      <c r="S46" s="52">
        <v>8912</v>
      </c>
      <c r="T46" s="65">
        <v>8395</v>
      </c>
      <c r="U46" s="80">
        <f t="shared" si="3"/>
        <v>112759</v>
      </c>
    </row>
    <row r="47" spans="1:21" ht="19.5" thickBot="1">
      <c r="A47" s="1" t="s">
        <v>3</v>
      </c>
      <c r="B47" s="50" t="s">
        <v>116</v>
      </c>
      <c r="C47" s="51">
        <v>296213</v>
      </c>
      <c r="D47" s="52">
        <v>358994</v>
      </c>
      <c r="E47" s="52">
        <v>363751</v>
      </c>
      <c r="F47" s="52">
        <v>420839</v>
      </c>
      <c r="G47" s="52">
        <v>330696</v>
      </c>
      <c r="H47" s="52">
        <v>357585</v>
      </c>
      <c r="I47" s="52">
        <v>328872</v>
      </c>
      <c r="J47" s="52">
        <v>317233</v>
      </c>
      <c r="K47" s="52">
        <v>333105</v>
      </c>
      <c r="L47" s="52">
        <v>344451</v>
      </c>
      <c r="M47" s="52">
        <v>313996</v>
      </c>
      <c r="N47" s="52">
        <v>386919</v>
      </c>
      <c r="O47" s="52">
        <v>282742</v>
      </c>
      <c r="P47" s="52">
        <v>425118</v>
      </c>
      <c r="Q47" s="52">
        <v>271794</v>
      </c>
      <c r="R47" s="52">
        <v>304207</v>
      </c>
      <c r="S47" s="52">
        <v>286897</v>
      </c>
      <c r="T47" s="65">
        <v>311414</v>
      </c>
      <c r="U47" s="80">
        <f t="shared" si="3"/>
        <v>6034826</v>
      </c>
    </row>
    <row r="48" spans="1:21">
      <c r="A48" s="1" t="s">
        <v>3</v>
      </c>
      <c r="B48" s="27" t="s">
        <v>117</v>
      </c>
      <c r="C48" s="37">
        <v>16320</v>
      </c>
      <c r="D48" s="38">
        <v>19380</v>
      </c>
      <c r="E48" s="38">
        <v>19380</v>
      </c>
      <c r="F48" s="38">
        <v>18360</v>
      </c>
      <c r="G48" s="38">
        <v>16320</v>
      </c>
      <c r="H48" s="38">
        <v>19380</v>
      </c>
      <c r="I48" s="38">
        <v>17340</v>
      </c>
      <c r="J48" s="38">
        <v>16320</v>
      </c>
      <c r="K48" s="38">
        <v>16320</v>
      </c>
      <c r="L48" s="38">
        <v>18360</v>
      </c>
      <c r="M48" s="38">
        <v>15300</v>
      </c>
      <c r="N48" s="38">
        <v>17340</v>
      </c>
      <c r="O48" s="38">
        <v>15300</v>
      </c>
      <c r="P48" s="38">
        <v>17340</v>
      </c>
      <c r="Q48" s="38">
        <v>14280</v>
      </c>
      <c r="R48" s="38">
        <v>13260</v>
      </c>
      <c r="S48" s="38">
        <v>13260</v>
      </c>
      <c r="T48" s="62">
        <v>13260</v>
      </c>
      <c r="U48" s="77">
        <f t="shared" si="3"/>
        <v>296820</v>
      </c>
    </row>
    <row r="49" spans="1:21">
      <c r="A49" s="1" t="s">
        <v>3</v>
      </c>
      <c r="B49" s="6" t="s">
        <v>118</v>
      </c>
      <c r="C49" s="21">
        <v>2880</v>
      </c>
      <c r="D49" s="22">
        <v>3420</v>
      </c>
      <c r="E49" s="22">
        <v>3420</v>
      </c>
      <c r="F49" s="22">
        <v>3240</v>
      </c>
      <c r="G49" s="22">
        <v>2880</v>
      </c>
      <c r="H49" s="22">
        <v>3420</v>
      </c>
      <c r="I49" s="22">
        <v>3060</v>
      </c>
      <c r="J49" s="22">
        <v>2880</v>
      </c>
      <c r="K49" s="22">
        <v>2880</v>
      </c>
      <c r="L49" s="22">
        <v>3240</v>
      </c>
      <c r="M49" s="22">
        <v>2700</v>
      </c>
      <c r="N49" s="22">
        <v>3060</v>
      </c>
      <c r="O49" s="22">
        <v>2700</v>
      </c>
      <c r="P49" s="22">
        <v>3060</v>
      </c>
      <c r="Q49" s="22">
        <v>2520</v>
      </c>
      <c r="R49" s="22">
        <v>2340</v>
      </c>
      <c r="S49" s="22">
        <v>2340</v>
      </c>
      <c r="T49" s="63">
        <v>2340</v>
      </c>
      <c r="U49" s="78">
        <f t="shared" si="3"/>
        <v>52380</v>
      </c>
    </row>
    <row r="50" spans="1:21">
      <c r="A50" s="1" t="s">
        <v>3</v>
      </c>
      <c r="B50" s="6" t="s">
        <v>119</v>
      </c>
      <c r="C50" s="21">
        <v>29280</v>
      </c>
      <c r="D50" s="22">
        <v>34770</v>
      </c>
      <c r="E50" s="22">
        <v>34770</v>
      </c>
      <c r="F50" s="22">
        <v>32940</v>
      </c>
      <c r="G50" s="22">
        <v>29280</v>
      </c>
      <c r="H50" s="22">
        <v>34770</v>
      </c>
      <c r="I50" s="22">
        <v>31110</v>
      </c>
      <c r="J50" s="22">
        <v>29280</v>
      </c>
      <c r="K50" s="22">
        <v>29280</v>
      </c>
      <c r="L50" s="22">
        <v>32940</v>
      </c>
      <c r="M50" s="22">
        <v>27450</v>
      </c>
      <c r="N50" s="22">
        <v>31110</v>
      </c>
      <c r="O50" s="22">
        <v>27450</v>
      </c>
      <c r="P50" s="22">
        <v>31110</v>
      </c>
      <c r="Q50" s="22">
        <v>25620</v>
      </c>
      <c r="R50" s="22">
        <v>23790</v>
      </c>
      <c r="S50" s="22">
        <v>23790</v>
      </c>
      <c r="T50" s="63">
        <v>23790</v>
      </c>
      <c r="U50" s="78">
        <f t="shared" si="3"/>
        <v>532530</v>
      </c>
    </row>
    <row r="51" spans="1:21" ht="19.5" thickBot="1">
      <c r="A51" s="1" t="s">
        <v>3</v>
      </c>
      <c r="B51" s="6" t="s">
        <v>120</v>
      </c>
      <c r="C51" s="21">
        <v>1481</v>
      </c>
      <c r="D51" s="22">
        <v>1795</v>
      </c>
      <c r="E51" s="22">
        <v>1819</v>
      </c>
      <c r="F51" s="22">
        <v>2104</v>
      </c>
      <c r="G51" s="22">
        <v>1653</v>
      </c>
      <c r="H51" s="22">
        <v>1788</v>
      </c>
      <c r="I51" s="22">
        <v>1644</v>
      </c>
      <c r="J51" s="22">
        <v>1586</v>
      </c>
      <c r="K51" s="22">
        <v>1666</v>
      </c>
      <c r="L51" s="22">
        <v>1722</v>
      </c>
      <c r="M51" s="22">
        <v>1570</v>
      </c>
      <c r="N51" s="22">
        <v>1935</v>
      </c>
      <c r="O51" s="22">
        <v>1414</v>
      </c>
      <c r="P51" s="22">
        <v>2126</v>
      </c>
      <c r="Q51" s="22">
        <v>1359</v>
      </c>
      <c r="R51" s="22">
        <v>1521</v>
      </c>
      <c r="S51" s="22">
        <v>1434</v>
      </c>
      <c r="T51" s="63">
        <v>1557</v>
      </c>
      <c r="U51" s="78">
        <f t="shared" si="3"/>
        <v>30174</v>
      </c>
    </row>
    <row r="52" spans="1:21" ht="19.5" thickBot="1">
      <c r="A52" s="1" t="s">
        <v>3</v>
      </c>
      <c r="B52" s="50" t="s">
        <v>122</v>
      </c>
      <c r="C52" s="51">
        <v>49961</v>
      </c>
      <c r="D52" s="52">
        <v>59365</v>
      </c>
      <c r="E52" s="52">
        <v>59389</v>
      </c>
      <c r="F52" s="52">
        <v>56644</v>
      </c>
      <c r="G52" s="52">
        <v>50133</v>
      </c>
      <c r="H52" s="52">
        <v>59358</v>
      </c>
      <c r="I52" s="52">
        <v>53154</v>
      </c>
      <c r="J52" s="52">
        <v>50066</v>
      </c>
      <c r="K52" s="52">
        <v>50146</v>
      </c>
      <c r="L52" s="52">
        <v>56262</v>
      </c>
      <c r="M52" s="52">
        <v>47020</v>
      </c>
      <c r="N52" s="52">
        <v>53445</v>
      </c>
      <c r="O52" s="52">
        <v>46864</v>
      </c>
      <c r="P52" s="52">
        <v>53636</v>
      </c>
      <c r="Q52" s="52">
        <v>43779</v>
      </c>
      <c r="R52" s="52">
        <v>40911</v>
      </c>
      <c r="S52" s="52">
        <v>40824</v>
      </c>
      <c r="T52" s="65">
        <v>40947</v>
      </c>
      <c r="U52" s="80">
        <f t="shared" si="3"/>
        <v>911904</v>
      </c>
    </row>
    <row r="53" spans="1:21">
      <c r="A53" s="1" t="s">
        <v>3</v>
      </c>
      <c r="B53" s="27" t="s">
        <v>123</v>
      </c>
      <c r="C53" s="37">
        <v>4340</v>
      </c>
      <c r="D53" s="38">
        <v>8200</v>
      </c>
      <c r="E53" s="38">
        <v>6680</v>
      </c>
      <c r="F53" s="38">
        <v>13350</v>
      </c>
      <c r="G53" s="38">
        <v>5560</v>
      </c>
      <c r="H53" s="38">
        <v>8200</v>
      </c>
      <c r="I53" s="38">
        <v>7380</v>
      </c>
      <c r="J53" s="38">
        <v>5500</v>
      </c>
      <c r="K53" s="38">
        <v>7610</v>
      </c>
      <c r="L53" s="38">
        <v>7740</v>
      </c>
      <c r="M53" s="38">
        <v>6930</v>
      </c>
      <c r="N53" s="38">
        <v>10730</v>
      </c>
      <c r="O53" s="38">
        <v>5760</v>
      </c>
      <c r="P53" s="38">
        <v>6130</v>
      </c>
      <c r="Q53" s="38">
        <v>5400</v>
      </c>
      <c r="R53" s="38">
        <v>6770</v>
      </c>
      <c r="S53" s="38">
        <v>4480</v>
      </c>
      <c r="T53" s="62">
        <v>6980</v>
      </c>
      <c r="U53" s="77">
        <f t="shared" si="3"/>
        <v>127740</v>
      </c>
    </row>
    <row r="54" spans="1:21">
      <c r="A54" s="1" t="s">
        <v>3</v>
      </c>
      <c r="B54" s="6" t="s">
        <v>124</v>
      </c>
      <c r="C54" s="21">
        <v>1300</v>
      </c>
      <c r="D54" s="22">
        <v>1300</v>
      </c>
      <c r="E54" s="22">
        <v>1300</v>
      </c>
      <c r="F54" s="22">
        <v>0</v>
      </c>
      <c r="G54" s="22">
        <v>1300</v>
      </c>
      <c r="H54" s="22">
        <v>1300</v>
      </c>
      <c r="I54" s="22">
        <v>1300</v>
      </c>
      <c r="J54" s="22">
        <v>1300</v>
      </c>
      <c r="K54" s="22">
        <v>1300</v>
      </c>
      <c r="L54" s="22">
        <v>1300</v>
      </c>
      <c r="M54" s="22">
        <v>0</v>
      </c>
      <c r="N54" s="22">
        <v>0</v>
      </c>
      <c r="O54" s="22">
        <v>1300</v>
      </c>
      <c r="P54" s="22">
        <v>1300</v>
      </c>
      <c r="Q54" s="22">
        <v>1300</v>
      </c>
      <c r="R54" s="22">
        <v>0</v>
      </c>
      <c r="S54" s="22">
        <v>0</v>
      </c>
      <c r="T54" s="63">
        <v>0</v>
      </c>
      <c r="U54" s="78">
        <f t="shared" si="3"/>
        <v>15600</v>
      </c>
    </row>
    <row r="55" spans="1:21">
      <c r="A55" s="1" t="s">
        <v>3</v>
      </c>
      <c r="B55" s="6" t="s">
        <v>125</v>
      </c>
      <c r="C55" s="21">
        <v>9900</v>
      </c>
      <c r="D55" s="22">
        <v>16100</v>
      </c>
      <c r="E55" s="22">
        <v>15700</v>
      </c>
      <c r="F55" s="22">
        <v>18800</v>
      </c>
      <c r="G55" s="22">
        <v>12100</v>
      </c>
      <c r="H55" s="22">
        <v>18500</v>
      </c>
      <c r="I55" s="22">
        <v>14500</v>
      </c>
      <c r="J55" s="22">
        <v>9300</v>
      </c>
      <c r="K55" s="22">
        <v>13400</v>
      </c>
      <c r="L55" s="22">
        <v>13900</v>
      </c>
      <c r="M55" s="22">
        <v>10400</v>
      </c>
      <c r="N55" s="22">
        <v>24600</v>
      </c>
      <c r="O55" s="22">
        <v>12200</v>
      </c>
      <c r="P55" s="22">
        <v>6700</v>
      </c>
      <c r="Q55" s="22">
        <v>0</v>
      </c>
      <c r="R55" s="22">
        <v>0</v>
      </c>
      <c r="S55" s="22">
        <v>0</v>
      </c>
      <c r="T55" s="63">
        <v>0</v>
      </c>
      <c r="U55" s="78">
        <f t="shared" si="3"/>
        <v>196100</v>
      </c>
    </row>
    <row r="56" spans="1:21" ht="19.5" thickBot="1">
      <c r="A56" s="1" t="s">
        <v>3</v>
      </c>
      <c r="B56" s="6" t="s">
        <v>126</v>
      </c>
      <c r="C56" s="21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63">
        <v>0</v>
      </c>
      <c r="U56" s="78">
        <f t="shared" si="3"/>
        <v>0</v>
      </c>
    </row>
    <row r="57" spans="1:21" ht="19.5" thickBot="1">
      <c r="A57" s="1" t="s">
        <v>3</v>
      </c>
      <c r="B57" s="50" t="s">
        <v>130</v>
      </c>
      <c r="C57" s="51">
        <v>65501</v>
      </c>
      <c r="D57" s="52">
        <v>84965</v>
      </c>
      <c r="E57" s="52">
        <v>83069</v>
      </c>
      <c r="F57" s="52">
        <v>88794</v>
      </c>
      <c r="G57" s="52">
        <v>69093</v>
      </c>
      <c r="H57" s="52">
        <v>87358</v>
      </c>
      <c r="I57" s="52">
        <v>76334</v>
      </c>
      <c r="J57" s="52">
        <v>66166</v>
      </c>
      <c r="K57" s="52">
        <v>72456</v>
      </c>
      <c r="L57" s="52">
        <v>79202</v>
      </c>
      <c r="M57" s="52">
        <v>64350</v>
      </c>
      <c r="N57" s="52">
        <v>88775</v>
      </c>
      <c r="O57" s="52">
        <v>66124</v>
      </c>
      <c r="P57" s="52">
        <v>67766</v>
      </c>
      <c r="Q57" s="52">
        <v>50479</v>
      </c>
      <c r="R57" s="52">
        <v>47681</v>
      </c>
      <c r="S57" s="52">
        <v>45304</v>
      </c>
      <c r="T57" s="65">
        <v>47927</v>
      </c>
      <c r="U57" s="80">
        <f t="shared" si="3"/>
        <v>1251344</v>
      </c>
    </row>
    <row r="58" spans="1:21" ht="19.5" thickBot="1">
      <c r="A58" s="1" t="s">
        <v>3</v>
      </c>
      <c r="B58" s="50" t="s">
        <v>131</v>
      </c>
      <c r="C58" s="51">
        <v>233336</v>
      </c>
      <c r="D58" s="52">
        <v>296141</v>
      </c>
      <c r="E58" s="52">
        <v>298782</v>
      </c>
      <c r="F58" s="52">
        <v>360837</v>
      </c>
      <c r="G58" s="52">
        <v>267492</v>
      </c>
      <c r="H58" s="52">
        <v>296263</v>
      </c>
      <c r="I58" s="52">
        <v>273238</v>
      </c>
      <c r="J58" s="52">
        <v>265927</v>
      </c>
      <c r="K58" s="52">
        <v>279730</v>
      </c>
      <c r="L58" s="52">
        <v>283229</v>
      </c>
      <c r="M58" s="52">
        <v>260518</v>
      </c>
      <c r="N58" s="52">
        <v>328772</v>
      </c>
      <c r="O58" s="52">
        <v>227818</v>
      </c>
      <c r="P58" s="52">
        <v>364766</v>
      </c>
      <c r="Q58" s="52">
        <v>217915</v>
      </c>
      <c r="R58" s="52">
        <v>256166</v>
      </c>
      <c r="S58" s="52">
        <v>237161</v>
      </c>
      <c r="T58" s="65">
        <v>262072</v>
      </c>
      <c r="U58" s="80">
        <f t="shared" si="3"/>
        <v>5010163</v>
      </c>
    </row>
    <row r="59" spans="1:21" ht="19.5" thickBot="1">
      <c r="A59" s="1" t="s">
        <v>3</v>
      </c>
      <c r="B59" s="50" t="s">
        <v>132</v>
      </c>
      <c r="C59" s="51">
        <v>230712</v>
      </c>
      <c r="D59" s="52">
        <v>274029</v>
      </c>
      <c r="E59" s="52">
        <v>280682</v>
      </c>
      <c r="F59" s="52">
        <v>332045</v>
      </c>
      <c r="G59" s="52">
        <v>261603</v>
      </c>
      <c r="H59" s="52">
        <v>270227</v>
      </c>
      <c r="I59" s="52">
        <v>252538</v>
      </c>
      <c r="J59" s="52">
        <v>251067</v>
      </c>
      <c r="K59" s="52">
        <v>260649</v>
      </c>
      <c r="L59" s="52">
        <v>265249</v>
      </c>
      <c r="M59" s="52">
        <v>249646</v>
      </c>
      <c r="N59" s="52">
        <v>298144</v>
      </c>
      <c r="O59" s="52">
        <v>216618</v>
      </c>
      <c r="P59" s="52">
        <v>357352</v>
      </c>
      <c r="Q59" s="52">
        <v>221315</v>
      </c>
      <c r="R59" s="52">
        <v>256526</v>
      </c>
      <c r="S59" s="52">
        <v>241593</v>
      </c>
      <c r="T59" s="65">
        <v>263487</v>
      </c>
      <c r="U59" s="80">
        <f t="shared" si="3"/>
        <v>4783482</v>
      </c>
    </row>
    <row r="60" spans="1:21">
      <c r="A60" s="1" t="s">
        <v>3</v>
      </c>
      <c r="B60" s="27" t="s">
        <v>133</v>
      </c>
      <c r="C60" s="37">
        <v>0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62">
        <v>0</v>
      </c>
      <c r="U60" s="77">
        <f t="shared" si="3"/>
        <v>0</v>
      </c>
    </row>
    <row r="61" spans="1:21">
      <c r="A61" s="1" t="s">
        <v>3</v>
      </c>
      <c r="B61" s="6" t="s">
        <v>134</v>
      </c>
      <c r="C61" s="21">
        <v>230712</v>
      </c>
      <c r="D61" s="22">
        <v>274029</v>
      </c>
      <c r="E61" s="22">
        <v>280682</v>
      </c>
      <c r="F61" s="22">
        <v>332045</v>
      </c>
      <c r="G61" s="22">
        <v>261603</v>
      </c>
      <c r="H61" s="22">
        <v>270227</v>
      </c>
      <c r="I61" s="22">
        <v>252538</v>
      </c>
      <c r="J61" s="22">
        <v>251067</v>
      </c>
      <c r="K61" s="22">
        <v>260649</v>
      </c>
      <c r="L61" s="22">
        <v>265249</v>
      </c>
      <c r="M61" s="22">
        <v>249646</v>
      </c>
      <c r="N61" s="22">
        <v>298144</v>
      </c>
      <c r="O61" s="22">
        <v>216618</v>
      </c>
      <c r="P61" s="22">
        <v>357352</v>
      </c>
      <c r="Q61" s="22">
        <v>221315</v>
      </c>
      <c r="R61" s="22">
        <v>256526</v>
      </c>
      <c r="S61" s="22">
        <v>241593</v>
      </c>
      <c r="T61" s="63">
        <v>263487</v>
      </c>
      <c r="U61" s="78">
        <f t="shared" si="3"/>
        <v>4783482</v>
      </c>
    </row>
    <row r="62" spans="1:21">
      <c r="A62" s="1" t="s">
        <v>3</v>
      </c>
      <c r="B62" s="6" t="s">
        <v>135</v>
      </c>
      <c r="C62" s="21">
        <v>1</v>
      </c>
      <c r="D62" s="22">
        <v>0</v>
      </c>
      <c r="E62" s="22">
        <v>1</v>
      </c>
      <c r="F62" s="22">
        <v>0</v>
      </c>
      <c r="G62" s="22">
        <v>1</v>
      </c>
      <c r="H62" s="22">
        <v>0</v>
      </c>
      <c r="I62" s="22">
        <v>0</v>
      </c>
      <c r="J62" s="22">
        <v>1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3</v>
      </c>
      <c r="Q62" s="22">
        <v>0</v>
      </c>
      <c r="R62" s="22">
        <v>0</v>
      </c>
      <c r="S62" s="22">
        <v>1</v>
      </c>
      <c r="T62" s="63">
        <v>0</v>
      </c>
      <c r="U62" s="78"/>
    </row>
    <row r="63" spans="1:21" ht="19.5" thickBot="1">
      <c r="A63" s="1" t="s">
        <v>3</v>
      </c>
      <c r="B63" s="7" t="s">
        <v>136</v>
      </c>
      <c r="C63" s="24" t="s">
        <v>137</v>
      </c>
      <c r="D63" s="25" t="s">
        <v>137</v>
      </c>
      <c r="E63" s="25" t="s">
        <v>137</v>
      </c>
      <c r="F63" s="25" t="s">
        <v>137</v>
      </c>
      <c r="G63" s="25" t="s">
        <v>137</v>
      </c>
      <c r="H63" s="25" t="s">
        <v>137</v>
      </c>
      <c r="I63" s="25" t="s">
        <v>137</v>
      </c>
      <c r="J63" s="25" t="s">
        <v>137</v>
      </c>
      <c r="K63" s="25" t="s">
        <v>137</v>
      </c>
      <c r="L63" s="25" t="s">
        <v>137</v>
      </c>
      <c r="M63" s="25" t="s">
        <v>137</v>
      </c>
      <c r="N63" s="25" t="s">
        <v>137</v>
      </c>
      <c r="O63" s="25" t="s">
        <v>137</v>
      </c>
      <c r="P63" s="25" t="s">
        <v>137</v>
      </c>
      <c r="Q63" s="25" t="s">
        <v>137</v>
      </c>
      <c r="R63" s="25" t="s">
        <v>137</v>
      </c>
      <c r="S63" s="25" t="s">
        <v>137</v>
      </c>
      <c r="T63" s="66" t="s">
        <v>137</v>
      </c>
      <c r="U63" s="81"/>
    </row>
  </sheetData>
  <phoneticPr fontId="3"/>
  <pageMargins left="0.11811023622047245" right="0.11811023622047245" top="0.35433070866141736" bottom="0.15748031496062992" header="0.11811023622047245" footer="0.11811023622047245"/>
  <pageSetup paperSize="12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2022年 12月度給与</vt:lpstr>
      <vt:lpstr>2022年 12月度給与 (4)</vt:lpstr>
      <vt:lpstr>2022年 12月度給与 (3)</vt:lpstr>
      <vt:lpstr>'2022年 12月度給与 (3)'!Print_Area</vt:lpstr>
      <vt:lpstr>'2022年 12月度給与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2023-01-12T08:45:34Z</cp:lastPrinted>
  <dcterms:created xsi:type="dcterms:W3CDTF">2023-01-11T01:29:02Z</dcterms:created>
  <dcterms:modified xsi:type="dcterms:W3CDTF">2023-01-12T08:52:07Z</dcterms:modified>
</cp:coreProperties>
</file>