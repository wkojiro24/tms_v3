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2\"/>
    </mc:Choice>
  </mc:AlternateContent>
  <xr:revisionPtr revIDLastSave="0" documentId="13_ncr:1_{2289F4D1-DC5F-47F4-91DE-F882FBF527F4}" xr6:coauthVersionLast="47" xr6:coauthVersionMax="47" xr10:uidLastSave="{00000000-0000-0000-0000-000000000000}"/>
  <bookViews>
    <workbookView xWindow="-120" yWindow="-120" windowWidth="20730" windowHeight="11160" xr2:uid="{55784A9F-3F58-48A7-B439-A2E52170F769}"/>
  </bookViews>
  <sheets>
    <sheet name="2022年 12月度給与 (2)" sheetId="3" r:id="rId1"/>
  </sheets>
  <definedNames>
    <definedName name="_xlnm.Print_Area" localSheetId="0">'2022年 12月度給与 (2)'!$A$1:$M$63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3" l="1"/>
  <c r="M11" i="3"/>
  <c r="M12" i="3"/>
  <c r="M17" i="3"/>
  <c r="M18" i="3"/>
  <c r="M19" i="3"/>
  <c r="M21" i="3"/>
  <c r="M23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24" i="3"/>
  <c r="L22" i="3"/>
  <c r="L15" i="3"/>
  <c r="M15" i="3" s="1"/>
  <c r="L16" i="3"/>
  <c r="M16" i="3" s="1"/>
  <c r="L14" i="3"/>
  <c r="M14" i="3" s="1"/>
  <c r="L7" i="3"/>
  <c r="M7" i="3" s="1"/>
  <c r="L8" i="3"/>
  <c r="M8" i="3" s="1"/>
  <c r="L9" i="3"/>
  <c r="L6" i="3"/>
  <c r="M6" i="3" s="1"/>
  <c r="L5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24" i="3"/>
  <c r="E22" i="3"/>
  <c r="E20" i="3"/>
  <c r="M20" i="3" s="1"/>
  <c r="E13" i="3"/>
  <c r="M13" i="3" s="1"/>
  <c r="E9" i="3"/>
  <c r="E5" i="3"/>
  <c r="M61" i="3" l="1"/>
  <c r="M57" i="3"/>
  <c r="M56" i="3"/>
  <c r="M53" i="3"/>
  <c r="M50" i="3"/>
  <c r="M40" i="3"/>
  <c r="M37" i="3"/>
  <c r="M9" i="3"/>
  <c r="M32" i="3"/>
  <c r="M25" i="3"/>
  <c r="M5" i="3"/>
  <c r="M59" i="3"/>
  <c r="M48" i="3"/>
  <c r="M42" i="3"/>
  <c r="M30" i="3"/>
  <c r="M22" i="3"/>
  <c r="M52" i="3"/>
  <c r="M45" i="3"/>
  <c r="M38" i="3"/>
  <c r="M33" i="3"/>
  <c r="M27" i="3"/>
  <c r="M24" i="3"/>
  <c r="M58" i="3"/>
  <c r="M54" i="3"/>
  <c r="M51" i="3"/>
  <c r="M47" i="3"/>
  <c r="M44" i="3"/>
  <c r="M41" i="3"/>
  <c r="M35" i="3"/>
  <c r="M29" i="3"/>
  <c r="M26" i="3"/>
  <c r="M60" i="3"/>
  <c r="M55" i="3"/>
  <c r="M49" i="3"/>
  <c r="M46" i="3"/>
  <c r="M43" i="3"/>
  <c r="M39" i="3"/>
  <c r="M36" i="3"/>
  <c r="M34" i="3"/>
  <c r="M31" i="3"/>
  <c r="M28" i="3"/>
</calcChain>
</file>

<file path=xl/sharedStrings.xml><?xml version="1.0" encoding="utf-8"?>
<sst xmlns="http://schemas.openxmlformats.org/spreadsheetml/2006/main" count="151" uniqueCount="83">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</sst>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ED05AEEB-3664-4D98-AAAC-F37C8CD24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1C4B-85DB-4480-9D8E-3B9D41CEA150}">
  <sheetPr>
    <pageSetUpPr fitToPage="1"/>
  </sheetPr>
  <dimension ref="A1:M63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78</v>
      </c>
    </row>
    <row r="3" spans="1:13">
      <c r="B3" s="3"/>
      <c r="C3" s="7" t="s">
        <v>4</v>
      </c>
      <c r="D3" s="8" t="s">
        <v>9</v>
      </c>
      <c r="E3" s="47" t="s">
        <v>79</v>
      </c>
      <c r="F3" s="6" t="s">
        <v>2</v>
      </c>
      <c r="G3" s="7" t="s">
        <v>3</v>
      </c>
      <c r="H3" s="7" t="s">
        <v>5</v>
      </c>
      <c r="I3" s="7" t="s">
        <v>6</v>
      </c>
      <c r="J3" s="7" t="s">
        <v>7</v>
      </c>
      <c r="K3" s="49" t="s">
        <v>8</v>
      </c>
      <c r="L3" s="60" t="s">
        <v>79</v>
      </c>
      <c r="M3" s="61" t="s">
        <v>19</v>
      </c>
    </row>
    <row r="4" spans="1:13" ht="19.5" thickBot="1">
      <c r="A4" s="73"/>
      <c r="B4" s="25" t="s">
        <v>10</v>
      </c>
      <c r="C4" s="27" t="s">
        <v>13</v>
      </c>
      <c r="D4" s="28" t="s">
        <v>18</v>
      </c>
      <c r="E4" s="48" t="s">
        <v>80</v>
      </c>
      <c r="F4" s="26" t="s">
        <v>11</v>
      </c>
      <c r="G4" s="27" t="s">
        <v>12</v>
      </c>
      <c r="H4" s="27" t="s">
        <v>14</v>
      </c>
      <c r="I4" s="27" t="s">
        <v>15</v>
      </c>
      <c r="J4" s="27" t="s">
        <v>16</v>
      </c>
      <c r="K4" s="50" t="s">
        <v>17</v>
      </c>
      <c r="L4" s="62" t="s">
        <v>81</v>
      </c>
      <c r="M4" s="63" t="s">
        <v>82</v>
      </c>
    </row>
    <row r="5" spans="1:13">
      <c r="A5" s="1" t="s">
        <v>1</v>
      </c>
      <c r="B5" s="21" t="s">
        <v>20</v>
      </c>
      <c r="C5" s="23">
        <v>21</v>
      </c>
      <c r="D5" s="24">
        <v>10</v>
      </c>
      <c r="E5" s="43">
        <f>SUM(C5:D5)</f>
        <v>31</v>
      </c>
      <c r="F5" s="22">
        <v>20</v>
      </c>
      <c r="G5" s="23">
        <v>20</v>
      </c>
      <c r="H5" s="23">
        <v>21</v>
      </c>
      <c r="I5" s="23">
        <v>20</v>
      </c>
      <c r="J5" s="23">
        <v>21</v>
      </c>
      <c r="K5" s="51">
        <v>21</v>
      </c>
      <c r="L5" s="64">
        <f>SUM(F5:K5)</f>
        <v>123</v>
      </c>
      <c r="M5" s="64">
        <f>E5+L5</f>
        <v>154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4"/>
      <c r="F6" s="9">
        <v>1</v>
      </c>
      <c r="G6" s="10">
        <v>0</v>
      </c>
      <c r="H6" s="10">
        <v>3</v>
      </c>
      <c r="I6" s="10">
        <v>1</v>
      </c>
      <c r="J6" s="10">
        <v>3</v>
      </c>
      <c r="K6" s="52">
        <v>3</v>
      </c>
      <c r="L6" s="65">
        <f>SUM(F6:K6)</f>
        <v>11</v>
      </c>
      <c r="M6" s="65">
        <f t="shared" ref="M6:M54" si="0">E6+L6</f>
        <v>11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4"/>
      <c r="F7" s="9">
        <v>0</v>
      </c>
      <c r="G7" s="10">
        <v>0</v>
      </c>
      <c r="H7" s="10">
        <v>0</v>
      </c>
      <c r="I7" s="10">
        <v>0</v>
      </c>
      <c r="J7" s="10">
        <v>2</v>
      </c>
      <c r="K7" s="52">
        <v>2</v>
      </c>
      <c r="L7" s="65">
        <f t="shared" ref="L7:L9" si="1">SUM(F7:K7)</f>
        <v>4</v>
      </c>
      <c r="M7" s="65">
        <f t="shared" si="0"/>
        <v>4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2">
        <v>0</v>
      </c>
      <c r="L8" s="65">
        <f t="shared" si="1"/>
        <v>0</v>
      </c>
      <c r="M8" s="65">
        <f t="shared" si="0"/>
        <v>0</v>
      </c>
    </row>
    <row r="9" spans="1:13">
      <c r="A9" s="1" t="s">
        <v>1</v>
      </c>
      <c r="B9" s="4" t="s">
        <v>24</v>
      </c>
      <c r="C9" s="10">
        <v>0</v>
      </c>
      <c r="D9" s="11">
        <v>2</v>
      </c>
      <c r="E9" s="44">
        <f>SUM(C9:D9)</f>
        <v>2</v>
      </c>
      <c r="F9" s="9">
        <v>1</v>
      </c>
      <c r="G9" s="10">
        <v>1</v>
      </c>
      <c r="H9" s="10">
        <v>0</v>
      </c>
      <c r="I9" s="10">
        <v>1</v>
      </c>
      <c r="J9" s="10">
        <v>0</v>
      </c>
      <c r="K9" s="52">
        <v>0</v>
      </c>
      <c r="L9" s="65">
        <f t="shared" si="1"/>
        <v>3</v>
      </c>
      <c r="M9" s="65">
        <f t="shared" si="0"/>
        <v>5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2">
        <v>0</v>
      </c>
      <c r="L10" s="65"/>
      <c r="M10" s="65">
        <f t="shared" si="0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2">
        <v>0</v>
      </c>
      <c r="L11" s="65"/>
      <c r="M11" s="65">
        <f t="shared" si="0"/>
        <v>0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2">
        <v>0</v>
      </c>
      <c r="L12" s="65"/>
      <c r="M12" s="65">
        <f t="shared" si="0"/>
        <v>0</v>
      </c>
    </row>
    <row r="13" spans="1:13">
      <c r="A13" s="1" t="s">
        <v>1</v>
      </c>
      <c r="B13" s="4" t="s">
        <v>28</v>
      </c>
      <c r="C13" s="13">
        <v>0</v>
      </c>
      <c r="D13" s="14">
        <v>2.7916666666666665</v>
      </c>
      <c r="E13" s="45">
        <f>SUM(C13:D13)</f>
        <v>2.7916666666666665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3">
        <v>0</v>
      </c>
      <c r="L13" s="66"/>
      <c r="M13" s="66">
        <f t="shared" si="0"/>
        <v>2.7916666666666665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45"/>
      <c r="F14" s="12">
        <v>2.5</v>
      </c>
      <c r="G14" s="13">
        <v>1.7916666666666665</v>
      </c>
      <c r="H14" s="13">
        <v>1.6666666666666665</v>
      </c>
      <c r="I14" s="13">
        <v>2.0416666666666665</v>
      </c>
      <c r="J14" s="13">
        <v>2.0833333333333335</v>
      </c>
      <c r="K14" s="53">
        <v>1.9166666666666665</v>
      </c>
      <c r="L14" s="66">
        <f>SUM(F14:K14)</f>
        <v>11.999999999999998</v>
      </c>
      <c r="M14" s="66">
        <f t="shared" si="0"/>
        <v>11.999999999999998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5"/>
      <c r="F15" s="12">
        <v>0.16666666666666666</v>
      </c>
      <c r="G15" s="13">
        <v>0</v>
      </c>
      <c r="H15" s="13">
        <v>1.125</v>
      </c>
      <c r="I15" s="13">
        <v>0.33333333333333331</v>
      </c>
      <c r="J15" s="13">
        <v>1.0416666666666667</v>
      </c>
      <c r="K15" s="53">
        <v>0.75</v>
      </c>
      <c r="L15" s="66">
        <f t="shared" ref="L15:L16" si="2">SUM(F15:K15)</f>
        <v>3.416666666666667</v>
      </c>
      <c r="M15" s="66">
        <f t="shared" si="0"/>
        <v>3.416666666666667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</v>
      </c>
      <c r="I16" s="13">
        <v>0</v>
      </c>
      <c r="J16" s="13">
        <v>0.58333333333333337</v>
      </c>
      <c r="K16" s="53">
        <v>0.66666666666666663</v>
      </c>
      <c r="L16" s="66">
        <f t="shared" si="2"/>
        <v>1.25</v>
      </c>
      <c r="M16" s="66">
        <f t="shared" si="0"/>
        <v>1.25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3">
        <v>0</v>
      </c>
      <c r="L17" s="66"/>
      <c r="M17" s="66">
        <f t="shared" si="0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3">
        <v>0</v>
      </c>
      <c r="L18" s="66"/>
      <c r="M18" s="66">
        <f t="shared" si="0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3">
        <v>0</v>
      </c>
      <c r="L19" s="66"/>
      <c r="M19" s="66">
        <f t="shared" si="0"/>
        <v>0</v>
      </c>
    </row>
    <row r="20" spans="1:13">
      <c r="A20" s="1" t="s">
        <v>1</v>
      </c>
      <c r="B20" s="4" t="s">
        <v>35</v>
      </c>
      <c r="C20" s="13">
        <v>0</v>
      </c>
      <c r="D20" s="14">
        <v>0.58333333333333337</v>
      </c>
      <c r="E20" s="45">
        <f>SUM(C20:D20)</f>
        <v>0.58333333333333337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3">
        <v>0</v>
      </c>
      <c r="L20" s="66"/>
      <c r="M20" s="66">
        <f t="shared" si="0"/>
        <v>0.58333333333333337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3">
        <v>0</v>
      </c>
      <c r="L21" s="66"/>
      <c r="M21" s="66">
        <f t="shared" si="0"/>
        <v>0</v>
      </c>
    </row>
    <row r="22" spans="1:13">
      <c r="A22" s="1" t="s">
        <v>1</v>
      </c>
      <c r="B22" s="4" t="s">
        <v>37</v>
      </c>
      <c r="C22" s="13">
        <v>8.3333333333333329E-2</v>
      </c>
      <c r="D22" s="14">
        <v>0</v>
      </c>
      <c r="E22" s="45">
        <f>SUM(C22:D22)</f>
        <v>8.3333333333333329E-2</v>
      </c>
      <c r="F22" s="12">
        <v>0.45833333333333331</v>
      </c>
      <c r="G22" s="13">
        <v>0.625</v>
      </c>
      <c r="H22" s="13">
        <v>0.33333333333333331</v>
      </c>
      <c r="I22" s="13">
        <v>0.75</v>
      </c>
      <c r="J22" s="13">
        <v>0.33333333333333331</v>
      </c>
      <c r="K22" s="53">
        <v>0.29166666666666669</v>
      </c>
      <c r="L22" s="66">
        <f>SUM(F22:K22)</f>
        <v>2.7916666666666665</v>
      </c>
      <c r="M22" s="66">
        <f t="shared" si="0"/>
        <v>2.875</v>
      </c>
    </row>
    <row r="23" spans="1:13" ht="19.5" thickBot="1">
      <c r="A23" s="1" t="s">
        <v>1</v>
      </c>
      <c r="B23" s="5" t="s">
        <v>38</v>
      </c>
      <c r="C23" s="33">
        <v>37</v>
      </c>
      <c r="D23" s="34">
        <v>7</v>
      </c>
      <c r="E23" s="46"/>
      <c r="F23" s="32">
        <v>26</v>
      </c>
      <c r="G23" s="33">
        <v>27</v>
      </c>
      <c r="H23" s="33">
        <v>33</v>
      </c>
      <c r="I23" s="33">
        <v>21</v>
      </c>
      <c r="J23" s="33">
        <v>25</v>
      </c>
      <c r="K23" s="54">
        <v>23</v>
      </c>
      <c r="L23" s="67"/>
      <c r="M23" s="67">
        <f t="shared" si="0"/>
        <v>0</v>
      </c>
    </row>
    <row r="24" spans="1:13">
      <c r="A24" s="1" t="s">
        <v>1</v>
      </c>
      <c r="B24" s="21" t="s">
        <v>39</v>
      </c>
      <c r="C24" s="30">
        <v>345000</v>
      </c>
      <c r="D24" s="31">
        <v>0</v>
      </c>
      <c r="E24" s="31">
        <f>SUM(C24:D24)</f>
        <v>345000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55">
        <v>170000</v>
      </c>
      <c r="L24" s="68">
        <f>SUM(F24:K24)</f>
        <v>1070000</v>
      </c>
      <c r="M24" s="68">
        <f t="shared" si="0"/>
        <v>1415000</v>
      </c>
    </row>
    <row r="25" spans="1:13">
      <c r="A25" s="1" t="s">
        <v>1</v>
      </c>
      <c r="B25" s="4" t="s">
        <v>40</v>
      </c>
      <c r="C25" s="16">
        <v>0</v>
      </c>
      <c r="D25" s="17">
        <v>0</v>
      </c>
      <c r="E25" s="17">
        <f t="shared" ref="E25:E61" si="3">SUM(C25:D25)</f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6">
        <v>0</v>
      </c>
      <c r="L25" s="69">
        <f t="shared" ref="L25:L61" si="4">SUM(F25:K25)</f>
        <v>5000</v>
      </c>
      <c r="M25" s="69">
        <f t="shared" si="0"/>
        <v>5000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si="3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6">
        <v>0</v>
      </c>
      <c r="L26" s="69">
        <f t="shared" si="4"/>
        <v>9000</v>
      </c>
      <c r="M26" s="69">
        <f t="shared" si="0"/>
        <v>9000</v>
      </c>
    </row>
    <row r="27" spans="1:13">
      <c r="A27" s="1" t="s">
        <v>1</v>
      </c>
      <c r="B27" s="4" t="s">
        <v>42</v>
      </c>
      <c r="C27" s="16">
        <v>50000</v>
      </c>
      <c r="D27" s="17">
        <v>0</v>
      </c>
      <c r="E27" s="17">
        <f t="shared" si="3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6">
        <v>50000</v>
      </c>
      <c r="L27" s="69">
        <f t="shared" si="4"/>
        <v>300000</v>
      </c>
      <c r="M27" s="69">
        <f t="shared" si="0"/>
        <v>350000</v>
      </c>
    </row>
    <row r="28" spans="1:13">
      <c r="A28" s="1" t="s">
        <v>1</v>
      </c>
      <c r="B28" s="4" t="s">
        <v>43</v>
      </c>
      <c r="C28" s="16">
        <v>0</v>
      </c>
      <c r="D28" s="17">
        <v>77720</v>
      </c>
      <c r="E28" s="17">
        <f t="shared" si="3"/>
        <v>77720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6">
        <v>0</v>
      </c>
      <c r="L28" s="69">
        <f t="shared" si="4"/>
        <v>0</v>
      </c>
      <c r="M28" s="69">
        <f t="shared" si="0"/>
        <v>77720</v>
      </c>
    </row>
    <row r="29" spans="1:13">
      <c r="A29" s="1" t="s">
        <v>1</v>
      </c>
      <c r="B29" s="4" t="s">
        <v>44</v>
      </c>
      <c r="C29" s="16">
        <v>0</v>
      </c>
      <c r="D29" s="17">
        <v>0</v>
      </c>
      <c r="E29" s="17">
        <f t="shared" si="3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6">
        <v>0</v>
      </c>
      <c r="L29" s="69">
        <f t="shared" si="4"/>
        <v>0</v>
      </c>
      <c r="M29" s="69">
        <f t="shared" si="0"/>
        <v>0</v>
      </c>
    </row>
    <row r="30" spans="1:13">
      <c r="A30" s="1" t="s">
        <v>1</v>
      </c>
      <c r="B30" s="4" t="s">
        <v>45</v>
      </c>
      <c r="C30" s="16">
        <v>0</v>
      </c>
      <c r="D30" s="17">
        <v>0</v>
      </c>
      <c r="E30" s="17">
        <f t="shared" si="3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6">
        <v>0</v>
      </c>
      <c r="L30" s="69">
        <f t="shared" si="4"/>
        <v>0</v>
      </c>
      <c r="M30" s="69">
        <f t="shared" si="0"/>
        <v>0</v>
      </c>
    </row>
    <row r="31" spans="1:13">
      <c r="A31" s="1" t="s">
        <v>1</v>
      </c>
      <c r="B31" s="4" t="s">
        <v>46</v>
      </c>
      <c r="C31" s="16">
        <v>0</v>
      </c>
      <c r="D31" s="17">
        <v>0</v>
      </c>
      <c r="E31" s="17">
        <f t="shared" si="3"/>
        <v>0</v>
      </c>
      <c r="F31" s="15">
        <v>2000</v>
      </c>
      <c r="G31" s="16">
        <v>2000</v>
      </c>
      <c r="H31" s="16">
        <v>0</v>
      </c>
      <c r="I31" s="16">
        <v>1000</v>
      </c>
      <c r="J31" s="16">
        <v>2000</v>
      </c>
      <c r="K31" s="56">
        <v>2000</v>
      </c>
      <c r="L31" s="69">
        <f t="shared" si="4"/>
        <v>9000</v>
      </c>
      <c r="M31" s="69">
        <f t="shared" si="0"/>
        <v>9000</v>
      </c>
    </row>
    <row r="32" spans="1:13">
      <c r="A32" s="1" t="s">
        <v>1</v>
      </c>
      <c r="B32" s="4" t="s">
        <v>47</v>
      </c>
      <c r="C32" s="16">
        <v>0</v>
      </c>
      <c r="D32" s="17">
        <v>16240</v>
      </c>
      <c r="E32" s="17">
        <f t="shared" si="3"/>
        <v>16240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6">
        <v>0</v>
      </c>
      <c r="L32" s="69">
        <f t="shared" si="4"/>
        <v>0</v>
      </c>
      <c r="M32" s="69">
        <f t="shared" si="0"/>
        <v>16240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3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6">
        <v>0</v>
      </c>
      <c r="L33" s="69">
        <f t="shared" si="4"/>
        <v>0</v>
      </c>
      <c r="M33" s="69">
        <f t="shared" si="0"/>
        <v>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3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6">
        <v>0</v>
      </c>
      <c r="L34" s="69">
        <f t="shared" si="4"/>
        <v>0</v>
      </c>
      <c r="M34" s="69">
        <f t="shared" si="0"/>
        <v>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3"/>
        <v>0</v>
      </c>
      <c r="F35" s="15">
        <v>20300</v>
      </c>
      <c r="G35" s="16">
        <v>10500</v>
      </c>
      <c r="H35" s="16">
        <v>13500</v>
      </c>
      <c r="I35" s="16">
        <v>13000</v>
      </c>
      <c r="J35" s="16">
        <v>13000</v>
      </c>
      <c r="K35" s="56">
        <v>15000</v>
      </c>
      <c r="L35" s="69">
        <f t="shared" si="4"/>
        <v>85300</v>
      </c>
      <c r="M35" s="69">
        <f t="shared" si="0"/>
        <v>85300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3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6">
        <v>0</v>
      </c>
      <c r="L36" s="69">
        <f t="shared" si="4"/>
        <v>0</v>
      </c>
      <c r="M36" s="69">
        <f t="shared" si="0"/>
        <v>0</v>
      </c>
    </row>
    <row r="37" spans="1:13">
      <c r="A37" s="1" t="s">
        <v>1</v>
      </c>
      <c r="B37" s="4" t="s">
        <v>52</v>
      </c>
      <c r="C37" s="16">
        <v>0</v>
      </c>
      <c r="D37" s="17">
        <v>0</v>
      </c>
      <c r="E37" s="17">
        <f t="shared" si="3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6">
        <v>0</v>
      </c>
      <c r="L37" s="69">
        <f t="shared" si="4"/>
        <v>0</v>
      </c>
      <c r="M37" s="69">
        <f t="shared" si="0"/>
        <v>0</v>
      </c>
    </row>
    <row r="38" spans="1:13">
      <c r="A38" s="1" t="s">
        <v>1</v>
      </c>
      <c r="B38" s="4" t="s">
        <v>29</v>
      </c>
      <c r="C38" s="16">
        <v>0</v>
      </c>
      <c r="D38" s="17">
        <v>0</v>
      </c>
      <c r="E38" s="17">
        <f t="shared" si="3"/>
        <v>0</v>
      </c>
      <c r="F38" s="15">
        <v>114660</v>
      </c>
      <c r="G38" s="16">
        <v>83549</v>
      </c>
      <c r="H38" s="16">
        <v>72920</v>
      </c>
      <c r="I38" s="16">
        <v>88396</v>
      </c>
      <c r="J38" s="16">
        <v>90550</v>
      </c>
      <c r="K38" s="56">
        <v>81604</v>
      </c>
      <c r="L38" s="69">
        <f t="shared" si="4"/>
        <v>531679</v>
      </c>
      <c r="M38" s="69">
        <f t="shared" si="0"/>
        <v>531679</v>
      </c>
    </row>
    <row r="39" spans="1:13">
      <c r="A39" s="1" t="s">
        <v>1</v>
      </c>
      <c r="B39" s="4" t="s">
        <v>53</v>
      </c>
      <c r="C39" s="16">
        <v>0</v>
      </c>
      <c r="D39" s="17">
        <v>0</v>
      </c>
      <c r="E39" s="17">
        <f t="shared" si="3"/>
        <v>0</v>
      </c>
      <c r="F39" s="15">
        <v>8256</v>
      </c>
      <c r="G39" s="16">
        <v>0</v>
      </c>
      <c r="H39" s="16">
        <v>53136</v>
      </c>
      <c r="I39" s="16">
        <v>15584</v>
      </c>
      <c r="J39" s="16">
        <v>48900</v>
      </c>
      <c r="K39" s="56">
        <v>34488</v>
      </c>
      <c r="L39" s="69">
        <f t="shared" si="4"/>
        <v>160364</v>
      </c>
      <c r="M39" s="69">
        <f t="shared" si="0"/>
        <v>160364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3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27384</v>
      </c>
      <c r="K40" s="56">
        <v>30656</v>
      </c>
      <c r="L40" s="69">
        <f t="shared" si="4"/>
        <v>58040</v>
      </c>
      <c r="M40" s="69">
        <f t="shared" si="0"/>
        <v>58040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3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6">
        <v>0</v>
      </c>
      <c r="L41" s="69">
        <f t="shared" si="4"/>
        <v>0</v>
      </c>
      <c r="M41" s="69">
        <f t="shared" si="0"/>
        <v>0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3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6">
        <v>0</v>
      </c>
      <c r="L42" s="69">
        <f t="shared" si="4"/>
        <v>0</v>
      </c>
      <c r="M42" s="69">
        <f t="shared" si="0"/>
        <v>0</v>
      </c>
    </row>
    <row r="43" spans="1:13">
      <c r="A43" s="1" t="s">
        <v>1</v>
      </c>
      <c r="B43" s="4" t="s">
        <v>57</v>
      </c>
      <c r="C43" s="16">
        <v>0</v>
      </c>
      <c r="D43" s="17">
        <v>0</v>
      </c>
      <c r="E43" s="17">
        <f t="shared" si="3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6">
        <v>0</v>
      </c>
      <c r="L43" s="69">
        <f t="shared" si="4"/>
        <v>0</v>
      </c>
      <c r="M43" s="69">
        <f t="shared" si="0"/>
        <v>0</v>
      </c>
    </row>
    <row r="44" spans="1:13" ht="19.5" thickBot="1">
      <c r="A44" s="1" t="s">
        <v>1</v>
      </c>
      <c r="B44" s="35" t="s">
        <v>37</v>
      </c>
      <c r="C44" s="37">
        <v>1182</v>
      </c>
      <c r="D44" s="38">
        <v>0</v>
      </c>
      <c r="E44" s="38">
        <f t="shared" si="3"/>
        <v>1182</v>
      </c>
      <c r="F44" s="36">
        <v>4202</v>
      </c>
      <c r="G44" s="37">
        <v>5835</v>
      </c>
      <c r="H44" s="37">
        <v>2920</v>
      </c>
      <c r="I44" s="37">
        <v>6498</v>
      </c>
      <c r="J44" s="37">
        <v>2896</v>
      </c>
      <c r="K44" s="57">
        <v>2485</v>
      </c>
      <c r="L44" s="70">
        <f t="shared" si="4"/>
        <v>24836</v>
      </c>
      <c r="M44" s="70">
        <f t="shared" si="0"/>
        <v>26018</v>
      </c>
    </row>
    <row r="45" spans="1:13" ht="19.5" thickBot="1">
      <c r="A45" s="1" t="s">
        <v>1</v>
      </c>
      <c r="B45" s="39" t="s">
        <v>58</v>
      </c>
      <c r="C45" s="41">
        <v>396182</v>
      </c>
      <c r="D45" s="42">
        <v>93960</v>
      </c>
      <c r="E45" s="42">
        <f t="shared" si="3"/>
        <v>490142</v>
      </c>
      <c r="F45" s="40">
        <v>382418</v>
      </c>
      <c r="G45" s="41">
        <v>348884</v>
      </c>
      <c r="H45" s="41">
        <v>372476</v>
      </c>
      <c r="I45" s="41">
        <v>351478</v>
      </c>
      <c r="J45" s="41">
        <v>411730</v>
      </c>
      <c r="K45" s="58">
        <v>386233</v>
      </c>
      <c r="L45" s="71">
        <f t="shared" si="4"/>
        <v>2253219</v>
      </c>
      <c r="M45" s="71">
        <f t="shared" si="0"/>
        <v>2743361</v>
      </c>
    </row>
    <row r="46" spans="1:13" ht="19.5" thickBot="1">
      <c r="A46" s="1" t="s">
        <v>1</v>
      </c>
      <c r="B46" s="21" t="s">
        <v>59</v>
      </c>
      <c r="C46" s="30">
        <v>12949</v>
      </c>
      <c r="D46" s="31">
        <v>3600</v>
      </c>
      <c r="E46" s="31">
        <f t="shared" si="3"/>
        <v>16549</v>
      </c>
      <c r="F46" s="29">
        <v>5665</v>
      </c>
      <c r="G46" s="30">
        <v>4905</v>
      </c>
      <c r="H46" s="30">
        <v>9541</v>
      </c>
      <c r="I46" s="30">
        <v>4696</v>
      </c>
      <c r="J46" s="30">
        <v>4464</v>
      </c>
      <c r="K46" s="55">
        <v>6376</v>
      </c>
      <c r="L46" s="68">
        <f t="shared" si="4"/>
        <v>35647</v>
      </c>
      <c r="M46" s="68">
        <f t="shared" si="0"/>
        <v>52196</v>
      </c>
    </row>
    <row r="47" spans="1:13" ht="19.5" thickBot="1">
      <c r="A47" s="1" t="s">
        <v>1</v>
      </c>
      <c r="B47" s="39" t="s">
        <v>60</v>
      </c>
      <c r="C47" s="41">
        <v>12949</v>
      </c>
      <c r="D47" s="42">
        <v>3600</v>
      </c>
      <c r="E47" s="42">
        <f t="shared" si="3"/>
        <v>16549</v>
      </c>
      <c r="F47" s="40">
        <v>5665</v>
      </c>
      <c r="G47" s="41">
        <v>4905</v>
      </c>
      <c r="H47" s="41">
        <v>9541</v>
      </c>
      <c r="I47" s="41">
        <v>4696</v>
      </c>
      <c r="J47" s="41">
        <v>4464</v>
      </c>
      <c r="K47" s="58">
        <v>6376</v>
      </c>
      <c r="L47" s="71">
        <f t="shared" si="4"/>
        <v>35647</v>
      </c>
      <c r="M47" s="71">
        <f t="shared" si="0"/>
        <v>52196</v>
      </c>
    </row>
    <row r="48" spans="1:13" ht="19.5" thickBot="1">
      <c r="A48" s="1" t="s">
        <v>1</v>
      </c>
      <c r="B48" s="39" t="s">
        <v>61</v>
      </c>
      <c r="C48" s="41">
        <v>409131</v>
      </c>
      <c r="D48" s="42">
        <v>97560</v>
      </c>
      <c r="E48" s="42">
        <f t="shared" si="3"/>
        <v>506691</v>
      </c>
      <c r="F48" s="40">
        <v>388083</v>
      </c>
      <c r="G48" s="41">
        <v>353789</v>
      </c>
      <c r="H48" s="41">
        <v>382017</v>
      </c>
      <c r="I48" s="41">
        <v>356174</v>
      </c>
      <c r="J48" s="41">
        <v>416194</v>
      </c>
      <c r="K48" s="58">
        <v>392609</v>
      </c>
      <c r="L48" s="71">
        <f t="shared" si="4"/>
        <v>2288866</v>
      </c>
      <c r="M48" s="71">
        <f t="shared" si="0"/>
        <v>2795557</v>
      </c>
    </row>
    <row r="49" spans="1:13">
      <c r="A49" s="1" t="s">
        <v>1</v>
      </c>
      <c r="B49" s="21" t="s">
        <v>62</v>
      </c>
      <c r="C49" s="30">
        <v>20910</v>
      </c>
      <c r="D49" s="31">
        <v>0</v>
      </c>
      <c r="E49" s="31">
        <f t="shared" si="3"/>
        <v>20910</v>
      </c>
      <c r="F49" s="29">
        <v>18360</v>
      </c>
      <c r="G49" s="30">
        <v>18360</v>
      </c>
      <c r="H49" s="30">
        <v>16320</v>
      </c>
      <c r="I49" s="30">
        <v>17340</v>
      </c>
      <c r="J49" s="30">
        <v>17340</v>
      </c>
      <c r="K49" s="55">
        <v>17340</v>
      </c>
      <c r="L49" s="68">
        <f t="shared" si="4"/>
        <v>105060</v>
      </c>
      <c r="M49" s="68">
        <f t="shared" si="0"/>
        <v>125970</v>
      </c>
    </row>
    <row r="50" spans="1:13">
      <c r="A50" s="1" t="s">
        <v>1</v>
      </c>
      <c r="B50" s="4" t="s">
        <v>63</v>
      </c>
      <c r="C50" s="16">
        <v>3690</v>
      </c>
      <c r="D50" s="17">
        <v>0</v>
      </c>
      <c r="E50" s="17">
        <f t="shared" si="3"/>
        <v>3690</v>
      </c>
      <c r="F50" s="15">
        <v>3240</v>
      </c>
      <c r="G50" s="16">
        <v>3240</v>
      </c>
      <c r="H50" s="16">
        <v>2880</v>
      </c>
      <c r="I50" s="16">
        <v>3060</v>
      </c>
      <c r="J50" s="16">
        <v>3060</v>
      </c>
      <c r="K50" s="56">
        <v>3060</v>
      </c>
      <c r="L50" s="69">
        <f t="shared" si="4"/>
        <v>18540</v>
      </c>
      <c r="M50" s="69">
        <f t="shared" si="0"/>
        <v>22230</v>
      </c>
    </row>
    <row r="51" spans="1:13">
      <c r="A51" s="1" t="s">
        <v>1</v>
      </c>
      <c r="B51" s="4" t="s">
        <v>64</v>
      </c>
      <c r="C51" s="16">
        <v>37515</v>
      </c>
      <c r="D51" s="17">
        <v>0</v>
      </c>
      <c r="E51" s="17">
        <f t="shared" si="3"/>
        <v>37515</v>
      </c>
      <c r="F51" s="15">
        <v>32940</v>
      </c>
      <c r="G51" s="16">
        <v>32940</v>
      </c>
      <c r="H51" s="16">
        <v>29280</v>
      </c>
      <c r="I51" s="16">
        <v>31110</v>
      </c>
      <c r="J51" s="16">
        <v>31110</v>
      </c>
      <c r="K51" s="56">
        <v>31110</v>
      </c>
      <c r="L51" s="69">
        <f t="shared" si="4"/>
        <v>188490</v>
      </c>
      <c r="M51" s="69">
        <f t="shared" si="0"/>
        <v>226005</v>
      </c>
    </row>
    <row r="52" spans="1:13" ht="19.5" thickBot="1">
      <c r="A52" s="1" t="s">
        <v>1</v>
      </c>
      <c r="B52" s="4" t="s">
        <v>65</v>
      </c>
      <c r="C52" s="16">
        <v>2046</v>
      </c>
      <c r="D52" s="17">
        <v>488</v>
      </c>
      <c r="E52" s="17">
        <f t="shared" si="3"/>
        <v>2534</v>
      </c>
      <c r="F52" s="15">
        <v>1940</v>
      </c>
      <c r="G52" s="16">
        <v>1769</v>
      </c>
      <c r="H52" s="16">
        <v>1910</v>
      </c>
      <c r="I52" s="16">
        <v>1781</v>
      </c>
      <c r="J52" s="16">
        <v>2081</v>
      </c>
      <c r="K52" s="56">
        <v>1963</v>
      </c>
      <c r="L52" s="69">
        <f t="shared" si="4"/>
        <v>11444</v>
      </c>
      <c r="M52" s="69">
        <f t="shared" si="0"/>
        <v>13978</v>
      </c>
    </row>
    <row r="53" spans="1:13" ht="19.5" thickBot="1">
      <c r="A53" s="1" t="s">
        <v>1</v>
      </c>
      <c r="B53" s="39" t="s">
        <v>66</v>
      </c>
      <c r="C53" s="41">
        <v>64161</v>
      </c>
      <c r="D53" s="42">
        <v>488</v>
      </c>
      <c r="E53" s="42">
        <f t="shared" si="3"/>
        <v>64649</v>
      </c>
      <c r="F53" s="40">
        <v>56480</v>
      </c>
      <c r="G53" s="41">
        <v>56309</v>
      </c>
      <c r="H53" s="41">
        <v>50390</v>
      </c>
      <c r="I53" s="41">
        <v>53291</v>
      </c>
      <c r="J53" s="41">
        <v>53591</v>
      </c>
      <c r="K53" s="58">
        <v>53473</v>
      </c>
      <c r="L53" s="71">
        <f t="shared" si="4"/>
        <v>323534</v>
      </c>
      <c r="M53" s="71">
        <f t="shared" si="0"/>
        <v>388183</v>
      </c>
    </row>
    <row r="54" spans="1:13">
      <c r="A54" s="1" t="s">
        <v>1</v>
      </c>
      <c r="B54" s="21" t="s">
        <v>67</v>
      </c>
      <c r="C54" s="30">
        <v>6410</v>
      </c>
      <c r="D54" s="31">
        <v>390</v>
      </c>
      <c r="E54" s="31">
        <f t="shared" si="3"/>
        <v>6800</v>
      </c>
      <c r="F54" s="29">
        <v>7780</v>
      </c>
      <c r="G54" s="30">
        <v>8070</v>
      </c>
      <c r="H54" s="30">
        <v>7620</v>
      </c>
      <c r="I54" s="30">
        <v>5040</v>
      </c>
      <c r="J54" s="30">
        <v>13130</v>
      </c>
      <c r="K54" s="55">
        <v>11060</v>
      </c>
      <c r="L54" s="68">
        <f t="shared" si="4"/>
        <v>52700</v>
      </c>
      <c r="M54" s="68">
        <f t="shared" si="0"/>
        <v>59500</v>
      </c>
    </row>
    <row r="55" spans="1:13">
      <c r="A55" s="1" t="s">
        <v>1</v>
      </c>
      <c r="B55" s="4" t="s">
        <v>68</v>
      </c>
      <c r="C55" s="16">
        <v>26400</v>
      </c>
      <c r="D55" s="17">
        <v>600</v>
      </c>
      <c r="E55" s="17">
        <f t="shared" si="3"/>
        <v>27000</v>
      </c>
      <c r="F55" s="15">
        <v>14200</v>
      </c>
      <c r="G55" s="16">
        <v>17200</v>
      </c>
      <c r="H55" s="16">
        <v>5300</v>
      </c>
      <c r="I55" s="16">
        <v>7600</v>
      </c>
      <c r="J55" s="16">
        <v>16700</v>
      </c>
      <c r="K55" s="56">
        <v>5300</v>
      </c>
      <c r="L55" s="69">
        <f t="shared" si="4"/>
        <v>66300</v>
      </c>
      <c r="M55" s="69">
        <f t="shared" ref="M55:M61" si="5">E55+L55</f>
        <v>93300</v>
      </c>
    </row>
    <row r="56" spans="1:13" ht="19.5" thickBot="1">
      <c r="A56" s="1" t="s">
        <v>1</v>
      </c>
      <c r="B56" s="4" t="s">
        <v>69</v>
      </c>
      <c r="C56" s="16">
        <v>0</v>
      </c>
      <c r="D56" s="17">
        <v>0</v>
      </c>
      <c r="E56" s="17">
        <f t="shared" si="3"/>
        <v>0</v>
      </c>
      <c r="F56" s="15">
        <v>0</v>
      </c>
      <c r="G56" s="16">
        <v>0</v>
      </c>
      <c r="H56" s="16">
        <v>0</v>
      </c>
      <c r="I56" s="16">
        <v>0</v>
      </c>
      <c r="J56" s="16">
        <v>0</v>
      </c>
      <c r="K56" s="56">
        <v>0</v>
      </c>
      <c r="L56" s="69">
        <f t="shared" si="4"/>
        <v>0</v>
      </c>
      <c r="M56" s="69">
        <f t="shared" si="5"/>
        <v>0</v>
      </c>
    </row>
    <row r="57" spans="1:13" ht="19.5" thickBot="1">
      <c r="A57" s="1" t="s">
        <v>1</v>
      </c>
      <c r="B57" s="39" t="s">
        <v>70</v>
      </c>
      <c r="C57" s="41">
        <v>96971</v>
      </c>
      <c r="D57" s="42">
        <v>1478</v>
      </c>
      <c r="E57" s="42">
        <f t="shared" si="3"/>
        <v>98449</v>
      </c>
      <c r="F57" s="40">
        <v>78460</v>
      </c>
      <c r="G57" s="41">
        <v>81579</v>
      </c>
      <c r="H57" s="41">
        <v>63310</v>
      </c>
      <c r="I57" s="41">
        <v>65931</v>
      </c>
      <c r="J57" s="41">
        <v>83421</v>
      </c>
      <c r="K57" s="58">
        <v>69833</v>
      </c>
      <c r="L57" s="71">
        <f t="shared" si="4"/>
        <v>442534</v>
      </c>
      <c r="M57" s="71">
        <f t="shared" si="5"/>
        <v>540983</v>
      </c>
    </row>
    <row r="58" spans="1:13" ht="19.5" thickBot="1">
      <c r="A58" s="1" t="s">
        <v>1</v>
      </c>
      <c r="B58" s="39" t="s">
        <v>71</v>
      </c>
      <c r="C58" s="41">
        <v>332021</v>
      </c>
      <c r="D58" s="42">
        <v>93472</v>
      </c>
      <c r="E58" s="42">
        <f t="shared" si="3"/>
        <v>425493</v>
      </c>
      <c r="F58" s="40">
        <v>325938</v>
      </c>
      <c r="G58" s="41">
        <v>292575</v>
      </c>
      <c r="H58" s="41">
        <v>322086</v>
      </c>
      <c r="I58" s="41">
        <v>298187</v>
      </c>
      <c r="J58" s="41">
        <v>358139</v>
      </c>
      <c r="K58" s="58">
        <v>332760</v>
      </c>
      <c r="L58" s="71">
        <f t="shared" si="4"/>
        <v>1929685</v>
      </c>
      <c r="M58" s="71">
        <f t="shared" si="5"/>
        <v>2355178</v>
      </c>
    </row>
    <row r="59" spans="1:13" ht="19.5" thickBot="1">
      <c r="A59" s="1" t="s">
        <v>1</v>
      </c>
      <c r="B59" s="39" t="s">
        <v>72</v>
      </c>
      <c r="C59" s="41">
        <v>312160</v>
      </c>
      <c r="D59" s="42">
        <v>96082</v>
      </c>
      <c r="E59" s="42">
        <f t="shared" si="3"/>
        <v>408242</v>
      </c>
      <c r="F59" s="40">
        <v>309623</v>
      </c>
      <c r="G59" s="41">
        <v>272210</v>
      </c>
      <c r="H59" s="41">
        <v>318707</v>
      </c>
      <c r="I59" s="41">
        <v>290243</v>
      </c>
      <c r="J59" s="41">
        <v>332773</v>
      </c>
      <c r="K59" s="58">
        <v>322776</v>
      </c>
      <c r="L59" s="71">
        <f t="shared" si="4"/>
        <v>1846332</v>
      </c>
      <c r="M59" s="71">
        <f t="shared" si="5"/>
        <v>2254574</v>
      </c>
    </row>
    <row r="60" spans="1:13">
      <c r="A60" s="1" t="s">
        <v>1</v>
      </c>
      <c r="B60" s="21" t="s">
        <v>73</v>
      </c>
      <c r="C60" s="30">
        <v>0</v>
      </c>
      <c r="D60" s="31">
        <v>0</v>
      </c>
      <c r="E60" s="31">
        <f t="shared" si="3"/>
        <v>0</v>
      </c>
      <c r="F60" s="29">
        <v>0</v>
      </c>
      <c r="G60" s="30">
        <v>0</v>
      </c>
      <c r="H60" s="30">
        <v>0</v>
      </c>
      <c r="I60" s="30">
        <v>0</v>
      </c>
      <c r="J60" s="30">
        <v>0</v>
      </c>
      <c r="K60" s="55">
        <v>0</v>
      </c>
      <c r="L60" s="68">
        <f t="shared" si="4"/>
        <v>0</v>
      </c>
      <c r="M60" s="68">
        <f t="shared" si="5"/>
        <v>0</v>
      </c>
    </row>
    <row r="61" spans="1:13">
      <c r="A61" s="1" t="s">
        <v>1</v>
      </c>
      <c r="B61" s="4" t="s">
        <v>74</v>
      </c>
      <c r="C61" s="16">
        <v>312160</v>
      </c>
      <c r="D61" s="17">
        <v>96082</v>
      </c>
      <c r="E61" s="17">
        <f t="shared" si="3"/>
        <v>408242</v>
      </c>
      <c r="F61" s="15">
        <v>309623</v>
      </c>
      <c r="G61" s="16">
        <v>272210</v>
      </c>
      <c r="H61" s="16">
        <v>318707</v>
      </c>
      <c r="I61" s="16">
        <v>290243</v>
      </c>
      <c r="J61" s="16">
        <v>332773</v>
      </c>
      <c r="K61" s="56">
        <v>322776</v>
      </c>
      <c r="L61" s="69">
        <f t="shared" si="4"/>
        <v>1846332</v>
      </c>
      <c r="M61" s="69">
        <f t="shared" si="5"/>
        <v>2254574</v>
      </c>
    </row>
    <row r="62" spans="1:13">
      <c r="A62" s="1" t="s">
        <v>1</v>
      </c>
      <c r="B62" s="4" t="s">
        <v>75</v>
      </c>
      <c r="C62" s="16">
        <v>2</v>
      </c>
      <c r="D62" s="17">
        <v>0</v>
      </c>
      <c r="E62" s="17"/>
      <c r="F62" s="15">
        <v>1</v>
      </c>
      <c r="G62" s="16">
        <v>0</v>
      </c>
      <c r="H62" s="16">
        <v>1</v>
      </c>
      <c r="I62" s="16">
        <v>2</v>
      </c>
      <c r="J62" s="16">
        <v>0</v>
      </c>
      <c r="K62" s="56">
        <v>0</v>
      </c>
      <c r="L62" s="69"/>
      <c r="M62" s="69"/>
    </row>
    <row r="63" spans="1:13" ht="19.5" thickBot="1">
      <c r="A63" s="1" t="s">
        <v>1</v>
      </c>
      <c r="B63" s="5" t="s">
        <v>76</v>
      </c>
      <c r="C63" s="19" t="s">
        <v>77</v>
      </c>
      <c r="D63" s="20" t="s">
        <v>77</v>
      </c>
      <c r="E63" s="20"/>
      <c r="F63" s="18" t="s">
        <v>77</v>
      </c>
      <c r="G63" s="19" t="s">
        <v>77</v>
      </c>
      <c r="H63" s="19" t="s">
        <v>77</v>
      </c>
      <c r="I63" s="19" t="s">
        <v>77</v>
      </c>
      <c r="J63" s="19" t="s">
        <v>77</v>
      </c>
      <c r="K63" s="59" t="s">
        <v>77</v>
      </c>
      <c r="L63" s="72"/>
      <c r="M63" s="72"/>
    </row>
  </sheetData>
  <phoneticPr fontId="4"/>
  <pageMargins left="0.31496062992125984" right="0.31496062992125984" top="0.35433070866141736" bottom="0.35433070866141736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12月度給与 (2)</vt:lpstr>
      <vt:lpstr>'2022年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2023-01-12T08:01:48Z</cp:lastPrinted>
  <dcterms:created xsi:type="dcterms:W3CDTF">2023-01-11T01:39:18Z</dcterms:created>
  <dcterms:modified xsi:type="dcterms:W3CDTF">2023-01-12T08:53:02Z</dcterms:modified>
</cp:coreProperties>
</file>