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6388C6AD-1F04-4F24-B561-621CD18C0BF5}" xr6:coauthVersionLast="47" xr6:coauthVersionMax="47" xr10:uidLastSave="{00000000-0000-0000-0000-000000000000}"/>
  <bookViews>
    <workbookView xWindow="-120" yWindow="-120" windowWidth="20730" windowHeight="11160" xr2:uid="{8901337F-0ED1-455B-A768-DF814AA8D5B5}"/>
  </bookViews>
  <sheets>
    <sheet name="2022年 12月度給与 (2)" sheetId="3" r:id="rId1"/>
  </sheets>
  <definedNames>
    <definedName name="_xlnm.Print_Area" localSheetId="0">'2022年 12月度給与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3" l="1"/>
  <c r="M10" i="3"/>
  <c r="M11" i="3"/>
  <c r="M12" i="3"/>
  <c r="M17" i="3"/>
  <c r="M18" i="3"/>
  <c r="M19" i="3"/>
  <c r="M21" i="3"/>
  <c r="M23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4" i="3"/>
  <c r="L22" i="3"/>
  <c r="L15" i="3"/>
  <c r="M15" i="3" s="1"/>
  <c r="L16" i="3"/>
  <c r="M16" i="3" s="1"/>
  <c r="L14" i="3"/>
  <c r="M14" i="3" s="1"/>
  <c r="L9" i="3"/>
  <c r="L7" i="3"/>
  <c r="M7" i="3" s="1"/>
  <c r="L6" i="3"/>
  <c r="M6" i="3" s="1"/>
  <c r="L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4" i="3"/>
  <c r="E22" i="3"/>
  <c r="E20" i="3"/>
  <c r="M20" i="3" s="1"/>
  <c r="E13" i="3"/>
  <c r="M13" i="3" s="1"/>
  <c r="E9" i="3"/>
  <c r="E5" i="3"/>
  <c r="M9" i="3" l="1"/>
  <c r="M22" i="3"/>
  <c r="M60" i="3"/>
  <c r="M53" i="3"/>
  <c r="M49" i="3"/>
  <c r="M46" i="3"/>
  <c r="M42" i="3"/>
  <c r="M38" i="3"/>
  <c r="M35" i="3"/>
  <c r="M34" i="3"/>
  <c r="M31" i="3"/>
  <c r="M27" i="3"/>
  <c r="M5" i="3"/>
  <c r="M24" i="3"/>
  <c r="M59" i="3"/>
  <c r="M55" i="3"/>
  <c r="M52" i="3"/>
  <c r="M48" i="3"/>
  <c r="M45" i="3"/>
  <c r="M41" i="3"/>
  <c r="M30" i="3"/>
  <c r="M26" i="3"/>
  <c r="M62" i="3"/>
  <c r="M58" i="3"/>
  <c r="M57" i="3"/>
  <c r="M54" i="3"/>
  <c r="M51" i="3"/>
  <c r="M44" i="3"/>
  <c r="M40" i="3"/>
  <c r="M37" i="3"/>
  <c r="M33" i="3"/>
  <c r="M25" i="3"/>
  <c r="M56" i="3"/>
  <c r="M50" i="3"/>
  <c r="M47" i="3"/>
  <c r="M43" i="3"/>
  <c r="M39" i="3"/>
  <c r="M36" i="3"/>
  <c r="M32" i="3"/>
  <c r="M29" i="3"/>
  <c r="M28" i="3"/>
  <c r="M61" i="3"/>
</calcChain>
</file>

<file path=xl/sharedStrings.xml><?xml version="1.0" encoding="utf-8"?>
<sst xmlns="http://schemas.openxmlformats.org/spreadsheetml/2006/main" count="153" uniqueCount="83">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</sst>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866C779B-D700-47ED-940D-D7CE1E6264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F90E-9735-433D-A167-8B00FAE772AF}">
  <sheetPr>
    <pageSetUpPr fitToPage="1"/>
  </sheetPr>
  <dimension ref="A1:O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78</v>
      </c>
    </row>
    <row r="3" spans="1:15">
      <c r="B3" s="3"/>
      <c r="C3" s="7" t="s">
        <v>3</v>
      </c>
      <c r="D3" s="8" t="s">
        <v>9</v>
      </c>
      <c r="E3" s="47" t="s">
        <v>79</v>
      </c>
      <c r="F3" s="6" t="s">
        <v>2</v>
      </c>
      <c r="G3" s="7" t="s">
        <v>4</v>
      </c>
      <c r="H3" s="7" t="s">
        <v>5</v>
      </c>
      <c r="I3" s="7" t="s">
        <v>6</v>
      </c>
      <c r="J3" s="7" t="s">
        <v>7</v>
      </c>
      <c r="K3" s="49" t="s">
        <v>8</v>
      </c>
      <c r="L3" s="60" t="s">
        <v>79</v>
      </c>
      <c r="M3" s="61" t="s">
        <v>19</v>
      </c>
    </row>
    <row r="4" spans="1:15" ht="19.5" thickBot="1">
      <c r="A4" s="73"/>
      <c r="B4" s="25" t="s">
        <v>10</v>
      </c>
      <c r="C4" s="27" t="s">
        <v>12</v>
      </c>
      <c r="D4" s="28" t="s">
        <v>18</v>
      </c>
      <c r="E4" s="48" t="s">
        <v>80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50" t="s">
        <v>17</v>
      </c>
      <c r="L4" s="62" t="s">
        <v>81</v>
      </c>
      <c r="M4" s="63" t="s">
        <v>82</v>
      </c>
    </row>
    <row r="5" spans="1:15">
      <c r="A5" s="1" t="s">
        <v>1</v>
      </c>
      <c r="B5" s="21" t="s">
        <v>20</v>
      </c>
      <c r="C5" s="23">
        <v>20</v>
      </c>
      <c r="D5" s="24">
        <v>18</v>
      </c>
      <c r="E5" s="43">
        <f>SUM(C5:D5)</f>
        <v>38</v>
      </c>
      <c r="F5" s="22">
        <v>20</v>
      </c>
      <c r="G5" s="23">
        <v>21</v>
      </c>
      <c r="H5" s="23">
        <v>20</v>
      </c>
      <c r="I5" s="23">
        <v>20</v>
      </c>
      <c r="J5" s="23">
        <v>21</v>
      </c>
      <c r="K5" s="51">
        <v>21</v>
      </c>
      <c r="L5" s="64">
        <f>SUM(F5:K5)</f>
        <v>123</v>
      </c>
      <c r="M5" s="64">
        <f>E5+L5</f>
        <v>161</v>
      </c>
      <c r="O5"/>
    </row>
    <row r="6" spans="1:15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3</v>
      </c>
      <c r="G6" s="10">
        <v>3</v>
      </c>
      <c r="H6" s="10">
        <v>3</v>
      </c>
      <c r="I6" s="10">
        <v>2</v>
      </c>
      <c r="J6" s="10">
        <v>1</v>
      </c>
      <c r="K6" s="52">
        <v>2</v>
      </c>
      <c r="L6" s="65">
        <f>SUM(F6:K6)</f>
        <v>14</v>
      </c>
      <c r="M6" s="65">
        <f t="shared" ref="M6:M55" si="0">E6+L6</f>
        <v>14</v>
      </c>
      <c r="O6"/>
    </row>
    <row r="7" spans="1:15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0</v>
      </c>
      <c r="G7" s="10">
        <v>0</v>
      </c>
      <c r="H7" s="10">
        <v>0</v>
      </c>
      <c r="I7" s="10">
        <v>0</v>
      </c>
      <c r="J7" s="10">
        <v>0</v>
      </c>
      <c r="K7" s="52">
        <v>1</v>
      </c>
      <c r="L7" s="65">
        <f>SUM(F7:K7)</f>
        <v>1</v>
      </c>
      <c r="M7" s="65">
        <f t="shared" si="0"/>
        <v>1</v>
      </c>
      <c r="O7"/>
    </row>
    <row r="8" spans="1:15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2">
        <v>0</v>
      </c>
      <c r="L8" s="65"/>
      <c r="M8" s="65">
        <f t="shared" si="0"/>
        <v>0</v>
      </c>
      <c r="O8"/>
    </row>
    <row r="9" spans="1:15">
      <c r="A9" s="1" t="s">
        <v>1</v>
      </c>
      <c r="B9" s="4" t="s">
        <v>24</v>
      </c>
      <c r="C9" s="10">
        <v>1</v>
      </c>
      <c r="D9" s="11">
        <v>1</v>
      </c>
      <c r="E9" s="44">
        <f>SUM(C9:D9)</f>
        <v>2</v>
      </c>
      <c r="F9" s="9">
        <v>1</v>
      </c>
      <c r="G9" s="10">
        <v>0</v>
      </c>
      <c r="H9" s="10">
        <v>1</v>
      </c>
      <c r="I9" s="10">
        <v>1</v>
      </c>
      <c r="J9" s="10">
        <v>0</v>
      </c>
      <c r="K9" s="52">
        <v>0</v>
      </c>
      <c r="L9" s="65">
        <f>SUM(F9:K9)</f>
        <v>3</v>
      </c>
      <c r="M9" s="65">
        <f t="shared" si="0"/>
        <v>5</v>
      </c>
      <c r="O9"/>
    </row>
    <row r="10" spans="1:15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2">
        <v>0</v>
      </c>
      <c r="L10" s="65"/>
      <c r="M10" s="65">
        <f t="shared" si="0"/>
        <v>0</v>
      </c>
      <c r="O10"/>
    </row>
    <row r="11" spans="1:15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2">
        <v>0</v>
      </c>
      <c r="L11" s="65"/>
      <c r="M11" s="65">
        <f t="shared" si="0"/>
        <v>0</v>
      </c>
      <c r="O11"/>
    </row>
    <row r="12" spans="1:15">
      <c r="A12" s="1" t="s">
        <v>1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2">
        <v>0</v>
      </c>
      <c r="L12" s="65"/>
      <c r="M12" s="65">
        <f t="shared" si="0"/>
        <v>0</v>
      </c>
      <c r="O12"/>
    </row>
    <row r="13" spans="1:15">
      <c r="A13" s="1" t="s">
        <v>1</v>
      </c>
      <c r="B13" s="4" t="s">
        <v>28</v>
      </c>
      <c r="C13" s="13">
        <v>0</v>
      </c>
      <c r="D13" s="14">
        <v>3.75</v>
      </c>
      <c r="E13" s="45">
        <f>SUM(C13:D13)</f>
        <v>3.75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3">
        <v>0</v>
      </c>
      <c r="L13" s="66"/>
      <c r="M13" s="66">
        <f t="shared" si="0"/>
        <v>3.75</v>
      </c>
      <c r="O13"/>
    </row>
    <row r="14" spans="1:15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0.79166666666666663</v>
      </c>
      <c r="G14" s="13">
        <v>1.25</v>
      </c>
      <c r="H14" s="13">
        <v>0.58333333333333337</v>
      </c>
      <c r="I14" s="13">
        <v>0.75</v>
      </c>
      <c r="J14" s="13">
        <v>1.4583333333333333</v>
      </c>
      <c r="K14" s="53">
        <v>1.5833333333333335</v>
      </c>
      <c r="L14" s="66">
        <f>SUM(F14:K14)</f>
        <v>6.4166666666666661</v>
      </c>
      <c r="M14" s="66">
        <f t="shared" si="0"/>
        <v>6.4166666666666661</v>
      </c>
      <c r="O14"/>
    </row>
    <row r="15" spans="1:15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1.3333333333333333</v>
      </c>
      <c r="G15" s="13">
        <v>1.4583333333333333</v>
      </c>
      <c r="H15" s="13">
        <v>1.2916666666666667</v>
      </c>
      <c r="I15" s="13">
        <v>0.70833333333333337</v>
      </c>
      <c r="J15" s="13">
        <v>0.45833333333333331</v>
      </c>
      <c r="K15" s="53">
        <v>1.0416666666666667</v>
      </c>
      <c r="L15" s="66">
        <f t="shared" ref="L15:L16" si="1">SUM(F15:K15)</f>
        <v>6.2916666666666661</v>
      </c>
      <c r="M15" s="66">
        <f t="shared" si="0"/>
        <v>6.2916666666666661</v>
      </c>
      <c r="O15"/>
    </row>
    <row r="16" spans="1:15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53">
        <v>0.29166666666666669</v>
      </c>
      <c r="L16" s="66">
        <f t="shared" si="1"/>
        <v>0.29166666666666669</v>
      </c>
      <c r="M16" s="66">
        <f t="shared" si="0"/>
        <v>0.29166666666666669</v>
      </c>
      <c r="O16"/>
    </row>
    <row r="17" spans="1:15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3">
        <v>0</v>
      </c>
      <c r="L17" s="66"/>
      <c r="M17" s="66">
        <f t="shared" si="0"/>
        <v>0</v>
      </c>
      <c r="O17"/>
    </row>
    <row r="18" spans="1:15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3">
        <v>0</v>
      </c>
      <c r="L18" s="66"/>
      <c r="M18" s="66">
        <f t="shared" si="0"/>
        <v>0</v>
      </c>
      <c r="O18"/>
    </row>
    <row r="19" spans="1:15">
      <c r="A19" s="1" t="s">
        <v>1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3">
        <v>0</v>
      </c>
      <c r="L19" s="66"/>
      <c r="M19" s="66">
        <f t="shared" si="0"/>
        <v>0</v>
      </c>
      <c r="O19"/>
    </row>
    <row r="20" spans="1:15">
      <c r="A20" s="1" t="s">
        <v>1</v>
      </c>
      <c r="B20" s="4" t="s">
        <v>35</v>
      </c>
      <c r="C20" s="13">
        <v>0</v>
      </c>
      <c r="D20" s="14">
        <v>0.20833333333333334</v>
      </c>
      <c r="E20" s="45">
        <f>SUM(C20:D20)</f>
        <v>0.20833333333333334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3">
        <v>0</v>
      </c>
      <c r="L20" s="66"/>
      <c r="M20" s="66">
        <f t="shared" si="0"/>
        <v>0.20833333333333334</v>
      </c>
      <c r="O20"/>
    </row>
    <row r="21" spans="1:15">
      <c r="A21" s="1" t="s">
        <v>1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3">
        <v>0</v>
      </c>
      <c r="L21" s="66"/>
      <c r="M21" s="66">
        <f t="shared" si="0"/>
        <v>0</v>
      </c>
      <c r="O21"/>
    </row>
    <row r="22" spans="1:15">
      <c r="A22" s="1" t="s">
        <v>1</v>
      </c>
      <c r="B22" s="4" t="s">
        <v>37</v>
      </c>
      <c r="C22" s="13">
        <v>4.1666666666666664E-2</v>
      </c>
      <c r="D22" s="14">
        <v>0</v>
      </c>
      <c r="E22" s="45">
        <f>SUM(C22:D22)</f>
        <v>4.1666666666666664E-2</v>
      </c>
      <c r="F22" s="12">
        <v>8.3333333333333329E-2</v>
      </c>
      <c r="G22" s="13">
        <v>0.25</v>
      </c>
      <c r="H22" s="13">
        <v>0</v>
      </c>
      <c r="I22" s="13">
        <v>4.1666666666666664E-2</v>
      </c>
      <c r="J22" s="13">
        <v>8.3333333333333329E-2</v>
      </c>
      <c r="K22" s="53">
        <v>0.125</v>
      </c>
      <c r="L22" s="66">
        <f>SUM(F22:K22)</f>
        <v>0.58333333333333326</v>
      </c>
      <c r="M22" s="66">
        <f t="shared" si="0"/>
        <v>0.62499999999999989</v>
      </c>
      <c r="O22"/>
    </row>
    <row r="23" spans="1:15" ht="19.5" thickBot="1">
      <c r="A23" s="1" t="s">
        <v>1</v>
      </c>
      <c r="B23" s="5" t="s">
        <v>38</v>
      </c>
      <c r="C23" s="33">
        <v>29</v>
      </c>
      <c r="D23" s="34">
        <v>22</v>
      </c>
      <c r="E23" s="46"/>
      <c r="F23" s="32">
        <v>5</v>
      </c>
      <c r="G23" s="33">
        <v>11</v>
      </c>
      <c r="H23" s="33">
        <v>18</v>
      </c>
      <c r="I23" s="33">
        <v>15</v>
      </c>
      <c r="J23" s="33">
        <v>10</v>
      </c>
      <c r="K23" s="54">
        <v>0</v>
      </c>
      <c r="L23" s="67"/>
      <c r="M23" s="67">
        <f t="shared" si="0"/>
        <v>0</v>
      </c>
      <c r="O23"/>
    </row>
    <row r="24" spans="1:15">
      <c r="A24" s="1" t="s">
        <v>1</v>
      </c>
      <c r="B24" s="21" t="s">
        <v>39</v>
      </c>
      <c r="C24" s="30">
        <v>365000</v>
      </c>
      <c r="D24" s="31">
        <v>0</v>
      </c>
      <c r="E24" s="31">
        <f>SUM(C24:D24)</f>
        <v>365000</v>
      </c>
      <c r="F24" s="29">
        <v>187000</v>
      </c>
      <c r="G24" s="30">
        <v>187000</v>
      </c>
      <c r="H24" s="30">
        <v>182000</v>
      </c>
      <c r="I24" s="30">
        <v>187000</v>
      </c>
      <c r="J24" s="30">
        <v>175000</v>
      </c>
      <c r="K24" s="55">
        <v>170000</v>
      </c>
      <c r="L24" s="68">
        <f>SUM(F24:K24)</f>
        <v>1088000</v>
      </c>
      <c r="M24" s="68">
        <f t="shared" si="0"/>
        <v>1453000</v>
      </c>
      <c r="O24"/>
    </row>
    <row r="25" spans="1:15">
      <c r="A25" s="1" t="s">
        <v>1</v>
      </c>
      <c r="B25" s="4" t="s">
        <v>40</v>
      </c>
      <c r="C25" s="16">
        <v>0</v>
      </c>
      <c r="D25" s="17">
        <v>0</v>
      </c>
      <c r="E25" s="17">
        <f t="shared" ref="E25:E62" si="2">SUM(C25:D25)</f>
        <v>0</v>
      </c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56">
        <v>0</v>
      </c>
      <c r="L25" s="69">
        <f t="shared" ref="L25:L62" si="3">SUM(F25:K25)</f>
        <v>0</v>
      </c>
      <c r="M25" s="69">
        <f t="shared" si="0"/>
        <v>0</v>
      </c>
      <c r="O25"/>
    </row>
    <row r="26" spans="1:15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6000</v>
      </c>
      <c r="I26" s="16">
        <v>0</v>
      </c>
      <c r="J26" s="16">
        <v>0</v>
      </c>
      <c r="K26" s="56">
        <v>0</v>
      </c>
      <c r="L26" s="69">
        <f t="shared" si="3"/>
        <v>12000</v>
      </c>
      <c r="M26" s="69">
        <f t="shared" si="0"/>
        <v>12000</v>
      </c>
      <c r="O26"/>
    </row>
    <row r="27" spans="1:15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6">
        <v>0</v>
      </c>
      <c r="L27" s="69">
        <f t="shared" si="3"/>
        <v>0</v>
      </c>
      <c r="M27" s="69">
        <f t="shared" si="0"/>
        <v>0</v>
      </c>
      <c r="O27"/>
    </row>
    <row r="28" spans="1:15">
      <c r="A28" s="1" t="s">
        <v>1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73000</v>
      </c>
      <c r="G28" s="16">
        <v>55185</v>
      </c>
      <c r="H28" s="16">
        <v>81111</v>
      </c>
      <c r="I28" s="16">
        <v>72165</v>
      </c>
      <c r="J28" s="16">
        <v>33125</v>
      </c>
      <c r="K28" s="56">
        <v>28006</v>
      </c>
      <c r="L28" s="69">
        <f t="shared" si="3"/>
        <v>342592</v>
      </c>
      <c r="M28" s="69">
        <f t="shared" si="0"/>
        <v>342592</v>
      </c>
      <c r="O28"/>
    </row>
    <row r="29" spans="1:15">
      <c r="A29" s="1" t="s">
        <v>1</v>
      </c>
      <c r="B29" s="4" t="s">
        <v>44</v>
      </c>
      <c r="C29" s="16">
        <v>0</v>
      </c>
      <c r="D29" s="17">
        <v>86400</v>
      </c>
      <c r="E29" s="17">
        <f t="shared" si="2"/>
        <v>86400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6">
        <v>0</v>
      </c>
      <c r="L29" s="69">
        <f t="shared" si="3"/>
        <v>0</v>
      </c>
      <c r="M29" s="69">
        <f t="shared" si="0"/>
        <v>86400</v>
      </c>
      <c r="O29"/>
    </row>
    <row r="30" spans="1:15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6">
        <v>0</v>
      </c>
      <c r="L30" s="69">
        <f t="shared" si="3"/>
        <v>0</v>
      </c>
      <c r="M30" s="69">
        <f t="shared" si="0"/>
        <v>0</v>
      </c>
      <c r="O30"/>
    </row>
    <row r="31" spans="1:15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6">
        <v>0</v>
      </c>
      <c r="L31" s="69">
        <f t="shared" si="3"/>
        <v>0</v>
      </c>
      <c r="M31" s="69">
        <f t="shared" si="0"/>
        <v>0</v>
      </c>
      <c r="O31"/>
    </row>
    <row r="32" spans="1:15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2000</v>
      </c>
      <c r="G32" s="16">
        <v>2000</v>
      </c>
      <c r="H32" s="16">
        <v>2000</v>
      </c>
      <c r="I32" s="16">
        <v>2000</v>
      </c>
      <c r="J32" s="16">
        <v>2000</v>
      </c>
      <c r="K32" s="56">
        <v>0</v>
      </c>
      <c r="L32" s="69">
        <f t="shared" si="3"/>
        <v>10000</v>
      </c>
      <c r="M32" s="69">
        <f t="shared" si="0"/>
        <v>10000</v>
      </c>
      <c r="O32"/>
    </row>
    <row r="33" spans="1:15">
      <c r="A33" s="1" t="s">
        <v>1</v>
      </c>
      <c r="B33" s="4" t="s">
        <v>48</v>
      </c>
      <c r="C33" s="16">
        <v>0</v>
      </c>
      <c r="D33" s="17">
        <v>4800</v>
      </c>
      <c r="E33" s="17">
        <f t="shared" si="2"/>
        <v>4800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6">
        <v>0</v>
      </c>
      <c r="L33" s="69">
        <f t="shared" si="3"/>
        <v>0</v>
      </c>
      <c r="M33" s="69">
        <f t="shared" si="0"/>
        <v>4800</v>
      </c>
      <c r="O33"/>
    </row>
    <row r="34" spans="1:15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6">
        <v>0</v>
      </c>
      <c r="L34" s="69">
        <f t="shared" si="3"/>
        <v>0</v>
      </c>
      <c r="M34" s="69">
        <f t="shared" si="0"/>
        <v>0</v>
      </c>
      <c r="O34"/>
    </row>
    <row r="35" spans="1:15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6">
        <v>0</v>
      </c>
      <c r="L35" s="69">
        <f t="shared" si="3"/>
        <v>0</v>
      </c>
      <c r="M35" s="69">
        <f t="shared" si="0"/>
        <v>0</v>
      </c>
      <c r="O35"/>
    </row>
    <row r="36" spans="1:15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6">
        <v>0</v>
      </c>
      <c r="L36" s="69">
        <f t="shared" si="3"/>
        <v>0</v>
      </c>
      <c r="M36" s="69">
        <f t="shared" si="0"/>
        <v>0</v>
      </c>
      <c r="O36"/>
    </row>
    <row r="37" spans="1:15">
      <c r="A37" s="1" t="s">
        <v>1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6">
        <v>0</v>
      </c>
      <c r="L37" s="69">
        <f t="shared" si="3"/>
        <v>0</v>
      </c>
      <c r="M37" s="69">
        <f t="shared" si="0"/>
        <v>0</v>
      </c>
      <c r="O37"/>
    </row>
    <row r="38" spans="1:15">
      <c r="A38" s="1" t="s">
        <v>1</v>
      </c>
      <c r="B38" s="4" t="s">
        <v>29</v>
      </c>
      <c r="C38" s="16">
        <v>0</v>
      </c>
      <c r="D38" s="17">
        <v>0</v>
      </c>
      <c r="E38" s="17">
        <f t="shared" si="2"/>
        <v>0</v>
      </c>
      <c r="F38" s="15">
        <v>27740</v>
      </c>
      <c r="G38" s="16">
        <v>42450</v>
      </c>
      <c r="H38" s="16">
        <v>19922</v>
      </c>
      <c r="I38" s="16">
        <v>25470</v>
      </c>
      <c r="J38" s="16">
        <v>46375</v>
      </c>
      <c r="K38" s="56">
        <v>48374</v>
      </c>
      <c r="L38" s="69">
        <f t="shared" si="3"/>
        <v>210331</v>
      </c>
      <c r="M38" s="69">
        <f t="shared" si="0"/>
        <v>210331</v>
      </c>
      <c r="O38"/>
    </row>
    <row r="39" spans="1:15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50464</v>
      </c>
      <c r="G39" s="16">
        <v>53480</v>
      </c>
      <c r="H39" s="16">
        <v>47616</v>
      </c>
      <c r="I39" s="16">
        <v>25976</v>
      </c>
      <c r="J39" s="16">
        <v>15741</v>
      </c>
      <c r="K39" s="56">
        <v>34350</v>
      </c>
      <c r="L39" s="69">
        <f t="shared" si="3"/>
        <v>227627</v>
      </c>
      <c r="M39" s="69">
        <f t="shared" si="0"/>
        <v>227627</v>
      </c>
      <c r="O39"/>
    </row>
    <row r="40" spans="1:15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6">
        <v>9618</v>
      </c>
      <c r="L40" s="69">
        <f t="shared" si="3"/>
        <v>9618</v>
      </c>
      <c r="M40" s="69">
        <f t="shared" si="0"/>
        <v>9618</v>
      </c>
      <c r="O40"/>
    </row>
    <row r="41" spans="1:15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6">
        <v>0</v>
      </c>
      <c r="L41" s="69">
        <f t="shared" si="3"/>
        <v>0</v>
      </c>
      <c r="M41" s="69">
        <f t="shared" si="0"/>
        <v>0</v>
      </c>
      <c r="O41"/>
    </row>
    <row r="42" spans="1:15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6">
        <v>0</v>
      </c>
      <c r="L42" s="69">
        <f t="shared" si="3"/>
        <v>0</v>
      </c>
      <c r="M42" s="69">
        <f t="shared" si="0"/>
        <v>0</v>
      </c>
      <c r="O42"/>
    </row>
    <row r="43" spans="1:15">
      <c r="A43" s="1" t="s">
        <v>1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6">
        <v>0</v>
      </c>
      <c r="L43" s="69">
        <f t="shared" si="3"/>
        <v>0</v>
      </c>
      <c r="M43" s="69">
        <f t="shared" si="0"/>
        <v>0</v>
      </c>
      <c r="O43"/>
    </row>
    <row r="44" spans="1:15">
      <c r="A44" s="1" t="s">
        <v>1</v>
      </c>
      <c r="B44" s="4" t="s">
        <v>34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56">
        <v>0</v>
      </c>
      <c r="L44" s="69">
        <f t="shared" si="3"/>
        <v>0</v>
      </c>
      <c r="M44" s="69">
        <f t="shared" si="0"/>
        <v>0</v>
      </c>
      <c r="O44"/>
    </row>
    <row r="45" spans="1:15" ht="19.5" thickBot="1">
      <c r="A45" s="1" t="s">
        <v>1</v>
      </c>
      <c r="B45" s="35" t="s">
        <v>37</v>
      </c>
      <c r="C45" s="37">
        <v>547</v>
      </c>
      <c r="D45" s="38">
        <v>0</v>
      </c>
      <c r="E45" s="38">
        <f t="shared" si="2"/>
        <v>547</v>
      </c>
      <c r="F45" s="36">
        <v>584</v>
      </c>
      <c r="G45" s="37">
        <v>1698</v>
      </c>
      <c r="H45" s="37">
        <v>0</v>
      </c>
      <c r="I45" s="37">
        <v>283</v>
      </c>
      <c r="J45" s="37">
        <v>530</v>
      </c>
      <c r="K45" s="57">
        <v>765</v>
      </c>
      <c r="L45" s="70">
        <f t="shared" si="3"/>
        <v>3860</v>
      </c>
      <c r="M45" s="70">
        <f t="shared" si="0"/>
        <v>4407</v>
      </c>
      <c r="O45"/>
    </row>
    <row r="46" spans="1:15" ht="19.5" thickBot="1">
      <c r="A46" s="1" t="s">
        <v>1</v>
      </c>
      <c r="B46" s="39" t="s">
        <v>58</v>
      </c>
      <c r="C46" s="41">
        <v>365547</v>
      </c>
      <c r="D46" s="42">
        <v>91200</v>
      </c>
      <c r="E46" s="42">
        <f t="shared" si="2"/>
        <v>456747</v>
      </c>
      <c r="F46" s="40">
        <v>346788</v>
      </c>
      <c r="G46" s="41">
        <v>341813</v>
      </c>
      <c r="H46" s="41">
        <v>338649</v>
      </c>
      <c r="I46" s="41">
        <v>312894</v>
      </c>
      <c r="J46" s="41">
        <v>272771</v>
      </c>
      <c r="K46" s="58">
        <v>291113</v>
      </c>
      <c r="L46" s="71">
        <f t="shared" si="3"/>
        <v>1904028</v>
      </c>
      <c r="M46" s="71">
        <f t="shared" si="0"/>
        <v>2360775</v>
      </c>
      <c r="O46"/>
    </row>
    <row r="47" spans="1:15" ht="19.5" thickBot="1">
      <c r="A47" s="1" t="s">
        <v>1</v>
      </c>
      <c r="B47" s="21" t="s">
        <v>59</v>
      </c>
      <c r="C47" s="30">
        <v>4651</v>
      </c>
      <c r="D47" s="31">
        <v>3185</v>
      </c>
      <c r="E47" s="31">
        <f t="shared" si="2"/>
        <v>7836</v>
      </c>
      <c r="F47" s="29">
        <v>6977</v>
      </c>
      <c r="G47" s="30">
        <v>5460</v>
      </c>
      <c r="H47" s="30">
        <v>9884</v>
      </c>
      <c r="I47" s="30">
        <v>1669</v>
      </c>
      <c r="J47" s="30">
        <v>6674</v>
      </c>
      <c r="K47" s="55">
        <v>9100</v>
      </c>
      <c r="L47" s="68">
        <f t="shared" si="3"/>
        <v>39764</v>
      </c>
      <c r="M47" s="68">
        <f t="shared" si="0"/>
        <v>47600</v>
      </c>
      <c r="O47"/>
    </row>
    <row r="48" spans="1:15" ht="19.5" thickBot="1">
      <c r="A48" s="1" t="s">
        <v>1</v>
      </c>
      <c r="B48" s="39" t="s">
        <v>60</v>
      </c>
      <c r="C48" s="41">
        <v>4651</v>
      </c>
      <c r="D48" s="42">
        <v>3185</v>
      </c>
      <c r="E48" s="42">
        <f t="shared" si="2"/>
        <v>7836</v>
      </c>
      <c r="F48" s="40">
        <v>6977</v>
      </c>
      <c r="G48" s="41">
        <v>5460</v>
      </c>
      <c r="H48" s="41">
        <v>9884</v>
      </c>
      <c r="I48" s="41">
        <v>1669</v>
      </c>
      <c r="J48" s="41">
        <v>6674</v>
      </c>
      <c r="K48" s="58">
        <v>9100</v>
      </c>
      <c r="L48" s="71">
        <f t="shared" si="3"/>
        <v>39764</v>
      </c>
      <c r="M48" s="71">
        <f t="shared" si="0"/>
        <v>47600</v>
      </c>
      <c r="O48"/>
    </row>
    <row r="49" spans="1:15" ht="19.5" thickBot="1">
      <c r="A49" s="1" t="s">
        <v>1</v>
      </c>
      <c r="B49" s="39" t="s">
        <v>61</v>
      </c>
      <c r="C49" s="41">
        <v>370198</v>
      </c>
      <c r="D49" s="42">
        <v>94385</v>
      </c>
      <c r="E49" s="42">
        <f t="shared" si="2"/>
        <v>464583</v>
      </c>
      <c r="F49" s="40">
        <v>353765</v>
      </c>
      <c r="G49" s="41">
        <v>347273</v>
      </c>
      <c r="H49" s="41">
        <v>348533</v>
      </c>
      <c r="I49" s="41">
        <v>314563</v>
      </c>
      <c r="J49" s="41">
        <v>279445</v>
      </c>
      <c r="K49" s="58">
        <v>300213</v>
      </c>
      <c r="L49" s="71">
        <f t="shared" si="3"/>
        <v>1943792</v>
      </c>
      <c r="M49" s="71">
        <f t="shared" si="0"/>
        <v>2408375</v>
      </c>
      <c r="O49"/>
    </row>
    <row r="50" spans="1:15">
      <c r="A50" s="1" t="s">
        <v>1</v>
      </c>
      <c r="B50" s="21" t="s">
        <v>62</v>
      </c>
      <c r="C50" s="30">
        <v>18360</v>
      </c>
      <c r="D50" s="31">
        <v>0</v>
      </c>
      <c r="E50" s="31">
        <f t="shared" si="2"/>
        <v>18360</v>
      </c>
      <c r="F50" s="29">
        <v>16320</v>
      </c>
      <c r="G50" s="30">
        <v>16320</v>
      </c>
      <c r="H50" s="30">
        <v>16320</v>
      </c>
      <c r="I50" s="30">
        <v>16320</v>
      </c>
      <c r="J50" s="30">
        <v>14280</v>
      </c>
      <c r="K50" s="55">
        <v>13260</v>
      </c>
      <c r="L50" s="68">
        <f t="shared" si="3"/>
        <v>92820</v>
      </c>
      <c r="M50" s="68">
        <f t="shared" si="0"/>
        <v>111180</v>
      </c>
      <c r="O50"/>
    </row>
    <row r="51" spans="1:15">
      <c r="A51" s="1" t="s">
        <v>1</v>
      </c>
      <c r="B51" s="4" t="s">
        <v>63</v>
      </c>
      <c r="C51" s="16">
        <v>3240</v>
      </c>
      <c r="D51" s="17">
        <v>0</v>
      </c>
      <c r="E51" s="17">
        <f t="shared" si="2"/>
        <v>3240</v>
      </c>
      <c r="F51" s="15">
        <v>0</v>
      </c>
      <c r="G51" s="16">
        <v>2880</v>
      </c>
      <c r="H51" s="16">
        <v>2880</v>
      </c>
      <c r="I51" s="16">
        <v>2880</v>
      </c>
      <c r="J51" s="16">
        <v>2520</v>
      </c>
      <c r="K51" s="56">
        <v>0</v>
      </c>
      <c r="L51" s="69">
        <f t="shared" si="3"/>
        <v>11160</v>
      </c>
      <c r="M51" s="69">
        <f t="shared" si="0"/>
        <v>14400</v>
      </c>
      <c r="O51"/>
    </row>
    <row r="52" spans="1:15">
      <c r="A52" s="1" t="s">
        <v>1</v>
      </c>
      <c r="B52" s="4" t="s">
        <v>64</v>
      </c>
      <c r="C52" s="16">
        <v>32940</v>
      </c>
      <c r="D52" s="17">
        <v>0</v>
      </c>
      <c r="E52" s="17">
        <f t="shared" si="2"/>
        <v>32940</v>
      </c>
      <c r="F52" s="15">
        <v>29280</v>
      </c>
      <c r="G52" s="16">
        <v>29280</v>
      </c>
      <c r="H52" s="16">
        <v>29280</v>
      </c>
      <c r="I52" s="16">
        <v>29280</v>
      </c>
      <c r="J52" s="16">
        <v>25620</v>
      </c>
      <c r="K52" s="56">
        <v>23790</v>
      </c>
      <c r="L52" s="69">
        <f t="shared" si="3"/>
        <v>166530</v>
      </c>
      <c r="M52" s="69">
        <f t="shared" si="0"/>
        <v>199470</v>
      </c>
      <c r="O52"/>
    </row>
    <row r="53" spans="1:15" ht="19.5" thickBot="1">
      <c r="A53" s="1" t="s">
        <v>1</v>
      </c>
      <c r="B53" s="4" t="s">
        <v>65</v>
      </c>
      <c r="C53" s="16">
        <v>1851</v>
      </c>
      <c r="D53" s="17">
        <v>472</v>
      </c>
      <c r="E53" s="17">
        <f t="shared" si="2"/>
        <v>2323</v>
      </c>
      <c r="F53" s="15">
        <v>1769</v>
      </c>
      <c r="G53" s="16">
        <v>1736</v>
      </c>
      <c r="H53" s="16">
        <v>1743</v>
      </c>
      <c r="I53" s="16">
        <v>1573</v>
      </c>
      <c r="J53" s="16">
        <v>1397</v>
      </c>
      <c r="K53" s="56">
        <v>1501</v>
      </c>
      <c r="L53" s="69">
        <f t="shared" si="3"/>
        <v>9719</v>
      </c>
      <c r="M53" s="69">
        <f t="shared" si="0"/>
        <v>12042</v>
      </c>
      <c r="O53"/>
    </row>
    <row r="54" spans="1:15" ht="19.5" thickBot="1">
      <c r="A54" s="1" t="s">
        <v>1</v>
      </c>
      <c r="B54" s="39" t="s">
        <v>66</v>
      </c>
      <c r="C54" s="41">
        <v>56391</v>
      </c>
      <c r="D54" s="42">
        <v>472</v>
      </c>
      <c r="E54" s="42">
        <f t="shared" si="2"/>
        <v>56863</v>
      </c>
      <c r="F54" s="40">
        <v>47369</v>
      </c>
      <c r="G54" s="41">
        <v>50216</v>
      </c>
      <c r="H54" s="41">
        <v>50223</v>
      </c>
      <c r="I54" s="41">
        <v>50053</v>
      </c>
      <c r="J54" s="41">
        <v>43817</v>
      </c>
      <c r="K54" s="58">
        <v>38551</v>
      </c>
      <c r="L54" s="71">
        <f t="shared" si="3"/>
        <v>280229</v>
      </c>
      <c r="M54" s="71">
        <f t="shared" si="0"/>
        <v>337092</v>
      </c>
      <c r="O54"/>
    </row>
    <row r="55" spans="1:15">
      <c r="A55" s="1" t="s">
        <v>1</v>
      </c>
      <c r="B55" s="21" t="s">
        <v>67</v>
      </c>
      <c r="C55" s="30">
        <v>9130</v>
      </c>
      <c r="D55" s="31">
        <v>250</v>
      </c>
      <c r="E55" s="31">
        <f t="shared" si="2"/>
        <v>9380</v>
      </c>
      <c r="F55" s="29">
        <v>8340</v>
      </c>
      <c r="G55" s="30">
        <v>6420</v>
      </c>
      <c r="H55" s="30">
        <v>7920</v>
      </c>
      <c r="I55" s="30">
        <v>5390</v>
      </c>
      <c r="J55" s="30">
        <v>5800</v>
      </c>
      <c r="K55" s="55">
        <v>6640</v>
      </c>
      <c r="L55" s="68">
        <f t="shared" si="3"/>
        <v>40510</v>
      </c>
      <c r="M55" s="68">
        <f t="shared" si="0"/>
        <v>49890</v>
      </c>
      <c r="O55"/>
    </row>
    <row r="56" spans="1:15">
      <c r="A56" s="1" t="s">
        <v>1</v>
      </c>
      <c r="B56" s="4" t="s">
        <v>68</v>
      </c>
      <c r="C56" s="16">
        <v>20200</v>
      </c>
      <c r="D56" s="17">
        <v>500</v>
      </c>
      <c r="E56" s="17">
        <f t="shared" si="2"/>
        <v>20700</v>
      </c>
      <c r="F56" s="15">
        <v>14600</v>
      </c>
      <c r="G56" s="16">
        <v>11000</v>
      </c>
      <c r="H56" s="16">
        <v>8300</v>
      </c>
      <c r="I56" s="16">
        <v>3900</v>
      </c>
      <c r="J56" s="16">
        <v>8900</v>
      </c>
      <c r="K56" s="56">
        <v>0</v>
      </c>
      <c r="L56" s="69">
        <f t="shared" si="3"/>
        <v>46700</v>
      </c>
      <c r="M56" s="69">
        <f t="shared" ref="M56:M62" si="4">E56+L56</f>
        <v>67400</v>
      </c>
      <c r="O56"/>
    </row>
    <row r="57" spans="1:15" ht="19.5" thickBot="1">
      <c r="A57" s="1" t="s">
        <v>1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6">
        <v>0</v>
      </c>
      <c r="L57" s="69">
        <f t="shared" si="3"/>
        <v>0</v>
      </c>
      <c r="M57" s="69">
        <f t="shared" si="4"/>
        <v>0</v>
      </c>
      <c r="O57"/>
    </row>
    <row r="58" spans="1:15" ht="19.5" thickBot="1">
      <c r="A58" s="1" t="s">
        <v>1</v>
      </c>
      <c r="B58" s="39" t="s">
        <v>70</v>
      </c>
      <c r="C58" s="41">
        <v>85721</v>
      </c>
      <c r="D58" s="42">
        <v>1222</v>
      </c>
      <c r="E58" s="42">
        <f t="shared" si="2"/>
        <v>86943</v>
      </c>
      <c r="F58" s="40">
        <v>70309</v>
      </c>
      <c r="G58" s="41">
        <v>67636</v>
      </c>
      <c r="H58" s="41">
        <v>66443</v>
      </c>
      <c r="I58" s="41">
        <v>59343</v>
      </c>
      <c r="J58" s="41">
        <v>58517</v>
      </c>
      <c r="K58" s="58">
        <v>45191</v>
      </c>
      <c r="L58" s="71">
        <f t="shared" si="3"/>
        <v>367439</v>
      </c>
      <c r="M58" s="71">
        <f t="shared" si="4"/>
        <v>454382</v>
      </c>
      <c r="O58"/>
    </row>
    <row r="59" spans="1:15" ht="19.5" thickBot="1">
      <c r="A59" s="1" t="s">
        <v>1</v>
      </c>
      <c r="B59" s="39" t="s">
        <v>71</v>
      </c>
      <c r="C59" s="41">
        <v>309156</v>
      </c>
      <c r="D59" s="42">
        <v>90728</v>
      </c>
      <c r="E59" s="42">
        <f t="shared" si="2"/>
        <v>399884</v>
      </c>
      <c r="F59" s="40">
        <v>299419</v>
      </c>
      <c r="G59" s="41">
        <v>291597</v>
      </c>
      <c r="H59" s="41">
        <v>288426</v>
      </c>
      <c r="I59" s="41">
        <v>262841</v>
      </c>
      <c r="J59" s="41">
        <v>228954</v>
      </c>
      <c r="K59" s="58">
        <v>252562</v>
      </c>
      <c r="L59" s="71">
        <f t="shared" si="3"/>
        <v>1623799</v>
      </c>
      <c r="M59" s="71">
        <f t="shared" si="4"/>
        <v>2023683</v>
      </c>
      <c r="O59"/>
    </row>
    <row r="60" spans="1:15" ht="19.5" thickBot="1">
      <c r="A60" s="1" t="s">
        <v>1</v>
      </c>
      <c r="B60" s="39" t="s">
        <v>72</v>
      </c>
      <c r="C60" s="41">
        <v>284477</v>
      </c>
      <c r="D60" s="42">
        <v>93163</v>
      </c>
      <c r="E60" s="42">
        <f t="shared" si="2"/>
        <v>377640</v>
      </c>
      <c r="F60" s="40">
        <v>283456</v>
      </c>
      <c r="G60" s="41">
        <v>279637</v>
      </c>
      <c r="H60" s="41">
        <v>282090</v>
      </c>
      <c r="I60" s="41">
        <v>255220</v>
      </c>
      <c r="J60" s="41">
        <v>220928</v>
      </c>
      <c r="K60" s="58">
        <v>255022</v>
      </c>
      <c r="L60" s="71">
        <f t="shared" si="3"/>
        <v>1576353</v>
      </c>
      <c r="M60" s="71">
        <f t="shared" si="4"/>
        <v>1953993</v>
      </c>
      <c r="O60"/>
    </row>
    <row r="61" spans="1:15">
      <c r="A61" s="1" t="s">
        <v>1</v>
      </c>
      <c r="B61" s="21" t="s">
        <v>73</v>
      </c>
      <c r="C61" s="30">
        <v>0</v>
      </c>
      <c r="D61" s="31">
        <v>0</v>
      </c>
      <c r="E61" s="31">
        <f t="shared" si="2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55">
        <v>0</v>
      </c>
      <c r="L61" s="68">
        <f t="shared" si="3"/>
        <v>0</v>
      </c>
      <c r="M61" s="68">
        <f t="shared" si="4"/>
        <v>0</v>
      </c>
      <c r="O61"/>
    </row>
    <row r="62" spans="1:15">
      <c r="A62" s="1" t="s">
        <v>1</v>
      </c>
      <c r="B62" s="4" t="s">
        <v>74</v>
      </c>
      <c r="C62" s="16">
        <v>284477</v>
      </c>
      <c r="D62" s="17">
        <v>93163</v>
      </c>
      <c r="E62" s="17">
        <f t="shared" si="2"/>
        <v>377640</v>
      </c>
      <c r="F62" s="15">
        <v>283456</v>
      </c>
      <c r="G62" s="16">
        <v>279637</v>
      </c>
      <c r="H62" s="16">
        <v>282090</v>
      </c>
      <c r="I62" s="16">
        <v>255220</v>
      </c>
      <c r="J62" s="16">
        <v>220928</v>
      </c>
      <c r="K62" s="56">
        <v>255022</v>
      </c>
      <c r="L62" s="69">
        <f t="shared" si="3"/>
        <v>1576353</v>
      </c>
      <c r="M62" s="69">
        <f t="shared" si="4"/>
        <v>1953993</v>
      </c>
      <c r="O62"/>
    </row>
    <row r="63" spans="1:15">
      <c r="A63" s="1" t="s">
        <v>1</v>
      </c>
      <c r="B63" s="4" t="s">
        <v>75</v>
      </c>
      <c r="C63" s="16">
        <v>0</v>
      </c>
      <c r="D63" s="17">
        <v>0</v>
      </c>
      <c r="E63" s="17"/>
      <c r="F63" s="15">
        <v>0</v>
      </c>
      <c r="G63" s="16">
        <v>1</v>
      </c>
      <c r="H63" s="16">
        <v>0</v>
      </c>
      <c r="I63" s="16">
        <v>1</v>
      </c>
      <c r="J63" s="16">
        <v>0</v>
      </c>
      <c r="K63" s="56">
        <v>0</v>
      </c>
      <c r="L63" s="69"/>
      <c r="M63" s="69"/>
      <c r="O63"/>
    </row>
    <row r="64" spans="1:15" ht="19.5" thickBot="1">
      <c r="A64" s="1" t="s">
        <v>1</v>
      </c>
      <c r="B64" s="5" t="s">
        <v>76</v>
      </c>
      <c r="C64" s="19" t="s">
        <v>77</v>
      </c>
      <c r="D64" s="20" t="s">
        <v>77</v>
      </c>
      <c r="E64" s="20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59" t="s">
        <v>77</v>
      </c>
      <c r="L64" s="72"/>
      <c r="M64" s="72"/>
      <c r="O64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12月度給与 (2)</vt:lpstr>
      <vt:lpstr>'2022年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2023-01-12T08:00:31Z</cp:lastPrinted>
  <dcterms:created xsi:type="dcterms:W3CDTF">2023-01-11T01:47:22Z</dcterms:created>
  <dcterms:modified xsi:type="dcterms:W3CDTF">2023-01-12T08:51:29Z</dcterms:modified>
</cp:coreProperties>
</file>