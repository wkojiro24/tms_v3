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9\"/>
    </mc:Choice>
  </mc:AlternateContent>
  <xr:revisionPtr revIDLastSave="0" documentId="13_ncr:1_{CBD52462-B143-4382-8715-4C2990457424}" xr6:coauthVersionLast="47" xr6:coauthVersionMax="47" xr10:uidLastSave="{00000000-0000-0000-0000-000000000000}"/>
  <bookViews>
    <workbookView xWindow="-120" yWindow="-120" windowWidth="20730" windowHeight="11160" activeTab="1" xr2:uid="{BE4EE98A-552E-4CE0-8F17-2F9F10425ABB}"/>
  </bookViews>
  <sheets>
    <sheet name="2022年9月度給与 (2)" sheetId="3" r:id="rId1"/>
    <sheet name="2022年9月度給与 (3)" sheetId="5" r:id="rId2"/>
    <sheet name="2022年9月度給与 (4)" sheetId="6" r:id="rId3"/>
    <sheet name="Sheet2" sheetId="4" r:id="rId4"/>
  </sheets>
  <definedNames>
    <definedName name="_xlnm.Print_Area" localSheetId="1">'2022年9月度給与 (3)'!$A$1:$P$67</definedName>
    <definedName name="_xlnm.Print_Area" localSheetId="2">'2022年9月度給与 (4)'!$A$1:$U$67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65" i="6" l="1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17" i="6"/>
  <c r="U16" i="6"/>
  <c r="U15" i="6"/>
  <c r="U14" i="6"/>
  <c r="U10" i="6"/>
  <c r="U9" i="6"/>
  <c r="U8" i="6"/>
  <c r="U7" i="6"/>
  <c r="U6" i="6"/>
  <c r="U5" i="6"/>
  <c r="O65" i="5"/>
  <c r="M65" i="5"/>
  <c r="O64" i="5"/>
  <c r="M64" i="5"/>
  <c r="O63" i="5"/>
  <c r="M63" i="5"/>
  <c r="O62" i="5"/>
  <c r="M62" i="5"/>
  <c r="O61" i="5"/>
  <c r="M61" i="5"/>
  <c r="O60" i="5"/>
  <c r="M60" i="5"/>
  <c r="O59" i="5"/>
  <c r="M59" i="5"/>
  <c r="O58" i="5"/>
  <c r="M58" i="5"/>
  <c r="O57" i="5"/>
  <c r="M57" i="5"/>
  <c r="O56" i="5"/>
  <c r="M56" i="5"/>
  <c r="O55" i="5"/>
  <c r="M55" i="5"/>
  <c r="O54" i="5"/>
  <c r="M54" i="5"/>
  <c r="O53" i="5"/>
  <c r="M53" i="5"/>
  <c r="O52" i="5"/>
  <c r="M52" i="5"/>
  <c r="O51" i="5"/>
  <c r="M51" i="5"/>
  <c r="O50" i="5"/>
  <c r="M50" i="5"/>
  <c r="O49" i="5"/>
  <c r="M49" i="5"/>
  <c r="O48" i="5"/>
  <c r="M48" i="5"/>
  <c r="O47" i="5"/>
  <c r="M47" i="5"/>
  <c r="O46" i="5"/>
  <c r="M46" i="5"/>
  <c r="O45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O24" i="5"/>
  <c r="M24" i="5"/>
  <c r="O23" i="5"/>
  <c r="M23" i="5"/>
  <c r="M22" i="5"/>
  <c r="M20" i="5"/>
  <c r="M16" i="5"/>
  <c r="M15" i="5"/>
  <c r="M14" i="5"/>
  <c r="M13" i="5"/>
  <c r="M9" i="5"/>
  <c r="M8" i="5"/>
  <c r="M7" i="5"/>
  <c r="M6" i="5"/>
  <c r="O5" i="5"/>
  <c r="M5" i="5"/>
  <c r="U58" i="3"/>
  <c r="AF58" i="3"/>
  <c r="AI58" i="3" s="1"/>
  <c r="AH58" i="3"/>
  <c r="U59" i="3"/>
  <c r="AF59" i="3"/>
  <c r="AI59" i="3" s="1"/>
  <c r="AH59" i="3"/>
  <c r="U60" i="3"/>
  <c r="AF60" i="3"/>
  <c r="AI60" i="3" s="1"/>
  <c r="AH60" i="3"/>
  <c r="AI11" i="3"/>
  <c r="AI12" i="3"/>
  <c r="AI18" i="3"/>
  <c r="AI19" i="3"/>
  <c r="AI21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61" i="3"/>
  <c r="AH62" i="3"/>
  <c r="AH63" i="3"/>
  <c r="AH64" i="3"/>
  <c r="AH65" i="3"/>
  <c r="AH45" i="3"/>
  <c r="AH24" i="3"/>
  <c r="AH23" i="3"/>
  <c r="AH5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61" i="3"/>
  <c r="AF62" i="3"/>
  <c r="AF63" i="3"/>
  <c r="AF64" i="3"/>
  <c r="AF65" i="3"/>
  <c r="AF24" i="3"/>
  <c r="AF23" i="3"/>
  <c r="AF22" i="3"/>
  <c r="AF20" i="3"/>
  <c r="AI20" i="3" s="1"/>
  <c r="AF15" i="3"/>
  <c r="AF16" i="3"/>
  <c r="AF14" i="3"/>
  <c r="AF13" i="3"/>
  <c r="AI13" i="3" s="1"/>
  <c r="AF7" i="3"/>
  <c r="AF8" i="3"/>
  <c r="AF9" i="3"/>
  <c r="AF6" i="3"/>
  <c r="AF5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61" i="3"/>
  <c r="U62" i="3"/>
  <c r="U63" i="3"/>
  <c r="U64" i="3"/>
  <c r="U65" i="3"/>
  <c r="U24" i="3"/>
  <c r="U23" i="3"/>
  <c r="U22" i="3"/>
  <c r="U15" i="3"/>
  <c r="U16" i="3"/>
  <c r="U17" i="3"/>
  <c r="AI17" i="3" s="1"/>
  <c r="U14" i="3"/>
  <c r="U7" i="3"/>
  <c r="U8" i="3"/>
  <c r="U9" i="3"/>
  <c r="U10" i="3"/>
  <c r="AI10" i="3" s="1"/>
  <c r="U6" i="3"/>
  <c r="U5" i="3"/>
  <c r="AI9" i="3" l="1"/>
  <c r="AI7" i="3"/>
  <c r="AI15" i="3"/>
  <c r="AI24" i="3"/>
  <c r="AI43" i="3"/>
  <c r="AI39" i="3"/>
  <c r="AI36" i="3"/>
  <c r="AI32" i="3"/>
  <c r="AI6" i="3"/>
  <c r="AI33" i="3"/>
  <c r="AI25" i="3"/>
  <c r="AI8" i="3"/>
  <c r="AI16" i="3"/>
  <c r="AI61" i="3"/>
  <c r="AI50" i="3"/>
  <c r="AI65" i="3"/>
  <c r="AI57" i="3"/>
  <c r="AI53" i="3"/>
  <c r="AI14" i="3"/>
  <c r="AI22" i="3"/>
  <c r="AI64" i="3"/>
  <c r="AI56" i="3"/>
  <c r="AI49" i="3"/>
  <c r="AI46" i="3"/>
  <c r="AI42" i="3"/>
  <c r="AI38" i="3"/>
  <c r="AI35" i="3"/>
  <c r="AI29" i="3"/>
  <c r="AI28" i="3"/>
  <c r="AI5" i="3"/>
  <c r="AI62" i="3"/>
  <c r="AI54" i="3"/>
  <c r="AI51" i="3"/>
  <c r="AI47" i="3"/>
  <c r="AI44" i="3"/>
  <c r="AI40" i="3"/>
  <c r="AI30" i="3"/>
  <c r="AI26" i="3"/>
  <c r="AI23" i="3"/>
  <c r="AI63" i="3"/>
  <c r="AI55" i="3"/>
  <c r="AI52" i="3"/>
  <c r="AI48" i="3"/>
  <c r="AI45" i="3"/>
  <c r="AI41" i="3"/>
  <c r="AI37" i="3"/>
  <c r="AI34" i="3"/>
  <c r="AI31" i="3"/>
  <c r="AI27" i="3"/>
</calcChain>
</file>

<file path=xl/sharedStrings.xml><?xml version="1.0" encoding="utf-8"?>
<sst xmlns="http://schemas.openxmlformats.org/spreadsheetml/2006/main" count="575" uniqueCount="127">
  <si>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</si>
  <si>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</si>
  <si>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</si>
  <si>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</si>
  <si>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</si>
  <si>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</si>
  <si>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</si>
  <si>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</si>
  <si>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</si>
  <si>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</si>
  <si>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</si>
  <si>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</si>
  <si>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</si>
  <si>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</si>
  <si>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</si>
  <si>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</si>
  <si>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</si>
  <si>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</si>
  <si>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</si>
  <si>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</si>
  <si>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</si>
  <si>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1105</t>
    <phoneticPr fontId="4"/>
  </si>
  <si>
    <t>1107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</si>
  <si>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</si>
  <si>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</si>
  <si>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</si>
  <si>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</si>
  <si>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</si>
  <si>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</si>
  <si>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</si>
  <si>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1106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</si>
  <si>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</si>
  <si>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</si>
  <si>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</si>
  <si>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</si>
  <si>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</si>
  <si>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</si>
  <si>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</si>
  <si>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</si>
  <si>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</si>
  <si>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</si>
  <si>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</si>
  <si>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</si>
  <si>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</si>
  <si>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</si>
  <si>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</si>
  <si>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</si>
  <si>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</si>
  <si>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</si>
  <si>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</si>
  <si>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　健佑</t>
    <phoneticPr fontId="4"/>
  </si>
  <si>
    <t>山本健介</t>
    <phoneticPr fontId="4"/>
  </si>
  <si>
    <t>渡邊晃弘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</si>
  <si>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</si>
  <si>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</si>
  <si>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</si>
  <si>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</si>
  <si>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</si>
  <si>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</si>
  <si>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</si>
  <si>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小野　宏美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</si>
  <si>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</si>
  <si>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</si>
  <si>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</si>
  <si>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</si>
  <si>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</si>
  <si>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</si>
  <si>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</si>
  <si>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</si>
  <si>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</si>
  <si>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</si>
  <si>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</si>
  <si>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</si>
  <si>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</si>
  <si>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</si>
  <si>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</si>
  <si>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</si>
  <si>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</si>
  <si>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</si>
  <si>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</si>
  <si>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</si>
  <si>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</si>
  <si>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</si>
  <si>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</si>
  <si>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</si>
  <si>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</si>
  <si>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</si>
  <si>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</si>
  <si>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</si>
  <si>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</si>
  <si>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</si>
  <si>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</si>
  <si>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</si>
  <si>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</si>
  <si>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</si>
  <si>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</si>
  <si>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</si>
  <si>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</si>
  <si>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</si>
  <si>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</si>
  <si>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</si>
  <si>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</si>
  <si>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</si>
  <si>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</si>
  <si>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</si>
  <si>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</si>
  <si>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</si>
  <si>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</si>
  <si>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</si>
  <si>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</si>
  <si>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</si>
  <si>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</si>
  <si>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</si>
  <si>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</si>
  <si>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</si>
  <si>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</si>
  <si>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</si>
  <si>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</si>
  <si>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</si>
  <si>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</si>
  <si>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</si>
  <si>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</si>
  <si>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</si>
  <si>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2022年9月度給与</t>
    <phoneticPr fontId="4"/>
  </si>
  <si>
    <t>小計</t>
    <rPh sb="0" eb="2">
      <t>ショウケイ</t>
    </rPh>
    <phoneticPr fontId="3"/>
  </si>
  <si>
    <t>１８名</t>
    <rPh sb="2" eb="3">
      <t>メイ</t>
    </rPh>
    <phoneticPr fontId="3"/>
  </si>
  <si>
    <t>１０名</t>
    <rPh sb="2" eb="3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</si>
</sst>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0" fontId="2" fillId="0" borderId="28" xfId="1" applyFont="1" applyBorder="1"/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2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0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42" xfId="1" applyNumberFormat="1" applyFont="1" applyBorder="1" applyAlignment="1">
      <alignment horizontal="center"/>
    </xf>
    <xf numFmtId="49" fontId="2" fillId="0" borderId="43" xfId="1" applyNumberFormat="1" applyFont="1" applyBorder="1" applyAlignment="1">
      <alignment horizontal="center"/>
    </xf>
    <xf numFmtId="2" fontId="2" fillId="0" borderId="44" xfId="1" applyNumberFormat="1" applyFont="1" applyBorder="1"/>
    <xf numFmtId="2" fontId="2" fillId="0" borderId="45" xfId="1" applyNumberFormat="1" applyFont="1" applyBorder="1"/>
    <xf numFmtId="176" fontId="2" fillId="0" borderId="45" xfId="1" applyNumberFormat="1" applyFont="1" applyBorder="1"/>
    <xf numFmtId="2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49" fontId="2" fillId="0" borderId="43" xfId="1" applyNumberFormat="1" applyFont="1" applyBorder="1"/>
    <xf numFmtId="49" fontId="2" fillId="0" borderId="48" xfId="1" applyNumberFormat="1" applyFont="1" applyBorder="1" applyAlignment="1">
      <alignment horizontal="left"/>
    </xf>
    <xf numFmtId="49" fontId="2" fillId="0" borderId="49" xfId="1" applyNumberFormat="1" applyFont="1" applyBorder="1" applyAlignment="1">
      <alignment horizontal="right"/>
    </xf>
    <xf numFmtId="2" fontId="2" fillId="0" borderId="50" xfId="1" applyNumberFormat="1" applyFont="1" applyBorder="1"/>
    <xf numFmtId="2" fontId="2" fillId="0" borderId="51" xfId="1" applyNumberFormat="1" applyFont="1" applyBorder="1"/>
    <xf numFmtId="176" fontId="2" fillId="0" borderId="51" xfId="1" applyNumberFormat="1" applyFont="1" applyBorder="1"/>
    <xf numFmtId="2" fontId="2" fillId="0" borderId="49" xfId="1" applyNumberFormat="1" applyFont="1" applyBorder="1"/>
    <xf numFmtId="3" fontId="2" fillId="0" borderId="50" xfId="1" applyNumberFormat="1" applyFont="1" applyBorder="1"/>
    <xf numFmtId="3" fontId="2" fillId="0" borderId="51" xfId="1" applyNumberFormat="1" applyFont="1" applyBorder="1"/>
    <xf numFmtId="3" fontId="2" fillId="0" borderId="52" xfId="1" applyNumberFormat="1" applyFont="1" applyBorder="1"/>
    <xf numFmtId="3" fontId="2" fillId="0" borderId="41" xfId="1" applyNumberFormat="1" applyFont="1" applyBorder="1"/>
    <xf numFmtId="49" fontId="2" fillId="0" borderId="49" xfId="1" applyNumberFormat="1" applyFont="1" applyBorder="1"/>
    <xf numFmtId="0" fontId="2" fillId="0" borderId="7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49" fontId="2" fillId="0" borderId="21" xfId="1" applyNumberFormat="1" applyFont="1" applyBorder="1" applyAlignment="1">
      <alignment horizontal="left"/>
    </xf>
    <xf numFmtId="49" fontId="2" fillId="0" borderId="25" xfId="1" applyNumberFormat="1" applyFont="1" applyBorder="1" applyAlignment="1">
      <alignment horizontal="left"/>
    </xf>
  </cellXfs>
  <cellStyles count="2">
    <cellStyle name="標準" xfId="0" builtinId="0"/>
    <cellStyle name="標準 2" xfId="1" xr:uid="{589FE7A8-42F7-4A47-B367-2C2B1CE50E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CAD5-6B1A-40E3-831F-348C409CCF94}">
  <dimension ref="A1:AI67"/>
  <sheetViews>
    <sheetView showZeros="0" workbookViewId="0">
      <selection activeCell="A37" sqref="A37:XFD37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6" width="11.125" style="2" bestFit="1" customWidth="1"/>
    <col min="7" max="7" width="9" style="2" bestFit="1" customWidth="1"/>
    <col min="8" max="17" width="11.125" style="2" bestFit="1" customWidth="1"/>
    <col min="18" max="20" width="9" style="2" bestFit="1" customWidth="1"/>
    <col min="21" max="25" width="9" style="2" customWidth="1"/>
    <col min="26" max="30" width="11.125" style="2" bestFit="1" customWidth="1"/>
    <col min="31" max="34" width="11.125" style="2" customWidth="1"/>
    <col min="35" max="35" width="9.625" style="2" bestFit="1" customWidth="1"/>
    <col min="36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78" width="11.125" style="2" bestFit="1" customWidth="1"/>
    <col min="279" max="281" width="9" style="2"/>
    <col min="282" max="289" width="11.125" style="2" bestFit="1" customWidth="1"/>
    <col min="290" max="290" width="9.625" style="2" bestFit="1" customWidth="1"/>
    <col min="291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4" width="11.125" style="2" bestFit="1" customWidth="1"/>
    <col min="535" max="537" width="9" style="2"/>
    <col min="538" max="545" width="11.125" style="2" bestFit="1" customWidth="1"/>
    <col min="546" max="546" width="9.625" style="2" bestFit="1" customWidth="1"/>
    <col min="547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0" width="11.125" style="2" bestFit="1" customWidth="1"/>
    <col min="791" max="793" width="9" style="2"/>
    <col min="794" max="801" width="11.125" style="2" bestFit="1" customWidth="1"/>
    <col min="802" max="802" width="9.625" style="2" bestFit="1" customWidth="1"/>
    <col min="803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6" width="11.125" style="2" bestFit="1" customWidth="1"/>
    <col min="1047" max="1049" width="9" style="2"/>
    <col min="1050" max="1057" width="11.125" style="2" bestFit="1" customWidth="1"/>
    <col min="1058" max="1058" width="9.625" style="2" bestFit="1" customWidth="1"/>
    <col min="1059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2" width="11.125" style="2" bestFit="1" customWidth="1"/>
    <col min="1303" max="1305" width="9" style="2"/>
    <col min="1306" max="1313" width="11.125" style="2" bestFit="1" customWidth="1"/>
    <col min="1314" max="1314" width="9.625" style="2" bestFit="1" customWidth="1"/>
    <col min="1315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58" width="11.125" style="2" bestFit="1" customWidth="1"/>
    <col min="1559" max="1561" width="9" style="2"/>
    <col min="1562" max="1569" width="11.125" style="2" bestFit="1" customWidth="1"/>
    <col min="1570" max="1570" width="9.625" style="2" bestFit="1" customWidth="1"/>
    <col min="1571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4" width="11.125" style="2" bestFit="1" customWidth="1"/>
    <col min="1815" max="1817" width="9" style="2"/>
    <col min="1818" max="1825" width="11.125" style="2" bestFit="1" customWidth="1"/>
    <col min="1826" max="1826" width="9.625" style="2" bestFit="1" customWidth="1"/>
    <col min="1827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0" width="11.125" style="2" bestFit="1" customWidth="1"/>
    <col min="2071" max="2073" width="9" style="2"/>
    <col min="2074" max="2081" width="11.125" style="2" bestFit="1" customWidth="1"/>
    <col min="2082" max="2082" width="9.625" style="2" bestFit="1" customWidth="1"/>
    <col min="2083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6" width="11.125" style="2" bestFit="1" customWidth="1"/>
    <col min="2327" max="2329" width="9" style="2"/>
    <col min="2330" max="2337" width="11.125" style="2" bestFit="1" customWidth="1"/>
    <col min="2338" max="2338" width="9.625" style="2" bestFit="1" customWidth="1"/>
    <col min="2339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2" width="11.125" style="2" bestFit="1" customWidth="1"/>
    <col min="2583" max="2585" width="9" style="2"/>
    <col min="2586" max="2593" width="11.125" style="2" bestFit="1" customWidth="1"/>
    <col min="2594" max="2594" width="9.625" style="2" bestFit="1" customWidth="1"/>
    <col min="2595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38" width="11.125" style="2" bestFit="1" customWidth="1"/>
    <col min="2839" max="2841" width="9" style="2"/>
    <col min="2842" max="2849" width="11.125" style="2" bestFit="1" customWidth="1"/>
    <col min="2850" max="2850" width="9.625" style="2" bestFit="1" customWidth="1"/>
    <col min="2851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4" width="11.125" style="2" bestFit="1" customWidth="1"/>
    <col min="3095" max="3097" width="9" style="2"/>
    <col min="3098" max="3105" width="11.125" style="2" bestFit="1" customWidth="1"/>
    <col min="3106" max="3106" width="9.625" style="2" bestFit="1" customWidth="1"/>
    <col min="3107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0" width="11.125" style="2" bestFit="1" customWidth="1"/>
    <col min="3351" max="3353" width="9" style="2"/>
    <col min="3354" max="3361" width="11.125" style="2" bestFit="1" customWidth="1"/>
    <col min="3362" max="3362" width="9.625" style="2" bestFit="1" customWidth="1"/>
    <col min="3363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6" width="11.125" style="2" bestFit="1" customWidth="1"/>
    <col min="3607" max="3609" width="9" style="2"/>
    <col min="3610" max="3617" width="11.125" style="2" bestFit="1" customWidth="1"/>
    <col min="3618" max="3618" width="9.625" style="2" bestFit="1" customWidth="1"/>
    <col min="3619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2" width="11.125" style="2" bestFit="1" customWidth="1"/>
    <col min="3863" max="3865" width="9" style="2"/>
    <col min="3866" max="3873" width="11.125" style="2" bestFit="1" customWidth="1"/>
    <col min="3874" max="3874" width="9.625" style="2" bestFit="1" customWidth="1"/>
    <col min="3875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18" width="11.125" style="2" bestFit="1" customWidth="1"/>
    <col min="4119" max="4121" width="9" style="2"/>
    <col min="4122" max="4129" width="11.125" style="2" bestFit="1" customWidth="1"/>
    <col min="4130" max="4130" width="9.625" style="2" bestFit="1" customWidth="1"/>
    <col min="4131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4" width="11.125" style="2" bestFit="1" customWidth="1"/>
    <col min="4375" max="4377" width="9" style="2"/>
    <col min="4378" max="4385" width="11.125" style="2" bestFit="1" customWidth="1"/>
    <col min="4386" max="4386" width="9.625" style="2" bestFit="1" customWidth="1"/>
    <col min="4387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0" width="11.125" style="2" bestFit="1" customWidth="1"/>
    <col min="4631" max="4633" width="9" style="2"/>
    <col min="4634" max="4641" width="11.125" style="2" bestFit="1" customWidth="1"/>
    <col min="4642" max="4642" width="9.625" style="2" bestFit="1" customWidth="1"/>
    <col min="4643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6" width="11.125" style="2" bestFit="1" customWidth="1"/>
    <col min="4887" max="4889" width="9" style="2"/>
    <col min="4890" max="4897" width="11.125" style="2" bestFit="1" customWidth="1"/>
    <col min="4898" max="4898" width="9.625" style="2" bestFit="1" customWidth="1"/>
    <col min="4899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2" width="11.125" style="2" bestFit="1" customWidth="1"/>
    <col min="5143" max="5145" width="9" style="2"/>
    <col min="5146" max="5153" width="11.125" style="2" bestFit="1" customWidth="1"/>
    <col min="5154" max="5154" width="9.625" style="2" bestFit="1" customWidth="1"/>
    <col min="5155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398" width="11.125" style="2" bestFit="1" customWidth="1"/>
    <col min="5399" max="5401" width="9" style="2"/>
    <col min="5402" max="5409" width="11.125" style="2" bestFit="1" customWidth="1"/>
    <col min="5410" max="5410" width="9.625" style="2" bestFit="1" customWidth="1"/>
    <col min="5411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4" width="11.125" style="2" bestFit="1" customWidth="1"/>
    <col min="5655" max="5657" width="9" style="2"/>
    <col min="5658" max="5665" width="11.125" style="2" bestFit="1" customWidth="1"/>
    <col min="5666" max="5666" width="9.625" style="2" bestFit="1" customWidth="1"/>
    <col min="5667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0" width="11.125" style="2" bestFit="1" customWidth="1"/>
    <col min="5911" max="5913" width="9" style="2"/>
    <col min="5914" max="5921" width="11.125" style="2" bestFit="1" customWidth="1"/>
    <col min="5922" max="5922" width="9.625" style="2" bestFit="1" customWidth="1"/>
    <col min="5923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6" width="11.125" style="2" bestFit="1" customWidth="1"/>
    <col min="6167" max="6169" width="9" style="2"/>
    <col min="6170" max="6177" width="11.125" style="2" bestFit="1" customWidth="1"/>
    <col min="6178" max="6178" width="9.625" style="2" bestFit="1" customWidth="1"/>
    <col min="6179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2" width="11.125" style="2" bestFit="1" customWidth="1"/>
    <col min="6423" max="6425" width="9" style="2"/>
    <col min="6426" max="6433" width="11.125" style="2" bestFit="1" customWidth="1"/>
    <col min="6434" max="6434" width="9.625" style="2" bestFit="1" customWidth="1"/>
    <col min="6435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78" width="11.125" style="2" bestFit="1" customWidth="1"/>
    <col min="6679" max="6681" width="9" style="2"/>
    <col min="6682" max="6689" width="11.125" style="2" bestFit="1" customWidth="1"/>
    <col min="6690" max="6690" width="9.625" style="2" bestFit="1" customWidth="1"/>
    <col min="6691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4" width="11.125" style="2" bestFit="1" customWidth="1"/>
    <col min="6935" max="6937" width="9" style="2"/>
    <col min="6938" max="6945" width="11.125" style="2" bestFit="1" customWidth="1"/>
    <col min="6946" max="6946" width="9.625" style="2" bestFit="1" customWidth="1"/>
    <col min="6947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0" width="11.125" style="2" bestFit="1" customWidth="1"/>
    <col min="7191" max="7193" width="9" style="2"/>
    <col min="7194" max="7201" width="11.125" style="2" bestFit="1" customWidth="1"/>
    <col min="7202" max="7202" width="9.625" style="2" bestFit="1" customWidth="1"/>
    <col min="7203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6" width="11.125" style="2" bestFit="1" customWidth="1"/>
    <col min="7447" max="7449" width="9" style="2"/>
    <col min="7450" max="7457" width="11.125" style="2" bestFit="1" customWidth="1"/>
    <col min="7458" max="7458" width="9.625" style="2" bestFit="1" customWidth="1"/>
    <col min="7459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2" width="11.125" style="2" bestFit="1" customWidth="1"/>
    <col min="7703" max="7705" width="9" style="2"/>
    <col min="7706" max="7713" width="11.125" style="2" bestFit="1" customWidth="1"/>
    <col min="7714" max="7714" width="9.625" style="2" bestFit="1" customWidth="1"/>
    <col min="7715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58" width="11.125" style="2" bestFit="1" customWidth="1"/>
    <col min="7959" max="7961" width="9" style="2"/>
    <col min="7962" max="7969" width="11.125" style="2" bestFit="1" customWidth="1"/>
    <col min="7970" max="7970" width="9.625" style="2" bestFit="1" customWidth="1"/>
    <col min="7971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4" width="11.125" style="2" bestFit="1" customWidth="1"/>
    <col min="8215" max="8217" width="9" style="2"/>
    <col min="8218" max="8225" width="11.125" style="2" bestFit="1" customWidth="1"/>
    <col min="8226" max="8226" width="9.625" style="2" bestFit="1" customWidth="1"/>
    <col min="8227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0" width="11.125" style="2" bestFit="1" customWidth="1"/>
    <col min="8471" max="8473" width="9" style="2"/>
    <col min="8474" max="8481" width="11.125" style="2" bestFit="1" customWidth="1"/>
    <col min="8482" max="8482" width="9.625" style="2" bestFit="1" customWidth="1"/>
    <col min="8483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6" width="11.125" style="2" bestFit="1" customWidth="1"/>
    <col min="8727" max="8729" width="9" style="2"/>
    <col min="8730" max="8737" width="11.125" style="2" bestFit="1" customWidth="1"/>
    <col min="8738" max="8738" width="9.625" style="2" bestFit="1" customWidth="1"/>
    <col min="8739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2" width="11.125" style="2" bestFit="1" customWidth="1"/>
    <col min="8983" max="8985" width="9" style="2"/>
    <col min="8986" max="8993" width="11.125" style="2" bestFit="1" customWidth="1"/>
    <col min="8994" max="8994" width="9.625" style="2" bestFit="1" customWidth="1"/>
    <col min="8995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38" width="11.125" style="2" bestFit="1" customWidth="1"/>
    <col min="9239" max="9241" width="9" style="2"/>
    <col min="9242" max="9249" width="11.125" style="2" bestFit="1" customWidth="1"/>
    <col min="9250" max="9250" width="9.625" style="2" bestFit="1" customWidth="1"/>
    <col min="9251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4" width="11.125" style="2" bestFit="1" customWidth="1"/>
    <col min="9495" max="9497" width="9" style="2"/>
    <col min="9498" max="9505" width="11.125" style="2" bestFit="1" customWidth="1"/>
    <col min="9506" max="9506" width="9.625" style="2" bestFit="1" customWidth="1"/>
    <col min="9507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0" width="11.125" style="2" bestFit="1" customWidth="1"/>
    <col min="9751" max="9753" width="9" style="2"/>
    <col min="9754" max="9761" width="11.125" style="2" bestFit="1" customWidth="1"/>
    <col min="9762" max="9762" width="9.625" style="2" bestFit="1" customWidth="1"/>
    <col min="9763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6" width="11.125" style="2" bestFit="1" customWidth="1"/>
    <col min="10007" max="10009" width="9" style="2"/>
    <col min="10010" max="10017" width="11.125" style="2" bestFit="1" customWidth="1"/>
    <col min="10018" max="10018" width="9.625" style="2" bestFit="1" customWidth="1"/>
    <col min="10019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2" width="11.125" style="2" bestFit="1" customWidth="1"/>
    <col min="10263" max="10265" width="9" style="2"/>
    <col min="10266" max="10273" width="11.125" style="2" bestFit="1" customWidth="1"/>
    <col min="10274" max="10274" width="9.625" style="2" bestFit="1" customWidth="1"/>
    <col min="10275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18" width="11.125" style="2" bestFit="1" customWidth="1"/>
    <col min="10519" max="10521" width="9" style="2"/>
    <col min="10522" max="10529" width="11.125" style="2" bestFit="1" customWidth="1"/>
    <col min="10530" max="10530" width="9.625" style="2" bestFit="1" customWidth="1"/>
    <col min="10531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4" width="11.125" style="2" bestFit="1" customWidth="1"/>
    <col min="10775" max="10777" width="9" style="2"/>
    <col min="10778" max="10785" width="11.125" style="2" bestFit="1" customWidth="1"/>
    <col min="10786" max="10786" width="9.625" style="2" bestFit="1" customWidth="1"/>
    <col min="10787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0" width="11.125" style="2" bestFit="1" customWidth="1"/>
    <col min="11031" max="11033" width="9" style="2"/>
    <col min="11034" max="11041" width="11.125" style="2" bestFit="1" customWidth="1"/>
    <col min="11042" max="11042" width="9.625" style="2" bestFit="1" customWidth="1"/>
    <col min="11043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6" width="11.125" style="2" bestFit="1" customWidth="1"/>
    <col min="11287" max="11289" width="9" style="2"/>
    <col min="11290" max="11297" width="11.125" style="2" bestFit="1" customWidth="1"/>
    <col min="11298" max="11298" width="9.625" style="2" bestFit="1" customWidth="1"/>
    <col min="11299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2" width="11.125" style="2" bestFit="1" customWidth="1"/>
    <col min="11543" max="11545" width="9" style="2"/>
    <col min="11546" max="11553" width="11.125" style="2" bestFit="1" customWidth="1"/>
    <col min="11554" max="11554" width="9.625" style="2" bestFit="1" customWidth="1"/>
    <col min="11555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798" width="11.125" style="2" bestFit="1" customWidth="1"/>
    <col min="11799" max="11801" width="9" style="2"/>
    <col min="11802" max="11809" width="11.125" style="2" bestFit="1" customWidth="1"/>
    <col min="11810" max="11810" width="9.625" style="2" bestFit="1" customWidth="1"/>
    <col min="11811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4" width="11.125" style="2" bestFit="1" customWidth="1"/>
    <col min="12055" max="12057" width="9" style="2"/>
    <col min="12058" max="12065" width="11.125" style="2" bestFit="1" customWidth="1"/>
    <col min="12066" max="12066" width="9.625" style="2" bestFit="1" customWidth="1"/>
    <col min="12067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0" width="11.125" style="2" bestFit="1" customWidth="1"/>
    <col min="12311" max="12313" width="9" style="2"/>
    <col min="12314" max="12321" width="11.125" style="2" bestFit="1" customWidth="1"/>
    <col min="12322" max="12322" width="9.625" style="2" bestFit="1" customWidth="1"/>
    <col min="12323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6" width="11.125" style="2" bestFit="1" customWidth="1"/>
    <col min="12567" max="12569" width="9" style="2"/>
    <col min="12570" max="12577" width="11.125" style="2" bestFit="1" customWidth="1"/>
    <col min="12578" max="12578" width="9.625" style="2" bestFit="1" customWidth="1"/>
    <col min="12579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2" width="11.125" style="2" bestFit="1" customWidth="1"/>
    <col min="12823" max="12825" width="9" style="2"/>
    <col min="12826" max="12833" width="11.125" style="2" bestFit="1" customWidth="1"/>
    <col min="12834" max="12834" width="9.625" style="2" bestFit="1" customWidth="1"/>
    <col min="12835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78" width="11.125" style="2" bestFit="1" customWidth="1"/>
    <col min="13079" max="13081" width="9" style="2"/>
    <col min="13082" max="13089" width="11.125" style="2" bestFit="1" customWidth="1"/>
    <col min="13090" max="13090" width="9.625" style="2" bestFit="1" customWidth="1"/>
    <col min="13091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4" width="11.125" style="2" bestFit="1" customWidth="1"/>
    <col min="13335" max="13337" width="9" style="2"/>
    <col min="13338" max="13345" width="11.125" style="2" bestFit="1" customWidth="1"/>
    <col min="13346" max="13346" width="9.625" style="2" bestFit="1" customWidth="1"/>
    <col min="13347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0" width="11.125" style="2" bestFit="1" customWidth="1"/>
    <col min="13591" max="13593" width="9" style="2"/>
    <col min="13594" max="13601" width="11.125" style="2" bestFit="1" customWidth="1"/>
    <col min="13602" max="13602" width="9.625" style="2" bestFit="1" customWidth="1"/>
    <col min="13603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6" width="11.125" style="2" bestFit="1" customWidth="1"/>
    <col min="13847" max="13849" width="9" style="2"/>
    <col min="13850" max="13857" width="11.125" style="2" bestFit="1" customWidth="1"/>
    <col min="13858" max="13858" width="9.625" style="2" bestFit="1" customWidth="1"/>
    <col min="13859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2" width="11.125" style="2" bestFit="1" customWidth="1"/>
    <col min="14103" max="14105" width="9" style="2"/>
    <col min="14106" max="14113" width="11.125" style="2" bestFit="1" customWidth="1"/>
    <col min="14114" max="14114" width="9.625" style="2" bestFit="1" customWidth="1"/>
    <col min="14115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58" width="11.125" style="2" bestFit="1" customWidth="1"/>
    <col min="14359" max="14361" width="9" style="2"/>
    <col min="14362" max="14369" width="11.125" style="2" bestFit="1" customWidth="1"/>
    <col min="14370" max="14370" width="9.625" style="2" bestFit="1" customWidth="1"/>
    <col min="14371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4" width="11.125" style="2" bestFit="1" customWidth="1"/>
    <col min="14615" max="14617" width="9" style="2"/>
    <col min="14618" max="14625" width="11.125" style="2" bestFit="1" customWidth="1"/>
    <col min="14626" max="14626" width="9.625" style="2" bestFit="1" customWidth="1"/>
    <col min="14627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0" width="11.125" style="2" bestFit="1" customWidth="1"/>
    <col min="14871" max="14873" width="9" style="2"/>
    <col min="14874" max="14881" width="11.125" style="2" bestFit="1" customWidth="1"/>
    <col min="14882" max="14882" width="9.625" style="2" bestFit="1" customWidth="1"/>
    <col min="14883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6" width="11.125" style="2" bestFit="1" customWidth="1"/>
    <col min="15127" max="15129" width="9" style="2"/>
    <col min="15130" max="15137" width="11.125" style="2" bestFit="1" customWidth="1"/>
    <col min="15138" max="15138" width="9.625" style="2" bestFit="1" customWidth="1"/>
    <col min="15139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2" width="11.125" style="2" bestFit="1" customWidth="1"/>
    <col min="15383" max="15385" width="9" style="2"/>
    <col min="15386" max="15393" width="11.125" style="2" bestFit="1" customWidth="1"/>
    <col min="15394" max="15394" width="9.625" style="2" bestFit="1" customWidth="1"/>
    <col min="15395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38" width="11.125" style="2" bestFit="1" customWidth="1"/>
    <col min="15639" max="15641" width="9" style="2"/>
    <col min="15642" max="15649" width="11.125" style="2" bestFit="1" customWidth="1"/>
    <col min="15650" max="15650" width="9.625" style="2" bestFit="1" customWidth="1"/>
    <col min="15651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4" width="11.125" style="2" bestFit="1" customWidth="1"/>
    <col min="15895" max="15897" width="9" style="2"/>
    <col min="15898" max="15905" width="11.125" style="2" bestFit="1" customWidth="1"/>
    <col min="15906" max="15906" width="9.625" style="2" bestFit="1" customWidth="1"/>
    <col min="15907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0" width="11.125" style="2" bestFit="1" customWidth="1"/>
    <col min="16151" max="16153" width="9" style="2"/>
    <col min="16154" max="16161" width="11.125" style="2" bestFit="1" customWidth="1"/>
    <col min="16162" max="16162" width="9.625" style="2" bestFit="1" customWidth="1"/>
    <col min="16163" max="16384" width="9" style="2"/>
  </cols>
  <sheetData>
    <row r="1" spans="1:35">
      <c r="A1" s="1" t="s">
        <v>0</v>
      </c>
    </row>
    <row r="2" spans="1:35" ht="19.5" thickBot="1">
      <c r="A2" s="1" t="s">
        <v>123</v>
      </c>
    </row>
    <row r="3" spans="1:35">
      <c r="B3" s="3"/>
      <c r="C3" s="9" t="s">
        <v>2</v>
      </c>
      <c r="D3" s="10" t="s">
        <v>3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18</v>
      </c>
      <c r="Q3" s="10" t="s">
        <v>19</v>
      </c>
      <c r="R3" s="10" t="s">
        <v>20</v>
      </c>
      <c r="S3" s="10" t="s">
        <v>21</v>
      </c>
      <c r="T3" s="48" t="s">
        <v>22</v>
      </c>
      <c r="U3" s="81" t="s">
        <v>124</v>
      </c>
      <c r="V3" s="70" t="s">
        <v>17</v>
      </c>
      <c r="W3" s="10" t="s">
        <v>4</v>
      </c>
      <c r="X3" s="10" t="s">
        <v>26</v>
      </c>
      <c r="Y3" s="10" t="s">
        <v>27</v>
      </c>
      <c r="Z3" s="10" t="s">
        <v>23</v>
      </c>
      <c r="AA3" s="10" t="s">
        <v>24</v>
      </c>
      <c r="AB3" s="10" t="s">
        <v>25</v>
      </c>
      <c r="AC3" s="10" t="s">
        <v>28</v>
      </c>
      <c r="AD3" s="10" t="s">
        <v>29</v>
      </c>
      <c r="AE3" s="11" t="s">
        <v>30</v>
      </c>
      <c r="AF3" s="81" t="s">
        <v>124</v>
      </c>
      <c r="AG3" s="59" t="s">
        <v>5</v>
      </c>
      <c r="AH3" s="81" t="s">
        <v>124</v>
      </c>
      <c r="AI3" s="4"/>
    </row>
    <row r="4" spans="1:35" ht="19.5" thickBot="1">
      <c r="A4" s="47"/>
      <c r="B4" s="28" t="s">
        <v>31</v>
      </c>
      <c r="C4" s="29" t="s">
        <v>32</v>
      </c>
      <c r="D4" s="30" t="s">
        <v>33</v>
      </c>
      <c r="E4" s="30" t="s">
        <v>36</v>
      </c>
      <c r="F4" s="30" t="s">
        <v>37</v>
      </c>
      <c r="G4" s="30" t="s">
        <v>38</v>
      </c>
      <c r="H4" s="30" t="s">
        <v>39</v>
      </c>
      <c r="I4" s="30" t="s">
        <v>40</v>
      </c>
      <c r="J4" s="30" t="s">
        <v>41</v>
      </c>
      <c r="K4" s="30" t="s">
        <v>42</v>
      </c>
      <c r="L4" s="30" t="s">
        <v>43</v>
      </c>
      <c r="M4" s="30" t="s">
        <v>44</v>
      </c>
      <c r="N4" s="30" t="s">
        <v>45</v>
      </c>
      <c r="O4" s="30" t="s">
        <v>46</v>
      </c>
      <c r="P4" s="30" t="s">
        <v>48</v>
      </c>
      <c r="Q4" s="30" t="s">
        <v>49</v>
      </c>
      <c r="R4" s="30" t="s">
        <v>50</v>
      </c>
      <c r="S4" s="30" t="s">
        <v>51</v>
      </c>
      <c r="T4" s="49" t="s">
        <v>52</v>
      </c>
      <c r="U4" s="82" t="s">
        <v>125</v>
      </c>
      <c r="V4" s="71" t="s">
        <v>47</v>
      </c>
      <c r="W4" s="30" t="s">
        <v>34</v>
      </c>
      <c r="X4" s="30" t="s">
        <v>56</v>
      </c>
      <c r="Y4" s="30" t="s">
        <v>57</v>
      </c>
      <c r="Z4" s="30" t="s">
        <v>53</v>
      </c>
      <c r="AA4" s="30" t="s">
        <v>54</v>
      </c>
      <c r="AB4" s="30" t="s">
        <v>55</v>
      </c>
      <c r="AC4" s="30" t="s">
        <v>58</v>
      </c>
      <c r="AD4" s="30" t="s">
        <v>59</v>
      </c>
      <c r="AE4" s="31" t="s">
        <v>60</v>
      </c>
      <c r="AF4" s="82" t="s">
        <v>126</v>
      </c>
      <c r="AG4" s="60" t="s">
        <v>35</v>
      </c>
      <c r="AH4" s="82" t="s">
        <v>126</v>
      </c>
      <c r="AI4" s="32" t="s">
        <v>61</v>
      </c>
    </row>
    <row r="5" spans="1:35">
      <c r="A5" s="1" t="s">
        <v>1</v>
      </c>
      <c r="B5" s="24" t="s">
        <v>62</v>
      </c>
      <c r="C5" s="25">
        <v>19</v>
      </c>
      <c r="D5" s="26">
        <v>21</v>
      </c>
      <c r="E5" s="26">
        <v>14</v>
      </c>
      <c r="F5" s="26">
        <v>20</v>
      </c>
      <c r="G5" s="26">
        <v>19</v>
      </c>
      <c r="H5" s="26">
        <v>21</v>
      </c>
      <c r="I5" s="26">
        <v>18</v>
      </c>
      <c r="J5" s="26">
        <v>19</v>
      </c>
      <c r="K5" s="26">
        <v>21</v>
      </c>
      <c r="L5" s="26">
        <v>20</v>
      </c>
      <c r="M5" s="26">
        <v>21</v>
      </c>
      <c r="N5" s="26">
        <v>21</v>
      </c>
      <c r="O5" s="26">
        <v>21</v>
      </c>
      <c r="P5" s="26">
        <v>22</v>
      </c>
      <c r="Q5" s="26">
        <v>20</v>
      </c>
      <c r="R5" s="26">
        <v>19</v>
      </c>
      <c r="S5" s="26">
        <v>22</v>
      </c>
      <c r="T5" s="50">
        <v>22</v>
      </c>
      <c r="U5" s="83">
        <f>SUM(C5:T5)</f>
        <v>360</v>
      </c>
      <c r="V5" s="72">
        <v>21</v>
      </c>
      <c r="W5" s="26">
        <v>21</v>
      </c>
      <c r="X5" s="26">
        <v>13</v>
      </c>
      <c r="Y5" s="26">
        <v>14</v>
      </c>
      <c r="Z5" s="26">
        <v>10</v>
      </c>
      <c r="AA5" s="26">
        <v>10</v>
      </c>
      <c r="AB5" s="26">
        <v>9</v>
      </c>
      <c r="AC5" s="26">
        <v>5</v>
      </c>
      <c r="AD5" s="26">
        <v>20</v>
      </c>
      <c r="AE5" s="27">
        <v>4</v>
      </c>
      <c r="AF5" s="83">
        <f>SUM(V5:AE5)</f>
        <v>127</v>
      </c>
      <c r="AG5" s="61">
        <v>22</v>
      </c>
      <c r="AH5" s="83">
        <f>SUM(AG5)</f>
        <v>22</v>
      </c>
      <c r="AI5" s="83">
        <f>U5+AF5+AH5</f>
        <v>509</v>
      </c>
    </row>
    <row r="6" spans="1:35">
      <c r="A6" s="1" t="s">
        <v>1</v>
      </c>
      <c r="B6" s="5" t="s">
        <v>63</v>
      </c>
      <c r="C6" s="12">
        <v>2</v>
      </c>
      <c r="D6" s="13">
        <v>1</v>
      </c>
      <c r="E6" s="13">
        <v>1</v>
      </c>
      <c r="F6" s="13">
        <v>4</v>
      </c>
      <c r="G6" s="13">
        <v>2</v>
      </c>
      <c r="H6" s="13">
        <v>2</v>
      </c>
      <c r="I6" s="13">
        <v>2</v>
      </c>
      <c r="J6" s="13">
        <v>2</v>
      </c>
      <c r="K6" s="13">
        <v>2</v>
      </c>
      <c r="L6" s="13">
        <v>2</v>
      </c>
      <c r="M6" s="13">
        <v>2</v>
      </c>
      <c r="N6" s="13">
        <v>3</v>
      </c>
      <c r="O6" s="13">
        <v>1</v>
      </c>
      <c r="P6" s="13">
        <v>2</v>
      </c>
      <c r="Q6" s="13">
        <v>0</v>
      </c>
      <c r="R6" s="13">
        <v>2</v>
      </c>
      <c r="S6" s="13">
        <v>0</v>
      </c>
      <c r="T6" s="51">
        <v>2</v>
      </c>
      <c r="U6" s="84">
        <f>SUM(C6:T6)</f>
        <v>32</v>
      </c>
      <c r="V6" s="73">
        <v>0</v>
      </c>
      <c r="W6" s="13">
        <v>1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4">
        <v>0</v>
      </c>
      <c r="AF6" s="84">
        <f>SUM(V6:AE6)</f>
        <v>1</v>
      </c>
      <c r="AG6" s="62">
        <v>0</v>
      </c>
      <c r="AH6" s="84"/>
      <c r="AI6" s="84">
        <f t="shared" ref="AI6:AI54" si="0">U6+AF6+AH6</f>
        <v>33</v>
      </c>
    </row>
    <row r="7" spans="1:35">
      <c r="A7" s="1" t="s">
        <v>1</v>
      </c>
      <c r="B7" s="5" t="s">
        <v>64</v>
      </c>
      <c r="C7" s="12">
        <v>3</v>
      </c>
      <c r="D7" s="13">
        <v>2</v>
      </c>
      <c r="E7" s="13">
        <v>0</v>
      </c>
      <c r="F7" s="13">
        <v>3</v>
      </c>
      <c r="G7" s="13">
        <v>1</v>
      </c>
      <c r="H7" s="13">
        <v>2</v>
      </c>
      <c r="I7" s="13">
        <v>4</v>
      </c>
      <c r="J7" s="13">
        <v>2</v>
      </c>
      <c r="K7" s="13">
        <v>2</v>
      </c>
      <c r="L7" s="13">
        <v>2</v>
      </c>
      <c r="M7" s="13">
        <v>2</v>
      </c>
      <c r="N7" s="13">
        <v>1</v>
      </c>
      <c r="O7" s="13">
        <v>3</v>
      </c>
      <c r="P7" s="13">
        <v>1</v>
      </c>
      <c r="Q7" s="13">
        <v>0</v>
      </c>
      <c r="R7" s="13">
        <v>2</v>
      </c>
      <c r="S7" s="13">
        <v>1</v>
      </c>
      <c r="T7" s="51">
        <v>1</v>
      </c>
      <c r="U7" s="84">
        <f t="shared" ref="U7:U10" si="1">SUM(C7:T7)</f>
        <v>32</v>
      </c>
      <c r="V7" s="73">
        <v>0</v>
      </c>
      <c r="W7" s="13">
        <v>1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4">
        <v>0</v>
      </c>
      <c r="AF7" s="84">
        <f t="shared" ref="AF7:AF9" si="2">SUM(V7:AE7)</f>
        <v>1</v>
      </c>
      <c r="AG7" s="62">
        <v>0</v>
      </c>
      <c r="AH7" s="84"/>
      <c r="AI7" s="84">
        <f t="shared" si="0"/>
        <v>33</v>
      </c>
    </row>
    <row r="8" spans="1:35">
      <c r="A8" s="1" t="s">
        <v>1</v>
      </c>
      <c r="B8" s="5" t="s">
        <v>65</v>
      </c>
      <c r="C8" s="12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1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51">
        <v>0</v>
      </c>
      <c r="U8" s="84">
        <f t="shared" si="1"/>
        <v>1</v>
      </c>
      <c r="V8" s="7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4">
        <v>0</v>
      </c>
      <c r="AF8" s="84">
        <f t="shared" si="2"/>
        <v>0</v>
      </c>
      <c r="AG8" s="62">
        <v>0</v>
      </c>
      <c r="AH8" s="84"/>
      <c r="AI8" s="84">
        <f t="shared" si="0"/>
        <v>1</v>
      </c>
    </row>
    <row r="9" spans="1:35">
      <c r="A9" s="1" t="s">
        <v>1</v>
      </c>
      <c r="B9" s="5" t="s">
        <v>66</v>
      </c>
      <c r="C9" s="12">
        <v>1</v>
      </c>
      <c r="D9" s="13">
        <v>1</v>
      </c>
      <c r="E9" s="13">
        <v>3</v>
      </c>
      <c r="F9" s="13">
        <v>2</v>
      </c>
      <c r="G9" s="13">
        <v>2</v>
      </c>
      <c r="H9" s="13">
        <v>1</v>
      </c>
      <c r="I9" s="13">
        <v>4</v>
      </c>
      <c r="J9" s="13">
        <v>3</v>
      </c>
      <c r="K9" s="13">
        <v>1</v>
      </c>
      <c r="L9" s="13">
        <v>2</v>
      </c>
      <c r="M9" s="13">
        <v>0</v>
      </c>
      <c r="N9" s="13">
        <v>1</v>
      </c>
      <c r="O9" s="13">
        <v>1</v>
      </c>
      <c r="P9" s="13">
        <v>0</v>
      </c>
      <c r="Q9" s="13">
        <v>2</v>
      </c>
      <c r="R9" s="13">
        <v>3</v>
      </c>
      <c r="S9" s="13">
        <v>0</v>
      </c>
      <c r="T9" s="51">
        <v>0</v>
      </c>
      <c r="U9" s="84">
        <f t="shared" si="1"/>
        <v>27</v>
      </c>
      <c r="V9" s="73">
        <v>1</v>
      </c>
      <c r="W9" s="13">
        <v>1</v>
      </c>
      <c r="X9" s="13">
        <v>0</v>
      </c>
      <c r="Y9" s="13">
        <v>0</v>
      </c>
      <c r="Z9" s="13">
        <v>1</v>
      </c>
      <c r="AA9" s="13">
        <v>1</v>
      </c>
      <c r="AB9" s="13">
        <v>1</v>
      </c>
      <c r="AC9" s="13">
        <v>0</v>
      </c>
      <c r="AD9" s="13">
        <v>0</v>
      </c>
      <c r="AE9" s="14">
        <v>0</v>
      </c>
      <c r="AF9" s="84">
        <f t="shared" si="2"/>
        <v>5</v>
      </c>
      <c r="AG9" s="62">
        <v>0</v>
      </c>
      <c r="AH9" s="84"/>
      <c r="AI9" s="84">
        <f t="shared" si="0"/>
        <v>32</v>
      </c>
    </row>
    <row r="10" spans="1:35">
      <c r="A10" s="1" t="s">
        <v>1</v>
      </c>
      <c r="B10" s="5" t="s">
        <v>67</v>
      </c>
      <c r="C10" s="12">
        <v>2</v>
      </c>
      <c r="D10" s="13">
        <v>0</v>
      </c>
      <c r="E10" s="13">
        <v>5</v>
      </c>
      <c r="F10" s="13">
        <v>0</v>
      </c>
      <c r="G10" s="13">
        <v>1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51">
        <v>0</v>
      </c>
      <c r="U10" s="84">
        <f t="shared" si="1"/>
        <v>8</v>
      </c>
      <c r="V10" s="7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4">
        <v>0</v>
      </c>
      <c r="AF10" s="84"/>
      <c r="AG10" s="62">
        <v>0</v>
      </c>
      <c r="AH10" s="84"/>
      <c r="AI10" s="84">
        <f t="shared" si="0"/>
        <v>8</v>
      </c>
    </row>
    <row r="11" spans="1:35">
      <c r="A11" s="1" t="s">
        <v>1</v>
      </c>
      <c r="B11" s="5" t="s">
        <v>68</v>
      </c>
      <c r="C11" s="12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51">
        <v>0</v>
      </c>
      <c r="U11" s="84"/>
      <c r="V11" s="7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4">
        <v>0</v>
      </c>
      <c r="AF11" s="84"/>
      <c r="AG11" s="62">
        <v>0</v>
      </c>
      <c r="AH11" s="84"/>
      <c r="AI11" s="84">
        <f t="shared" si="0"/>
        <v>0</v>
      </c>
    </row>
    <row r="12" spans="1:35">
      <c r="A12" s="1" t="s">
        <v>1</v>
      </c>
      <c r="B12" s="5" t="s">
        <v>69</v>
      </c>
      <c r="C12" s="12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51">
        <v>0</v>
      </c>
      <c r="U12" s="84"/>
      <c r="V12" s="7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4">
        <v>0</v>
      </c>
      <c r="AF12" s="84"/>
      <c r="AG12" s="62">
        <v>0</v>
      </c>
      <c r="AH12" s="84"/>
      <c r="AI12" s="84">
        <f t="shared" si="0"/>
        <v>0</v>
      </c>
    </row>
    <row r="13" spans="1:35">
      <c r="A13" s="1" t="s">
        <v>1</v>
      </c>
      <c r="B13" s="5" t="s">
        <v>70</v>
      </c>
      <c r="C13" s="15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52">
        <v>0</v>
      </c>
      <c r="U13" s="85"/>
      <c r="V13" s="74">
        <v>0</v>
      </c>
      <c r="W13" s="16">
        <v>0</v>
      </c>
      <c r="X13" s="16">
        <v>3.6666666666666665</v>
      </c>
      <c r="Y13" s="16">
        <v>3.8333333333333335</v>
      </c>
      <c r="Z13" s="16">
        <v>2.9166666666666665</v>
      </c>
      <c r="AA13" s="16">
        <v>2.9166666666666665</v>
      </c>
      <c r="AB13" s="16">
        <v>2.625</v>
      </c>
      <c r="AC13" s="16">
        <v>1.625</v>
      </c>
      <c r="AD13" s="16">
        <v>3.625</v>
      </c>
      <c r="AE13" s="17">
        <v>1.125</v>
      </c>
      <c r="AF13" s="85">
        <f>SUM(V13:AE13)</f>
        <v>22.333333333333332</v>
      </c>
      <c r="AG13" s="63">
        <v>0</v>
      </c>
      <c r="AH13" s="85"/>
      <c r="AI13" s="85">
        <f t="shared" si="0"/>
        <v>22.333333333333332</v>
      </c>
    </row>
    <row r="14" spans="1:35">
      <c r="A14" s="1" t="s">
        <v>1</v>
      </c>
      <c r="B14" s="5" t="s">
        <v>71</v>
      </c>
      <c r="C14" s="15">
        <v>1.625</v>
      </c>
      <c r="D14" s="16">
        <v>3.0833333333333335</v>
      </c>
      <c r="E14" s="16">
        <v>0.20833333333333334</v>
      </c>
      <c r="F14" s="16">
        <v>3.0416666666666665</v>
      </c>
      <c r="G14" s="16">
        <v>1.6666666666666665</v>
      </c>
      <c r="H14" s="16">
        <v>3.7916666666666665</v>
      </c>
      <c r="I14" s="16">
        <v>1.9583333333333335</v>
      </c>
      <c r="J14" s="16">
        <v>2.1666666666666665</v>
      </c>
      <c r="K14" s="16">
        <v>3.0416666666666665</v>
      </c>
      <c r="L14" s="16">
        <v>2.6666666666666665</v>
      </c>
      <c r="M14" s="16">
        <v>1.4583333333333333</v>
      </c>
      <c r="N14" s="16">
        <v>1.9583333333333335</v>
      </c>
      <c r="O14" s="16">
        <v>1.9583333333333335</v>
      </c>
      <c r="P14" s="16">
        <v>3.9583333333333335</v>
      </c>
      <c r="Q14" s="16">
        <v>1.4166666666666667</v>
      </c>
      <c r="R14" s="16">
        <v>0.75</v>
      </c>
      <c r="S14" s="16">
        <v>2.2916666666666665</v>
      </c>
      <c r="T14" s="52">
        <v>1.9166666666666665</v>
      </c>
      <c r="U14" s="85">
        <f>SUM(C14:T14)</f>
        <v>38.958333333333329</v>
      </c>
      <c r="V14" s="74">
        <v>0</v>
      </c>
      <c r="W14" s="16">
        <v>1.5416666666666665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4.1666666666666664E-2</v>
      </c>
      <c r="AD14" s="16">
        <v>0</v>
      </c>
      <c r="AE14" s="17">
        <v>0</v>
      </c>
      <c r="AF14" s="85">
        <f>SUM(V14:AE14)</f>
        <v>1.5833333333333333</v>
      </c>
      <c r="AG14" s="63">
        <v>0</v>
      </c>
      <c r="AH14" s="85"/>
      <c r="AI14" s="85">
        <f t="shared" si="0"/>
        <v>40.541666666666664</v>
      </c>
    </row>
    <row r="15" spans="1:35">
      <c r="A15" s="1" t="s">
        <v>1</v>
      </c>
      <c r="B15" s="5" t="s">
        <v>72</v>
      </c>
      <c r="C15" s="15">
        <v>0.75</v>
      </c>
      <c r="D15" s="16">
        <v>0.41666666666666669</v>
      </c>
      <c r="E15" s="16">
        <v>0.20833333333333334</v>
      </c>
      <c r="F15" s="16">
        <v>1.5416666666666665</v>
      </c>
      <c r="G15" s="16">
        <v>0.54166666666666663</v>
      </c>
      <c r="H15" s="16">
        <v>0.79166666666666663</v>
      </c>
      <c r="I15" s="16">
        <v>0.875</v>
      </c>
      <c r="J15" s="16">
        <v>0.83333333333333337</v>
      </c>
      <c r="K15" s="16">
        <v>0.625</v>
      </c>
      <c r="L15" s="16">
        <v>0.79166666666666663</v>
      </c>
      <c r="M15" s="16">
        <v>0.5</v>
      </c>
      <c r="N15" s="16">
        <v>1.375</v>
      </c>
      <c r="O15" s="16">
        <v>0.375</v>
      </c>
      <c r="P15" s="16">
        <v>0.54166666666666663</v>
      </c>
      <c r="Q15" s="16">
        <v>0</v>
      </c>
      <c r="R15" s="16">
        <v>0.41666666666666669</v>
      </c>
      <c r="S15" s="16">
        <v>0</v>
      </c>
      <c r="T15" s="52">
        <v>0.83333333333333337</v>
      </c>
      <c r="U15" s="85">
        <f t="shared" ref="U15:U17" si="3">SUM(C15:T15)</f>
        <v>11.416666666666666</v>
      </c>
      <c r="V15" s="74">
        <v>0</v>
      </c>
      <c r="W15" s="16">
        <v>0.25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7">
        <v>0</v>
      </c>
      <c r="AF15" s="85">
        <f t="shared" ref="AF15:AF16" si="4">SUM(V15:AE15)</f>
        <v>0.25</v>
      </c>
      <c r="AG15" s="63">
        <v>0</v>
      </c>
      <c r="AH15" s="85"/>
      <c r="AI15" s="85">
        <f t="shared" si="0"/>
        <v>11.666666666666666</v>
      </c>
    </row>
    <row r="16" spans="1:35">
      <c r="A16" s="1" t="s">
        <v>1</v>
      </c>
      <c r="B16" s="5" t="s">
        <v>73</v>
      </c>
      <c r="C16" s="15">
        <v>1.125</v>
      </c>
      <c r="D16" s="16">
        <v>0.91666666666666663</v>
      </c>
      <c r="E16" s="16">
        <v>0</v>
      </c>
      <c r="F16" s="16">
        <v>0.79166666666666663</v>
      </c>
      <c r="G16" s="16">
        <v>0.33333333333333331</v>
      </c>
      <c r="H16" s="16">
        <v>0.66666666666666663</v>
      </c>
      <c r="I16" s="16">
        <v>1.7916666666666665</v>
      </c>
      <c r="J16" s="16">
        <v>0.66666666666666663</v>
      </c>
      <c r="K16" s="16">
        <v>0.79166666666666663</v>
      </c>
      <c r="L16" s="16">
        <v>0.91666666666666663</v>
      </c>
      <c r="M16" s="16">
        <v>1</v>
      </c>
      <c r="N16" s="16">
        <v>0.41666666666666669</v>
      </c>
      <c r="O16" s="16">
        <v>1.2916666666666667</v>
      </c>
      <c r="P16" s="16">
        <v>0.45833333333333331</v>
      </c>
      <c r="Q16" s="16">
        <v>0</v>
      </c>
      <c r="R16" s="16">
        <v>0.45833333333333331</v>
      </c>
      <c r="S16" s="16">
        <v>0.29166666666666669</v>
      </c>
      <c r="T16" s="52">
        <v>0.41666666666666669</v>
      </c>
      <c r="U16" s="85">
        <f t="shared" si="3"/>
        <v>12.333333333333332</v>
      </c>
      <c r="V16" s="74">
        <v>0</v>
      </c>
      <c r="W16" s="16">
        <v>0.16666666666666666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7">
        <v>0</v>
      </c>
      <c r="AF16" s="85">
        <f t="shared" si="4"/>
        <v>0.16666666666666666</v>
      </c>
      <c r="AG16" s="63">
        <v>0</v>
      </c>
      <c r="AH16" s="85"/>
      <c r="AI16" s="85">
        <f t="shared" si="0"/>
        <v>12.499999999999998</v>
      </c>
    </row>
    <row r="17" spans="1:35">
      <c r="A17" s="1" t="s">
        <v>1</v>
      </c>
      <c r="B17" s="5" t="s">
        <v>74</v>
      </c>
      <c r="C17" s="15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0.16666666666666666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52">
        <v>0</v>
      </c>
      <c r="U17" s="85">
        <f t="shared" si="3"/>
        <v>0.16666666666666666</v>
      </c>
      <c r="V17" s="74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7">
        <v>0</v>
      </c>
      <c r="AF17" s="85"/>
      <c r="AG17" s="63">
        <v>0</v>
      </c>
      <c r="AH17" s="85"/>
      <c r="AI17" s="85">
        <f t="shared" si="0"/>
        <v>0.16666666666666666</v>
      </c>
    </row>
    <row r="18" spans="1:35">
      <c r="A18" s="1" t="s">
        <v>1</v>
      </c>
      <c r="B18" s="5" t="s">
        <v>75</v>
      </c>
      <c r="C18" s="15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52">
        <v>0</v>
      </c>
      <c r="U18" s="85"/>
      <c r="V18" s="74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7">
        <v>0</v>
      </c>
      <c r="AF18" s="85"/>
      <c r="AG18" s="63">
        <v>0</v>
      </c>
      <c r="AH18" s="85"/>
      <c r="AI18" s="85">
        <f t="shared" si="0"/>
        <v>0</v>
      </c>
    </row>
    <row r="19" spans="1:35">
      <c r="A19" s="1" t="s">
        <v>1</v>
      </c>
      <c r="B19" s="5" t="s">
        <v>76</v>
      </c>
      <c r="C19" s="15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52">
        <v>0</v>
      </c>
      <c r="U19" s="85"/>
      <c r="V19" s="74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7">
        <v>0</v>
      </c>
      <c r="AF19" s="85"/>
      <c r="AG19" s="63">
        <v>0</v>
      </c>
      <c r="AH19" s="85"/>
      <c r="AI19" s="85">
        <f t="shared" si="0"/>
        <v>0</v>
      </c>
    </row>
    <row r="20" spans="1:35">
      <c r="A20" s="1" t="s">
        <v>1</v>
      </c>
      <c r="B20" s="5" t="s">
        <v>77</v>
      </c>
      <c r="C20" s="15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52">
        <v>0</v>
      </c>
      <c r="U20" s="85"/>
      <c r="V20" s="74">
        <v>0</v>
      </c>
      <c r="W20" s="16">
        <v>0</v>
      </c>
      <c r="X20" s="16">
        <v>0</v>
      </c>
      <c r="Y20" s="16">
        <v>0</v>
      </c>
      <c r="Z20" s="16">
        <v>0.29166666666666669</v>
      </c>
      <c r="AA20" s="16">
        <v>0.29166666666666669</v>
      </c>
      <c r="AB20" s="16">
        <v>0.29166666666666669</v>
      </c>
      <c r="AC20" s="16">
        <v>0</v>
      </c>
      <c r="AD20" s="16">
        <v>0</v>
      </c>
      <c r="AE20" s="17">
        <v>0</v>
      </c>
      <c r="AF20" s="85">
        <f>SUM(V20:AE20)</f>
        <v>0.875</v>
      </c>
      <c r="AG20" s="63">
        <v>0</v>
      </c>
      <c r="AH20" s="85"/>
      <c r="AI20" s="85">
        <f t="shared" si="0"/>
        <v>0.875</v>
      </c>
    </row>
    <row r="21" spans="1:35">
      <c r="A21" s="1" t="s">
        <v>1</v>
      </c>
      <c r="B21" s="5" t="s">
        <v>78</v>
      </c>
      <c r="C21" s="15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52">
        <v>0</v>
      </c>
      <c r="U21" s="85"/>
      <c r="V21" s="74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7">
        <v>0</v>
      </c>
      <c r="AF21" s="85"/>
      <c r="AG21" s="63">
        <v>0</v>
      </c>
      <c r="AH21" s="85"/>
      <c r="AI21" s="85">
        <f t="shared" si="0"/>
        <v>0</v>
      </c>
    </row>
    <row r="22" spans="1:35">
      <c r="A22" s="1" t="s">
        <v>1</v>
      </c>
      <c r="B22" s="5" t="s">
        <v>79</v>
      </c>
      <c r="C22" s="15">
        <v>0.45833333333333331</v>
      </c>
      <c r="D22" s="16">
        <v>0.875</v>
      </c>
      <c r="E22" s="16">
        <v>0</v>
      </c>
      <c r="F22" s="16">
        <v>1.1666666666666667</v>
      </c>
      <c r="G22" s="16">
        <v>0.58333333333333337</v>
      </c>
      <c r="H22" s="16">
        <v>1.7916666666666665</v>
      </c>
      <c r="I22" s="16">
        <v>0.125</v>
      </c>
      <c r="J22" s="16">
        <v>0.20833333333333334</v>
      </c>
      <c r="K22" s="16">
        <v>0.25</v>
      </c>
      <c r="L22" s="16">
        <v>0.45833333333333331</v>
      </c>
      <c r="M22" s="16">
        <v>0.41666666666666669</v>
      </c>
      <c r="N22" s="16">
        <v>2.0833333333333335</v>
      </c>
      <c r="O22" s="16">
        <v>0.29166666666666669</v>
      </c>
      <c r="P22" s="16">
        <v>1.5416666666666665</v>
      </c>
      <c r="Q22" s="16">
        <v>1.1666666666666667</v>
      </c>
      <c r="R22" s="16">
        <v>0</v>
      </c>
      <c r="S22" s="16">
        <v>0.20833333333333334</v>
      </c>
      <c r="T22" s="52">
        <v>2.125</v>
      </c>
      <c r="U22" s="85">
        <f>SUM(C22:T22)</f>
        <v>13.749999999999998</v>
      </c>
      <c r="V22" s="74">
        <v>0.875</v>
      </c>
      <c r="W22" s="16">
        <v>0</v>
      </c>
      <c r="X22" s="16">
        <v>0</v>
      </c>
      <c r="Y22" s="16">
        <v>0</v>
      </c>
      <c r="Z22" s="16">
        <v>2.0833333333333335</v>
      </c>
      <c r="AA22" s="16">
        <v>2.0833333333333335</v>
      </c>
      <c r="AB22" s="16">
        <v>1.875</v>
      </c>
      <c r="AC22" s="16">
        <v>0.20833333333333334</v>
      </c>
      <c r="AD22" s="16">
        <v>0</v>
      </c>
      <c r="AE22" s="17">
        <v>0</v>
      </c>
      <c r="AF22" s="85">
        <f>SUM(V22:AE22)</f>
        <v>7.125</v>
      </c>
      <c r="AG22" s="63">
        <v>0</v>
      </c>
      <c r="AH22" s="85"/>
      <c r="AI22" s="85">
        <f t="shared" si="0"/>
        <v>20.875</v>
      </c>
    </row>
    <row r="23" spans="1:35" ht="19.5" thickBot="1">
      <c r="A23" s="1" t="s">
        <v>1</v>
      </c>
      <c r="B23" s="6" t="s">
        <v>80</v>
      </c>
      <c r="C23" s="36">
        <v>15</v>
      </c>
      <c r="D23" s="37">
        <v>29</v>
      </c>
      <c r="E23" s="37">
        <v>28</v>
      </c>
      <c r="F23" s="37">
        <v>31</v>
      </c>
      <c r="G23" s="37">
        <v>26</v>
      </c>
      <c r="H23" s="37">
        <v>31</v>
      </c>
      <c r="I23" s="37">
        <v>28</v>
      </c>
      <c r="J23" s="37">
        <v>16</v>
      </c>
      <c r="K23" s="37">
        <v>27</v>
      </c>
      <c r="L23" s="37">
        <v>33</v>
      </c>
      <c r="M23" s="37">
        <v>0</v>
      </c>
      <c r="N23" s="37">
        <v>12</v>
      </c>
      <c r="O23" s="37">
        <v>26</v>
      </c>
      <c r="P23" s="37">
        <v>17</v>
      </c>
      <c r="Q23" s="37">
        <v>11</v>
      </c>
      <c r="R23" s="37">
        <v>0</v>
      </c>
      <c r="S23" s="37">
        <v>0</v>
      </c>
      <c r="T23" s="53">
        <v>0</v>
      </c>
      <c r="U23" s="86">
        <f>SUM(C23:T23)</f>
        <v>330</v>
      </c>
      <c r="V23" s="75">
        <v>20</v>
      </c>
      <c r="W23" s="37">
        <v>38</v>
      </c>
      <c r="X23" s="37">
        <v>21</v>
      </c>
      <c r="Y23" s="37">
        <v>20</v>
      </c>
      <c r="Z23" s="37">
        <v>3</v>
      </c>
      <c r="AA23" s="37">
        <v>2</v>
      </c>
      <c r="AB23" s="37">
        <v>0</v>
      </c>
      <c r="AC23" s="37">
        <v>3</v>
      </c>
      <c r="AD23" s="37">
        <v>11</v>
      </c>
      <c r="AE23" s="38">
        <v>0</v>
      </c>
      <c r="AF23" s="86">
        <f>SUM(V23:AE23)</f>
        <v>118</v>
      </c>
      <c r="AG23" s="64">
        <v>39</v>
      </c>
      <c r="AH23" s="86">
        <f>SUM(AG23)</f>
        <v>39</v>
      </c>
      <c r="AI23" s="86">
        <f t="shared" si="0"/>
        <v>487</v>
      </c>
    </row>
    <row r="24" spans="1:35">
      <c r="A24" s="1" t="s">
        <v>1</v>
      </c>
      <c r="B24" s="24" t="s">
        <v>81</v>
      </c>
      <c r="C24" s="33">
        <v>177000</v>
      </c>
      <c r="D24" s="34">
        <v>187000</v>
      </c>
      <c r="E24" s="34">
        <v>187000</v>
      </c>
      <c r="F24" s="34">
        <v>192000</v>
      </c>
      <c r="G24" s="34">
        <v>187000</v>
      </c>
      <c r="H24" s="34">
        <v>192000</v>
      </c>
      <c r="I24" s="34">
        <v>177000</v>
      </c>
      <c r="J24" s="34">
        <v>177000</v>
      </c>
      <c r="K24" s="34">
        <v>177000</v>
      </c>
      <c r="L24" s="34">
        <v>187000</v>
      </c>
      <c r="M24" s="34">
        <v>177000</v>
      </c>
      <c r="N24" s="34">
        <v>177000</v>
      </c>
      <c r="O24" s="34">
        <v>170000</v>
      </c>
      <c r="P24" s="34">
        <v>170000</v>
      </c>
      <c r="Q24" s="34">
        <v>175000</v>
      </c>
      <c r="R24" s="34">
        <v>170000</v>
      </c>
      <c r="S24" s="34">
        <v>170000</v>
      </c>
      <c r="T24" s="54">
        <v>170000</v>
      </c>
      <c r="U24" s="87">
        <f>SUM(C24:T24)</f>
        <v>3219000</v>
      </c>
      <c r="V24" s="76">
        <v>355000</v>
      </c>
      <c r="W24" s="34">
        <v>270000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5">
        <v>0</v>
      </c>
      <c r="AF24" s="35">
        <f>SUM(V24:AE24)</f>
        <v>625000</v>
      </c>
      <c r="AG24" s="65">
        <v>365000</v>
      </c>
      <c r="AH24" s="87">
        <f>SUM(AG24)</f>
        <v>365000</v>
      </c>
      <c r="AI24" s="87">
        <f t="shared" si="0"/>
        <v>4209000</v>
      </c>
    </row>
    <row r="25" spans="1:35">
      <c r="A25" s="1" t="s">
        <v>1</v>
      </c>
      <c r="B25" s="5" t="s">
        <v>82</v>
      </c>
      <c r="C25" s="18">
        <v>0</v>
      </c>
      <c r="D25" s="19">
        <v>0</v>
      </c>
      <c r="E25" s="19">
        <v>20000</v>
      </c>
      <c r="F25" s="19">
        <v>5000</v>
      </c>
      <c r="G25" s="19">
        <v>5000</v>
      </c>
      <c r="H25" s="19">
        <v>5000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55">
        <v>0</v>
      </c>
      <c r="U25" s="88">
        <f t="shared" ref="U25:U65" si="5">SUM(C25:T25)</f>
        <v>35000</v>
      </c>
      <c r="V25" s="77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20">
        <v>0</v>
      </c>
      <c r="AF25" s="20">
        <f t="shared" ref="AF25:AF65" si="6">SUM(V25:AE25)</f>
        <v>0</v>
      </c>
      <c r="AG25" s="66">
        <v>0</v>
      </c>
      <c r="AH25" s="88"/>
      <c r="AI25" s="88">
        <f t="shared" si="0"/>
        <v>35000</v>
      </c>
    </row>
    <row r="26" spans="1:35">
      <c r="A26" s="1" t="s">
        <v>1</v>
      </c>
      <c r="B26" s="5" t="s">
        <v>83</v>
      </c>
      <c r="C26" s="18">
        <v>0</v>
      </c>
      <c r="D26" s="19">
        <v>0</v>
      </c>
      <c r="E26" s="19">
        <v>3000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55">
        <v>0</v>
      </c>
      <c r="U26" s="88">
        <f t="shared" si="5"/>
        <v>3000</v>
      </c>
      <c r="V26" s="77">
        <v>0</v>
      </c>
      <c r="W26" s="19">
        <v>3000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20">
        <v>0</v>
      </c>
      <c r="AF26" s="20">
        <f t="shared" si="6"/>
        <v>3000</v>
      </c>
      <c r="AG26" s="66">
        <v>0</v>
      </c>
      <c r="AH26" s="88"/>
      <c r="AI26" s="88">
        <f t="shared" si="0"/>
        <v>6000</v>
      </c>
    </row>
    <row r="27" spans="1:35">
      <c r="A27" s="1" t="s">
        <v>1</v>
      </c>
      <c r="B27" s="5" t="s">
        <v>84</v>
      </c>
      <c r="C27" s="18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55">
        <v>0</v>
      </c>
      <c r="U27" s="88">
        <f t="shared" si="5"/>
        <v>0</v>
      </c>
      <c r="V27" s="77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20">
        <v>0</v>
      </c>
      <c r="AF27" s="20">
        <f t="shared" si="6"/>
        <v>0</v>
      </c>
      <c r="AG27" s="66">
        <v>0</v>
      </c>
      <c r="AH27" s="88"/>
      <c r="AI27" s="88">
        <f t="shared" si="0"/>
        <v>0</v>
      </c>
    </row>
    <row r="28" spans="1:35">
      <c r="A28" s="1" t="s">
        <v>1</v>
      </c>
      <c r="B28" s="5" t="s">
        <v>85</v>
      </c>
      <c r="C28" s="18">
        <v>0</v>
      </c>
      <c r="D28" s="19">
        <v>0</v>
      </c>
      <c r="E28" s="19">
        <v>129676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12224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55">
        <v>0</v>
      </c>
      <c r="U28" s="88">
        <f t="shared" si="5"/>
        <v>141900</v>
      </c>
      <c r="V28" s="77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20">
        <v>0</v>
      </c>
      <c r="AF28" s="20">
        <f t="shared" si="6"/>
        <v>0</v>
      </c>
      <c r="AG28" s="66">
        <v>0</v>
      </c>
      <c r="AH28" s="88"/>
      <c r="AI28" s="88">
        <f t="shared" si="0"/>
        <v>141900</v>
      </c>
    </row>
    <row r="29" spans="1:35">
      <c r="A29" s="1" t="s">
        <v>1</v>
      </c>
      <c r="B29" s="5" t="s">
        <v>86</v>
      </c>
      <c r="C29" s="18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55">
        <v>0</v>
      </c>
      <c r="U29" s="88">
        <f t="shared" si="5"/>
        <v>0</v>
      </c>
      <c r="V29" s="77">
        <v>0</v>
      </c>
      <c r="W29" s="19">
        <v>0</v>
      </c>
      <c r="X29" s="19">
        <v>82720</v>
      </c>
      <c r="Y29" s="19">
        <v>86480</v>
      </c>
      <c r="Z29" s="19">
        <v>58800</v>
      </c>
      <c r="AA29" s="19">
        <v>58800</v>
      </c>
      <c r="AB29" s="19">
        <v>52920</v>
      </c>
      <c r="AC29" s="19">
        <v>32760</v>
      </c>
      <c r="AD29" s="19">
        <v>73080</v>
      </c>
      <c r="AE29" s="20">
        <v>22680</v>
      </c>
      <c r="AF29" s="20">
        <f t="shared" si="6"/>
        <v>468240</v>
      </c>
      <c r="AG29" s="66">
        <v>0</v>
      </c>
      <c r="AH29" s="88"/>
      <c r="AI29" s="88">
        <f t="shared" si="0"/>
        <v>468240</v>
      </c>
    </row>
    <row r="30" spans="1:35">
      <c r="A30" s="1" t="s">
        <v>1</v>
      </c>
      <c r="B30" s="5" t="s">
        <v>87</v>
      </c>
      <c r="C30" s="18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55">
        <v>0</v>
      </c>
      <c r="U30" s="88">
        <f t="shared" si="5"/>
        <v>0</v>
      </c>
      <c r="V30" s="77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20">
        <v>0</v>
      </c>
      <c r="AF30" s="20">
        <f t="shared" si="6"/>
        <v>0</v>
      </c>
      <c r="AG30" s="66">
        <v>0</v>
      </c>
      <c r="AH30" s="88"/>
      <c r="AI30" s="88">
        <f t="shared" si="0"/>
        <v>0</v>
      </c>
    </row>
    <row r="31" spans="1:35">
      <c r="A31" s="1" t="s">
        <v>1</v>
      </c>
      <c r="B31" s="5" t="s">
        <v>88</v>
      </c>
      <c r="C31" s="18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55">
        <v>0</v>
      </c>
      <c r="U31" s="88">
        <f t="shared" si="5"/>
        <v>0</v>
      </c>
      <c r="V31" s="77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20">
        <v>0</v>
      </c>
      <c r="AF31" s="20">
        <f t="shared" si="6"/>
        <v>0</v>
      </c>
      <c r="AG31" s="66">
        <v>0</v>
      </c>
      <c r="AH31" s="88"/>
      <c r="AI31" s="88">
        <f t="shared" si="0"/>
        <v>0</v>
      </c>
    </row>
    <row r="32" spans="1:35">
      <c r="A32" s="1" t="s">
        <v>1</v>
      </c>
      <c r="B32" s="5" t="s">
        <v>89</v>
      </c>
      <c r="C32" s="18">
        <v>2000</v>
      </c>
      <c r="D32" s="19">
        <v>2000</v>
      </c>
      <c r="E32" s="19">
        <v>2000</v>
      </c>
      <c r="F32" s="19">
        <v>2000</v>
      </c>
      <c r="G32" s="19">
        <v>2000</v>
      </c>
      <c r="H32" s="19">
        <v>2000</v>
      </c>
      <c r="I32" s="19">
        <v>2000</v>
      </c>
      <c r="J32" s="19">
        <v>2000</v>
      </c>
      <c r="K32" s="19">
        <v>2000</v>
      </c>
      <c r="L32" s="19">
        <v>2000</v>
      </c>
      <c r="M32" s="19">
        <v>1000</v>
      </c>
      <c r="N32" s="19">
        <v>1000</v>
      </c>
      <c r="O32" s="19">
        <v>1000</v>
      </c>
      <c r="P32" s="19">
        <v>1000</v>
      </c>
      <c r="Q32" s="19">
        <v>2000</v>
      </c>
      <c r="R32" s="19">
        <v>0</v>
      </c>
      <c r="S32" s="19">
        <v>0</v>
      </c>
      <c r="T32" s="55">
        <v>0</v>
      </c>
      <c r="U32" s="88">
        <f t="shared" si="5"/>
        <v>26000</v>
      </c>
      <c r="V32" s="77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20">
        <v>0</v>
      </c>
      <c r="AF32" s="20">
        <f t="shared" si="6"/>
        <v>0</v>
      </c>
      <c r="AG32" s="66">
        <v>0</v>
      </c>
      <c r="AH32" s="88"/>
      <c r="AI32" s="88">
        <f t="shared" si="0"/>
        <v>26000</v>
      </c>
    </row>
    <row r="33" spans="1:35">
      <c r="A33" s="1" t="s">
        <v>1</v>
      </c>
      <c r="B33" s="5" t="s">
        <v>90</v>
      </c>
      <c r="C33" s="18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55">
        <v>0</v>
      </c>
      <c r="U33" s="88">
        <f t="shared" si="5"/>
        <v>0</v>
      </c>
      <c r="V33" s="77">
        <v>0</v>
      </c>
      <c r="W33" s="19">
        <v>0</v>
      </c>
      <c r="X33" s="19">
        <v>0</v>
      </c>
      <c r="Y33" s="19">
        <v>0</v>
      </c>
      <c r="Z33" s="19">
        <v>5880</v>
      </c>
      <c r="AA33" s="19">
        <v>5880</v>
      </c>
      <c r="AB33" s="19">
        <v>5880</v>
      </c>
      <c r="AC33" s="19">
        <v>0</v>
      </c>
      <c r="AD33" s="19">
        <v>0</v>
      </c>
      <c r="AE33" s="20">
        <v>0</v>
      </c>
      <c r="AF33" s="20">
        <f t="shared" si="6"/>
        <v>17640</v>
      </c>
      <c r="AG33" s="66">
        <v>0</v>
      </c>
      <c r="AH33" s="88"/>
      <c r="AI33" s="88">
        <f t="shared" si="0"/>
        <v>17640</v>
      </c>
    </row>
    <row r="34" spans="1:35">
      <c r="A34" s="1" t="s">
        <v>1</v>
      </c>
      <c r="B34" s="5" t="s">
        <v>91</v>
      </c>
      <c r="C34" s="18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55">
        <v>0</v>
      </c>
      <c r="U34" s="88">
        <f t="shared" si="5"/>
        <v>0</v>
      </c>
      <c r="V34" s="77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20">
        <v>0</v>
      </c>
      <c r="AF34" s="20">
        <f t="shared" si="6"/>
        <v>0</v>
      </c>
      <c r="AG34" s="66">
        <v>0</v>
      </c>
      <c r="AH34" s="88"/>
      <c r="AI34" s="88">
        <f t="shared" si="0"/>
        <v>0</v>
      </c>
    </row>
    <row r="35" spans="1:35">
      <c r="A35" s="1" t="s">
        <v>1</v>
      </c>
      <c r="B35" s="5" t="s">
        <v>92</v>
      </c>
      <c r="C35" s="18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55">
        <v>0</v>
      </c>
      <c r="U35" s="88">
        <f t="shared" si="5"/>
        <v>0</v>
      </c>
      <c r="V35" s="77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20">
        <v>0</v>
      </c>
      <c r="AF35" s="20">
        <f t="shared" si="6"/>
        <v>0</v>
      </c>
      <c r="AG35" s="66">
        <v>0</v>
      </c>
      <c r="AH35" s="88"/>
      <c r="AI35" s="88">
        <f t="shared" si="0"/>
        <v>0</v>
      </c>
    </row>
    <row r="36" spans="1:35">
      <c r="A36" s="1" t="s">
        <v>1</v>
      </c>
      <c r="B36" s="5" t="s">
        <v>93</v>
      </c>
      <c r="C36" s="18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55">
        <v>0</v>
      </c>
      <c r="U36" s="88">
        <f t="shared" si="5"/>
        <v>0</v>
      </c>
      <c r="V36" s="77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20">
        <v>0</v>
      </c>
      <c r="AF36" s="20">
        <f t="shared" si="6"/>
        <v>0</v>
      </c>
      <c r="AG36" s="66">
        <v>0</v>
      </c>
      <c r="AH36" s="88"/>
      <c r="AI36" s="88">
        <f t="shared" si="0"/>
        <v>0</v>
      </c>
    </row>
    <row r="37" spans="1:35">
      <c r="A37" s="1" t="s">
        <v>1</v>
      </c>
      <c r="B37" s="5" t="s">
        <v>71</v>
      </c>
      <c r="C37" s="18">
        <v>52260</v>
      </c>
      <c r="D37" s="19">
        <v>104710</v>
      </c>
      <c r="E37" s="19">
        <v>7930</v>
      </c>
      <c r="F37" s="19">
        <v>108770</v>
      </c>
      <c r="G37" s="19">
        <v>58120</v>
      </c>
      <c r="H37" s="19">
        <v>135590</v>
      </c>
      <c r="I37" s="19">
        <v>62980</v>
      </c>
      <c r="J37" s="19">
        <v>69680</v>
      </c>
      <c r="K37" s="19">
        <v>97820</v>
      </c>
      <c r="L37" s="19">
        <v>90560</v>
      </c>
      <c r="M37" s="19">
        <v>46655</v>
      </c>
      <c r="N37" s="19">
        <v>62651</v>
      </c>
      <c r="O37" s="19">
        <v>60160</v>
      </c>
      <c r="P37" s="19">
        <v>121600</v>
      </c>
      <c r="Q37" s="19">
        <v>45050</v>
      </c>
      <c r="R37" s="19">
        <v>22914</v>
      </c>
      <c r="S37" s="19">
        <v>70015</v>
      </c>
      <c r="T37" s="55">
        <v>58558</v>
      </c>
      <c r="U37" s="88">
        <f t="shared" si="5"/>
        <v>1276023</v>
      </c>
      <c r="V37" s="77">
        <v>0</v>
      </c>
      <c r="W37" s="19">
        <v>75628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1050</v>
      </c>
      <c r="AD37" s="19">
        <v>0</v>
      </c>
      <c r="AE37" s="20">
        <v>0</v>
      </c>
      <c r="AF37" s="20">
        <f t="shared" si="6"/>
        <v>76678</v>
      </c>
      <c r="AG37" s="66">
        <v>0</v>
      </c>
      <c r="AH37" s="88"/>
      <c r="AI37" s="88">
        <f t="shared" si="0"/>
        <v>1352701</v>
      </c>
    </row>
    <row r="38" spans="1:35">
      <c r="A38" s="1" t="s">
        <v>1</v>
      </c>
      <c r="B38" s="5" t="s">
        <v>94</v>
      </c>
      <c r="C38" s="18">
        <v>26046</v>
      </c>
      <c r="D38" s="19">
        <v>15280</v>
      </c>
      <c r="E38" s="19">
        <v>8565</v>
      </c>
      <c r="F38" s="19">
        <v>59533</v>
      </c>
      <c r="G38" s="19">
        <v>20397</v>
      </c>
      <c r="H38" s="19">
        <v>30571</v>
      </c>
      <c r="I38" s="19">
        <v>30387</v>
      </c>
      <c r="J38" s="19">
        <v>28940</v>
      </c>
      <c r="K38" s="19">
        <v>21705</v>
      </c>
      <c r="L38" s="19">
        <v>29032</v>
      </c>
      <c r="M38" s="19">
        <v>17268</v>
      </c>
      <c r="N38" s="19">
        <v>47487</v>
      </c>
      <c r="O38" s="19">
        <v>12438</v>
      </c>
      <c r="P38" s="19">
        <v>17966</v>
      </c>
      <c r="Q38" s="19">
        <v>0</v>
      </c>
      <c r="R38" s="19">
        <v>13740</v>
      </c>
      <c r="S38" s="19">
        <v>0</v>
      </c>
      <c r="T38" s="55">
        <v>27480</v>
      </c>
      <c r="U38" s="88">
        <f t="shared" si="5"/>
        <v>406835</v>
      </c>
      <c r="V38" s="77">
        <v>0</v>
      </c>
      <c r="W38" s="19">
        <v>13242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20">
        <v>0</v>
      </c>
      <c r="AF38" s="20">
        <f t="shared" si="6"/>
        <v>13242</v>
      </c>
      <c r="AG38" s="66">
        <v>0</v>
      </c>
      <c r="AH38" s="88"/>
      <c r="AI38" s="88">
        <f t="shared" si="0"/>
        <v>420077</v>
      </c>
    </row>
    <row r="39" spans="1:35">
      <c r="A39" s="1" t="s">
        <v>1</v>
      </c>
      <c r="B39" s="5" t="s">
        <v>95</v>
      </c>
      <c r="C39" s="18">
        <v>39069</v>
      </c>
      <c r="D39" s="19">
        <v>33616</v>
      </c>
      <c r="E39" s="19">
        <v>0</v>
      </c>
      <c r="F39" s="19">
        <v>30571</v>
      </c>
      <c r="G39" s="19">
        <v>12552</v>
      </c>
      <c r="H39" s="19">
        <v>25744</v>
      </c>
      <c r="I39" s="19">
        <v>62221</v>
      </c>
      <c r="J39" s="19">
        <v>23152</v>
      </c>
      <c r="K39" s="19">
        <v>27493</v>
      </c>
      <c r="L39" s="19">
        <v>33616</v>
      </c>
      <c r="M39" s="19">
        <v>34536</v>
      </c>
      <c r="N39" s="19">
        <v>14390</v>
      </c>
      <c r="O39" s="19">
        <v>42842</v>
      </c>
      <c r="P39" s="19">
        <v>15202</v>
      </c>
      <c r="Q39" s="19">
        <v>0</v>
      </c>
      <c r="R39" s="19">
        <v>15114</v>
      </c>
      <c r="S39" s="19">
        <v>9618</v>
      </c>
      <c r="T39" s="55">
        <v>13740</v>
      </c>
      <c r="U39" s="88">
        <f t="shared" si="5"/>
        <v>433476</v>
      </c>
      <c r="V39" s="77">
        <v>0</v>
      </c>
      <c r="W39" s="19">
        <v>8828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20">
        <v>0</v>
      </c>
      <c r="AF39" s="20">
        <f t="shared" si="6"/>
        <v>8828</v>
      </c>
      <c r="AG39" s="66">
        <v>0</v>
      </c>
      <c r="AH39" s="88"/>
      <c r="AI39" s="88">
        <f t="shared" si="0"/>
        <v>442304</v>
      </c>
    </row>
    <row r="40" spans="1:35">
      <c r="A40" s="1" t="s">
        <v>1</v>
      </c>
      <c r="B40" s="5" t="s">
        <v>96</v>
      </c>
      <c r="C40" s="18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1492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55">
        <v>0</v>
      </c>
      <c r="U40" s="88">
        <f t="shared" si="5"/>
        <v>1492</v>
      </c>
      <c r="V40" s="77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20">
        <v>0</v>
      </c>
      <c r="AF40" s="20">
        <f t="shared" si="6"/>
        <v>0</v>
      </c>
      <c r="AG40" s="66">
        <v>0</v>
      </c>
      <c r="AH40" s="88"/>
      <c r="AI40" s="88">
        <f t="shared" si="0"/>
        <v>1492</v>
      </c>
    </row>
    <row r="41" spans="1:35">
      <c r="A41" s="1" t="s">
        <v>1</v>
      </c>
      <c r="B41" s="5" t="s">
        <v>97</v>
      </c>
      <c r="C41" s="18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55">
        <v>0</v>
      </c>
      <c r="U41" s="88">
        <f t="shared" si="5"/>
        <v>0</v>
      </c>
      <c r="V41" s="77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20">
        <v>0</v>
      </c>
      <c r="AF41" s="20">
        <f t="shared" si="6"/>
        <v>0</v>
      </c>
      <c r="AG41" s="66">
        <v>0</v>
      </c>
      <c r="AH41" s="88"/>
      <c r="AI41" s="88">
        <f t="shared" si="0"/>
        <v>0</v>
      </c>
    </row>
    <row r="42" spans="1:35">
      <c r="A42" s="1" t="s">
        <v>1</v>
      </c>
      <c r="B42" s="5" t="s">
        <v>98</v>
      </c>
      <c r="C42" s="18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55">
        <v>0</v>
      </c>
      <c r="U42" s="88">
        <f t="shared" si="5"/>
        <v>0</v>
      </c>
      <c r="V42" s="77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20">
        <v>0</v>
      </c>
      <c r="AF42" s="20">
        <f t="shared" si="6"/>
        <v>0</v>
      </c>
      <c r="AG42" s="66">
        <v>0</v>
      </c>
      <c r="AH42" s="88"/>
      <c r="AI42" s="88">
        <f t="shared" si="0"/>
        <v>0</v>
      </c>
    </row>
    <row r="43" spans="1:35">
      <c r="A43" s="1" t="s">
        <v>1</v>
      </c>
      <c r="B43" s="5" t="s">
        <v>76</v>
      </c>
      <c r="C43" s="18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55">
        <v>0</v>
      </c>
      <c r="U43" s="88">
        <f t="shared" si="5"/>
        <v>0</v>
      </c>
      <c r="V43" s="77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20">
        <v>0</v>
      </c>
      <c r="AF43" s="20">
        <f t="shared" si="6"/>
        <v>0</v>
      </c>
      <c r="AG43" s="66">
        <v>0</v>
      </c>
      <c r="AH43" s="88"/>
      <c r="AI43" s="88">
        <f t="shared" si="0"/>
        <v>0</v>
      </c>
    </row>
    <row r="44" spans="1:35" ht="19.5" thickBot="1">
      <c r="A44" s="1" t="s">
        <v>1</v>
      </c>
      <c r="B44" s="39" t="s">
        <v>79</v>
      </c>
      <c r="C44" s="40">
        <v>2948</v>
      </c>
      <c r="D44" s="41">
        <v>5943</v>
      </c>
      <c r="E44" s="41">
        <v>0</v>
      </c>
      <c r="F44" s="41">
        <v>8344</v>
      </c>
      <c r="G44" s="41">
        <v>4074</v>
      </c>
      <c r="H44" s="41">
        <v>12814</v>
      </c>
      <c r="I44" s="41">
        <v>804</v>
      </c>
      <c r="J44" s="41">
        <v>1340</v>
      </c>
      <c r="K44" s="41">
        <v>1608</v>
      </c>
      <c r="L44" s="41">
        <v>3113</v>
      </c>
      <c r="M44" s="41">
        <v>2670</v>
      </c>
      <c r="N44" s="41">
        <v>13350</v>
      </c>
      <c r="O44" s="41">
        <v>1792</v>
      </c>
      <c r="P44" s="41">
        <v>9472</v>
      </c>
      <c r="Q44" s="41">
        <v>7420</v>
      </c>
      <c r="R44" s="41">
        <v>0</v>
      </c>
      <c r="S44" s="41">
        <v>1275</v>
      </c>
      <c r="T44" s="56">
        <v>13005</v>
      </c>
      <c r="U44" s="89">
        <f t="shared" si="5"/>
        <v>89972</v>
      </c>
      <c r="V44" s="78">
        <v>11172</v>
      </c>
      <c r="W44" s="41">
        <v>0</v>
      </c>
      <c r="X44" s="41">
        <v>0</v>
      </c>
      <c r="Y44" s="41">
        <v>0</v>
      </c>
      <c r="Z44" s="41">
        <v>10500</v>
      </c>
      <c r="AA44" s="41">
        <v>10500</v>
      </c>
      <c r="AB44" s="41">
        <v>9450</v>
      </c>
      <c r="AC44" s="41">
        <v>1050</v>
      </c>
      <c r="AD44" s="41">
        <v>0</v>
      </c>
      <c r="AE44" s="42">
        <v>0</v>
      </c>
      <c r="AF44" s="42">
        <f t="shared" si="6"/>
        <v>42672</v>
      </c>
      <c r="AG44" s="67">
        <v>0</v>
      </c>
      <c r="AH44" s="89"/>
      <c r="AI44" s="89">
        <f t="shared" si="0"/>
        <v>132644</v>
      </c>
    </row>
    <row r="45" spans="1:35" ht="19.5" thickBot="1">
      <c r="A45" s="1" t="s">
        <v>1</v>
      </c>
      <c r="B45" s="43" t="s">
        <v>99</v>
      </c>
      <c r="C45" s="44">
        <v>299323</v>
      </c>
      <c r="D45" s="45">
        <v>348549</v>
      </c>
      <c r="E45" s="45">
        <v>358171</v>
      </c>
      <c r="F45" s="45">
        <v>406218</v>
      </c>
      <c r="G45" s="45">
        <v>289143</v>
      </c>
      <c r="H45" s="45">
        <v>403719</v>
      </c>
      <c r="I45" s="45">
        <v>335392</v>
      </c>
      <c r="J45" s="45">
        <v>302112</v>
      </c>
      <c r="K45" s="45">
        <v>327626</v>
      </c>
      <c r="L45" s="45">
        <v>357545</v>
      </c>
      <c r="M45" s="45">
        <v>280621</v>
      </c>
      <c r="N45" s="45">
        <v>315878</v>
      </c>
      <c r="O45" s="45">
        <v>288232</v>
      </c>
      <c r="P45" s="45">
        <v>335240</v>
      </c>
      <c r="Q45" s="45">
        <v>229470</v>
      </c>
      <c r="R45" s="45">
        <v>221768</v>
      </c>
      <c r="S45" s="45">
        <v>250908</v>
      </c>
      <c r="T45" s="57">
        <v>282783</v>
      </c>
      <c r="U45" s="90">
        <f t="shared" si="5"/>
        <v>5632698</v>
      </c>
      <c r="V45" s="79">
        <v>366172</v>
      </c>
      <c r="W45" s="45">
        <v>370698</v>
      </c>
      <c r="X45" s="45">
        <v>82720</v>
      </c>
      <c r="Y45" s="45">
        <v>86480</v>
      </c>
      <c r="Z45" s="45">
        <v>75180</v>
      </c>
      <c r="AA45" s="45">
        <v>75180</v>
      </c>
      <c r="AB45" s="45">
        <v>68250</v>
      </c>
      <c r="AC45" s="45">
        <v>34860</v>
      </c>
      <c r="AD45" s="45">
        <v>73080</v>
      </c>
      <c r="AE45" s="46">
        <v>22680</v>
      </c>
      <c r="AF45" s="46">
        <f t="shared" si="6"/>
        <v>1255300</v>
      </c>
      <c r="AG45" s="68">
        <v>365000</v>
      </c>
      <c r="AH45" s="90">
        <f>SUM(AG45)</f>
        <v>365000</v>
      </c>
      <c r="AI45" s="90">
        <f t="shared" si="0"/>
        <v>7252998</v>
      </c>
    </row>
    <row r="46" spans="1:35" ht="19.5" thickBot="1">
      <c r="A46" s="1" t="s">
        <v>1</v>
      </c>
      <c r="B46" s="24" t="s">
        <v>100</v>
      </c>
      <c r="C46" s="33">
        <v>12525</v>
      </c>
      <c r="D46" s="34">
        <v>3132</v>
      </c>
      <c r="E46" s="34">
        <v>3523</v>
      </c>
      <c r="F46" s="34">
        <v>3523</v>
      </c>
      <c r="G46" s="34">
        <v>13203</v>
      </c>
      <c r="H46" s="34">
        <v>2610</v>
      </c>
      <c r="I46" s="34">
        <v>2505</v>
      </c>
      <c r="J46" s="34">
        <v>1201</v>
      </c>
      <c r="K46" s="34">
        <v>3262</v>
      </c>
      <c r="L46" s="34">
        <v>5010</v>
      </c>
      <c r="M46" s="34">
        <v>6524</v>
      </c>
      <c r="N46" s="34">
        <v>4567</v>
      </c>
      <c r="O46" s="34">
        <v>7828</v>
      </c>
      <c r="P46" s="34">
        <v>6524</v>
      </c>
      <c r="Q46" s="34">
        <v>8872</v>
      </c>
      <c r="R46" s="34">
        <v>4201</v>
      </c>
      <c r="S46" s="34">
        <v>10803</v>
      </c>
      <c r="T46" s="54">
        <v>7828</v>
      </c>
      <c r="U46" s="87">
        <f t="shared" si="5"/>
        <v>107641</v>
      </c>
      <c r="V46" s="76">
        <v>4071</v>
      </c>
      <c r="W46" s="34">
        <v>5402</v>
      </c>
      <c r="X46" s="34">
        <v>2714</v>
      </c>
      <c r="Y46" s="34">
        <v>1827</v>
      </c>
      <c r="Z46" s="34">
        <v>3132</v>
      </c>
      <c r="AA46" s="34">
        <v>3914</v>
      </c>
      <c r="AB46" s="34">
        <v>3758</v>
      </c>
      <c r="AC46" s="34">
        <v>1696</v>
      </c>
      <c r="AD46" s="34">
        <v>7306</v>
      </c>
      <c r="AE46" s="35">
        <v>1566</v>
      </c>
      <c r="AF46" s="35">
        <f t="shared" si="6"/>
        <v>35386</v>
      </c>
      <c r="AG46" s="65">
        <v>7802</v>
      </c>
      <c r="AH46" s="87">
        <f t="shared" ref="AH46:AH65" si="7">SUM(AG46)</f>
        <v>7802</v>
      </c>
      <c r="AI46" s="87">
        <f t="shared" si="0"/>
        <v>150829</v>
      </c>
    </row>
    <row r="47" spans="1:35" ht="19.5" thickBot="1">
      <c r="A47" s="1" t="s">
        <v>1</v>
      </c>
      <c r="B47" s="43" t="s">
        <v>101</v>
      </c>
      <c r="C47" s="44">
        <v>12525</v>
      </c>
      <c r="D47" s="45">
        <v>3132</v>
      </c>
      <c r="E47" s="45">
        <v>3523</v>
      </c>
      <c r="F47" s="45">
        <v>3523</v>
      </c>
      <c r="G47" s="45">
        <v>13203</v>
      </c>
      <c r="H47" s="45">
        <v>2610</v>
      </c>
      <c r="I47" s="45">
        <v>2505</v>
      </c>
      <c r="J47" s="45">
        <v>1201</v>
      </c>
      <c r="K47" s="45">
        <v>3262</v>
      </c>
      <c r="L47" s="45">
        <v>5010</v>
      </c>
      <c r="M47" s="45">
        <v>6524</v>
      </c>
      <c r="N47" s="45">
        <v>4567</v>
      </c>
      <c r="O47" s="45">
        <v>7828</v>
      </c>
      <c r="P47" s="45">
        <v>6524</v>
      </c>
      <c r="Q47" s="45">
        <v>8872</v>
      </c>
      <c r="R47" s="45">
        <v>4201</v>
      </c>
      <c r="S47" s="45">
        <v>10803</v>
      </c>
      <c r="T47" s="57">
        <v>7828</v>
      </c>
      <c r="U47" s="90">
        <f t="shared" si="5"/>
        <v>107641</v>
      </c>
      <c r="V47" s="79">
        <v>4071</v>
      </c>
      <c r="W47" s="45">
        <v>5402</v>
      </c>
      <c r="X47" s="45">
        <v>2714</v>
      </c>
      <c r="Y47" s="45">
        <v>1827</v>
      </c>
      <c r="Z47" s="45">
        <v>3132</v>
      </c>
      <c r="AA47" s="45">
        <v>3914</v>
      </c>
      <c r="AB47" s="45">
        <v>3758</v>
      </c>
      <c r="AC47" s="45">
        <v>1696</v>
      </c>
      <c r="AD47" s="45">
        <v>7306</v>
      </c>
      <c r="AE47" s="46">
        <v>1566</v>
      </c>
      <c r="AF47" s="46">
        <f t="shared" si="6"/>
        <v>35386</v>
      </c>
      <c r="AG47" s="68">
        <v>7802</v>
      </c>
      <c r="AH47" s="90">
        <f t="shared" si="7"/>
        <v>7802</v>
      </c>
      <c r="AI47" s="90">
        <f t="shared" si="0"/>
        <v>150829</v>
      </c>
    </row>
    <row r="48" spans="1:35" ht="19.5" thickBot="1">
      <c r="A48" s="1" t="s">
        <v>1</v>
      </c>
      <c r="B48" s="43" t="s">
        <v>102</v>
      </c>
      <c r="C48" s="44">
        <v>311848</v>
      </c>
      <c r="D48" s="45">
        <v>351681</v>
      </c>
      <c r="E48" s="45">
        <v>361694</v>
      </c>
      <c r="F48" s="45">
        <v>409741</v>
      </c>
      <c r="G48" s="45">
        <v>302346</v>
      </c>
      <c r="H48" s="45">
        <v>406329</v>
      </c>
      <c r="I48" s="45">
        <v>337897</v>
      </c>
      <c r="J48" s="45">
        <v>303313</v>
      </c>
      <c r="K48" s="45">
        <v>330888</v>
      </c>
      <c r="L48" s="45">
        <v>362555</v>
      </c>
      <c r="M48" s="45">
        <v>287145</v>
      </c>
      <c r="N48" s="45">
        <v>320445</v>
      </c>
      <c r="O48" s="45">
        <v>296060</v>
      </c>
      <c r="P48" s="45">
        <v>341764</v>
      </c>
      <c r="Q48" s="45">
        <v>238342</v>
      </c>
      <c r="R48" s="45">
        <v>225969</v>
      </c>
      <c r="S48" s="45">
        <v>261711</v>
      </c>
      <c r="T48" s="57">
        <v>290611</v>
      </c>
      <c r="U48" s="90">
        <f t="shared" si="5"/>
        <v>5740339</v>
      </c>
      <c r="V48" s="79">
        <v>370243</v>
      </c>
      <c r="W48" s="45">
        <v>376100</v>
      </c>
      <c r="X48" s="45">
        <v>85434</v>
      </c>
      <c r="Y48" s="45">
        <v>88307</v>
      </c>
      <c r="Z48" s="45">
        <v>78312</v>
      </c>
      <c r="AA48" s="45">
        <v>79094</v>
      </c>
      <c r="AB48" s="45">
        <v>72008</v>
      </c>
      <c r="AC48" s="45">
        <v>36556</v>
      </c>
      <c r="AD48" s="45">
        <v>80386</v>
      </c>
      <c r="AE48" s="46">
        <v>24246</v>
      </c>
      <c r="AF48" s="46">
        <f t="shared" si="6"/>
        <v>1290686</v>
      </c>
      <c r="AG48" s="68">
        <v>372802</v>
      </c>
      <c r="AH48" s="90">
        <f t="shared" si="7"/>
        <v>372802</v>
      </c>
      <c r="AI48" s="90">
        <f t="shared" si="0"/>
        <v>7403827</v>
      </c>
    </row>
    <row r="49" spans="1:35">
      <c r="A49" s="1" t="s">
        <v>1</v>
      </c>
      <c r="B49" s="24" t="s">
        <v>103</v>
      </c>
      <c r="C49" s="33">
        <v>16320</v>
      </c>
      <c r="D49" s="34">
        <v>19380</v>
      </c>
      <c r="E49" s="34">
        <v>19380</v>
      </c>
      <c r="F49" s="34">
        <v>18360</v>
      </c>
      <c r="G49" s="34">
        <v>16320</v>
      </c>
      <c r="H49" s="34">
        <v>19380</v>
      </c>
      <c r="I49" s="34">
        <v>17340</v>
      </c>
      <c r="J49" s="34">
        <v>16320</v>
      </c>
      <c r="K49" s="34">
        <v>16320</v>
      </c>
      <c r="L49" s="34">
        <v>18360</v>
      </c>
      <c r="M49" s="34">
        <v>15300</v>
      </c>
      <c r="N49" s="34">
        <v>17340</v>
      </c>
      <c r="O49" s="34">
        <v>15300</v>
      </c>
      <c r="P49" s="34">
        <v>17340</v>
      </c>
      <c r="Q49" s="34">
        <v>14280</v>
      </c>
      <c r="R49" s="34">
        <v>15300</v>
      </c>
      <c r="S49" s="34">
        <v>13260</v>
      </c>
      <c r="T49" s="54">
        <v>13260</v>
      </c>
      <c r="U49" s="87">
        <f t="shared" si="5"/>
        <v>298860</v>
      </c>
      <c r="V49" s="76">
        <v>17340</v>
      </c>
      <c r="W49" s="34">
        <v>20910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5">
        <v>0</v>
      </c>
      <c r="AF49" s="35">
        <f t="shared" si="6"/>
        <v>38250</v>
      </c>
      <c r="AG49" s="65">
        <v>19380</v>
      </c>
      <c r="AH49" s="87">
        <f t="shared" si="7"/>
        <v>19380</v>
      </c>
      <c r="AI49" s="87">
        <f t="shared" si="0"/>
        <v>356490</v>
      </c>
    </row>
    <row r="50" spans="1:35">
      <c r="A50" s="1" t="s">
        <v>1</v>
      </c>
      <c r="B50" s="5" t="s">
        <v>104</v>
      </c>
      <c r="C50" s="18">
        <v>2880</v>
      </c>
      <c r="D50" s="19">
        <v>3420</v>
      </c>
      <c r="E50" s="19">
        <v>3420</v>
      </c>
      <c r="F50" s="19">
        <v>3240</v>
      </c>
      <c r="G50" s="19">
        <v>2880</v>
      </c>
      <c r="H50" s="19">
        <v>3420</v>
      </c>
      <c r="I50" s="19">
        <v>3060</v>
      </c>
      <c r="J50" s="19">
        <v>2880</v>
      </c>
      <c r="K50" s="19">
        <v>2880</v>
      </c>
      <c r="L50" s="19">
        <v>3240</v>
      </c>
      <c r="M50" s="19">
        <v>2700</v>
      </c>
      <c r="N50" s="19">
        <v>3060</v>
      </c>
      <c r="O50" s="19">
        <v>2700</v>
      </c>
      <c r="P50" s="19">
        <v>3060</v>
      </c>
      <c r="Q50" s="19">
        <v>2520</v>
      </c>
      <c r="R50" s="19">
        <v>0</v>
      </c>
      <c r="S50" s="19">
        <v>0</v>
      </c>
      <c r="T50" s="55">
        <v>2340</v>
      </c>
      <c r="U50" s="88">
        <f t="shared" si="5"/>
        <v>47700</v>
      </c>
      <c r="V50" s="77">
        <v>3060</v>
      </c>
      <c r="W50" s="19">
        <v>3690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20">
        <v>0</v>
      </c>
      <c r="AF50" s="20">
        <f t="shared" si="6"/>
        <v>6750</v>
      </c>
      <c r="AG50" s="66">
        <v>3420</v>
      </c>
      <c r="AH50" s="88">
        <f t="shared" si="7"/>
        <v>3420</v>
      </c>
      <c r="AI50" s="88">
        <f t="shared" si="0"/>
        <v>57870</v>
      </c>
    </row>
    <row r="51" spans="1:35">
      <c r="A51" s="1" t="s">
        <v>1</v>
      </c>
      <c r="B51" s="5" t="s">
        <v>105</v>
      </c>
      <c r="C51" s="18">
        <v>29280</v>
      </c>
      <c r="D51" s="19">
        <v>34770</v>
      </c>
      <c r="E51" s="19">
        <v>34770</v>
      </c>
      <c r="F51" s="19">
        <v>32940</v>
      </c>
      <c r="G51" s="19">
        <v>29280</v>
      </c>
      <c r="H51" s="19">
        <v>34770</v>
      </c>
      <c r="I51" s="19">
        <v>31110</v>
      </c>
      <c r="J51" s="19">
        <v>29280</v>
      </c>
      <c r="K51" s="19">
        <v>29280</v>
      </c>
      <c r="L51" s="19">
        <v>32940</v>
      </c>
      <c r="M51" s="19">
        <v>27450</v>
      </c>
      <c r="N51" s="19">
        <v>31110</v>
      </c>
      <c r="O51" s="19">
        <v>27450</v>
      </c>
      <c r="P51" s="19">
        <v>31110</v>
      </c>
      <c r="Q51" s="19">
        <v>25620</v>
      </c>
      <c r="R51" s="19">
        <v>27450</v>
      </c>
      <c r="S51" s="19">
        <v>23790</v>
      </c>
      <c r="T51" s="55">
        <v>23790</v>
      </c>
      <c r="U51" s="88">
        <f t="shared" si="5"/>
        <v>536190</v>
      </c>
      <c r="V51" s="77">
        <v>31110</v>
      </c>
      <c r="W51" s="19">
        <v>37515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20">
        <v>0</v>
      </c>
      <c r="AF51" s="20">
        <f t="shared" si="6"/>
        <v>68625</v>
      </c>
      <c r="AG51" s="66">
        <v>34770</v>
      </c>
      <c r="AH51" s="88">
        <f t="shared" si="7"/>
        <v>34770</v>
      </c>
      <c r="AI51" s="88">
        <f t="shared" si="0"/>
        <v>639585</v>
      </c>
    </row>
    <row r="52" spans="1:35" ht="19.5" thickBot="1">
      <c r="A52" s="1" t="s">
        <v>1</v>
      </c>
      <c r="B52" s="5" t="s">
        <v>106</v>
      </c>
      <c r="C52" s="18">
        <v>936</v>
      </c>
      <c r="D52" s="19">
        <v>1055</v>
      </c>
      <c r="E52" s="19">
        <v>1085</v>
      </c>
      <c r="F52" s="19">
        <v>1229</v>
      </c>
      <c r="G52" s="19">
        <v>907</v>
      </c>
      <c r="H52" s="19">
        <v>1219</v>
      </c>
      <c r="I52" s="19">
        <v>1014</v>
      </c>
      <c r="J52" s="19">
        <v>910</v>
      </c>
      <c r="K52" s="19">
        <v>993</v>
      </c>
      <c r="L52" s="19">
        <v>1088</v>
      </c>
      <c r="M52" s="19">
        <v>861</v>
      </c>
      <c r="N52" s="19">
        <v>961</v>
      </c>
      <c r="O52" s="19">
        <v>888</v>
      </c>
      <c r="P52" s="19">
        <v>1025</v>
      </c>
      <c r="Q52" s="19">
        <v>715</v>
      </c>
      <c r="R52" s="19">
        <v>678</v>
      </c>
      <c r="S52" s="19">
        <v>785</v>
      </c>
      <c r="T52" s="55">
        <v>872</v>
      </c>
      <c r="U52" s="88">
        <f t="shared" si="5"/>
        <v>17221</v>
      </c>
      <c r="V52" s="77">
        <v>1111</v>
      </c>
      <c r="W52" s="19">
        <v>1128</v>
      </c>
      <c r="X52" s="19">
        <v>256</v>
      </c>
      <c r="Y52" s="19">
        <v>265</v>
      </c>
      <c r="Z52" s="19">
        <v>0</v>
      </c>
      <c r="AA52" s="19">
        <v>0</v>
      </c>
      <c r="AB52" s="19">
        <v>0</v>
      </c>
      <c r="AC52" s="19">
        <v>0</v>
      </c>
      <c r="AD52" s="19">
        <v>241</v>
      </c>
      <c r="AE52" s="20">
        <v>0</v>
      </c>
      <c r="AF52" s="20">
        <f t="shared" si="6"/>
        <v>3001</v>
      </c>
      <c r="AG52" s="66">
        <v>1118</v>
      </c>
      <c r="AH52" s="88">
        <f t="shared" si="7"/>
        <v>1118</v>
      </c>
      <c r="AI52" s="88">
        <f t="shared" si="0"/>
        <v>21340</v>
      </c>
    </row>
    <row r="53" spans="1:35" ht="19.5" thickBot="1">
      <c r="A53" s="1" t="s">
        <v>1</v>
      </c>
      <c r="B53" s="43" t="s">
        <v>107</v>
      </c>
      <c r="C53" s="44">
        <v>49416</v>
      </c>
      <c r="D53" s="45">
        <v>58625</v>
      </c>
      <c r="E53" s="45">
        <v>58655</v>
      </c>
      <c r="F53" s="45">
        <v>55769</v>
      </c>
      <c r="G53" s="45">
        <v>49387</v>
      </c>
      <c r="H53" s="45">
        <v>58789</v>
      </c>
      <c r="I53" s="45">
        <v>52524</v>
      </c>
      <c r="J53" s="45">
        <v>49390</v>
      </c>
      <c r="K53" s="45">
        <v>49473</v>
      </c>
      <c r="L53" s="45">
        <v>55628</v>
      </c>
      <c r="M53" s="45">
        <v>46311</v>
      </c>
      <c r="N53" s="45">
        <v>52471</v>
      </c>
      <c r="O53" s="45">
        <v>46338</v>
      </c>
      <c r="P53" s="45">
        <v>52535</v>
      </c>
      <c r="Q53" s="45">
        <v>43135</v>
      </c>
      <c r="R53" s="45">
        <v>43428</v>
      </c>
      <c r="S53" s="45">
        <v>37835</v>
      </c>
      <c r="T53" s="57">
        <v>40262</v>
      </c>
      <c r="U53" s="90">
        <f t="shared" si="5"/>
        <v>899971</v>
      </c>
      <c r="V53" s="79">
        <v>52621</v>
      </c>
      <c r="W53" s="45">
        <v>63243</v>
      </c>
      <c r="X53" s="45">
        <v>256</v>
      </c>
      <c r="Y53" s="45">
        <v>265</v>
      </c>
      <c r="Z53" s="45">
        <v>0</v>
      </c>
      <c r="AA53" s="45">
        <v>0</v>
      </c>
      <c r="AB53" s="45">
        <v>0</v>
      </c>
      <c r="AC53" s="45">
        <v>0</v>
      </c>
      <c r="AD53" s="45">
        <v>241</v>
      </c>
      <c r="AE53" s="46">
        <v>0</v>
      </c>
      <c r="AF53" s="46">
        <f t="shared" si="6"/>
        <v>116626</v>
      </c>
      <c r="AG53" s="68">
        <v>58688</v>
      </c>
      <c r="AH53" s="90">
        <f t="shared" si="7"/>
        <v>58688</v>
      </c>
      <c r="AI53" s="90">
        <f t="shared" si="0"/>
        <v>1075285</v>
      </c>
    </row>
    <row r="54" spans="1:35">
      <c r="A54" s="1" t="s">
        <v>1</v>
      </c>
      <c r="B54" s="24" t="s">
        <v>108</v>
      </c>
      <c r="C54" s="33">
        <v>4930</v>
      </c>
      <c r="D54" s="34">
        <v>7980</v>
      </c>
      <c r="E54" s="34">
        <v>6700</v>
      </c>
      <c r="F54" s="34">
        <v>12500</v>
      </c>
      <c r="G54" s="34">
        <v>4570</v>
      </c>
      <c r="H54" s="34">
        <v>12050</v>
      </c>
      <c r="I54" s="34">
        <v>7730</v>
      </c>
      <c r="J54" s="34">
        <v>5030</v>
      </c>
      <c r="K54" s="34">
        <v>7560</v>
      </c>
      <c r="L54" s="34">
        <v>8540</v>
      </c>
      <c r="M54" s="34">
        <v>5990</v>
      </c>
      <c r="N54" s="34">
        <v>7030</v>
      </c>
      <c r="O54" s="34">
        <v>6260</v>
      </c>
      <c r="P54" s="34">
        <v>2870</v>
      </c>
      <c r="Q54" s="34">
        <v>4280</v>
      </c>
      <c r="R54" s="34">
        <v>3990</v>
      </c>
      <c r="S54" s="34">
        <v>5230</v>
      </c>
      <c r="T54" s="54">
        <v>6280</v>
      </c>
      <c r="U54" s="87">
        <f t="shared" si="5"/>
        <v>119520</v>
      </c>
      <c r="V54" s="76">
        <v>9490</v>
      </c>
      <c r="W54" s="34">
        <v>7030</v>
      </c>
      <c r="X54" s="34">
        <v>0</v>
      </c>
      <c r="Y54" s="34">
        <v>20</v>
      </c>
      <c r="Z54" s="34">
        <v>0</v>
      </c>
      <c r="AA54" s="34">
        <v>0</v>
      </c>
      <c r="AB54" s="34">
        <v>0</v>
      </c>
      <c r="AC54" s="34">
        <v>0</v>
      </c>
      <c r="AD54" s="34">
        <v>0</v>
      </c>
      <c r="AE54" s="35">
        <v>0</v>
      </c>
      <c r="AF54" s="35">
        <f t="shared" si="6"/>
        <v>16540</v>
      </c>
      <c r="AG54" s="65">
        <v>8900</v>
      </c>
      <c r="AH54" s="87">
        <f t="shared" si="7"/>
        <v>8900</v>
      </c>
      <c r="AI54" s="87">
        <f t="shared" si="0"/>
        <v>144960</v>
      </c>
    </row>
    <row r="55" spans="1:35">
      <c r="A55" s="1" t="s">
        <v>1</v>
      </c>
      <c r="B55" s="5" t="s">
        <v>109</v>
      </c>
      <c r="C55" s="18">
        <v>1300</v>
      </c>
      <c r="D55" s="19">
        <v>1300</v>
      </c>
      <c r="E55" s="19">
        <v>1300</v>
      </c>
      <c r="F55" s="19">
        <v>0</v>
      </c>
      <c r="G55" s="19">
        <v>1300</v>
      </c>
      <c r="H55" s="19">
        <v>1300</v>
      </c>
      <c r="I55" s="19">
        <v>1300</v>
      </c>
      <c r="J55" s="19">
        <v>1300</v>
      </c>
      <c r="K55" s="19">
        <v>1300</v>
      </c>
      <c r="L55" s="19">
        <v>1300</v>
      </c>
      <c r="M55" s="19">
        <v>0</v>
      </c>
      <c r="N55" s="19">
        <v>0</v>
      </c>
      <c r="O55" s="19">
        <v>1300</v>
      </c>
      <c r="P55" s="19">
        <v>1300</v>
      </c>
      <c r="Q55" s="19">
        <v>1300</v>
      </c>
      <c r="R55" s="19">
        <v>0</v>
      </c>
      <c r="S55" s="19">
        <v>0</v>
      </c>
      <c r="T55" s="55">
        <v>0</v>
      </c>
      <c r="U55" s="88">
        <f t="shared" si="5"/>
        <v>15600</v>
      </c>
      <c r="V55" s="77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20">
        <v>0</v>
      </c>
      <c r="AF55" s="20">
        <f t="shared" si="6"/>
        <v>0</v>
      </c>
      <c r="AG55" s="66">
        <v>0</v>
      </c>
      <c r="AH55" s="88">
        <f t="shared" si="7"/>
        <v>0</v>
      </c>
      <c r="AI55" s="88">
        <f t="shared" ref="AI55:AI65" si="8">U55+AF55+AH55</f>
        <v>15600</v>
      </c>
    </row>
    <row r="56" spans="1:35">
      <c r="A56" s="1" t="s">
        <v>1</v>
      </c>
      <c r="B56" s="5" t="s">
        <v>110</v>
      </c>
      <c r="C56" s="18">
        <v>9900</v>
      </c>
      <c r="D56" s="19">
        <v>16100</v>
      </c>
      <c r="E56" s="19">
        <v>15700</v>
      </c>
      <c r="F56" s="19">
        <v>18800</v>
      </c>
      <c r="G56" s="19">
        <v>12100</v>
      </c>
      <c r="H56" s="19">
        <v>18500</v>
      </c>
      <c r="I56" s="19">
        <v>14500</v>
      </c>
      <c r="J56" s="19">
        <v>9300</v>
      </c>
      <c r="K56" s="19">
        <v>13400</v>
      </c>
      <c r="L56" s="19">
        <v>13900</v>
      </c>
      <c r="M56" s="19">
        <v>10400</v>
      </c>
      <c r="N56" s="19">
        <v>24600</v>
      </c>
      <c r="O56" s="19">
        <v>12200</v>
      </c>
      <c r="P56" s="19">
        <v>6700</v>
      </c>
      <c r="Q56" s="19">
        <v>0</v>
      </c>
      <c r="R56" s="19">
        <v>0</v>
      </c>
      <c r="S56" s="19">
        <v>0</v>
      </c>
      <c r="T56" s="55">
        <v>0</v>
      </c>
      <c r="U56" s="88">
        <f t="shared" si="5"/>
        <v>196100</v>
      </c>
      <c r="V56" s="77">
        <v>15200</v>
      </c>
      <c r="W56" s="19">
        <v>16300</v>
      </c>
      <c r="X56" s="19">
        <v>600</v>
      </c>
      <c r="Y56" s="19">
        <v>500</v>
      </c>
      <c r="Z56" s="19">
        <v>0</v>
      </c>
      <c r="AA56" s="19">
        <v>0</v>
      </c>
      <c r="AB56" s="19">
        <v>0</v>
      </c>
      <c r="AC56" s="19">
        <v>0</v>
      </c>
      <c r="AD56" s="19">
        <v>11600</v>
      </c>
      <c r="AE56" s="20">
        <v>0</v>
      </c>
      <c r="AF56" s="20">
        <f t="shared" si="6"/>
        <v>44200</v>
      </c>
      <c r="AG56" s="66">
        <v>17800</v>
      </c>
      <c r="AH56" s="88">
        <f t="shared" si="7"/>
        <v>17800</v>
      </c>
      <c r="AI56" s="88">
        <f t="shared" si="8"/>
        <v>258100</v>
      </c>
    </row>
    <row r="57" spans="1:35">
      <c r="A57" s="1" t="s">
        <v>1</v>
      </c>
      <c r="B57" s="5" t="s">
        <v>111</v>
      </c>
      <c r="C57" s="18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55">
        <v>0</v>
      </c>
      <c r="U57" s="88">
        <f t="shared" si="5"/>
        <v>0</v>
      </c>
      <c r="V57" s="77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20">
        <v>0</v>
      </c>
      <c r="AF57" s="20">
        <f t="shared" si="6"/>
        <v>0</v>
      </c>
      <c r="AG57" s="66">
        <v>0</v>
      </c>
      <c r="AH57" s="88">
        <f t="shared" si="7"/>
        <v>0</v>
      </c>
      <c r="AI57" s="88">
        <f t="shared" si="8"/>
        <v>0</v>
      </c>
    </row>
    <row r="58" spans="1:35">
      <c r="A58" s="1" t="s">
        <v>1</v>
      </c>
      <c r="B58" s="5" t="s">
        <v>112</v>
      </c>
      <c r="C58" s="18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55">
        <v>0</v>
      </c>
      <c r="U58" s="88">
        <f t="shared" si="5"/>
        <v>0</v>
      </c>
      <c r="V58" s="77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20">
        <v>0</v>
      </c>
      <c r="AF58" s="20">
        <f t="shared" si="6"/>
        <v>0</v>
      </c>
      <c r="AG58" s="66">
        <v>0</v>
      </c>
      <c r="AH58" s="88">
        <f t="shared" si="7"/>
        <v>0</v>
      </c>
      <c r="AI58" s="88">
        <f t="shared" si="8"/>
        <v>0</v>
      </c>
    </row>
    <row r="59" spans="1:35">
      <c r="A59" s="1" t="s">
        <v>1</v>
      </c>
      <c r="B59" s="5" t="s">
        <v>113</v>
      </c>
      <c r="C59" s="18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55">
        <v>0</v>
      </c>
      <c r="U59" s="88">
        <f t="shared" si="5"/>
        <v>0</v>
      </c>
      <c r="V59" s="77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20">
        <v>0</v>
      </c>
      <c r="AF59" s="20">
        <f t="shared" si="6"/>
        <v>0</v>
      </c>
      <c r="AG59" s="66">
        <v>0</v>
      </c>
      <c r="AH59" s="88">
        <f t="shared" si="7"/>
        <v>0</v>
      </c>
      <c r="AI59" s="88">
        <f t="shared" si="8"/>
        <v>0</v>
      </c>
    </row>
    <row r="60" spans="1:35" ht="19.5" thickBot="1">
      <c r="A60" s="1" t="s">
        <v>1</v>
      </c>
      <c r="B60" s="39" t="s">
        <v>114</v>
      </c>
      <c r="C60" s="40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56">
        <v>0</v>
      </c>
      <c r="U60" s="89">
        <f t="shared" si="5"/>
        <v>0</v>
      </c>
      <c r="V60" s="78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2">
        <v>0</v>
      </c>
      <c r="AF60" s="42">
        <f t="shared" si="6"/>
        <v>0</v>
      </c>
      <c r="AG60" s="67">
        <v>0</v>
      </c>
      <c r="AH60" s="89">
        <f t="shared" si="7"/>
        <v>0</v>
      </c>
      <c r="AI60" s="89">
        <f t="shared" si="8"/>
        <v>0</v>
      </c>
    </row>
    <row r="61" spans="1:35" ht="19.5" thickBot="1">
      <c r="A61" s="1" t="s">
        <v>1</v>
      </c>
      <c r="B61" s="43" t="s">
        <v>115</v>
      </c>
      <c r="C61" s="44">
        <v>65546</v>
      </c>
      <c r="D61" s="45">
        <v>84005</v>
      </c>
      <c r="E61" s="45">
        <v>82355</v>
      </c>
      <c r="F61" s="45">
        <v>87069</v>
      </c>
      <c r="G61" s="45">
        <v>67357</v>
      </c>
      <c r="H61" s="45">
        <v>90639</v>
      </c>
      <c r="I61" s="45">
        <v>76054</v>
      </c>
      <c r="J61" s="45">
        <v>65020</v>
      </c>
      <c r="K61" s="45">
        <v>71733</v>
      </c>
      <c r="L61" s="45">
        <v>79368</v>
      </c>
      <c r="M61" s="45">
        <v>62701</v>
      </c>
      <c r="N61" s="45">
        <v>84101</v>
      </c>
      <c r="O61" s="45">
        <v>66098</v>
      </c>
      <c r="P61" s="45">
        <v>63405</v>
      </c>
      <c r="Q61" s="45">
        <v>48715</v>
      </c>
      <c r="R61" s="45">
        <v>47418</v>
      </c>
      <c r="S61" s="45">
        <v>43065</v>
      </c>
      <c r="T61" s="57">
        <v>46542</v>
      </c>
      <c r="U61" s="90">
        <f t="shared" si="5"/>
        <v>1231191</v>
      </c>
      <c r="V61" s="79">
        <v>77311</v>
      </c>
      <c r="W61" s="45">
        <v>86573</v>
      </c>
      <c r="X61" s="45">
        <v>856</v>
      </c>
      <c r="Y61" s="45">
        <v>785</v>
      </c>
      <c r="Z61" s="45">
        <v>0</v>
      </c>
      <c r="AA61" s="45">
        <v>0</v>
      </c>
      <c r="AB61" s="45">
        <v>0</v>
      </c>
      <c r="AC61" s="45">
        <v>0</v>
      </c>
      <c r="AD61" s="45">
        <v>11841</v>
      </c>
      <c r="AE61" s="46">
        <v>0</v>
      </c>
      <c r="AF61" s="46">
        <f t="shared" si="6"/>
        <v>177366</v>
      </c>
      <c r="AG61" s="68">
        <v>85388</v>
      </c>
      <c r="AH61" s="90">
        <f t="shared" si="7"/>
        <v>85388</v>
      </c>
      <c r="AI61" s="90">
        <f t="shared" si="8"/>
        <v>1493945</v>
      </c>
    </row>
    <row r="62" spans="1:35" ht="19.5" thickBot="1">
      <c r="A62" s="1" t="s">
        <v>1</v>
      </c>
      <c r="B62" s="43" t="s">
        <v>116</v>
      </c>
      <c r="C62" s="44">
        <v>249907</v>
      </c>
      <c r="D62" s="45">
        <v>289924</v>
      </c>
      <c r="E62" s="45">
        <v>299516</v>
      </c>
      <c r="F62" s="45">
        <v>350449</v>
      </c>
      <c r="G62" s="45">
        <v>239756</v>
      </c>
      <c r="H62" s="45">
        <v>344930</v>
      </c>
      <c r="I62" s="45">
        <v>282868</v>
      </c>
      <c r="J62" s="45">
        <v>252722</v>
      </c>
      <c r="K62" s="45">
        <v>278153</v>
      </c>
      <c r="L62" s="45">
        <v>301917</v>
      </c>
      <c r="M62" s="45">
        <v>234310</v>
      </c>
      <c r="N62" s="45">
        <v>263407</v>
      </c>
      <c r="O62" s="45">
        <v>241894</v>
      </c>
      <c r="P62" s="45">
        <v>282705</v>
      </c>
      <c r="Q62" s="45">
        <v>186335</v>
      </c>
      <c r="R62" s="45">
        <v>178340</v>
      </c>
      <c r="S62" s="45">
        <v>213073</v>
      </c>
      <c r="T62" s="57">
        <v>242521</v>
      </c>
      <c r="U62" s="90">
        <f t="shared" si="5"/>
        <v>4732727</v>
      </c>
      <c r="V62" s="79">
        <v>313551</v>
      </c>
      <c r="W62" s="45">
        <v>307455</v>
      </c>
      <c r="X62" s="45">
        <v>82464</v>
      </c>
      <c r="Y62" s="45">
        <v>86215</v>
      </c>
      <c r="Z62" s="45">
        <v>75180</v>
      </c>
      <c r="AA62" s="45">
        <v>75180</v>
      </c>
      <c r="AB62" s="45">
        <v>68250</v>
      </c>
      <c r="AC62" s="45">
        <v>34860</v>
      </c>
      <c r="AD62" s="45">
        <v>72839</v>
      </c>
      <c r="AE62" s="46">
        <v>22680</v>
      </c>
      <c r="AF62" s="46">
        <f t="shared" si="6"/>
        <v>1138674</v>
      </c>
      <c r="AG62" s="68">
        <v>306312</v>
      </c>
      <c r="AH62" s="90">
        <f t="shared" si="7"/>
        <v>306312</v>
      </c>
      <c r="AI62" s="90">
        <f t="shared" si="8"/>
        <v>6177713</v>
      </c>
    </row>
    <row r="63" spans="1:35" ht="19.5" thickBot="1">
      <c r="A63" s="1" t="s">
        <v>1</v>
      </c>
      <c r="B63" s="43" t="s">
        <v>117</v>
      </c>
      <c r="C63" s="44">
        <v>246302</v>
      </c>
      <c r="D63" s="45">
        <v>267676</v>
      </c>
      <c r="E63" s="45">
        <v>279339</v>
      </c>
      <c r="F63" s="45">
        <v>322672</v>
      </c>
      <c r="G63" s="45">
        <v>234989</v>
      </c>
      <c r="H63" s="45">
        <v>315690</v>
      </c>
      <c r="I63" s="45">
        <v>261843</v>
      </c>
      <c r="J63" s="45">
        <v>238293</v>
      </c>
      <c r="K63" s="45">
        <v>259155</v>
      </c>
      <c r="L63" s="45">
        <v>283187</v>
      </c>
      <c r="M63" s="45">
        <v>224444</v>
      </c>
      <c r="N63" s="45">
        <v>236344</v>
      </c>
      <c r="O63" s="45">
        <v>229962</v>
      </c>
      <c r="P63" s="45">
        <v>278359</v>
      </c>
      <c r="Q63" s="45">
        <v>189627</v>
      </c>
      <c r="R63" s="45">
        <v>178551</v>
      </c>
      <c r="S63" s="45">
        <v>218646</v>
      </c>
      <c r="T63" s="57">
        <v>244069</v>
      </c>
      <c r="U63" s="90">
        <f t="shared" si="5"/>
        <v>4509148</v>
      </c>
      <c r="V63" s="79">
        <v>292932</v>
      </c>
      <c r="W63" s="45">
        <v>289527</v>
      </c>
      <c r="X63" s="45">
        <v>84578</v>
      </c>
      <c r="Y63" s="45">
        <v>87522</v>
      </c>
      <c r="Z63" s="45">
        <v>78312</v>
      </c>
      <c r="AA63" s="45">
        <v>79094</v>
      </c>
      <c r="AB63" s="45">
        <v>72008</v>
      </c>
      <c r="AC63" s="45">
        <v>36556</v>
      </c>
      <c r="AD63" s="45">
        <v>68545</v>
      </c>
      <c r="AE63" s="46">
        <v>24246</v>
      </c>
      <c r="AF63" s="46">
        <f t="shared" si="6"/>
        <v>1113320</v>
      </c>
      <c r="AG63" s="68">
        <v>287414</v>
      </c>
      <c r="AH63" s="90">
        <f t="shared" si="7"/>
        <v>287414</v>
      </c>
      <c r="AI63" s="90">
        <f t="shared" si="8"/>
        <v>5909882</v>
      </c>
    </row>
    <row r="64" spans="1:35">
      <c r="A64" s="1" t="s">
        <v>1</v>
      </c>
      <c r="B64" s="24" t="s">
        <v>118</v>
      </c>
      <c r="C64" s="33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54">
        <v>0</v>
      </c>
      <c r="U64" s="87">
        <f t="shared" si="5"/>
        <v>0</v>
      </c>
      <c r="V64" s="76">
        <v>0</v>
      </c>
      <c r="W64" s="34">
        <v>0</v>
      </c>
      <c r="X64" s="34">
        <v>0</v>
      </c>
      <c r="Y64" s="34">
        <v>0</v>
      </c>
      <c r="Z64" s="34">
        <v>0</v>
      </c>
      <c r="AA64" s="34">
        <v>0</v>
      </c>
      <c r="AB64" s="34">
        <v>0</v>
      </c>
      <c r="AC64" s="34">
        <v>0</v>
      </c>
      <c r="AD64" s="34">
        <v>0</v>
      </c>
      <c r="AE64" s="35">
        <v>0</v>
      </c>
      <c r="AF64" s="35">
        <f t="shared" si="6"/>
        <v>0</v>
      </c>
      <c r="AG64" s="65">
        <v>0</v>
      </c>
      <c r="AH64" s="87">
        <f t="shared" si="7"/>
        <v>0</v>
      </c>
      <c r="AI64" s="87">
        <f t="shared" si="8"/>
        <v>0</v>
      </c>
    </row>
    <row r="65" spans="1:35">
      <c r="A65" s="1" t="s">
        <v>1</v>
      </c>
      <c r="B65" s="5" t="s">
        <v>119</v>
      </c>
      <c r="C65" s="18">
        <v>246302</v>
      </c>
      <c r="D65" s="19">
        <v>267676</v>
      </c>
      <c r="E65" s="19">
        <v>279339</v>
      </c>
      <c r="F65" s="19">
        <v>322672</v>
      </c>
      <c r="G65" s="19">
        <v>234989</v>
      </c>
      <c r="H65" s="19">
        <v>315690</v>
      </c>
      <c r="I65" s="19">
        <v>261843</v>
      </c>
      <c r="J65" s="19">
        <v>238293</v>
      </c>
      <c r="K65" s="19">
        <v>259155</v>
      </c>
      <c r="L65" s="19">
        <v>283187</v>
      </c>
      <c r="M65" s="19">
        <v>224444</v>
      </c>
      <c r="N65" s="19">
        <v>236344</v>
      </c>
      <c r="O65" s="19">
        <v>229962</v>
      </c>
      <c r="P65" s="19">
        <v>278359</v>
      </c>
      <c r="Q65" s="19">
        <v>189627</v>
      </c>
      <c r="R65" s="19">
        <v>178551</v>
      </c>
      <c r="S65" s="19">
        <v>218646</v>
      </c>
      <c r="T65" s="55">
        <v>244069</v>
      </c>
      <c r="U65" s="88">
        <f t="shared" si="5"/>
        <v>4509148</v>
      </c>
      <c r="V65" s="77">
        <v>292932</v>
      </c>
      <c r="W65" s="19">
        <v>289527</v>
      </c>
      <c r="X65" s="19">
        <v>84578</v>
      </c>
      <c r="Y65" s="19">
        <v>87522</v>
      </c>
      <c r="Z65" s="19">
        <v>78312</v>
      </c>
      <c r="AA65" s="19">
        <v>79094</v>
      </c>
      <c r="AB65" s="19">
        <v>72008</v>
      </c>
      <c r="AC65" s="19">
        <v>36556</v>
      </c>
      <c r="AD65" s="19">
        <v>68545</v>
      </c>
      <c r="AE65" s="20">
        <v>24246</v>
      </c>
      <c r="AF65" s="20">
        <f t="shared" si="6"/>
        <v>1113320</v>
      </c>
      <c r="AG65" s="66">
        <v>287414</v>
      </c>
      <c r="AH65" s="88">
        <f t="shared" si="7"/>
        <v>287414</v>
      </c>
      <c r="AI65" s="88">
        <f t="shared" si="8"/>
        <v>5909882</v>
      </c>
    </row>
    <row r="66" spans="1:35">
      <c r="A66" s="1" t="s">
        <v>1</v>
      </c>
      <c r="B66" s="5" t="s">
        <v>120</v>
      </c>
      <c r="C66" s="18">
        <v>1</v>
      </c>
      <c r="D66" s="19">
        <v>0</v>
      </c>
      <c r="E66" s="19">
        <v>1</v>
      </c>
      <c r="F66" s="19">
        <v>0</v>
      </c>
      <c r="G66" s="19">
        <v>1</v>
      </c>
      <c r="H66" s="19">
        <v>0</v>
      </c>
      <c r="I66" s="19">
        <v>0</v>
      </c>
      <c r="J66" s="19">
        <v>1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3</v>
      </c>
      <c r="Q66" s="19">
        <v>0</v>
      </c>
      <c r="R66" s="19">
        <v>0</v>
      </c>
      <c r="S66" s="19">
        <v>0</v>
      </c>
      <c r="T66" s="55">
        <v>0</v>
      </c>
      <c r="U66" s="88"/>
      <c r="V66" s="77">
        <v>0</v>
      </c>
      <c r="W66" s="19">
        <v>1</v>
      </c>
      <c r="X66" s="19">
        <v>0</v>
      </c>
      <c r="Y66" s="19">
        <v>0</v>
      </c>
      <c r="Z66" s="19">
        <v>1</v>
      </c>
      <c r="AA66" s="19">
        <v>1</v>
      </c>
      <c r="AB66" s="19">
        <v>1</v>
      </c>
      <c r="AC66" s="19">
        <v>1</v>
      </c>
      <c r="AD66" s="19">
        <v>1</v>
      </c>
      <c r="AE66" s="20">
        <v>0</v>
      </c>
      <c r="AF66" s="20"/>
      <c r="AG66" s="66">
        <v>0</v>
      </c>
      <c r="AH66" s="88"/>
      <c r="AI66" s="7"/>
    </row>
    <row r="67" spans="1:35" ht="19.5" thickBot="1">
      <c r="A67" s="1" t="s">
        <v>1</v>
      </c>
      <c r="B67" s="6" t="s">
        <v>121</v>
      </c>
      <c r="C67" s="21" t="s">
        <v>122</v>
      </c>
      <c r="D67" s="22" t="s">
        <v>122</v>
      </c>
      <c r="E67" s="22" t="s">
        <v>122</v>
      </c>
      <c r="F67" s="22" t="s">
        <v>122</v>
      </c>
      <c r="G67" s="22" t="s">
        <v>122</v>
      </c>
      <c r="H67" s="22" t="s">
        <v>122</v>
      </c>
      <c r="I67" s="22" t="s">
        <v>122</v>
      </c>
      <c r="J67" s="22" t="s">
        <v>122</v>
      </c>
      <c r="K67" s="22" t="s">
        <v>122</v>
      </c>
      <c r="L67" s="22" t="s">
        <v>122</v>
      </c>
      <c r="M67" s="22" t="s">
        <v>122</v>
      </c>
      <c r="N67" s="22" t="s">
        <v>122</v>
      </c>
      <c r="O67" s="22" t="s">
        <v>122</v>
      </c>
      <c r="P67" s="22" t="s">
        <v>122</v>
      </c>
      <c r="Q67" s="22" t="s">
        <v>122</v>
      </c>
      <c r="R67" s="22" t="s">
        <v>122</v>
      </c>
      <c r="S67" s="22" t="s">
        <v>122</v>
      </c>
      <c r="T67" s="58" t="s">
        <v>122</v>
      </c>
      <c r="U67" s="91"/>
      <c r="V67" s="80" t="s">
        <v>122</v>
      </c>
      <c r="W67" s="22" t="s">
        <v>122</v>
      </c>
      <c r="X67" s="22" t="s">
        <v>122</v>
      </c>
      <c r="Y67" s="22" t="s">
        <v>122</v>
      </c>
      <c r="Z67" s="22" t="s">
        <v>122</v>
      </c>
      <c r="AA67" s="22" t="s">
        <v>122</v>
      </c>
      <c r="AB67" s="22" t="s">
        <v>122</v>
      </c>
      <c r="AC67" s="22" t="s">
        <v>122</v>
      </c>
      <c r="AD67" s="22" t="s">
        <v>122</v>
      </c>
      <c r="AE67" s="23" t="s">
        <v>122</v>
      </c>
      <c r="AF67" s="23"/>
      <c r="AG67" s="69" t="s">
        <v>122</v>
      </c>
      <c r="AH67" s="91"/>
      <c r="AI67" s="8"/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9153-4183-4360-91BB-1D572EC6D3E5}">
  <sheetPr>
    <pageSetUpPr fitToPage="1"/>
  </sheetPr>
  <dimension ref="A1:P67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6" width="11.75" style="2" customWidth="1"/>
    <col min="17" max="238" width="9" style="2"/>
    <col min="239" max="239" width="2.375" style="2" customWidth="1"/>
    <col min="240" max="240" width="13.25" style="2" bestFit="1" customWidth="1"/>
    <col min="241" max="242" width="11.125" style="2" bestFit="1" customWidth="1"/>
    <col min="243" max="243" width="13.25" style="2" bestFit="1" customWidth="1"/>
    <col min="244" max="244" width="11.125" style="2" bestFit="1" customWidth="1"/>
    <col min="245" max="245" width="9" style="2"/>
    <col min="246" max="246" width="11.125" style="2" bestFit="1" customWidth="1"/>
    <col min="247" max="247" width="9" style="2"/>
    <col min="248" max="258" width="11.125" style="2" bestFit="1" customWidth="1"/>
    <col min="259" max="261" width="9" style="2"/>
    <col min="262" max="269" width="11.125" style="2" bestFit="1" customWidth="1"/>
    <col min="270" max="270" width="9.625" style="2" bestFit="1" customWidth="1"/>
    <col min="271" max="494" width="9" style="2"/>
    <col min="495" max="495" width="2.375" style="2" customWidth="1"/>
    <col min="496" max="496" width="13.25" style="2" bestFit="1" customWidth="1"/>
    <col min="497" max="498" width="11.125" style="2" bestFit="1" customWidth="1"/>
    <col min="499" max="499" width="13.25" style="2" bestFit="1" customWidth="1"/>
    <col min="500" max="500" width="11.125" style="2" bestFit="1" customWidth="1"/>
    <col min="501" max="501" width="9" style="2"/>
    <col min="502" max="502" width="11.125" style="2" bestFit="1" customWidth="1"/>
    <col min="503" max="503" width="9" style="2"/>
    <col min="504" max="514" width="11.125" style="2" bestFit="1" customWidth="1"/>
    <col min="515" max="517" width="9" style="2"/>
    <col min="518" max="525" width="11.125" style="2" bestFit="1" customWidth="1"/>
    <col min="526" max="526" width="9.625" style="2" bestFit="1" customWidth="1"/>
    <col min="527" max="750" width="9" style="2"/>
    <col min="751" max="751" width="2.375" style="2" customWidth="1"/>
    <col min="752" max="752" width="13.25" style="2" bestFit="1" customWidth="1"/>
    <col min="753" max="754" width="11.125" style="2" bestFit="1" customWidth="1"/>
    <col min="755" max="755" width="13.25" style="2" bestFit="1" customWidth="1"/>
    <col min="756" max="756" width="11.125" style="2" bestFit="1" customWidth="1"/>
    <col min="757" max="757" width="9" style="2"/>
    <col min="758" max="758" width="11.125" style="2" bestFit="1" customWidth="1"/>
    <col min="759" max="759" width="9" style="2"/>
    <col min="760" max="770" width="11.125" style="2" bestFit="1" customWidth="1"/>
    <col min="771" max="773" width="9" style="2"/>
    <col min="774" max="781" width="11.125" style="2" bestFit="1" customWidth="1"/>
    <col min="782" max="782" width="9.625" style="2" bestFit="1" customWidth="1"/>
    <col min="783" max="1006" width="9" style="2"/>
    <col min="1007" max="1007" width="2.375" style="2" customWidth="1"/>
    <col min="1008" max="1008" width="13.25" style="2" bestFit="1" customWidth="1"/>
    <col min="1009" max="1010" width="11.125" style="2" bestFit="1" customWidth="1"/>
    <col min="1011" max="1011" width="13.25" style="2" bestFit="1" customWidth="1"/>
    <col min="1012" max="1012" width="11.125" style="2" bestFit="1" customWidth="1"/>
    <col min="1013" max="1013" width="9" style="2"/>
    <col min="1014" max="1014" width="11.125" style="2" bestFit="1" customWidth="1"/>
    <col min="1015" max="1015" width="9" style="2"/>
    <col min="1016" max="1026" width="11.125" style="2" bestFit="1" customWidth="1"/>
    <col min="1027" max="1029" width="9" style="2"/>
    <col min="1030" max="1037" width="11.125" style="2" bestFit="1" customWidth="1"/>
    <col min="1038" max="1038" width="9.625" style="2" bestFit="1" customWidth="1"/>
    <col min="1039" max="1262" width="9" style="2"/>
    <col min="1263" max="1263" width="2.375" style="2" customWidth="1"/>
    <col min="1264" max="1264" width="13.25" style="2" bestFit="1" customWidth="1"/>
    <col min="1265" max="1266" width="11.125" style="2" bestFit="1" customWidth="1"/>
    <col min="1267" max="1267" width="13.25" style="2" bestFit="1" customWidth="1"/>
    <col min="1268" max="1268" width="11.125" style="2" bestFit="1" customWidth="1"/>
    <col min="1269" max="1269" width="9" style="2"/>
    <col min="1270" max="1270" width="11.125" style="2" bestFit="1" customWidth="1"/>
    <col min="1271" max="1271" width="9" style="2"/>
    <col min="1272" max="1282" width="11.125" style="2" bestFit="1" customWidth="1"/>
    <col min="1283" max="1285" width="9" style="2"/>
    <col min="1286" max="1293" width="11.125" style="2" bestFit="1" customWidth="1"/>
    <col min="1294" max="1294" width="9.625" style="2" bestFit="1" customWidth="1"/>
    <col min="1295" max="1518" width="9" style="2"/>
    <col min="1519" max="1519" width="2.375" style="2" customWidth="1"/>
    <col min="1520" max="1520" width="13.25" style="2" bestFit="1" customWidth="1"/>
    <col min="1521" max="1522" width="11.125" style="2" bestFit="1" customWidth="1"/>
    <col min="1523" max="1523" width="13.25" style="2" bestFit="1" customWidth="1"/>
    <col min="1524" max="1524" width="11.125" style="2" bestFit="1" customWidth="1"/>
    <col min="1525" max="1525" width="9" style="2"/>
    <col min="1526" max="1526" width="11.125" style="2" bestFit="1" customWidth="1"/>
    <col min="1527" max="1527" width="9" style="2"/>
    <col min="1528" max="1538" width="11.125" style="2" bestFit="1" customWidth="1"/>
    <col min="1539" max="1541" width="9" style="2"/>
    <col min="1542" max="1549" width="11.125" style="2" bestFit="1" customWidth="1"/>
    <col min="1550" max="1550" width="9.625" style="2" bestFit="1" customWidth="1"/>
    <col min="1551" max="1774" width="9" style="2"/>
    <col min="1775" max="1775" width="2.375" style="2" customWidth="1"/>
    <col min="1776" max="1776" width="13.25" style="2" bestFit="1" customWidth="1"/>
    <col min="1777" max="1778" width="11.125" style="2" bestFit="1" customWidth="1"/>
    <col min="1779" max="1779" width="13.25" style="2" bestFit="1" customWidth="1"/>
    <col min="1780" max="1780" width="11.125" style="2" bestFit="1" customWidth="1"/>
    <col min="1781" max="1781" width="9" style="2"/>
    <col min="1782" max="1782" width="11.125" style="2" bestFit="1" customWidth="1"/>
    <col min="1783" max="1783" width="9" style="2"/>
    <col min="1784" max="1794" width="11.125" style="2" bestFit="1" customWidth="1"/>
    <col min="1795" max="1797" width="9" style="2"/>
    <col min="1798" max="1805" width="11.125" style="2" bestFit="1" customWidth="1"/>
    <col min="1806" max="1806" width="9.625" style="2" bestFit="1" customWidth="1"/>
    <col min="1807" max="2030" width="9" style="2"/>
    <col min="2031" max="2031" width="2.375" style="2" customWidth="1"/>
    <col min="2032" max="2032" width="13.25" style="2" bestFit="1" customWidth="1"/>
    <col min="2033" max="2034" width="11.125" style="2" bestFit="1" customWidth="1"/>
    <col min="2035" max="2035" width="13.25" style="2" bestFit="1" customWidth="1"/>
    <col min="2036" max="2036" width="11.125" style="2" bestFit="1" customWidth="1"/>
    <col min="2037" max="2037" width="9" style="2"/>
    <col min="2038" max="2038" width="11.125" style="2" bestFit="1" customWidth="1"/>
    <col min="2039" max="2039" width="9" style="2"/>
    <col min="2040" max="2050" width="11.125" style="2" bestFit="1" customWidth="1"/>
    <col min="2051" max="2053" width="9" style="2"/>
    <col min="2054" max="2061" width="11.125" style="2" bestFit="1" customWidth="1"/>
    <col min="2062" max="2062" width="9.625" style="2" bestFit="1" customWidth="1"/>
    <col min="2063" max="2286" width="9" style="2"/>
    <col min="2287" max="2287" width="2.375" style="2" customWidth="1"/>
    <col min="2288" max="2288" width="13.25" style="2" bestFit="1" customWidth="1"/>
    <col min="2289" max="2290" width="11.125" style="2" bestFit="1" customWidth="1"/>
    <col min="2291" max="2291" width="13.25" style="2" bestFit="1" customWidth="1"/>
    <col min="2292" max="2292" width="11.125" style="2" bestFit="1" customWidth="1"/>
    <col min="2293" max="2293" width="9" style="2"/>
    <col min="2294" max="2294" width="11.125" style="2" bestFit="1" customWidth="1"/>
    <col min="2295" max="2295" width="9" style="2"/>
    <col min="2296" max="2306" width="11.125" style="2" bestFit="1" customWidth="1"/>
    <col min="2307" max="2309" width="9" style="2"/>
    <col min="2310" max="2317" width="11.125" style="2" bestFit="1" customWidth="1"/>
    <col min="2318" max="2318" width="9.625" style="2" bestFit="1" customWidth="1"/>
    <col min="2319" max="2542" width="9" style="2"/>
    <col min="2543" max="2543" width="2.375" style="2" customWidth="1"/>
    <col min="2544" max="2544" width="13.25" style="2" bestFit="1" customWidth="1"/>
    <col min="2545" max="2546" width="11.125" style="2" bestFit="1" customWidth="1"/>
    <col min="2547" max="2547" width="13.25" style="2" bestFit="1" customWidth="1"/>
    <col min="2548" max="2548" width="11.125" style="2" bestFit="1" customWidth="1"/>
    <col min="2549" max="2549" width="9" style="2"/>
    <col min="2550" max="2550" width="11.125" style="2" bestFit="1" customWidth="1"/>
    <col min="2551" max="2551" width="9" style="2"/>
    <col min="2552" max="2562" width="11.125" style="2" bestFit="1" customWidth="1"/>
    <col min="2563" max="2565" width="9" style="2"/>
    <col min="2566" max="2573" width="11.125" style="2" bestFit="1" customWidth="1"/>
    <col min="2574" max="2574" width="9.625" style="2" bestFit="1" customWidth="1"/>
    <col min="2575" max="2798" width="9" style="2"/>
    <col min="2799" max="2799" width="2.375" style="2" customWidth="1"/>
    <col min="2800" max="2800" width="13.25" style="2" bestFit="1" customWidth="1"/>
    <col min="2801" max="2802" width="11.125" style="2" bestFit="1" customWidth="1"/>
    <col min="2803" max="2803" width="13.25" style="2" bestFit="1" customWidth="1"/>
    <col min="2804" max="2804" width="11.125" style="2" bestFit="1" customWidth="1"/>
    <col min="2805" max="2805" width="9" style="2"/>
    <col min="2806" max="2806" width="11.125" style="2" bestFit="1" customWidth="1"/>
    <col min="2807" max="2807" width="9" style="2"/>
    <col min="2808" max="2818" width="11.125" style="2" bestFit="1" customWidth="1"/>
    <col min="2819" max="2821" width="9" style="2"/>
    <col min="2822" max="2829" width="11.125" style="2" bestFit="1" customWidth="1"/>
    <col min="2830" max="2830" width="9.625" style="2" bestFit="1" customWidth="1"/>
    <col min="2831" max="3054" width="9" style="2"/>
    <col min="3055" max="3055" width="2.375" style="2" customWidth="1"/>
    <col min="3056" max="3056" width="13.25" style="2" bestFit="1" customWidth="1"/>
    <col min="3057" max="3058" width="11.125" style="2" bestFit="1" customWidth="1"/>
    <col min="3059" max="3059" width="13.25" style="2" bestFit="1" customWidth="1"/>
    <col min="3060" max="3060" width="11.125" style="2" bestFit="1" customWidth="1"/>
    <col min="3061" max="3061" width="9" style="2"/>
    <col min="3062" max="3062" width="11.125" style="2" bestFit="1" customWidth="1"/>
    <col min="3063" max="3063" width="9" style="2"/>
    <col min="3064" max="3074" width="11.125" style="2" bestFit="1" customWidth="1"/>
    <col min="3075" max="3077" width="9" style="2"/>
    <col min="3078" max="3085" width="11.125" style="2" bestFit="1" customWidth="1"/>
    <col min="3086" max="3086" width="9.625" style="2" bestFit="1" customWidth="1"/>
    <col min="3087" max="3310" width="9" style="2"/>
    <col min="3311" max="3311" width="2.375" style="2" customWidth="1"/>
    <col min="3312" max="3312" width="13.25" style="2" bestFit="1" customWidth="1"/>
    <col min="3313" max="3314" width="11.125" style="2" bestFit="1" customWidth="1"/>
    <col min="3315" max="3315" width="13.25" style="2" bestFit="1" customWidth="1"/>
    <col min="3316" max="3316" width="11.125" style="2" bestFit="1" customWidth="1"/>
    <col min="3317" max="3317" width="9" style="2"/>
    <col min="3318" max="3318" width="11.125" style="2" bestFit="1" customWidth="1"/>
    <col min="3319" max="3319" width="9" style="2"/>
    <col min="3320" max="3330" width="11.125" style="2" bestFit="1" customWidth="1"/>
    <col min="3331" max="3333" width="9" style="2"/>
    <col min="3334" max="3341" width="11.125" style="2" bestFit="1" customWidth="1"/>
    <col min="3342" max="3342" width="9.625" style="2" bestFit="1" customWidth="1"/>
    <col min="3343" max="3566" width="9" style="2"/>
    <col min="3567" max="3567" width="2.375" style="2" customWidth="1"/>
    <col min="3568" max="3568" width="13.25" style="2" bestFit="1" customWidth="1"/>
    <col min="3569" max="3570" width="11.125" style="2" bestFit="1" customWidth="1"/>
    <col min="3571" max="3571" width="13.25" style="2" bestFit="1" customWidth="1"/>
    <col min="3572" max="3572" width="11.125" style="2" bestFit="1" customWidth="1"/>
    <col min="3573" max="3573" width="9" style="2"/>
    <col min="3574" max="3574" width="11.125" style="2" bestFit="1" customWidth="1"/>
    <col min="3575" max="3575" width="9" style="2"/>
    <col min="3576" max="3586" width="11.125" style="2" bestFit="1" customWidth="1"/>
    <col min="3587" max="3589" width="9" style="2"/>
    <col min="3590" max="3597" width="11.125" style="2" bestFit="1" customWidth="1"/>
    <col min="3598" max="3598" width="9.625" style="2" bestFit="1" customWidth="1"/>
    <col min="3599" max="3822" width="9" style="2"/>
    <col min="3823" max="3823" width="2.375" style="2" customWidth="1"/>
    <col min="3824" max="3824" width="13.25" style="2" bestFit="1" customWidth="1"/>
    <col min="3825" max="3826" width="11.125" style="2" bestFit="1" customWidth="1"/>
    <col min="3827" max="3827" width="13.25" style="2" bestFit="1" customWidth="1"/>
    <col min="3828" max="3828" width="11.125" style="2" bestFit="1" customWidth="1"/>
    <col min="3829" max="3829" width="9" style="2"/>
    <col min="3830" max="3830" width="11.125" style="2" bestFit="1" customWidth="1"/>
    <col min="3831" max="3831" width="9" style="2"/>
    <col min="3832" max="3842" width="11.125" style="2" bestFit="1" customWidth="1"/>
    <col min="3843" max="3845" width="9" style="2"/>
    <col min="3846" max="3853" width="11.125" style="2" bestFit="1" customWidth="1"/>
    <col min="3854" max="3854" width="9.625" style="2" bestFit="1" customWidth="1"/>
    <col min="3855" max="4078" width="9" style="2"/>
    <col min="4079" max="4079" width="2.375" style="2" customWidth="1"/>
    <col min="4080" max="4080" width="13.25" style="2" bestFit="1" customWidth="1"/>
    <col min="4081" max="4082" width="11.125" style="2" bestFit="1" customWidth="1"/>
    <col min="4083" max="4083" width="13.25" style="2" bestFit="1" customWidth="1"/>
    <col min="4084" max="4084" width="11.125" style="2" bestFit="1" customWidth="1"/>
    <col min="4085" max="4085" width="9" style="2"/>
    <col min="4086" max="4086" width="11.125" style="2" bestFit="1" customWidth="1"/>
    <col min="4087" max="4087" width="9" style="2"/>
    <col min="4088" max="4098" width="11.125" style="2" bestFit="1" customWidth="1"/>
    <col min="4099" max="4101" width="9" style="2"/>
    <col min="4102" max="4109" width="11.125" style="2" bestFit="1" customWidth="1"/>
    <col min="4110" max="4110" width="9.625" style="2" bestFit="1" customWidth="1"/>
    <col min="4111" max="4334" width="9" style="2"/>
    <col min="4335" max="4335" width="2.375" style="2" customWidth="1"/>
    <col min="4336" max="4336" width="13.25" style="2" bestFit="1" customWidth="1"/>
    <col min="4337" max="4338" width="11.125" style="2" bestFit="1" customWidth="1"/>
    <col min="4339" max="4339" width="13.25" style="2" bestFit="1" customWidth="1"/>
    <col min="4340" max="4340" width="11.125" style="2" bestFit="1" customWidth="1"/>
    <col min="4341" max="4341" width="9" style="2"/>
    <col min="4342" max="4342" width="11.125" style="2" bestFit="1" customWidth="1"/>
    <col min="4343" max="4343" width="9" style="2"/>
    <col min="4344" max="4354" width="11.125" style="2" bestFit="1" customWidth="1"/>
    <col min="4355" max="4357" width="9" style="2"/>
    <col min="4358" max="4365" width="11.125" style="2" bestFit="1" customWidth="1"/>
    <col min="4366" max="4366" width="9.625" style="2" bestFit="1" customWidth="1"/>
    <col min="4367" max="4590" width="9" style="2"/>
    <col min="4591" max="4591" width="2.375" style="2" customWidth="1"/>
    <col min="4592" max="4592" width="13.25" style="2" bestFit="1" customWidth="1"/>
    <col min="4593" max="4594" width="11.125" style="2" bestFit="1" customWidth="1"/>
    <col min="4595" max="4595" width="13.25" style="2" bestFit="1" customWidth="1"/>
    <col min="4596" max="4596" width="11.125" style="2" bestFit="1" customWidth="1"/>
    <col min="4597" max="4597" width="9" style="2"/>
    <col min="4598" max="4598" width="11.125" style="2" bestFit="1" customWidth="1"/>
    <col min="4599" max="4599" width="9" style="2"/>
    <col min="4600" max="4610" width="11.125" style="2" bestFit="1" customWidth="1"/>
    <col min="4611" max="4613" width="9" style="2"/>
    <col min="4614" max="4621" width="11.125" style="2" bestFit="1" customWidth="1"/>
    <col min="4622" max="4622" width="9.625" style="2" bestFit="1" customWidth="1"/>
    <col min="4623" max="4846" width="9" style="2"/>
    <col min="4847" max="4847" width="2.375" style="2" customWidth="1"/>
    <col min="4848" max="4848" width="13.25" style="2" bestFit="1" customWidth="1"/>
    <col min="4849" max="4850" width="11.125" style="2" bestFit="1" customWidth="1"/>
    <col min="4851" max="4851" width="13.25" style="2" bestFit="1" customWidth="1"/>
    <col min="4852" max="4852" width="11.125" style="2" bestFit="1" customWidth="1"/>
    <col min="4853" max="4853" width="9" style="2"/>
    <col min="4854" max="4854" width="11.125" style="2" bestFit="1" customWidth="1"/>
    <col min="4855" max="4855" width="9" style="2"/>
    <col min="4856" max="4866" width="11.125" style="2" bestFit="1" customWidth="1"/>
    <col min="4867" max="4869" width="9" style="2"/>
    <col min="4870" max="4877" width="11.125" style="2" bestFit="1" customWidth="1"/>
    <col min="4878" max="4878" width="9.625" style="2" bestFit="1" customWidth="1"/>
    <col min="4879" max="5102" width="9" style="2"/>
    <col min="5103" max="5103" width="2.375" style="2" customWidth="1"/>
    <col min="5104" max="5104" width="13.25" style="2" bestFit="1" customWidth="1"/>
    <col min="5105" max="5106" width="11.125" style="2" bestFit="1" customWidth="1"/>
    <col min="5107" max="5107" width="13.25" style="2" bestFit="1" customWidth="1"/>
    <col min="5108" max="5108" width="11.125" style="2" bestFit="1" customWidth="1"/>
    <col min="5109" max="5109" width="9" style="2"/>
    <col min="5110" max="5110" width="11.125" style="2" bestFit="1" customWidth="1"/>
    <col min="5111" max="5111" width="9" style="2"/>
    <col min="5112" max="5122" width="11.125" style="2" bestFit="1" customWidth="1"/>
    <col min="5123" max="5125" width="9" style="2"/>
    <col min="5126" max="5133" width="11.125" style="2" bestFit="1" customWidth="1"/>
    <col min="5134" max="5134" width="9.625" style="2" bestFit="1" customWidth="1"/>
    <col min="5135" max="5358" width="9" style="2"/>
    <col min="5359" max="5359" width="2.375" style="2" customWidth="1"/>
    <col min="5360" max="5360" width="13.25" style="2" bestFit="1" customWidth="1"/>
    <col min="5361" max="5362" width="11.125" style="2" bestFit="1" customWidth="1"/>
    <col min="5363" max="5363" width="13.25" style="2" bestFit="1" customWidth="1"/>
    <col min="5364" max="5364" width="11.125" style="2" bestFit="1" customWidth="1"/>
    <col min="5365" max="5365" width="9" style="2"/>
    <col min="5366" max="5366" width="11.125" style="2" bestFit="1" customWidth="1"/>
    <col min="5367" max="5367" width="9" style="2"/>
    <col min="5368" max="5378" width="11.125" style="2" bestFit="1" customWidth="1"/>
    <col min="5379" max="5381" width="9" style="2"/>
    <col min="5382" max="5389" width="11.125" style="2" bestFit="1" customWidth="1"/>
    <col min="5390" max="5390" width="9.625" style="2" bestFit="1" customWidth="1"/>
    <col min="5391" max="5614" width="9" style="2"/>
    <col min="5615" max="5615" width="2.375" style="2" customWidth="1"/>
    <col min="5616" max="5616" width="13.25" style="2" bestFit="1" customWidth="1"/>
    <col min="5617" max="5618" width="11.125" style="2" bestFit="1" customWidth="1"/>
    <col min="5619" max="5619" width="13.25" style="2" bestFit="1" customWidth="1"/>
    <col min="5620" max="5620" width="11.125" style="2" bestFit="1" customWidth="1"/>
    <col min="5621" max="5621" width="9" style="2"/>
    <col min="5622" max="5622" width="11.125" style="2" bestFit="1" customWidth="1"/>
    <col min="5623" max="5623" width="9" style="2"/>
    <col min="5624" max="5634" width="11.125" style="2" bestFit="1" customWidth="1"/>
    <col min="5635" max="5637" width="9" style="2"/>
    <col min="5638" max="5645" width="11.125" style="2" bestFit="1" customWidth="1"/>
    <col min="5646" max="5646" width="9.625" style="2" bestFit="1" customWidth="1"/>
    <col min="5647" max="5870" width="9" style="2"/>
    <col min="5871" max="5871" width="2.375" style="2" customWidth="1"/>
    <col min="5872" max="5872" width="13.25" style="2" bestFit="1" customWidth="1"/>
    <col min="5873" max="5874" width="11.125" style="2" bestFit="1" customWidth="1"/>
    <col min="5875" max="5875" width="13.25" style="2" bestFit="1" customWidth="1"/>
    <col min="5876" max="5876" width="11.125" style="2" bestFit="1" customWidth="1"/>
    <col min="5877" max="5877" width="9" style="2"/>
    <col min="5878" max="5878" width="11.125" style="2" bestFit="1" customWidth="1"/>
    <col min="5879" max="5879" width="9" style="2"/>
    <col min="5880" max="5890" width="11.125" style="2" bestFit="1" customWidth="1"/>
    <col min="5891" max="5893" width="9" style="2"/>
    <col min="5894" max="5901" width="11.125" style="2" bestFit="1" customWidth="1"/>
    <col min="5902" max="5902" width="9.625" style="2" bestFit="1" customWidth="1"/>
    <col min="5903" max="6126" width="9" style="2"/>
    <col min="6127" max="6127" width="2.375" style="2" customWidth="1"/>
    <col min="6128" max="6128" width="13.25" style="2" bestFit="1" customWidth="1"/>
    <col min="6129" max="6130" width="11.125" style="2" bestFit="1" customWidth="1"/>
    <col min="6131" max="6131" width="13.25" style="2" bestFit="1" customWidth="1"/>
    <col min="6132" max="6132" width="11.125" style="2" bestFit="1" customWidth="1"/>
    <col min="6133" max="6133" width="9" style="2"/>
    <col min="6134" max="6134" width="11.125" style="2" bestFit="1" customWidth="1"/>
    <col min="6135" max="6135" width="9" style="2"/>
    <col min="6136" max="6146" width="11.125" style="2" bestFit="1" customWidth="1"/>
    <col min="6147" max="6149" width="9" style="2"/>
    <col min="6150" max="6157" width="11.125" style="2" bestFit="1" customWidth="1"/>
    <col min="6158" max="6158" width="9.625" style="2" bestFit="1" customWidth="1"/>
    <col min="6159" max="6382" width="9" style="2"/>
    <col min="6383" max="6383" width="2.375" style="2" customWidth="1"/>
    <col min="6384" max="6384" width="13.25" style="2" bestFit="1" customWidth="1"/>
    <col min="6385" max="6386" width="11.125" style="2" bestFit="1" customWidth="1"/>
    <col min="6387" max="6387" width="13.25" style="2" bestFit="1" customWidth="1"/>
    <col min="6388" max="6388" width="11.125" style="2" bestFit="1" customWidth="1"/>
    <col min="6389" max="6389" width="9" style="2"/>
    <col min="6390" max="6390" width="11.125" style="2" bestFit="1" customWidth="1"/>
    <col min="6391" max="6391" width="9" style="2"/>
    <col min="6392" max="6402" width="11.125" style="2" bestFit="1" customWidth="1"/>
    <col min="6403" max="6405" width="9" style="2"/>
    <col min="6406" max="6413" width="11.125" style="2" bestFit="1" customWidth="1"/>
    <col min="6414" max="6414" width="9.625" style="2" bestFit="1" customWidth="1"/>
    <col min="6415" max="6638" width="9" style="2"/>
    <col min="6639" max="6639" width="2.375" style="2" customWidth="1"/>
    <col min="6640" max="6640" width="13.25" style="2" bestFit="1" customWidth="1"/>
    <col min="6641" max="6642" width="11.125" style="2" bestFit="1" customWidth="1"/>
    <col min="6643" max="6643" width="13.25" style="2" bestFit="1" customWidth="1"/>
    <col min="6644" max="6644" width="11.125" style="2" bestFit="1" customWidth="1"/>
    <col min="6645" max="6645" width="9" style="2"/>
    <col min="6646" max="6646" width="11.125" style="2" bestFit="1" customWidth="1"/>
    <col min="6647" max="6647" width="9" style="2"/>
    <col min="6648" max="6658" width="11.125" style="2" bestFit="1" customWidth="1"/>
    <col min="6659" max="6661" width="9" style="2"/>
    <col min="6662" max="6669" width="11.125" style="2" bestFit="1" customWidth="1"/>
    <col min="6670" max="6670" width="9.625" style="2" bestFit="1" customWidth="1"/>
    <col min="6671" max="6894" width="9" style="2"/>
    <col min="6895" max="6895" width="2.375" style="2" customWidth="1"/>
    <col min="6896" max="6896" width="13.25" style="2" bestFit="1" customWidth="1"/>
    <col min="6897" max="6898" width="11.125" style="2" bestFit="1" customWidth="1"/>
    <col min="6899" max="6899" width="13.25" style="2" bestFit="1" customWidth="1"/>
    <col min="6900" max="6900" width="11.125" style="2" bestFit="1" customWidth="1"/>
    <col min="6901" max="6901" width="9" style="2"/>
    <col min="6902" max="6902" width="11.125" style="2" bestFit="1" customWidth="1"/>
    <col min="6903" max="6903" width="9" style="2"/>
    <col min="6904" max="6914" width="11.125" style="2" bestFit="1" customWidth="1"/>
    <col min="6915" max="6917" width="9" style="2"/>
    <col min="6918" max="6925" width="11.125" style="2" bestFit="1" customWidth="1"/>
    <col min="6926" max="6926" width="9.625" style="2" bestFit="1" customWidth="1"/>
    <col min="6927" max="7150" width="9" style="2"/>
    <col min="7151" max="7151" width="2.375" style="2" customWidth="1"/>
    <col min="7152" max="7152" width="13.25" style="2" bestFit="1" customWidth="1"/>
    <col min="7153" max="7154" width="11.125" style="2" bestFit="1" customWidth="1"/>
    <col min="7155" max="7155" width="13.25" style="2" bestFit="1" customWidth="1"/>
    <col min="7156" max="7156" width="11.125" style="2" bestFit="1" customWidth="1"/>
    <col min="7157" max="7157" width="9" style="2"/>
    <col min="7158" max="7158" width="11.125" style="2" bestFit="1" customWidth="1"/>
    <col min="7159" max="7159" width="9" style="2"/>
    <col min="7160" max="7170" width="11.125" style="2" bestFit="1" customWidth="1"/>
    <col min="7171" max="7173" width="9" style="2"/>
    <col min="7174" max="7181" width="11.125" style="2" bestFit="1" customWidth="1"/>
    <col min="7182" max="7182" width="9.625" style="2" bestFit="1" customWidth="1"/>
    <col min="7183" max="7406" width="9" style="2"/>
    <col min="7407" max="7407" width="2.375" style="2" customWidth="1"/>
    <col min="7408" max="7408" width="13.25" style="2" bestFit="1" customWidth="1"/>
    <col min="7409" max="7410" width="11.125" style="2" bestFit="1" customWidth="1"/>
    <col min="7411" max="7411" width="13.25" style="2" bestFit="1" customWidth="1"/>
    <col min="7412" max="7412" width="11.125" style="2" bestFit="1" customWidth="1"/>
    <col min="7413" max="7413" width="9" style="2"/>
    <col min="7414" max="7414" width="11.125" style="2" bestFit="1" customWidth="1"/>
    <col min="7415" max="7415" width="9" style="2"/>
    <col min="7416" max="7426" width="11.125" style="2" bestFit="1" customWidth="1"/>
    <col min="7427" max="7429" width="9" style="2"/>
    <col min="7430" max="7437" width="11.125" style="2" bestFit="1" customWidth="1"/>
    <col min="7438" max="7438" width="9.625" style="2" bestFit="1" customWidth="1"/>
    <col min="7439" max="7662" width="9" style="2"/>
    <col min="7663" max="7663" width="2.375" style="2" customWidth="1"/>
    <col min="7664" max="7664" width="13.25" style="2" bestFit="1" customWidth="1"/>
    <col min="7665" max="7666" width="11.125" style="2" bestFit="1" customWidth="1"/>
    <col min="7667" max="7667" width="13.25" style="2" bestFit="1" customWidth="1"/>
    <col min="7668" max="7668" width="11.125" style="2" bestFit="1" customWidth="1"/>
    <col min="7669" max="7669" width="9" style="2"/>
    <col min="7670" max="7670" width="11.125" style="2" bestFit="1" customWidth="1"/>
    <col min="7671" max="7671" width="9" style="2"/>
    <col min="7672" max="7682" width="11.125" style="2" bestFit="1" customWidth="1"/>
    <col min="7683" max="7685" width="9" style="2"/>
    <col min="7686" max="7693" width="11.125" style="2" bestFit="1" customWidth="1"/>
    <col min="7694" max="7694" width="9.625" style="2" bestFit="1" customWidth="1"/>
    <col min="7695" max="7918" width="9" style="2"/>
    <col min="7919" max="7919" width="2.375" style="2" customWidth="1"/>
    <col min="7920" max="7920" width="13.25" style="2" bestFit="1" customWidth="1"/>
    <col min="7921" max="7922" width="11.125" style="2" bestFit="1" customWidth="1"/>
    <col min="7923" max="7923" width="13.25" style="2" bestFit="1" customWidth="1"/>
    <col min="7924" max="7924" width="11.125" style="2" bestFit="1" customWidth="1"/>
    <col min="7925" max="7925" width="9" style="2"/>
    <col min="7926" max="7926" width="11.125" style="2" bestFit="1" customWidth="1"/>
    <col min="7927" max="7927" width="9" style="2"/>
    <col min="7928" max="7938" width="11.125" style="2" bestFit="1" customWidth="1"/>
    <col min="7939" max="7941" width="9" style="2"/>
    <col min="7942" max="7949" width="11.125" style="2" bestFit="1" customWidth="1"/>
    <col min="7950" max="7950" width="9.625" style="2" bestFit="1" customWidth="1"/>
    <col min="7951" max="8174" width="9" style="2"/>
    <col min="8175" max="8175" width="2.375" style="2" customWidth="1"/>
    <col min="8176" max="8176" width="13.25" style="2" bestFit="1" customWidth="1"/>
    <col min="8177" max="8178" width="11.125" style="2" bestFit="1" customWidth="1"/>
    <col min="8179" max="8179" width="13.25" style="2" bestFit="1" customWidth="1"/>
    <col min="8180" max="8180" width="11.125" style="2" bestFit="1" customWidth="1"/>
    <col min="8181" max="8181" width="9" style="2"/>
    <col min="8182" max="8182" width="11.125" style="2" bestFit="1" customWidth="1"/>
    <col min="8183" max="8183" width="9" style="2"/>
    <col min="8184" max="8194" width="11.125" style="2" bestFit="1" customWidth="1"/>
    <col min="8195" max="8197" width="9" style="2"/>
    <col min="8198" max="8205" width="11.125" style="2" bestFit="1" customWidth="1"/>
    <col min="8206" max="8206" width="9.625" style="2" bestFit="1" customWidth="1"/>
    <col min="8207" max="8430" width="9" style="2"/>
    <col min="8431" max="8431" width="2.375" style="2" customWidth="1"/>
    <col min="8432" max="8432" width="13.25" style="2" bestFit="1" customWidth="1"/>
    <col min="8433" max="8434" width="11.125" style="2" bestFit="1" customWidth="1"/>
    <col min="8435" max="8435" width="13.25" style="2" bestFit="1" customWidth="1"/>
    <col min="8436" max="8436" width="11.125" style="2" bestFit="1" customWidth="1"/>
    <col min="8437" max="8437" width="9" style="2"/>
    <col min="8438" max="8438" width="11.125" style="2" bestFit="1" customWidth="1"/>
    <col min="8439" max="8439" width="9" style="2"/>
    <col min="8440" max="8450" width="11.125" style="2" bestFit="1" customWidth="1"/>
    <col min="8451" max="8453" width="9" style="2"/>
    <col min="8454" max="8461" width="11.125" style="2" bestFit="1" customWidth="1"/>
    <col min="8462" max="8462" width="9.625" style="2" bestFit="1" customWidth="1"/>
    <col min="8463" max="8686" width="9" style="2"/>
    <col min="8687" max="8687" width="2.375" style="2" customWidth="1"/>
    <col min="8688" max="8688" width="13.25" style="2" bestFit="1" customWidth="1"/>
    <col min="8689" max="8690" width="11.125" style="2" bestFit="1" customWidth="1"/>
    <col min="8691" max="8691" width="13.25" style="2" bestFit="1" customWidth="1"/>
    <col min="8692" max="8692" width="11.125" style="2" bestFit="1" customWidth="1"/>
    <col min="8693" max="8693" width="9" style="2"/>
    <col min="8694" max="8694" width="11.125" style="2" bestFit="1" customWidth="1"/>
    <col min="8695" max="8695" width="9" style="2"/>
    <col min="8696" max="8706" width="11.125" style="2" bestFit="1" customWidth="1"/>
    <col min="8707" max="8709" width="9" style="2"/>
    <col min="8710" max="8717" width="11.125" style="2" bestFit="1" customWidth="1"/>
    <col min="8718" max="8718" width="9.625" style="2" bestFit="1" customWidth="1"/>
    <col min="8719" max="8942" width="9" style="2"/>
    <col min="8943" max="8943" width="2.375" style="2" customWidth="1"/>
    <col min="8944" max="8944" width="13.25" style="2" bestFit="1" customWidth="1"/>
    <col min="8945" max="8946" width="11.125" style="2" bestFit="1" customWidth="1"/>
    <col min="8947" max="8947" width="13.25" style="2" bestFit="1" customWidth="1"/>
    <col min="8948" max="8948" width="11.125" style="2" bestFit="1" customWidth="1"/>
    <col min="8949" max="8949" width="9" style="2"/>
    <col min="8950" max="8950" width="11.125" style="2" bestFit="1" customWidth="1"/>
    <col min="8951" max="8951" width="9" style="2"/>
    <col min="8952" max="8962" width="11.125" style="2" bestFit="1" customWidth="1"/>
    <col min="8963" max="8965" width="9" style="2"/>
    <col min="8966" max="8973" width="11.125" style="2" bestFit="1" customWidth="1"/>
    <col min="8974" max="8974" width="9.625" style="2" bestFit="1" customWidth="1"/>
    <col min="8975" max="9198" width="9" style="2"/>
    <col min="9199" max="9199" width="2.375" style="2" customWidth="1"/>
    <col min="9200" max="9200" width="13.25" style="2" bestFit="1" customWidth="1"/>
    <col min="9201" max="9202" width="11.125" style="2" bestFit="1" customWidth="1"/>
    <col min="9203" max="9203" width="13.25" style="2" bestFit="1" customWidth="1"/>
    <col min="9204" max="9204" width="11.125" style="2" bestFit="1" customWidth="1"/>
    <col min="9205" max="9205" width="9" style="2"/>
    <col min="9206" max="9206" width="11.125" style="2" bestFit="1" customWidth="1"/>
    <col min="9207" max="9207" width="9" style="2"/>
    <col min="9208" max="9218" width="11.125" style="2" bestFit="1" customWidth="1"/>
    <col min="9219" max="9221" width="9" style="2"/>
    <col min="9222" max="9229" width="11.125" style="2" bestFit="1" customWidth="1"/>
    <col min="9230" max="9230" width="9.625" style="2" bestFit="1" customWidth="1"/>
    <col min="9231" max="9454" width="9" style="2"/>
    <col min="9455" max="9455" width="2.375" style="2" customWidth="1"/>
    <col min="9456" max="9456" width="13.25" style="2" bestFit="1" customWidth="1"/>
    <col min="9457" max="9458" width="11.125" style="2" bestFit="1" customWidth="1"/>
    <col min="9459" max="9459" width="13.25" style="2" bestFit="1" customWidth="1"/>
    <col min="9460" max="9460" width="11.125" style="2" bestFit="1" customWidth="1"/>
    <col min="9461" max="9461" width="9" style="2"/>
    <col min="9462" max="9462" width="11.125" style="2" bestFit="1" customWidth="1"/>
    <col min="9463" max="9463" width="9" style="2"/>
    <col min="9464" max="9474" width="11.125" style="2" bestFit="1" customWidth="1"/>
    <col min="9475" max="9477" width="9" style="2"/>
    <col min="9478" max="9485" width="11.125" style="2" bestFit="1" customWidth="1"/>
    <col min="9486" max="9486" width="9.625" style="2" bestFit="1" customWidth="1"/>
    <col min="9487" max="9710" width="9" style="2"/>
    <col min="9711" max="9711" width="2.375" style="2" customWidth="1"/>
    <col min="9712" max="9712" width="13.25" style="2" bestFit="1" customWidth="1"/>
    <col min="9713" max="9714" width="11.125" style="2" bestFit="1" customWidth="1"/>
    <col min="9715" max="9715" width="13.25" style="2" bestFit="1" customWidth="1"/>
    <col min="9716" max="9716" width="11.125" style="2" bestFit="1" customWidth="1"/>
    <col min="9717" max="9717" width="9" style="2"/>
    <col min="9718" max="9718" width="11.125" style="2" bestFit="1" customWidth="1"/>
    <col min="9719" max="9719" width="9" style="2"/>
    <col min="9720" max="9730" width="11.125" style="2" bestFit="1" customWidth="1"/>
    <col min="9731" max="9733" width="9" style="2"/>
    <col min="9734" max="9741" width="11.125" style="2" bestFit="1" customWidth="1"/>
    <col min="9742" max="9742" width="9.625" style="2" bestFit="1" customWidth="1"/>
    <col min="9743" max="9966" width="9" style="2"/>
    <col min="9967" max="9967" width="2.375" style="2" customWidth="1"/>
    <col min="9968" max="9968" width="13.25" style="2" bestFit="1" customWidth="1"/>
    <col min="9969" max="9970" width="11.125" style="2" bestFit="1" customWidth="1"/>
    <col min="9971" max="9971" width="13.25" style="2" bestFit="1" customWidth="1"/>
    <col min="9972" max="9972" width="11.125" style="2" bestFit="1" customWidth="1"/>
    <col min="9973" max="9973" width="9" style="2"/>
    <col min="9974" max="9974" width="11.125" style="2" bestFit="1" customWidth="1"/>
    <col min="9975" max="9975" width="9" style="2"/>
    <col min="9976" max="9986" width="11.125" style="2" bestFit="1" customWidth="1"/>
    <col min="9987" max="9989" width="9" style="2"/>
    <col min="9990" max="9997" width="11.125" style="2" bestFit="1" customWidth="1"/>
    <col min="9998" max="9998" width="9.625" style="2" bestFit="1" customWidth="1"/>
    <col min="9999" max="10222" width="9" style="2"/>
    <col min="10223" max="10223" width="2.375" style="2" customWidth="1"/>
    <col min="10224" max="10224" width="13.25" style="2" bestFit="1" customWidth="1"/>
    <col min="10225" max="10226" width="11.125" style="2" bestFit="1" customWidth="1"/>
    <col min="10227" max="10227" width="13.25" style="2" bestFit="1" customWidth="1"/>
    <col min="10228" max="10228" width="11.125" style="2" bestFit="1" customWidth="1"/>
    <col min="10229" max="10229" width="9" style="2"/>
    <col min="10230" max="10230" width="11.125" style="2" bestFit="1" customWidth="1"/>
    <col min="10231" max="10231" width="9" style="2"/>
    <col min="10232" max="10242" width="11.125" style="2" bestFit="1" customWidth="1"/>
    <col min="10243" max="10245" width="9" style="2"/>
    <col min="10246" max="10253" width="11.125" style="2" bestFit="1" customWidth="1"/>
    <col min="10254" max="10254" width="9.625" style="2" bestFit="1" customWidth="1"/>
    <col min="10255" max="10478" width="9" style="2"/>
    <col min="10479" max="10479" width="2.375" style="2" customWidth="1"/>
    <col min="10480" max="10480" width="13.25" style="2" bestFit="1" customWidth="1"/>
    <col min="10481" max="10482" width="11.125" style="2" bestFit="1" customWidth="1"/>
    <col min="10483" max="10483" width="13.25" style="2" bestFit="1" customWidth="1"/>
    <col min="10484" max="10484" width="11.125" style="2" bestFit="1" customWidth="1"/>
    <col min="10485" max="10485" width="9" style="2"/>
    <col min="10486" max="10486" width="11.125" style="2" bestFit="1" customWidth="1"/>
    <col min="10487" max="10487" width="9" style="2"/>
    <col min="10488" max="10498" width="11.125" style="2" bestFit="1" customWidth="1"/>
    <col min="10499" max="10501" width="9" style="2"/>
    <col min="10502" max="10509" width="11.125" style="2" bestFit="1" customWidth="1"/>
    <col min="10510" max="10510" width="9.625" style="2" bestFit="1" customWidth="1"/>
    <col min="10511" max="10734" width="9" style="2"/>
    <col min="10735" max="10735" width="2.375" style="2" customWidth="1"/>
    <col min="10736" max="10736" width="13.25" style="2" bestFit="1" customWidth="1"/>
    <col min="10737" max="10738" width="11.125" style="2" bestFit="1" customWidth="1"/>
    <col min="10739" max="10739" width="13.25" style="2" bestFit="1" customWidth="1"/>
    <col min="10740" max="10740" width="11.125" style="2" bestFit="1" customWidth="1"/>
    <col min="10741" max="10741" width="9" style="2"/>
    <col min="10742" max="10742" width="11.125" style="2" bestFit="1" customWidth="1"/>
    <col min="10743" max="10743" width="9" style="2"/>
    <col min="10744" max="10754" width="11.125" style="2" bestFit="1" customWidth="1"/>
    <col min="10755" max="10757" width="9" style="2"/>
    <col min="10758" max="10765" width="11.125" style="2" bestFit="1" customWidth="1"/>
    <col min="10766" max="10766" width="9.625" style="2" bestFit="1" customWidth="1"/>
    <col min="10767" max="10990" width="9" style="2"/>
    <col min="10991" max="10991" width="2.375" style="2" customWidth="1"/>
    <col min="10992" max="10992" width="13.25" style="2" bestFit="1" customWidth="1"/>
    <col min="10993" max="10994" width="11.125" style="2" bestFit="1" customWidth="1"/>
    <col min="10995" max="10995" width="13.25" style="2" bestFit="1" customWidth="1"/>
    <col min="10996" max="10996" width="11.125" style="2" bestFit="1" customWidth="1"/>
    <col min="10997" max="10997" width="9" style="2"/>
    <col min="10998" max="10998" width="11.125" style="2" bestFit="1" customWidth="1"/>
    <col min="10999" max="10999" width="9" style="2"/>
    <col min="11000" max="11010" width="11.125" style="2" bestFit="1" customWidth="1"/>
    <col min="11011" max="11013" width="9" style="2"/>
    <col min="11014" max="11021" width="11.125" style="2" bestFit="1" customWidth="1"/>
    <col min="11022" max="11022" width="9.625" style="2" bestFit="1" customWidth="1"/>
    <col min="11023" max="11246" width="9" style="2"/>
    <col min="11247" max="11247" width="2.375" style="2" customWidth="1"/>
    <col min="11248" max="11248" width="13.25" style="2" bestFit="1" customWidth="1"/>
    <col min="11249" max="11250" width="11.125" style="2" bestFit="1" customWidth="1"/>
    <col min="11251" max="11251" width="13.25" style="2" bestFit="1" customWidth="1"/>
    <col min="11252" max="11252" width="11.125" style="2" bestFit="1" customWidth="1"/>
    <col min="11253" max="11253" width="9" style="2"/>
    <col min="11254" max="11254" width="11.125" style="2" bestFit="1" customWidth="1"/>
    <col min="11255" max="11255" width="9" style="2"/>
    <col min="11256" max="11266" width="11.125" style="2" bestFit="1" customWidth="1"/>
    <col min="11267" max="11269" width="9" style="2"/>
    <col min="11270" max="11277" width="11.125" style="2" bestFit="1" customWidth="1"/>
    <col min="11278" max="11278" width="9.625" style="2" bestFit="1" customWidth="1"/>
    <col min="11279" max="11502" width="9" style="2"/>
    <col min="11503" max="11503" width="2.375" style="2" customWidth="1"/>
    <col min="11504" max="11504" width="13.25" style="2" bestFit="1" customWidth="1"/>
    <col min="11505" max="11506" width="11.125" style="2" bestFit="1" customWidth="1"/>
    <col min="11507" max="11507" width="13.25" style="2" bestFit="1" customWidth="1"/>
    <col min="11508" max="11508" width="11.125" style="2" bestFit="1" customWidth="1"/>
    <col min="11509" max="11509" width="9" style="2"/>
    <col min="11510" max="11510" width="11.125" style="2" bestFit="1" customWidth="1"/>
    <col min="11511" max="11511" width="9" style="2"/>
    <col min="11512" max="11522" width="11.125" style="2" bestFit="1" customWidth="1"/>
    <col min="11523" max="11525" width="9" style="2"/>
    <col min="11526" max="11533" width="11.125" style="2" bestFit="1" customWidth="1"/>
    <col min="11534" max="11534" width="9.625" style="2" bestFit="1" customWidth="1"/>
    <col min="11535" max="11758" width="9" style="2"/>
    <col min="11759" max="11759" width="2.375" style="2" customWidth="1"/>
    <col min="11760" max="11760" width="13.25" style="2" bestFit="1" customWidth="1"/>
    <col min="11761" max="11762" width="11.125" style="2" bestFit="1" customWidth="1"/>
    <col min="11763" max="11763" width="13.25" style="2" bestFit="1" customWidth="1"/>
    <col min="11764" max="11764" width="11.125" style="2" bestFit="1" customWidth="1"/>
    <col min="11765" max="11765" width="9" style="2"/>
    <col min="11766" max="11766" width="11.125" style="2" bestFit="1" customWidth="1"/>
    <col min="11767" max="11767" width="9" style="2"/>
    <col min="11768" max="11778" width="11.125" style="2" bestFit="1" customWidth="1"/>
    <col min="11779" max="11781" width="9" style="2"/>
    <col min="11782" max="11789" width="11.125" style="2" bestFit="1" customWidth="1"/>
    <col min="11790" max="11790" width="9.625" style="2" bestFit="1" customWidth="1"/>
    <col min="11791" max="12014" width="9" style="2"/>
    <col min="12015" max="12015" width="2.375" style="2" customWidth="1"/>
    <col min="12016" max="12016" width="13.25" style="2" bestFit="1" customWidth="1"/>
    <col min="12017" max="12018" width="11.125" style="2" bestFit="1" customWidth="1"/>
    <col min="12019" max="12019" width="13.25" style="2" bestFit="1" customWidth="1"/>
    <col min="12020" max="12020" width="11.125" style="2" bestFit="1" customWidth="1"/>
    <col min="12021" max="12021" width="9" style="2"/>
    <col min="12022" max="12022" width="11.125" style="2" bestFit="1" customWidth="1"/>
    <col min="12023" max="12023" width="9" style="2"/>
    <col min="12024" max="12034" width="11.125" style="2" bestFit="1" customWidth="1"/>
    <col min="12035" max="12037" width="9" style="2"/>
    <col min="12038" max="12045" width="11.125" style="2" bestFit="1" customWidth="1"/>
    <col min="12046" max="12046" width="9.625" style="2" bestFit="1" customWidth="1"/>
    <col min="12047" max="12270" width="9" style="2"/>
    <col min="12271" max="12271" width="2.375" style="2" customWidth="1"/>
    <col min="12272" max="12272" width="13.25" style="2" bestFit="1" customWidth="1"/>
    <col min="12273" max="12274" width="11.125" style="2" bestFit="1" customWidth="1"/>
    <col min="12275" max="12275" width="13.25" style="2" bestFit="1" customWidth="1"/>
    <col min="12276" max="12276" width="11.125" style="2" bestFit="1" customWidth="1"/>
    <col min="12277" max="12277" width="9" style="2"/>
    <col min="12278" max="12278" width="11.125" style="2" bestFit="1" customWidth="1"/>
    <col min="12279" max="12279" width="9" style="2"/>
    <col min="12280" max="12290" width="11.125" style="2" bestFit="1" customWidth="1"/>
    <col min="12291" max="12293" width="9" style="2"/>
    <col min="12294" max="12301" width="11.125" style="2" bestFit="1" customWidth="1"/>
    <col min="12302" max="12302" width="9.625" style="2" bestFit="1" customWidth="1"/>
    <col min="12303" max="12526" width="9" style="2"/>
    <col min="12527" max="12527" width="2.375" style="2" customWidth="1"/>
    <col min="12528" max="12528" width="13.25" style="2" bestFit="1" customWidth="1"/>
    <col min="12529" max="12530" width="11.125" style="2" bestFit="1" customWidth="1"/>
    <col min="12531" max="12531" width="13.25" style="2" bestFit="1" customWidth="1"/>
    <col min="12532" max="12532" width="11.125" style="2" bestFit="1" customWidth="1"/>
    <col min="12533" max="12533" width="9" style="2"/>
    <col min="12534" max="12534" width="11.125" style="2" bestFit="1" customWidth="1"/>
    <col min="12535" max="12535" width="9" style="2"/>
    <col min="12536" max="12546" width="11.125" style="2" bestFit="1" customWidth="1"/>
    <col min="12547" max="12549" width="9" style="2"/>
    <col min="12550" max="12557" width="11.125" style="2" bestFit="1" customWidth="1"/>
    <col min="12558" max="12558" width="9.625" style="2" bestFit="1" customWidth="1"/>
    <col min="12559" max="12782" width="9" style="2"/>
    <col min="12783" max="12783" width="2.375" style="2" customWidth="1"/>
    <col min="12784" max="12784" width="13.25" style="2" bestFit="1" customWidth="1"/>
    <col min="12785" max="12786" width="11.125" style="2" bestFit="1" customWidth="1"/>
    <col min="12787" max="12787" width="13.25" style="2" bestFit="1" customWidth="1"/>
    <col min="12788" max="12788" width="11.125" style="2" bestFit="1" customWidth="1"/>
    <col min="12789" max="12789" width="9" style="2"/>
    <col min="12790" max="12790" width="11.125" style="2" bestFit="1" customWidth="1"/>
    <col min="12791" max="12791" width="9" style="2"/>
    <col min="12792" max="12802" width="11.125" style="2" bestFit="1" customWidth="1"/>
    <col min="12803" max="12805" width="9" style="2"/>
    <col min="12806" max="12813" width="11.125" style="2" bestFit="1" customWidth="1"/>
    <col min="12814" max="12814" width="9.625" style="2" bestFit="1" customWidth="1"/>
    <col min="12815" max="13038" width="9" style="2"/>
    <col min="13039" max="13039" width="2.375" style="2" customWidth="1"/>
    <col min="13040" max="13040" width="13.25" style="2" bestFit="1" customWidth="1"/>
    <col min="13041" max="13042" width="11.125" style="2" bestFit="1" customWidth="1"/>
    <col min="13043" max="13043" width="13.25" style="2" bestFit="1" customWidth="1"/>
    <col min="13044" max="13044" width="11.125" style="2" bestFit="1" customWidth="1"/>
    <col min="13045" max="13045" width="9" style="2"/>
    <col min="13046" max="13046" width="11.125" style="2" bestFit="1" customWidth="1"/>
    <col min="13047" max="13047" width="9" style="2"/>
    <col min="13048" max="13058" width="11.125" style="2" bestFit="1" customWidth="1"/>
    <col min="13059" max="13061" width="9" style="2"/>
    <col min="13062" max="13069" width="11.125" style="2" bestFit="1" customWidth="1"/>
    <col min="13070" max="13070" width="9.625" style="2" bestFit="1" customWidth="1"/>
    <col min="13071" max="13294" width="9" style="2"/>
    <col min="13295" max="13295" width="2.375" style="2" customWidth="1"/>
    <col min="13296" max="13296" width="13.25" style="2" bestFit="1" customWidth="1"/>
    <col min="13297" max="13298" width="11.125" style="2" bestFit="1" customWidth="1"/>
    <col min="13299" max="13299" width="13.25" style="2" bestFit="1" customWidth="1"/>
    <col min="13300" max="13300" width="11.125" style="2" bestFit="1" customWidth="1"/>
    <col min="13301" max="13301" width="9" style="2"/>
    <col min="13302" max="13302" width="11.125" style="2" bestFit="1" customWidth="1"/>
    <col min="13303" max="13303" width="9" style="2"/>
    <col min="13304" max="13314" width="11.125" style="2" bestFit="1" customWidth="1"/>
    <col min="13315" max="13317" width="9" style="2"/>
    <col min="13318" max="13325" width="11.125" style="2" bestFit="1" customWidth="1"/>
    <col min="13326" max="13326" width="9.625" style="2" bestFit="1" customWidth="1"/>
    <col min="13327" max="13550" width="9" style="2"/>
    <col min="13551" max="13551" width="2.375" style="2" customWidth="1"/>
    <col min="13552" max="13552" width="13.25" style="2" bestFit="1" customWidth="1"/>
    <col min="13553" max="13554" width="11.125" style="2" bestFit="1" customWidth="1"/>
    <col min="13555" max="13555" width="13.25" style="2" bestFit="1" customWidth="1"/>
    <col min="13556" max="13556" width="11.125" style="2" bestFit="1" customWidth="1"/>
    <col min="13557" max="13557" width="9" style="2"/>
    <col min="13558" max="13558" width="11.125" style="2" bestFit="1" customWidth="1"/>
    <col min="13559" max="13559" width="9" style="2"/>
    <col min="13560" max="13570" width="11.125" style="2" bestFit="1" customWidth="1"/>
    <col min="13571" max="13573" width="9" style="2"/>
    <col min="13574" max="13581" width="11.125" style="2" bestFit="1" customWidth="1"/>
    <col min="13582" max="13582" width="9.625" style="2" bestFit="1" customWidth="1"/>
    <col min="13583" max="13806" width="9" style="2"/>
    <col min="13807" max="13807" width="2.375" style="2" customWidth="1"/>
    <col min="13808" max="13808" width="13.25" style="2" bestFit="1" customWidth="1"/>
    <col min="13809" max="13810" width="11.125" style="2" bestFit="1" customWidth="1"/>
    <col min="13811" max="13811" width="13.25" style="2" bestFit="1" customWidth="1"/>
    <col min="13812" max="13812" width="11.125" style="2" bestFit="1" customWidth="1"/>
    <col min="13813" max="13813" width="9" style="2"/>
    <col min="13814" max="13814" width="11.125" style="2" bestFit="1" customWidth="1"/>
    <col min="13815" max="13815" width="9" style="2"/>
    <col min="13816" max="13826" width="11.125" style="2" bestFit="1" customWidth="1"/>
    <col min="13827" max="13829" width="9" style="2"/>
    <col min="13830" max="13837" width="11.125" style="2" bestFit="1" customWidth="1"/>
    <col min="13838" max="13838" width="9.625" style="2" bestFit="1" customWidth="1"/>
    <col min="13839" max="14062" width="9" style="2"/>
    <col min="14063" max="14063" width="2.375" style="2" customWidth="1"/>
    <col min="14064" max="14064" width="13.25" style="2" bestFit="1" customWidth="1"/>
    <col min="14065" max="14066" width="11.125" style="2" bestFit="1" customWidth="1"/>
    <col min="14067" max="14067" width="13.25" style="2" bestFit="1" customWidth="1"/>
    <col min="14068" max="14068" width="11.125" style="2" bestFit="1" customWidth="1"/>
    <col min="14069" max="14069" width="9" style="2"/>
    <col min="14070" max="14070" width="11.125" style="2" bestFit="1" customWidth="1"/>
    <col min="14071" max="14071" width="9" style="2"/>
    <col min="14072" max="14082" width="11.125" style="2" bestFit="1" customWidth="1"/>
    <col min="14083" max="14085" width="9" style="2"/>
    <col min="14086" max="14093" width="11.125" style="2" bestFit="1" customWidth="1"/>
    <col min="14094" max="14094" width="9.625" style="2" bestFit="1" customWidth="1"/>
    <col min="14095" max="14318" width="9" style="2"/>
    <col min="14319" max="14319" width="2.375" style="2" customWidth="1"/>
    <col min="14320" max="14320" width="13.25" style="2" bestFit="1" customWidth="1"/>
    <col min="14321" max="14322" width="11.125" style="2" bestFit="1" customWidth="1"/>
    <col min="14323" max="14323" width="13.25" style="2" bestFit="1" customWidth="1"/>
    <col min="14324" max="14324" width="11.125" style="2" bestFit="1" customWidth="1"/>
    <col min="14325" max="14325" width="9" style="2"/>
    <col min="14326" max="14326" width="11.125" style="2" bestFit="1" customWidth="1"/>
    <col min="14327" max="14327" width="9" style="2"/>
    <col min="14328" max="14338" width="11.125" style="2" bestFit="1" customWidth="1"/>
    <col min="14339" max="14341" width="9" style="2"/>
    <col min="14342" max="14349" width="11.125" style="2" bestFit="1" customWidth="1"/>
    <col min="14350" max="14350" width="9.625" style="2" bestFit="1" customWidth="1"/>
    <col min="14351" max="14574" width="9" style="2"/>
    <col min="14575" max="14575" width="2.375" style="2" customWidth="1"/>
    <col min="14576" max="14576" width="13.25" style="2" bestFit="1" customWidth="1"/>
    <col min="14577" max="14578" width="11.125" style="2" bestFit="1" customWidth="1"/>
    <col min="14579" max="14579" width="13.25" style="2" bestFit="1" customWidth="1"/>
    <col min="14580" max="14580" width="11.125" style="2" bestFit="1" customWidth="1"/>
    <col min="14581" max="14581" width="9" style="2"/>
    <col min="14582" max="14582" width="11.125" style="2" bestFit="1" customWidth="1"/>
    <col min="14583" max="14583" width="9" style="2"/>
    <col min="14584" max="14594" width="11.125" style="2" bestFit="1" customWidth="1"/>
    <col min="14595" max="14597" width="9" style="2"/>
    <col min="14598" max="14605" width="11.125" style="2" bestFit="1" customWidth="1"/>
    <col min="14606" max="14606" width="9.625" style="2" bestFit="1" customWidth="1"/>
    <col min="14607" max="14830" width="9" style="2"/>
    <col min="14831" max="14831" width="2.375" style="2" customWidth="1"/>
    <col min="14832" max="14832" width="13.25" style="2" bestFit="1" customWidth="1"/>
    <col min="14833" max="14834" width="11.125" style="2" bestFit="1" customWidth="1"/>
    <col min="14835" max="14835" width="13.25" style="2" bestFit="1" customWidth="1"/>
    <col min="14836" max="14836" width="11.125" style="2" bestFit="1" customWidth="1"/>
    <col min="14837" max="14837" width="9" style="2"/>
    <col min="14838" max="14838" width="11.125" style="2" bestFit="1" customWidth="1"/>
    <col min="14839" max="14839" width="9" style="2"/>
    <col min="14840" max="14850" width="11.125" style="2" bestFit="1" customWidth="1"/>
    <col min="14851" max="14853" width="9" style="2"/>
    <col min="14854" max="14861" width="11.125" style="2" bestFit="1" customWidth="1"/>
    <col min="14862" max="14862" width="9.625" style="2" bestFit="1" customWidth="1"/>
    <col min="14863" max="15086" width="9" style="2"/>
    <col min="15087" max="15087" width="2.375" style="2" customWidth="1"/>
    <col min="15088" max="15088" width="13.25" style="2" bestFit="1" customWidth="1"/>
    <col min="15089" max="15090" width="11.125" style="2" bestFit="1" customWidth="1"/>
    <col min="15091" max="15091" width="13.25" style="2" bestFit="1" customWidth="1"/>
    <col min="15092" max="15092" width="11.125" style="2" bestFit="1" customWidth="1"/>
    <col min="15093" max="15093" width="9" style="2"/>
    <col min="15094" max="15094" width="11.125" style="2" bestFit="1" customWidth="1"/>
    <col min="15095" max="15095" width="9" style="2"/>
    <col min="15096" max="15106" width="11.125" style="2" bestFit="1" customWidth="1"/>
    <col min="15107" max="15109" width="9" style="2"/>
    <col min="15110" max="15117" width="11.125" style="2" bestFit="1" customWidth="1"/>
    <col min="15118" max="15118" width="9.625" style="2" bestFit="1" customWidth="1"/>
    <col min="15119" max="15342" width="9" style="2"/>
    <col min="15343" max="15343" width="2.375" style="2" customWidth="1"/>
    <col min="15344" max="15344" width="13.25" style="2" bestFit="1" customWidth="1"/>
    <col min="15345" max="15346" width="11.125" style="2" bestFit="1" customWidth="1"/>
    <col min="15347" max="15347" width="13.25" style="2" bestFit="1" customWidth="1"/>
    <col min="15348" max="15348" width="11.125" style="2" bestFit="1" customWidth="1"/>
    <col min="15349" max="15349" width="9" style="2"/>
    <col min="15350" max="15350" width="11.125" style="2" bestFit="1" customWidth="1"/>
    <col min="15351" max="15351" width="9" style="2"/>
    <col min="15352" max="15362" width="11.125" style="2" bestFit="1" customWidth="1"/>
    <col min="15363" max="15365" width="9" style="2"/>
    <col min="15366" max="15373" width="11.125" style="2" bestFit="1" customWidth="1"/>
    <col min="15374" max="15374" width="9.625" style="2" bestFit="1" customWidth="1"/>
    <col min="15375" max="15598" width="9" style="2"/>
    <col min="15599" max="15599" width="2.375" style="2" customWidth="1"/>
    <col min="15600" max="15600" width="13.25" style="2" bestFit="1" customWidth="1"/>
    <col min="15601" max="15602" width="11.125" style="2" bestFit="1" customWidth="1"/>
    <col min="15603" max="15603" width="13.25" style="2" bestFit="1" customWidth="1"/>
    <col min="15604" max="15604" width="11.125" style="2" bestFit="1" customWidth="1"/>
    <col min="15605" max="15605" width="9" style="2"/>
    <col min="15606" max="15606" width="11.125" style="2" bestFit="1" customWidth="1"/>
    <col min="15607" max="15607" width="9" style="2"/>
    <col min="15608" max="15618" width="11.125" style="2" bestFit="1" customWidth="1"/>
    <col min="15619" max="15621" width="9" style="2"/>
    <col min="15622" max="15629" width="11.125" style="2" bestFit="1" customWidth="1"/>
    <col min="15630" max="15630" width="9.625" style="2" bestFit="1" customWidth="1"/>
    <col min="15631" max="15854" width="9" style="2"/>
    <col min="15855" max="15855" width="2.375" style="2" customWidth="1"/>
    <col min="15856" max="15856" width="13.25" style="2" bestFit="1" customWidth="1"/>
    <col min="15857" max="15858" width="11.125" style="2" bestFit="1" customWidth="1"/>
    <col min="15859" max="15859" width="13.25" style="2" bestFit="1" customWidth="1"/>
    <col min="15860" max="15860" width="11.125" style="2" bestFit="1" customWidth="1"/>
    <col min="15861" max="15861" width="9" style="2"/>
    <col min="15862" max="15862" width="11.125" style="2" bestFit="1" customWidth="1"/>
    <col min="15863" max="15863" width="9" style="2"/>
    <col min="15864" max="15874" width="11.125" style="2" bestFit="1" customWidth="1"/>
    <col min="15875" max="15877" width="9" style="2"/>
    <col min="15878" max="15885" width="11.125" style="2" bestFit="1" customWidth="1"/>
    <col min="15886" max="15886" width="9.625" style="2" bestFit="1" customWidth="1"/>
    <col min="15887" max="16110" width="9" style="2"/>
    <col min="16111" max="16111" width="2.375" style="2" customWidth="1"/>
    <col min="16112" max="16112" width="13.25" style="2" bestFit="1" customWidth="1"/>
    <col min="16113" max="16114" width="11.125" style="2" bestFit="1" customWidth="1"/>
    <col min="16115" max="16115" width="13.25" style="2" bestFit="1" customWidth="1"/>
    <col min="16116" max="16116" width="11.125" style="2" bestFit="1" customWidth="1"/>
    <col min="16117" max="16117" width="9" style="2"/>
    <col min="16118" max="16118" width="11.125" style="2" bestFit="1" customWidth="1"/>
    <col min="16119" max="16119" width="9" style="2"/>
    <col min="16120" max="16130" width="11.125" style="2" bestFit="1" customWidth="1"/>
    <col min="16131" max="16133" width="9" style="2"/>
    <col min="16134" max="16141" width="11.125" style="2" bestFit="1" customWidth="1"/>
    <col min="16142" max="16142" width="9.625" style="2" bestFit="1" customWidth="1"/>
    <col min="16143" max="16384" width="9" style="2"/>
  </cols>
  <sheetData>
    <row r="1" spans="1:16">
      <c r="A1" s="1" t="s">
        <v>0</v>
      </c>
    </row>
    <row r="2" spans="1:16" ht="19.5" thickBot="1">
      <c r="A2" s="1" t="s">
        <v>123</v>
      </c>
    </row>
    <row r="3" spans="1:16">
      <c r="B3" s="92"/>
      <c r="C3" s="70" t="s">
        <v>17</v>
      </c>
      <c r="D3" s="10" t="s">
        <v>4</v>
      </c>
      <c r="E3" s="10" t="s">
        <v>26</v>
      </c>
      <c r="F3" s="10" t="s">
        <v>27</v>
      </c>
      <c r="G3" s="10" t="s">
        <v>23</v>
      </c>
      <c r="H3" s="10" t="s">
        <v>24</v>
      </c>
      <c r="I3" s="10" t="s">
        <v>25</v>
      </c>
      <c r="J3" s="10" t="s">
        <v>28</v>
      </c>
      <c r="K3" s="10" t="s">
        <v>29</v>
      </c>
      <c r="L3" s="11" t="s">
        <v>30</v>
      </c>
      <c r="M3" s="81" t="s">
        <v>124</v>
      </c>
      <c r="N3" s="59" t="s">
        <v>5</v>
      </c>
      <c r="O3" s="81" t="s">
        <v>124</v>
      </c>
      <c r="P3" s="4"/>
    </row>
    <row r="4" spans="1:16" ht="19.5" thickBot="1">
      <c r="A4" s="47"/>
      <c r="B4" s="93" t="s">
        <v>31</v>
      </c>
      <c r="C4" s="71" t="s">
        <v>47</v>
      </c>
      <c r="D4" s="30" t="s">
        <v>34</v>
      </c>
      <c r="E4" s="30" t="s">
        <v>56</v>
      </c>
      <c r="F4" s="30" t="s">
        <v>57</v>
      </c>
      <c r="G4" s="30" t="s">
        <v>53</v>
      </c>
      <c r="H4" s="30" t="s">
        <v>54</v>
      </c>
      <c r="I4" s="30" t="s">
        <v>55</v>
      </c>
      <c r="J4" s="30" t="s">
        <v>58</v>
      </c>
      <c r="K4" s="30" t="s">
        <v>59</v>
      </c>
      <c r="L4" s="31" t="s">
        <v>60</v>
      </c>
      <c r="M4" s="82" t="s">
        <v>126</v>
      </c>
      <c r="N4" s="60" t="s">
        <v>35</v>
      </c>
      <c r="O4" s="82" t="s">
        <v>126</v>
      </c>
      <c r="P4" s="32" t="s">
        <v>61</v>
      </c>
    </row>
    <row r="5" spans="1:16">
      <c r="A5" s="1" t="s">
        <v>1</v>
      </c>
      <c r="B5" s="94" t="s">
        <v>62</v>
      </c>
      <c r="C5" s="72">
        <v>21</v>
      </c>
      <c r="D5" s="26">
        <v>21</v>
      </c>
      <c r="E5" s="26">
        <v>13</v>
      </c>
      <c r="F5" s="26">
        <v>14</v>
      </c>
      <c r="G5" s="26">
        <v>10</v>
      </c>
      <c r="H5" s="26">
        <v>10</v>
      </c>
      <c r="I5" s="26">
        <v>9</v>
      </c>
      <c r="J5" s="26">
        <v>5</v>
      </c>
      <c r="K5" s="26">
        <v>20</v>
      </c>
      <c r="L5" s="27">
        <v>4</v>
      </c>
      <c r="M5" s="83">
        <f>SUM(C5:L5)</f>
        <v>127</v>
      </c>
      <c r="N5" s="61">
        <v>22</v>
      </c>
      <c r="O5" s="83">
        <f>SUM(N5)</f>
        <v>22</v>
      </c>
      <c r="P5" s="83">
        <v>509</v>
      </c>
    </row>
    <row r="6" spans="1:16">
      <c r="A6" s="1" t="s">
        <v>1</v>
      </c>
      <c r="B6" s="95" t="s">
        <v>63</v>
      </c>
      <c r="C6" s="73">
        <v>0</v>
      </c>
      <c r="D6" s="13">
        <v>1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4">
        <v>0</v>
      </c>
      <c r="M6" s="84">
        <f>SUM(C6:L6)</f>
        <v>1</v>
      </c>
      <c r="N6" s="62">
        <v>0</v>
      </c>
      <c r="O6" s="84"/>
      <c r="P6" s="84">
        <v>33</v>
      </c>
    </row>
    <row r="7" spans="1:16">
      <c r="A7" s="1" t="s">
        <v>1</v>
      </c>
      <c r="B7" s="95" t="s">
        <v>64</v>
      </c>
      <c r="C7" s="73">
        <v>0</v>
      </c>
      <c r="D7" s="13">
        <v>1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4">
        <v>0</v>
      </c>
      <c r="M7" s="84">
        <f t="shared" ref="M7:M9" si="0">SUM(C7:L7)</f>
        <v>1</v>
      </c>
      <c r="N7" s="62">
        <v>0</v>
      </c>
      <c r="O7" s="84"/>
      <c r="P7" s="84">
        <v>33</v>
      </c>
    </row>
    <row r="8" spans="1:16">
      <c r="A8" s="1" t="s">
        <v>1</v>
      </c>
      <c r="B8" s="95" t="s">
        <v>65</v>
      </c>
      <c r="C8" s="7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4">
        <v>0</v>
      </c>
      <c r="M8" s="84">
        <f t="shared" si="0"/>
        <v>0</v>
      </c>
      <c r="N8" s="62">
        <v>0</v>
      </c>
      <c r="O8" s="84"/>
      <c r="P8" s="84">
        <v>1</v>
      </c>
    </row>
    <row r="9" spans="1:16">
      <c r="A9" s="1" t="s">
        <v>1</v>
      </c>
      <c r="B9" s="95" t="s">
        <v>66</v>
      </c>
      <c r="C9" s="73">
        <v>1</v>
      </c>
      <c r="D9" s="13">
        <v>1</v>
      </c>
      <c r="E9" s="13">
        <v>0</v>
      </c>
      <c r="F9" s="13">
        <v>0</v>
      </c>
      <c r="G9" s="13">
        <v>1</v>
      </c>
      <c r="H9" s="13">
        <v>1</v>
      </c>
      <c r="I9" s="13">
        <v>1</v>
      </c>
      <c r="J9" s="13">
        <v>0</v>
      </c>
      <c r="K9" s="13">
        <v>0</v>
      </c>
      <c r="L9" s="14">
        <v>0</v>
      </c>
      <c r="M9" s="84">
        <f t="shared" si="0"/>
        <v>5</v>
      </c>
      <c r="N9" s="62">
        <v>0</v>
      </c>
      <c r="O9" s="84"/>
      <c r="P9" s="84">
        <v>32</v>
      </c>
    </row>
    <row r="10" spans="1:16">
      <c r="A10" s="1" t="s">
        <v>1</v>
      </c>
      <c r="B10" s="95" t="s">
        <v>67</v>
      </c>
      <c r="C10" s="7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4">
        <v>0</v>
      </c>
      <c r="M10" s="84"/>
      <c r="N10" s="62">
        <v>0</v>
      </c>
      <c r="O10" s="84"/>
      <c r="P10" s="84">
        <v>8</v>
      </c>
    </row>
    <row r="11" spans="1:16">
      <c r="A11" s="1" t="s">
        <v>1</v>
      </c>
      <c r="B11" s="95" t="s">
        <v>68</v>
      </c>
      <c r="C11" s="7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4">
        <v>0</v>
      </c>
      <c r="M11" s="84"/>
      <c r="N11" s="62">
        <v>0</v>
      </c>
      <c r="O11" s="84"/>
      <c r="P11" s="84">
        <v>0</v>
      </c>
    </row>
    <row r="12" spans="1:16">
      <c r="A12" s="1" t="s">
        <v>1</v>
      </c>
      <c r="B12" s="95" t="s">
        <v>69</v>
      </c>
      <c r="C12" s="7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4">
        <v>0</v>
      </c>
      <c r="M12" s="84"/>
      <c r="N12" s="62">
        <v>0</v>
      </c>
      <c r="O12" s="84"/>
      <c r="P12" s="84">
        <v>0</v>
      </c>
    </row>
    <row r="13" spans="1:16">
      <c r="A13" s="1" t="s">
        <v>1</v>
      </c>
      <c r="B13" s="95" t="s">
        <v>70</v>
      </c>
      <c r="C13" s="74">
        <v>0</v>
      </c>
      <c r="D13" s="16">
        <v>0</v>
      </c>
      <c r="E13" s="16">
        <v>3.6666666666666665</v>
      </c>
      <c r="F13" s="16">
        <v>3.8333333333333335</v>
      </c>
      <c r="G13" s="16">
        <v>2.9166666666666665</v>
      </c>
      <c r="H13" s="16">
        <v>2.9166666666666665</v>
      </c>
      <c r="I13" s="16">
        <v>2.625</v>
      </c>
      <c r="J13" s="16">
        <v>1.625</v>
      </c>
      <c r="K13" s="16">
        <v>3.625</v>
      </c>
      <c r="L13" s="17">
        <v>1.125</v>
      </c>
      <c r="M13" s="85">
        <f>SUM(C13:L13)</f>
        <v>22.333333333333332</v>
      </c>
      <c r="N13" s="63">
        <v>0</v>
      </c>
      <c r="O13" s="85"/>
      <c r="P13" s="85">
        <v>22.333333333333332</v>
      </c>
    </row>
    <row r="14" spans="1:16">
      <c r="A14" s="1" t="s">
        <v>1</v>
      </c>
      <c r="B14" s="95" t="s">
        <v>71</v>
      </c>
      <c r="C14" s="74">
        <v>0</v>
      </c>
      <c r="D14" s="16">
        <v>1.5416666666666665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4.1666666666666664E-2</v>
      </c>
      <c r="K14" s="16">
        <v>0</v>
      </c>
      <c r="L14" s="17">
        <v>0</v>
      </c>
      <c r="M14" s="85">
        <f>SUM(C14:L14)</f>
        <v>1.5833333333333333</v>
      </c>
      <c r="N14" s="63">
        <v>0</v>
      </c>
      <c r="O14" s="85"/>
      <c r="P14" s="85">
        <v>40.541666666666664</v>
      </c>
    </row>
    <row r="15" spans="1:16">
      <c r="A15" s="1" t="s">
        <v>1</v>
      </c>
      <c r="B15" s="95" t="s">
        <v>72</v>
      </c>
      <c r="C15" s="74">
        <v>0</v>
      </c>
      <c r="D15" s="16">
        <v>0.25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7">
        <v>0</v>
      </c>
      <c r="M15" s="85">
        <f t="shared" ref="M15:M16" si="1">SUM(C15:L15)</f>
        <v>0.25</v>
      </c>
      <c r="N15" s="63">
        <v>0</v>
      </c>
      <c r="O15" s="85"/>
      <c r="P15" s="85">
        <v>11.666666666666666</v>
      </c>
    </row>
    <row r="16" spans="1:16">
      <c r="A16" s="1" t="s">
        <v>1</v>
      </c>
      <c r="B16" s="95" t="s">
        <v>73</v>
      </c>
      <c r="C16" s="74">
        <v>0</v>
      </c>
      <c r="D16" s="16">
        <v>0.16666666666666666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7">
        <v>0</v>
      </c>
      <c r="M16" s="85">
        <f t="shared" si="1"/>
        <v>0.16666666666666666</v>
      </c>
      <c r="N16" s="63">
        <v>0</v>
      </c>
      <c r="O16" s="85"/>
      <c r="P16" s="85">
        <v>12.499999999999998</v>
      </c>
    </row>
    <row r="17" spans="1:16">
      <c r="A17" s="1" t="s">
        <v>1</v>
      </c>
      <c r="B17" s="95" t="s">
        <v>74</v>
      </c>
      <c r="C17" s="74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7">
        <v>0</v>
      </c>
      <c r="M17" s="85"/>
      <c r="N17" s="63">
        <v>0</v>
      </c>
      <c r="O17" s="85"/>
      <c r="P17" s="85">
        <v>0.16666666666666666</v>
      </c>
    </row>
    <row r="18" spans="1:16">
      <c r="A18" s="1" t="s">
        <v>1</v>
      </c>
      <c r="B18" s="95" t="s">
        <v>75</v>
      </c>
      <c r="C18" s="74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7">
        <v>0</v>
      </c>
      <c r="M18" s="85"/>
      <c r="N18" s="63">
        <v>0</v>
      </c>
      <c r="O18" s="85"/>
      <c r="P18" s="85">
        <v>0</v>
      </c>
    </row>
    <row r="19" spans="1:16">
      <c r="A19" s="1" t="s">
        <v>1</v>
      </c>
      <c r="B19" s="95" t="s">
        <v>76</v>
      </c>
      <c r="C19" s="74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7">
        <v>0</v>
      </c>
      <c r="M19" s="85"/>
      <c r="N19" s="63">
        <v>0</v>
      </c>
      <c r="O19" s="85"/>
      <c r="P19" s="85">
        <v>0</v>
      </c>
    </row>
    <row r="20" spans="1:16">
      <c r="A20" s="1" t="s">
        <v>1</v>
      </c>
      <c r="B20" s="95" t="s">
        <v>77</v>
      </c>
      <c r="C20" s="74">
        <v>0</v>
      </c>
      <c r="D20" s="16">
        <v>0</v>
      </c>
      <c r="E20" s="16">
        <v>0</v>
      </c>
      <c r="F20" s="16">
        <v>0</v>
      </c>
      <c r="G20" s="16">
        <v>0.29166666666666669</v>
      </c>
      <c r="H20" s="16">
        <v>0.29166666666666669</v>
      </c>
      <c r="I20" s="16">
        <v>0.29166666666666669</v>
      </c>
      <c r="J20" s="16">
        <v>0</v>
      </c>
      <c r="K20" s="16">
        <v>0</v>
      </c>
      <c r="L20" s="17">
        <v>0</v>
      </c>
      <c r="M20" s="85">
        <f>SUM(C20:L20)</f>
        <v>0.875</v>
      </c>
      <c r="N20" s="63">
        <v>0</v>
      </c>
      <c r="O20" s="85"/>
      <c r="P20" s="85">
        <v>0.875</v>
      </c>
    </row>
    <row r="21" spans="1:16">
      <c r="A21" s="1" t="s">
        <v>1</v>
      </c>
      <c r="B21" s="95" t="s">
        <v>78</v>
      </c>
      <c r="C21" s="74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7">
        <v>0</v>
      </c>
      <c r="M21" s="85"/>
      <c r="N21" s="63">
        <v>0</v>
      </c>
      <c r="O21" s="85"/>
      <c r="P21" s="85">
        <v>0</v>
      </c>
    </row>
    <row r="22" spans="1:16">
      <c r="A22" s="1" t="s">
        <v>1</v>
      </c>
      <c r="B22" s="95" t="s">
        <v>79</v>
      </c>
      <c r="C22" s="74">
        <v>0.875</v>
      </c>
      <c r="D22" s="16">
        <v>0</v>
      </c>
      <c r="E22" s="16">
        <v>0</v>
      </c>
      <c r="F22" s="16">
        <v>0</v>
      </c>
      <c r="G22" s="16">
        <v>2.0833333333333335</v>
      </c>
      <c r="H22" s="16">
        <v>2.0833333333333335</v>
      </c>
      <c r="I22" s="16">
        <v>1.875</v>
      </c>
      <c r="J22" s="16">
        <v>0.20833333333333334</v>
      </c>
      <c r="K22" s="16">
        <v>0</v>
      </c>
      <c r="L22" s="17">
        <v>0</v>
      </c>
      <c r="M22" s="85">
        <f>SUM(C22:L22)</f>
        <v>7.125</v>
      </c>
      <c r="N22" s="63">
        <v>0</v>
      </c>
      <c r="O22" s="85"/>
      <c r="P22" s="85">
        <v>20.875</v>
      </c>
    </row>
    <row r="23" spans="1:16" ht="19.5" thickBot="1">
      <c r="A23" s="1" t="s">
        <v>1</v>
      </c>
      <c r="B23" s="96" t="s">
        <v>80</v>
      </c>
      <c r="C23" s="75">
        <v>20</v>
      </c>
      <c r="D23" s="37">
        <v>38</v>
      </c>
      <c r="E23" s="37">
        <v>21</v>
      </c>
      <c r="F23" s="37">
        <v>20</v>
      </c>
      <c r="G23" s="37">
        <v>3</v>
      </c>
      <c r="H23" s="37">
        <v>2</v>
      </c>
      <c r="I23" s="37">
        <v>0</v>
      </c>
      <c r="J23" s="37">
        <v>3</v>
      </c>
      <c r="K23" s="37">
        <v>11</v>
      </c>
      <c r="L23" s="38">
        <v>0</v>
      </c>
      <c r="M23" s="86">
        <f>SUM(C23:L23)</f>
        <v>118</v>
      </c>
      <c r="N23" s="64">
        <v>39</v>
      </c>
      <c r="O23" s="86">
        <f>SUM(N23)</f>
        <v>39</v>
      </c>
      <c r="P23" s="86">
        <v>487</v>
      </c>
    </row>
    <row r="24" spans="1:16">
      <c r="A24" s="1" t="s">
        <v>1</v>
      </c>
      <c r="B24" s="94" t="s">
        <v>81</v>
      </c>
      <c r="C24" s="76">
        <v>355000</v>
      </c>
      <c r="D24" s="34">
        <v>270000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5">
        <v>0</v>
      </c>
      <c r="M24" s="35">
        <f>SUM(C24:L24)</f>
        <v>625000</v>
      </c>
      <c r="N24" s="65">
        <v>365000</v>
      </c>
      <c r="O24" s="87">
        <f>SUM(N24)</f>
        <v>365000</v>
      </c>
      <c r="P24" s="87">
        <v>4209000</v>
      </c>
    </row>
    <row r="25" spans="1:16">
      <c r="A25" s="1" t="s">
        <v>1</v>
      </c>
      <c r="B25" s="95" t="s">
        <v>82</v>
      </c>
      <c r="C25" s="77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20">
        <v>0</v>
      </c>
      <c r="M25" s="20">
        <f t="shared" ref="M25:M65" si="2">SUM(C25:L25)</f>
        <v>0</v>
      </c>
      <c r="N25" s="66">
        <v>0</v>
      </c>
      <c r="O25" s="88"/>
      <c r="P25" s="88">
        <v>35000</v>
      </c>
    </row>
    <row r="26" spans="1:16">
      <c r="A26" s="1" t="s">
        <v>1</v>
      </c>
      <c r="B26" s="95" t="s">
        <v>83</v>
      </c>
      <c r="C26" s="77">
        <v>0</v>
      </c>
      <c r="D26" s="19">
        <v>3000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20">
        <v>0</v>
      </c>
      <c r="M26" s="20">
        <f t="shared" si="2"/>
        <v>3000</v>
      </c>
      <c r="N26" s="66">
        <v>0</v>
      </c>
      <c r="O26" s="88"/>
      <c r="P26" s="88">
        <v>6000</v>
      </c>
    </row>
    <row r="27" spans="1:16">
      <c r="A27" s="1" t="s">
        <v>1</v>
      </c>
      <c r="B27" s="95" t="s">
        <v>84</v>
      </c>
      <c r="C27" s="77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20">
        <v>0</v>
      </c>
      <c r="M27" s="20">
        <f t="shared" si="2"/>
        <v>0</v>
      </c>
      <c r="N27" s="66">
        <v>0</v>
      </c>
      <c r="O27" s="88"/>
      <c r="P27" s="88">
        <v>0</v>
      </c>
    </row>
    <row r="28" spans="1:16">
      <c r="A28" s="1" t="s">
        <v>1</v>
      </c>
      <c r="B28" s="95" t="s">
        <v>85</v>
      </c>
      <c r="C28" s="77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20">
        <v>0</v>
      </c>
      <c r="M28" s="20">
        <f t="shared" si="2"/>
        <v>0</v>
      </c>
      <c r="N28" s="66">
        <v>0</v>
      </c>
      <c r="O28" s="88"/>
      <c r="P28" s="88">
        <v>141900</v>
      </c>
    </row>
    <row r="29" spans="1:16">
      <c r="A29" s="1" t="s">
        <v>1</v>
      </c>
      <c r="B29" s="95" t="s">
        <v>86</v>
      </c>
      <c r="C29" s="77">
        <v>0</v>
      </c>
      <c r="D29" s="19">
        <v>0</v>
      </c>
      <c r="E29" s="19">
        <v>82720</v>
      </c>
      <c r="F29" s="19">
        <v>86480</v>
      </c>
      <c r="G29" s="19">
        <v>58800</v>
      </c>
      <c r="H29" s="19">
        <v>58800</v>
      </c>
      <c r="I29" s="19">
        <v>52920</v>
      </c>
      <c r="J29" s="19">
        <v>32760</v>
      </c>
      <c r="K29" s="19">
        <v>73080</v>
      </c>
      <c r="L29" s="20">
        <v>22680</v>
      </c>
      <c r="M29" s="20">
        <f t="shared" si="2"/>
        <v>468240</v>
      </c>
      <c r="N29" s="66">
        <v>0</v>
      </c>
      <c r="O29" s="88"/>
      <c r="P29" s="88">
        <v>468240</v>
      </c>
    </row>
    <row r="30" spans="1:16">
      <c r="A30" s="1" t="s">
        <v>1</v>
      </c>
      <c r="B30" s="95" t="s">
        <v>87</v>
      </c>
      <c r="C30" s="77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20">
        <v>0</v>
      </c>
      <c r="M30" s="20">
        <f t="shared" si="2"/>
        <v>0</v>
      </c>
      <c r="N30" s="66">
        <v>0</v>
      </c>
      <c r="O30" s="88"/>
      <c r="P30" s="88">
        <v>0</v>
      </c>
    </row>
    <row r="31" spans="1:16">
      <c r="A31" s="1" t="s">
        <v>1</v>
      </c>
      <c r="B31" s="95" t="s">
        <v>88</v>
      </c>
      <c r="C31" s="77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20">
        <v>0</v>
      </c>
      <c r="M31" s="20">
        <f t="shared" si="2"/>
        <v>0</v>
      </c>
      <c r="N31" s="66">
        <v>0</v>
      </c>
      <c r="O31" s="88"/>
      <c r="P31" s="88">
        <v>0</v>
      </c>
    </row>
    <row r="32" spans="1:16">
      <c r="A32" s="1" t="s">
        <v>1</v>
      </c>
      <c r="B32" s="95" t="s">
        <v>89</v>
      </c>
      <c r="C32" s="77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20">
        <v>0</v>
      </c>
      <c r="M32" s="20">
        <f t="shared" si="2"/>
        <v>0</v>
      </c>
      <c r="N32" s="66">
        <v>0</v>
      </c>
      <c r="O32" s="88"/>
      <c r="P32" s="88">
        <v>26000</v>
      </c>
    </row>
    <row r="33" spans="1:16">
      <c r="A33" s="1" t="s">
        <v>1</v>
      </c>
      <c r="B33" s="95" t="s">
        <v>90</v>
      </c>
      <c r="C33" s="77">
        <v>0</v>
      </c>
      <c r="D33" s="19">
        <v>0</v>
      </c>
      <c r="E33" s="19">
        <v>0</v>
      </c>
      <c r="F33" s="19">
        <v>0</v>
      </c>
      <c r="G33" s="19">
        <v>5880</v>
      </c>
      <c r="H33" s="19">
        <v>5880</v>
      </c>
      <c r="I33" s="19">
        <v>5880</v>
      </c>
      <c r="J33" s="19">
        <v>0</v>
      </c>
      <c r="K33" s="19">
        <v>0</v>
      </c>
      <c r="L33" s="20">
        <v>0</v>
      </c>
      <c r="M33" s="20">
        <f t="shared" si="2"/>
        <v>17640</v>
      </c>
      <c r="N33" s="66">
        <v>0</v>
      </c>
      <c r="O33" s="88"/>
      <c r="P33" s="88">
        <v>17640</v>
      </c>
    </row>
    <row r="34" spans="1:16">
      <c r="A34" s="1" t="s">
        <v>1</v>
      </c>
      <c r="B34" s="95" t="s">
        <v>91</v>
      </c>
      <c r="C34" s="77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20">
        <v>0</v>
      </c>
      <c r="M34" s="20">
        <f t="shared" si="2"/>
        <v>0</v>
      </c>
      <c r="N34" s="66">
        <v>0</v>
      </c>
      <c r="O34" s="88"/>
      <c r="P34" s="88">
        <v>0</v>
      </c>
    </row>
    <row r="35" spans="1:16">
      <c r="A35" s="1" t="s">
        <v>1</v>
      </c>
      <c r="B35" s="95" t="s">
        <v>92</v>
      </c>
      <c r="C35" s="77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20">
        <v>0</v>
      </c>
      <c r="M35" s="20">
        <f t="shared" si="2"/>
        <v>0</v>
      </c>
      <c r="N35" s="66">
        <v>0</v>
      </c>
      <c r="O35" s="88"/>
      <c r="P35" s="88">
        <v>0</v>
      </c>
    </row>
    <row r="36" spans="1:16">
      <c r="A36" s="1" t="s">
        <v>1</v>
      </c>
      <c r="B36" s="95" t="s">
        <v>93</v>
      </c>
      <c r="C36" s="77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20">
        <v>0</v>
      </c>
      <c r="M36" s="20">
        <f t="shared" si="2"/>
        <v>0</v>
      </c>
      <c r="N36" s="66">
        <v>0</v>
      </c>
      <c r="O36" s="88"/>
      <c r="P36" s="88">
        <v>0</v>
      </c>
    </row>
    <row r="37" spans="1:16">
      <c r="A37" s="1" t="s">
        <v>1</v>
      </c>
      <c r="B37" s="95" t="s">
        <v>71</v>
      </c>
      <c r="C37" s="77">
        <v>0</v>
      </c>
      <c r="D37" s="19">
        <v>75628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1050</v>
      </c>
      <c r="K37" s="19">
        <v>0</v>
      </c>
      <c r="L37" s="20">
        <v>0</v>
      </c>
      <c r="M37" s="20">
        <f t="shared" si="2"/>
        <v>76678</v>
      </c>
      <c r="N37" s="66">
        <v>0</v>
      </c>
      <c r="O37" s="88"/>
      <c r="P37" s="88">
        <v>1352701</v>
      </c>
    </row>
    <row r="38" spans="1:16">
      <c r="A38" s="1" t="s">
        <v>1</v>
      </c>
      <c r="B38" s="95" t="s">
        <v>94</v>
      </c>
      <c r="C38" s="77">
        <v>0</v>
      </c>
      <c r="D38" s="19">
        <v>13242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20">
        <v>0</v>
      </c>
      <c r="M38" s="20">
        <f t="shared" si="2"/>
        <v>13242</v>
      </c>
      <c r="N38" s="66">
        <v>0</v>
      </c>
      <c r="O38" s="88"/>
      <c r="P38" s="88">
        <v>420077</v>
      </c>
    </row>
    <row r="39" spans="1:16">
      <c r="A39" s="1" t="s">
        <v>1</v>
      </c>
      <c r="B39" s="95" t="s">
        <v>95</v>
      </c>
      <c r="C39" s="77">
        <v>0</v>
      </c>
      <c r="D39" s="19">
        <v>8828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20">
        <v>0</v>
      </c>
      <c r="M39" s="20">
        <f t="shared" si="2"/>
        <v>8828</v>
      </c>
      <c r="N39" s="66">
        <v>0</v>
      </c>
      <c r="O39" s="88"/>
      <c r="P39" s="88">
        <v>442304</v>
      </c>
    </row>
    <row r="40" spans="1:16">
      <c r="A40" s="1" t="s">
        <v>1</v>
      </c>
      <c r="B40" s="95" t="s">
        <v>96</v>
      </c>
      <c r="C40" s="77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20">
        <v>0</v>
      </c>
      <c r="M40" s="20">
        <f t="shared" si="2"/>
        <v>0</v>
      </c>
      <c r="N40" s="66">
        <v>0</v>
      </c>
      <c r="O40" s="88"/>
      <c r="P40" s="88">
        <v>1492</v>
      </c>
    </row>
    <row r="41" spans="1:16">
      <c r="A41" s="1" t="s">
        <v>1</v>
      </c>
      <c r="B41" s="95" t="s">
        <v>97</v>
      </c>
      <c r="C41" s="77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20">
        <v>0</v>
      </c>
      <c r="M41" s="20">
        <f t="shared" si="2"/>
        <v>0</v>
      </c>
      <c r="N41" s="66">
        <v>0</v>
      </c>
      <c r="O41" s="88"/>
      <c r="P41" s="88">
        <v>0</v>
      </c>
    </row>
    <row r="42" spans="1:16">
      <c r="A42" s="1" t="s">
        <v>1</v>
      </c>
      <c r="B42" s="95" t="s">
        <v>98</v>
      </c>
      <c r="C42" s="77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20">
        <v>0</v>
      </c>
      <c r="M42" s="20">
        <f t="shared" si="2"/>
        <v>0</v>
      </c>
      <c r="N42" s="66">
        <v>0</v>
      </c>
      <c r="O42" s="88"/>
      <c r="P42" s="88">
        <v>0</v>
      </c>
    </row>
    <row r="43" spans="1:16">
      <c r="A43" s="1" t="s">
        <v>1</v>
      </c>
      <c r="B43" s="95" t="s">
        <v>76</v>
      </c>
      <c r="C43" s="77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20">
        <v>0</v>
      </c>
      <c r="M43" s="20">
        <f t="shared" si="2"/>
        <v>0</v>
      </c>
      <c r="N43" s="66">
        <v>0</v>
      </c>
      <c r="O43" s="88"/>
      <c r="P43" s="88">
        <v>0</v>
      </c>
    </row>
    <row r="44" spans="1:16" ht="19.5" thickBot="1">
      <c r="A44" s="1" t="s">
        <v>1</v>
      </c>
      <c r="B44" s="97" t="s">
        <v>79</v>
      </c>
      <c r="C44" s="78">
        <v>11172</v>
      </c>
      <c r="D44" s="41">
        <v>0</v>
      </c>
      <c r="E44" s="41">
        <v>0</v>
      </c>
      <c r="F44" s="41">
        <v>0</v>
      </c>
      <c r="G44" s="41">
        <v>10500</v>
      </c>
      <c r="H44" s="41">
        <v>10500</v>
      </c>
      <c r="I44" s="41">
        <v>9450</v>
      </c>
      <c r="J44" s="41">
        <v>1050</v>
      </c>
      <c r="K44" s="41">
        <v>0</v>
      </c>
      <c r="L44" s="42">
        <v>0</v>
      </c>
      <c r="M44" s="42">
        <f t="shared" si="2"/>
        <v>42672</v>
      </c>
      <c r="N44" s="67">
        <v>0</v>
      </c>
      <c r="O44" s="89"/>
      <c r="P44" s="89">
        <v>132644</v>
      </c>
    </row>
    <row r="45" spans="1:16" ht="19.5" thickBot="1">
      <c r="A45" s="1" t="s">
        <v>1</v>
      </c>
      <c r="B45" s="98" t="s">
        <v>99</v>
      </c>
      <c r="C45" s="79">
        <v>366172</v>
      </c>
      <c r="D45" s="45">
        <v>370698</v>
      </c>
      <c r="E45" s="45">
        <v>82720</v>
      </c>
      <c r="F45" s="45">
        <v>86480</v>
      </c>
      <c r="G45" s="45">
        <v>75180</v>
      </c>
      <c r="H45" s="45">
        <v>75180</v>
      </c>
      <c r="I45" s="45">
        <v>68250</v>
      </c>
      <c r="J45" s="45">
        <v>34860</v>
      </c>
      <c r="K45" s="45">
        <v>73080</v>
      </c>
      <c r="L45" s="46">
        <v>22680</v>
      </c>
      <c r="M45" s="46">
        <f t="shared" si="2"/>
        <v>1255300</v>
      </c>
      <c r="N45" s="68">
        <v>365000</v>
      </c>
      <c r="O45" s="90">
        <f>SUM(N45)</f>
        <v>365000</v>
      </c>
      <c r="P45" s="90">
        <v>7252998</v>
      </c>
    </row>
    <row r="46" spans="1:16" ht="19.5" thickBot="1">
      <c r="A46" s="1" t="s">
        <v>1</v>
      </c>
      <c r="B46" s="94" t="s">
        <v>100</v>
      </c>
      <c r="C46" s="76">
        <v>4071</v>
      </c>
      <c r="D46" s="34">
        <v>5402</v>
      </c>
      <c r="E46" s="34">
        <v>2714</v>
      </c>
      <c r="F46" s="34">
        <v>1827</v>
      </c>
      <c r="G46" s="34">
        <v>3132</v>
      </c>
      <c r="H46" s="34">
        <v>3914</v>
      </c>
      <c r="I46" s="34">
        <v>3758</v>
      </c>
      <c r="J46" s="34">
        <v>1696</v>
      </c>
      <c r="K46" s="34">
        <v>7306</v>
      </c>
      <c r="L46" s="35">
        <v>1566</v>
      </c>
      <c r="M46" s="35">
        <f t="shared" si="2"/>
        <v>35386</v>
      </c>
      <c r="N46" s="65">
        <v>7802</v>
      </c>
      <c r="O46" s="87">
        <f t="shared" ref="O46:O65" si="3">SUM(N46)</f>
        <v>7802</v>
      </c>
      <c r="P46" s="87">
        <v>150829</v>
      </c>
    </row>
    <row r="47" spans="1:16" ht="19.5" thickBot="1">
      <c r="A47" s="1" t="s">
        <v>1</v>
      </c>
      <c r="B47" s="98" t="s">
        <v>101</v>
      </c>
      <c r="C47" s="79">
        <v>4071</v>
      </c>
      <c r="D47" s="45">
        <v>5402</v>
      </c>
      <c r="E47" s="45">
        <v>2714</v>
      </c>
      <c r="F47" s="45">
        <v>1827</v>
      </c>
      <c r="G47" s="45">
        <v>3132</v>
      </c>
      <c r="H47" s="45">
        <v>3914</v>
      </c>
      <c r="I47" s="45">
        <v>3758</v>
      </c>
      <c r="J47" s="45">
        <v>1696</v>
      </c>
      <c r="K47" s="45">
        <v>7306</v>
      </c>
      <c r="L47" s="46">
        <v>1566</v>
      </c>
      <c r="M47" s="46">
        <f t="shared" si="2"/>
        <v>35386</v>
      </c>
      <c r="N47" s="68">
        <v>7802</v>
      </c>
      <c r="O47" s="90">
        <f t="shared" si="3"/>
        <v>7802</v>
      </c>
      <c r="P47" s="90">
        <v>150829</v>
      </c>
    </row>
    <row r="48" spans="1:16" ht="19.5" thickBot="1">
      <c r="A48" s="1" t="s">
        <v>1</v>
      </c>
      <c r="B48" s="98" t="s">
        <v>102</v>
      </c>
      <c r="C48" s="79">
        <v>370243</v>
      </c>
      <c r="D48" s="45">
        <v>376100</v>
      </c>
      <c r="E48" s="45">
        <v>85434</v>
      </c>
      <c r="F48" s="45">
        <v>88307</v>
      </c>
      <c r="G48" s="45">
        <v>78312</v>
      </c>
      <c r="H48" s="45">
        <v>79094</v>
      </c>
      <c r="I48" s="45">
        <v>72008</v>
      </c>
      <c r="J48" s="45">
        <v>36556</v>
      </c>
      <c r="K48" s="45">
        <v>80386</v>
      </c>
      <c r="L48" s="46">
        <v>24246</v>
      </c>
      <c r="M48" s="46">
        <f t="shared" si="2"/>
        <v>1290686</v>
      </c>
      <c r="N48" s="68">
        <v>372802</v>
      </c>
      <c r="O48" s="90">
        <f t="shared" si="3"/>
        <v>372802</v>
      </c>
      <c r="P48" s="90">
        <v>7403827</v>
      </c>
    </row>
    <row r="49" spans="1:16">
      <c r="A49" s="1" t="s">
        <v>1</v>
      </c>
      <c r="B49" s="94" t="s">
        <v>103</v>
      </c>
      <c r="C49" s="76">
        <v>17340</v>
      </c>
      <c r="D49" s="34">
        <v>20910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5">
        <v>0</v>
      </c>
      <c r="M49" s="35">
        <f t="shared" si="2"/>
        <v>38250</v>
      </c>
      <c r="N49" s="65">
        <v>19380</v>
      </c>
      <c r="O49" s="87">
        <f t="shared" si="3"/>
        <v>19380</v>
      </c>
      <c r="P49" s="87">
        <v>356490</v>
      </c>
    </row>
    <row r="50" spans="1:16">
      <c r="A50" s="1" t="s">
        <v>1</v>
      </c>
      <c r="B50" s="95" t="s">
        <v>104</v>
      </c>
      <c r="C50" s="77">
        <v>3060</v>
      </c>
      <c r="D50" s="19">
        <v>3690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20">
        <v>0</v>
      </c>
      <c r="M50" s="20">
        <f t="shared" si="2"/>
        <v>6750</v>
      </c>
      <c r="N50" s="66">
        <v>3420</v>
      </c>
      <c r="O50" s="88">
        <f t="shared" si="3"/>
        <v>3420</v>
      </c>
      <c r="P50" s="88">
        <v>57870</v>
      </c>
    </row>
    <row r="51" spans="1:16">
      <c r="A51" s="1" t="s">
        <v>1</v>
      </c>
      <c r="B51" s="95" t="s">
        <v>105</v>
      </c>
      <c r="C51" s="77">
        <v>31110</v>
      </c>
      <c r="D51" s="19">
        <v>37515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20">
        <v>0</v>
      </c>
      <c r="M51" s="20">
        <f t="shared" si="2"/>
        <v>68625</v>
      </c>
      <c r="N51" s="66">
        <v>34770</v>
      </c>
      <c r="O51" s="88">
        <f t="shared" si="3"/>
        <v>34770</v>
      </c>
      <c r="P51" s="88">
        <v>639585</v>
      </c>
    </row>
    <row r="52" spans="1:16" ht="19.5" thickBot="1">
      <c r="A52" s="1" t="s">
        <v>1</v>
      </c>
      <c r="B52" s="95" t="s">
        <v>106</v>
      </c>
      <c r="C52" s="77">
        <v>1111</v>
      </c>
      <c r="D52" s="19">
        <v>1128</v>
      </c>
      <c r="E52" s="19">
        <v>256</v>
      </c>
      <c r="F52" s="19">
        <v>265</v>
      </c>
      <c r="G52" s="19">
        <v>0</v>
      </c>
      <c r="H52" s="19">
        <v>0</v>
      </c>
      <c r="I52" s="19">
        <v>0</v>
      </c>
      <c r="J52" s="19">
        <v>0</v>
      </c>
      <c r="K52" s="19">
        <v>241</v>
      </c>
      <c r="L52" s="20">
        <v>0</v>
      </c>
      <c r="M52" s="20">
        <f t="shared" si="2"/>
        <v>3001</v>
      </c>
      <c r="N52" s="66">
        <v>1118</v>
      </c>
      <c r="O52" s="88">
        <f t="shared" si="3"/>
        <v>1118</v>
      </c>
      <c r="P52" s="88">
        <v>21340</v>
      </c>
    </row>
    <row r="53" spans="1:16" ht="19.5" thickBot="1">
      <c r="A53" s="1" t="s">
        <v>1</v>
      </c>
      <c r="B53" s="98" t="s">
        <v>107</v>
      </c>
      <c r="C53" s="79">
        <v>52621</v>
      </c>
      <c r="D53" s="45">
        <v>63243</v>
      </c>
      <c r="E53" s="45">
        <v>256</v>
      </c>
      <c r="F53" s="45">
        <v>265</v>
      </c>
      <c r="G53" s="45">
        <v>0</v>
      </c>
      <c r="H53" s="45">
        <v>0</v>
      </c>
      <c r="I53" s="45">
        <v>0</v>
      </c>
      <c r="J53" s="45">
        <v>0</v>
      </c>
      <c r="K53" s="45">
        <v>241</v>
      </c>
      <c r="L53" s="46">
        <v>0</v>
      </c>
      <c r="M53" s="46">
        <f t="shared" si="2"/>
        <v>116626</v>
      </c>
      <c r="N53" s="68">
        <v>58688</v>
      </c>
      <c r="O53" s="90">
        <f t="shared" si="3"/>
        <v>58688</v>
      </c>
      <c r="P53" s="90">
        <v>1075285</v>
      </c>
    </row>
    <row r="54" spans="1:16">
      <c r="A54" s="1" t="s">
        <v>1</v>
      </c>
      <c r="B54" s="94" t="s">
        <v>108</v>
      </c>
      <c r="C54" s="76">
        <v>9490</v>
      </c>
      <c r="D54" s="34">
        <v>7030</v>
      </c>
      <c r="E54" s="34">
        <v>0</v>
      </c>
      <c r="F54" s="34">
        <v>20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5">
        <v>0</v>
      </c>
      <c r="M54" s="35">
        <f t="shared" si="2"/>
        <v>16540</v>
      </c>
      <c r="N54" s="65">
        <v>8900</v>
      </c>
      <c r="O54" s="87">
        <f t="shared" si="3"/>
        <v>8900</v>
      </c>
      <c r="P54" s="87">
        <v>144960</v>
      </c>
    </row>
    <row r="55" spans="1:16">
      <c r="A55" s="1" t="s">
        <v>1</v>
      </c>
      <c r="B55" s="95" t="s">
        <v>109</v>
      </c>
      <c r="C55" s="77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20">
        <v>0</v>
      </c>
      <c r="M55" s="20">
        <f t="shared" si="2"/>
        <v>0</v>
      </c>
      <c r="N55" s="66">
        <v>0</v>
      </c>
      <c r="O55" s="88">
        <f t="shared" si="3"/>
        <v>0</v>
      </c>
      <c r="P55" s="88">
        <v>15600</v>
      </c>
    </row>
    <row r="56" spans="1:16">
      <c r="A56" s="1" t="s">
        <v>1</v>
      </c>
      <c r="B56" s="95" t="s">
        <v>110</v>
      </c>
      <c r="C56" s="77">
        <v>15200</v>
      </c>
      <c r="D56" s="19">
        <v>16300</v>
      </c>
      <c r="E56" s="19">
        <v>600</v>
      </c>
      <c r="F56" s="19">
        <v>500</v>
      </c>
      <c r="G56" s="19">
        <v>0</v>
      </c>
      <c r="H56" s="19">
        <v>0</v>
      </c>
      <c r="I56" s="19">
        <v>0</v>
      </c>
      <c r="J56" s="19">
        <v>0</v>
      </c>
      <c r="K56" s="19">
        <v>11600</v>
      </c>
      <c r="L56" s="20">
        <v>0</v>
      </c>
      <c r="M56" s="20">
        <f t="shared" si="2"/>
        <v>44200</v>
      </c>
      <c r="N56" s="66">
        <v>17800</v>
      </c>
      <c r="O56" s="88">
        <f t="shared" si="3"/>
        <v>17800</v>
      </c>
      <c r="P56" s="88">
        <v>258100</v>
      </c>
    </row>
    <row r="57" spans="1:16">
      <c r="A57" s="1" t="s">
        <v>1</v>
      </c>
      <c r="B57" s="95" t="s">
        <v>111</v>
      </c>
      <c r="C57" s="77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20">
        <v>0</v>
      </c>
      <c r="M57" s="20">
        <f t="shared" si="2"/>
        <v>0</v>
      </c>
      <c r="N57" s="66">
        <v>0</v>
      </c>
      <c r="O57" s="88">
        <f t="shared" si="3"/>
        <v>0</v>
      </c>
      <c r="P57" s="88">
        <v>0</v>
      </c>
    </row>
    <row r="58" spans="1:16">
      <c r="A58" s="1" t="s">
        <v>1</v>
      </c>
      <c r="B58" s="95" t="s">
        <v>112</v>
      </c>
      <c r="C58" s="77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20">
        <v>0</v>
      </c>
      <c r="M58" s="20">
        <f t="shared" si="2"/>
        <v>0</v>
      </c>
      <c r="N58" s="66">
        <v>0</v>
      </c>
      <c r="O58" s="88">
        <f t="shared" si="3"/>
        <v>0</v>
      </c>
      <c r="P58" s="88">
        <v>0</v>
      </c>
    </row>
    <row r="59" spans="1:16">
      <c r="A59" s="1" t="s">
        <v>1</v>
      </c>
      <c r="B59" s="95" t="s">
        <v>113</v>
      </c>
      <c r="C59" s="77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20">
        <v>0</v>
      </c>
      <c r="M59" s="20">
        <f t="shared" si="2"/>
        <v>0</v>
      </c>
      <c r="N59" s="66">
        <v>0</v>
      </c>
      <c r="O59" s="88">
        <f t="shared" si="3"/>
        <v>0</v>
      </c>
      <c r="P59" s="88">
        <v>0</v>
      </c>
    </row>
    <row r="60" spans="1:16" ht="19.5" thickBot="1">
      <c r="A60" s="1" t="s">
        <v>1</v>
      </c>
      <c r="B60" s="97" t="s">
        <v>114</v>
      </c>
      <c r="C60" s="78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2">
        <v>0</v>
      </c>
      <c r="M60" s="42">
        <f t="shared" si="2"/>
        <v>0</v>
      </c>
      <c r="N60" s="67">
        <v>0</v>
      </c>
      <c r="O60" s="89">
        <f t="shared" si="3"/>
        <v>0</v>
      </c>
      <c r="P60" s="89">
        <v>0</v>
      </c>
    </row>
    <row r="61" spans="1:16" ht="19.5" thickBot="1">
      <c r="A61" s="1" t="s">
        <v>1</v>
      </c>
      <c r="B61" s="98" t="s">
        <v>115</v>
      </c>
      <c r="C61" s="79">
        <v>77311</v>
      </c>
      <c r="D61" s="45">
        <v>86573</v>
      </c>
      <c r="E61" s="45">
        <v>856</v>
      </c>
      <c r="F61" s="45">
        <v>785</v>
      </c>
      <c r="G61" s="45">
        <v>0</v>
      </c>
      <c r="H61" s="45">
        <v>0</v>
      </c>
      <c r="I61" s="45">
        <v>0</v>
      </c>
      <c r="J61" s="45">
        <v>0</v>
      </c>
      <c r="K61" s="45">
        <v>11841</v>
      </c>
      <c r="L61" s="46">
        <v>0</v>
      </c>
      <c r="M61" s="46">
        <f t="shared" si="2"/>
        <v>177366</v>
      </c>
      <c r="N61" s="68">
        <v>85388</v>
      </c>
      <c r="O61" s="90">
        <f t="shared" si="3"/>
        <v>85388</v>
      </c>
      <c r="P61" s="90">
        <v>1493945</v>
      </c>
    </row>
    <row r="62" spans="1:16" ht="19.5" thickBot="1">
      <c r="A62" s="1" t="s">
        <v>1</v>
      </c>
      <c r="B62" s="98" t="s">
        <v>116</v>
      </c>
      <c r="C62" s="79">
        <v>313551</v>
      </c>
      <c r="D62" s="45">
        <v>307455</v>
      </c>
      <c r="E62" s="45">
        <v>82464</v>
      </c>
      <c r="F62" s="45">
        <v>86215</v>
      </c>
      <c r="G62" s="45">
        <v>75180</v>
      </c>
      <c r="H62" s="45">
        <v>75180</v>
      </c>
      <c r="I62" s="45">
        <v>68250</v>
      </c>
      <c r="J62" s="45">
        <v>34860</v>
      </c>
      <c r="K62" s="45">
        <v>72839</v>
      </c>
      <c r="L62" s="46">
        <v>22680</v>
      </c>
      <c r="M62" s="46">
        <f t="shared" si="2"/>
        <v>1138674</v>
      </c>
      <c r="N62" s="68">
        <v>306312</v>
      </c>
      <c r="O62" s="90">
        <f t="shared" si="3"/>
        <v>306312</v>
      </c>
      <c r="P62" s="90">
        <v>6177713</v>
      </c>
    </row>
    <row r="63" spans="1:16" ht="19.5" thickBot="1">
      <c r="A63" s="1" t="s">
        <v>1</v>
      </c>
      <c r="B63" s="98" t="s">
        <v>117</v>
      </c>
      <c r="C63" s="79">
        <v>292932</v>
      </c>
      <c r="D63" s="45">
        <v>289527</v>
      </c>
      <c r="E63" s="45">
        <v>84578</v>
      </c>
      <c r="F63" s="45">
        <v>87522</v>
      </c>
      <c r="G63" s="45">
        <v>78312</v>
      </c>
      <c r="H63" s="45">
        <v>79094</v>
      </c>
      <c r="I63" s="45">
        <v>72008</v>
      </c>
      <c r="J63" s="45">
        <v>36556</v>
      </c>
      <c r="K63" s="45">
        <v>68545</v>
      </c>
      <c r="L63" s="46">
        <v>24246</v>
      </c>
      <c r="M63" s="46">
        <f t="shared" si="2"/>
        <v>1113320</v>
      </c>
      <c r="N63" s="68">
        <v>287414</v>
      </c>
      <c r="O63" s="90">
        <f t="shared" si="3"/>
        <v>287414</v>
      </c>
      <c r="P63" s="90">
        <v>5909882</v>
      </c>
    </row>
    <row r="64" spans="1:16">
      <c r="A64" s="1" t="s">
        <v>1</v>
      </c>
      <c r="B64" s="94" t="s">
        <v>118</v>
      </c>
      <c r="C64" s="76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5">
        <v>0</v>
      </c>
      <c r="M64" s="35">
        <f t="shared" si="2"/>
        <v>0</v>
      </c>
      <c r="N64" s="65">
        <v>0</v>
      </c>
      <c r="O64" s="87">
        <f t="shared" si="3"/>
        <v>0</v>
      </c>
      <c r="P64" s="87">
        <v>0</v>
      </c>
    </row>
    <row r="65" spans="1:16">
      <c r="A65" s="1" t="s">
        <v>1</v>
      </c>
      <c r="B65" s="95" t="s">
        <v>119</v>
      </c>
      <c r="C65" s="77">
        <v>292932</v>
      </c>
      <c r="D65" s="19">
        <v>289527</v>
      </c>
      <c r="E65" s="19">
        <v>84578</v>
      </c>
      <c r="F65" s="19">
        <v>87522</v>
      </c>
      <c r="G65" s="19">
        <v>78312</v>
      </c>
      <c r="H65" s="19">
        <v>79094</v>
      </c>
      <c r="I65" s="19">
        <v>72008</v>
      </c>
      <c r="J65" s="19">
        <v>36556</v>
      </c>
      <c r="K65" s="19">
        <v>68545</v>
      </c>
      <c r="L65" s="20">
        <v>24246</v>
      </c>
      <c r="M65" s="20">
        <f t="shared" si="2"/>
        <v>1113320</v>
      </c>
      <c r="N65" s="66">
        <v>287414</v>
      </c>
      <c r="O65" s="88">
        <f t="shared" si="3"/>
        <v>287414</v>
      </c>
      <c r="P65" s="88">
        <v>5909882</v>
      </c>
    </row>
    <row r="66" spans="1:16">
      <c r="A66" s="1" t="s">
        <v>1</v>
      </c>
      <c r="B66" s="95" t="s">
        <v>120</v>
      </c>
      <c r="C66" s="77">
        <v>0</v>
      </c>
      <c r="D66" s="19">
        <v>1</v>
      </c>
      <c r="E66" s="19">
        <v>0</v>
      </c>
      <c r="F66" s="19">
        <v>0</v>
      </c>
      <c r="G66" s="19">
        <v>1</v>
      </c>
      <c r="H66" s="19">
        <v>1</v>
      </c>
      <c r="I66" s="19">
        <v>1</v>
      </c>
      <c r="J66" s="19">
        <v>1</v>
      </c>
      <c r="K66" s="19">
        <v>1</v>
      </c>
      <c r="L66" s="20">
        <v>0</v>
      </c>
      <c r="M66" s="20"/>
      <c r="N66" s="66">
        <v>0</v>
      </c>
      <c r="O66" s="88"/>
      <c r="P66" s="7"/>
    </row>
    <row r="67" spans="1:16" ht="19.5" thickBot="1">
      <c r="A67" s="1" t="s">
        <v>1</v>
      </c>
      <c r="B67" s="96" t="s">
        <v>121</v>
      </c>
      <c r="C67" s="80" t="s">
        <v>122</v>
      </c>
      <c r="D67" s="22" t="s">
        <v>122</v>
      </c>
      <c r="E67" s="22" t="s">
        <v>122</v>
      </c>
      <c r="F67" s="22" t="s">
        <v>122</v>
      </c>
      <c r="G67" s="22" t="s">
        <v>122</v>
      </c>
      <c r="H67" s="22" t="s">
        <v>122</v>
      </c>
      <c r="I67" s="22" t="s">
        <v>122</v>
      </c>
      <c r="J67" s="22" t="s">
        <v>122</v>
      </c>
      <c r="K67" s="22" t="s">
        <v>122</v>
      </c>
      <c r="L67" s="23" t="s">
        <v>122</v>
      </c>
      <c r="M67" s="23"/>
      <c r="N67" s="69" t="s">
        <v>122</v>
      </c>
      <c r="O67" s="91"/>
      <c r="P67" s="8"/>
    </row>
  </sheetData>
  <phoneticPr fontId="3"/>
  <pageMargins left="0.31496062992125984" right="0.31496062992125984" top="0.15748031496062992" bottom="0.15748031496062992" header="0.11811023622047245" footer="0.11811023622047245"/>
  <pageSetup paperSize="12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C86B-4AC0-4584-94C0-35C14B646B54}">
  <sheetPr>
    <pageSetUpPr fitToPage="1"/>
  </sheetPr>
  <dimension ref="A1:U67"/>
  <sheetViews>
    <sheetView showZeros="0" workbookViewId="0">
      <selection activeCell="E12" sqref="E12"/>
    </sheetView>
  </sheetViews>
  <sheetFormatPr defaultRowHeight="18.75"/>
  <cols>
    <col min="1" max="1" width="2.375" style="2" customWidth="1"/>
    <col min="2" max="2" width="13.25" style="2" bestFit="1" customWidth="1"/>
    <col min="3" max="21" width="9.75" style="2" customWidth="1"/>
    <col min="22" max="244" width="9" style="2"/>
    <col min="245" max="245" width="2.375" style="2" customWidth="1"/>
    <col min="246" max="246" width="13.25" style="2" bestFit="1" customWidth="1"/>
    <col min="247" max="248" width="11.125" style="2" bestFit="1" customWidth="1"/>
    <col min="249" max="249" width="13.25" style="2" bestFit="1" customWidth="1"/>
    <col min="250" max="250" width="11.125" style="2" bestFit="1" customWidth="1"/>
    <col min="251" max="251" width="9" style="2"/>
    <col min="252" max="252" width="11.125" style="2" bestFit="1" customWidth="1"/>
    <col min="253" max="253" width="9" style="2"/>
    <col min="254" max="264" width="11.125" style="2" bestFit="1" customWidth="1"/>
    <col min="265" max="267" width="9" style="2"/>
    <col min="268" max="275" width="11.125" style="2" bestFit="1" customWidth="1"/>
    <col min="276" max="276" width="9.625" style="2" bestFit="1" customWidth="1"/>
    <col min="277" max="500" width="9" style="2"/>
    <col min="501" max="501" width="2.375" style="2" customWidth="1"/>
    <col min="502" max="502" width="13.25" style="2" bestFit="1" customWidth="1"/>
    <col min="503" max="504" width="11.125" style="2" bestFit="1" customWidth="1"/>
    <col min="505" max="505" width="13.25" style="2" bestFit="1" customWidth="1"/>
    <col min="506" max="506" width="11.125" style="2" bestFit="1" customWidth="1"/>
    <col min="507" max="507" width="9" style="2"/>
    <col min="508" max="508" width="11.125" style="2" bestFit="1" customWidth="1"/>
    <col min="509" max="509" width="9" style="2"/>
    <col min="510" max="520" width="11.125" style="2" bestFit="1" customWidth="1"/>
    <col min="521" max="523" width="9" style="2"/>
    <col min="524" max="531" width="11.125" style="2" bestFit="1" customWidth="1"/>
    <col min="532" max="532" width="9.625" style="2" bestFit="1" customWidth="1"/>
    <col min="533" max="756" width="9" style="2"/>
    <col min="757" max="757" width="2.375" style="2" customWidth="1"/>
    <col min="758" max="758" width="13.25" style="2" bestFit="1" customWidth="1"/>
    <col min="759" max="760" width="11.125" style="2" bestFit="1" customWidth="1"/>
    <col min="761" max="761" width="13.25" style="2" bestFit="1" customWidth="1"/>
    <col min="762" max="762" width="11.125" style="2" bestFit="1" customWidth="1"/>
    <col min="763" max="763" width="9" style="2"/>
    <col min="764" max="764" width="11.125" style="2" bestFit="1" customWidth="1"/>
    <col min="765" max="765" width="9" style="2"/>
    <col min="766" max="776" width="11.125" style="2" bestFit="1" customWidth="1"/>
    <col min="777" max="779" width="9" style="2"/>
    <col min="780" max="787" width="11.125" style="2" bestFit="1" customWidth="1"/>
    <col min="788" max="788" width="9.625" style="2" bestFit="1" customWidth="1"/>
    <col min="789" max="1012" width="9" style="2"/>
    <col min="1013" max="1013" width="2.375" style="2" customWidth="1"/>
    <col min="1014" max="1014" width="13.25" style="2" bestFit="1" customWidth="1"/>
    <col min="1015" max="1016" width="11.125" style="2" bestFit="1" customWidth="1"/>
    <col min="1017" max="1017" width="13.25" style="2" bestFit="1" customWidth="1"/>
    <col min="1018" max="1018" width="11.125" style="2" bestFit="1" customWidth="1"/>
    <col min="1019" max="1019" width="9" style="2"/>
    <col min="1020" max="1020" width="11.125" style="2" bestFit="1" customWidth="1"/>
    <col min="1021" max="1021" width="9" style="2"/>
    <col min="1022" max="1032" width="11.125" style="2" bestFit="1" customWidth="1"/>
    <col min="1033" max="1035" width="9" style="2"/>
    <col min="1036" max="1043" width="11.125" style="2" bestFit="1" customWidth="1"/>
    <col min="1044" max="1044" width="9.625" style="2" bestFit="1" customWidth="1"/>
    <col min="1045" max="1268" width="9" style="2"/>
    <col min="1269" max="1269" width="2.375" style="2" customWidth="1"/>
    <col min="1270" max="1270" width="13.25" style="2" bestFit="1" customWidth="1"/>
    <col min="1271" max="1272" width="11.125" style="2" bestFit="1" customWidth="1"/>
    <col min="1273" max="1273" width="13.25" style="2" bestFit="1" customWidth="1"/>
    <col min="1274" max="1274" width="11.125" style="2" bestFit="1" customWidth="1"/>
    <col min="1275" max="1275" width="9" style="2"/>
    <col min="1276" max="1276" width="11.125" style="2" bestFit="1" customWidth="1"/>
    <col min="1277" max="1277" width="9" style="2"/>
    <col min="1278" max="1288" width="11.125" style="2" bestFit="1" customWidth="1"/>
    <col min="1289" max="1291" width="9" style="2"/>
    <col min="1292" max="1299" width="11.125" style="2" bestFit="1" customWidth="1"/>
    <col min="1300" max="1300" width="9.625" style="2" bestFit="1" customWidth="1"/>
    <col min="1301" max="1524" width="9" style="2"/>
    <col min="1525" max="1525" width="2.375" style="2" customWidth="1"/>
    <col min="1526" max="1526" width="13.25" style="2" bestFit="1" customWidth="1"/>
    <col min="1527" max="1528" width="11.125" style="2" bestFit="1" customWidth="1"/>
    <col min="1529" max="1529" width="13.25" style="2" bestFit="1" customWidth="1"/>
    <col min="1530" max="1530" width="11.125" style="2" bestFit="1" customWidth="1"/>
    <col min="1531" max="1531" width="9" style="2"/>
    <col min="1532" max="1532" width="11.125" style="2" bestFit="1" customWidth="1"/>
    <col min="1533" max="1533" width="9" style="2"/>
    <col min="1534" max="1544" width="11.125" style="2" bestFit="1" customWidth="1"/>
    <col min="1545" max="1547" width="9" style="2"/>
    <col min="1548" max="1555" width="11.125" style="2" bestFit="1" customWidth="1"/>
    <col min="1556" max="1556" width="9.625" style="2" bestFit="1" customWidth="1"/>
    <col min="1557" max="1780" width="9" style="2"/>
    <col min="1781" max="1781" width="2.375" style="2" customWidth="1"/>
    <col min="1782" max="1782" width="13.25" style="2" bestFit="1" customWidth="1"/>
    <col min="1783" max="1784" width="11.125" style="2" bestFit="1" customWidth="1"/>
    <col min="1785" max="1785" width="13.25" style="2" bestFit="1" customWidth="1"/>
    <col min="1786" max="1786" width="11.125" style="2" bestFit="1" customWidth="1"/>
    <col min="1787" max="1787" width="9" style="2"/>
    <col min="1788" max="1788" width="11.125" style="2" bestFit="1" customWidth="1"/>
    <col min="1789" max="1789" width="9" style="2"/>
    <col min="1790" max="1800" width="11.125" style="2" bestFit="1" customWidth="1"/>
    <col min="1801" max="1803" width="9" style="2"/>
    <col min="1804" max="1811" width="11.125" style="2" bestFit="1" customWidth="1"/>
    <col min="1812" max="1812" width="9.625" style="2" bestFit="1" customWidth="1"/>
    <col min="1813" max="2036" width="9" style="2"/>
    <col min="2037" max="2037" width="2.375" style="2" customWidth="1"/>
    <col min="2038" max="2038" width="13.25" style="2" bestFit="1" customWidth="1"/>
    <col min="2039" max="2040" width="11.125" style="2" bestFit="1" customWidth="1"/>
    <col min="2041" max="2041" width="13.25" style="2" bestFit="1" customWidth="1"/>
    <col min="2042" max="2042" width="11.125" style="2" bestFit="1" customWidth="1"/>
    <col min="2043" max="2043" width="9" style="2"/>
    <col min="2044" max="2044" width="11.125" style="2" bestFit="1" customWidth="1"/>
    <col min="2045" max="2045" width="9" style="2"/>
    <col min="2046" max="2056" width="11.125" style="2" bestFit="1" customWidth="1"/>
    <col min="2057" max="2059" width="9" style="2"/>
    <col min="2060" max="2067" width="11.125" style="2" bestFit="1" customWidth="1"/>
    <col min="2068" max="2068" width="9.625" style="2" bestFit="1" customWidth="1"/>
    <col min="2069" max="2292" width="9" style="2"/>
    <col min="2293" max="2293" width="2.375" style="2" customWidth="1"/>
    <col min="2294" max="2294" width="13.25" style="2" bestFit="1" customWidth="1"/>
    <col min="2295" max="2296" width="11.125" style="2" bestFit="1" customWidth="1"/>
    <col min="2297" max="2297" width="13.25" style="2" bestFit="1" customWidth="1"/>
    <col min="2298" max="2298" width="11.125" style="2" bestFit="1" customWidth="1"/>
    <col min="2299" max="2299" width="9" style="2"/>
    <col min="2300" max="2300" width="11.125" style="2" bestFit="1" customWidth="1"/>
    <col min="2301" max="2301" width="9" style="2"/>
    <col min="2302" max="2312" width="11.125" style="2" bestFit="1" customWidth="1"/>
    <col min="2313" max="2315" width="9" style="2"/>
    <col min="2316" max="2323" width="11.125" style="2" bestFit="1" customWidth="1"/>
    <col min="2324" max="2324" width="9.625" style="2" bestFit="1" customWidth="1"/>
    <col min="2325" max="2548" width="9" style="2"/>
    <col min="2549" max="2549" width="2.375" style="2" customWidth="1"/>
    <col min="2550" max="2550" width="13.25" style="2" bestFit="1" customWidth="1"/>
    <col min="2551" max="2552" width="11.125" style="2" bestFit="1" customWidth="1"/>
    <col min="2553" max="2553" width="13.25" style="2" bestFit="1" customWidth="1"/>
    <col min="2554" max="2554" width="11.125" style="2" bestFit="1" customWidth="1"/>
    <col min="2555" max="2555" width="9" style="2"/>
    <col min="2556" max="2556" width="11.125" style="2" bestFit="1" customWidth="1"/>
    <col min="2557" max="2557" width="9" style="2"/>
    <col min="2558" max="2568" width="11.125" style="2" bestFit="1" customWidth="1"/>
    <col min="2569" max="2571" width="9" style="2"/>
    <col min="2572" max="2579" width="11.125" style="2" bestFit="1" customWidth="1"/>
    <col min="2580" max="2580" width="9.625" style="2" bestFit="1" customWidth="1"/>
    <col min="2581" max="2804" width="9" style="2"/>
    <col min="2805" max="2805" width="2.375" style="2" customWidth="1"/>
    <col min="2806" max="2806" width="13.25" style="2" bestFit="1" customWidth="1"/>
    <col min="2807" max="2808" width="11.125" style="2" bestFit="1" customWidth="1"/>
    <col min="2809" max="2809" width="13.25" style="2" bestFit="1" customWidth="1"/>
    <col min="2810" max="2810" width="11.125" style="2" bestFit="1" customWidth="1"/>
    <col min="2811" max="2811" width="9" style="2"/>
    <col min="2812" max="2812" width="11.125" style="2" bestFit="1" customWidth="1"/>
    <col min="2813" max="2813" width="9" style="2"/>
    <col min="2814" max="2824" width="11.125" style="2" bestFit="1" customWidth="1"/>
    <col min="2825" max="2827" width="9" style="2"/>
    <col min="2828" max="2835" width="11.125" style="2" bestFit="1" customWidth="1"/>
    <col min="2836" max="2836" width="9.625" style="2" bestFit="1" customWidth="1"/>
    <col min="2837" max="3060" width="9" style="2"/>
    <col min="3061" max="3061" width="2.375" style="2" customWidth="1"/>
    <col min="3062" max="3062" width="13.25" style="2" bestFit="1" customWidth="1"/>
    <col min="3063" max="3064" width="11.125" style="2" bestFit="1" customWidth="1"/>
    <col min="3065" max="3065" width="13.25" style="2" bestFit="1" customWidth="1"/>
    <col min="3066" max="3066" width="11.125" style="2" bestFit="1" customWidth="1"/>
    <col min="3067" max="3067" width="9" style="2"/>
    <col min="3068" max="3068" width="11.125" style="2" bestFit="1" customWidth="1"/>
    <col min="3069" max="3069" width="9" style="2"/>
    <col min="3070" max="3080" width="11.125" style="2" bestFit="1" customWidth="1"/>
    <col min="3081" max="3083" width="9" style="2"/>
    <col min="3084" max="3091" width="11.125" style="2" bestFit="1" customWidth="1"/>
    <col min="3092" max="3092" width="9.625" style="2" bestFit="1" customWidth="1"/>
    <col min="3093" max="3316" width="9" style="2"/>
    <col min="3317" max="3317" width="2.375" style="2" customWidth="1"/>
    <col min="3318" max="3318" width="13.25" style="2" bestFit="1" customWidth="1"/>
    <col min="3319" max="3320" width="11.125" style="2" bestFit="1" customWidth="1"/>
    <col min="3321" max="3321" width="13.25" style="2" bestFit="1" customWidth="1"/>
    <col min="3322" max="3322" width="11.125" style="2" bestFit="1" customWidth="1"/>
    <col min="3323" max="3323" width="9" style="2"/>
    <col min="3324" max="3324" width="11.125" style="2" bestFit="1" customWidth="1"/>
    <col min="3325" max="3325" width="9" style="2"/>
    <col min="3326" max="3336" width="11.125" style="2" bestFit="1" customWidth="1"/>
    <col min="3337" max="3339" width="9" style="2"/>
    <col min="3340" max="3347" width="11.125" style="2" bestFit="1" customWidth="1"/>
    <col min="3348" max="3348" width="9.625" style="2" bestFit="1" customWidth="1"/>
    <col min="3349" max="3572" width="9" style="2"/>
    <col min="3573" max="3573" width="2.375" style="2" customWidth="1"/>
    <col min="3574" max="3574" width="13.25" style="2" bestFit="1" customWidth="1"/>
    <col min="3575" max="3576" width="11.125" style="2" bestFit="1" customWidth="1"/>
    <col min="3577" max="3577" width="13.25" style="2" bestFit="1" customWidth="1"/>
    <col min="3578" max="3578" width="11.125" style="2" bestFit="1" customWidth="1"/>
    <col min="3579" max="3579" width="9" style="2"/>
    <col min="3580" max="3580" width="11.125" style="2" bestFit="1" customWidth="1"/>
    <col min="3581" max="3581" width="9" style="2"/>
    <col min="3582" max="3592" width="11.125" style="2" bestFit="1" customWidth="1"/>
    <col min="3593" max="3595" width="9" style="2"/>
    <col min="3596" max="3603" width="11.125" style="2" bestFit="1" customWidth="1"/>
    <col min="3604" max="3604" width="9.625" style="2" bestFit="1" customWidth="1"/>
    <col min="3605" max="3828" width="9" style="2"/>
    <col min="3829" max="3829" width="2.375" style="2" customWidth="1"/>
    <col min="3830" max="3830" width="13.25" style="2" bestFit="1" customWidth="1"/>
    <col min="3831" max="3832" width="11.125" style="2" bestFit="1" customWidth="1"/>
    <col min="3833" max="3833" width="13.25" style="2" bestFit="1" customWidth="1"/>
    <col min="3834" max="3834" width="11.125" style="2" bestFit="1" customWidth="1"/>
    <col min="3835" max="3835" width="9" style="2"/>
    <col min="3836" max="3836" width="11.125" style="2" bestFit="1" customWidth="1"/>
    <col min="3837" max="3837" width="9" style="2"/>
    <col min="3838" max="3848" width="11.125" style="2" bestFit="1" customWidth="1"/>
    <col min="3849" max="3851" width="9" style="2"/>
    <col min="3852" max="3859" width="11.125" style="2" bestFit="1" customWidth="1"/>
    <col min="3860" max="3860" width="9.625" style="2" bestFit="1" customWidth="1"/>
    <col min="3861" max="4084" width="9" style="2"/>
    <col min="4085" max="4085" width="2.375" style="2" customWidth="1"/>
    <col min="4086" max="4086" width="13.25" style="2" bestFit="1" customWidth="1"/>
    <col min="4087" max="4088" width="11.125" style="2" bestFit="1" customWidth="1"/>
    <col min="4089" max="4089" width="13.25" style="2" bestFit="1" customWidth="1"/>
    <col min="4090" max="4090" width="11.125" style="2" bestFit="1" customWidth="1"/>
    <col min="4091" max="4091" width="9" style="2"/>
    <col min="4092" max="4092" width="11.125" style="2" bestFit="1" customWidth="1"/>
    <col min="4093" max="4093" width="9" style="2"/>
    <col min="4094" max="4104" width="11.125" style="2" bestFit="1" customWidth="1"/>
    <col min="4105" max="4107" width="9" style="2"/>
    <col min="4108" max="4115" width="11.125" style="2" bestFit="1" customWidth="1"/>
    <col min="4116" max="4116" width="9.625" style="2" bestFit="1" customWidth="1"/>
    <col min="4117" max="4340" width="9" style="2"/>
    <col min="4341" max="4341" width="2.375" style="2" customWidth="1"/>
    <col min="4342" max="4342" width="13.25" style="2" bestFit="1" customWidth="1"/>
    <col min="4343" max="4344" width="11.125" style="2" bestFit="1" customWidth="1"/>
    <col min="4345" max="4345" width="13.25" style="2" bestFit="1" customWidth="1"/>
    <col min="4346" max="4346" width="11.125" style="2" bestFit="1" customWidth="1"/>
    <col min="4347" max="4347" width="9" style="2"/>
    <col min="4348" max="4348" width="11.125" style="2" bestFit="1" customWidth="1"/>
    <col min="4349" max="4349" width="9" style="2"/>
    <col min="4350" max="4360" width="11.125" style="2" bestFit="1" customWidth="1"/>
    <col min="4361" max="4363" width="9" style="2"/>
    <col min="4364" max="4371" width="11.125" style="2" bestFit="1" customWidth="1"/>
    <col min="4372" max="4372" width="9.625" style="2" bestFit="1" customWidth="1"/>
    <col min="4373" max="4596" width="9" style="2"/>
    <col min="4597" max="4597" width="2.375" style="2" customWidth="1"/>
    <col min="4598" max="4598" width="13.25" style="2" bestFit="1" customWidth="1"/>
    <col min="4599" max="4600" width="11.125" style="2" bestFit="1" customWidth="1"/>
    <col min="4601" max="4601" width="13.25" style="2" bestFit="1" customWidth="1"/>
    <col min="4602" max="4602" width="11.125" style="2" bestFit="1" customWidth="1"/>
    <col min="4603" max="4603" width="9" style="2"/>
    <col min="4604" max="4604" width="11.125" style="2" bestFit="1" customWidth="1"/>
    <col min="4605" max="4605" width="9" style="2"/>
    <col min="4606" max="4616" width="11.125" style="2" bestFit="1" customWidth="1"/>
    <col min="4617" max="4619" width="9" style="2"/>
    <col min="4620" max="4627" width="11.125" style="2" bestFit="1" customWidth="1"/>
    <col min="4628" max="4628" width="9.625" style="2" bestFit="1" customWidth="1"/>
    <col min="4629" max="4852" width="9" style="2"/>
    <col min="4853" max="4853" width="2.375" style="2" customWidth="1"/>
    <col min="4854" max="4854" width="13.25" style="2" bestFit="1" customWidth="1"/>
    <col min="4855" max="4856" width="11.125" style="2" bestFit="1" customWidth="1"/>
    <col min="4857" max="4857" width="13.25" style="2" bestFit="1" customWidth="1"/>
    <col min="4858" max="4858" width="11.125" style="2" bestFit="1" customWidth="1"/>
    <col min="4859" max="4859" width="9" style="2"/>
    <col min="4860" max="4860" width="11.125" style="2" bestFit="1" customWidth="1"/>
    <col min="4861" max="4861" width="9" style="2"/>
    <col min="4862" max="4872" width="11.125" style="2" bestFit="1" customWidth="1"/>
    <col min="4873" max="4875" width="9" style="2"/>
    <col min="4876" max="4883" width="11.125" style="2" bestFit="1" customWidth="1"/>
    <col min="4884" max="4884" width="9.625" style="2" bestFit="1" customWidth="1"/>
    <col min="4885" max="5108" width="9" style="2"/>
    <col min="5109" max="5109" width="2.375" style="2" customWidth="1"/>
    <col min="5110" max="5110" width="13.25" style="2" bestFit="1" customWidth="1"/>
    <col min="5111" max="5112" width="11.125" style="2" bestFit="1" customWidth="1"/>
    <col min="5113" max="5113" width="13.25" style="2" bestFit="1" customWidth="1"/>
    <col min="5114" max="5114" width="11.125" style="2" bestFit="1" customWidth="1"/>
    <col min="5115" max="5115" width="9" style="2"/>
    <col min="5116" max="5116" width="11.125" style="2" bestFit="1" customWidth="1"/>
    <col min="5117" max="5117" width="9" style="2"/>
    <col min="5118" max="5128" width="11.125" style="2" bestFit="1" customWidth="1"/>
    <col min="5129" max="5131" width="9" style="2"/>
    <col min="5132" max="5139" width="11.125" style="2" bestFit="1" customWidth="1"/>
    <col min="5140" max="5140" width="9.625" style="2" bestFit="1" customWidth="1"/>
    <col min="5141" max="5364" width="9" style="2"/>
    <col min="5365" max="5365" width="2.375" style="2" customWidth="1"/>
    <col min="5366" max="5366" width="13.25" style="2" bestFit="1" customWidth="1"/>
    <col min="5367" max="5368" width="11.125" style="2" bestFit="1" customWidth="1"/>
    <col min="5369" max="5369" width="13.25" style="2" bestFit="1" customWidth="1"/>
    <col min="5370" max="5370" width="11.125" style="2" bestFit="1" customWidth="1"/>
    <col min="5371" max="5371" width="9" style="2"/>
    <col min="5372" max="5372" width="11.125" style="2" bestFit="1" customWidth="1"/>
    <col min="5373" max="5373" width="9" style="2"/>
    <col min="5374" max="5384" width="11.125" style="2" bestFit="1" customWidth="1"/>
    <col min="5385" max="5387" width="9" style="2"/>
    <col min="5388" max="5395" width="11.125" style="2" bestFit="1" customWidth="1"/>
    <col min="5396" max="5396" width="9.625" style="2" bestFit="1" customWidth="1"/>
    <col min="5397" max="5620" width="9" style="2"/>
    <col min="5621" max="5621" width="2.375" style="2" customWidth="1"/>
    <col min="5622" max="5622" width="13.25" style="2" bestFit="1" customWidth="1"/>
    <col min="5623" max="5624" width="11.125" style="2" bestFit="1" customWidth="1"/>
    <col min="5625" max="5625" width="13.25" style="2" bestFit="1" customWidth="1"/>
    <col min="5626" max="5626" width="11.125" style="2" bestFit="1" customWidth="1"/>
    <col min="5627" max="5627" width="9" style="2"/>
    <col min="5628" max="5628" width="11.125" style="2" bestFit="1" customWidth="1"/>
    <col min="5629" max="5629" width="9" style="2"/>
    <col min="5630" max="5640" width="11.125" style="2" bestFit="1" customWidth="1"/>
    <col min="5641" max="5643" width="9" style="2"/>
    <col min="5644" max="5651" width="11.125" style="2" bestFit="1" customWidth="1"/>
    <col min="5652" max="5652" width="9.625" style="2" bestFit="1" customWidth="1"/>
    <col min="5653" max="5876" width="9" style="2"/>
    <col min="5877" max="5877" width="2.375" style="2" customWidth="1"/>
    <col min="5878" max="5878" width="13.25" style="2" bestFit="1" customWidth="1"/>
    <col min="5879" max="5880" width="11.125" style="2" bestFit="1" customWidth="1"/>
    <col min="5881" max="5881" width="13.25" style="2" bestFit="1" customWidth="1"/>
    <col min="5882" max="5882" width="11.125" style="2" bestFit="1" customWidth="1"/>
    <col min="5883" max="5883" width="9" style="2"/>
    <col min="5884" max="5884" width="11.125" style="2" bestFit="1" customWidth="1"/>
    <col min="5885" max="5885" width="9" style="2"/>
    <col min="5886" max="5896" width="11.125" style="2" bestFit="1" customWidth="1"/>
    <col min="5897" max="5899" width="9" style="2"/>
    <col min="5900" max="5907" width="11.125" style="2" bestFit="1" customWidth="1"/>
    <col min="5908" max="5908" width="9.625" style="2" bestFit="1" customWidth="1"/>
    <col min="5909" max="6132" width="9" style="2"/>
    <col min="6133" max="6133" width="2.375" style="2" customWidth="1"/>
    <col min="6134" max="6134" width="13.25" style="2" bestFit="1" customWidth="1"/>
    <col min="6135" max="6136" width="11.125" style="2" bestFit="1" customWidth="1"/>
    <col min="6137" max="6137" width="13.25" style="2" bestFit="1" customWidth="1"/>
    <col min="6138" max="6138" width="11.125" style="2" bestFit="1" customWidth="1"/>
    <col min="6139" max="6139" width="9" style="2"/>
    <col min="6140" max="6140" width="11.125" style="2" bestFit="1" customWidth="1"/>
    <col min="6141" max="6141" width="9" style="2"/>
    <col min="6142" max="6152" width="11.125" style="2" bestFit="1" customWidth="1"/>
    <col min="6153" max="6155" width="9" style="2"/>
    <col min="6156" max="6163" width="11.125" style="2" bestFit="1" customWidth="1"/>
    <col min="6164" max="6164" width="9.625" style="2" bestFit="1" customWidth="1"/>
    <col min="6165" max="6388" width="9" style="2"/>
    <col min="6389" max="6389" width="2.375" style="2" customWidth="1"/>
    <col min="6390" max="6390" width="13.25" style="2" bestFit="1" customWidth="1"/>
    <col min="6391" max="6392" width="11.125" style="2" bestFit="1" customWidth="1"/>
    <col min="6393" max="6393" width="13.25" style="2" bestFit="1" customWidth="1"/>
    <col min="6394" max="6394" width="11.125" style="2" bestFit="1" customWidth="1"/>
    <col min="6395" max="6395" width="9" style="2"/>
    <col min="6396" max="6396" width="11.125" style="2" bestFit="1" customWidth="1"/>
    <col min="6397" max="6397" width="9" style="2"/>
    <col min="6398" max="6408" width="11.125" style="2" bestFit="1" customWidth="1"/>
    <col min="6409" max="6411" width="9" style="2"/>
    <col min="6412" max="6419" width="11.125" style="2" bestFit="1" customWidth="1"/>
    <col min="6420" max="6420" width="9.625" style="2" bestFit="1" customWidth="1"/>
    <col min="6421" max="6644" width="9" style="2"/>
    <col min="6645" max="6645" width="2.375" style="2" customWidth="1"/>
    <col min="6646" max="6646" width="13.25" style="2" bestFit="1" customWidth="1"/>
    <col min="6647" max="6648" width="11.125" style="2" bestFit="1" customWidth="1"/>
    <col min="6649" max="6649" width="13.25" style="2" bestFit="1" customWidth="1"/>
    <col min="6650" max="6650" width="11.125" style="2" bestFit="1" customWidth="1"/>
    <col min="6651" max="6651" width="9" style="2"/>
    <col min="6652" max="6652" width="11.125" style="2" bestFit="1" customWidth="1"/>
    <col min="6653" max="6653" width="9" style="2"/>
    <col min="6654" max="6664" width="11.125" style="2" bestFit="1" customWidth="1"/>
    <col min="6665" max="6667" width="9" style="2"/>
    <col min="6668" max="6675" width="11.125" style="2" bestFit="1" customWidth="1"/>
    <col min="6676" max="6676" width="9.625" style="2" bestFit="1" customWidth="1"/>
    <col min="6677" max="6900" width="9" style="2"/>
    <col min="6901" max="6901" width="2.375" style="2" customWidth="1"/>
    <col min="6902" max="6902" width="13.25" style="2" bestFit="1" customWidth="1"/>
    <col min="6903" max="6904" width="11.125" style="2" bestFit="1" customWidth="1"/>
    <col min="6905" max="6905" width="13.25" style="2" bestFit="1" customWidth="1"/>
    <col min="6906" max="6906" width="11.125" style="2" bestFit="1" customWidth="1"/>
    <col min="6907" max="6907" width="9" style="2"/>
    <col min="6908" max="6908" width="11.125" style="2" bestFit="1" customWidth="1"/>
    <col min="6909" max="6909" width="9" style="2"/>
    <col min="6910" max="6920" width="11.125" style="2" bestFit="1" customWidth="1"/>
    <col min="6921" max="6923" width="9" style="2"/>
    <col min="6924" max="6931" width="11.125" style="2" bestFit="1" customWidth="1"/>
    <col min="6932" max="6932" width="9.625" style="2" bestFit="1" customWidth="1"/>
    <col min="6933" max="7156" width="9" style="2"/>
    <col min="7157" max="7157" width="2.375" style="2" customWidth="1"/>
    <col min="7158" max="7158" width="13.25" style="2" bestFit="1" customWidth="1"/>
    <col min="7159" max="7160" width="11.125" style="2" bestFit="1" customWidth="1"/>
    <col min="7161" max="7161" width="13.25" style="2" bestFit="1" customWidth="1"/>
    <col min="7162" max="7162" width="11.125" style="2" bestFit="1" customWidth="1"/>
    <col min="7163" max="7163" width="9" style="2"/>
    <col min="7164" max="7164" width="11.125" style="2" bestFit="1" customWidth="1"/>
    <col min="7165" max="7165" width="9" style="2"/>
    <col min="7166" max="7176" width="11.125" style="2" bestFit="1" customWidth="1"/>
    <col min="7177" max="7179" width="9" style="2"/>
    <col min="7180" max="7187" width="11.125" style="2" bestFit="1" customWidth="1"/>
    <col min="7188" max="7188" width="9.625" style="2" bestFit="1" customWidth="1"/>
    <col min="7189" max="7412" width="9" style="2"/>
    <col min="7413" max="7413" width="2.375" style="2" customWidth="1"/>
    <col min="7414" max="7414" width="13.25" style="2" bestFit="1" customWidth="1"/>
    <col min="7415" max="7416" width="11.125" style="2" bestFit="1" customWidth="1"/>
    <col min="7417" max="7417" width="13.25" style="2" bestFit="1" customWidth="1"/>
    <col min="7418" max="7418" width="11.125" style="2" bestFit="1" customWidth="1"/>
    <col min="7419" max="7419" width="9" style="2"/>
    <col min="7420" max="7420" width="11.125" style="2" bestFit="1" customWidth="1"/>
    <col min="7421" max="7421" width="9" style="2"/>
    <col min="7422" max="7432" width="11.125" style="2" bestFit="1" customWidth="1"/>
    <col min="7433" max="7435" width="9" style="2"/>
    <col min="7436" max="7443" width="11.125" style="2" bestFit="1" customWidth="1"/>
    <col min="7444" max="7444" width="9.625" style="2" bestFit="1" customWidth="1"/>
    <col min="7445" max="7668" width="9" style="2"/>
    <col min="7669" max="7669" width="2.375" style="2" customWidth="1"/>
    <col min="7670" max="7670" width="13.25" style="2" bestFit="1" customWidth="1"/>
    <col min="7671" max="7672" width="11.125" style="2" bestFit="1" customWidth="1"/>
    <col min="7673" max="7673" width="13.25" style="2" bestFit="1" customWidth="1"/>
    <col min="7674" max="7674" width="11.125" style="2" bestFit="1" customWidth="1"/>
    <col min="7675" max="7675" width="9" style="2"/>
    <col min="7676" max="7676" width="11.125" style="2" bestFit="1" customWidth="1"/>
    <col min="7677" max="7677" width="9" style="2"/>
    <col min="7678" max="7688" width="11.125" style="2" bestFit="1" customWidth="1"/>
    <col min="7689" max="7691" width="9" style="2"/>
    <col min="7692" max="7699" width="11.125" style="2" bestFit="1" customWidth="1"/>
    <col min="7700" max="7700" width="9.625" style="2" bestFit="1" customWidth="1"/>
    <col min="7701" max="7924" width="9" style="2"/>
    <col min="7925" max="7925" width="2.375" style="2" customWidth="1"/>
    <col min="7926" max="7926" width="13.25" style="2" bestFit="1" customWidth="1"/>
    <col min="7927" max="7928" width="11.125" style="2" bestFit="1" customWidth="1"/>
    <col min="7929" max="7929" width="13.25" style="2" bestFit="1" customWidth="1"/>
    <col min="7930" max="7930" width="11.125" style="2" bestFit="1" customWidth="1"/>
    <col min="7931" max="7931" width="9" style="2"/>
    <col min="7932" max="7932" width="11.125" style="2" bestFit="1" customWidth="1"/>
    <col min="7933" max="7933" width="9" style="2"/>
    <col min="7934" max="7944" width="11.125" style="2" bestFit="1" customWidth="1"/>
    <col min="7945" max="7947" width="9" style="2"/>
    <col min="7948" max="7955" width="11.125" style="2" bestFit="1" customWidth="1"/>
    <col min="7956" max="7956" width="9.625" style="2" bestFit="1" customWidth="1"/>
    <col min="7957" max="8180" width="9" style="2"/>
    <col min="8181" max="8181" width="2.375" style="2" customWidth="1"/>
    <col min="8182" max="8182" width="13.25" style="2" bestFit="1" customWidth="1"/>
    <col min="8183" max="8184" width="11.125" style="2" bestFit="1" customWidth="1"/>
    <col min="8185" max="8185" width="13.25" style="2" bestFit="1" customWidth="1"/>
    <col min="8186" max="8186" width="11.125" style="2" bestFit="1" customWidth="1"/>
    <col min="8187" max="8187" width="9" style="2"/>
    <col min="8188" max="8188" width="11.125" style="2" bestFit="1" customWidth="1"/>
    <col min="8189" max="8189" width="9" style="2"/>
    <col min="8190" max="8200" width="11.125" style="2" bestFit="1" customWidth="1"/>
    <col min="8201" max="8203" width="9" style="2"/>
    <col min="8204" max="8211" width="11.125" style="2" bestFit="1" customWidth="1"/>
    <col min="8212" max="8212" width="9.625" style="2" bestFit="1" customWidth="1"/>
    <col min="8213" max="8436" width="9" style="2"/>
    <col min="8437" max="8437" width="2.375" style="2" customWidth="1"/>
    <col min="8438" max="8438" width="13.25" style="2" bestFit="1" customWidth="1"/>
    <col min="8439" max="8440" width="11.125" style="2" bestFit="1" customWidth="1"/>
    <col min="8441" max="8441" width="13.25" style="2" bestFit="1" customWidth="1"/>
    <col min="8442" max="8442" width="11.125" style="2" bestFit="1" customWidth="1"/>
    <col min="8443" max="8443" width="9" style="2"/>
    <col min="8444" max="8444" width="11.125" style="2" bestFit="1" customWidth="1"/>
    <col min="8445" max="8445" width="9" style="2"/>
    <col min="8446" max="8456" width="11.125" style="2" bestFit="1" customWidth="1"/>
    <col min="8457" max="8459" width="9" style="2"/>
    <col min="8460" max="8467" width="11.125" style="2" bestFit="1" customWidth="1"/>
    <col min="8468" max="8468" width="9.625" style="2" bestFit="1" customWidth="1"/>
    <col min="8469" max="8692" width="9" style="2"/>
    <col min="8693" max="8693" width="2.375" style="2" customWidth="1"/>
    <col min="8694" max="8694" width="13.25" style="2" bestFit="1" customWidth="1"/>
    <col min="8695" max="8696" width="11.125" style="2" bestFit="1" customWidth="1"/>
    <col min="8697" max="8697" width="13.25" style="2" bestFit="1" customWidth="1"/>
    <col min="8698" max="8698" width="11.125" style="2" bestFit="1" customWidth="1"/>
    <col min="8699" max="8699" width="9" style="2"/>
    <col min="8700" max="8700" width="11.125" style="2" bestFit="1" customWidth="1"/>
    <col min="8701" max="8701" width="9" style="2"/>
    <col min="8702" max="8712" width="11.125" style="2" bestFit="1" customWidth="1"/>
    <col min="8713" max="8715" width="9" style="2"/>
    <col min="8716" max="8723" width="11.125" style="2" bestFit="1" customWidth="1"/>
    <col min="8724" max="8724" width="9.625" style="2" bestFit="1" customWidth="1"/>
    <col min="8725" max="8948" width="9" style="2"/>
    <col min="8949" max="8949" width="2.375" style="2" customWidth="1"/>
    <col min="8950" max="8950" width="13.25" style="2" bestFit="1" customWidth="1"/>
    <col min="8951" max="8952" width="11.125" style="2" bestFit="1" customWidth="1"/>
    <col min="8953" max="8953" width="13.25" style="2" bestFit="1" customWidth="1"/>
    <col min="8954" max="8954" width="11.125" style="2" bestFit="1" customWidth="1"/>
    <col min="8955" max="8955" width="9" style="2"/>
    <col min="8956" max="8956" width="11.125" style="2" bestFit="1" customWidth="1"/>
    <col min="8957" max="8957" width="9" style="2"/>
    <col min="8958" max="8968" width="11.125" style="2" bestFit="1" customWidth="1"/>
    <col min="8969" max="8971" width="9" style="2"/>
    <col min="8972" max="8979" width="11.125" style="2" bestFit="1" customWidth="1"/>
    <col min="8980" max="8980" width="9.625" style="2" bestFit="1" customWidth="1"/>
    <col min="8981" max="9204" width="9" style="2"/>
    <col min="9205" max="9205" width="2.375" style="2" customWidth="1"/>
    <col min="9206" max="9206" width="13.25" style="2" bestFit="1" customWidth="1"/>
    <col min="9207" max="9208" width="11.125" style="2" bestFit="1" customWidth="1"/>
    <col min="9209" max="9209" width="13.25" style="2" bestFit="1" customWidth="1"/>
    <col min="9210" max="9210" width="11.125" style="2" bestFit="1" customWidth="1"/>
    <col min="9211" max="9211" width="9" style="2"/>
    <col min="9212" max="9212" width="11.125" style="2" bestFit="1" customWidth="1"/>
    <col min="9213" max="9213" width="9" style="2"/>
    <col min="9214" max="9224" width="11.125" style="2" bestFit="1" customWidth="1"/>
    <col min="9225" max="9227" width="9" style="2"/>
    <col min="9228" max="9235" width="11.125" style="2" bestFit="1" customWidth="1"/>
    <col min="9236" max="9236" width="9.625" style="2" bestFit="1" customWidth="1"/>
    <col min="9237" max="9460" width="9" style="2"/>
    <col min="9461" max="9461" width="2.375" style="2" customWidth="1"/>
    <col min="9462" max="9462" width="13.25" style="2" bestFit="1" customWidth="1"/>
    <col min="9463" max="9464" width="11.125" style="2" bestFit="1" customWidth="1"/>
    <col min="9465" max="9465" width="13.25" style="2" bestFit="1" customWidth="1"/>
    <col min="9466" max="9466" width="11.125" style="2" bestFit="1" customWidth="1"/>
    <col min="9467" max="9467" width="9" style="2"/>
    <col min="9468" max="9468" width="11.125" style="2" bestFit="1" customWidth="1"/>
    <col min="9469" max="9469" width="9" style="2"/>
    <col min="9470" max="9480" width="11.125" style="2" bestFit="1" customWidth="1"/>
    <col min="9481" max="9483" width="9" style="2"/>
    <col min="9484" max="9491" width="11.125" style="2" bestFit="1" customWidth="1"/>
    <col min="9492" max="9492" width="9.625" style="2" bestFit="1" customWidth="1"/>
    <col min="9493" max="9716" width="9" style="2"/>
    <col min="9717" max="9717" width="2.375" style="2" customWidth="1"/>
    <col min="9718" max="9718" width="13.25" style="2" bestFit="1" customWidth="1"/>
    <col min="9719" max="9720" width="11.125" style="2" bestFit="1" customWidth="1"/>
    <col min="9721" max="9721" width="13.25" style="2" bestFit="1" customWidth="1"/>
    <col min="9722" max="9722" width="11.125" style="2" bestFit="1" customWidth="1"/>
    <col min="9723" max="9723" width="9" style="2"/>
    <col min="9724" max="9724" width="11.125" style="2" bestFit="1" customWidth="1"/>
    <col min="9725" max="9725" width="9" style="2"/>
    <col min="9726" max="9736" width="11.125" style="2" bestFit="1" customWidth="1"/>
    <col min="9737" max="9739" width="9" style="2"/>
    <col min="9740" max="9747" width="11.125" style="2" bestFit="1" customWidth="1"/>
    <col min="9748" max="9748" width="9.625" style="2" bestFit="1" customWidth="1"/>
    <col min="9749" max="9972" width="9" style="2"/>
    <col min="9973" max="9973" width="2.375" style="2" customWidth="1"/>
    <col min="9974" max="9974" width="13.25" style="2" bestFit="1" customWidth="1"/>
    <col min="9975" max="9976" width="11.125" style="2" bestFit="1" customWidth="1"/>
    <col min="9977" max="9977" width="13.25" style="2" bestFit="1" customWidth="1"/>
    <col min="9978" max="9978" width="11.125" style="2" bestFit="1" customWidth="1"/>
    <col min="9979" max="9979" width="9" style="2"/>
    <col min="9980" max="9980" width="11.125" style="2" bestFit="1" customWidth="1"/>
    <col min="9981" max="9981" width="9" style="2"/>
    <col min="9982" max="9992" width="11.125" style="2" bestFit="1" customWidth="1"/>
    <col min="9993" max="9995" width="9" style="2"/>
    <col min="9996" max="10003" width="11.125" style="2" bestFit="1" customWidth="1"/>
    <col min="10004" max="10004" width="9.625" style="2" bestFit="1" customWidth="1"/>
    <col min="10005" max="10228" width="9" style="2"/>
    <col min="10229" max="10229" width="2.375" style="2" customWidth="1"/>
    <col min="10230" max="10230" width="13.25" style="2" bestFit="1" customWidth="1"/>
    <col min="10231" max="10232" width="11.125" style="2" bestFit="1" customWidth="1"/>
    <col min="10233" max="10233" width="13.25" style="2" bestFit="1" customWidth="1"/>
    <col min="10234" max="10234" width="11.125" style="2" bestFit="1" customWidth="1"/>
    <col min="10235" max="10235" width="9" style="2"/>
    <col min="10236" max="10236" width="11.125" style="2" bestFit="1" customWidth="1"/>
    <col min="10237" max="10237" width="9" style="2"/>
    <col min="10238" max="10248" width="11.125" style="2" bestFit="1" customWidth="1"/>
    <col min="10249" max="10251" width="9" style="2"/>
    <col min="10252" max="10259" width="11.125" style="2" bestFit="1" customWidth="1"/>
    <col min="10260" max="10260" width="9.625" style="2" bestFit="1" customWidth="1"/>
    <col min="10261" max="10484" width="9" style="2"/>
    <col min="10485" max="10485" width="2.375" style="2" customWidth="1"/>
    <col min="10486" max="10486" width="13.25" style="2" bestFit="1" customWidth="1"/>
    <col min="10487" max="10488" width="11.125" style="2" bestFit="1" customWidth="1"/>
    <col min="10489" max="10489" width="13.25" style="2" bestFit="1" customWidth="1"/>
    <col min="10490" max="10490" width="11.125" style="2" bestFit="1" customWidth="1"/>
    <col min="10491" max="10491" width="9" style="2"/>
    <col min="10492" max="10492" width="11.125" style="2" bestFit="1" customWidth="1"/>
    <col min="10493" max="10493" width="9" style="2"/>
    <col min="10494" max="10504" width="11.125" style="2" bestFit="1" customWidth="1"/>
    <col min="10505" max="10507" width="9" style="2"/>
    <col min="10508" max="10515" width="11.125" style="2" bestFit="1" customWidth="1"/>
    <col min="10516" max="10516" width="9.625" style="2" bestFit="1" customWidth="1"/>
    <col min="10517" max="10740" width="9" style="2"/>
    <col min="10741" max="10741" width="2.375" style="2" customWidth="1"/>
    <col min="10742" max="10742" width="13.25" style="2" bestFit="1" customWidth="1"/>
    <col min="10743" max="10744" width="11.125" style="2" bestFit="1" customWidth="1"/>
    <col min="10745" max="10745" width="13.25" style="2" bestFit="1" customWidth="1"/>
    <col min="10746" max="10746" width="11.125" style="2" bestFit="1" customWidth="1"/>
    <col min="10747" max="10747" width="9" style="2"/>
    <col min="10748" max="10748" width="11.125" style="2" bestFit="1" customWidth="1"/>
    <col min="10749" max="10749" width="9" style="2"/>
    <col min="10750" max="10760" width="11.125" style="2" bestFit="1" customWidth="1"/>
    <col min="10761" max="10763" width="9" style="2"/>
    <col min="10764" max="10771" width="11.125" style="2" bestFit="1" customWidth="1"/>
    <col min="10772" max="10772" width="9.625" style="2" bestFit="1" customWidth="1"/>
    <col min="10773" max="10996" width="9" style="2"/>
    <col min="10997" max="10997" width="2.375" style="2" customWidth="1"/>
    <col min="10998" max="10998" width="13.25" style="2" bestFit="1" customWidth="1"/>
    <col min="10999" max="11000" width="11.125" style="2" bestFit="1" customWidth="1"/>
    <col min="11001" max="11001" width="13.25" style="2" bestFit="1" customWidth="1"/>
    <col min="11002" max="11002" width="11.125" style="2" bestFit="1" customWidth="1"/>
    <col min="11003" max="11003" width="9" style="2"/>
    <col min="11004" max="11004" width="11.125" style="2" bestFit="1" customWidth="1"/>
    <col min="11005" max="11005" width="9" style="2"/>
    <col min="11006" max="11016" width="11.125" style="2" bestFit="1" customWidth="1"/>
    <col min="11017" max="11019" width="9" style="2"/>
    <col min="11020" max="11027" width="11.125" style="2" bestFit="1" customWidth="1"/>
    <col min="11028" max="11028" width="9.625" style="2" bestFit="1" customWidth="1"/>
    <col min="11029" max="11252" width="9" style="2"/>
    <col min="11253" max="11253" width="2.375" style="2" customWidth="1"/>
    <col min="11254" max="11254" width="13.25" style="2" bestFit="1" customWidth="1"/>
    <col min="11255" max="11256" width="11.125" style="2" bestFit="1" customWidth="1"/>
    <col min="11257" max="11257" width="13.25" style="2" bestFit="1" customWidth="1"/>
    <col min="11258" max="11258" width="11.125" style="2" bestFit="1" customWidth="1"/>
    <col min="11259" max="11259" width="9" style="2"/>
    <col min="11260" max="11260" width="11.125" style="2" bestFit="1" customWidth="1"/>
    <col min="11261" max="11261" width="9" style="2"/>
    <col min="11262" max="11272" width="11.125" style="2" bestFit="1" customWidth="1"/>
    <col min="11273" max="11275" width="9" style="2"/>
    <col min="11276" max="11283" width="11.125" style="2" bestFit="1" customWidth="1"/>
    <col min="11284" max="11284" width="9.625" style="2" bestFit="1" customWidth="1"/>
    <col min="11285" max="11508" width="9" style="2"/>
    <col min="11509" max="11509" width="2.375" style="2" customWidth="1"/>
    <col min="11510" max="11510" width="13.25" style="2" bestFit="1" customWidth="1"/>
    <col min="11511" max="11512" width="11.125" style="2" bestFit="1" customWidth="1"/>
    <col min="11513" max="11513" width="13.25" style="2" bestFit="1" customWidth="1"/>
    <col min="11514" max="11514" width="11.125" style="2" bestFit="1" customWidth="1"/>
    <col min="11515" max="11515" width="9" style="2"/>
    <col min="11516" max="11516" width="11.125" style="2" bestFit="1" customWidth="1"/>
    <col min="11517" max="11517" width="9" style="2"/>
    <col min="11518" max="11528" width="11.125" style="2" bestFit="1" customWidth="1"/>
    <col min="11529" max="11531" width="9" style="2"/>
    <col min="11532" max="11539" width="11.125" style="2" bestFit="1" customWidth="1"/>
    <col min="11540" max="11540" width="9.625" style="2" bestFit="1" customWidth="1"/>
    <col min="11541" max="11764" width="9" style="2"/>
    <col min="11765" max="11765" width="2.375" style="2" customWidth="1"/>
    <col min="11766" max="11766" width="13.25" style="2" bestFit="1" customWidth="1"/>
    <col min="11767" max="11768" width="11.125" style="2" bestFit="1" customWidth="1"/>
    <col min="11769" max="11769" width="13.25" style="2" bestFit="1" customWidth="1"/>
    <col min="11770" max="11770" width="11.125" style="2" bestFit="1" customWidth="1"/>
    <col min="11771" max="11771" width="9" style="2"/>
    <col min="11772" max="11772" width="11.125" style="2" bestFit="1" customWidth="1"/>
    <col min="11773" max="11773" width="9" style="2"/>
    <col min="11774" max="11784" width="11.125" style="2" bestFit="1" customWidth="1"/>
    <col min="11785" max="11787" width="9" style="2"/>
    <col min="11788" max="11795" width="11.125" style="2" bestFit="1" customWidth="1"/>
    <col min="11796" max="11796" width="9.625" style="2" bestFit="1" customWidth="1"/>
    <col min="11797" max="12020" width="9" style="2"/>
    <col min="12021" max="12021" width="2.375" style="2" customWidth="1"/>
    <col min="12022" max="12022" width="13.25" style="2" bestFit="1" customWidth="1"/>
    <col min="12023" max="12024" width="11.125" style="2" bestFit="1" customWidth="1"/>
    <col min="12025" max="12025" width="13.25" style="2" bestFit="1" customWidth="1"/>
    <col min="12026" max="12026" width="11.125" style="2" bestFit="1" customWidth="1"/>
    <col min="12027" max="12027" width="9" style="2"/>
    <col min="12028" max="12028" width="11.125" style="2" bestFit="1" customWidth="1"/>
    <col min="12029" max="12029" width="9" style="2"/>
    <col min="12030" max="12040" width="11.125" style="2" bestFit="1" customWidth="1"/>
    <col min="12041" max="12043" width="9" style="2"/>
    <col min="12044" max="12051" width="11.125" style="2" bestFit="1" customWidth="1"/>
    <col min="12052" max="12052" width="9.625" style="2" bestFit="1" customWidth="1"/>
    <col min="12053" max="12276" width="9" style="2"/>
    <col min="12277" max="12277" width="2.375" style="2" customWidth="1"/>
    <col min="12278" max="12278" width="13.25" style="2" bestFit="1" customWidth="1"/>
    <col min="12279" max="12280" width="11.125" style="2" bestFit="1" customWidth="1"/>
    <col min="12281" max="12281" width="13.25" style="2" bestFit="1" customWidth="1"/>
    <col min="12282" max="12282" width="11.125" style="2" bestFit="1" customWidth="1"/>
    <col min="12283" max="12283" width="9" style="2"/>
    <col min="12284" max="12284" width="11.125" style="2" bestFit="1" customWidth="1"/>
    <col min="12285" max="12285" width="9" style="2"/>
    <col min="12286" max="12296" width="11.125" style="2" bestFit="1" customWidth="1"/>
    <col min="12297" max="12299" width="9" style="2"/>
    <col min="12300" max="12307" width="11.125" style="2" bestFit="1" customWidth="1"/>
    <col min="12308" max="12308" width="9.625" style="2" bestFit="1" customWidth="1"/>
    <col min="12309" max="12532" width="9" style="2"/>
    <col min="12533" max="12533" width="2.375" style="2" customWidth="1"/>
    <col min="12534" max="12534" width="13.25" style="2" bestFit="1" customWidth="1"/>
    <col min="12535" max="12536" width="11.125" style="2" bestFit="1" customWidth="1"/>
    <col min="12537" max="12537" width="13.25" style="2" bestFit="1" customWidth="1"/>
    <col min="12538" max="12538" width="11.125" style="2" bestFit="1" customWidth="1"/>
    <col min="12539" max="12539" width="9" style="2"/>
    <col min="12540" max="12540" width="11.125" style="2" bestFit="1" customWidth="1"/>
    <col min="12541" max="12541" width="9" style="2"/>
    <col min="12542" max="12552" width="11.125" style="2" bestFit="1" customWidth="1"/>
    <col min="12553" max="12555" width="9" style="2"/>
    <col min="12556" max="12563" width="11.125" style="2" bestFit="1" customWidth="1"/>
    <col min="12564" max="12564" width="9.625" style="2" bestFit="1" customWidth="1"/>
    <col min="12565" max="12788" width="9" style="2"/>
    <col min="12789" max="12789" width="2.375" style="2" customWidth="1"/>
    <col min="12790" max="12790" width="13.25" style="2" bestFit="1" customWidth="1"/>
    <col min="12791" max="12792" width="11.125" style="2" bestFit="1" customWidth="1"/>
    <col min="12793" max="12793" width="13.25" style="2" bestFit="1" customWidth="1"/>
    <col min="12794" max="12794" width="11.125" style="2" bestFit="1" customWidth="1"/>
    <col min="12795" max="12795" width="9" style="2"/>
    <col min="12796" max="12796" width="11.125" style="2" bestFit="1" customWidth="1"/>
    <col min="12797" max="12797" width="9" style="2"/>
    <col min="12798" max="12808" width="11.125" style="2" bestFit="1" customWidth="1"/>
    <col min="12809" max="12811" width="9" style="2"/>
    <col min="12812" max="12819" width="11.125" style="2" bestFit="1" customWidth="1"/>
    <col min="12820" max="12820" width="9.625" style="2" bestFit="1" customWidth="1"/>
    <col min="12821" max="13044" width="9" style="2"/>
    <col min="13045" max="13045" width="2.375" style="2" customWidth="1"/>
    <col min="13046" max="13046" width="13.25" style="2" bestFit="1" customWidth="1"/>
    <col min="13047" max="13048" width="11.125" style="2" bestFit="1" customWidth="1"/>
    <col min="13049" max="13049" width="13.25" style="2" bestFit="1" customWidth="1"/>
    <col min="13050" max="13050" width="11.125" style="2" bestFit="1" customWidth="1"/>
    <col min="13051" max="13051" width="9" style="2"/>
    <col min="13052" max="13052" width="11.125" style="2" bestFit="1" customWidth="1"/>
    <col min="13053" max="13053" width="9" style="2"/>
    <col min="13054" max="13064" width="11.125" style="2" bestFit="1" customWidth="1"/>
    <col min="13065" max="13067" width="9" style="2"/>
    <col min="13068" max="13075" width="11.125" style="2" bestFit="1" customWidth="1"/>
    <col min="13076" max="13076" width="9.625" style="2" bestFit="1" customWidth="1"/>
    <col min="13077" max="13300" width="9" style="2"/>
    <col min="13301" max="13301" width="2.375" style="2" customWidth="1"/>
    <col min="13302" max="13302" width="13.25" style="2" bestFit="1" customWidth="1"/>
    <col min="13303" max="13304" width="11.125" style="2" bestFit="1" customWidth="1"/>
    <col min="13305" max="13305" width="13.25" style="2" bestFit="1" customWidth="1"/>
    <col min="13306" max="13306" width="11.125" style="2" bestFit="1" customWidth="1"/>
    <col min="13307" max="13307" width="9" style="2"/>
    <col min="13308" max="13308" width="11.125" style="2" bestFit="1" customWidth="1"/>
    <col min="13309" max="13309" width="9" style="2"/>
    <col min="13310" max="13320" width="11.125" style="2" bestFit="1" customWidth="1"/>
    <col min="13321" max="13323" width="9" style="2"/>
    <col min="13324" max="13331" width="11.125" style="2" bestFit="1" customWidth="1"/>
    <col min="13332" max="13332" width="9.625" style="2" bestFit="1" customWidth="1"/>
    <col min="13333" max="13556" width="9" style="2"/>
    <col min="13557" max="13557" width="2.375" style="2" customWidth="1"/>
    <col min="13558" max="13558" width="13.25" style="2" bestFit="1" customWidth="1"/>
    <col min="13559" max="13560" width="11.125" style="2" bestFit="1" customWidth="1"/>
    <col min="13561" max="13561" width="13.25" style="2" bestFit="1" customWidth="1"/>
    <col min="13562" max="13562" width="11.125" style="2" bestFit="1" customWidth="1"/>
    <col min="13563" max="13563" width="9" style="2"/>
    <col min="13564" max="13564" width="11.125" style="2" bestFit="1" customWidth="1"/>
    <col min="13565" max="13565" width="9" style="2"/>
    <col min="13566" max="13576" width="11.125" style="2" bestFit="1" customWidth="1"/>
    <col min="13577" max="13579" width="9" style="2"/>
    <col min="13580" max="13587" width="11.125" style="2" bestFit="1" customWidth="1"/>
    <col min="13588" max="13588" width="9.625" style="2" bestFit="1" customWidth="1"/>
    <col min="13589" max="13812" width="9" style="2"/>
    <col min="13813" max="13813" width="2.375" style="2" customWidth="1"/>
    <col min="13814" max="13814" width="13.25" style="2" bestFit="1" customWidth="1"/>
    <col min="13815" max="13816" width="11.125" style="2" bestFit="1" customWidth="1"/>
    <col min="13817" max="13817" width="13.25" style="2" bestFit="1" customWidth="1"/>
    <col min="13818" max="13818" width="11.125" style="2" bestFit="1" customWidth="1"/>
    <col min="13819" max="13819" width="9" style="2"/>
    <col min="13820" max="13820" width="11.125" style="2" bestFit="1" customWidth="1"/>
    <col min="13821" max="13821" width="9" style="2"/>
    <col min="13822" max="13832" width="11.125" style="2" bestFit="1" customWidth="1"/>
    <col min="13833" max="13835" width="9" style="2"/>
    <col min="13836" max="13843" width="11.125" style="2" bestFit="1" customWidth="1"/>
    <col min="13844" max="13844" width="9.625" style="2" bestFit="1" customWidth="1"/>
    <col min="13845" max="14068" width="9" style="2"/>
    <col min="14069" max="14069" width="2.375" style="2" customWidth="1"/>
    <col min="14070" max="14070" width="13.25" style="2" bestFit="1" customWidth="1"/>
    <col min="14071" max="14072" width="11.125" style="2" bestFit="1" customWidth="1"/>
    <col min="14073" max="14073" width="13.25" style="2" bestFit="1" customWidth="1"/>
    <col min="14074" max="14074" width="11.125" style="2" bestFit="1" customWidth="1"/>
    <col min="14075" max="14075" width="9" style="2"/>
    <col min="14076" max="14076" width="11.125" style="2" bestFit="1" customWidth="1"/>
    <col min="14077" max="14077" width="9" style="2"/>
    <col min="14078" max="14088" width="11.125" style="2" bestFit="1" customWidth="1"/>
    <col min="14089" max="14091" width="9" style="2"/>
    <col min="14092" max="14099" width="11.125" style="2" bestFit="1" customWidth="1"/>
    <col min="14100" max="14100" width="9.625" style="2" bestFit="1" customWidth="1"/>
    <col min="14101" max="14324" width="9" style="2"/>
    <col min="14325" max="14325" width="2.375" style="2" customWidth="1"/>
    <col min="14326" max="14326" width="13.25" style="2" bestFit="1" customWidth="1"/>
    <col min="14327" max="14328" width="11.125" style="2" bestFit="1" customWidth="1"/>
    <col min="14329" max="14329" width="13.25" style="2" bestFit="1" customWidth="1"/>
    <col min="14330" max="14330" width="11.125" style="2" bestFit="1" customWidth="1"/>
    <col min="14331" max="14331" width="9" style="2"/>
    <col min="14332" max="14332" width="11.125" style="2" bestFit="1" customWidth="1"/>
    <col min="14333" max="14333" width="9" style="2"/>
    <col min="14334" max="14344" width="11.125" style="2" bestFit="1" customWidth="1"/>
    <col min="14345" max="14347" width="9" style="2"/>
    <col min="14348" max="14355" width="11.125" style="2" bestFit="1" customWidth="1"/>
    <col min="14356" max="14356" width="9.625" style="2" bestFit="1" customWidth="1"/>
    <col min="14357" max="14580" width="9" style="2"/>
    <col min="14581" max="14581" width="2.375" style="2" customWidth="1"/>
    <col min="14582" max="14582" width="13.25" style="2" bestFit="1" customWidth="1"/>
    <col min="14583" max="14584" width="11.125" style="2" bestFit="1" customWidth="1"/>
    <col min="14585" max="14585" width="13.25" style="2" bestFit="1" customWidth="1"/>
    <col min="14586" max="14586" width="11.125" style="2" bestFit="1" customWidth="1"/>
    <col min="14587" max="14587" width="9" style="2"/>
    <col min="14588" max="14588" width="11.125" style="2" bestFit="1" customWidth="1"/>
    <col min="14589" max="14589" width="9" style="2"/>
    <col min="14590" max="14600" width="11.125" style="2" bestFit="1" customWidth="1"/>
    <col min="14601" max="14603" width="9" style="2"/>
    <col min="14604" max="14611" width="11.125" style="2" bestFit="1" customWidth="1"/>
    <col min="14612" max="14612" width="9.625" style="2" bestFit="1" customWidth="1"/>
    <col min="14613" max="14836" width="9" style="2"/>
    <col min="14837" max="14837" width="2.375" style="2" customWidth="1"/>
    <col min="14838" max="14838" width="13.25" style="2" bestFit="1" customWidth="1"/>
    <col min="14839" max="14840" width="11.125" style="2" bestFit="1" customWidth="1"/>
    <col min="14841" max="14841" width="13.25" style="2" bestFit="1" customWidth="1"/>
    <col min="14842" max="14842" width="11.125" style="2" bestFit="1" customWidth="1"/>
    <col min="14843" max="14843" width="9" style="2"/>
    <col min="14844" max="14844" width="11.125" style="2" bestFit="1" customWidth="1"/>
    <col min="14845" max="14845" width="9" style="2"/>
    <col min="14846" max="14856" width="11.125" style="2" bestFit="1" customWidth="1"/>
    <col min="14857" max="14859" width="9" style="2"/>
    <col min="14860" max="14867" width="11.125" style="2" bestFit="1" customWidth="1"/>
    <col min="14868" max="14868" width="9.625" style="2" bestFit="1" customWidth="1"/>
    <col min="14869" max="15092" width="9" style="2"/>
    <col min="15093" max="15093" width="2.375" style="2" customWidth="1"/>
    <col min="15094" max="15094" width="13.25" style="2" bestFit="1" customWidth="1"/>
    <col min="15095" max="15096" width="11.125" style="2" bestFit="1" customWidth="1"/>
    <col min="15097" max="15097" width="13.25" style="2" bestFit="1" customWidth="1"/>
    <col min="15098" max="15098" width="11.125" style="2" bestFit="1" customWidth="1"/>
    <col min="15099" max="15099" width="9" style="2"/>
    <col min="15100" max="15100" width="11.125" style="2" bestFit="1" customWidth="1"/>
    <col min="15101" max="15101" width="9" style="2"/>
    <col min="15102" max="15112" width="11.125" style="2" bestFit="1" customWidth="1"/>
    <col min="15113" max="15115" width="9" style="2"/>
    <col min="15116" max="15123" width="11.125" style="2" bestFit="1" customWidth="1"/>
    <col min="15124" max="15124" width="9.625" style="2" bestFit="1" customWidth="1"/>
    <col min="15125" max="15348" width="9" style="2"/>
    <col min="15349" max="15349" width="2.375" style="2" customWidth="1"/>
    <col min="15350" max="15350" width="13.25" style="2" bestFit="1" customWidth="1"/>
    <col min="15351" max="15352" width="11.125" style="2" bestFit="1" customWidth="1"/>
    <col min="15353" max="15353" width="13.25" style="2" bestFit="1" customWidth="1"/>
    <col min="15354" max="15354" width="11.125" style="2" bestFit="1" customWidth="1"/>
    <col min="15355" max="15355" width="9" style="2"/>
    <col min="15356" max="15356" width="11.125" style="2" bestFit="1" customWidth="1"/>
    <col min="15357" max="15357" width="9" style="2"/>
    <col min="15358" max="15368" width="11.125" style="2" bestFit="1" customWidth="1"/>
    <col min="15369" max="15371" width="9" style="2"/>
    <col min="15372" max="15379" width="11.125" style="2" bestFit="1" customWidth="1"/>
    <col min="15380" max="15380" width="9.625" style="2" bestFit="1" customWidth="1"/>
    <col min="15381" max="15604" width="9" style="2"/>
    <col min="15605" max="15605" width="2.375" style="2" customWidth="1"/>
    <col min="15606" max="15606" width="13.25" style="2" bestFit="1" customWidth="1"/>
    <col min="15607" max="15608" width="11.125" style="2" bestFit="1" customWidth="1"/>
    <col min="15609" max="15609" width="13.25" style="2" bestFit="1" customWidth="1"/>
    <col min="15610" max="15610" width="11.125" style="2" bestFit="1" customWidth="1"/>
    <col min="15611" max="15611" width="9" style="2"/>
    <col min="15612" max="15612" width="11.125" style="2" bestFit="1" customWidth="1"/>
    <col min="15613" max="15613" width="9" style="2"/>
    <col min="15614" max="15624" width="11.125" style="2" bestFit="1" customWidth="1"/>
    <col min="15625" max="15627" width="9" style="2"/>
    <col min="15628" max="15635" width="11.125" style="2" bestFit="1" customWidth="1"/>
    <col min="15636" max="15636" width="9.625" style="2" bestFit="1" customWidth="1"/>
    <col min="15637" max="15860" width="9" style="2"/>
    <col min="15861" max="15861" width="2.375" style="2" customWidth="1"/>
    <col min="15862" max="15862" width="13.25" style="2" bestFit="1" customWidth="1"/>
    <col min="15863" max="15864" width="11.125" style="2" bestFit="1" customWidth="1"/>
    <col min="15865" max="15865" width="13.25" style="2" bestFit="1" customWidth="1"/>
    <col min="15866" max="15866" width="11.125" style="2" bestFit="1" customWidth="1"/>
    <col min="15867" max="15867" width="9" style="2"/>
    <col min="15868" max="15868" width="11.125" style="2" bestFit="1" customWidth="1"/>
    <col min="15869" max="15869" width="9" style="2"/>
    <col min="15870" max="15880" width="11.125" style="2" bestFit="1" customWidth="1"/>
    <col min="15881" max="15883" width="9" style="2"/>
    <col min="15884" max="15891" width="11.125" style="2" bestFit="1" customWidth="1"/>
    <col min="15892" max="15892" width="9.625" style="2" bestFit="1" customWidth="1"/>
    <col min="15893" max="16116" width="9" style="2"/>
    <col min="16117" max="16117" width="2.375" style="2" customWidth="1"/>
    <col min="16118" max="16118" width="13.25" style="2" bestFit="1" customWidth="1"/>
    <col min="16119" max="16120" width="11.125" style="2" bestFit="1" customWidth="1"/>
    <col min="16121" max="16121" width="13.25" style="2" bestFit="1" customWidth="1"/>
    <col min="16122" max="16122" width="11.125" style="2" bestFit="1" customWidth="1"/>
    <col min="16123" max="16123" width="9" style="2"/>
    <col min="16124" max="16124" width="11.125" style="2" bestFit="1" customWidth="1"/>
    <col min="16125" max="16125" width="9" style="2"/>
    <col min="16126" max="16136" width="11.125" style="2" bestFit="1" customWidth="1"/>
    <col min="16137" max="16139" width="9" style="2"/>
    <col min="16140" max="16147" width="11.125" style="2" bestFit="1" customWidth="1"/>
    <col min="16148" max="16148" width="9.625" style="2" bestFit="1" customWidth="1"/>
    <col min="16149" max="16384" width="9" style="2"/>
  </cols>
  <sheetData>
    <row r="1" spans="1:21">
      <c r="A1" s="1" t="s">
        <v>0</v>
      </c>
    </row>
    <row r="2" spans="1:21" ht="19.5" thickBot="1">
      <c r="A2" s="1" t="s">
        <v>123</v>
      </c>
    </row>
    <row r="3" spans="1:21">
      <c r="B3" s="3"/>
      <c r="C3" s="9" t="s">
        <v>2</v>
      </c>
      <c r="D3" s="10" t="s">
        <v>3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18</v>
      </c>
      <c r="Q3" s="10" t="s">
        <v>19</v>
      </c>
      <c r="R3" s="10" t="s">
        <v>20</v>
      </c>
      <c r="S3" s="10" t="s">
        <v>21</v>
      </c>
      <c r="T3" s="48" t="s">
        <v>22</v>
      </c>
      <c r="U3" s="81" t="s">
        <v>124</v>
      </c>
    </row>
    <row r="4" spans="1:21" ht="19.5" thickBot="1">
      <c r="A4" s="47"/>
      <c r="B4" s="28" t="s">
        <v>31</v>
      </c>
      <c r="C4" s="29" t="s">
        <v>32</v>
      </c>
      <c r="D4" s="30" t="s">
        <v>33</v>
      </c>
      <c r="E4" s="30" t="s">
        <v>36</v>
      </c>
      <c r="F4" s="30" t="s">
        <v>37</v>
      </c>
      <c r="G4" s="30" t="s">
        <v>38</v>
      </c>
      <c r="H4" s="30" t="s">
        <v>39</v>
      </c>
      <c r="I4" s="30" t="s">
        <v>40</v>
      </c>
      <c r="J4" s="30" t="s">
        <v>41</v>
      </c>
      <c r="K4" s="30" t="s">
        <v>42</v>
      </c>
      <c r="L4" s="30" t="s">
        <v>43</v>
      </c>
      <c r="M4" s="30" t="s">
        <v>44</v>
      </c>
      <c r="N4" s="30" t="s">
        <v>45</v>
      </c>
      <c r="O4" s="30" t="s">
        <v>46</v>
      </c>
      <c r="P4" s="30" t="s">
        <v>48</v>
      </c>
      <c r="Q4" s="30" t="s">
        <v>49</v>
      </c>
      <c r="R4" s="30" t="s">
        <v>50</v>
      </c>
      <c r="S4" s="30" t="s">
        <v>51</v>
      </c>
      <c r="T4" s="49" t="s">
        <v>52</v>
      </c>
      <c r="U4" s="82" t="s">
        <v>125</v>
      </c>
    </row>
    <row r="5" spans="1:21">
      <c r="A5" s="1" t="s">
        <v>1</v>
      </c>
      <c r="B5" s="24" t="s">
        <v>62</v>
      </c>
      <c r="C5" s="25">
        <v>19</v>
      </c>
      <c r="D5" s="26">
        <v>21</v>
      </c>
      <c r="E5" s="26">
        <v>14</v>
      </c>
      <c r="F5" s="26">
        <v>20</v>
      </c>
      <c r="G5" s="26">
        <v>19</v>
      </c>
      <c r="H5" s="26">
        <v>21</v>
      </c>
      <c r="I5" s="26">
        <v>18</v>
      </c>
      <c r="J5" s="26">
        <v>19</v>
      </c>
      <c r="K5" s="26">
        <v>21</v>
      </c>
      <c r="L5" s="26">
        <v>20</v>
      </c>
      <c r="M5" s="26">
        <v>21</v>
      </c>
      <c r="N5" s="26">
        <v>21</v>
      </c>
      <c r="O5" s="26">
        <v>21</v>
      </c>
      <c r="P5" s="26">
        <v>22</v>
      </c>
      <c r="Q5" s="26">
        <v>20</v>
      </c>
      <c r="R5" s="26">
        <v>19</v>
      </c>
      <c r="S5" s="26">
        <v>22</v>
      </c>
      <c r="T5" s="50">
        <v>22</v>
      </c>
      <c r="U5" s="83">
        <f>SUM(C5:T5)</f>
        <v>360</v>
      </c>
    </row>
    <row r="6" spans="1:21">
      <c r="A6" s="1" t="s">
        <v>1</v>
      </c>
      <c r="B6" s="5" t="s">
        <v>63</v>
      </c>
      <c r="C6" s="12">
        <v>2</v>
      </c>
      <c r="D6" s="13">
        <v>1</v>
      </c>
      <c r="E6" s="13">
        <v>1</v>
      </c>
      <c r="F6" s="13">
        <v>4</v>
      </c>
      <c r="G6" s="13">
        <v>2</v>
      </c>
      <c r="H6" s="13">
        <v>2</v>
      </c>
      <c r="I6" s="13">
        <v>2</v>
      </c>
      <c r="J6" s="13">
        <v>2</v>
      </c>
      <c r="K6" s="13">
        <v>2</v>
      </c>
      <c r="L6" s="13">
        <v>2</v>
      </c>
      <c r="M6" s="13">
        <v>2</v>
      </c>
      <c r="N6" s="13">
        <v>3</v>
      </c>
      <c r="O6" s="13">
        <v>1</v>
      </c>
      <c r="P6" s="13">
        <v>2</v>
      </c>
      <c r="Q6" s="13">
        <v>0</v>
      </c>
      <c r="R6" s="13">
        <v>2</v>
      </c>
      <c r="S6" s="13">
        <v>0</v>
      </c>
      <c r="T6" s="51">
        <v>2</v>
      </c>
      <c r="U6" s="84">
        <f>SUM(C6:T6)</f>
        <v>32</v>
      </c>
    </row>
    <row r="7" spans="1:21">
      <c r="A7" s="1" t="s">
        <v>1</v>
      </c>
      <c r="B7" s="5" t="s">
        <v>64</v>
      </c>
      <c r="C7" s="12">
        <v>3</v>
      </c>
      <c r="D7" s="13">
        <v>2</v>
      </c>
      <c r="E7" s="13">
        <v>0</v>
      </c>
      <c r="F7" s="13">
        <v>3</v>
      </c>
      <c r="G7" s="13">
        <v>1</v>
      </c>
      <c r="H7" s="13">
        <v>2</v>
      </c>
      <c r="I7" s="13">
        <v>4</v>
      </c>
      <c r="J7" s="13">
        <v>2</v>
      </c>
      <c r="K7" s="13">
        <v>2</v>
      </c>
      <c r="L7" s="13">
        <v>2</v>
      </c>
      <c r="M7" s="13">
        <v>2</v>
      </c>
      <c r="N7" s="13">
        <v>1</v>
      </c>
      <c r="O7" s="13">
        <v>3</v>
      </c>
      <c r="P7" s="13">
        <v>1</v>
      </c>
      <c r="Q7" s="13">
        <v>0</v>
      </c>
      <c r="R7" s="13">
        <v>2</v>
      </c>
      <c r="S7" s="13">
        <v>1</v>
      </c>
      <c r="T7" s="51">
        <v>1</v>
      </c>
      <c r="U7" s="84">
        <f t="shared" ref="U7:U10" si="0">SUM(C7:T7)</f>
        <v>32</v>
      </c>
    </row>
    <row r="8" spans="1:21">
      <c r="A8" s="1" t="s">
        <v>1</v>
      </c>
      <c r="B8" s="5" t="s">
        <v>65</v>
      </c>
      <c r="C8" s="12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1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51">
        <v>0</v>
      </c>
      <c r="U8" s="84">
        <f t="shared" si="0"/>
        <v>1</v>
      </c>
    </row>
    <row r="9" spans="1:21">
      <c r="A9" s="1" t="s">
        <v>1</v>
      </c>
      <c r="B9" s="5" t="s">
        <v>66</v>
      </c>
      <c r="C9" s="12">
        <v>1</v>
      </c>
      <c r="D9" s="13">
        <v>1</v>
      </c>
      <c r="E9" s="13">
        <v>3</v>
      </c>
      <c r="F9" s="13">
        <v>2</v>
      </c>
      <c r="G9" s="13">
        <v>2</v>
      </c>
      <c r="H9" s="13">
        <v>1</v>
      </c>
      <c r="I9" s="13">
        <v>4</v>
      </c>
      <c r="J9" s="13">
        <v>3</v>
      </c>
      <c r="K9" s="13">
        <v>1</v>
      </c>
      <c r="L9" s="13">
        <v>2</v>
      </c>
      <c r="M9" s="13">
        <v>0</v>
      </c>
      <c r="N9" s="13">
        <v>1</v>
      </c>
      <c r="O9" s="13">
        <v>1</v>
      </c>
      <c r="P9" s="13">
        <v>0</v>
      </c>
      <c r="Q9" s="13">
        <v>2</v>
      </c>
      <c r="R9" s="13">
        <v>3</v>
      </c>
      <c r="S9" s="13">
        <v>0</v>
      </c>
      <c r="T9" s="51">
        <v>0</v>
      </c>
      <c r="U9" s="84">
        <f t="shared" si="0"/>
        <v>27</v>
      </c>
    </row>
    <row r="10" spans="1:21">
      <c r="A10" s="1" t="s">
        <v>1</v>
      </c>
      <c r="B10" s="5" t="s">
        <v>67</v>
      </c>
      <c r="C10" s="12">
        <v>2</v>
      </c>
      <c r="D10" s="13">
        <v>0</v>
      </c>
      <c r="E10" s="13">
        <v>5</v>
      </c>
      <c r="F10" s="13">
        <v>0</v>
      </c>
      <c r="G10" s="13">
        <v>1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51">
        <v>0</v>
      </c>
      <c r="U10" s="84">
        <f t="shared" si="0"/>
        <v>8</v>
      </c>
    </row>
    <row r="11" spans="1:21">
      <c r="A11" s="1" t="s">
        <v>1</v>
      </c>
      <c r="B11" s="5" t="s">
        <v>68</v>
      </c>
      <c r="C11" s="12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51">
        <v>0</v>
      </c>
      <c r="U11" s="84"/>
    </row>
    <row r="12" spans="1:21">
      <c r="A12" s="1" t="s">
        <v>1</v>
      </c>
      <c r="B12" s="5" t="s">
        <v>69</v>
      </c>
      <c r="C12" s="12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51">
        <v>0</v>
      </c>
      <c r="U12" s="84"/>
    </row>
    <row r="13" spans="1:21">
      <c r="A13" s="1" t="s">
        <v>1</v>
      </c>
      <c r="B13" s="5" t="s">
        <v>70</v>
      </c>
      <c r="C13" s="15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52">
        <v>0</v>
      </c>
      <c r="U13" s="85"/>
    </row>
    <row r="14" spans="1:21">
      <c r="A14" s="1" t="s">
        <v>1</v>
      </c>
      <c r="B14" s="5" t="s">
        <v>71</v>
      </c>
      <c r="C14" s="15">
        <v>1.625</v>
      </c>
      <c r="D14" s="16">
        <v>3.0833333333333335</v>
      </c>
      <c r="E14" s="16">
        <v>0.20833333333333334</v>
      </c>
      <c r="F14" s="16">
        <v>3.0416666666666665</v>
      </c>
      <c r="G14" s="16">
        <v>1.6666666666666665</v>
      </c>
      <c r="H14" s="16">
        <v>3.7916666666666665</v>
      </c>
      <c r="I14" s="16">
        <v>1.9583333333333335</v>
      </c>
      <c r="J14" s="16">
        <v>2.1666666666666665</v>
      </c>
      <c r="K14" s="16">
        <v>3.0416666666666665</v>
      </c>
      <c r="L14" s="16">
        <v>2.6666666666666665</v>
      </c>
      <c r="M14" s="16">
        <v>1.4583333333333333</v>
      </c>
      <c r="N14" s="16">
        <v>1.9583333333333335</v>
      </c>
      <c r="O14" s="16">
        <v>1.9583333333333335</v>
      </c>
      <c r="P14" s="16">
        <v>3.9583333333333335</v>
      </c>
      <c r="Q14" s="16">
        <v>1.4166666666666667</v>
      </c>
      <c r="R14" s="16">
        <v>0.75</v>
      </c>
      <c r="S14" s="16">
        <v>2.2916666666666665</v>
      </c>
      <c r="T14" s="52">
        <v>1.9166666666666665</v>
      </c>
      <c r="U14" s="85">
        <f>SUM(C14:T14)</f>
        <v>38.958333333333329</v>
      </c>
    </row>
    <row r="15" spans="1:21">
      <c r="A15" s="1" t="s">
        <v>1</v>
      </c>
      <c r="B15" s="5" t="s">
        <v>72</v>
      </c>
      <c r="C15" s="15">
        <v>0.75</v>
      </c>
      <c r="D15" s="16">
        <v>0.41666666666666669</v>
      </c>
      <c r="E15" s="16">
        <v>0.20833333333333334</v>
      </c>
      <c r="F15" s="16">
        <v>1.5416666666666665</v>
      </c>
      <c r="G15" s="16">
        <v>0.54166666666666663</v>
      </c>
      <c r="H15" s="16">
        <v>0.79166666666666663</v>
      </c>
      <c r="I15" s="16">
        <v>0.875</v>
      </c>
      <c r="J15" s="16">
        <v>0.83333333333333337</v>
      </c>
      <c r="K15" s="16">
        <v>0.625</v>
      </c>
      <c r="L15" s="16">
        <v>0.79166666666666663</v>
      </c>
      <c r="M15" s="16">
        <v>0.5</v>
      </c>
      <c r="N15" s="16">
        <v>1.375</v>
      </c>
      <c r="O15" s="16">
        <v>0.375</v>
      </c>
      <c r="P15" s="16">
        <v>0.54166666666666663</v>
      </c>
      <c r="Q15" s="16">
        <v>0</v>
      </c>
      <c r="R15" s="16">
        <v>0.41666666666666669</v>
      </c>
      <c r="S15" s="16">
        <v>0</v>
      </c>
      <c r="T15" s="52">
        <v>0.83333333333333337</v>
      </c>
      <c r="U15" s="85">
        <f t="shared" ref="U15:U17" si="1">SUM(C15:T15)</f>
        <v>11.416666666666666</v>
      </c>
    </row>
    <row r="16" spans="1:21">
      <c r="A16" s="1" t="s">
        <v>1</v>
      </c>
      <c r="B16" s="5" t="s">
        <v>73</v>
      </c>
      <c r="C16" s="15">
        <v>1.125</v>
      </c>
      <c r="D16" s="16">
        <v>0.91666666666666663</v>
      </c>
      <c r="E16" s="16">
        <v>0</v>
      </c>
      <c r="F16" s="16">
        <v>0.79166666666666663</v>
      </c>
      <c r="G16" s="16">
        <v>0.33333333333333331</v>
      </c>
      <c r="H16" s="16">
        <v>0.66666666666666663</v>
      </c>
      <c r="I16" s="16">
        <v>1.7916666666666665</v>
      </c>
      <c r="J16" s="16">
        <v>0.66666666666666663</v>
      </c>
      <c r="K16" s="16">
        <v>0.79166666666666663</v>
      </c>
      <c r="L16" s="16">
        <v>0.91666666666666663</v>
      </c>
      <c r="M16" s="16">
        <v>1</v>
      </c>
      <c r="N16" s="16">
        <v>0.41666666666666669</v>
      </c>
      <c r="O16" s="16">
        <v>1.2916666666666667</v>
      </c>
      <c r="P16" s="16">
        <v>0.45833333333333331</v>
      </c>
      <c r="Q16" s="16">
        <v>0</v>
      </c>
      <c r="R16" s="16">
        <v>0.45833333333333331</v>
      </c>
      <c r="S16" s="16">
        <v>0.29166666666666669</v>
      </c>
      <c r="T16" s="52">
        <v>0.41666666666666669</v>
      </c>
      <c r="U16" s="85">
        <f t="shared" si="1"/>
        <v>12.333333333333332</v>
      </c>
    </row>
    <row r="17" spans="1:21">
      <c r="A17" s="1" t="s">
        <v>1</v>
      </c>
      <c r="B17" s="5" t="s">
        <v>74</v>
      </c>
      <c r="C17" s="15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0.16666666666666666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52">
        <v>0</v>
      </c>
      <c r="U17" s="85">
        <f t="shared" si="1"/>
        <v>0.16666666666666666</v>
      </c>
    </row>
    <row r="18" spans="1:21">
      <c r="A18" s="1" t="s">
        <v>1</v>
      </c>
      <c r="B18" s="5" t="s">
        <v>75</v>
      </c>
      <c r="C18" s="15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52">
        <v>0</v>
      </c>
      <c r="U18" s="85"/>
    </row>
    <row r="19" spans="1:21">
      <c r="A19" s="1" t="s">
        <v>1</v>
      </c>
      <c r="B19" s="5" t="s">
        <v>76</v>
      </c>
      <c r="C19" s="15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52">
        <v>0</v>
      </c>
      <c r="U19" s="85"/>
    </row>
    <row r="20" spans="1:21">
      <c r="A20" s="1" t="s">
        <v>1</v>
      </c>
      <c r="B20" s="5" t="s">
        <v>77</v>
      </c>
      <c r="C20" s="15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52">
        <v>0</v>
      </c>
      <c r="U20" s="85"/>
    </row>
    <row r="21" spans="1:21">
      <c r="A21" s="1" t="s">
        <v>1</v>
      </c>
      <c r="B21" s="5" t="s">
        <v>78</v>
      </c>
      <c r="C21" s="15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52">
        <v>0</v>
      </c>
      <c r="U21" s="85"/>
    </row>
    <row r="22" spans="1:21">
      <c r="A22" s="1" t="s">
        <v>1</v>
      </c>
      <c r="B22" s="5" t="s">
        <v>79</v>
      </c>
      <c r="C22" s="15">
        <v>0.45833333333333331</v>
      </c>
      <c r="D22" s="16">
        <v>0.875</v>
      </c>
      <c r="E22" s="16">
        <v>0</v>
      </c>
      <c r="F22" s="16">
        <v>1.1666666666666667</v>
      </c>
      <c r="G22" s="16">
        <v>0.58333333333333337</v>
      </c>
      <c r="H22" s="16">
        <v>1.7916666666666665</v>
      </c>
      <c r="I22" s="16">
        <v>0.125</v>
      </c>
      <c r="J22" s="16">
        <v>0.20833333333333334</v>
      </c>
      <c r="K22" s="16">
        <v>0.25</v>
      </c>
      <c r="L22" s="16">
        <v>0.45833333333333331</v>
      </c>
      <c r="M22" s="16">
        <v>0.41666666666666669</v>
      </c>
      <c r="N22" s="16">
        <v>2.0833333333333335</v>
      </c>
      <c r="O22" s="16">
        <v>0.29166666666666669</v>
      </c>
      <c r="P22" s="16">
        <v>1.5416666666666665</v>
      </c>
      <c r="Q22" s="16">
        <v>1.1666666666666667</v>
      </c>
      <c r="R22" s="16">
        <v>0</v>
      </c>
      <c r="S22" s="16">
        <v>0.20833333333333334</v>
      </c>
      <c r="T22" s="52">
        <v>2.125</v>
      </c>
      <c r="U22" s="85">
        <f>SUM(C22:T22)</f>
        <v>13.749999999999998</v>
      </c>
    </row>
    <row r="23" spans="1:21" ht="19.5" thickBot="1">
      <c r="A23" s="1" t="s">
        <v>1</v>
      </c>
      <c r="B23" s="6" t="s">
        <v>80</v>
      </c>
      <c r="C23" s="36">
        <v>15</v>
      </c>
      <c r="D23" s="37">
        <v>29</v>
      </c>
      <c r="E23" s="37">
        <v>28</v>
      </c>
      <c r="F23" s="37">
        <v>31</v>
      </c>
      <c r="G23" s="37">
        <v>26</v>
      </c>
      <c r="H23" s="37">
        <v>31</v>
      </c>
      <c r="I23" s="37">
        <v>28</v>
      </c>
      <c r="J23" s="37">
        <v>16</v>
      </c>
      <c r="K23" s="37">
        <v>27</v>
      </c>
      <c r="L23" s="37">
        <v>33</v>
      </c>
      <c r="M23" s="37">
        <v>0</v>
      </c>
      <c r="N23" s="37">
        <v>12</v>
      </c>
      <c r="O23" s="37">
        <v>26</v>
      </c>
      <c r="P23" s="37">
        <v>17</v>
      </c>
      <c r="Q23" s="37">
        <v>11</v>
      </c>
      <c r="R23" s="37">
        <v>0</v>
      </c>
      <c r="S23" s="37">
        <v>0</v>
      </c>
      <c r="T23" s="53">
        <v>0</v>
      </c>
      <c r="U23" s="86">
        <f>SUM(C23:T23)</f>
        <v>330</v>
      </c>
    </row>
    <row r="24" spans="1:21">
      <c r="A24" s="1" t="s">
        <v>1</v>
      </c>
      <c r="B24" s="24" t="s">
        <v>81</v>
      </c>
      <c r="C24" s="33">
        <v>177000</v>
      </c>
      <c r="D24" s="34">
        <v>187000</v>
      </c>
      <c r="E24" s="34">
        <v>187000</v>
      </c>
      <c r="F24" s="34">
        <v>192000</v>
      </c>
      <c r="G24" s="34">
        <v>187000</v>
      </c>
      <c r="H24" s="34">
        <v>192000</v>
      </c>
      <c r="I24" s="34">
        <v>177000</v>
      </c>
      <c r="J24" s="34">
        <v>177000</v>
      </c>
      <c r="K24" s="34">
        <v>177000</v>
      </c>
      <c r="L24" s="34">
        <v>187000</v>
      </c>
      <c r="M24" s="34">
        <v>177000</v>
      </c>
      <c r="N24" s="34">
        <v>177000</v>
      </c>
      <c r="O24" s="34">
        <v>170000</v>
      </c>
      <c r="P24" s="34">
        <v>170000</v>
      </c>
      <c r="Q24" s="34">
        <v>175000</v>
      </c>
      <c r="R24" s="34">
        <v>170000</v>
      </c>
      <c r="S24" s="34">
        <v>170000</v>
      </c>
      <c r="T24" s="54">
        <v>170000</v>
      </c>
      <c r="U24" s="87">
        <f>SUM(C24:T24)</f>
        <v>3219000</v>
      </c>
    </row>
    <row r="25" spans="1:21">
      <c r="A25" s="1" t="s">
        <v>1</v>
      </c>
      <c r="B25" s="5" t="s">
        <v>82</v>
      </c>
      <c r="C25" s="18">
        <v>0</v>
      </c>
      <c r="D25" s="19">
        <v>0</v>
      </c>
      <c r="E25" s="19">
        <v>20000</v>
      </c>
      <c r="F25" s="19">
        <v>5000</v>
      </c>
      <c r="G25" s="19">
        <v>5000</v>
      </c>
      <c r="H25" s="19">
        <v>5000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55">
        <v>0</v>
      </c>
      <c r="U25" s="88">
        <f t="shared" ref="U25:U65" si="2">SUM(C25:T25)</f>
        <v>35000</v>
      </c>
    </row>
    <row r="26" spans="1:21">
      <c r="A26" s="1" t="s">
        <v>1</v>
      </c>
      <c r="B26" s="5" t="s">
        <v>83</v>
      </c>
      <c r="C26" s="18">
        <v>0</v>
      </c>
      <c r="D26" s="19">
        <v>0</v>
      </c>
      <c r="E26" s="19">
        <v>3000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55">
        <v>0</v>
      </c>
      <c r="U26" s="88">
        <f t="shared" si="2"/>
        <v>3000</v>
      </c>
    </row>
    <row r="27" spans="1:21">
      <c r="A27" s="1" t="s">
        <v>1</v>
      </c>
      <c r="B27" s="5" t="s">
        <v>84</v>
      </c>
      <c r="C27" s="18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55">
        <v>0</v>
      </c>
      <c r="U27" s="88">
        <f t="shared" si="2"/>
        <v>0</v>
      </c>
    </row>
    <row r="28" spans="1:21">
      <c r="A28" s="1" t="s">
        <v>1</v>
      </c>
      <c r="B28" s="5" t="s">
        <v>85</v>
      </c>
      <c r="C28" s="18">
        <v>0</v>
      </c>
      <c r="D28" s="19">
        <v>0</v>
      </c>
      <c r="E28" s="19">
        <v>129676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12224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55">
        <v>0</v>
      </c>
      <c r="U28" s="88">
        <f t="shared" si="2"/>
        <v>141900</v>
      </c>
    </row>
    <row r="29" spans="1:21">
      <c r="A29" s="1" t="s">
        <v>1</v>
      </c>
      <c r="B29" s="5" t="s">
        <v>86</v>
      </c>
      <c r="C29" s="18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55">
        <v>0</v>
      </c>
      <c r="U29" s="88">
        <f t="shared" si="2"/>
        <v>0</v>
      </c>
    </row>
    <row r="30" spans="1:21">
      <c r="A30" s="1" t="s">
        <v>1</v>
      </c>
      <c r="B30" s="5" t="s">
        <v>87</v>
      </c>
      <c r="C30" s="18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55">
        <v>0</v>
      </c>
      <c r="U30" s="88">
        <f t="shared" si="2"/>
        <v>0</v>
      </c>
    </row>
    <row r="31" spans="1:21">
      <c r="A31" s="1" t="s">
        <v>1</v>
      </c>
      <c r="B31" s="5" t="s">
        <v>88</v>
      </c>
      <c r="C31" s="18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55">
        <v>0</v>
      </c>
      <c r="U31" s="88">
        <f t="shared" si="2"/>
        <v>0</v>
      </c>
    </row>
    <row r="32" spans="1:21">
      <c r="A32" s="1" t="s">
        <v>1</v>
      </c>
      <c r="B32" s="5" t="s">
        <v>89</v>
      </c>
      <c r="C32" s="18">
        <v>2000</v>
      </c>
      <c r="D32" s="19">
        <v>2000</v>
      </c>
      <c r="E32" s="19">
        <v>2000</v>
      </c>
      <c r="F32" s="19">
        <v>2000</v>
      </c>
      <c r="G32" s="19">
        <v>2000</v>
      </c>
      <c r="H32" s="19">
        <v>2000</v>
      </c>
      <c r="I32" s="19">
        <v>2000</v>
      </c>
      <c r="J32" s="19">
        <v>2000</v>
      </c>
      <c r="K32" s="19">
        <v>2000</v>
      </c>
      <c r="L32" s="19">
        <v>2000</v>
      </c>
      <c r="M32" s="19">
        <v>1000</v>
      </c>
      <c r="N32" s="19">
        <v>1000</v>
      </c>
      <c r="O32" s="19">
        <v>1000</v>
      </c>
      <c r="P32" s="19">
        <v>1000</v>
      </c>
      <c r="Q32" s="19">
        <v>2000</v>
      </c>
      <c r="R32" s="19">
        <v>0</v>
      </c>
      <c r="S32" s="19">
        <v>0</v>
      </c>
      <c r="T32" s="55">
        <v>0</v>
      </c>
      <c r="U32" s="88">
        <f t="shared" si="2"/>
        <v>26000</v>
      </c>
    </row>
    <row r="33" spans="1:21">
      <c r="A33" s="1" t="s">
        <v>1</v>
      </c>
      <c r="B33" s="5" t="s">
        <v>90</v>
      </c>
      <c r="C33" s="18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55">
        <v>0</v>
      </c>
      <c r="U33" s="88">
        <f t="shared" si="2"/>
        <v>0</v>
      </c>
    </row>
    <row r="34" spans="1:21">
      <c r="A34" s="1" t="s">
        <v>1</v>
      </c>
      <c r="B34" s="5" t="s">
        <v>91</v>
      </c>
      <c r="C34" s="18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55">
        <v>0</v>
      </c>
      <c r="U34" s="88">
        <f t="shared" si="2"/>
        <v>0</v>
      </c>
    </row>
    <row r="35" spans="1:21">
      <c r="A35" s="1" t="s">
        <v>1</v>
      </c>
      <c r="B35" s="5" t="s">
        <v>92</v>
      </c>
      <c r="C35" s="18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55">
        <v>0</v>
      </c>
      <c r="U35" s="88">
        <f t="shared" si="2"/>
        <v>0</v>
      </c>
    </row>
    <row r="36" spans="1:21">
      <c r="A36" s="1" t="s">
        <v>1</v>
      </c>
      <c r="B36" s="5" t="s">
        <v>93</v>
      </c>
      <c r="C36" s="18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55">
        <v>0</v>
      </c>
      <c r="U36" s="88">
        <f t="shared" si="2"/>
        <v>0</v>
      </c>
    </row>
    <row r="37" spans="1:21">
      <c r="A37" s="1" t="s">
        <v>1</v>
      </c>
      <c r="B37" s="5" t="s">
        <v>71</v>
      </c>
      <c r="C37" s="18">
        <v>52260</v>
      </c>
      <c r="D37" s="19">
        <v>104710</v>
      </c>
      <c r="E37" s="19">
        <v>7930</v>
      </c>
      <c r="F37" s="19">
        <v>108770</v>
      </c>
      <c r="G37" s="19">
        <v>58120</v>
      </c>
      <c r="H37" s="19">
        <v>135590</v>
      </c>
      <c r="I37" s="19">
        <v>62980</v>
      </c>
      <c r="J37" s="19">
        <v>69680</v>
      </c>
      <c r="K37" s="19">
        <v>97820</v>
      </c>
      <c r="L37" s="19">
        <v>90560</v>
      </c>
      <c r="M37" s="19">
        <v>46655</v>
      </c>
      <c r="N37" s="19">
        <v>62651</v>
      </c>
      <c r="O37" s="19">
        <v>60160</v>
      </c>
      <c r="P37" s="19">
        <v>121600</v>
      </c>
      <c r="Q37" s="19">
        <v>45050</v>
      </c>
      <c r="R37" s="19">
        <v>22914</v>
      </c>
      <c r="S37" s="19">
        <v>70015</v>
      </c>
      <c r="T37" s="55">
        <v>58558</v>
      </c>
      <c r="U37" s="88">
        <f t="shared" si="2"/>
        <v>1276023</v>
      </c>
    </row>
    <row r="38" spans="1:21">
      <c r="A38" s="1" t="s">
        <v>1</v>
      </c>
      <c r="B38" s="5" t="s">
        <v>94</v>
      </c>
      <c r="C38" s="18">
        <v>26046</v>
      </c>
      <c r="D38" s="19">
        <v>15280</v>
      </c>
      <c r="E38" s="19">
        <v>8565</v>
      </c>
      <c r="F38" s="19">
        <v>59533</v>
      </c>
      <c r="G38" s="19">
        <v>20397</v>
      </c>
      <c r="H38" s="19">
        <v>30571</v>
      </c>
      <c r="I38" s="19">
        <v>30387</v>
      </c>
      <c r="J38" s="19">
        <v>28940</v>
      </c>
      <c r="K38" s="19">
        <v>21705</v>
      </c>
      <c r="L38" s="19">
        <v>29032</v>
      </c>
      <c r="M38" s="19">
        <v>17268</v>
      </c>
      <c r="N38" s="19">
        <v>47487</v>
      </c>
      <c r="O38" s="19">
        <v>12438</v>
      </c>
      <c r="P38" s="19">
        <v>17966</v>
      </c>
      <c r="Q38" s="19">
        <v>0</v>
      </c>
      <c r="R38" s="19">
        <v>13740</v>
      </c>
      <c r="S38" s="19">
        <v>0</v>
      </c>
      <c r="T38" s="55">
        <v>27480</v>
      </c>
      <c r="U38" s="88">
        <f t="shared" si="2"/>
        <v>406835</v>
      </c>
    </row>
    <row r="39" spans="1:21">
      <c r="A39" s="1" t="s">
        <v>1</v>
      </c>
      <c r="B39" s="5" t="s">
        <v>95</v>
      </c>
      <c r="C39" s="18">
        <v>39069</v>
      </c>
      <c r="D39" s="19">
        <v>33616</v>
      </c>
      <c r="E39" s="19">
        <v>0</v>
      </c>
      <c r="F39" s="19">
        <v>30571</v>
      </c>
      <c r="G39" s="19">
        <v>12552</v>
      </c>
      <c r="H39" s="19">
        <v>25744</v>
      </c>
      <c r="I39" s="19">
        <v>62221</v>
      </c>
      <c r="J39" s="19">
        <v>23152</v>
      </c>
      <c r="K39" s="19">
        <v>27493</v>
      </c>
      <c r="L39" s="19">
        <v>33616</v>
      </c>
      <c r="M39" s="19">
        <v>34536</v>
      </c>
      <c r="N39" s="19">
        <v>14390</v>
      </c>
      <c r="O39" s="19">
        <v>42842</v>
      </c>
      <c r="P39" s="19">
        <v>15202</v>
      </c>
      <c r="Q39" s="19">
        <v>0</v>
      </c>
      <c r="R39" s="19">
        <v>15114</v>
      </c>
      <c r="S39" s="19">
        <v>9618</v>
      </c>
      <c r="T39" s="55">
        <v>13740</v>
      </c>
      <c r="U39" s="88">
        <f t="shared" si="2"/>
        <v>433476</v>
      </c>
    </row>
    <row r="40" spans="1:21">
      <c r="A40" s="1" t="s">
        <v>1</v>
      </c>
      <c r="B40" s="5" t="s">
        <v>96</v>
      </c>
      <c r="C40" s="18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1492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55">
        <v>0</v>
      </c>
      <c r="U40" s="88">
        <f t="shared" si="2"/>
        <v>1492</v>
      </c>
    </row>
    <row r="41" spans="1:21">
      <c r="A41" s="1" t="s">
        <v>1</v>
      </c>
      <c r="B41" s="5" t="s">
        <v>97</v>
      </c>
      <c r="C41" s="18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55">
        <v>0</v>
      </c>
      <c r="U41" s="88">
        <f t="shared" si="2"/>
        <v>0</v>
      </c>
    </row>
    <row r="42" spans="1:21">
      <c r="A42" s="1" t="s">
        <v>1</v>
      </c>
      <c r="B42" s="5" t="s">
        <v>98</v>
      </c>
      <c r="C42" s="18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55">
        <v>0</v>
      </c>
      <c r="U42" s="88">
        <f t="shared" si="2"/>
        <v>0</v>
      </c>
    </row>
    <row r="43" spans="1:21">
      <c r="A43" s="1" t="s">
        <v>1</v>
      </c>
      <c r="B43" s="5" t="s">
        <v>76</v>
      </c>
      <c r="C43" s="18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55">
        <v>0</v>
      </c>
      <c r="U43" s="88">
        <f t="shared" si="2"/>
        <v>0</v>
      </c>
    </row>
    <row r="44" spans="1:21" ht="19.5" thickBot="1">
      <c r="A44" s="1" t="s">
        <v>1</v>
      </c>
      <c r="B44" s="39" t="s">
        <v>79</v>
      </c>
      <c r="C44" s="40">
        <v>2948</v>
      </c>
      <c r="D44" s="41">
        <v>5943</v>
      </c>
      <c r="E44" s="41">
        <v>0</v>
      </c>
      <c r="F44" s="41">
        <v>8344</v>
      </c>
      <c r="G44" s="41">
        <v>4074</v>
      </c>
      <c r="H44" s="41">
        <v>12814</v>
      </c>
      <c r="I44" s="41">
        <v>804</v>
      </c>
      <c r="J44" s="41">
        <v>1340</v>
      </c>
      <c r="K44" s="41">
        <v>1608</v>
      </c>
      <c r="L44" s="41">
        <v>3113</v>
      </c>
      <c r="M44" s="41">
        <v>2670</v>
      </c>
      <c r="N44" s="41">
        <v>13350</v>
      </c>
      <c r="O44" s="41">
        <v>1792</v>
      </c>
      <c r="P44" s="41">
        <v>9472</v>
      </c>
      <c r="Q44" s="41">
        <v>7420</v>
      </c>
      <c r="R44" s="41">
        <v>0</v>
      </c>
      <c r="S44" s="41">
        <v>1275</v>
      </c>
      <c r="T44" s="56">
        <v>13005</v>
      </c>
      <c r="U44" s="89">
        <f t="shared" si="2"/>
        <v>89972</v>
      </c>
    </row>
    <row r="45" spans="1:21" ht="19.5" thickBot="1">
      <c r="A45" s="1" t="s">
        <v>1</v>
      </c>
      <c r="B45" s="43" t="s">
        <v>99</v>
      </c>
      <c r="C45" s="44">
        <v>299323</v>
      </c>
      <c r="D45" s="45">
        <v>348549</v>
      </c>
      <c r="E45" s="45">
        <v>358171</v>
      </c>
      <c r="F45" s="45">
        <v>406218</v>
      </c>
      <c r="G45" s="45">
        <v>289143</v>
      </c>
      <c r="H45" s="45">
        <v>403719</v>
      </c>
      <c r="I45" s="45">
        <v>335392</v>
      </c>
      <c r="J45" s="45">
        <v>302112</v>
      </c>
      <c r="K45" s="45">
        <v>327626</v>
      </c>
      <c r="L45" s="45">
        <v>357545</v>
      </c>
      <c r="M45" s="45">
        <v>280621</v>
      </c>
      <c r="N45" s="45">
        <v>315878</v>
      </c>
      <c r="O45" s="45">
        <v>288232</v>
      </c>
      <c r="P45" s="45">
        <v>335240</v>
      </c>
      <c r="Q45" s="45">
        <v>229470</v>
      </c>
      <c r="R45" s="45">
        <v>221768</v>
      </c>
      <c r="S45" s="45">
        <v>250908</v>
      </c>
      <c r="T45" s="57">
        <v>282783</v>
      </c>
      <c r="U45" s="90">
        <f t="shared" si="2"/>
        <v>5632698</v>
      </c>
    </row>
    <row r="46" spans="1:21" ht="19.5" thickBot="1">
      <c r="A46" s="1" t="s">
        <v>1</v>
      </c>
      <c r="B46" s="24" t="s">
        <v>100</v>
      </c>
      <c r="C46" s="33">
        <v>12525</v>
      </c>
      <c r="D46" s="34">
        <v>3132</v>
      </c>
      <c r="E46" s="34">
        <v>3523</v>
      </c>
      <c r="F46" s="34">
        <v>3523</v>
      </c>
      <c r="G46" s="34">
        <v>13203</v>
      </c>
      <c r="H46" s="34">
        <v>2610</v>
      </c>
      <c r="I46" s="34">
        <v>2505</v>
      </c>
      <c r="J46" s="34">
        <v>1201</v>
      </c>
      <c r="K46" s="34">
        <v>3262</v>
      </c>
      <c r="L46" s="34">
        <v>5010</v>
      </c>
      <c r="M46" s="34">
        <v>6524</v>
      </c>
      <c r="N46" s="34">
        <v>4567</v>
      </c>
      <c r="O46" s="34">
        <v>7828</v>
      </c>
      <c r="P46" s="34">
        <v>6524</v>
      </c>
      <c r="Q46" s="34">
        <v>8872</v>
      </c>
      <c r="R46" s="34">
        <v>4201</v>
      </c>
      <c r="S46" s="34">
        <v>10803</v>
      </c>
      <c r="T46" s="54">
        <v>7828</v>
      </c>
      <c r="U46" s="87">
        <f t="shared" si="2"/>
        <v>107641</v>
      </c>
    </row>
    <row r="47" spans="1:21" ht="19.5" thickBot="1">
      <c r="A47" s="1" t="s">
        <v>1</v>
      </c>
      <c r="B47" s="43" t="s">
        <v>101</v>
      </c>
      <c r="C47" s="44">
        <v>12525</v>
      </c>
      <c r="D47" s="45">
        <v>3132</v>
      </c>
      <c r="E47" s="45">
        <v>3523</v>
      </c>
      <c r="F47" s="45">
        <v>3523</v>
      </c>
      <c r="G47" s="45">
        <v>13203</v>
      </c>
      <c r="H47" s="45">
        <v>2610</v>
      </c>
      <c r="I47" s="45">
        <v>2505</v>
      </c>
      <c r="J47" s="45">
        <v>1201</v>
      </c>
      <c r="K47" s="45">
        <v>3262</v>
      </c>
      <c r="L47" s="45">
        <v>5010</v>
      </c>
      <c r="M47" s="45">
        <v>6524</v>
      </c>
      <c r="N47" s="45">
        <v>4567</v>
      </c>
      <c r="O47" s="45">
        <v>7828</v>
      </c>
      <c r="P47" s="45">
        <v>6524</v>
      </c>
      <c r="Q47" s="45">
        <v>8872</v>
      </c>
      <c r="R47" s="45">
        <v>4201</v>
      </c>
      <c r="S47" s="45">
        <v>10803</v>
      </c>
      <c r="T47" s="57">
        <v>7828</v>
      </c>
      <c r="U47" s="90">
        <f t="shared" si="2"/>
        <v>107641</v>
      </c>
    </row>
    <row r="48" spans="1:21" ht="19.5" thickBot="1">
      <c r="A48" s="1" t="s">
        <v>1</v>
      </c>
      <c r="B48" s="43" t="s">
        <v>102</v>
      </c>
      <c r="C48" s="44">
        <v>311848</v>
      </c>
      <c r="D48" s="45">
        <v>351681</v>
      </c>
      <c r="E48" s="45">
        <v>361694</v>
      </c>
      <c r="F48" s="45">
        <v>409741</v>
      </c>
      <c r="G48" s="45">
        <v>302346</v>
      </c>
      <c r="H48" s="45">
        <v>406329</v>
      </c>
      <c r="I48" s="45">
        <v>337897</v>
      </c>
      <c r="J48" s="45">
        <v>303313</v>
      </c>
      <c r="K48" s="45">
        <v>330888</v>
      </c>
      <c r="L48" s="45">
        <v>362555</v>
      </c>
      <c r="M48" s="45">
        <v>287145</v>
      </c>
      <c r="N48" s="45">
        <v>320445</v>
      </c>
      <c r="O48" s="45">
        <v>296060</v>
      </c>
      <c r="P48" s="45">
        <v>341764</v>
      </c>
      <c r="Q48" s="45">
        <v>238342</v>
      </c>
      <c r="R48" s="45">
        <v>225969</v>
      </c>
      <c r="S48" s="45">
        <v>261711</v>
      </c>
      <c r="T48" s="57">
        <v>290611</v>
      </c>
      <c r="U48" s="90">
        <f t="shared" si="2"/>
        <v>5740339</v>
      </c>
    </row>
    <row r="49" spans="1:21">
      <c r="A49" s="1" t="s">
        <v>1</v>
      </c>
      <c r="B49" s="24" t="s">
        <v>103</v>
      </c>
      <c r="C49" s="33">
        <v>16320</v>
      </c>
      <c r="D49" s="34">
        <v>19380</v>
      </c>
      <c r="E49" s="34">
        <v>19380</v>
      </c>
      <c r="F49" s="34">
        <v>18360</v>
      </c>
      <c r="G49" s="34">
        <v>16320</v>
      </c>
      <c r="H49" s="34">
        <v>19380</v>
      </c>
      <c r="I49" s="34">
        <v>17340</v>
      </c>
      <c r="J49" s="34">
        <v>16320</v>
      </c>
      <c r="K49" s="34">
        <v>16320</v>
      </c>
      <c r="L49" s="34">
        <v>18360</v>
      </c>
      <c r="M49" s="34">
        <v>15300</v>
      </c>
      <c r="N49" s="34">
        <v>17340</v>
      </c>
      <c r="O49" s="34">
        <v>15300</v>
      </c>
      <c r="P49" s="34">
        <v>17340</v>
      </c>
      <c r="Q49" s="34">
        <v>14280</v>
      </c>
      <c r="R49" s="34">
        <v>15300</v>
      </c>
      <c r="S49" s="34">
        <v>13260</v>
      </c>
      <c r="T49" s="54">
        <v>13260</v>
      </c>
      <c r="U49" s="87">
        <f t="shared" si="2"/>
        <v>298860</v>
      </c>
    </row>
    <row r="50" spans="1:21">
      <c r="A50" s="1" t="s">
        <v>1</v>
      </c>
      <c r="B50" s="5" t="s">
        <v>104</v>
      </c>
      <c r="C50" s="18">
        <v>2880</v>
      </c>
      <c r="D50" s="19">
        <v>3420</v>
      </c>
      <c r="E50" s="19">
        <v>3420</v>
      </c>
      <c r="F50" s="19">
        <v>3240</v>
      </c>
      <c r="G50" s="19">
        <v>2880</v>
      </c>
      <c r="H50" s="19">
        <v>3420</v>
      </c>
      <c r="I50" s="19">
        <v>3060</v>
      </c>
      <c r="J50" s="19">
        <v>2880</v>
      </c>
      <c r="K50" s="19">
        <v>2880</v>
      </c>
      <c r="L50" s="19">
        <v>3240</v>
      </c>
      <c r="M50" s="19">
        <v>2700</v>
      </c>
      <c r="N50" s="19">
        <v>3060</v>
      </c>
      <c r="O50" s="19">
        <v>2700</v>
      </c>
      <c r="P50" s="19">
        <v>3060</v>
      </c>
      <c r="Q50" s="19">
        <v>2520</v>
      </c>
      <c r="R50" s="19">
        <v>0</v>
      </c>
      <c r="S50" s="19">
        <v>0</v>
      </c>
      <c r="T50" s="55">
        <v>2340</v>
      </c>
      <c r="U50" s="88">
        <f t="shared" si="2"/>
        <v>47700</v>
      </c>
    </row>
    <row r="51" spans="1:21">
      <c r="A51" s="1" t="s">
        <v>1</v>
      </c>
      <c r="B51" s="5" t="s">
        <v>105</v>
      </c>
      <c r="C51" s="18">
        <v>29280</v>
      </c>
      <c r="D51" s="19">
        <v>34770</v>
      </c>
      <c r="E51" s="19">
        <v>34770</v>
      </c>
      <c r="F51" s="19">
        <v>32940</v>
      </c>
      <c r="G51" s="19">
        <v>29280</v>
      </c>
      <c r="H51" s="19">
        <v>34770</v>
      </c>
      <c r="I51" s="19">
        <v>31110</v>
      </c>
      <c r="J51" s="19">
        <v>29280</v>
      </c>
      <c r="K51" s="19">
        <v>29280</v>
      </c>
      <c r="L51" s="19">
        <v>32940</v>
      </c>
      <c r="M51" s="19">
        <v>27450</v>
      </c>
      <c r="N51" s="19">
        <v>31110</v>
      </c>
      <c r="O51" s="19">
        <v>27450</v>
      </c>
      <c r="P51" s="19">
        <v>31110</v>
      </c>
      <c r="Q51" s="19">
        <v>25620</v>
      </c>
      <c r="R51" s="19">
        <v>27450</v>
      </c>
      <c r="S51" s="19">
        <v>23790</v>
      </c>
      <c r="T51" s="55">
        <v>23790</v>
      </c>
      <c r="U51" s="88">
        <f t="shared" si="2"/>
        <v>536190</v>
      </c>
    </row>
    <row r="52" spans="1:21" ht="19.5" thickBot="1">
      <c r="A52" s="1" t="s">
        <v>1</v>
      </c>
      <c r="B52" s="5" t="s">
        <v>106</v>
      </c>
      <c r="C52" s="18">
        <v>936</v>
      </c>
      <c r="D52" s="19">
        <v>1055</v>
      </c>
      <c r="E52" s="19">
        <v>1085</v>
      </c>
      <c r="F52" s="19">
        <v>1229</v>
      </c>
      <c r="G52" s="19">
        <v>907</v>
      </c>
      <c r="H52" s="19">
        <v>1219</v>
      </c>
      <c r="I52" s="19">
        <v>1014</v>
      </c>
      <c r="J52" s="19">
        <v>910</v>
      </c>
      <c r="K52" s="19">
        <v>993</v>
      </c>
      <c r="L52" s="19">
        <v>1088</v>
      </c>
      <c r="M52" s="19">
        <v>861</v>
      </c>
      <c r="N52" s="19">
        <v>961</v>
      </c>
      <c r="O52" s="19">
        <v>888</v>
      </c>
      <c r="P52" s="19">
        <v>1025</v>
      </c>
      <c r="Q52" s="19">
        <v>715</v>
      </c>
      <c r="R52" s="19">
        <v>678</v>
      </c>
      <c r="S52" s="19">
        <v>785</v>
      </c>
      <c r="T52" s="55">
        <v>872</v>
      </c>
      <c r="U52" s="88">
        <f t="shared" si="2"/>
        <v>17221</v>
      </c>
    </row>
    <row r="53" spans="1:21" ht="19.5" thickBot="1">
      <c r="A53" s="1" t="s">
        <v>1</v>
      </c>
      <c r="B53" s="43" t="s">
        <v>107</v>
      </c>
      <c r="C53" s="44">
        <v>49416</v>
      </c>
      <c r="D53" s="45">
        <v>58625</v>
      </c>
      <c r="E53" s="45">
        <v>58655</v>
      </c>
      <c r="F53" s="45">
        <v>55769</v>
      </c>
      <c r="G53" s="45">
        <v>49387</v>
      </c>
      <c r="H53" s="45">
        <v>58789</v>
      </c>
      <c r="I53" s="45">
        <v>52524</v>
      </c>
      <c r="J53" s="45">
        <v>49390</v>
      </c>
      <c r="K53" s="45">
        <v>49473</v>
      </c>
      <c r="L53" s="45">
        <v>55628</v>
      </c>
      <c r="M53" s="45">
        <v>46311</v>
      </c>
      <c r="N53" s="45">
        <v>52471</v>
      </c>
      <c r="O53" s="45">
        <v>46338</v>
      </c>
      <c r="P53" s="45">
        <v>52535</v>
      </c>
      <c r="Q53" s="45">
        <v>43135</v>
      </c>
      <c r="R53" s="45">
        <v>43428</v>
      </c>
      <c r="S53" s="45">
        <v>37835</v>
      </c>
      <c r="T53" s="57">
        <v>40262</v>
      </c>
      <c r="U53" s="90">
        <f t="shared" si="2"/>
        <v>899971</v>
      </c>
    </row>
    <row r="54" spans="1:21">
      <c r="A54" s="1" t="s">
        <v>1</v>
      </c>
      <c r="B54" s="24" t="s">
        <v>108</v>
      </c>
      <c r="C54" s="33">
        <v>4930</v>
      </c>
      <c r="D54" s="34">
        <v>7980</v>
      </c>
      <c r="E54" s="34">
        <v>6700</v>
      </c>
      <c r="F54" s="34">
        <v>12500</v>
      </c>
      <c r="G54" s="34">
        <v>4570</v>
      </c>
      <c r="H54" s="34">
        <v>12050</v>
      </c>
      <c r="I54" s="34">
        <v>7730</v>
      </c>
      <c r="J54" s="34">
        <v>5030</v>
      </c>
      <c r="K54" s="34">
        <v>7560</v>
      </c>
      <c r="L54" s="34">
        <v>8540</v>
      </c>
      <c r="M54" s="34">
        <v>5990</v>
      </c>
      <c r="N54" s="34">
        <v>7030</v>
      </c>
      <c r="O54" s="34">
        <v>6260</v>
      </c>
      <c r="P54" s="34">
        <v>2870</v>
      </c>
      <c r="Q54" s="34">
        <v>4280</v>
      </c>
      <c r="R54" s="34">
        <v>3990</v>
      </c>
      <c r="S54" s="34">
        <v>5230</v>
      </c>
      <c r="T54" s="54">
        <v>6280</v>
      </c>
      <c r="U54" s="87">
        <f t="shared" si="2"/>
        <v>119520</v>
      </c>
    </row>
    <row r="55" spans="1:21">
      <c r="A55" s="1" t="s">
        <v>1</v>
      </c>
      <c r="B55" s="5" t="s">
        <v>109</v>
      </c>
      <c r="C55" s="18">
        <v>1300</v>
      </c>
      <c r="D55" s="19">
        <v>1300</v>
      </c>
      <c r="E55" s="19">
        <v>1300</v>
      </c>
      <c r="F55" s="19">
        <v>0</v>
      </c>
      <c r="G55" s="19">
        <v>1300</v>
      </c>
      <c r="H55" s="19">
        <v>1300</v>
      </c>
      <c r="I55" s="19">
        <v>1300</v>
      </c>
      <c r="J55" s="19">
        <v>1300</v>
      </c>
      <c r="K55" s="19">
        <v>1300</v>
      </c>
      <c r="L55" s="19">
        <v>1300</v>
      </c>
      <c r="M55" s="19">
        <v>0</v>
      </c>
      <c r="N55" s="19">
        <v>0</v>
      </c>
      <c r="O55" s="19">
        <v>1300</v>
      </c>
      <c r="P55" s="19">
        <v>1300</v>
      </c>
      <c r="Q55" s="19">
        <v>1300</v>
      </c>
      <c r="R55" s="19">
        <v>0</v>
      </c>
      <c r="S55" s="19">
        <v>0</v>
      </c>
      <c r="T55" s="55">
        <v>0</v>
      </c>
      <c r="U55" s="88">
        <f t="shared" si="2"/>
        <v>15600</v>
      </c>
    </row>
    <row r="56" spans="1:21">
      <c r="A56" s="1" t="s">
        <v>1</v>
      </c>
      <c r="B56" s="5" t="s">
        <v>110</v>
      </c>
      <c r="C56" s="18">
        <v>9900</v>
      </c>
      <c r="D56" s="19">
        <v>16100</v>
      </c>
      <c r="E56" s="19">
        <v>15700</v>
      </c>
      <c r="F56" s="19">
        <v>18800</v>
      </c>
      <c r="G56" s="19">
        <v>12100</v>
      </c>
      <c r="H56" s="19">
        <v>18500</v>
      </c>
      <c r="I56" s="19">
        <v>14500</v>
      </c>
      <c r="J56" s="19">
        <v>9300</v>
      </c>
      <c r="K56" s="19">
        <v>13400</v>
      </c>
      <c r="L56" s="19">
        <v>13900</v>
      </c>
      <c r="M56" s="19">
        <v>10400</v>
      </c>
      <c r="N56" s="19">
        <v>24600</v>
      </c>
      <c r="O56" s="19">
        <v>12200</v>
      </c>
      <c r="P56" s="19">
        <v>6700</v>
      </c>
      <c r="Q56" s="19">
        <v>0</v>
      </c>
      <c r="R56" s="19">
        <v>0</v>
      </c>
      <c r="S56" s="19">
        <v>0</v>
      </c>
      <c r="T56" s="55">
        <v>0</v>
      </c>
      <c r="U56" s="88">
        <f t="shared" si="2"/>
        <v>196100</v>
      </c>
    </row>
    <row r="57" spans="1:21">
      <c r="A57" s="1" t="s">
        <v>1</v>
      </c>
      <c r="B57" s="5" t="s">
        <v>111</v>
      </c>
      <c r="C57" s="18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55">
        <v>0</v>
      </c>
      <c r="U57" s="88">
        <f t="shared" si="2"/>
        <v>0</v>
      </c>
    </row>
    <row r="58" spans="1:21">
      <c r="A58" s="1" t="s">
        <v>1</v>
      </c>
      <c r="B58" s="5" t="s">
        <v>112</v>
      </c>
      <c r="C58" s="18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55">
        <v>0</v>
      </c>
      <c r="U58" s="88">
        <f t="shared" si="2"/>
        <v>0</v>
      </c>
    </row>
    <row r="59" spans="1:21">
      <c r="A59" s="1" t="s">
        <v>1</v>
      </c>
      <c r="B59" s="5" t="s">
        <v>113</v>
      </c>
      <c r="C59" s="18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55">
        <v>0</v>
      </c>
      <c r="U59" s="88">
        <f t="shared" si="2"/>
        <v>0</v>
      </c>
    </row>
    <row r="60" spans="1:21" ht="19.5" thickBot="1">
      <c r="A60" s="1" t="s">
        <v>1</v>
      </c>
      <c r="B60" s="39" t="s">
        <v>114</v>
      </c>
      <c r="C60" s="40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56">
        <v>0</v>
      </c>
      <c r="U60" s="89">
        <f t="shared" si="2"/>
        <v>0</v>
      </c>
    </row>
    <row r="61" spans="1:21" ht="19.5" thickBot="1">
      <c r="A61" s="1" t="s">
        <v>1</v>
      </c>
      <c r="B61" s="43" t="s">
        <v>115</v>
      </c>
      <c r="C61" s="44">
        <v>65546</v>
      </c>
      <c r="D61" s="45">
        <v>84005</v>
      </c>
      <c r="E61" s="45">
        <v>82355</v>
      </c>
      <c r="F61" s="45">
        <v>87069</v>
      </c>
      <c r="G61" s="45">
        <v>67357</v>
      </c>
      <c r="H61" s="45">
        <v>90639</v>
      </c>
      <c r="I61" s="45">
        <v>76054</v>
      </c>
      <c r="J61" s="45">
        <v>65020</v>
      </c>
      <c r="K61" s="45">
        <v>71733</v>
      </c>
      <c r="L61" s="45">
        <v>79368</v>
      </c>
      <c r="M61" s="45">
        <v>62701</v>
      </c>
      <c r="N61" s="45">
        <v>84101</v>
      </c>
      <c r="O61" s="45">
        <v>66098</v>
      </c>
      <c r="P61" s="45">
        <v>63405</v>
      </c>
      <c r="Q61" s="45">
        <v>48715</v>
      </c>
      <c r="R61" s="45">
        <v>47418</v>
      </c>
      <c r="S61" s="45">
        <v>43065</v>
      </c>
      <c r="T61" s="57">
        <v>46542</v>
      </c>
      <c r="U61" s="90">
        <f t="shared" si="2"/>
        <v>1231191</v>
      </c>
    </row>
    <row r="62" spans="1:21" ht="19.5" thickBot="1">
      <c r="A62" s="1" t="s">
        <v>1</v>
      </c>
      <c r="B62" s="43" t="s">
        <v>116</v>
      </c>
      <c r="C62" s="44">
        <v>249907</v>
      </c>
      <c r="D62" s="45">
        <v>289924</v>
      </c>
      <c r="E62" s="45">
        <v>299516</v>
      </c>
      <c r="F62" s="45">
        <v>350449</v>
      </c>
      <c r="G62" s="45">
        <v>239756</v>
      </c>
      <c r="H62" s="45">
        <v>344930</v>
      </c>
      <c r="I62" s="45">
        <v>282868</v>
      </c>
      <c r="J62" s="45">
        <v>252722</v>
      </c>
      <c r="K62" s="45">
        <v>278153</v>
      </c>
      <c r="L62" s="45">
        <v>301917</v>
      </c>
      <c r="M62" s="45">
        <v>234310</v>
      </c>
      <c r="N62" s="45">
        <v>263407</v>
      </c>
      <c r="O62" s="45">
        <v>241894</v>
      </c>
      <c r="P62" s="45">
        <v>282705</v>
      </c>
      <c r="Q62" s="45">
        <v>186335</v>
      </c>
      <c r="R62" s="45">
        <v>178340</v>
      </c>
      <c r="S62" s="45">
        <v>213073</v>
      </c>
      <c r="T62" s="57">
        <v>242521</v>
      </c>
      <c r="U62" s="90">
        <f t="shared" si="2"/>
        <v>4732727</v>
      </c>
    </row>
    <row r="63" spans="1:21" ht="19.5" thickBot="1">
      <c r="A63" s="1" t="s">
        <v>1</v>
      </c>
      <c r="B63" s="43" t="s">
        <v>117</v>
      </c>
      <c r="C63" s="44">
        <v>246302</v>
      </c>
      <c r="D63" s="45">
        <v>267676</v>
      </c>
      <c r="E63" s="45">
        <v>279339</v>
      </c>
      <c r="F63" s="45">
        <v>322672</v>
      </c>
      <c r="G63" s="45">
        <v>234989</v>
      </c>
      <c r="H63" s="45">
        <v>315690</v>
      </c>
      <c r="I63" s="45">
        <v>261843</v>
      </c>
      <c r="J63" s="45">
        <v>238293</v>
      </c>
      <c r="K63" s="45">
        <v>259155</v>
      </c>
      <c r="L63" s="45">
        <v>283187</v>
      </c>
      <c r="M63" s="45">
        <v>224444</v>
      </c>
      <c r="N63" s="45">
        <v>236344</v>
      </c>
      <c r="O63" s="45">
        <v>229962</v>
      </c>
      <c r="P63" s="45">
        <v>278359</v>
      </c>
      <c r="Q63" s="45">
        <v>189627</v>
      </c>
      <c r="R63" s="45">
        <v>178551</v>
      </c>
      <c r="S63" s="45">
        <v>218646</v>
      </c>
      <c r="T63" s="57">
        <v>244069</v>
      </c>
      <c r="U63" s="90">
        <f t="shared" si="2"/>
        <v>4509148</v>
      </c>
    </row>
    <row r="64" spans="1:21">
      <c r="A64" s="1" t="s">
        <v>1</v>
      </c>
      <c r="B64" s="24" t="s">
        <v>118</v>
      </c>
      <c r="C64" s="33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54">
        <v>0</v>
      </c>
      <c r="U64" s="87">
        <f t="shared" si="2"/>
        <v>0</v>
      </c>
    </row>
    <row r="65" spans="1:21">
      <c r="A65" s="1" t="s">
        <v>1</v>
      </c>
      <c r="B65" s="5" t="s">
        <v>119</v>
      </c>
      <c r="C65" s="18">
        <v>246302</v>
      </c>
      <c r="D65" s="19">
        <v>267676</v>
      </c>
      <c r="E65" s="19">
        <v>279339</v>
      </c>
      <c r="F65" s="19">
        <v>322672</v>
      </c>
      <c r="G65" s="19">
        <v>234989</v>
      </c>
      <c r="H65" s="19">
        <v>315690</v>
      </c>
      <c r="I65" s="19">
        <v>261843</v>
      </c>
      <c r="J65" s="19">
        <v>238293</v>
      </c>
      <c r="K65" s="19">
        <v>259155</v>
      </c>
      <c r="L65" s="19">
        <v>283187</v>
      </c>
      <c r="M65" s="19">
        <v>224444</v>
      </c>
      <c r="N65" s="19">
        <v>236344</v>
      </c>
      <c r="O65" s="19">
        <v>229962</v>
      </c>
      <c r="P65" s="19">
        <v>278359</v>
      </c>
      <c r="Q65" s="19">
        <v>189627</v>
      </c>
      <c r="R65" s="19">
        <v>178551</v>
      </c>
      <c r="S65" s="19">
        <v>218646</v>
      </c>
      <c r="T65" s="55">
        <v>244069</v>
      </c>
      <c r="U65" s="88">
        <f t="shared" si="2"/>
        <v>4509148</v>
      </c>
    </row>
    <row r="66" spans="1:21">
      <c r="A66" s="1" t="s">
        <v>1</v>
      </c>
      <c r="B66" s="5" t="s">
        <v>120</v>
      </c>
      <c r="C66" s="18">
        <v>1</v>
      </c>
      <c r="D66" s="19">
        <v>0</v>
      </c>
      <c r="E66" s="19">
        <v>1</v>
      </c>
      <c r="F66" s="19">
        <v>0</v>
      </c>
      <c r="G66" s="19">
        <v>1</v>
      </c>
      <c r="H66" s="19">
        <v>0</v>
      </c>
      <c r="I66" s="19">
        <v>0</v>
      </c>
      <c r="J66" s="19">
        <v>1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3</v>
      </c>
      <c r="Q66" s="19">
        <v>0</v>
      </c>
      <c r="R66" s="19">
        <v>0</v>
      </c>
      <c r="S66" s="19">
        <v>0</v>
      </c>
      <c r="T66" s="55">
        <v>0</v>
      </c>
      <c r="U66" s="88"/>
    </row>
    <row r="67" spans="1:21" ht="19.5" thickBot="1">
      <c r="A67" s="1" t="s">
        <v>1</v>
      </c>
      <c r="B67" s="6" t="s">
        <v>121</v>
      </c>
      <c r="C67" s="21" t="s">
        <v>122</v>
      </c>
      <c r="D67" s="22" t="s">
        <v>122</v>
      </c>
      <c r="E67" s="22" t="s">
        <v>122</v>
      </c>
      <c r="F67" s="22" t="s">
        <v>122</v>
      </c>
      <c r="G67" s="22" t="s">
        <v>122</v>
      </c>
      <c r="H67" s="22" t="s">
        <v>122</v>
      </c>
      <c r="I67" s="22" t="s">
        <v>122</v>
      </c>
      <c r="J67" s="22" t="s">
        <v>122</v>
      </c>
      <c r="K67" s="22" t="s">
        <v>122</v>
      </c>
      <c r="L67" s="22" t="s">
        <v>122</v>
      </c>
      <c r="M67" s="22" t="s">
        <v>122</v>
      </c>
      <c r="N67" s="22" t="s">
        <v>122</v>
      </c>
      <c r="O67" s="22" t="s">
        <v>122</v>
      </c>
      <c r="P67" s="22" t="s">
        <v>122</v>
      </c>
      <c r="Q67" s="22" t="s">
        <v>122</v>
      </c>
      <c r="R67" s="22" t="s">
        <v>122</v>
      </c>
      <c r="S67" s="22" t="s">
        <v>122</v>
      </c>
      <c r="T67" s="58" t="s">
        <v>122</v>
      </c>
      <c r="U67" s="91"/>
    </row>
  </sheetData>
  <phoneticPr fontId="3"/>
  <pageMargins left="0.31496062992125984" right="0.31496062992125984" top="0.35433070866141736" bottom="0.35433070866141736" header="0.11811023622047245" footer="0.11811023622047245"/>
  <pageSetup paperSize="12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376F-49FA-44E4-AA45-95FA43FF18D7}">
  <dimension ref="A1"/>
  <sheetViews>
    <sheetView workbookViewId="0"/>
  </sheetViews>
  <sheetFormatPr defaultRowHeight="18.7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2022年9月度給与 (2)</vt:lpstr>
      <vt:lpstr>2022年9月度給与 (3)</vt:lpstr>
      <vt:lpstr>2022年9月度給与 (4)</vt:lpstr>
      <vt:lpstr>Sheet2</vt:lpstr>
      <vt:lpstr>'2022年9月度給与 (3)'!Print_Area</vt:lpstr>
      <vt:lpstr>'2022年9月度給与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2022-10-12T05:53:02Z</cp:lastPrinted>
  <dcterms:created xsi:type="dcterms:W3CDTF">2022-10-11T01:08:32Z</dcterms:created>
  <dcterms:modified xsi:type="dcterms:W3CDTF">2022-10-12T07:24:56Z</dcterms:modified>
</cp:coreProperties>
</file>