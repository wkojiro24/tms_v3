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9\"/>
    </mc:Choice>
  </mc:AlternateContent>
  <xr:revisionPtr revIDLastSave="0" documentId="13_ncr:1_{0221C602-47C8-4F6B-9CD8-B783F8281627}" xr6:coauthVersionLast="47" xr6:coauthVersionMax="47" xr10:uidLastSave="{00000000-0000-0000-0000-000000000000}"/>
  <bookViews>
    <workbookView xWindow="-120" yWindow="-120" windowWidth="20730" windowHeight="11160" xr2:uid="{22EEDEAF-1A48-4BCD-9EB1-21911A949C4C}"/>
  </bookViews>
  <sheets>
    <sheet name="2022年9月度給与 (2)" sheetId="4" r:id="rId1"/>
  </sheets>
  <definedNames>
    <definedName name="_xlnm.Print_Area" localSheetId="0">'2022年9月度給与 (2)'!$A$1:$L$64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8" i="4" l="1"/>
  <c r="L10" i="4"/>
  <c r="L11" i="4"/>
  <c r="L12" i="4"/>
  <c r="L21" i="4"/>
  <c r="K25" i="4"/>
  <c r="L25" i="4" s="1"/>
  <c r="K26" i="4"/>
  <c r="L26" i="4" s="1"/>
  <c r="K27" i="4"/>
  <c r="L27" i="4" s="1"/>
  <c r="K28" i="4"/>
  <c r="L28" i="4" s="1"/>
  <c r="K29" i="4"/>
  <c r="L29" i="4" s="1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24" i="4"/>
  <c r="L24" i="4" s="1"/>
  <c r="K23" i="4"/>
  <c r="L23" i="4" s="1"/>
  <c r="K22" i="4"/>
  <c r="L22" i="4" s="1"/>
  <c r="K15" i="4"/>
  <c r="L15" i="4" s="1"/>
  <c r="K16" i="4"/>
  <c r="L16" i="4" s="1"/>
  <c r="K17" i="4"/>
  <c r="L17" i="4" s="1"/>
  <c r="K18" i="4"/>
  <c r="L18" i="4" s="1"/>
  <c r="K19" i="4"/>
  <c r="L19" i="4" s="1"/>
  <c r="K20" i="4"/>
  <c r="L20" i="4" s="1"/>
  <c r="K14" i="4"/>
  <c r="L14" i="4" s="1"/>
  <c r="K13" i="4"/>
  <c r="L13" i="4" s="1"/>
  <c r="K9" i="4"/>
  <c r="L9" i="4" s="1"/>
  <c r="K7" i="4"/>
  <c r="L7" i="4" s="1"/>
  <c r="K6" i="4"/>
  <c r="L6" i="4" s="1"/>
  <c r="K5" i="4"/>
  <c r="L5" i="4" s="1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30" i="4"/>
  <c r="L30" i="4" l="1"/>
  <c r="L59" i="4"/>
  <c r="L54" i="4"/>
  <c r="L51" i="4"/>
  <c r="L44" i="4"/>
  <c r="L40" i="4"/>
  <c r="L47" i="4"/>
  <c r="L58" i="4"/>
  <c r="L53" i="4"/>
  <c r="L50" i="4"/>
  <c r="L43" i="4"/>
  <c r="L39" i="4"/>
  <c r="L36" i="4"/>
  <c r="L33" i="4"/>
  <c r="L62" i="4"/>
  <c r="L57" i="4"/>
  <c r="L61" i="4"/>
  <c r="L56" i="4"/>
  <c r="L49" i="4"/>
  <c r="L42" i="4"/>
  <c r="L35" i="4"/>
  <c r="L32" i="4"/>
  <c r="L55" i="4"/>
  <c r="L52" i="4"/>
  <c r="L48" i="4"/>
  <c r="L45" i="4"/>
  <c r="L41" i="4"/>
  <c r="L37" i="4"/>
  <c r="L34" i="4"/>
  <c r="L31" i="4"/>
  <c r="L46" i="4"/>
  <c r="L38" i="4"/>
  <c r="L60" i="4"/>
</calcChain>
</file>

<file path=xl/sharedStrings.xml><?xml version="1.0" encoding="utf-8"?>
<sst xmlns="http://schemas.openxmlformats.org/spreadsheetml/2006/main" count="150" uniqueCount="82">
  <si>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</si>
  <si>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</si>
  <si>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</si>
  <si>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</si>
  <si>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</si>
  <si>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1020</t>
    <phoneticPr fontId="4"/>
  </si>
  <si>
    <t>1041</t>
    <phoneticPr fontId="4"/>
  </si>
  <si>
    <t>1053</t>
    <phoneticPr fontId="4"/>
  </si>
  <si>
    <t>1036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</si>
  <si>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</si>
  <si>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</si>
  <si>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</si>
  <si>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</si>
  <si>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深沢　道夫</t>
    <phoneticPr fontId="4"/>
  </si>
  <si>
    <t>浅田　恵美子</t>
    <phoneticPr fontId="4"/>
  </si>
  <si>
    <t>高田　智幸</t>
    <phoneticPr fontId="4"/>
  </si>
  <si>
    <t>渋谷　晶子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</si>
  <si>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</si>
  <si>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</si>
  <si>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</si>
  <si>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</si>
  <si>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</si>
  <si>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</si>
  <si>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</si>
  <si>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</si>
  <si>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</si>
  <si>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</si>
  <si>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</si>
  <si>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</si>
  <si>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</si>
  <si>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</si>
  <si>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</si>
  <si>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</si>
  <si>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</si>
  <si>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</si>
  <si>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</si>
  <si>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</si>
  <si>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</si>
  <si>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</si>
  <si>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</si>
  <si>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</si>
  <si>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</si>
  <si>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</si>
  <si>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</si>
  <si>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</si>
  <si>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</si>
  <si>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</si>
  <si>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</si>
  <si>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</si>
  <si>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</si>
  <si>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</si>
  <si>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</si>
  <si>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</si>
  <si>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</si>
  <si>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</si>
  <si>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</si>
  <si>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</si>
  <si>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</si>
  <si>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</si>
  <si>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</si>
  <si>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</si>
  <si>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</si>
  <si>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</si>
  <si>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</si>
  <si>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</si>
  <si>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</si>
  <si>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</si>
  <si>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</si>
  <si>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</si>
  <si>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</si>
  <si>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</si>
  <si>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</si>
  <si>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</si>
  <si>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</si>
  <si>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</si>
  <si>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</si>
  <si>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</si>
  <si>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2022年9月度給与</t>
    <phoneticPr fontId="4"/>
  </si>
  <si>
    <t>小計</t>
    <rPh sb="0" eb="2">
      <t>ショウケイ</t>
    </rPh>
    <phoneticPr fontId="3"/>
  </si>
  <si>
    <t>3名</t>
    <rPh sb="1" eb="2">
      <t>メイ</t>
    </rPh>
    <phoneticPr fontId="3"/>
  </si>
  <si>
    <t>4名</t>
    <rPh sb="1" eb="2">
      <t>メイ</t>
    </rPh>
    <phoneticPr fontId="3"/>
  </si>
  <si>
    <t>7名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</si>
</sst>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6" xfId="1" applyNumberFormat="1" applyFont="1" applyBorder="1"/>
    <xf numFmtId="0" fontId="2" fillId="0" borderId="31" xfId="1" applyFont="1" applyBorder="1"/>
    <xf numFmtId="49" fontId="2" fillId="0" borderId="33" xfId="1" applyNumberFormat="1" applyFont="1" applyBorder="1" applyAlignment="1">
      <alignment horizontal="center"/>
    </xf>
    <xf numFmtId="49" fontId="2" fillId="0" borderId="34" xfId="1" applyNumberFormat="1" applyFont="1" applyBorder="1" applyAlignment="1">
      <alignment horizontal="center"/>
    </xf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49" fontId="2" fillId="0" borderId="34" xfId="1" applyNumberFormat="1" applyFont="1" applyBorder="1"/>
    <xf numFmtId="49" fontId="2" fillId="0" borderId="39" xfId="1" applyNumberFormat="1" applyFont="1" applyBorder="1" applyAlignment="1">
      <alignment horizontal="left"/>
    </xf>
    <xf numFmtId="49" fontId="2" fillId="0" borderId="40" xfId="1" applyNumberFormat="1" applyFont="1" applyBorder="1" applyAlignment="1">
      <alignment horizontal="right"/>
    </xf>
    <xf numFmtId="2" fontId="2" fillId="0" borderId="41" xfId="1" applyNumberFormat="1" applyFont="1" applyBorder="1"/>
    <xf numFmtId="2" fontId="2" fillId="0" borderId="42" xfId="1" applyNumberFormat="1" applyFont="1" applyBorder="1"/>
    <xf numFmtId="176" fontId="2" fillId="0" borderId="42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32" xfId="1" applyNumberFormat="1" applyFont="1" applyBorder="1"/>
    <xf numFmtId="49" fontId="2" fillId="0" borderId="40" xfId="1" applyNumberFormat="1" applyFont="1" applyBorder="1"/>
    <xf numFmtId="0" fontId="2" fillId="0" borderId="39" xfId="1" applyFont="1" applyBorder="1"/>
    <xf numFmtId="0" fontId="2" fillId="0" borderId="40" xfId="1" applyFont="1" applyBorder="1" applyAlignment="1">
      <alignment horizontal="right"/>
    </xf>
  </cellXfs>
  <cellStyles count="2">
    <cellStyle name="標準" xfId="0" builtinId="0"/>
    <cellStyle name="標準 2" xfId="1" xr:uid="{1740A552-F771-4BD5-8E92-4286CAC4FC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8F0D7-B377-4DD9-A2D4-E7DE33FC93B9}">
  <sheetPr>
    <pageSetUpPr fitToPage="1"/>
  </sheetPr>
  <dimension ref="A1:N64"/>
  <sheetViews>
    <sheetView showZeros="0" tabSelected="1" workbookViewId="0">
      <selection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2" width="12.375" style="2" customWidth="1"/>
    <col min="13" max="258" width="9" style="2"/>
    <col min="259" max="259" width="2.375" style="2" customWidth="1"/>
    <col min="260" max="262" width="13.25" style="2" bestFit="1" customWidth="1"/>
    <col min="263" max="264" width="11.125" style="2" bestFit="1" customWidth="1"/>
    <col min="265" max="265" width="13.25" style="2" bestFit="1" customWidth="1"/>
    <col min="266" max="267" width="11.125" style="2" bestFit="1" customWidth="1"/>
    <col min="268" max="268" width="9.625" style="2" bestFit="1" customWidth="1"/>
    <col min="269" max="514" width="9" style="2"/>
    <col min="515" max="515" width="2.375" style="2" customWidth="1"/>
    <col min="516" max="518" width="13.25" style="2" bestFit="1" customWidth="1"/>
    <col min="519" max="520" width="11.125" style="2" bestFit="1" customWidth="1"/>
    <col min="521" max="521" width="13.25" style="2" bestFit="1" customWidth="1"/>
    <col min="522" max="523" width="11.125" style="2" bestFit="1" customWidth="1"/>
    <col min="524" max="524" width="9.625" style="2" bestFit="1" customWidth="1"/>
    <col min="525" max="770" width="9" style="2"/>
    <col min="771" max="771" width="2.375" style="2" customWidth="1"/>
    <col min="772" max="774" width="13.25" style="2" bestFit="1" customWidth="1"/>
    <col min="775" max="776" width="11.125" style="2" bestFit="1" customWidth="1"/>
    <col min="777" max="777" width="13.25" style="2" bestFit="1" customWidth="1"/>
    <col min="778" max="779" width="11.125" style="2" bestFit="1" customWidth="1"/>
    <col min="780" max="780" width="9.625" style="2" bestFit="1" customWidth="1"/>
    <col min="781" max="1026" width="9" style="2"/>
    <col min="1027" max="1027" width="2.375" style="2" customWidth="1"/>
    <col min="1028" max="1030" width="13.25" style="2" bestFit="1" customWidth="1"/>
    <col min="1031" max="1032" width="11.125" style="2" bestFit="1" customWidth="1"/>
    <col min="1033" max="1033" width="13.25" style="2" bestFit="1" customWidth="1"/>
    <col min="1034" max="1035" width="11.125" style="2" bestFit="1" customWidth="1"/>
    <col min="1036" max="1036" width="9.625" style="2" bestFit="1" customWidth="1"/>
    <col min="1037" max="1282" width="9" style="2"/>
    <col min="1283" max="1283" width="2.375" style="2" customWidth="1"/>
    <col min="1284" max="1286" width="13.25" style="2" bestFit="1" customWidth="1"/>
    <col min="1287" max="1288" width="11.125" style="2" bestFit="1" customWidth="1"/>
    <col min="1289" max="1289" width="13.25" style="2" bestFit="1" customWidth="1"/>
    <col min="1290" max="1291" width="11.125" style="2" bestFit="1" customWidth="1"/>
    <col min="1292" max="1292" width="9.625" style="2" bestFit="1" customWidth="1"/>
    <col min="1293" max="1538" width="9" style="2"/>
    <col min="1539" max="1539" width="2.375" style="2" customWidth="1"/>
    <col min="1540" max="1542" width="13.25" style="2" bestFit="1" customWidth="1"/>
    <col min="1543" max="1544" width="11.125" style="2" bestFit="1" customWidth="1"/>
    <col min="1545" max="1545" width="13.25" style="2" bestFit="1" customWidth="1"/>
    <col min="1546" max="1547" width="11.125" style="2" bestFit="1" customWidth="1"/>
    <col min="1548" max="1548" width="9.625" style="2" bestFit="1" customWidth="1"/>
    <col min="1549" max="1794" width="9" style="2"/>
    <col min="1795" max="1795" width="2.375" style="2" customWidth="1"/>
    <col min="1796" max="1798" width="13.25" style="2" bestFit="1" customWidth="1"/>
    <col min="1799" max="1800" width="11.125" style="2" bestFit="1" customWidth="1"/>
    <col min="1801" max="1801" width="13.25" style="2" bestFit="1" customWidth="1"/>
    <col min="1802" max="1803" width="11.125" style="2" bestFit="1" customWidth="1"/>
    <col min="1804" max="1804" width="9.625" style="2" bestFit="1" customWidth="1"/>
    <col min="1805" max="2050" width="9" style="2"/>
    <col min="2051" max="2051" width="2.375" style="2" customWidth="1"/>
    <col min="2052" max="2054" width="13.25" style="2" bestFit="1" customWidth="1"/>
    <col min="2055" max="2056" width="11.125" style="2" bestFit="1" customWidth="1"/>
    <col min="2057" max="2057" width="13.25" style="2" bestFit="1" customWidth="1"/>
    <col min="2058" max="2059" width="11.125" style="2" bestFit="1" customWidth="1"/>
    <col min="2060" max="2060" width="9.625" style="2" bestFit="1" customWidth="1"/>
    <col min="2061" max="2306" width="9" style="2"/>
    <col min="2307" max="2307" width="2.375" style="2" customWidth="1"/>
    <col min="2308" max="2310" width="13.25" style="2" bestFit="1" customWidth="1"/>
    <col min="2311" max="2312" width="11.125" style="2" bestFit="1" customWidth="1"/>
    <col min="2313" max="2313" width="13.25" style="2" bestFit="1" customWidth="1"/>
    <col min="2314" max="2315" width="11.125" style="2" bestFit="1" customWidth="1"/>
    <col min="2316" max="2316" width="9.625" style="2" bestFit="1" customWidth="1"/>
    <col min="2317" max="2562" width="9" style="2"/>
    <col min="2563" max="2563" width="2.375" style="2" customWidth="1"/>
    <col min="2564" max="2566" width="13.25" style="2" bestFit="1" customWidth="1"/>
    <col min="2567" max="2568" width="11.125" style="2" bestFit="1" customWidth="1"/>
    <col min="2569" max="2569" width="13.25" style="2" bestFit="1" customWidth="1"/>
    <col min="2570" max="2571" width="11.125" style="2" bestFit="1" customWidth="1"/>
    <col min="2572" max="2572" width="9.625" style="2" bestFit="1" customWidth="1"/>
    <col min="2573" max="2818" width="9" style="2"/>
    <col min="2819" max="2819" width="2.375" style="2" customWidth="1"/>
    <col min="2820" max="2822" width="13.25" style="2" bestFit="1" customWidth="1"/>
    <col min="2823" max="2824" width="11.125" style="2" bestFit="1" customWidth="1"/>
    <col min="2825" max="2825" width="13.25" style="2" bestFit="1" customWidth="1"/>
    <col min="2826" max="2827" width="11.125" style="2" bestFit="1" customWidth="1"/>
    <col min="2828" max="2828" width="9.625" style="2" bestFit="1" customWidth="1"/>
    <col min="2829" max="3074" width="9" style="2"/>
    <col min="3075" max="3075" width="2.375" style="2" customWidth="1"/>
    <col min="3076" max="3078" width="13.25" style="2" bestFit="1" customWidth="1"/>
    <col min="3079" max="3080" width="11.125" style="2" bestFit="1" customWidth="1"/>
    <col min="3081" max="3081" width="13.25" style="2" bestFit="1" customWidth="1"/>
    <col min="3082" max="3083" width="11.125" style="2" bestFit="1" customWidth="1"/>
    <col min="3084" max="3084" width="9.625" style="2" bestFit="1" customWidth="1"/>
    <col min="3085" max="3330" width="9" style="2"/>
    <col min="3331" max="3331" width="2.375" style="2" customWidth="1"/>
    <col min="3332" max="3334" width="13.25" style="2" bestFit="1" customWidth="1"/>
    <col min="3335" max="3336" width="11.125" style="2" bestFit="1" customWidth="1"/>
    <col min="3337" max="3337" width="13.25" style="2" bestFit="1" customWidth="1"/>
    <col min="3338" max="3339" width="11.125" style="2" bestFit="1" customWidth="1"/>
    <col min="3340" max="3340" width="9.625" style="2" bestFit="1" customWidth="1"/>
    <col min="3341" max="3586" width="9" style="2"/>
    <col min="3587" max="3587" width="2.375" style="2" customWidth="1"/>
    <col min="3588" max="3590" width="13.25" style="2" bestFit="1" customWidth="1"/>
    <col min="3591" max="3592" width="11.125" style="2" bestFit="1" customWidth="1"/>
    <col min="3593" max="3593" width="13.25" style="2" bestFit="1" customWidth="1"/>
    <col min="3594" max="3595" width="11.125" style="2" bestFit="1" customWidth="1"/>
    <col min="3596" max="3596" width="9.625" style="2" bestFit="1" customWidth="1"/>
    <col min="3597" max="3842" width="9" style="2"/>
    <col min="3843" max="3843" width="2.375" style="2" customWidth="1"/>
    <col min="3844" max="3846" width="13.25" style="2" bestFit="1" customWidth="1"/>
    <col min="3847" max="3848" width="11.125" style="2" bestFit="1" customWidth="1"/>
    <col min="3849" max="3849" width="13.25" style="2" bestFit="1" customWidth="1"/>
    <col min="3850" max="3851" width="11.125" style="2" bestFit="1" customWidth="1"/>
    <col min="3852" max="3852" width="9.625" style="2" bestFit="1" customWidth="1"/>
    <col min="3853" max="4098" width="9" style="2"/>
    <col min="4099" max="4099" width="2.375" style="2" customWidth="1"/>
    <col min="4100" max="4102" width="13.25" style="2" bestFit="1" customWidth="1"/>
    <col min="4103" max="4104" width="11.125" style="2" bestFit="1" customWidth="1"/>
    <col min="4105" max="4105" width="13.25" style="2" bestFit="1" customWidth="1"/>
    <col min="4106" max="4107" width="11.125" style="2" bestFit="1" customWidth="1"/>
    <col min="4108" max="4108" width="9.625" style="2" bestFit="1" customWidth="1"/>
    <col min="4109" max="4354" width="9" style="2"/>
    <col min="4355" max="4355" width="2.375" style="2" customWidth="1"/>
    <col min="4356" max="4358" width="13.25" style="2" bestFit="1" customWidth="1"/>
    <col min="4359" max="4360" width="11.125" style="2" bestFit="1" customWidth="1"/>
    <col min="4361" max="4361" width="13.25" style="2" bestFit="1" customWidth="1"/>
    <col min="4362" max="4363" width="11.125" style="2" bestFit="1" customWidth="1"/>
    <col min="4364" max="4364" width="9.625" style="2" bestFit="1" customWidth="1"/>
    <col min="4365" max="4610" width="9" style="2"/>
    <col min="4611" max="4611" width="2.375" style="2" customWidth="1"/>
    <col min="4612" max="4614" width="13.25" style="2" bestFit="1" customWidth="1"/>
    <col min="4615" max="4616" width="11.125" style="2" bestFit="1" customWidth="1"/>
    <col min="4617" max="4617" width="13.25" style="2" bestFit="1" customWidth="1"/>
    <col min="4618" max="4619" width="11.125" style="2" bestFit="1" customWidth="1"/>
    <col min="4620" max="4620" width="9.625" style="2" bestFit="1" customWidth="1"/>
    <col min="4621" max="4866" width="9" style="2"/>
    <col min="4867" max="4867" width="2.375" style="2" customWidth="1"/>
    <col min="4868" max="4870" width="13.25" style="2" bestFit="1" customWidth="1"/>
    <col min="4871" max="4872" width="11.125" style="2" bestFit="1" customWidth="1"/>
    <col min="4873" max="4873" width="13.25" style="2" bestFit="1" customWidth="1"/>
    <col min="4874" max="4875" width="11.125" style="2" bestFit="1" customWidth="1"/>
    <col min="4876" max="4876" width="9.625" style="2" bestFit="1" customWidth="1"/>
    <col min="4877" max="5122" width="9" style="2"/>
    <col min="5123" max="5123" width="2.375" style="2" customWidth="1"/>
    <col min="5124" max="5126" width="13.25" style="2" bestFit="1" customWidth="1"/>
    <col min="5127" max="5128" width="11.125" style="2" bestFit="1" customWidth="1"/>
    <col min="5129" max="5129" width="13.25" style="2" bestFit="1" customWidth="1"/>
    <col min="5130" max="5131" width="11.125" style="2" bestFit="1" customWidth="1"/>
    <col min="5132" max="5132" width="9.625" style="2" bestFit="1" customWidth="1"/>
    <col min="5133" max="5378" width="9" style="2"/>
    <col min="5379" max="5379" width="2.375" style="2" customWidth="1"/>
    <col min="5380" max="5382" width="13.25" style="2" bestFit="1" customWidth="1"/>
    <col min="5383" max="5384" width="11.125" style="2" bestFit="1" customWidth="1"/>
    <col min="5385" max="5385" width="13.25" style="2" bestFit="1" customWidth="1"/>
    <col min="5386" max="5387" width="11.125" style="2" bestFit="1" customWidth="1"/>
    <col min="5388" max="5388" width="9.625" style="2" bestFit="1" customWidth="1"/>
    <col min="5389" max="5634" width="9" style="2"/>
    <col min="5635" max="5635" width="2.375" style="2" customWidth="1"/>
    <col min="5636" max="5638" width="13.25" style="2" bestFit="1" customWidth="1"/>
    <col min="5639" max="5640" width="11.125" style="2" bestFit="1" customWidth="1"/>
    <col min="5641" max="5641" width="13.25" style="2" bestFit="1" customWidth="1"/>
    <col min="5642" max="5643" width="11.125" style="2" bestFit="1" customWidth="1"/>
    <col min="5644" max="5644" width="9.625" style="2" bestFit="1" customWidth="1"/>
    <col min="5645" max="5890" width="9" style="2"/>
    <col min="5891" max="5891" width="2.375" style="2" customWidth="1"/>
    <col min="5892" max="5894" width="13.25" style="2" bestFit="1" customWidth="1"/>
    <col min="5895" max="5896" width="11.125" style="2" bestFit="1" customWidth="1"/>
    <col min="5897" max="5897" width="13.25" style="2" bestFit="1" customWidth="1"/>
    <col min="5898" max="5899" width="11.125" style="2" bestFit="1" customWidth="1"/>
    <col min="5900" max="5900" width="9.625" style="2" bestFit="1" customWidth="1"/>
    <col min="5901" max="6146" width="9" style="2"/>
    <col min="6147" max="6147" width="2.375" style="2" customWidth="1"/>
    <col min="6148" max="6150" width="13.25" style="2" bestFit="1" customWidth="1"/>
    <col min="6151" max="6152" width="11.125" style="2" bestFit="1" customWidth="1"/>
    <col min="6153" max="6153" width="13.25" style="2" bestFit="1" customWidth="1"/>
    <col min="6154" max="6155" width="11.125" style="2" bestFit="1" customWidth="1"/>
    <col min="6156" max="6156" width="9.625" style="2" bestFit="1" customWidth="1"/>
    <col min="6157" max="6402" width="9" style="2"/>
    <col min="6403" max="6403" width="2.375" style="2" customWidth="1"/>
    <col min="6404" max="6406" width="13.25" style="2" bestFit="1" customWidth="1"/>
    <col min="6407" max="6408" width="11.125" style="2" bestFit="1" customWidth="1"/>
    <col min="6409" max="6409" width="13.25" style="2" bestFit="1" customWidth="1"/>
    <col min="6410" max="6411" width="11.125" style="2" bestFit="1" customWidth="1"/>
    <col min="6412" max="6412" width="9.625" style="2" bestFit="1" customWidth="1"/>
    <col min="6413" max="6658" width="9" style="2"/>
    <col min="6659" max="6659" width="2.375" style="2" customWidth="1"/>
    <col min="6660" max="6662" width="13.25" style="2" bestFit="1" customWidth="1"/>
    <col min="6663" max="6664" width="11.125" style="2" bestFit="1" customWidth="1"/>
    <col min="6665" max="6665" width="13.25" style="2" bestFit="1" customWidth="1"/>
    <col min="6666" max="6667" width="11.125" style="2" bestFit="1" customWidth="1"/>
    <col min="6668" max="6668" width="9.625" style="2" bestFit="1" customWidth="1"/>
    <col min="6669" max="6914" width="9" style="2"/>
    <col min="6915" max="6915" width="2.375" style="2" customWidth="1"/>
    <col min="6916" max="6918" width="13.25" style="2" bestFit="1" customWidth="1"/>
    <col min="6919" max="6920" width="11.125" style="2" bestFit="1" customWidth="1"/>
    <col min="6921" max="6921" width="13.25" style="2" bestFit="1" customWidth="1"/>
    <col min="6922" max="6923" width="11.125" style="2" bestFit="1" customWidth="1"/>
    <col min="6924" max="6924" width="9.625" style="2" bestFit="1" customWidth="1"/>
    <col min="6925" max="7170" width="9" style="2"/>
    <col min="7171" max="7171" width="2.375" style="2" customWidth="1"/>
    <col min="7172" max="7174" width="13.25" style="2" bestFit="1" customWidth="1"/>
    <col min="7175" max="7176" width="11.125" style="2" bestFit="1" customWidth="1"/>
    <col min="7177" max="7177" width="13.25" style="2" bestFit="1" customWidth="1"/>
    <col min="7178" max="7179" width="11.125" style="2" bestFit="1" customWidth="1"/>
    <col min="7180" max="7180" width="9.625" style="2" bestFit="1" customWidth="1"/>
    <col min="7181" max="7426" width="9" style="2"/>
    <col min="7427" max="7427" width="2.375" style="2" customWidth="1"/>
    <col min="7428" max="7430" width="13.25" style="2" bestFit="1" customWidth="1"/>
    <col min="7431" max="7432" width="11.125" style="2" bestFit="1" customWidth="1"/>
    <col min="7433" max="7433" width="13.25" style="2" bestFit="1" customWidth="1"/>
    <col min="7434" max="7435" width="11.125" style="2" bestFit="1" customWidth="1"/>
    <col min="7436" max="7436" width="9.625" style="2" bestFit="1" customWidth="1"/>
    <col min="7437" max="7682" width="9" style="2"/>
    <col min="7683" max="7683" width="2.375" style="2" customWidth="1"/>
    <col min="7684" max="7686" width="13.25" style="2" bestFit="1" customWidth="1"/>
    <col min="7687" max="7688" width="11.125" style="2" bestFit="1" customWidth="1"/>
    <col min="7689" max="7689" width="13.25" style="2" bestFit="1" customWidth="1"/>
    <col min="7690" max="7691" width="11.125" style="2" bestFit="1" customWidth="1"/>
    <col min="7692" max="7692" width="9.625" style="2" bestFit="1" customWidth="1"/>
    <col min="7693" max="7938" width="9" style="2"/>
    <col min="7939" max="7939" width="2.375" style="2" customWidth="1"/>
    <col min="7940" max="7942" width="13.25" style="2" bestFit="1" customWidth="1"/>
    <col min="7943" max="7944" width="11.125" style="2" bestFit="1" customWidth="1"/>
    <col min="7945" max="7945" width="13.25" style="2" bestFit="1" customWidth="1"/>
    <col min="7946" max="7947" width="11.125" style="2" bestFit="1" customWidth="1"/>
    <col min="7948" max="7948" width="9.625" style="2" bestFit="1" customWidth="1"/>
    <col min="7949" max="8194" width="9" style="2"/>
    <col min="8195" max="8195" width="2.375" style="2" customWidth="1"/>
    <col min="8196" max="8198" width="13.25" style="2" bestFit="1" customWidth="1"/>
    <col min="8199" max="8200" width="11.125" style="2" bestFit="1" customWidth="1"/>
    <col min="8201" max="8201" width="13.25" style="2" bestFit="1" customWidth="1"/>
    <col min="8202" max="8203" width="11.125" style="2" bestFit="1" customWidth="1"/>
    <col min="8204" max="8204" width="9.625" style="2" bestFit="1" customWidth="1"/>
    <col min="8205" max="8450" width="9" style="2"/>
    <col min="8451" max="8451" width="2.375" style="2" customWidth="1"/>
    <col min="8452" max="8454" width="13.25" style="2" bestFit="1" customWidth="1"/>
    <col min="8455" max="8456" width="11.125" style="2" bestFit="1" customWidth="1"/>
    <col min="8457" max="8457" width="13.25" style="2" bestFit="1" customWidth="1"/>
    <col min="8458" max="8459" width="11.125" style="2" bestFit="1" customWidth="1"/>
    <col min="8460" max="8460" width="9.625" style="2" bestFit="1" customWidth="1"/>
    <col min="8461" max="8706" width="9" style="2"/>
    <col min="8707" max="8707" width="2.375" style="2" customWidth="1"/>
    <col min="8708" max="8710" width="13.25" style="2" bestFit="1" customWidth="1"/>
    <col min="8711" max="8712" width="11.125" style="2" bestFit="1" customWidth="1"/>
    <col min="8713" max="8713" width="13.25" style="2" bestFit="1" customWidth="1"/>
    <col min="8714" max="8715" width="11.125" style="2" bestFit="1" customWidth="1"/>
    <col min="8716" max="8716" width="9.625" style="2" bestFit="1" customWidth="1"/>
    <col min="8717" max="8962" width="9" style="2"/>
    <col min="8963" max="8963" width="2.375" style="2" customWidth="1"/>
    <col min="8964" max="8966" width="13.25" style="2" bestFit="1" customWidth="1"/>
    <col min="8967" max="8968" width="11.125" style="2" bestFit="1" customWidth="1"/>
    <col min="8969" max="8969" width="13.25" style="2" bestFit="1" customWidth="1"/>
    <col min="8970" max="8971" width="11.125" style="2" bestFit="1" customWidth="1"/>
    <col min="8972" max="8972" width="9.625" style="2" bestFit="1" customWidth="1"/>
    <col min="8973" max="9218" width="9" style="2"/>
    <col min="9219" max="9219" width="2.375" style="2" customWidth="1"/>
    <col min="9220" max="9222" width="13.25" style="2" bestFit="1" customWidth="1"/>
    <col min="9223" max="9224" width="11.125" style="2" bestFit="1" customWidth="1"/>
    <col min="9225" max="9225" width="13.25" style="2" bestFit="1" customWidth="1"/>
    <col min="9226" max="9227" width="11.125" style="2" bestFit="1" customWidth="1"/>
    <col min="9228" max="9228" width="9.625" style="2" bestFit="1" customWidth="1"/>
    <col min="9229" max="9474" width="9" style="2"/>
    <col min="9475" max="9475" width="2.375" style="2" customWidth="1"/>
    <col min="9476" max="9478" width="13.25" style="2" bestFit="1" customWidth="1"/>
    <col min="9479" max="9480" width="11.125" style="2" bestFit="1" customWidth="1"/>
    <col min="9481" max="9481" width="13.25" style="2" bestFit="1" customWidth="1"/>
    <col min="9482" max="9483" width="11.125" style="2" bestFit="1" customWidth="1"/>
    <col min="9484" max="9484" width="9.625" style="2" bestFit="1" customWidth="1"/>
    <col min="9485" max="9730" width="9" style="2"/>
    <col min="9731" max="9731" width="2.375" style="2" customWidth="1"/>
    <col min="9732" max="9734" width="13.25" style="2" bestFit="1" customWidth="1"/>
    <col min="9735" max="9736" width="11.125" style="2" bestFit="1" customWidth="1"/>
    <col min="9737" max="9737" width="13.25" style="2" bestFit="1" customWidth="1"/>
    <col min="9738" max="9739" width="11.125" style="2" bestFit="1" customWidth="1"/>
    <col min="9740" max="9740" width="9.625" style="2" bestFit="1" customWidth="1"/>
    <col min="9741" max="9986" width="9" style="2"/>
    <col min="9987" max="9987" width="2.375" style="2" customWidth="1"/>
    <col min="9988" max="9990" width="13.25" style="2" bestFit="1" customWidth="1"/>
    <col min="9991" max="9992" width="11.125" style="2" bestFit="1" customWidth="1"/>
    <col min="9993" max="9993" width="13.25" style="2" bestFit="1" customWidth="1"/>
    <col min="9994" max="9995" width="11.125" style="2" bestFit="1" customWidth="1"/>
    <col min="9996" max="9996" width="9.625" style="2" bestFit="1" customWidth="1"/>
    <col min="9997" max="10242" width="9" style="2"/>
    <col min="10243" max="10243" width="2.375" style="2" customWidth="1"/>
    <col min="10244" max="10246" width="13.25" style="2" bestFit="1" customWidth="1"/>
    <col min="10247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.625" style="2" bestFit="1" customWidth="1"/>
    <col min="10253" max="10498" width="9" style="2"/>
    <col min="10499" max="10499" width="2.375" style="2" customWidth="1"/>
    <col min="10500" max="10502" width="13.25" style="2" bestFit="1" customWidth="1"/>
    <col min="10503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.625" style="2" bestFit="1" customWidth="1"/>
    <col min="10509" max="10754" width="9" style="2"/>
    <col min="10755" max="10755" width="2.375" style="2" customWidth="1"/>
    <col min="10756" max="10758" width="13.25" style="2" bestFit="1" customWidth="1"/>
    <col min="10759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.625" style="2" bestFit="1" customWidth="1"/>
    <col min="10765" max="11010" width="9" style="2"/>
    <col min="11011" max="11011" width="2.375" style="2" customWidth="1"/>
    <col min="11012" max="11014" width="13.25" style="2" bestFit="1" customWidth="1"/>
    <col min="11015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.625" style="2" bestFit="1" customWidth="1"/>
    <col min="11021" max="11266" width="9" style="2"/>
    <col min="11267" max="11267" width="2.375" style="2" customWidth="1"/>
    <col min="11268" max="11270" width="13.25" style="2" bestFit="1" customWidth="1"/>
    <col min="11271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.625" style="2" bestFit="1" customWidth="1"/>
    <col min="11277" max="11522" width="9" style="2"/>
    <col min="11523" max="11523" width="2.375" style="2" customWidth="1"/>
    <col min="11524" max="11526" width="13.25" style="2" bestFit="1" customWidth="1"/>
    <col min="11527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.625" style="2" bestFit="1" customWidth="1"/>
    <col min="11533" max="11778" width="9" style="2"/>
    <col min="11779" max="11779" width="2.375" style="2" customWidth="1"/>
    <col min="11780" max="11782" width="13.25" style="2" bestFit="1" customWidth="1"/>
    <col min="11783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.625" style="2" bestFit="1" customWidth="1"/>
    <col min="11789" max="12034" width="9" style="2"/>
    <col min="12035" max="12035" width="2.375" style="2" customWidth="1"/>
    <col min="12036" max="12038" width="13.25" style="2" bestFit="1" customWidth="1"/>
    <col min="12039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.625" style="2" bestFit="1" customWidth="1"/>
    <col min="12045" max="12290" width="9" style="2"/>
    <col min="12291" max="12291" width="2.375" style="2" customWidth="1"/>
    <col min="12292" max="12294" width="13.25" style="2" bestFit="1" customWidth="1"/>
    <col min="12295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.625" style="2" bestFit="1" customWidth="1"/>
    <col min="12301" max="12546" width="9" style="2"/>
    <col min="12547" max="12547" width="2.375" style="2" customWidth="1"/>
    <col min="12548" max="12550" width="13.25" style="2" bestFit="1" customWidth="1"/>
    <col min="12551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.625" style="2" bestFit="1" customWidth="1"/>
    <col min="12557" max="12802" width="9" style="2"/>
    <col min="12803" max="12803" width="2.375" style="2" customWidth="1"/>
    <col min="12804" max="12806" width="13.25" style="2" bestFit="1" customWidth="1"/>
    <col min="12807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.625" style="2" bestFit="1" customWidth="1"/>
    <col min="12813" max="13058" width="9" style="2"/>
    <col min="13059" max="13059" width="2.375" style="2" customWidth="1"/>
    <col min="13060" max="13062" width="13.25" style="2" bestFit="1" customWidth="1"/>
    <col min="13063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.625" style="2" bestFit="1" customWidth="1"/>
    <col min="13069" max="13314" width="9" style="2"/>
    <col min="13315" max="13315" width="2.375" style="2" customWidth="1"/>
    <col min="13316" max="13318" width="13.25" style="2" bestFit="1" customWidth="1"/>
    <col min="13319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.625" style="2" bestFit="1" customWidth="1"/>
    <col min="13325" max="13570" width="9" style="2"/>
    <col min="13571" max="13571" width="2.375" style="2" customWidth="1"/>
    <col min="13572" max="13574" width="13.25" style="2" bestFit="1" customWidth="1"/>
    <col min="13575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.625" style="2" bestFit="1" customWidth="1"/>
    <col min="13581" max="13826" width="9" style="2"/>
    <col min="13827" max="13827" width="2.375" style="2" customWidth="1"/>
    <col min="13828" max="13830" width="13.25" style="2" bestFit="1" customWidth="1"/>
    <col min="13831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.625" style="2" bestFit="1" customWidth="1"/>
    <col min="13837" max="14082" width="9" style="2"/>
    <col min="14083" max="14083" width="2.375" style="2" customWidth="1"/>
    <col min="14084" max="14086" width="13.25" style="2" bestFit="1" customWidth="1"/>
    <col min="14087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.625" style="2" bestFit="1" customWidth="1"/>
    <col min="14093" max="14338" width="9" style="2"/>
    <col min="14339" max="14339" width="2.375" style="2" customWidth="1"/>
    <col min="14340" max="14342" width="13.25" style="2" bestFit="1" customWidth="1"/>
    <col min="14343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.625" style="2" bestFit="1" customWidth="1"/>
    <col min="14349" max="14594" width="9" style="2"/>
    <col min="14595" max="14595" width="2.375" style="2" customWidth="1"/>
    <col min="14596" max="14598" width="13.25" style="2" bestFit="1" customWidth="1"/>
    <col min="14599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.625" style="2" bestFit="1" customWidth="1"/>
    <col min="14605" max="14850" width="9" style="2"/>
    <col min="14851" max="14851" width="2.375" style="2" customWidth="1"/>
    <col min="14852" max="14854" width="13.25" style="2" bestFit="1" customWidth="1"/>
    <col min="14855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.625" style="2" bestFit="1" customWidth="1"/>
    <col min="14861" max="15106" width="9" style="2"/>
    <col min="15107" max="15107" width="2.375" style="2" customWidth="1"/>
    <col min="15108" max="15110" width="13.25" style="2" bestFit="1" customWidth="1"/>
    <col min="15111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.625" style="2" bestFit="1" customWidth="1"/>
    <col min="15117" max="15362" width="9" style="2"/>
    <col min="15363" max="15363" width="2.375" style="2" customWidth="1"/>
    <col min="15364" max="15366" width="13.25" style="2" bestFit="1" customWidth="1"/>
    <col min="15367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.625" style="2" bestFit="1" customWidth="1"/>
    <col min="15373" max="15618" width="9" style="2"/>
    <col min="15619" max="15619" width="2.375" style="2" customWidth="1"/>
    <col min="15620" max="15622" width="13.25" style="2" bestFit="1" customWidth="1"/>
    <col min="15623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.625" style="2" bestFit="1" customWidth="1"/>
    <col min="15629" max="15874" width="9" style="2"/>
    <col min="15875" max="15875" width="2.375" style="2" customWidth="1"/>
    <col min="15876" max="15878" width="13.25" style="2" bestFit="1" customWidth="1"/>
    <col min="15879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.625" style="2" bestFit="1" customWidth="1"/>
    <col min="15885" max="16130" width="9" style="2"/>
    <col min="16131" max="16131" width="2.375" style="2" customWidth="1"/>
    <col min="16132" max="16134" width="13.25" style="2" bestFit="1" customWidth="1"/>
    <col min="16135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 ht="19.5" thickBot="1">
      <c r="A2" s="1" t="s">
        <v>77</v>
      </c>
    </row>
    <row r="3" spans="1:14" ht="21.75" customHeight="1">
      <c r="B3" s="3"/>
      <c r="C3" s="6" t="s">
        <v>2</v>
      </c>
      <c r="D3" s="7" t="s">
        <v>3</v>
      </c>
      <c r="E3" s="43" t="s">
        <v>4</v>
      </c>
      <c r="F3" s="66" t="s">
        <v>78</v>
      </c>
      <c r="G3" s="55" t="s">
        <v>5</v>
      </c>
      <c r="H3" s="7" t="s">
        <v>6</v>
      </c>
      <c r="I3" s="7" t="s">
        <v>7</v>
      </c>
      <c r="J3" s="8" t="s">
        <v>8</v>
      </c>
      <c r="K3" s="66" t="s">
        <v>78</v>
      </c>
      <c r="L3" s="77" t="s">
        <v>17</v>
      </c>
    </row>
    <row r="4" spans="1:14" ht="21.75" customHeight="1" thickBot="1">
      <c r="A4" s="54"/>
      <c r="B4" s="25" t="s">
        <v>9</v>
      </c>
      <c r="C4" s="26" t="s">
        <v>10</v>
      </c>
      <c r="D4" s="27" t="s">
        <v>11</v>
      </c>
      <c r="E4" s="44" t="s">
        <v>12</v>
      </c>
      <c r="F4" s="67" t="s">
        <v>79</v>
      </c>
      <c r="G4" s="56" t="s">
        <v>13</v>
      </c>
      <c r="H4" s="27" t="s">
        <v>14</v>
      </c>
      <c r="I4" s="27" t="s">
        <v>15</v>
      </c>
      <c r="J4" s="28" t="s">
        <v>16</v>
      </c>
      <c r="K4" s="67" t="s">
        <v>80</v>
      </c>
      <c r="L4" s="78" t="s">
        <v>81</v>
      </c>
    </row>
    <row r="5" spans="1:14">
      <c r="A5" s="1" t="s">
        <v>1</v>
      </c>
      <c r="B5" s="21" t="s">
        <v>18</v>
      </c>
      <c r="C5" s="22">
        <v>0</v>
      </c>
      <c r="D5" s="23">
        <v>0</v>
      </c>
      <c r="E5" s="45">
        <v>0</v>
      </c>
      <c r="F5" s="68"/>
      <c r="G5" s="57">
        <v>20</v>
      </c>
      <c r="H5" s="23">
        <v>20</v>
      </c>
      <c r="I5" s="23">
        <v>19</v>
      </c>
      <c r="J5" s="24">
        <v>16</v>
      </c>
      <c r="K5" s="68">
        <f>SUM(G5:J5)</f>
        <v>75</v>
      </c>
      <c r="L5" s="68">
        <f>F5+K5</f>
        <v>75</v>
      </c>
      <c r="N5"/>
    </row>
    <row r="6" spans="1:14">
      <c r="A6" s="1" t="s">
        <v>1</v>
      </c>
      <c r="B6" s="4" t="s">
        <v>19</v>
      </c>
      <c r="C6" s="9">
        <v>0</v>
      </c>
      <c r="D6" s="10">
        <v>0</v>
      </c>
      <c r="E6" s="46">
        <v>0</v>
      </c>
      <c r="F6" s="69"/>
      <c r="G6" s="58">
        <v>0</v>
      </c>
      <c r="H6" s="10">
        <v>0</v>
      </c>
      <c r="I6" s="10">
        <v>1</v>
      </c>
      <c r="J6" s="11">
        <v>0</v>
      </c>
      <c r="K6" s="69">
        <f>SUM(G6:J6)</f>
        <v>1</v>
      </c>
      <c r="L6" s="69">
        <f t="shared" ref="L6:L54" si="0">F6+K6</f>
        <v>1</v>
      </c>
      <c r="N6"/>
    </row>
    <row r="7" spans="1:14">
      <c r="A7" s="1" t="s">
        <v>1</v>
      </c>
      <c r="B7" s="4" t="s">
        <v>20</v>
      </c>
      <c r="C7" s="9">
        <v>0</v>
      </c>
      <c r="D7" s="10">
        <v>0</v>
      </c>
      <c r="E7" s="46">
        <v>0</v>
      </c>
      <c r="F7" s="69"/>
      <c r="G7" s="58">
        <v>0</v>
      </c>
      <c r="H7" s="10">
        <v>0</v>
      </c>
      <c r="I7" s="10">
        <v>1</v>
      </c>
      <c r="J7" s="11">
        <v>0</v>
      </c>
      <c r="K7" s="69">
        <f>SUM(G7:J7)</f>
        <v>1</v>
      </c>
      <c r="L7" s="69">
        <f t="shared" si="0"/>
        <v>1</v>
      </c>
      <c r="N7"/>
    </row>
    <row r="8" spans="1:14">
      <c r="A8" s="1" t="s">
        <v>1</v>
      </c>
      <c r="B8" s="4" t="s">
        <v>21</v>
      </c>
      <c r="C8" s="9">
        <v>0</v>
      </c>
      <c r="D8" s="10">
        <v>0</v>
      </c>
      <c r="E8" s="46">
        <v>0</v>
      </c>
      <c r="F8" s="69"/>
      <c r="G8" s="58">
        <v>0</v>
      </c>
      <c r="H8" s="10">
        <v>0</v>
      </c>
      <c r="I8" s="10">
        <v>0</v>
      </c>
      <c r="J8" s="11">
        <v>0</v>
      </c>
      <c r="K8" s="69"/>
      <c r="L8" s="69">
        <f t="shared" si="0"/>
        <v>0</v>
      </c>
      <c r="N8"/>
    </row>
    <row r="9" spans="1:14">
      <c r="A9" s="1" t="s">
        <v>1</v>
      </c>
      <c r="B9" s="4" t="s">
        <v>22</v>
      </c>
      <c r="C9" s="9">
        <v>0</v>
      </c>
      <c r="D9" s="10">
        <v>0</v>
      </c>
      <c r="E9" s="46">
        <v>0</v>
      </c>
      <c r="F9" s="69"/>
      <c r="G9" s="58">
        <v>0</v>
      </c>
      <c r="H9" s="10">
        <v>0</v>
      </c>
      <c r="I9" s="10">
        <v>1</v>
      </c>
      <c r="J9" s="11">
        <v>1</v>
      </c>
      <c r="K9" s="69">
        <f>SUM(G9:J9)</f>
        <v>2</v>
      </c>
      <c r="L9" s="69">
        <f t="shared" si="0"/>
        <v>2</v>
      </c>
      <c r="N9"/>
    </row>
    <row r="10" spans="1:14">
      <c r="A10" s="1" t="s">
        <v>1</v>
      </c>
      <c r="B10" s="4" t="s">
        <v>23</v>
      </c>
      <c r="C10" s="9">
        <v>0</v>
      </c>
      <c r="D10" s="10">
        <v>0</v>
      </c>
      <c r="E10" s="46">
        <v>0</v>
      </c>
      <c r="F10" s="69"/>
      <c r="G10" s="58">
        <v>0</v>
      </c>
      <c r="H10" s="10">
        <v>0</v>
      </c>
      <c r="I10" s="10">
        <v>0</v>
      </c>
      <c r="J10" s="11">
        <v>0</v>
      </c>
      <c r="K10" s="69"/>
      <c r="L10" s="69">
        <f t="shared" si="0"/>
        <v>0</v>
      </c>
      <c r="N10"/>
    </row>
    <row r="11" spans="1:14">
      <c r="A11" s="1" t="s">
        <v>1</v>
      </c>
      <c r="B11" s="4" t="s">
        <v>24</v>
      </c>
      <c r="C11" s="9">
        <v>0</v>
      </c>
      <c r="D11" s="10">
        <v>0</v>
      </c>
      <c r="E11" s="46">
        <v>0</v>
      </c>
      <c r="F11" s="69"/>
      <c r="G11" s="58">
        <v>0</v>
      </c>
      <c r="H11" s="10">
        <v>0</v>
      </c>
      <c r="I11" s="10">
        <v>0</v>
      </c>
      <c r="J11" s="11">
        <v>0</v>
      </c>
      <c r="K11" s="69"/>
      <c r="L11" s="69">
        <f t="shared" si="0"/>
        <v>0</v>
      </c>
      <c r="N11"/>
    </row>
    <row r="12" spans="1:14">
      <c r="A12" s="1" t="s">
        <v>1</v>
      </c>
      <c r="B12" s="4" t="s">
        <v>25</v>
      </c>
      <c r="C12" s="9">
        <v>0</v>
      </c>
      <c r="D12" s="10">
        <v>0</v>
      </c>
      <c r="E12" s="46">
        <v>0</v>
      </c>
      <c r="F12" s="69"/>
      <c r="G12" s="58">
        <v>0</v>
      </c>
      <c r="H12" s="10">
        <v>0</v>
      </c>
      <c r="I12" s="10">
        <v>0</v>
      </c>
      <c r="J12" s="11">
        <v>0</v>
      </c>
      <c r="K12" s="69"/>
      <c r="L12" s="69">
        <f t="shared" si="0"/>
        <v>0</v>
      </c>
      <c r="N12"/>
    </row>
    <row r="13" spans="1:14">
      <c r="A13" s="1" t="s">
        <v>1</v>
      </c>
      <c r="B13" s="4" t="s">
        <v>26</v>
      </c>
      <c r="C13" s="12">
        <v>0</v>
      </c>
      <c r="D13" s="13">
        <v>0</v>
      </c>
      <c r="E13" s="47">
        <v>0</v>
      </c>
      <c r="F13" s="70"/>
      <c r="G13" s="59">
        <v>0</v>
      </c>
      <c r="H13" s="13">
        <v>0</v>
      </c>
      <c r="I13" s="13">
        <v>0</v>
      </c>
      <c r="J13" s="14">
        <v>3.375</v>
      </c>
      <c r="K13" s="70">
        <f>SUM(G13:J13)</f>
        <v>3.375</v>
      </c>
      <c r="L13" s="70">
        <f t="shared" si="0"/>
        <v>3.375</v>
      </c>
      <c r="N13"/>
    </row>
    <row r="14" spans="1:14">
      <c r="A14" s="1" t="s">
        <v>1</v>
      </c>
      <c r="B14" s="4" t="s">
        <v>27</v>
      </c>
      <c r="C14" s="12">
        <v>0</v>
      </c>
      <c r="D14" s="13">
        <v>0</v>
      </c>
      <c r="E14" s="47">
        <v>0</v>
      </c>
      <c r="F14" s="70"/>
      <c r="G14" s="59">
        <v>0</v>
      </c>
      <c r="H14" s="13">
        <v>0</v>
      </c>
      <c r="I14" s="13">
        <v>1.9166666666666665</v>
      </c>
      <c r="J14" s="14">
        <v>0</v>
      </c>
      <c r="K14" s="70">
        <f>SUM(G14:J14)</f>
        <v>1.9166666666666665</v>
      </c>
      <c r="L14" s="70">
        <f t="shared" si="0"/>
        <v>1.9166666666666665</v>
      </c>
      <c r="N14"/>
    </row>
    <row r="15" spans="1:14">
      <c r="A15" s="1" t="s">
        <v>1</v>
      </c>
      <c r="B15" s="4" t="s">
        <v>28</v>
      </c>
      <c r="C15" s="12">
        <v>0</v>
      </c>
      <c r="D15" s="13">
        <v>0</v>
      </c>
      <c r="E15" s="47">
        <v>0</v>
      </c>
      <c r="F15" s="70"/>
      <c r="G15" s="59">
        <v>0</v>
      </c>
      <c r="H15" s="13">
        <v>0</v>
      </c>
      <c r="I15" s="13">
        <v>0.20833333333333334</v>
      </c>
      <c r="J15" s="14">
        <v>0</v>
      </c>
      <c r="K15" s="70">
        <f t="shared" ref="K15:K20" si="1">SUM(G15:J15)</f>
        <v>0.20833333333333334</v>
      </c>
      <c r="L15" s="70">
        <f t="shared" si="0"/>
        <v>0.20833333333333334</v>
      </c>
      <c r="N15"/>
    </row>
    <row r="16" spans="1:14">
      <c r="A16" s="1" t="s">
        <v>1</v>
      </c>
      <c r="B16" s="4" t="s">
        <v>29</v>
      </c>
      <c r="C16" s="12">
        <v>0</v>
      </c>
      <c r="D16" s="13">
        <v>0</v>
      </c>
      <c r="E16" s="47">
        <v>0</v>
      </c>
      <c r="F16" s="70"/>
      <c r="G16" s="59">
        <v>0</v>
      </c>
      <c r="H16" s="13">
        <v>0</v>
      </c>
      <c r="I16" s="13">
        <v>0.125</v>
      </c>
      <c r="J16" s="14">
        <v>0</v>
      </c>
      <c r="K16" s="70">
        <f t="shared" si="1"/>
        <v>0.125</v>
      </c>
      <c r="L16" s="70">
        <f t="shared" si="0"/>
        <v>0.125</v>
      </c>
      <c r="N16"/>
    </row>
    <row r="17" spans="1:14">
      <c r="A17" s="1" t="s">
        <v>1</v>
      </c>
      <c r="B17" s="4" t="s">
        <v>30</v>
      </c>
      <c r="C17" s="12">
        <v>0</v>
      </c>
      <c r="D17" s="13">
        <v>0</v>
      </c>
      <c r="E17" s="47">
        <v>0</v>
      </c>
      <c r="F17" s="70"/>
      <c r="G17" s="59">
        <v>0</v>
      </c>
      <c r="H17" s="13">
        <v>0</v>
      </c>
      <c r="I17" s="13">
        <v>0</v>
      </c>
      <c r="J17" s="14">
        <v>0</v>
      </c>
      <c r="K17" s="70">
        <f t="shared" si="1"/>
        <v>0</v>
      </c>
      <c r="L17" s="70">
        <f t="shared" si="0"/>
        <v>0</v>
      </c>
      <c r="N17"/>
    </row>
    <row r="18" spans="1:14">
      <c r="A18" s="1" t="s">
        <v>1</v>
      </c>
      <c r="B18" s="4" t="s">
        <v>31</v>
      </c>
      <c r="C18" s="12">
        <v>0</v>
      </c>
      <c r="D18" s="13">
        <v>0</v>
      </c>
      <c r="E18" s="47">
        <v>0</v>
      </c>
      <c r="F18" s="70"/>
      <c r="G18" s="59">
        <v>0</v>
      </c>
      <c r="H18" s="13">
        <v>0</v>
      </c>
      <c r="I18" s="13">
        <v>0</v>
      </c>
      <c r="J18" s="14">
        <v>0</v>
      </c>
      <c r="K18" s="70">
        <f t="shared" si="1"/>
        <v>0</v>
      </c>
      <c r="L18" s="70">
        <f t="shared" si="0"/>
        <v>0</v>
      </c>
      <c r="N18"/>
    </row>
    <row r="19" spans="1:14">
      <c r="A19" s="1" t="s">
        <v>1</v>
      </c>
      <c r="B19" s="4" t="s">
        <v>32</v>
      </c>
      <c r="C19" s="12">
        <v>0</v>
      </c>
      <c r="D19" s="13">
        <v>0</v>
      </c>
      <c r="E19" s="47">
        <v>0</v>
      </c>
      <c r="F19" s="70"/>
      <c r="G19" s="59">
        <v>0</v>
      </c>
      <c r="H19" s="13">
        <v>0</v>
      </c>
      <c r="I19" s="13">
        <v>0.58333333333333337</v>
      </c>
      <c r="J19" s="14">
        <v>0</v>
      </c>
      <c r="K19" s="70">
        <f t="shared" si="1"/>
        <v>0.58333333333333337</v>
      </c>
      <c r="L19" s="70">
        <f t="shared" si="0"/>
        <v>0.58333333333333337</v>
      </c>
      <c r="N19"/>
    </row>
    <row r="20" spans="1:14">
      <c r="A20" s="1" t="s">
        <v>1</v>
      </c>
      <c r="B20" s="4" t="s">
        <v>33</v>
      </c>
      <c r="C20" s="12">
        <v>0</v>
      </c>
      <c r="D20" s="13">
        <v>0</v>
      </c>
      <c r="E20" s="47">
        <v>0</v>
      </c>
      <c r="F20" s="70"/>
      <c r="G20" s="59">
        <v>0</v>
      </c>
      <c r="H20" s="13">
        <v>0</v>
      </c>
      <c r="I20" s="13">
        <v>0</v>
      </c>
      <c r="J20" s="14">
        <v>0.20833333333333334</v>
      </c>
      <c r="K20" s="70">
        <f t="shared" si="1"/>
        <v>0.20833333333333334</v>
      </c>
      <c r="L20" s="70">
        <f t="shared" si="0"/>
        <v>0.20833333333333334</v>
      </c>
      <c r="N20"/>
    </row>
    <row r="21" spans="1:14">
      <c r="A21" s="1" t="s">
        <v>1</v>
      </c>
      <c r="B21" s="4" t="s">
        <v>34</v>
      </c>
      <c r="C21" s="12">
        <v>0</v>
      </c>
      <c r="D21" s="13">
        <v>0</v>
      </c>
      <c r="E21" s="47">
        <v>0</v>
      </c>
      <c r="F21" s="70"/>
      <c r="G21" s="59">
        <v>0</v>
      </c>
      <c r="H21" s="13">
        <v>0</v>
      </c>
      <c r="I21" s="13">
        <v>0</v>
      </c>
      <c r="J21" s="14">
        <v>0</v>
      </c>
      <c r="K21" s="70"/>
      <c r="L21" s="70">
        <f t="shared" si="0"/>
        <v>0</v>
      </c>
      <c r="N21"/>
    </row>
    <row r="22" spans="1:14">
      <c r="A22" s="1" t="s">
        <v>1</v>
      </c>
      <c r="B22" s="4" t="s">
        <v>35</v>
      </c>
      <c r="C22" s="12">
        <v>0</v>
      </c>
      <c r="D22" s="13">
        <v>0</v>
      </c>
      <c r="E22" s="47">
        <v>0</v>
      </c>
      <c r="F22" s="70"/>
      <c r="G22" s="59">
        <v>0</v>
      </c>
      <c r="H22" s="13">
        <v>0</v>
      </c>
      <c r="I22" s="13">
        <v>0.20833333333333334</v>
      </c>
      <c r="J22" s="14">
        <v>0</v>
      </c>
      <c r="K22" s="70">
        <f>SUM(G22:J22)</f>
        <v>0.20833333333333334</v>
      </c>
      <c r="L22" s="70">
        <f t="shared" si="0"/>
        <v>0.20833333333333334</v>
      </c>
      <c r="N22"/>
    </row>
    <row r="23" spans="1:14" ht="19.5" thickBot="1">
      <c r="A23" s="1" t="s">
        <v>1</v>
      </c>
      <c r="B23" s="5" t="s">
        <v>36</v>
      </c>
      <c r="C23" s="32">
        <v>0</v>
      </c>
      <c r="D23" s="33">
        <v>0</v>
      </c>
      <c r="E23" s="48">
        <v>0</v>
      </c>
      <c r="F23" s="71"/>
      <c r="G23" s="60">
        <v>26</v>
      </c>
      <c r="H23" s="33">
        <v>34</v>
      </c>
      <c r="I23" s="33">
        <v>16</v>
      </c>
      <c r="J23" s="34">
        <v>33</v>
      </c>
      <c r="K23" s="71">
        <f>SUM(G23:J23)</f>
        <v>109</v>
      </c>
      <c r="L23" s="71">
        <f t="shared" si="0"/>
        <v>109</v>
      </c>
      <c r="N23"/>
    </row>
    <row r="24" spans="1:14">
      <c r="A24" s="1" t="s">
        <v>1</v>
      </c>
      <c r="B24" s="21" t="s">
        <v>37</v>
      </c>
      <c r="C24" s="29">
        <v>0</v>
      </c>
      <c r="D24" s="30">
        <v>0</v>
      </c>
      <c r="E24" s="49">
        <v>0</v>
      </c>
      <c r="F24" s="72"/>
      <c r="G24" s="61">
        <v>365000</v>
      </c>
      <c r="H24" s="30">
        <v>365000</v>
      </c>
      <c r="I24" s="30">
        <v>220000</v>
      </c>
      <c r="J24" s="31">
        <v>0</v>
      </c>
      <c r="K24" s="72">
        <f>SUM(G24:J24)</f>
        <v>950000</v>
      </c>
      <c r="L24" s="72">
        <f t="shared" si="0"/>
        <v>950000</v>
      </c>
      <c r="N24"/>
    </row>
    <row r="25" spans="1:14">
      <c r="A25" s="1" t="s">
        <v>1</v>
      </c>
      <c r="B25" s="4" t="s">
        <v>38</v>
      </c>
      <c r="C25" s="15">
        <v>0</v>
      </c>
      <c r="D25" s="16">
        <v>0</v>
      </c>
      <c r="E25" s="50">
        <v>0</v>
      </c>
      <c r="F25" s="73"/>
      <c r="G25" s="62">
        <v>0</v>
      </c>
      <c r="H25" s="16">
        <v>0</v>
      </c>
      <c r="I25" s="16">
        <v>5000</v>
      </c>
      <c r="J25" s="17">
        <v>0</v>
      </c>
      <c r="K25" s="73">
        <f t="shared" ref="K25:K62" si="2">SUM(G25:J25)</f>
        <v>5000</v>
      </c>
      <c r="L25" s="73">
        <f t="shared" si="0"/>
        <v>5000</v>
      </c>
      <c r="N25"/>
    </row>
    <row r="26" spans="1:14">
      <c r="A26" s="1" t="s">
        <v>1</v>
      </c>
      <c r="B26" s="4" t="s">
        <v>39</v>
      </c>
      <c r="C26" s="15">
        <v>0</v>
      </c>
      <c r="D26" s="16">
        <v>0</v>
      </c>
      <c r="E26" s="50">
        <v>0</v>
      </c>
      <c r="F26" s="73"/>
      <c r="G26" s="62">
        <v>0</v>
      </c>
      <c r="H26" s="16">
        <v>0</v>
      </c>
      <c r="I26" s="16">
        <v>6000</v>
      </c>
      <c r="J26" s="17">
        <v>0</v>
      </c>
      <c r="K26" s="73">
        <f t="shared" si="2"/>
        <v>6000</v>
      </c>
      <c r="L26" s="73">
        <f t="shared" si="0"/>
        <v>6000</v>
      </c>
      <c r="N26"/>
    </row>
    <row r="27" spans="1:14">
      <c r="A27" s="1" t="s">
        <v>1</v>
      </c>
      <c r="B27" s="4" t="s">
        <v>40</v>
      </c>
      <c r="C27" s="15">
        <v>0</v>
      </c>
      <c r="D27" s="16">
        <v>0</v>
      </c>
      <c r="E27" s="50">
        <v>0</v>
      </c>
      <c r="F27" s="73"/>
      <c r="G27" s="62">
        <v>50000</v>
      </c>
      <c r="H27" s="16">
        <v>50000</v>
      </c>
      <c r="I27" s="16">
        <v>50000</v>
      </c>
      <c r="J27" s="17">
        <v>0</v>
      </c>
      <c r="K27" s="73">
        <f t="shared" si="2"/>
        <v>150000</v>
      </c>
      <c r="L27" s="73">
        <f t="shared" si="0"/>
        <v>150000</v>
      </c>
      <c r="N27"/>
    </row>
    <row r="28" spans="1:14">
      <c r="A28" s="1" t="s">
        <v>1</v>
      </c>
      <c r="B28" s="4" t="s">
        <v>41</v>
      </c>
      <c r="C28" s="15">
        <v>0</v>
      </c>
      <c r="D28" s="16">
        <v>0</v>
      </c>
      <c r="E28" s="50">
        <v>0</v>
      </c>
      <c r="F28" s="73"/>
      <c r="G28" s="62">
        <v>0</v>
      </c>
      <c r="H28" s="16">
        <v>0</v>
      </c>
      <c r="I28" s="16">
        <v>0</v>
      </c>
      <c r="J28" s="17">
        <v>0</v>
      </c>
      <c r="K28" s="73">
        <f t="shared" si="2"/>
        <v>0</v>
      </c>
      <c r="L28" s="73">
        <f t="shared" si="0"/>
        <v>0</v>
      </c>
      <c r="N28"/>
    </row>
    <row r="29" spans="1:14">
      <c r="A29" s="1" t="s">
        <v>1</v>
      </c>
      <c r="B29" s="4" t="s">
        <v>42</v>
      </c>
      <c r="C29" s="15">
        <v>0</v>
      </c>
      <c r="D29" s="16">
        <v>0</v>
      </c>
      <c r="E29" s="50">
        <v>0</v>
      </c>
      <c r="F29" s="73"/>
      <c r="G29" s="62">
        <v>0</v>
      </c>
      <c r="H29" s="16">
        <v>0</v>
      </c>
      <c r="I29" s="16">
        <v>0</v>
      </c>
      <c r="J29" s="17">
        <v>96795</v>
      </c>
      <c r="K29" s="73">
        <f t="shared" si="2"/>
        <v>96795</v>
      </c>
      <c r="L29" s="73">
        <f t="shared" si="0"/>
        <v>96795</v>
      </c>
      <c r="N29"/>
    </row>
    <row r="30" spans="1:14">
      <c r="A30" s="1" t="s">
        <v>1</v>
      </c>
      <c r="B30" s="4" t="s">
        <v>43</v>
      </c>
      <c r="C30" s="15">
        <v>1315000</v>
      </c>
      <c r="D30" s="16">
        <v>250000</v>
      </c>
      <c r="E30" s="50">
        <v>100000</v>
      </c>
      <c r="F30" s="73">
        <f>SUM(C30:E30)</f>
        <v>1665000</v>
      </c>
      <c r="G30" s="62">
        <v>0</v>
      </c>
      <c r="H30" s="16">
        <v>0</v>
      </c>
      <c r="I30" s="16">
        <v>0</v>
      </c>
      <c r="J30" s="17">
        <v>0</v>
      </c>
      <c r="K30" s="73">
        <f t="shared" si="2"/>
        <v>0</v>
      </c>
      <c r="L30" s="73">
        <f t="shared" si="0"/>
        <v>1665000</v>
      </c>
      <c r="N30"/>
    </row>
    <row r="31" spans="1:14">
      <c r="A31" s="1" t="s">
        <v>1</v>
      </c>
      <c r="B31" s="4" t="s">
        <v>44</v>
      </c>
      <c r="C31" s="15">
        <v>0</v>
      </c>
      <c r="D31" s="16">
        <v>0</v>
      </c>
      <c r="E31" s="50">
        <v>0</v>
      </c>
      <c r="F31" s="73">
        <f t="shared" ref="F31:F62" si="3">SUM(C31:E31)</f>
        <v>0</v>
      </c>
      <c r="G31" s="62">
        <v>0</v>
      </c>
      <c r="H31" s="16">
        <v>0</v>
      </c>
      <c r="I31" s="16">
        <v>0</v>
      </c>
      <c r="J31" s="17">
        <v>0</v>
      </c>
      <c r="K31" s="73">
        <f t="shared" si="2"/>
        <v>0</v>
      </c>
      <c r="L31" s="73">
        <f t="shared" si="0"/>
        <v>0</v>
      </c>
      <c r="N31"/>
    </row>
    <row r="32" spans="1:14">
      <c r="A32" s="1" t="s">
        <v>1</v>
      </c>
      <c r="B32" s="4" t="s">
        <v>45</v>
      </c>
      <c r="C32" s="15">
        <v>0</v>
      </c>
      <c r="D32" s="16">
        <v>0</v>
      </c>
      <c r="E32" s="50">
        <v>0</v>
      </c>
      <c r="F32" s="73">
        <f t="shared" si="3"/>
        <v>0</v>
      </c>
      <c r="G32" s="62">
        <v>0</v>
      </c>
      <c r="H32" s="16">
        <v>0</v>
      </c>
      <c r="I32" s="16">
        <v>0</v>
      </c>
      <c r="J32" s="17">
        <v>0</v>
      </c>
      <c r="K32" s="73">
        <f t="shared" si="2"/>
        <v>0</v>
      </c>
      <c r="L32" s="73">
        <f t="shared" si="0"/>
        <v>0</v>
      </c>
      <c r="N32"/>
    </row>
    <row r="33" spans="1:14">
      <c r="A33" s="1" t="s">
        <v>1</v>
      </c>
      <c r="B33" s="4" t="s">
        <v>46</v>
      </c>
      <c r="C33" s="15">
        <v>0</v>
      </c>
      <c r="D33" s="16">
        <v>0</v>
      </c>
      <c r="E33" s="50">
        <v>0</v>
      </c>
      <c r="F33" s="73">
        <f t="shared" si="3"/>
        <v>0</v>
      </c>
      <c r="G33" s="62">
        <v>0</v>
      </c>
      <c r="H33" s="16">
        <v>0</v>
      </c>
      <c r="I33" s="16">
        <v>0</v>
      </c>
      <c r="J33" s="17">
        <v>5975</v>
      </c>
      <c r="K33" s="73">
        <f t="shared" si="2"/>
        <v>5975</v>
      </c>
      <c r="L33" s="73">
        <f t="shared" si="0"/>
        <v>5975</v>
      </c>
      <c r="N33"/>
    </row>
    <row r="34" spans="1:14">
      <c r="A34" s="1" t="s">
        <v>1</v>
      </c>
      <c r="B34" s="4" t="s">
        <v>47</v>
      </c>
      <c r="C34" s="15">
        <v>0</v>
      </c>
      <c r="D34" s="16">
        <v>0</v>
      </c>
      <c r="E34" s="50">
        <v>0</v>
      </c>
      <c r="F34" s="73">
        <f t="shared" si="3"/>
        <v>0</v>
      </c>
      <c r="G34" s="62">
        <v>0</v>
      </c>
      <c r="H34" s="16">
        <v>0</v>
      </c>
      <c r="I34" s="16">
        <v>0</v>
      </c>
      <c r="J34" s="17">
        <v>0</v>
      </c>
      <c r="K34" s="73">
        <f t="shared" si="2"/>
        <v>0</v>
      </c>
      <c r="L34" s="73">
        <f t="shared" si="0"/>
        <v>0</v>
      </c>
      <c r="N34"/>
    </row>
    <row r="35" spans="1:14">
      <c r="A35" s="1" t="s">
        <v>1</v>
      </c>
      <c r="B35" s="4" t="s">
        <v>48</v>
      </c>
      <c r="C35" s="15">
        <v>0</v>
      </c>
      <c r="D35" s="16">
        <v>0</v>
      </c>
      <c r="E35" s="50">
        <v>0</v>
      </c>
      <c r="F35" s="73">
        <f t="shared" si="3"/>
        <v>0</v>
      </c>
      <c r="G35" s="62">
        <v>0</v>
      </c>
      <c r="H35" s="16">
        <v>0</v>
      </c>
      <c r="I35" s="16">
        <v>0</v>
      </c>
      <c r="J35" s="17">
        <v>0</v>
      </c>
      <c r="K35" s="73">
        <f t="shared" si="2"/>
        <v>0</v>
      </c>
      <c r="L35" s="73">
        <f t="shared" si="0"/>
        <v>0</v>
      </c>
      <c r="N35"/>
    </row>
    <row r="36" spans="1:14">
      <c r="A36" s="1" t="s">
        <v>1</v>
      </c>
      <c r="B36" s="4" t="s">
        <v>49</v>
      </c>
      <c r="C36" s="15">
        <v>0</v>
      </c>
      <c r="D36" s="16">
        <v>0</v>
      </c>
      <c r="E36" s="50">
        <v>0</v>
      </c>
      <c r="F36" s="73">
        <f t="shared" si="3"/>
        <v>0</v>
      </c>
      <c r="G36" s="62">
        <v>0</v>
      </c>
      <c r="H36" s="16">
        <v>0</v>
      </c>
      <c r="I36" s="16">
        <v>0</v>
      </c>
      <c r="J36" s="17">
        <v>0</v>
      </c>
      <c r="K36" s="73">
        <f t="shared" si="2"/>
        <v>0</v>
      </c>
      <c r="L36" s="73">
        <f t="shared" si="0"/>
        <v>0</v>
      </c>
      <c r="N36"/>
    </row>
    <row r="37" spans="1:14">
      <c r="A37" s="1" t="s">
        <v>1</v>
      </c>
      <c r="B37" s="4" t="s">
        <v>27</v>
      </c>
      <c r="C37" s="15">
        <v>0</v>
      </c>
      <c r="D37" s="16">
        <v>0</v>
      </c>
      <c r="E37" s="50">
        <v>0</v>
      </c>
      <c r="F37" s="73">
        <f t="shared" si="3"/>
        <v>0</v>
      </c>
      <c r="G37" s="62">
        <v>0</v>
      </c>
      <c r="H37" s="16">
        <v>0</v>
      </c>
      <c r="I37" s="16">
        <v>113804</v>
      </c>
      <c r="J37" s="17">
        <v>0</v>
      </c>
      <c r="K37" s="73">
        <f t="shared" si="2"/>
        <v>113804</v>
      </c>
      <c r="L37" s="73">
        <f t="shared" si="0"/>
        <v>113804</v>
      </c>
      <c r="N37"/>
    </row>
    <row r="38" spans="1:14">
      <c r="A38" s="1" t="s">
        <v>1</v>
      </c>
      <c r="B38" s="4" t="s">
        <v>50</v>
      </c>
      <c r="C38" s="15">
        <v>0</v>
      </c>
      <c r="D38" s="16">
        <v>0</v>
      </c>
      <c r="E38" s="50">
        <v>0</v>
      </c>
      <c r="F38" s="73">
        <f t="shared" si="3"/>
        <v>0</v>
      </c>
      <c r="G38" s="62">
        <v>0</v>
      </c>
      <c r="H38" s="16">
        <v>0</v>
      </c>
      <c r="I38" s="16">
        <v>13360</v>
      </c>
      <c r="J38" s="17">
        <v>0</v>
      </c>
      <c r="K38" s="73">
        <f t="shared" si="2"/>
        <v>13360</v>
      </c>
      <c r="L38" s="73">
        <f t="shared" si="0"/>
        <v>13360</v>
      </c>
      <c r="N38"/>
    </row>
    <row r="39" spans="1:14">
      <c r="A39" s="1" t="s">
        <v>1</v>
      </c>
      <c r="B39" s="4" t="s">
        <v>51</v>
      </c>
      <c r="C39" s="15">
        <v>0</v>
      </c>
      <c r="D39" s="16">
        <v>0</v>
      </c>
      <c r="E39" s="50">
        <v>0</v>
      </c>
      <c r="F39" s="73">
        <f t="shared" si="3"/>
        <v>0</v>
      </c>
      <c r="G39" s="62">
        <v>0</v>
      </c>
      <c r="H39" s="16">
        <v>0</v>
      </c>
      <c r="I39" s="16">
        <v>8016</v>
      </c>
      <c r="J39" s="17">
        <v>0</v>
      </c>
      <c r="K39" s="73">
        <f t="shared" si="2"/>
        <v>8016</v>
      </c>
      <c r="L39" s="73">
        <f t="shared" si="0"/>
        <v>8016</v>
      </c>
      <c r="N39"/>
    </row>
    <row r="40" spans="1:14">
      <c r="A40" s="1" t="s">
        <v>1</v>
      </c>
      <c r="B40" s="4" t="s">
        <v>52</v>
      </c>
      <c r="C40" s="15">
        <v>0</v>
      </c>
      <c r="D40" s="16">
        <v>0</v>
      </c>
      <c r="E40" s="50">
        <v>0</v>
      </c>
      <c r="F40" s="73">
        <f t="shared" si="3"/>
        <v>0</v>
      </c>
      <c r="G40" s="62">
        <v>0</v>
      </c>
      <c r="H40" s="16">
        <v>0</v>
      </c>
      <c r="I40" s="16">
        <v>0</v>
      </c>
      <c r="J40" s="17">
        <v>0</v>
      </c>
      <c r="K40" s="73">
        <f t="shared" si="2"/>
        <v>0</v>
      </c>
      <c r="L40" s="73">
        <f t="shared" si="0"/>
        <v>0</v>
      </c>
      <c r="N40"/>
    </row>
    <row r="41" spans="1:14">
      <c r="A41" s="1" t="s">
        <v>1</v>
      </c>
      <c r="B41" s="4" t="s">
        <v>53</v>
      </c>
      <c r="C41" s="15">
        <v>0</v>
      </c>
      <c r="D41" s="16">
        <v>0</v>
      </c>
      <c r="E41" s="50">
        <v>0</v>
      </c>
      <c r="F41" s="73">
        <f t="shared" si="3"/>
        <v>0</v>
      </c>
      <c r="G41" s="62">
        <v>0</v>
      </c>
      <c r="H41" s="16">
        <v>0</v>
      </c>
      <c r="I41" s="16">
        <v>0</v>
      </c>
      <c r="J41" s="17">
        <v>0</v>
      </c>
      <c r="K41" s="73">
        <f t="shared" si="2"/>
        <v>0</v>
      </c>
      <c r="L41" s="73">
        <f t="shared" si="0"/>
        <v>0</v>
      </c>
      <c r="N41"/>
    </row>
    <row r="42" spans="1:14">
      <c r="A42" s="1" t="s">
        <v>1</v>
      </c>
      <c r="B42" s="4" t="s">
        <v>54</v>
      </c>
      <c r="C42" s="15">
        <v>0</v>
      </c>
      <c r="D42" s="16">
        <v>0</v>
      </c>
      <c r="E42" s="50">
        <v>0</v>
      </c>
      <c r="F42" s="73">
        <f t="shared" si="3"/>
        <v>0</v>
      </c>
      <c r="G42" s="62">
        <v>0</v>
      </c>
      <c r="H42" s="16">
        <v>0</v>
      </c>
      <c r="I42" s="16">
        <v>0</v>
      </c>
      <c r="J42" s="17">
        <v>0</v>
      </c>
      <c r="K42" s="73">
        <f t="shared" si="2"/>
        <v>0</v>
      </c>
      <c r="L42" s="73">
        <f t="shared" si="0"/>
        <v>0</v>
      </c>
      <c r="N42"/>
    </row>
    <row r="43" spans="1:14">
      <c r="A43" s="1" t="s">
        <v>1</v>
      </c>
      <c r="B43" s="4" t="s">
        <v>32</v>
      </c>
      <c r="C43" s="15">
        <v>0</v>
      </c>
      <c r="D43" s="16">
        <v>0</v>
      </c>
      <c r="E43" s="50">
        <v>0</v>
      </c>
      <c r="F43" s="73">
        <f t="shared" si="3"/>
        <v>0</v>
      </c>
      <c r="G43" s="62">
        <v>0</v>
      </c>
      <c r="H43" s="16">
        <v>0</v>
      </c>
      <c r="I43" s="16">
        <v>27706</v>
      </c>
      <c r="J43" s="17">
        <v>0</v>
      </c>
      <c r="K43" s="73">
        <f t="shared" si="2"/>
        <v>27706</v>
      </c>
      <c r="L43" s="73">
        <f t="shared" si="0"/>
        <v>27706</v>
      </c>
      <c r="N43"/>
    </row>
    <row r="44" spans="1:14" ht="19.5" thickBot="1">
      <c r="A44" s="1" t="s">
        <v>1</v>
      </c>
      <c r="B44" s="35" t="s">
        <v>35</v>
      </c>
      <c r="C44" s="36">
        <v>0</v>
      </c>
      <c r="D44" s="37">
        <v>0</v>
      </c>
      <c r="E44" s="51">
        <v>0</v>
      </c>
      <c r="F44" s="74">
        <f t="shared" si="3"/>
        <v>0</v>
      </c>
      <c r="G44" s="63">
        <v>0</v>
      </c>
      <c r="H44" s="37">
        <v>0</v>
      </c>
      <c r="I44" s="37">
        <v>2475</v>
      </c>
      <c r="J44" s="38">
        <v>0</v>
      </c>
      <c r="K44" s="74">
        <f t="shared" si="2"/>
        <v>2475</v>
      </c>
      <c r="L44" s="74">
        <f t="shared" si="0"/>
        <v>2475</v>
      </c>
      <c r="N44"/>
    </row>
    <row r="45" spans="1:14" ht="19.5" thickBot="1">
      <c r="A45" s="1" t="s">
        <v>1</v>
      </c>
      <c r="B45" s="39" t="s">
        <v>55</v>
      </c>
      <c r="C45" s="40">
        <v>1315000</v>
      </c>
      <c r="D45" s="41">
        <v>250000</v>
      </c>
      <c r="E45" s="52">
        <v>100000</v>
      </c>
      <c r="F45" s="75">
        <f t="shared" si="3"/>
        <v>1665000</v>
      </c>
      <c r="G45" s="64">
        <v>415000</v>
      </c>
      <c r="H45" s="41">
        <v>415000</v>
      </c>
      <c r="I45" s="41">
        <v>446361</v>
      </c>
      <c r="J45" s="42">
        <v>102770</v>
      </c>
      <c r="K45" s="75">
        <f t="shared" si="2"/>
        <v>1379131</v>
      </c>
      <c r="L45" s="75">
        <f t="shared" si="0"/>
        <v>3044131</v>
      </c>
      <c r="N45"/>
    </row>
    <row r="46" spans="1:14" ht="19.5" thickBot="1">
      <c r="A46" s="1" t="s">
        <v>1</v>
      </c>
      <c r="B46" s="21" t="s">
        <v>56</v>
      </c>
      <c r="C46" s="29">
        <v>0</v>
      </c>
      <c r="D46" s="30">
        <v>0</v>
      </c>
      <c r="E46" s="49">
        <v>0</v>
      </c>
      <c r="F46" s="72">
        <f t="shared" si="3"/>
        <v>0</v>
      </c>
      <c r="G46" s="61">
        <v>1934</v>
      </c>
      <c r="H46" s="30">
        <v>10560</v>
      </c>
      <c r="I46" s="30">
        <v>5003</v>
      </c>
      <c r="J46" s="31">
        <v>0</v>
      </c>
      <c r="K46" s="72">
        <f t="shared" si="2"/>
        <v>17497</v>
      </c>
      <c r="L46" s="72">
        <f t="shared" si="0"/>
        <v>17497</v>
      </c>
      <c r="N46"/>
    </row>
    <row r="47" spans="1:14" ht="19.5" thickBot="1">
      <c r="A47" s="1" t="s">
        <v>1</v>
      </c>
      <c r="B47" s="39" t="s">
        <v>57</v>
      </c>
      <c r="C47" s="40">
        <v>0</v>
      </c>
      <c r="D47" s="41">
        <v>0</v>
      </c>
      <c r="E47" s="52">
        <v>0</v>
      </c>
      <c r="F47" s="75">
        <f t="shared" si="3"/>
        <v>0</v>
      </c>
      <c r="G47" s="64">
        <v>1934</v>
      </c>
      <c r="H47" s="41">
        <v>10560</v>
      </c>
      <c r="I47" s="41">
        <v>5003</v>
      </c>
      <c r="J47" s="42">
        <v>0</v>
      </c>
      <c r="K47" s="75">
        <f t="shared" si="2"/>
        <v>17497</v>
      </c>
      <c r="L47" s="75">
        <f t="shared" si="0"/>
        <v>17497</v>
      </c>
      <c r="N47"/>
    </row>
    <row r="48" spans="1:14" ht="19.5" thickBot="1">
      <c r="A48" s="1" t="s">
        <v>1</v>
      </c>
      <c r="B48" s="39" t="s">
        <v>58</v>
      </c>
      <c r="C48" s="40">
        <v>1315000</v>
      </c>
      <c r="D48" s="41">
        <v>250000</v>
      </c>
      <c r="E48" s="52">
        <v>100000</v>
      </c>
      <c r="F48" s="75">
        <f t="shared" si="3"/>
        <v>1665000</v>
      </c>
      <c r="G48" s="64">
        <v>416934</v>
      </c>
      <c r="H48" s="41">
        <v>425560</v>
      </c>
      <c r="I48" s="41">
        <v>451364</v>
      </c>
      <c r="J48" s="42">
        <v>102770</v>
      </c>
      <c r="K48" s="75">
        <f t="shared" si="2"/>
        <v>1396628</v>
      </c>
      <c r="L48" s="75">
        <f t="shared" si="0"/>
        <v>3061628</v>
      </c>
      <c r="N48"/>
    </row>
    <row r="49" spans="1:14">
      <c r="A49" s="1" t="s">
        <v>1</v>
      </c>
      <c r="B49" s="21" t="s">
        <v>59</v>
      </c>
      <c r="C49" s="29">
        <v>67830</v>
      </c>
      <c r="D49" s="30">
        <v>0</v>
      </c>
      <c r="E49" s="49">
        <v>0</v>
      </c>
      <c r="F49" s="72">
        <f t="shared" si="3"/>
        <v>67830</v>
      </c>
      <c r="G49" s="61">
        <v>22440</v>
      </c>
      <c r="H49" s="30">
        <v>20910</v>
      </c>
      <c r="I49" s="30">
        <v>18360</v>
      </c>
      <c r="J49" s="31">
        <v>0</v>
      </c>
      <c r="K49" s="72">
        <f t="shared" si="2"/>
        <v>61710</v>
      </c>
      <c r="L49" s="72">
        <f t="shared" si="0"/>
        <v>129540</v>
      </c>
      <c r="N49"/>
    </row>
    <row r="50" spans="1:14">
      <c r="A50" s="1" t="s">
        <v>1</v>
      </c>
      <c r="B50" s="4" t="s">
        <v>60</v>
      </c>
      <c r="C50" s="15">
        <v>11970</v>
      </c>
      <c r="D50" s="16">
        <v>0</v>
      </c>
      <c r="E50" s="50">
        <v>0</v>
      </c>
      <c r="F50" s="73">
        <f t="shared" si="3"/>
        <v>11970</v>
      </c>
      <c r="G50" s="62">
        <v>3960</v>
      </c>
      <c r="H50" s="16">
        <v>3690</v>
      </c>
      <c r="I50" s="16">
        <v>3240</v>
      </c>
      <c r="J50" s="17">
        <v>0</v>
      </c>
      <c r="K50" s="73">
        <f t="shared" si="2"/>
        <v>10890</v>
      </c>
      <c r="L50" s="73">
        <f t="shared" si="0"/>
        <v>22860</v>
      </c>
      <c r="N50"/>
    </row>
    <row r="51" spans="1:14">
      <c r="A51" s="1" t="s">
        <v>1</v>
      </c>
      <c r="B51" s="4" t="s">
        <v>61</v>
      </c>
      <c r="C51" s="15">
        <v>59475</v>
      </c>
      <c r="D51" s="16">
        <v>0</v>
      </c>
      <c r="E51" s="50">
        <v>0</v>
      </c>
      <c r="F51" s="73">
        <f t="shared" si="3"/>
        <v>59475</v>
      </c>
      <c r="G51" s="62">
        <v>40260</v>
      </c>
      <c r="H51" s="16">
        <v>37515</v>
      </c>
      <c r="I51" s="16">
        <v>32940</v>
      </c>
      <c r="J51" s="17">
        <v>0</v>
      </c>
      <c r="K51" s="73">
        <f t="shared" si="2"/>
        <v>110715</v>
      </c>
      <c r="L51" s="73">
        <f t="shared" si="0"/>
        <v>170190</v>
      </c>
      <c r="N51"/>
    </row>
    <row r="52" spans="1:14" ht="19.5" thickBot="1">
      <c r="A52" s="1" t="s">
        <v>1</v>
      </c>
      <c r="B52" s="4" t="s">
        <v>62</v>
      </c>
      <c r="C52" s="15">
        <v>0</v>
      </c>
      <c r="D52" s="16">
        <v>0</v>
      </c>
      <c r="E52" s="50">
        <v>0</v>
      </c>
      <c r="F52" s="73">
        <f t="shared" si="3"/>
        <v>0</v>
      </c>
      <c r="G52" s="62">
        <v>1251</v>
      </c>
      <c r="H52" s="16">
        <v>1277</v>
      </c>
      <c r="I52" s="16">
        <v>1354</v>
      </c>
      <c r="J52" s="17">
        <v>308</v>
      </c>
      <c r="K52" s="73">
        <f t="shared" si="2"/>
        <v>4190</v>
      </c>
      <c r="L52" s="73">
        <f t="shared" si="0"/>
        <v>4190</v>
      </c>
      <c r="N52"/>
    </row>
    <row r="53" spans="1:14" ht="19.5" thickBot="1">
      <c r="A53" s="1" t="s">
        <v>1</v>
      </c>
      <c r="B53" s="39" t="s">
        <v>63</v>
      </c>
      <c r="C53" s="40">
        <v>139275</v>
      </c>
      <c r="D53" s="41">
        <v>0</v>
      </c>
      <c r="E53" s="52">
        <v>0</v>
      </c>
      <c r="F53" s="75">
        <f t="shared" si="3"/>
        <v>139275</v>
      </c>
      <c r="G53" s="64">
        <v>67911</v>
      </c>
      <c r="H53" s="41">
        <v>63392</v>
      </c>
      <c r="I53" s="41">
        <v>55894</v>
      </c>
      <c r="J53" s="42">
        <v>308</v>
      </c>
      <c r="K53" s="75">
        <f t="shared" si="2"/>
        <v>187505</v>
      </c>
      <c r="L53" s="75">
        <f t="shared" si="0"/>
        <v>326780</v>
      </c>
      <c r="N53"/>
    </row>
    <row r="54" spans="1:14">
      <c r="A54" s="1" t="s">
        <v>1</v>
      </c>
      <c r="B54" s="21" t="s">
        <v>64</v>
      </c>
      <c r="C54" s="29">
        <v>186550</v>
      </c>
      <c r="D54" s="30">
        <v>36400</v>
      </c>
      <c r="E54" s="49">
        <v>720</v>
      </c>
      <c r="F54" s="72">
        <f t="shared" si="3"/>
        <v>223670</v>
      </c>
      <c r="G54" s="61">
        <v>12230</v>
      </c>
      <c r="H54" s="30">
        <v>12600</v>
      </c>
      <c r="I54" s="30">
        <v>12540</v>
      </c>
      <c r="J54" s="31">
        <v>850</v>
      </c>
      <c r="K54" s="72">
        <f t="shared" si="2"/>
        <v>38220</v>
      </c>
      <c r="L54" s="72">
        <f t="shared" si="0"/>
        <v>261890</v>
      </c>
      <c r="N54"/>
    </row>
    <row r="55" spans="1:14">
      <c r="A55" s="1" t="s">
        <v>1</v>
      </c>
      <c r="B55" s="4" t="s">
        <v>65</v>
      </c>
      <c r="C55" s="15">
        <v>0</v>
      </c>
      <c r="D55" s="16">
        <v>0</v>
      </c>
      <c r="E55" s="50">
        <v>0</v>
      </c>
      <c r="F55" s="73">
        <f t="shared" si="3"/>
        <v>0</v>
      </c>
      <c r="G55" s="62">
        <v>0</v>
      </c>
      <c r="H55" s="16">
        <v>0</v>
      </c>
      <c r="I55" s="16">
        <v>0</v>
      </c>
      <c r="J55" s="17">
        <v>0</v>
      </c>
      <c r="K55" s="73">
        <f t="shared" si="2"/>
        <v>0</v>
      </c>
      <c r="L55" s="73">
        <f t="shared" ref="L55:L62" si="4">F55+K55</f>
        <v>0</v>
      </c>
      <c r="N55"/>
    </row>
    <row r="56" spans="1:14">
      <c r="A56" s="1" t="s">
        <v>1</v>
      </c>
      <c r="B56" s="4" t="s">
        <v>66</v>
      </c>
      <c r="C56" s="15">
        <v>91000</v>
      </c>
      <c r="D56" s="16">
        <v>0</v>
      </c>
      <c r="E56" s="50">
        <v>800</v>
      </c>
      <c r="F56" s="73">
        <f t="shared" si="3"/>
        <v>91800</v>
      </c>
      <c r="G56" s="62">
        <v>23700</v>
      </c>
      <c r="H56" s="16">
        <v>23100</v>
      </c>
      <c r="I56" s="16">
        <v>18900</v>
      </c>
      <c r="J56" s="17">
        <v>2300</v>
      </c>
      <c r="K56" s="73">
        <f t="shared" si="2"/>
        <v>68000</v>
      </c>
      <c r="L56" s="73">
        <f t="shared" si="4"/>
        <v>159800</v>
      </c>
      <c r="N56"/>
    </row>
    <row r="57" spans="1:14" ht="19.5" thickBot="1">
      <c r="A57" s="1" t="s">
        <v>1</v>
      </c>
      <c r="B57" s="4" t="s">
        <v>67</v>
      </c>
      <c r="C57" s="15">
        <v>32000</v>
      </c>
      <c r="D57" s="16">
        <v>0</v>
      </c>
      <c r="E57" s="50">
        <v>0</v>
      </c>
      <c r="F57" s="73">
        <f t="shared" si="3"/>
        <v>32000</v>
      </c>
      <c r="G57" s="62">
        <v>0</v>
      </c>
      <c r="H57" s="16">
        <v>0</v>
      </c>
      <c r="I57" s="16">
        <v>0</v>
      </c>
      <c r="J57" s="17">
        <v>0</v>
      </c>
      <c r="K57" s="73">
        <f t="shared" si="2"/>
        <v>0</v>
      </c>
      <c r="L57" s="73">
        <f t="shared" si="4"/>
        <v>32000</v>
      </c>
      <c r="N57"/>
    </row>
    <row r="58" spans="1:14" ht="19.5" thickBot="1">
      <c r="A58" s="1" t="s">
        <v>1</v>
      </c>
      <c r="B58" s="39" t="s">
        <v>68</v>
      </c>
      <c r="C58" s="40">
        <v>448825</v>
      </c>
      <c r="D58" s="41">
        <v>36400</v>
      </c>
      <c r="E58" s="52">
        <v>1520</v>
      </c>
      <c r="F58" s="75">
        <f t="shared" si="3"/>
        <v>486745</v>
      </c>
      <c r="G58" s="64">
        <v>103841</v>
      </c>
      <c r="H58" s="41">
        <v>99092</v>
      </c>
      <c r="I58" s="41">
        <v>87334</v>
      </c>
      <c r="J58" s="42">
        <v>3458</v>
      </c>
      <c r="K58" s="75">
        <f t="shared" si="2"/>
        <v>293725</v>
      </c>
      <c r="L58" s="75">
        <f t="shared" si="4"/>
        <v>780470</v>
      </c>
      <c r="N58"/>
    </row>
    <row r="59" spans="1:14" ht="19.5" thickBot="1">
      <c r="A59" s="1" t="s">
        <v>1</v>
      </c>
      <c r="B59" s="39" t="s">
        <v>69</v>
      </c>
      <c r="C59" s="40">
        <v>1175725</v>
      </c>
      <c r="D59" s="41">
        <v>250000</v>
      </c>
      <c r="E59" s="52">
        <v>100000</v>
      </c>
      <c r="F59" s="75">
        <f t="shared" si="3"/>
        <v>1525725</v>
      </c>
      <c r="G59" s="64">
        <v>347089</v>
      </c>
      <c r="H59" s="41">
        <v>351608</v>
      </c>
      <c r="I59" s="41">
        <v>390467</v>
      </c>
      <c r="J59" s="42">
        <v>102462</v>
      </c>
      <c r="K59" s="75">
        <f t="shared" si="2"/>
        <v>1191626</v>
      </c>
      <c r="L59" s="75">
        <f t="shared" si="4"/>
        <v>2717351</v>
      </c>
      <c r="N59"/>
    </row>
    <row r="60" spans="1:14" ht="19.5" thickBot="1">
      <c r="A60" s="1" t="s">
        <v>1</v>
      </c>
      <c r="B60" s="39" t="s">
        <v>70</v>
      </c>
      <c r="C60" s="40">
        <v>866175</v>
      </c>
      <c r="D60" s="41">
        <v>213600</v>
      </c>
      <c r="E60" s="52">
        <v>98480</v>
      </c>
      <c r="F60" s="75">
        <f t="shared" si="3"/>
        <v>1178255</v>
      </c>
      <c r="G60" s="64">
        <v>313093</v>
      </c>
      <c r="H60" s="41">
        <v>326468</v>
      </c>
      <c r="I60" s="41">
        <v>364030</v>
      </c>
      <c r="J60" s="42">
        <v>99312</v>
      </c>
      <c r="K60" s="75">
        <f t="shared" si="2"/>
        <v>1102903</v>
      </c>
      <c r="L60" s="75">
        <f t="shared" si="4"/>
        <v>2281158</v>
      </c>
      <c r="N60"/>
    </row>
    <row r="61" spans="1:14">
      <c r="A61" s="1" t="s">
        <v>1</v>
      </c>
      <c r="B61" s="21" t="s">
        <v>71</v>
      </c>
      <c r="C61" s="29">
        <v>0</v>
      </c>
      <c r="D61" s="30">
        <v>0</v>
      </c>
      <c r="E61" s="49">
        <v>0</v>
      </c>
      <c r="F61" s="72">
        <f t="shared" si="3"/>
        <v>0</v>
      </c>
      <c r="G61" s="61">
        <v>0</v>
      </c>
      <c r="H61" s="30">
        <v>0</v>
      </c>
      <c r="I61" s="30">
        <v>0</v>
      </c>
      <c r="J61" s="31">
        <v>0</v>
      </c>
      <c r="K61" s="72">
        <f t="shared" si="2"/>
        <v>0</v>
      </c>
      <c r="L61" s="72">
        <f t="shared" si="4"/>
        <v>0</v>
      </c>
      <c r="N61"/>
    </row>
    <row r="62" spans="1:14">
      <c r="A62" s="1" t="s">
        <v>1</v>
      </c>
      <c r="B62" s="4" t="s">
        <v>72</v>
      </c>
      <c r="C62" s="15">
        <v>866175</v>
      </c>
      <c r="D62" s="16">
        <v>213600</v>
      </c>
      <c r="E62" s="50">
        <v>98480</v>
      </c>
      <c r="F62" s="73">
        <f t="shared" si="3"/>
        <v>1178255</v>
      </c>
      <c r="G62" s="62">
        <v>313093</v>
      </c>
      <c r="H62" s="16">
        <v>326468</v>
      </c>
      <c r="I62" s="16">
        <v>364030</v>
      </c>
      <c r="J62" s="17">
        <v>99312</v>
      </c>
      <c r="K62" s="73">
        <f t="shared" si="2"/>
        <v>1102903</v>
      </c>
      <c r="L62" s="73">
        <f t="shared" si="4"/>
        <v>2281158</v>
      </c>
      <c r="N62"/>
    </row>
    <row r="63" spans="1:14">
      <c r="A63" s="1" t="s">
        <v>1</v>
      </c>
      <c r="B63" s="4" t="s">
        <v>73</v>
      </c>
      <c r="C63" s="15">
        <v>1</v>
      </c>
      <c r="D63" s="16">
        <v>0</v>
      </c>
      <c r="E63" s="50">
        <v>0</v>
      </c>
      <c r="F63" s="73"/>
      <c r="G63" s="62">
        <v>0</v>
      </c>
      <c r="H63" s="16">
        <v>0</v>
      </c>
      <c r="I63" s="16">
        <v>1</v>
      </c>
      <c r="J63" s="17">
        <v>0</v>
      </c>
      <c r="K63" s="73"/>
      <c r="L63" s="73"/>
      <c r="N63"/>
    </row>
    <row r="64" spans="1:14" ht="19.5" thickBot="1">
      <c r="A64" s="1" t="s">
        <v>1</v>
      </c>
      <c r="B64" s="5" t="s">
        <v>74</v>
      </c>
      <c r="C64" s="18" t="s">
        <v>75</v>
      </c>
      <c r="D64" s="19" t="s">
        <v>76</v>
      </c>
      <c r="E64" s="53" t="s">
        <v>75</v>
      </c>
      <c r="F64" s="76"/>
      <c r="G64" s="65" t="s">
        <v>75</v>
      </c>
      <c r="H64" s="19" t="s">
        <v>75</v>
      </c>
      <c r="I64" s="19" t="s">
        <v>75</v>
      </c>
      <c r="J64" s="20" t="s">
        <v>75</v>
      </c>
      <c r="K64" s="76"/>
      <c r="L64" s="76"/>
      <c r="N64"/>
    </row>
  </sheetData>
  <phoneticPr fontId="4"/>
  <pageMargins left="0.31496062992125984" right="0.31496062992125984" top="0.35433070866141736" bottom="0.35433070866141736" header="0.11811023622047245" footer="0.11811023622047245"/>
  <pageSetup paperSize="12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2022年9月度給与 (2)</vt:lpstr>
      <vt:lpstr>'2022年9月度給与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2022-10-12T05:58:20Z</cp:lastPrinted>
  <dcterms:created xsi:type="dcterms:W3CDTF">2022-10-11T01:03:58Z</dcterms:created>
  <dcterms:modified xsi:type="dcterms:W3CDTF">2022-10-12T07:26:05Z</dcterms:modified>
</cp:coreProperties>
</file>