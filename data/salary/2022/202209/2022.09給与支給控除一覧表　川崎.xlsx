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9\"/>
    </mc:Choice>
  </mc:AlternateContent>
  <xr:revisionPtr revIDLastSave="0" documentId="13_ncr:1_{8B659ED1-8DB0-41C8-BC95-4FD84D3A3AC3}" xr6:coauthVersionLast="47" xr6:coauthVersionMax="47" xr10:uidLastSave="{00000000-0000-0000-0000-000000000000}"/>
  <bookViews>
    <workbookView xWindow="-120" yWindow="-120" windowWidth="20730" windowHeight="11160" xr2:uid="{3CF1B5C9-C772-4FA8-AD84-A98469E90B50}"/>
  </bookViews>
  <sheets>
    <sheet name="2022年9月度給与 (2)" sheetId="3" r:id="rId1"/>
  </sheets>
  <definedNames>
    <definedName name="_xlnm.Print_Area" localSheetId="0">'2022年9月度給与 (2)'!$A$1:$J$64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5" i="3" l="1"/>
  <c r="J35" i="3" s="1"/>
  <c r="I35" i="3"/>
  <c r="J7" i="3"/>
  <c r="J8" i="3"/>
  <c r="J10" i="3"/>
  <c r="J11" i="3"/>
  <c r="J12" i="3"/>
  <c r="J16" i="3"/>
  <c r="J17" i="3"/>
  <c r="J18" i="3"/>
  <c r="J19" i="3"/>
  <c r="J21" i="3"/>
  <c r="J63" i="3"/>
  <c r="I25" i="3"/>
  <c r="I26" i="3"/>
  <c r="I27" i="3"/>
  <c r="I28" i="3"/>
  <c r="I29" i="3"/>
  <c r="I30" i="3"/>
  <c r="I31" i="3"/>
  <c r="I32" i="3"/>
  <c r="I33" i="3"/>
  <c r="I34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24" i="3"/>
  <c r="I23" i="3"/>
  <c r="E23" i="3"/>
  <c r="I22" i="3"/>
  <c r="J22" i="3" s="1"/>
  <c r="I15" i="3"/>
  <c r="J15" i="3" s="1"/>
  <c r="I14" i="3"/>
  <c r="J14" i="3" s="1"/>
  <c r="I9" i="3"/>
  <c r="I6" i="3"/>
  <c r="J6" i="3" s="1"/>
  <c r="I5" i="3"/>
  <c r="E25" i="3"/>
  <c r="E26" i="3"/>
  <c r="E27" i="3"/>
  <c r="E28" i="3"/>
  <c r="E29" i="3"/>
  <c r="E30" i="3"/>
  <c r="E31" i="3"/>
  <c r="E32" i="3"/>
  <c r="E33" i="3"/>
  <c r="J33" i="3" s="1"/>
  <c r="E34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24" i="3"/>
  <c r="E20" i="3"/>
  <c r="J20" i="3" s="1"/>
  <c r="E13" i="3"/>
  <c r="J13" i="3" s="1"/>
  <c r="E9" i="3"/>
  <c r="E5" i="3"/>
  <c r="J31" i="3" l="1"/>
  <c r="J28" i="3"/>
  <c r="J60" i="3"/>
  <c r="J49" i="3"/>
  <c r="J46" i="3"/>
  <c r="J38" i="3"/>
  <c r="J53" i="3"/>
  <c r="J42" i="3"/>
  <c r="J61" i="3"/>
  <c r="J56" i="3"/>
  <c r="J50" i="3"/>
  <c r="J47" i="3"/>
  <c r="J43" i="3"/>
  <c r="J39" i="3"/>
  <c r="J36" i="3"/>
  <c r="J30" i="3"/>
  <c r="J27" i="3"/>
  <c r="J5" i="3"/>
  <c r="J24" i="3"/>
  <c r="J59" i="3"/>
  <c r="J55" i="3"/>
  <c r="J52" i="3"/>
  <c r="J48" i="3"/>
  <c r="J45" i="3"/>
  <c r="J41" i="3"/>
  <c r="J29" i="3"/>
  <c r="J26" i="3"/>
  <c r="J62" i="3"/>
  <c r="J58" i="3"/>
  <c r="J57" i="3"/>
  <c r="J54" i="3"/>
  <c r="J51" i="3"/>
  <c r="J44" i="3"/>
  <c r="J40" i="3"/>
  <c r="J37" i="3"/>
  <c r="J34" i="3"/>
  <c r="J32" i="3"/>
  <c r="J25" i="3"/>
  <c r="J9" i="3"/>
  <c r="J23" i="3"/>
</calcChain>
</file>

<file path=xl/sharedStrings.xml><?xml version="1.0" encoding="utf-8"?>
<sst xmlns="http://schemas.openxmlformats.org/spreadsheetml/2006/main" count="144" uniqueCount="77">
  <si>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</si>
  <si>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</si>
  <si>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</si>
  <si>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</si>
  <si>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</si>
  <si>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</si>
  <si>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</si>
  <si>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</si>
  <si>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</si>
  <si>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</si>
  <si>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</si>
  <si>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</si>
  <si>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</si>
  <si>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</si>
  <si>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</si>
  <si>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</si>
  <si>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</si>
  <si>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</si>
  <si>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</si>
  <si>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</si>
  <si>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</si>
  <si>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</si>
  <si>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</si>
  <si>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</si>
  <si>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</si>
  <si>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</si>
  <si>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</si>
  <si>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</si>
  <si>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</si>
  <si>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</si>
  <si>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</si>
  <si>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</si>
  <si>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</si>
  <si>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</si>
  <si>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</si>
  <si>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</si>
  <si>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</si>
  <si>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</si>
  <si>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</si>
  <si>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</si>
  <si>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</si>
  <si>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</si>
  <si>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</si>
  <si>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過不足調整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</si>
  <si>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</si>
  <si>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</si>
  <si>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</si>
  <si>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</si>
  <si>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</si>
  <si>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</si>
  <si>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</si>
  <si>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</si>
  <si>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</si>
  <si>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</si>
  <si>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</si>
  <si>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</si>
  <si>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</si>
  <si>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</si>
  <si>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</si>
  <si>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</si>
  <si>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</si>
  <si>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</si>
  <si>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</si>
  <si>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</si>
  <si>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</si>
  <si>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</si>
  <si>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</si>
  <si>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</si>
  <si>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</si>
  <si>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</si>
  <si>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</si>
  <si>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</si>
  <si>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2022年9月度給与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</si>
  <si>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</si>
  <si>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</si>
  <si>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3名</t>
    <rPh sb="1" eb="2">
      <t>メイ</t>
    </rPh>
    <phoneticPr fontId="3"/>
  </si>
  <si>
    <t>５名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</si>
</sst>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9" xfId="1" applyNumberFormat="1" applyFont="1" applyBorder="1"/>
    <xf numFmtId="49" fontId="2" fillId="0" borderId="27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0" fontId="2" fillId="0" borderId="37" xfId="1" applyFont="1" applyBorder="1"/>
    <xf numFmtId="49" fontId="2" fillId="0" borderId="38" xfId="1" applyNumberFormat="1" applyFont="1" applyBorder="1" applyAlignment="1">
      <alignment horizontal="right"/>
    </xf>
    <xf numFmtId="0" fontId="2" fillId="0" borderId="38" xfId="1" applyFont="1" applyBorder="1" applyAlignment="1">
      <alignment horizontal="right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8" xfId="1" applyNumberFormat="1" applyFont="1" applyBorder="1"/>
    <xf numFmtId="3" fontId="2" fillId="0" borderId="30" xfId="1" applyNumberFormat="1" applyFont="1" applyBorder="1"/>
  </cellXfs>
  <cellStyles count="2">
    <cellStyle name="標準" xfId="0" builtinId="0"/>
    <cellStyle name="標準 2" xfId="1" xr:uid="{B2216468-5D6C-4A68-99A3-06995AE450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775F-76E4-4A85-BAC5-2C7766B46D9E}">
  <sheetPr>
    <pageSetUpPr fitToPage="1"/>
  </sheetPr>
  <dimension ref="A1:L64"/>
  <sheetViews>
    <sheetView showZeros="0" tabSelected="1" workbookViewId="0">
      <selection activeCell="B2" sqref="B2"/>
    </sheetView>
  </sheetViews>
  <sheetFormatPr defaultRowHeight="18.75"/>
  <cols>
    <col min="1" max="1" width="2.375" style="2" customWidth="1"/>
    <col min="2" max="10" width="12.125" style="2" customWidth="1"/>
    <col min="11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3" width="9" style="2"/>
    <col min="264" max="265" width="11.125" style="2" bestFit="1" customWidth="1"/>
    <col min="266" max="266" width="9.625" style="2" bestFit="1" customWidth="1"/>
    <col min="267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19" width="9" style="2"/>
    <col min="520" max="521" width="11.125" style="2" bestFit="1" customWidth="1"/>
    <col min="522" max="522" width="9.625" style="2" bestFit="1" customWidth="1"/>
    <col min="523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5" width="9" style="2"/>
    <col min="776" max="777" width="11.125" style="2" bestFit="1" customWidth="1"/>
    <col min="778" max="778" width="9.625" style="2" bestFit="1" customWidth="1"/>
    <col min="779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1" width="9" style="2"/>
    <col min="1032" max="1033" width="11.125" style="2" bestFit="1" customWidth="1"/>
    <col min="1034" max="1034" width="9.625" style="2" bestFit="1" customWidth="1"/>
    <col min="1035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7" width="9" style="2"/>
    <col min="1288" max="1289" width="11.125" style="2" bestFit="1" customWidth="1"/>
    <col min="1290" max="1290" width="9.625" style="2" bestFit="1" customWidth="1"/>
    <col min="1291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3" width="9" style="2"/>
    <col min="1544" max="1545" width="11.125" style="2" bestFit="1" customWidth="1"/>
    <col min="1546" max="1546" width="9.625" style="2" bestFit="1" customWidth="1"/>
    <col min="1547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799" width="9" style="2"/>
    <col min="1800" max="1801" width="11.125" style="2" bestFit="1" customWidth="1"/>
    <col min="1802" max="1802" width="9.625" style="2" bestFit="1" customWidth="1"/>
    <col min="1803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5" width="9" style="2"/>
    <col min="2056" max="2057" width="11.125" style="2" bestFit="1" customWidth="1"/>
    <col min="2058" max="2058" width="9.625" style="2" bestFit="1" customWidth="1"/>
    <col min="2059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1" width="9" style="2"/>
    <col min="2312" max="2313" width="11.125" style="2" bestFit="1" customWidth="1"/>
    <col min="2314" max="2314" width="9.625" style="2" bestFit="1" customWidth="1"/>
    <col min="2315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7" width="9" style="2"/>
    <col min="2568" max="2569" width="11.125" style="2" bestFit="1" customWidth="1"/>
    <col min="2570" max="2570" width="9.625" style="2" bestFit="1" customWidth="1"/>
    <col min="2571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3" width="9" style="2"/>
    <col min="2824" max="2825" width="11.125" style="2" bestFit="1" customWidth="1"/>
    <col min="2826" max="2826" width="9.625" style="2" bestFit="1" customWidth="1"/>
    <col min="2827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79" width="9" style="2"/>
    <col min="3080" max="3081" width="11.125" style="2" bestFit="1" customWidth="1"/>
    <col min="3082" max="3082" width="9.625" style="2" bestFit="1" customWidth="1"/>
    <col min="3083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5" width="9" style="2"/>
    <col min="3336" max="3337" width="11.125" style="2" bestFit="1" customWidth="1"/>
    <col min="3338" max="3338" width="9.625" style="2" bestFit="1" customWidth="1"/>
    <col min="3339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1" width="9" style="2"/>
    <col min="3592" max="3593" width="11.125" style="2" bestFit="1" customWidth="1"/>
    <col min="3594" max="3594" width="9.625" style="2" bestFit="1" customWidth="1"/>
    <col min="3595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7" width="9" style="2"/>
    <col min="3848" max="3849" width="11.125" style="2" bestFit="1" customWidth="1"/>
    <col min="3850" max="3850" width="9.625" style="2" bestFit="1" customWidth="1"/>
    <col min="3851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3" width="9" style="2"/>
    <col min="4104" max="4105" width="11.125" style="2" bestFit="1" customWidth="1"/>
    <col min="4106" max="4106" width="9.625" style="2" bestFit="1" customWidth="1"/>
    <col min="4107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59" width="9" style="2"/>
    <col min="4360" max="4361" width="11.125" style="2" bestFit="1" customWidth="1"/>
    <col min="4362" max="4362" width="9.625" style="2" bestFit="1" customWidth="1"/>
    <col min="4363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5" width="9" style="2"/>
    <col min="4616" max="4617" width="11.125" style="2" bestFit="1" customWidth="1"/>
    <col min="4618" max="4618" width="9.625" style="2" bestFit="1" customWidth="1"/>
    <col min="4619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1" width="9" style="2"/>
    <col min="4872" max="4873" width="11.125" style="2" bestFit="1" customWidth="1"/>
    <col min="4874" max="4874" width="9.625" style="2" bestFit="1" customWidth="1"/>
    <col min="4875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7" width="9" style="2"/>
    <col min="5128" max="5129" width="11.125" style="2" bestFit="1" customWidth="1"/>
    <col min="5130" max="5130" width="9.625" style="2" bestFit="1" customWidth="1"/>
    <col min="5131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3" width="9" style="2"/>
    <col min="5384" max="5385" width="11.125" style="2" bestFit="1" customWidth="1"/>
    <col min="5386" max="5386" width="9.625" style="2" bestFit="1" customWidth="1"/>
    <col min="5387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39" width="9" style="2"/>
    <col min="5640" max="5641" width="11.125" style="2" bestFit="1" customWidth="1"/>
    <col min="5642" max="5642" width="9.625" style="2" bestFit="1" customWidth="1"/>
    <col min="5643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5" width="9" style="2"/>
    <col min="5896" max="5897" width="11.125" style="2" bestFit="1" customWidth="1"/>
    <col min="5898" max="5898" width="9.625" style="2" bestFit="1" customWidth="1"/>
    <col min="5899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1" width="9" style="2"/>
    <col min="6152" max="6153" width="11.125" style="2" bestFit="1" customWidth="1"/>
    <col min="6154" max="6154" width="9.625" style="2" bestFit="1" customWidth="1"/>
    <col min="6155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7" width="9" style="2"/>
    <col min="6408" max="6409" width="11.125" style="2" bestFit="1" customWidth="1"/>
    <col min="6410" max="6410" width="9.625" style="2" bestFit="1" customWidth="1"/>
    <col min="6411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3" width="9" style="2"/>
    <col min="6664" max="6665" width="11.125" style="2" bestFit="1" customWidth="1"/>
    <col min="6666" max="6666" width="9.625" style="2" bestFit="1" customWidth="1"/>
    <col min="6667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19" width="9" style="2"/>
    <col min="6920" max="6921" width="11.125" style="2" bestFit="1" customWidth="1"/>
    <col min="6922" max="6922" width="9.625" style="2" bestFit="1" customWidth="1"/>
    <col min="6923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5" width="9" style="2"/>
    <col min="7176" max="7177" width="11.125" style="2" bestFit="1" customWidth="1"/>
    <col min="7178" max="7178" width="9.625" style="2" bestFit="1" customWidth="1"/>
    <col min="7179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1" width="9" style="2"/>
    <col min="7432" max="7433" width="11.125" style="2" bestFit="1" customWidth="1"/>
    <col min="7434" max="7434" width="9.625" style="2" bestFit="1" customWidth="1"/>
    <col min="7435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7" width="9" style="2"/>
    <col min="7688" max="7689" width="11.125" style="2" bestFit="1" customWidth="1"/>
    <col min="7690" max="7690" width="9.625" style="2" bestFit="1" customWidth="1"/>
    <col min="7691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3" width="9" style="2"/>
    <col min="7944" max="7945" width="11.125" style="2" bestFit="1" customWidth="1"/>
    <col min="7946" max="7946" width="9.625" style="2" bestFit="1" customWidth="1"/>
    <col min="7947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199" width="9" style="2"/>
    <col min="8200" max="8201" width="11.125" style="2" bestFit="1" customWidth="1"/>
    <col min="8202" max="8202" width="9.625" style="2" bestFit="1" customWidth="1"/>
    <col min="8203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5" width="9" style="2"/>
    <col min="8456" max="8457" width="11.125" style="2" bestFit="1" customWidth="1"/>
    <col min="8458" max="8458" width="9.625" style="2" bestFit="1" customWidth="1"/>
    <col min="8459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1" width="9" style="2"/>
    <col min="8712" max="8713" width="11.125" style="2" bestFit="1" customWidth="1"/>
    <col min="8714" max="8714" width="9.625" style="2" bestFit="1" customWidth="1"/>
    <col min="8715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7" width="9" style="2"/>
    <col min="8968" max="8969" width="11.125" style="2" bestFit="1" customWidth="1"/>
    <col min="8970" max="8970" width="9.625" style="2" bestFit="1" customWidth="1"/>
    <col min="8971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3" width="9" style="2"/>
    <col min="9224" max="9225" width="11.125" style="2" bestFit="1" customWidth="1"/>
    <col min="9226" max="9226" width="9.625" style="2" bestFit="1" customWidth="1"/>
    <col min="9227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79" width="9" style="2"/>
    <col min="9480" max="9481" width="11.125" style="2" bestFit="1" customWidth="1"/>
    <col min="9482" max="9482" width="9.625" style="2" bestFit="1" customWidth="1"/>
    <col min="9483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5" width="9" style="2"/>
    <col min="9736" max="9737" width="11.125" style="2" bestFit="1" customWidth="1"/>
    <col min="9738" max="9738" width="9.625" style="2" bestFit="1" customWidth="1"/>
    <col min="9739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1" width="9" style="2"/>
    <col min="9992" max="9993" width="11.125" style="2" bestFit="1" customWidth="1"/>
    <col min="9994" max="9994" width="9.625" style="2" bestFit="1" customWidth="1"/>
    <col min="9995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7" width="9" style="2"/>
    <col min="10248" max="10249" width="11.125" style="2" bestFit="1" customWidth="1"/>
    <col min="10250" max="10250" width="9.625" style="2" bestFit="1" customWidth="1"/>
    <col min="10251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3" width="9" style="2"/>
    <col min="10504" max="10505" width="11.125" style="2" bestFit="1" customWidth="1"/>
    <col min="10506" max="10506" width="9.625" style="2" bestFit="1" customWidth="1"/>
    <col min="10507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59" width="9" style="2"/>
    <col min="10760" max="10761" width="11.125" style="2" bestFit="1" customWidth="1"/>
    <col min="10762" max="10762" width="9.625" style="2" bestFit="1" customWidth="1"/>
    <col min="10763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5" width="9" style="2"/>
    <col min="11016" max="11017" width="11.125" style="2" bestFit="1" customWidth="1"/>
    <col min="11018" max="11018" width="9.625" style="2" bestFit="1" customWidth="1"/>
    <col min="11019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1" width="9" style="2"/>
    <col min="11272" max="11273" width="11.125" style="2" bestFit="1" customWidth="1"/>
    <col min="11274" max="11274" width="9.625" style="2" bestFit="1" customWidth="1"/>
    <col min="11275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7" width="9" style="2"/>
    <col min="11528" max="11529" width="11.125" style="2" bestFit="1" customWidth="1"/>
    <col min="11530" max="11530" width="9.625" style="2" bestFit="1" customWidth="1"/>
    <col min="11531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3" width="9" style="2"/>
    <col min="11784" max="11785" width="11.125" style="2" bestFit="1" customWidth="1"/>
    <col min="11786" max="11786" width="9.625" style="2" bestFit="1" customWidth="1"/>
    <col min="11787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39" width="9" style="2"/>
    <col min="12040" max="12041" width="11.125" style="2" bestFit="1" customWidth="1"/>
    <col min="12042" max="12042" width="9.625" style="2" bestFit="1" customWidth="1"/>
    <col min="12043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5" width="9" style="2"/>
    <col min="12296" max="12297" width="11.125" style="2" bestFit="1" customWidth="1"/>
    <col min="12298" max="12298" width="9.625" style="2" bestFit="1" customWidth="1"/>
    <col min="12299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1" width="9" style="2"/>
    <col min="12552" max="12553" width="11.125" style="2" bestFit="1" customWidth="1"/>
    <col min="12554" max="12554" width="9.625" style="2" bestFit="1" customWidth="1"/>
    <col min="12555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7" width="9" style="2"/>
    <col min="12808" max="12809" width="11.125" style="2" bestFit="1" customWidth="1"/>
    <col min="12810" max="12810" width="9.625" style="2" bestFit="1" customWidth="1"/>
    <col min="12811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3" width="9" style="2"/>
    <col min="13064" max="13065" width="11.125" style="2" bestFit="1" customWidth="1"/>
    <col min="13066" max="13066" width="9.625" style="2" bestFit="1" customWidth="1"/>
    <col min="13067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19" width="9" style="2"/>
    <col min="13320" max="13321" width="11.125" style="2" bestFit="1" customWidth="1"/>
    <col min="13322" max="13322" width="9.625" style="2" bestFit="1" customWidth="1"/>
    <col min="13323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5" width="9" style="2"/>
    <col min="13576" max="13577" width="11.125" style="2" bestFit="1" customWidth="1"/>
    <col min="13578" max="13578" width="9.625" style="2" bestFit="1" customWidth="1"/>
    <col min="13579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1" width="9" style="2"/>
    <col min="13832" max="13833" width="11.125" style="2" bestFit="1" customWidth="1"/>
    <col min="13834" max="13834" width="9.625" style="2" bestFit="1" customWidth="1"/>
    <col min="13835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7" width="9" style="2"/>
    <col min="14088" max="14089" width="11.125" style="2" bestFit="1" customWidth="1"/>
    <col min="14090" max="14090" width="9.625" style="2" bestFit="1" customWidth="1"/>
    <col min="14091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3" width="9" style="2"/>
    <col min="14344" max="14345" width="11.125" style="2" bestFit="1" customWidth="1"/>
    <col min="14346" max="14346" width="9.625" style="2" bestFit="1" customWidth="1"/>
    <col min="14347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599" width="9" style="2"/>
    <col min="14600" max="14601" width="11.125" style="2" bestFit="1" customWidth="1"/>
    <col min="14602" max="14602" width="9.625" style="2" bestFit="1" customWidth="1"/>
    <col min="14603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5" width="9" style="2"/>
    <col min="14856" max="14857" width="11.125" style="2" bestFit="1" customWidth="1"/>
    <col min="14858" max="14858" width="9.625" style="2" bestFit="1" customWidth="1"/>
    <col min="14859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1" width="9" style="2"/>
    <col min="15112" max="15113" width="11.125" style="2" bestFit="1" customWidth="1"/>
    <col min="15114" max="15114" width="9.625" style="2" bestFit="1" customWidth="1"/>
    <col min="15115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7" width="9" style="2"/>
    <col min="15368" max="15369" width="11.125" style="2" bestFit="1" customWidth="1"/>
    <col min="15370" max="15370" width="9.625" style="2" bestFit="1" customWidth="1"/>
    <col min="15371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3" width="9" style="2"/>
    <col min="15624" max="15625" width="11.125" style="2" bestFit="1" customWidth="1"/>
    <col min="15626" max="15626" width="9.625" style="2" bestFit="1" customWidth="1"/>
    <col min="15627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79" width="9" style="2"/>
    <col min="15880" max="15881" width="11.125" style="2" bestFit="1" customWidth="1"/>
    <col min="15882" max="15882" width="9.625" style="2" bestFit="1" customWidth="1"/>
    <col min="15883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5" width="9" style="2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2">
      <c r="A1" s="1" t="s">
        <v>0</v>
      </c>
    </row>
    <row r="2" spans="1:12" ht="19.5" thickBot="1">
      <c r="A2" s="1" t="s">
        <v>72</v>
      </c>
    </row>
    <row r="3" spans="1:12">
      <c r="B3" s="3"/>
      <c r="C3" s="7" t="s">
        <v>4</v>
      </c>
      <c r="D3" s="8" t="s">
        <v>6</v>
      </c>
      <c r="E3" s="50" t="s">
        <v>73</v>
      </c>
      <c r="F3" s="6" t="s">
        <v>2</v>
      </c>
      <c r="G3" s="7" t="s">
        <v>3</v>
      </c>
      <c r="H3" s="52" t="s">
        <v>5</v>
      </c>
      <c r="I3" s="63" t="s">
        <v>73</v>
      </c>
      <c r="J3" s="64" t="s">
        <v>13</v>
      </c>
    </row>
    <row r="4" spans="1:12" ht="19.5" thickBot="1">
      <c r="A4" s="43"/>
      <c r="B4" s="25" t="s">
        <v>7</v>
      </c>
      <c r="C4" s="27" t="s">
        <v>10</v>
      </c>
      <c r="D4" s="28" t="s">
        <v>12</v>
      </c>
      <c r="E4" s="51" t="s">
        <v>74</v>
      </c>
      <c r="F4" s="26" t="s">
        <v>8</v>
      </c>
      <c r="G4" s="27" t="s">
        <v>9</v>
      </c>
      <c r="H4" s="53" t="s">
        <v>11</v>
      </c>
      <c r="I4" s="65" t="s">
        <v>75</v>
      </c>
      <c r="J4" s="66" t="s">
        <v>76</v>
      </c>
    </row>
    <row r="5" spans="1:12">
      <c r="A5" s="1" t="s">
        <v>1</v>
      </c>
      <c r="B5" s="21" t="s">
        <v>14</v>
      </c>
      <c r="C5" s="23">
        <v>20</v>
      </c>
      <c r="D5" s="24">
        <v>18</v>
      </c>
      <c r="E5" s="44">
        <f>SUM(C5:D5)</f>
        <v>38</v>
      </c>
      <c r="F5" s="22">
        <v>20</v>
      </c>
      <c r="G5" s="23">
        <v>21</v>
      </c>
      <c r="H5" s="54">
        <v>21</v>
      </c>
      <c r="I5" s="67">
        <f>SUM(F5:H5)</f>
        <v>62</v>
      </c>
      <c r="J5" s="67">
        <f>E5+I5</f>
        <v>100</v>
      </c>
      <c r="L5"/>
    </row>
    <row r="6" spans="1:12">
      <c r="A6" s="1" t="s">
        <v>1</v>
      </c>
      <c r="B6" s="4" t="s">
        <v>15</v>
      </c>
      <c r="C6" s="10">
        <v>0</v>
      </c>
      <c r="D6" s="11">
        <v>0</v>
      </c>
      <c r="E6" s="45"/>
      <c r="F6" s="9">
        <v>1</v>
      </c>
      <c r="G6" s="10">
        <v>0</v>
      </c>
      <c r="H6" s="55">
        <v>0</v>
      </c>
      <c r="I6" s="68">
        <f>SUM(F6:H6)</f>
        <v>1</v>
      </c>
      <c r="J6" s="68">
        <f t="shared" ref="J6:J55" si="0">E6+I6</f>
        <v>1</v>
      </c>
      <c r="L6"/>
    </row>
    <row r="7" spans="1:12">
      <c r="A7" s="1" t="s">
        <v>1</v>
      </c>
      <c r="B7" s="4" t="s">
        <v>16</v>
      </c>
      <c r="C7" s="10">
        <v>0</v>
      </c>
      <c r="D7" s="11">
        <v>0</v>
      </c>
      <c r="E7" s="45"/>
      <c r="F7" s="9">
        <v>0</v>
      </c>
      <c r="G7" s="10">
        <v>0</v>
      </c>
      <c r="H7" s="55">
        <v>0</v>
      </c>
      <c r="I7" s="68"/>
      <c r="J7" s="68">
        <f t="shared" si="0"/>
        <v>0</v>
      </c>
      <c r="L7"/>
    </row>
    <row r="8" spans="1:12">
      <c r="A8" s="1" t="s">
        <v>1</v>
      </c>
      <c r="B8" s="4" t="s">
        <v>17</v>
      </c>
      <c r="C8" s="10">
        <v>0</v>
      </c>
      <c r="D8" s="11">
        <v>0</v>
      </c>
      <c r="E8" s="45"/>
      <c r="F8" s="9">
        <v>0</v>
      </c>
      <c r="G8" s="10">
        <v>0</v>
      </c>
      <c r="H8" s="55">
        <v>0</v>
      </c>
      <c r="I8" s="68"/>
      <c r="J8" s="68">
        <f t="shared" si="0"/>
        <v>0</v>
      </c>
      <c r="L8"/>
    </row>
    <row r="9" spans="1:12">
      <c r="A9" s="1" t="s">
        <v>1</v>
      </c>
      <c r="B9" s="4" t="s">
        <v>18</v>
      </c>
      <c r="C9" s="10">
        <v>2</v>
      </c>
      <c r="D9" s="11">
        <v>1</v>
      </c>
      <c r="E9" s="45">
        <f>SUM(C9:D9)</f>
        <v>3</v>
      </c>
      <c r="F9" s="9">
        <v>2</v>
      </c>
      <c r="G9" s="10">
        <v>1</v>
      </c>
      <c r="H9" s="55">
        <v>1</v>
      </c>
      <c r="I9" s="68">
        <f>SUM(F9:H9)</f>
        <v>4</v>
      </c>
      <c r="J9" s="68">
        <f t="shared" si="0"/>
        <v>7</v>
      </c>
      <c r="L9"/>
    </row>
    <row r="10" spans="1:12">
      <c r="A10" s="1" t="s">
        <v>1</v>
      </c>
      <c r="B10" s="4" t="s">
        <v>19</v>
      </c>
      <c r="C10" s="10">
        <v>0</v>
      </c>
      <c r="D10" s="11">
        <v>0</v>
      </c>
      <c r="E10" s="45"/>
      <c r="F10" s="9">
        <v>0</v>
      </c>
      <c r="G10" s="10">
        <v>0</v>
      </c>
      <c r="H10" s="55">
        <v>0</v>
      </c>
      <c r="I10" s="68"/>
      <c r="J10" s="68">
        <f t="shared" si="0"/>
        <v>0</v>
      </c>
      <c r="L10"/>
    </row>
    <row r="11" spans="1:12">
      <c r="A11" s="1" t="s">
        <v>1</v>
      </c>
      <c r="B11" s="4" t="s">
        <v>20</v>
      </c>
      <c r="C11" s="10">
        <v>0</v>
      </c>
      <c r="D11" s="11">
        <v>0</v>
      </c>
      <c r="E11" s="45"/>
      <c r="F11" s="9">
        <v>0</v>
      </c>
      <c r="G11" s="10">
        <v>0</v>
      </c>
      <c r="H11" s="55">
        <v>0</v>
      </c>
      <c r="I11" s="68"/>
      <c r="J11" s="68">
        <f t="shared" si="0"/>
        <v>0</v>
      </c>
      <c r="L11"/>
    </row>
    <row r="12" spans="1:12">
      <c r="A12" s="1" t="s">
        <v>1</v>
      </c>
      <c r="B12" s="4" t="s">
        <v>21</v>
      </c>
      <c r="C12" s="10">
        <v>0</v>
      </c>
      <c r="D12" s="11">
        <v>0</v>
      </c>
      <c r="E12" s="45"/>
      <c r="F12" s="9">
        <v>0</v>
      </c>
      <c r="G12" s="10">
        <v>0</v>
      </c>
      <c r="H12" s="55">
        <v>0</v>
      </c>
      <c r="I12" s="68"/>
      <c r="J12" s="68">
        <f t="shared" si="0"/>
        <v>0</v>
      </c>
      <c r="L12"/>
    </row>
    <row r="13" spans="1:12">
      <c r="A13" s="1" t="s">
        <v>1</v>
      </c>
      <c r="B13" s="4" t="s">
        <v>22</v>
      </c>
      <c r="C13" s="13">
        <v>0</v>
      </c>
      <c r="D13" s="14">
        <v>2.9583333333333335</v>
      </c>
      <c r="E13" s="46">
        <f>SUM(C13:D13)</f>
        <v>2.9583333333333335</v>
      </c>
      <c r="F13" s="12">
        <v>0</v>
      </c>
      <c r="G13" s="13">
        <v>0</v>
      </c>
      <c r="H13" s="56">
        <v>0</v>
      </c>
      <c r="I13" s="69"/>
      <c r="J13" s="69">
        <f t="shared" si="0"/>
        <v>2.9583333333333335</v>
      </c>
      <c r="L13"/>
    </row>
    <row r="14" spans="1:12">
      <c r="A14" s="1" t="s">
        <v>1</v>
      </c>
      <c r="B14" s="4" t="s">
        <v>23</v>
      </c>
      <c r="C14" s="13">
        <v>0</v>
      </c>
      <c r="D14" s="14">
        <v>0</v>
      </c>
      <c r="E14" s="46"/>
      <c r="F14" s="12">
        <v>2.1666666666666665</v>
      </c>
      <c r="G14" s="13">
        <v>2.8333333333333335</v>
      </c>
      <c r="H14" s="56">
        <v>2.125</v>
      </c>
      <c r="I14" s="69">
        <f>SUM(F14:H14)</f>
        <v>7.125</v>
      </c>
      <c r="J14" s="69">
        <f t="shared" si="0"/>
        <v>7.125</v>
      </c>
      <c r="L14"/>
    </row>
    <row r="15" spans="1:12">
      <c r="A15" s="1" t="s">
        <v>1</v>
      </c>
      <c r="B15" s="4" t="s">
        <v>24</v>
      </c>
      <c r="C15" s="13">
        <v>0</v>
      </c>
      <c r="D15" s="14">
        <v>0</v>
      </c>
      <c r="E15" s="46"/>
      <c r="F15" s="12">
        <v>0.29166666666666669</v>
      </c>
      <c r="G15" s="13">
        <v>0</v>
      </c>
      <c r="H15" s="56">
        <v>0</v>
      </c>
      <c r="I15" s="69">
        <f>SUM(F15:H15)</f>
        <v>0.29166666666666669</v>
      </c>
      <c r="J15" s="69">
        <f t="shared" si="0"/>
        <v>0.29166666666666669</v>
      </c>
      <c r="L15"/>
    </row>
    <row r="16" spans="1:12">
      <c r="A16" s="1" t="s">
        <v>1</v>
      </c>
      <c r="B16" s="4" t="s">
        <v>25</v>
      </c>
      <c r="C16" s="13">
        <v>0</v>
      </c>
      <c r="D16" s="14">
        <v>0</v>
      </c>
      <c r="E16" s="46"/>
      <c r="F16" s="12">
        <v>0</v>
      </c>
      <c r="G16" s="13">
        <v>0</v>
      </c>
      <c r="H16" s="56">
        <v>0</v>
      </c>
      <c r="I16" s="69"/>
      <c r="J16" s="69">
        <f t="shared" si="0"/>
        <v>0</v>
      </c>
      <c r="L16"/>
    </row>
    <row r="17" spans="1:12">
      <c r="A17" s="1" t="s">
        <v>1</v>
      </c>
      <c r="B17" s="4" t="s">
        <v>26</v>
      </c>
      <c r="C17" s="13">
        <v>0</v>
      </c>
      <c r="D17" s="14">
        <v>0</v>
      </c>
      <c r="E17" s="46"/>
      <c r="F17" s="12">
        <v>0</v>
      </c>
      <c r="G17" s="13">
        <v>0</v>
      </c>
      <c r="H17" s="56">
        <v>0</v>
      </c>
      <c r="I17" s="69"/>
      <c r="J17" s="69">
        <f t="shared" si="0"/>
        <v>0</v>
      </c>
      <c r="L17"/>
    </row>
    <row r="18" spans="1:12">
      <c r="A18" s="1" t="s">
        <v>1</v>
      </c>
      <c r="B18" s="4" t="s">
        <v>27</v>
      </c>
      <c r="C18" s="13">
        <v>0</v>
      </c>
      <c r="D18" s="14">
        <v>0</v>
      </c>
      <c r="E18" s="46"/>
      <c r="F18" s="12">
        <v>0</v>
      </c>
      <c r="G18" s="13">
        <v>0</v>
      </c>
      <c r="H18" s="56">
        <v>0</v>
      </c>
      <c r="I18" s="69"/>
      <c r="J18" s="69">
        <f t="shared" si="0"/>
        <v>0</v>
      </c>
      <c r="L18"/>
    </row>
    <row r="19" spans="1:12">
      <c r="A19" s="1" t="s">
        <v>1</v>
      </c>
      <c r="B19" s="4" t="s">
        <v>28</v>
      </c>
      <c r="C19" s="13">
        <v>0</v>
      </c>
      <c r="D19" s="14">
        <v>0</v>
      </c>
      <c r="E19" s="46"/>
      <c r="F19" s="12">
        <v>0</v>
      </c>
      <c r="G19" s="13">
        <v>0</v>
      </c>
      <c r="H19" s="56">
        <v>0</v>
      </c>
      <c r="I19" s="69"/>
      <c r="J19" s="69">
        <f t="shared" si="0"/>
        <v>0</v>
      </c>
      <c r="L19"/>
    </row>
    <row r="20" spans="1:12">
      <c r="A20" s="1" t="s">
        <v>1</v>
      </c>
      <c r="B20" s="4" t="s">
        <v>29</v>
      </c>
      <c r="C20" s="13">
        <v>0</v>
      </c>
      <c r="D20" s="14">
        <v>0.16666666666666666</v>
      </c>
      <c r="E20" s="46">
        <f>SUM(C20:D20)</f>
        <v>0.16666666666666666</v>
      </c>
      <c r="F20" s="12">
        <v>0</v>
      </c>
      <c r="G20" s="13">
        <v>0</v>
      </c>
      <c r="H20" s="56">
        <v>0</v>
      </c>
      <c r="I20" s="69"/>
      <c r="J20" s="69">
        <f t="shared" si="0"/>
        <v>0.16666666666666666</v>
      </c>
      <c r="L20"/>
    </row>
    <row r="21" spans="1:12">
      <c r="A21" s="1" t="s">
        <v>1</v>
      </c>
      <c r="B21" s="4" t="s">
        <v>30</v>
      </c>
      <c r="C21" s="13">
        <v>0</v>
      </c>
      <c r="D21" s="14">
        <v>0</v>
      </c>
      <c r="E21" s="46"/>
      <c r="F21" s="12">
        <v>0</v>
      </c>
      <c r="G21" s="13">
        <v>0</v>
      </c>
      <c r="H21" s="56">
        <v>0</v>
      </c>
      <c r="I21" s="69"/>
      <c r="J21" s="69">
        <f t="shared" si="0"/>
        <v>0</v>
      </c>
      <c r="L21"/>
    </row>
    <row r="22" spans="1:12">
      <c r="A22" s="1" t="s">
        <v>1</v>
      </c>
      <c r="B22" s="4" t="s">
        <v>31</v>
      </c>
      <c r="C22" s="13">
        <v>0</v>
      </c>
      <c r="D22" s="14">
        <v>0</v>
      </c>
      <c r="E22" s="46"/>
      <c r="F22" s="12">
        <v>0.25</v>
      </c>
      <c r="G22" s="13">
        <v>0.41666666666666669</v>
      </c>
      <c r="H22" s="56">
        <v>8.3333333333333329E-2</v>
      </c>
      <c r="I22" s="69">
        <f>SUM(F22:H22)</f>
        <v>0.75000000000000011</v>
      </c>
      <c r="J22" s="69">
        <f t="shared" si="0"/>
        <v>0.75000000000000011</v>
      </c>
      <c r="L22"/>
    </row>
    <row r="23" spans="1:12" ht="19.5" thickBot="1">
      <c r="A23" s="1" t="s">
        <v>1</v>
      </c>
      <c r="B23" s="5" t="s">
        <v>32</v>
      </c>
      <c r="C23" s="33">
        <v>25</v>
      </c>
      <c r="D23" s="34">
        <v>10</v>
      </c>
      <c r="E23" s="47">
        <f>SUM(C23:D23)</f>
        <v>35</v>
      </c>
      <c r="F23" s="32">
        <v>28</v>
      </c>
      <c r="G23" s="33">
        <v>28</v>
      </c>
      <c r="H23" s="57">
        <v>11</v>
      </c>
      <c r="I23" s="70">
        <f>SUM(F23:H23)</f>
        <v>67</v>
      </c>
      <c r="J23" s="70">
        <f t="shared" si="0"/>
        <v>102</v>
      </c>
      <c r="L23"/>
    </row>
    <row r="24" spans="1:12">
      <c r="A24" s="1" t="s">
        <v>1</v>
      </c>
      <c r="B24" s="21" t="s">
        <v>33</v>
      </c>
      <c r="C24" s="30">
        <v>355000</v>
      </c>
      <c r="D24" s="31">
        <v>0</v>
      </c>
      <c r="E24" s="31">
        <f>SUM(C24:D24)</f>
        <v>355000</v>
      </c>
      <c r="F24" s="29">
        <v>182000</v>
      </c>
      <c r="G24" s="30">
        <v>192000</v>
      </c>
      <c r="H24" s="58">
        <v>182000</v>
      </c>
      <c r="I24" s="71">
        <f>SUM(F24:H24)</f>
        <v>556000</v>
      </c>
      <c r="J24" s="71">
        <f t="shared" si="0"/>
        <v>911000</v>
      </c>
      <c r="L24"/>
    </row>
    <row r="25" spans="1:12">
      <c r="A25" s="1" t="s">
        <v>1</v>
      </c>
      <c r="B25" s="4" t="s">
        <v>34</v>
      </c>
      <c r="C25" s="16">
        <v>0</v>
      </c>
      <c r="D25" s="17">
        <v>0</v>
      </c>
      <c r="E25" s="17">
        <f t="shared" ref="E25:E62" si="1">SUM(C25:D25)</f>
        <v>0</v>
      </c>
      <c r="F25" s="15">
        <v>5000</v>
      </c>
      <c r="G25" s="16">
        <v>0</v>
      </c>
      <c r="H25" s="59">
        <v>0</v>
      </c>
      <c r="I25" s="71">
        <f t="shared" ref="I25:I62" si="2">SUM(F25:H25)</f>
        <v>5000</v>
      </c>
      <c r="J25" s="71">
        <f t="shared" si="0"/>
        <v>5000</v>
      </c>
      <c r="L25"/>
    </row>
    <row r="26" spans="1:12">
      <c r="A26" s="1" t="s">
        <v>1</v>
      </c>
      <c r="B26" s="4" t="s">
        <v>35</v>
      </c>
      <c r="C26" s="16">
        <v>0</v>
      </c>
      <c r="D26" s="17">
        <v>0</v>
      </c>
      <c r="E26" s="17">
        <f t="shared" si="1"/>
        <v>0</v>
      </c>
      <c r="F26" s="15">
        <v>3000</v>
      </c>
      <c r="G26" s="16">
        <v>3000</v>
      </c>
      <c r="H26" s="59">
        <v>0</v>
      </c>
      <c r="I26" s="71">
        <f t="shared" si="2"/>
        <v>6000</v>
      </c>
      <c r="J26" s="71">
        <f t="shared" si="0"/>
        <v>6000</v>
      </c>
      <c r="L26"/>
    </row>
    <row r="27" spans="1:12">
      <c r="A27" s="1" t="s">
        <v>1</v>
      </c>
      <c r="B27" s="4" t="s">
        <v>36</v>
      </c>
      <c r="C27" s="16">
        <v>50000</v>
      </c>
      <c r="D27" s="17">
        <v>0</v>
      </c>
      <c r="E27" s="17">
        <f t="shared" si="1"/>
        <v>50000</v>
      </c>
      <c r="F27" s="15">
        <v>50000</v>
      </c>
      <c r="G27" s="16">
        <v>50000</v>
      </c>
      <c r="H27" s="59">
        <v>50000</v>
      </c>
      <c r="I27" s="71">
        <f t="shared" si="2"/>
        <v>150000</v>
      </c>
      <c r="J27" s="71">
        <f t="shared" si="0"/>
        <v>200000</v>
      </c>
      <c r="L27"/>
    </row>
    <row r="28" spans="1:12">
      <c r="A28" s="1" t="s">
        <v>1</v>
      </c>
      <c r="B28" s="4" t="s">
        <v>37</v>
      </c>
      <c r="C28" s="16">
        <v>0</v>
      </c>
      <c r="D28" s="17">
        <v>75970</v>
      </c>
      <c r="E28" s="17">
        <f t="shared" si="1"/>
        <v>75970</v>
      </c>
      <c r="F28" s="15">
        <v>0</v>
      </c>
      <c r="G28" s="16">
        <v>0</v>
      </c>
      <c r="H28" s="59">
        <v>0</v>
      </c>
      <c r="I28" s="71">
        <f t="shared" si="2"/>
        <v>0</v>
      </c>
      <c r="J28" s="71">
        <f t="shared" si="0"/>
        <v>75970</v>
      </c>
      <c r="L28"/>
    </row>
    <row r="29" spans="1:12">
      <c r="A29" s="1" t="s">
        <v>1</v>
      </c>
      <c r="B29" s="4" t="s">
        <v>38</v>
      </c>
      <c r="C29" s="16">
        <v>0</v>
      </c>
      <c r="D29" s="17">
        <v>0</v>
      </c>
      <c r="E29" s="17">
        <f t="shared" si="1"/>
        <v>0</v>
      </c>
      <c r="F29" s="15">
        <v>0</v>
      </c>
      <c r="G29" s="16">
        <v>0</v>
      </c>
      <c r="H29" s="59">
        <v>0</v>
      </c>
      <c r="I29" s="71">
        <f t="shared" si="2"/>
        <v>0</v>
      </c>
      <c r="J29" s="71">
        <f t="shared" si="0"/>
        <v>0</v>
      </c>
      <c r="L29"/>
    </row>
    <row r="30" spans="1:12">
      <c r="A30" s="1" t="s">
        <v>1</v>
      </c>
      <c r="B30" s="4" t="s">
        <v>39</v>
      </c>
      <c r="C30" s="16">
        <v>0</v>
      </c>
      <c r="D30" s="17">
        <v>0</v>
      </c>
      <c r="E30" s="17">
        <f t="shared" si="1"/>
        <v>0</v>
      </c>
      <c r="F30" s="15">
        <v>0</v>
      </c>
      <c r="G30" s="16">
        <v>0</v>
      </c>
      <c r="H30" s="59">
        <v>0</v>
      </c>
      <c r="I30" s="71">
        <f t="shared" si="2"/>
        <v>0</v>
      </c>
      <c r="J30" s="71">
        <f t="shared" si="0"/>
        <v>0</v>
      </c>
      <c r="L30"/>
    </row>
    <row r="31" spans="1:12">
      <c r="A31" s="1" t="s">
        <v>1</v>
      </c>
      <c r="B31" s="4" t="s">
        <v>40</v>
      </c>
      <c r="C31" s="16">
        <v>0</v>
      </c>
      <c r="D31" s="17">
        <v>0</v>
      </c>
      <c r="E31" s="17">
        <f t="shared" si="1"/>
        <v>0</v>
      </c>
      <c r="F31" s="15">
        <v>2000</v>
      </c>
      <c r="G31" s="16">
        <v>2000</v>
      </c>
      <c r="H31" s="59">
        <v>2000</v>
      </c>
      <c r="I31" s="71">
        <f t="shared" si="2"/>
        <v>6000</v>
      </c>
      <c r="J31" s="71">
        <f t="shared" si="0"/>
        <v>6000</v>
      </c>
      <c r="L31"/>
    </row>
    <row r="32" spans="1:12">
      <c r="A32" s="1" t="s">
        <v>1</v>
      </c>
      <c r="B32" s="4" t="s">
        <v>41</v>
      </c>
      <c r="C32" s="16">
        <v>0</v>
      </c>
      <c r="D32" s="17">
        <v>4280</v>
      </c>
      <c r="E32" s="17">
        <f t="shared" si="1"/>
        <v>4280</v>
      </c>
      <c r="F32" s="15">
        <v>0</v>
      </c>
      <c r="G32" s="16">
        <v>0</v>
      </c>
      <c r="H32" s="59">
        <v>0</v>
      </c>
      <c r="I32" s="71">
        <f t="shared" si="2"/>
        <v>0</v>
      </c>
      <c r="J32" s="71">
        <f t="shared" si="0"/>
        <v>4280</v>
      </c>
      <c r="L32"/>
    </row>
    <row r="33" spans="1:12">
      <c r="A33" s="1" t="s">
        <v>1</v>
      </c>
      <c r="B33" s="4" t="s">
        <v>42</v>
      </c>
      <c r="C33" s="16">
        <v>0</v>
      </c>
      <c r="D33" s="17">
        <v>0</v>
      </c>
      <c r="E33" s="17">
        <f t="shared" si="1"/>
        <v>0</v>
      </c>
      <c r="F33" s="15">
        <v>0</v>
      </c>
      <c r="G33" s="16">
        <v>0</v>
      </c>
      <c r="H33" s="59">
        <v>0</v>
      </c>
      <c r="I33" s="71">
        <f t="shared" si="2"/>
        <v>0</v>
      </c>
      <c r="J33" s="71">
        <f t="shared" si="0"/>
        <v>0</v>
      </c>
      <c r="L33"/>
    </row>
    <row r="34" spans="1:12">
      <c r="A34" s="1" t="s">
        <v>1</v>
      </c>
      <c r="B34" s="4" t="s">
        <v>43</v>
      </c>
      <c r="C34" s="16">
        <v>0</v>
      </c>
      <c r="D34" s="17">
        <v>0</v>
      </c>
      <c r="E34" s="17">
        <f t="shared" si="1"/>
        <v>0</v>
      </c>
      <c r="F34" s="15">
        <v>0</v>
      </c>
      <c r="G34" s="16">
        <v>0</v>
      </c>
      <c r="H34" s="59">
        <v>11624</v>
      </c>
      <c r="I34" s="71">
        <f t="shared" si="2"/>
        <v>11624</v>
      </c>
      <c r="J34" s="71">
        <f t="shared" si="0"/>
        <v>11624</v>
      </c>
      <c r="L34"/>
    </row>
    <row r="35" spans="1:12">
      <c r="A35" s="1" t="s">
        <v>1</v>
      </c>
      <c r="B35" s="4" t="s">
        <v>44</v>
      </c>
      <c r="C35" s="16">
        <v>0</v>
      </c>
      <c r="D35" s="17">
        <v>0</v>
      </c>
      <c r="E35" s="17">
        <f t="shared" si="1"/>
        <v>0</v>
      </c>
      <c r="F35" s="15">
        <v>0</v>
      </c>
      <c r="G35" s="16">
        <v>13000</v>
      </c>
      <c r="H35" s="59">
        <v>13000</v>
      </c>
      <c r="I35" s="71">
        <f t="shared" si="2"/>
        <v>26000</v>
      </c>
      <c r="J35" s="71">
        <f t="shared" si="0"/>
        <v>26000</v>
      </c>
      <c r="L35"/>
    </row>
    <row r="36" spans="1:12">
      <c r="A36" s="1" t="s">
        <v>1</v>
      </c>
      <c r="B36" s="4" t="s">
        <v>45</v>
      </c>
      <c r="C36" s="16">
        <v>0</v>
      </c>
      <c r="D36" s="17">
        <v>0</v>
      </c>
      <c r="E36" s="17">
        <f t="shared" si="1"/>
        <v>0</v>
      </c>
      <c r="F36" s="15">
        <v>0</v>
      </c>
      <c r="G36" s="16">
        <v>0</v>
      </c>
      <c r="H36" s="59">
        <v>0</v>
      </c>
      <c r="I36" s="71">
        <f t="shared" si="2"/>
        <v>0</v>
      </c>
      <c r="J36" s="71">
        <f t="shared" si="0"/>
        <v>0</v>
      </c>
      <c r="L36"/>
    </row>
    <row r="37" spans="1:12">
      <c r="A37" s="1" t="s">
        <v>1</v>
      </c>
      <c r="B37" s="4" t="s">
        <v>46</v>
      </c>
      <c r="C37" s="16">
        <v>0</v>
      </c>
      <c r="D37" s="17">
        <v>0</v>
      </c>
      <c r="E37" s="17">
        <f t="shared" si="1"/>
        <v>0</v>
      </c>
      <c r="F37" s="15">
        <v>0</v>
      </c>
      <c r="G37" s="16">
        <v>0</v>
      </c>
      <c r="H37" s="59">
        <v>0</v>
      </c>
      <c r="I37" s="71">
        <f t="shared" si="2"/>
        <v>0</v>
      </c>
      <c r="J37" s="71">
        <f t="shared" si="0"/>
        <v>0</v>
      </c>
      <c r="L37"/>
    </row>
    <row r="38" spans="1:12">
      <c r="A38" s="1" t="s">
        <v>1</v>
      </c>
      <c r="B38" s="4" t="s">
        <v>23</v>
      </c>
      <c r="C38" s="16">
        <v>0</v>
      </c>
      <c r="D38" s="17">
        <v>0</v>
      </c>
      <c r="E38" s="17">
        <f t="shared" si="1"/>
        <v>0</v>
      </c>
      <c r="F38" s="15">
        <v>94172</v>
      </c>
      <c r="G38" s="16">
        <v>132328</v>
      </c>
      <c r="H38" s="59">
        <v>94299</v>
      </c>
      <c r="I38" s="71">
        <f t="shared" si="2"/>
        <v>320799</v>
      </c>
      <c r="J38" s="71">
        <f t="shared" si="0"/>
        <v>320799</v>
      </c>
      <c r="L38"/>
    </row>
    <row r="39" spans="1:12">
      <c r="A39" s="1" t="s">
        <v>1</v>
      </c>
      <c r="B39" s="4" t="s">
        <v>47</v>
      </c>
      <c r="C39" s="16">
        <v>0</v>
      </c>
      <c r="D39" s="17">
        <v>0</v>
      </c>
      <c r="E39" s="17">
        <f t="shared" si="1"/>
        <v>0</v>
      </c>
      <c r="F39" s="15">
        <v>13692</v>
      </c>
      <c r="G39" s="16">
        <v>0</v>
      </c>
      <c r="H39" s="59">
        <v>0</v>
      </c>
      <c r="I39" s="71">
        <f t="shared" si="2"/>
        <v>13692</v>
      </c>
      <c r="J39" s="71">
        <f t="shared" si="0"/>
        <v>13692</v>
      </c>
      <c r="L39"/>
    </row>
    <row r="40" spans="1:12">
      <c r="A40" s="1" t="s">
        <v>1</v>
      </c>
      <c r="B40" s="4" t="s">
        <v>48</v>
      </c>
      <c r="C40" s="16">
        <v>0</v>
      </c>
      <c r="D40" s="17">
        <v>0</v>
      </c>
      <c r="E40" s="17">
        <f t="shared" si="1"/>
        <v>0</v>
      </c>
      <c r="F40" s="15">
        <v>0</v>
      </c>
      <c r="G40" s="16">
        <v>0</v>
      </c>
      <c r="H40" s="59">
        <v>0</v>
      </c>
      <c r="I40" s="71">
        <f t="shared" si="2"/>
        <v>0</v>
      </c>
      <c r="J40" s="71">
        <f t="shared" si="0"/>
        <v>0</v>
      </c>
      <c r="L40"/>
    </row>
    <row r="41" spans="1:12">
      <c r="A41" s="1" t="s">
        <v>1</v>
      </c>
      <c r="B41" s="4" t="s">
        <v>49</v>
      </c>
      <c r="C41" s="16">
        <v>0</v>
      </c>
      <c r="D41" s="17">
        <v>0</v>
      </c>
      <c r="E41" s="17">
        <f t="shared" si="1"/>
        <v>0</v>
      </c>
      <c r="F41" s="15">
        <v>0</v>
      </c>
      <c r="G41" s="16">
        <v>0</v>
      </c>
      <c r="H41" s="59">
        <v>0</v>
      </c>
      <c r="I41" s="71">
        <f t="shared" si="2"/>
        <v>0</v>
      </c>
      <c r="J41" s="71">
        <f t="shared" si="0"/>
        <v>0</v>
      </c>
      <c r="L41"/>
    </row>
    <row r="42" spans="1:12">
      <c r="A42" s="1" t="s">
        <v>1</v>
      </c>
      <c r="B42" s="4" t="s">
        <v>50</v>
      </c>
      <c r="C42" s="16">
        <v>0</v>
      </c>
      <c r="D42" s="17">
        <v>0</v>
      </c>
      <c r="E42" s="17">
        <f t="shared" si="1"/>
        <v>0</v>
      </c>
      <c r="F42" s="15">
        <v>0</v>
      </c>
      <c r="G42" s="16">
        <v>0</v>
      </c>
      <c r="H42" s="59">
        <v>0</v>
      </c>
      <c r="I42" s="71">
        <f t="shared" si="2"/>
        <v>0</v>
      </c>
      <c r="J42" s="71">
        <f t="shared" si="0"/>
        <v>0</v>
      </c>
      <c r="L42"/>
    </row>
    <row r="43" spans="1:12">
      <c r="A43" s="1" t="s">
        <v>1</v>
      </c>
      <c r="B43" s="4" t="s">
        <v>51</v>
      </c>
      <c r="C43" s="16">
        <v>0</v>
      </c>
      <c r="D43" s="17">
        <v>0</v>
      </c>
      <c r="E43" s="17">
        <f t="shared" si="1"/>
        <v>0</v>
      </c>
      <c r="F43" s="15">
        <v>0</v>
      </c>
      <c r="G43" s="16">
        <v>0</v>
      </c>
      <c r="H43" s="59">
        <v>0</v>
      </c>
      <c r="I43" s="71">
        <f t="shared" si="2"/>
        <v>0</v>
      </c>
      <c r="J43" s="71">
        <f t="shared" si="0"/>
        <v>0</v>
      </c>
      <c r="L43"/>
    </row>
    <row r="44" spans="1:12">
      <c r="A44" s="1" t="s">
        <v>1</v>
      </c>
      <c r="B44" s="4" t="s">
        <v>28</v>
      </c>
      <c r="C44" s="16">
        <v>0</v>
      </c>
      <c r="D44" s="17">
        <v>0</v>
      </c>
      <c r="E44" s="17">
        <f t="shared" si="1"/>
        <v>0</v>
      </c>
      <c r="F44" s="15">
        <v>0</v>
      </c>
      <c r="G44" s="16">
        <v>0</v>
      </c>
      <c r="H44" s="59">
        <v>0</v>
      </c>
      <c r="I44" s="71">
        <f t="shared" si="2"/>
        <v>0</v>
      </c>
      <c r="J44" s="71">
        <f t="shared" si="0"/>
        <v>0</v>
      </c>
      <c r="L44"/>
    </row>
    <row r="45" spans="1:12" ht="19.5" thickBot="1">
      <c r="A45" s="1" t="s">
        <v>1</v>
      </c>
      <c r="B45" s="35" t="s">
        <v>31</v>
      </c>
      <c r="C45" s="37">
        <v>0</v>
      </c>
      <c r="D45" s="38">
        <v>0</v>
      </c>
      <c r="E45" s="38">
        <f t="shared" si="1"/>
        <v>0</v>
      </c>
      <c r="F45" s="36">
        <v>2172</v>
      </c>
      <c r="G45" s="37">
        <v>3890</v>
      </c>
      <c r="H45" s="60">
        <v>740</v>
      </c>
      <c r="I45" s="71">
        <f t="shared" si="2"/>
        <v>6802</v>
      </c>
      <c r="J45" s="71">
        <f t="shared" si="0"/>
        <v>6802</v>
      </c>
      <c r="L45"/>
    </row>
    <row r="46" spans="1:12" ht="19.5" thickBot="1">
      <c r="A46" s="1" t="s">
        <v>1</v>
      </c>
      <c r="B46" s="39" t="s">
        <v>52</v>
      </c>
      <c r="C46" s="41">
        <v>405000</v>
      </c>
      <c r="D46" s="42">
        <v>80250</v>
      </c>
      <c r="E46" s="42">
        <f t="shared" si="1"/>
        <v>485250</v>
      </c>
      <c r="F46" s="40">
        <v>352036</v>
      </c>
      <c r="G46" s="41">
        <v>396218</v>
      </c>
      <c r="H46" s="61">
        <v>353663</v>
      </c>
      <c r="I46" s="74">
        <f t="shared" si="2"/>
        <v>1101917</v>
      </c>
      <c r="J46" s="74">
        <f t="shared" si="0"/>
        <v>1587167</v>
      </c>
      <c r="L46"/>
    </row>
    <row r="47" spans="1:12" ht="19.5" thickBot="1">
      <c r="A47" s="1" t="s">
        <v>1</v>
      </c>
      <c r="B47" s="21" t="s">
        <v>53</v>
      </c>
      <c r="C47" s="30">
        <v>9787</v>
      </c>
      <c r="D47" s="31">
        <v>0</v>
      </c>
      <c r="E47" s="31">
        <f t="shared" si="1"/>
        <v>9787</v>
      </c>
      <c r="F47" s="29">
        <v>6498</v>
      </c>
      <c r="G47" s="30">
        <v>1623</v>
      </c>
      <c r="H47" s="58">
        <v>0</v>
      </c>
      <c r="I47" s="71">
        <f t="shared" si="2"/>
        <v>8121</v>
      </c>
      <c r="J47" s="71">
        <f t="shared" si="0"/>
        <v>17908</v>
      </c>
      <c r="L47"/>
    </row>
    <row r="48" spans="1:12" ht="19.5" thickBot="1">
      <c r="A48" s="1" t="s">
        <v>1</v>
      </c>
      <c r="B48" s="39" t="s">
        <v>54</v>
      </c>
      <c r="C48" s="41">
        <v>9787</v>
      </c>
      <c r="D48" s="42">
        <v>0</v>
      </c>
      <c r="E48" s="42">
        <f t="shared" si="1"/>
        <v>9787</v>
      </c>
      <c r="F48" s="40">
        <v>6498</v>
      </c>
      <c r="G48" s="41">
        <v>1623</v>
      </c>
      <c r="H48" s="61">
        <v>0</v>
      </c>
      <c r="I48" s="74">
        <f t="shared" si="2"/>
        <v>8121</v>
      </c>
      <c r="J48" s="74">
        <f t="shared" si="0"/>
        <v>17908</v>
      </c>
      <c r="L48"/>
    </row>
    <row r="49" spans="1:12" ht="19.5" thickBot="1">
      <c r="A49" s="1" t="s">
        <v>1</v>
      </c>
      <c r="B49" s="39" t="s">
        <v>55</v>
      </c>
      <c r="C49" s="41">
        <v>414787</v>
      </c>
      <c r="D49" s="42">
        <v>80250</v>
      </c>
      <c r="E49" s="42">
        <f t="shared" si="1"/>
        <v>495037</v>
      </c>
      <c r="F49" s="40">
        <v>358534</v>
      </c>
      <c r="G49" s="41">
        <v>397841</v>
      </c>
      <c r="H49" s="61">
        <v>353663</v>
      </c>
      <c r="I49" s="74">
        <f t="shared" si="2"/>
        <v>1110038</v>
      </c>
      <c r="J49" s="74">
        <f t="shared" si="0"/>
        <v>1605075</v>
      </c>
      <c r="L49"/>
    </row>
    <row r="50" spans="1:12">
      <c r="A50" s="1" t="s">
        <v>1</v>
      </c>
      <c r="B50" s="21" t="s">
        <v>56</v>
      </c>
      <c r="C50" s="30">
        <v>20910</v>
      </c>
      <c r="D50" s="31">
        <v>0</v>
      </c>
      <c r="E50" s="31">
        <f t="shared" si="1"/>
        <v>20910</v>
      </c>
      <c r="F50" s="29">
        <v>17340</v>
      </c>
      <c r="G50" s="30">
        <v>19380</v>
      </c>
      <c r="H50" s="58">
        <v>16320</v>
      </c>
      <c r="I50" s="71">
        <f t="shared" si="2"/>
        <v>53040</v>
      </c>
      <c r="J50" s="71">
        <f t="shared" si="0"/>
        <v>73950</v>
      </c>
      <c r="L50"/>
    </row>
    <row r="51" spans="1:12">
      <c r="A51" s="1" t="s">
        <v>1</v>
      </c>
      <c r="B51" s="4" t="s">
        <v>57</v>
      </c>
      <c r="C51" s="16">
        <v>3690</v>
      </c>
      <c r="D51" s="17">
        <v>0</v>
      </c>
      <c r="E51" s="17">
        <f t="shared" si="1"/>
        <v>3690</v>
      </c>
      <c r="F51" s="15">
        <v>3060</v>
      </c>
      <c r="G51" s="16">
        <v>3420</v>
      </c>
      <c r="H51" s="59">
        <v>2880</v>
      </c>
      <c r="I51" s="72">
        <f t="shared" si="2"/>
        <v>9360</v>
      </c>
      <c r="J51" s="72">
        <f t="shared" si="0"/>
        <v>13050</v>
      </c>
      <c r="L51"/>
    </row>
    <row r="52" spans="1:12">
      <c r="A52" s="1" t="s">
        <v>1</v>
      </c>
      <c r="B52" s="4" t="s">
        <v>58</v>
      </c>
      <c r="C52" s="16">
        <v>37515</v>
      </c>
      <c r="D52" s="17">
        <v>0</v>
      </c>
      <c r="E52" s="17">
        <f t="shared" si="1"/>
        <v>37515</v>
      </c>
      <c r="F52" s="15">
        <v>31110</v>
      </c>
      <c r="G52" s="16">
        <v>34770</v>
      </c>
      <c r="H52" s="59">
        <v>29280</v>
      </c>
      <c r="I52" s="72">
        <f t="shared" si="2"/>
        <v>95160</v>
      </c>
      <c r="J52" s="72">
        <f t="shared" si="0"/>
        <v>132675</v>
      </c>
      <c r="L52"/>
    </row>
    <row r="53" spans="1:12" ht="19.5" thickBot="1">
      <c r="A53" s="1" t="s">
        <v>1</v>
      </c>
      <c r="B53" s="4" t="s">
        <v>59</v>
      </c>
      <c r="C53" s="16">
        <v>1244</v>
      </c>
      <c r="D53" s="17">
        <v>241</v>
      </c>
      <c r="E53" s="17">
        <f t="shared" si="1"/>
        <v>1485</v>
      </c>
      <c r="F53" s="15">
        <v>1076</v>
      </c>
      <c r="G53" s="16">
        <v>1194</v>
      </c>
      <c r="H53" s="59">
        <v>1061</v>
      </c>
      <c r="I53" s="72">
        <f t="shared" si="2"/>
        <v>3331</v>
      </c>
      <c r="J53" s="72">
        <f t="shared" si="0"/>
        <v>4816</v>
      </c>
      <c r="L53"/>
    </row>
    <row r="54" spans="1:12" ht="19.5" thickBot="1">
      <c r="A54" s="1" t="s">
        <v>1</v>
      </c>
      <c r="B54" s="39" t="s">
        <v>60</v>
      </c>
      <c r="C54" s="41">
        <v>63359</v>
      </c>
      <c r="D54" s="42">
        <v>241</v>
      </c>
      <c r="E54" s="42">
        <f t="shared" si="1"/>
        <v>63600</v>
      </c>
      <c r="F54" s="40">
        <v>52586</v>
      </c>
      <c r="G54" s="41">
        <v>58764</v>
      </c>
      <c r="H54" s="61">
        <v>49541</v>
      </c>
      <c r="I54" s="74">
        <f t="shared" si="2"/>
        <v>160891</v>
      </c>
      <c r="J54" s="74">
        <f t="shared" si="0"/>
        <v>224491</v>
      </c>
      <c r="L54"/>
    </row>
    <row r="55" spans="1:12">
      <c r="A55" s="1" t="s">
        <v>1</v>
      </c>
      <c r="B55" s="21" t="s">
        <v>61</v>
      </c>
      <c r="C55" s="30">
        <v>8550</v>
      </c>
      <c r="D55" s="31">
        <v>0</v>
      </c>
      <c r="E55" s="31">
        <f t="shared" si="1"/>
        <v>8550</v>
      </c>
      <c r="F55" s="29">
        <v>8340</v>
      </c>
      <c r="G55" s="30">
        <v>11440</v>
      </c>
      <c r="H55" s="58">
        <v>5270</v>
      </c>
      <c r="I55" s="71">
        <f t="shared" si="2"/>
        <v>25050</v>
      </c>
      <c r="J55" s="71">
        <f t="shared" si="0"/>
        <v>33600</v>
      </c>
      <c r="L55"/>
    </row>
    <row r="56" spans="1:12">
      <c r="A56" s="1" t="s">
        <v>1</v>
      </c>
      <c r="B56" s="4" t="s">
        <v>62</v>
      </c>
      <c r="C56" s="16">
        <v>19900</v>
      </c>
      <c r="D56" s="17">
        <v>0</v>
      </c>
      <c r="E56" s="17">
        <f t="shared" si="1"/>
        <v>19900</v>
      </c>
      <c r="F56" s="15">
        <v>12100</v>
      </c>
      <c r="G56" s="16">
        <v>17900</v>
      </c>
      <c r="H56" s="59">
        <v>6000</v>
      </c>
      <c r="I56" s="72">
        <f t="shared" si="2"/>
        <v>36000</v>
      </c>
      <c r="J56" s="72">
        <f t="shared" ref="J56:J63" si="3">E56+I56</f>
        <v>55900</v>
      </c>
      <c r="L56"/>
    </row>
    <row r="57" spans="1:12" ht="19.5" thickBot="1">
      <c r="A57" s="1" t="s">
        <v>1</v>
      </c>
      <c r="B57" s="4" t="s">
        <v>63</v>
      </c>
      <c r="C57" s="16">
        <v>0</v>
      </c>
      <c r="D57" s="17">
        <v>0</v>
      </c>
      <c r="E57" s="17">
        <f t="shared" si="1"/>
        <v>0</v>
      </c>
      <c r="F57" s="15">
        <v>0</v>
      </c>
      <c r="G57" s="16">
        <v>0</v>
      </c>
      <c r="H57" s="59">
        <v>0</v>
      </c>
      <c r="I57" s="72">
        <f t="shared" si="2"/>
        <v>0</v>
      </c>
      <c r="J57" s="72">
        <f t="shared" si="3"/>
        <v>0</v>
      </c>
      <c r="L57"/>
    </row>
    <row r="58" spans="1:12" ht="19.5" thickBot="1">
      <c r="A58" s="1" t="s">
        <v>1</v>
      </c>
      <c r="B58" s="39" t="s">
        <v>64</v>
      </c>
      <c r="C58" s="41">
        <v>91809</v>
      </c>
      <c r="D58" s="42">
        <v>241</v>
      </c>
      <c r="E58" s="42">
        <f t="shared" si="1"/>
        <v>92050</v>
      </c>
      <c r="F58" s="40">
        <v>73026</v>
      </c>
      <c r="G58" s="41">
        <v>88104</v>
      </c>
      <c r="H58" s="61">
        <v>60811</v>
      </c>
      <c r="I58" s="74">
        <f t="shared" si="2"/>
        <v>221941</v>
      </c>
      <c r="J58" s="74">
        <f t="shared" si="3"/>
        <v>313991</v>
      </c>
      <c r="L58"/>
    </row>
    <row r="59" spans="1:12" ht="19.5" thickBot="1">
      <c r="A59" s="1" t="s">
        <v>1</v>
      </c>
      <c r="B59" s="39" t="s">
        <v>65</v>
      </c>
      <c r="C59" s="41">
        <v>341641</v>
      </c>
      <c r="D59" s="42">
        <v>80009</v>
      </c>
      <c r="E59" s="42">
        <f t="shared" si="1"/>
        <v>421650</v>
      </c>
      <c r="F59" s="40">
        <v>299450</v>
      </c>
      <c r="G59" s="41">
        <v>337454</v>
      </c>
      <c r="H59" s="61">
        <v>304122</v>
      </c>
      <c r="I59" s="74">
        <f t="shared" si="2"/>
        <v>941026</v>
      </c>
      <c r="J59" s="74">
        <f t="shared" si="3"/>
        <v>1362676</v>
      </c>
      <c r="L59"/>
    </row>
    <row r="60" spans="1:12" ht="19.5" thickBot="1">
      <c r="A60" s="1" t="s">
        <v>1</v>
      </c>
      <c r="B60" s="39" t="s">
        <v>66</v>
      </c>
      <c r="C60" s="41">
        <v>322978</v>
      </c>
      <c r="D60" s="42">
        <v>80009</v>
      </c>
      <c r="E60" s="42">
        <f t="shared" si="1"/>
        <v>402987</v>
      </c>
      <c r="F60" s="40">
        <v>285508</v>
      </c>
      <c r="G60" s="41">
        <v>309737</v>
      </c>
      <c r="H60" s="61">
        <v>292852</v>
      </c>
      <c r="I60" s="74">
        <f t="shared" si="2"/>
        <v>888097</v>
      </c>
      <c r="J60" s="74">
        <f t="shared" si="3"/>
        <v>1291084</v>
      </c>
      <c r="L60"/>
    </row>
    <row r="61" spans="1:12">
      <c r="A61" s="1" t="s">
        <v>1</v>
      </c>
      <c r="B61" s="21" t="s">
        <v>67</v>
      </c>
      <c r="C61" s="30">
        <v>0</v>
      </c>
      <c r="D61" s="31">
        <v>0</v>
      </c>
      <c r="E61" s="31">
        <f t="shared" si="1"/>
        <v>0</v>
      </c>
      <c r="F61" s="29">
        <v>0</v>
      </c>
      <c r="G61" s="30">
        <v>0</v>
      </c>
      <c r="H61" s="58">
        <v>0</v>
      </c>
      <c r="I61" s="71">
        <f t="shared" si="2"/>
        <v>0</v>
      </c>
      <c r="J61" s="71">
        <f t="shared" si="3"/>
        <v>0</v>
      </c>
      <c r="L61"/>
    </row>
    <row r="62" spans="1:12">
      <c r="A62" s="1" t="s">
        <v>1</v>
      </c>
      <c r="B62" s="4" t="s">
        <v>68</v>
      </c>
      <c r="C62" s="16">
        <v>322978</v>
      </c>
      <c r="D62" s="17">
        <v>80009</v>
      </c>
      <c r="E62" s="17">
        <f t="shared" si="1"/>
        <v>402987</v>
      </c>
      <c r="F62" s="15">
        <v>285508</v>
      </c>
      <c r="G62" s="16">
        <v>309737</v>
      </c>
      <c r="H62" s="59">
        <v>292852</v>
      </c>
      <c r="I62" s="72">
        <f t="shared" si="2"/>
        <v>888097</v>
      </c>
      <c r="J62" s="72">
        <f t="shared" si="3"/>
        <v>1291084</v>
      </c>
      <c r="L62"/>
    </row>
    <row r="63" spans="1:12">
      <c r="A63" s="1" t="s">
        <v>1</v>
      </c>
      <c r="B63" s="4" t="s">
        <v>69</v>
      </c>
      <c r="C63" s="16">
        <v>1</v>
      </c>
      <c r="D63" s="17">
        <v>0</v>
      </c>
      <c r="E63" s="48"/>
      <c r="F63" s="15">
        <v>0</v>
      </c>
      <c r="G63" s="16">
        <v>0</v>
      </c>
      <c r="H63" s="59">
        <v>2</v>
      </c>
      <c r="I63" s="72"/>
      <c r="J63" s="72">
        <f t="shared" si="3"/>
        <v>0</v>
      </c>
      <c r="L63"/>
    </row>
    <row r="64" spans="1:12" ht="19.5" thickBot="1">
      <c r="A64" s="1" t="s">
        <v>1</v>
      </c>
      <c r="B64" s="5" t="s">
        <v>70</v>
      </c>
      <c r="C64" s="19" t="s">
        <v>71</v>
      </c>
      <c r="D64" s="20" t="s">
        <v>71</v>
      </c>
      <c r="E64" s="49"/>
      <c r="F64" s="18" t="s">
        <v>71</v>
      </c>
      <c r="G64" s="19" t="s">
        <v>71</v>
      </c>
      <c r="H64" s="62" t="s">
        <v>71</v>
      </c>
      <c r="I64" s="73"/>
      <c r="J64" s="73"/>
      <c r="L64"/>
    </row>
  </sheetData>
  <phoneticPr fontId="4"/>
  <pageMargins left="0.31496062992125984" right="0.31496062992125984" top="0.35433070866141736" bottom="0.35433070866141736" header="0.11811023622047245" footer="0.11811023622047245"/>
  <pageSetup paperSize="12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2022年9月度給与 (2)</vt:lpstr>
      <vt:lpstr>'2022年9月度給与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2022-10-12T05:59:42Z</cp:lastPrinted>
  <dcterms:created xsi:type="dcterms:W3CDTF">2022-10-11T01:18:21Z</dcterms:created>
  <dcterms:modified xsi:type="dcterms:W3CDTF">2022-10-12T07:25:27Z</dcterms:modified>
</cp:coreProperties>
</file>