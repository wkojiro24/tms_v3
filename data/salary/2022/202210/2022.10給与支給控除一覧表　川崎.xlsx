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0\"/>
    </mc:Choice>
  </mc:AlternateContent>
  <xr:revisionPtr revIDLastSave="0" documentId="13_ncr:1_{42703665-9829-461D-A182-93641B59FBA3}" xr6:coauthVersionLast="47" xr6:coauthVersionMax="47" xr10:uidLastSave="{00000000-0000-0000-0000-000000000000}"/>
  <bookViews>
    <workbookView xWindow="-120" yWindow="-120" windowWidth="20730" windowHeight="11160" xr2:uid="{A1AD4570-C15F-4E2D-BB72-A7D91C97027F}"/>
  </bookViews>
  <sheets>
    <sheet name="2022年10月度給与 (2)" sheetId="3" r:id="rId1"/>
  </sheets>
  <definedNames>
    <definedName name="_xlnm.Print_Area" localSheetId="0">'2022年10月度給与 (2)'!$A$1:$J$68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" i="3" l="1"/>
  <c r="J8" i="3"/>
  <c r="J10" i="3"/>
  <c r="J11" i="3"/>
  <c r="J12" i="3"/>
  <c r="J16" i="3"/>
  <c r="J17" i="3"/>
  <c r="J18" i="3"/>
  <c r="J19" i="3"/>
  <c r="J20" i="3"/>
  <c r="J21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24" i="3"/>
  <c r="I23" i="3"/>
  <c r="I22" i="3"/>
  <c r="I15" i="3"/>
  <c r="J15" i="3" s="1"/>
  <c r="I14" i="3"/>
  <c r="J14" i="3" s="1"/>
  <c r="I9" i="3"/>
  <c r="J9" i="3" s="1"/>
  <c r="I6" i="3"/>
  <c r="J6" i="3" s="1"/>
  <c r="I5" i="3"/>
  <c r="E25" i="3"/>
  <c r="E26" i="3"/>
  <c r="J26" i="3" s="1"/>
  <c r="E27" i="3"/>
  <c r="E28" i="3"/>
  <c r="E29" i="3"/>
  <c r="E30" i="3"/>
  <c r="J30" i="3" s="1"/>
  <c r="E31" i="3"/>
  <c r="E32" i="3"/>
  <c r="E33" i="3"/>
  <c r="E34" i="3"/>
  <c r="E35" i="3"/>
  <c r="E36" i="3"/>
  <c r="E37" i="3"/>
  <c r="E38" i="3"/>
  <c r="E39" i="3"/>
  <c r="E40" i="3"/>
  <c r="J40" i="3" s="1"/>
  <c r="E41" i="3"/>
  <c r="E42" i="3"/>
  <c r="E43" i="3"/>
  <c r="E44" i="3"/>
  <c r="J44" i="3" s="1"/>
  <c r="E45" i="3"/>
  <c r="E46" i="3"/>
  <c r="E47" i="3"/>
  <c r="E48" i="3"/>
  <c r="J48" i="3" s="1"/>
  <c r="E49" i="3"/>
  <c r="E50" i="3"/>
  <c r="E51" i="3"/>
  <c r="E52" i="3"/>
  <c r="E53" i="3"/>
  <c r="E54" i="3"/>
  <c r="E55" i="3"/>
  <c r="J55" i="3" s="1"/>
  <c r="E56" i="3"/>
  <c r="E57" i="3"/>
  <c r="E58" i="3"/>
  <c r="E59" i="3"/>
  <c r="E60" i="3"/>
  <c r="E61" i="3"/>
  <c r="E62" i="3"/>
  <c r="E63" i="3"/>
  <c r="E64" i="3"/>
  <c r="E65" i="3"/>
  <c r="E66" i="3"/>
  <c r="E24" i="3"/>
  <c r="E23" i="3"/>
  <c r="E22" i="3"/>
  <c r="E13" i="3"/>
  <c r="J13" i="3" s="1"/>
  <c r="E5" i="3"/>
  <c r="J37" i="3" l="1"/>
  <c r="J23" i="3"/>
  <c r="J64" i="3"/>
  <c r="J59" i="3"/>
  <c r="J56" i="3"/>
  <c r="J52" i="3"/>
  <c r="J49" i="3"/>
  <c r="J45" i="3"/>
  <c r="J41" i="3"/>
  <c r="J34" i="3"/>
  <c r="J31" i="3"/>
  <c r="J27" i="3"/>
  <c r="J47" i="3"/>
  <c r="J43" i="3"/>
  <c r="J39" i="3"/>
  <c r="J36" i="3"/>
  <c r="J33" i="3"/>
  <c r="J25" i="3"/>
  <c r="J63" i="3"/>
  <c r="J58" i="3"/>
  <c r="J51" i="3"/>
  <c r="J24" i="3"/>
  <c r="J22" i="3"/>
  <c r="J65" i="3"/>
  <c r="J60" i="3"/>
  <c r="J53" i="3"/>
  <c r="J50" i="3"/>
  <c r="J46" i="3"/>
  <c r="J42" i="3"/>
  <c r="J38" i="3"/>
  <c r="J35" i="3"/>
  <c r="J32" i="3"/>
  <c r="J29" i="3"/>
  <c r="J28" i="3"/>
  <c r="J5" i="3"/>
  <c r="J66" i="3"/>
  <c r="J62" i="3"/>
  <c r="J61" i="3"/>
  <c r="J57" i="3"/>
  <c r="J54" i="3"/>
</calcChain>
</file>

<file path=xl/sharedStrings.xml><?xml version="1.0" encoding="utf-8"?>
<sst xmlns="http://schemas.openxmlformats.org/spreadsheetml/2006/main" count="152" uniqueCount="81">
  <si>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</si>
  <si>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</si>
  <si>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</si>
  <si>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</si>
  <si>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</si>
  <si>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</si>
  <si>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</si>
  <si>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</si>
  <si>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</si>
  <si>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</si>
  <si>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</si>
  <si>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</si>
  <si>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</si>
  <si>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</si>
  <si>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</si>
  <si>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</si>
  <si>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</si>
  <si>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</si>
  <si>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</si>
  <si>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</si>
  <si>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</si>
  <si>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</si>
  <si>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</si>
  <si>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</si>
  <si>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</si>
  <si>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</si>
  <si>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</si>
  <si>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</si>
  <si>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</si>
  <si>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</si>
  <si>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</si>
  <si>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</si>
  <si>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</si>
  <si>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</si>
  <si>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</si>
  <si>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</si>
  <si>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</si>
  <si>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</si>
  <si>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</si>
  <si>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</si>
  <si>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</si>
  <si>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</si>
  <si>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</si>
  <si>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</si>
  <si>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</si>
  <si>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</si>
  <si>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</si>
  <si>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</si>
  <si>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</si>
  <si>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</si>
  <si>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</si>
  <si>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</si>
  <si>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</si>
  <si>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</si>
  <si>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</si>
  <si>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</si>
  <si>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</si>
  <si>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</si>
  <si>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</si>
  <si>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</si>
  <si>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</si>
  <si>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</si>
  <si>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</si>
  <si>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</si>
  <si>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</si>
  <si>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</si>
  <si>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</si>
  <si>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</si>
  <si>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</si>
  <si>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</si>
  <si>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</si>
  <si>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</si>
  <si>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</si>
  <si>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</si>
  <si>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</si>
  <si>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</si>
  <si>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</si>
  <si>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</si>
  <si>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</si>
  <si>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3名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</si>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</sst>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21" xfId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176" fontId="2" fillId="0" borderId="25" xfId="1" applyNumberFormat="1" applyFont="1" applyBorder="1"/>
    <xf numFmtId="2" fontId="2" fillId="0" borderId="23" xfId="1" applyNumberFormat="1" applyFont="1" applyBorder="1"/>
    <xf numFmtId="3" fontId="2" fillId="0" borderId="25" xfId="1" applyNumberFormat="1" applyFont="1" applyBorder="1"/>
    <xf numFmtId="49" fontId="2" fillId="0" borderId="23" xfId="1" applyNumberFormat="1" applyFont="1" applyBorder="1"/>
    <xf numFmtId="49" fontId="2" fillId="0" borderId="22" xfId="1" applyNumberFormat="1" applyFont="1" applyBorder="1" applyAlignment="1">
      <alignment horizontal="left"/>
    </xf>
    <xf numFmtId="49" fontId="2" fillId="0" borderId="23" xfId="1" applyNumberFormat="1" applyFont="1" applyBorder="1" applyAlignment="1">
      <alignment horizontal="right"/>
    </xf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8" xfId="1" applyNumberFormat="1" applyFont="1" applyBorder="1"/>
    <xf numFmtId="49" fontId="2" fillId="0" borderId="32" xfId="1" applyNumberFormat="1" applyFont="1" applyBorder="1" applyAlignment="1">
      <alignment horizontal="left"/>
    </xf>
    <xf numFmtId="0" fontId="2" fillId="0" borderId="32" xfId="1" applyFont="1" applyBorder="1"/>
    <xf numFmtId="49" fontId="2" fillId="0" borderId="33" xfId="1" applyNumberFormat="1" applyFont="1" applyBorder="1" applyAlignment="1">
      <alignment horizontal="right"/>
    </xf>
    <xf numFmtId="0" fontId="2" fillId="0" borderId="33" xfId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26" xfId="1" applyNumberFormat="1" applyFont="1" applyBorder="1"/>
    <xf numFmtId="49" fontId="2" fillId="0" borderId="33" xfId="1" applyNumberFormat="1" applyFont="1" applyBorder="1"/>
    <xf numFmtId="49" fontId="2" fillId="0" borderId="36" xfId="1" applyNumberFormat="1" applyFont="1" applyBorder="1" applyAlignment="1">
      <alignment horizontal="left"/>
    </xf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</cellXfs>
  <cellStyles count="2">
    <cellStyle name="標準" xfId="0" builtinId="0"/>
    <cellStyle name="標準 2" xfId="1" xr:uid="{634D8156-B3E0-4C30-A7AA-1F46A9FB5F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4D2A-BA14-4130-8AAB-202CBC8E3839}">
  <sheetPr>
    <pageSetUpPr fitToPage="1"/>
  </sheetPr>
  <dimension ref="A1:J68"/>
  <sheetViews>
    <sheetView showZeros="0" tabSelected="1" workbookViewId="0">
      <selection activeCell="B5" sqref="B5"/>
    </sheetView>
  </sheetViews>
  <sheetFormatPr defaultRowHeight="18.75"/>
  <cols>
    <col min="1" max="1" width="2.375" style="2" customWidth="1"/>
    <col min="2" max="2" width="13.25" style="2" bestFit="1" customWidth="1"/>
    <col min="3" max="10" width="11.62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10">
      <c r="A1" s="1" t="s">
        <v>0</v>
      </c>
    </row>
    <row r="2" spans="1:10" ht="19.5" thickBot="1">
      <c r="A2" s="1" t="s">
        <v>76</v>
      </c>
    </row>
    <row r="3" spans="1:10">
      <c r="B3" s="3"/>
      <c r="C3" s="7" t="s">
        <v>4</v>
      </c>
      <c r="D3" s="8" t="s">
        <v>6</v>
      </c>
      <c r="E3" s="46" t="s">
        <v>77</v>
      </c>
      <c r="F3" s="6" t="s">
        <v>2</v>
      </c>
      <c r="G3" s="7" t="s">
        <v>3</v>
      </c>
      <c r="H3" s="48" t="s">
        <v>5</v>
      </c>
      <c r="I3" s="58" t="s">
        <v>77</v>
      </c>
      <c r="J3" s="59" t="s">
        <v>13</v>
      </c>
    </row>
    <row r="4" spans="1:10" ht="19.5" thickBot="1">
      <c r="A4" s="39"/>
      <c r="B4" s="25" t="s">
        <v>7</v>
      </c>
      <c r="C4" s="27" t="s">
        <v>10</v>
      </c>
      <c r="D4" s="28" t="s">
        <v>12</v>
      </c>
      <c r="E4" s="47" t="s">
        <v>78</v>
      </c>
      <c r="F4" s="26" t="s">
        <v>8</v>
      </c>
      <c r="G4" s="27" t="s">
        <v>9</v>
      </c>
      <c r="H4" s="49" t="s">
        <v>11</v>
      </c>
      <c r="I4" s="60" t="s">
        <v>79</v>
      </c>
      <c r="J4" s="61" t="s">
        <v>80</v>
      </c>
    </row>
    <row r="5" spans="1:10">
      <c r="A5" s="1" t="s">
        <v>1</v>
      </c>
      <c r="B5" s="21" t="s">
        <v>14</v>
      </c>
      <c r="C5" s="23">
        <v>20</v>
      </c>
      <c r="D5" s="24">
        <v>19</v>
      </c>
      <c r="E5" s="40">
        <f>SUM(C5:D5)</f>
        <v>39</v>
      </c>
      <c r="F5" s="22">
        <v>20</v>
      </c>
      <c r="G5" s="23">
        <v>20</v>
      </c>
      <c r="H5" s="50">
        <v>19</v>
      </c>
      <c r="I5" s="62">
        <f>SUM(F5:H5)</f>
        <v>59</v>
      </c>
      <c r="J5" s="62">
        <f>E5+I5</f>
        <v>98</v>
      </c>
    </row>
    <row r="6" spans="1:10">
      <c r="A6" s="1" t="s">
        <v>1</v>
      </c>
      <c r="B6" s="4" t="s">
        <v>15</v>
      </c>
      <c r="C6" s="10">
        <v>0</v>
      </c>
      <c r="D6" s="11">
        <v>0</v>
      </c>
      <c r="E6" s="41"/>
      <c r="F6" s="9">
        <v>1</v>
      </c>
      <c r="G6" s="10">
        <v>2</v>
      </c>
      <c r="H6" s="51">
        <v>2</v>
      </c>
      <c r="I6" s="63">
        <f>SUM(F6:H6)</f>
        <v>5</v>
      </c>
      <c r="J6" s="63">
        <f t="shared" ref="J6:J58" si="0">E6+I6</f>
        <v>5</v>
      </c>
    </row>
    <row r="7" spans="1:10">
      <c r="A7" s="1" t="s">
        <v>1</v>
      </c>
      <c r="B7" s="4" t="s">
        <v>16</v>
      </c>
      <c r="C7" s="10">
        <v>0</v>
      </c>
      <c r="D7" s="11">
        <v>0</v>
      </c>
      <c r="E7" s="41"/>
      <c r="F7" s="9">
        <v>0</v>
      </c>
      <c r="G7" s="10">
        <v>0</v>
      </c>
      <c r="H7" s="51">
        <v>0</v>
      </c>
      <c r="I7" s="63"/>
      <c r="J7" s="63">
        <f t="shared" si="0"/>
        <v>0</v>
      </c>
    </row>
    <row r="8" spans="1:10">
      <c r="A8" s="1" t="s">
        <v>1</v>
      </c>
      <c r="B8" s="4" t="s">
        <v>17</v>
      </c>
      <c r="C8" s="10">
        <v>0</v>
      </c>
      <c r="D8" s="11">
        <v>0</v>
      </c>
      <c r="E8" s="41"/>
      <c r="F8" s="9">
        <v>0</v>
      </c>
      <c r="G8" s="10">
        <v>0</v>
      </c>
      <c r="H8" s="51">
        <v>0</v>
      </c>
      <c r="I8" s="63"/>
      <c r="J8" s="63">
        <f t="shared" si="0"/>
        <v>0</v>
      </c>
    </row>
    <row r="9" spans="1:10">
      <c r="A9" s="1" t="s">
        <v>1</v>
      </c>
      <c r="B9" s="4" t="s">
        <v>18</v>
      </c>
      <c r="C9" s="10">
        <v>0</v>
      </c>
      <c r="D9" s="11">
        <v>0</v>
      </c>
      <c r="E9" s="41"/>
      <c r="F9" s="9">
        <v>0</v>
      </c>
      <c r="G9" s="10">
        <v>0</v>
      </c>
      <c r="H9" s="51">
        <v>1</v>
      </c>
      <c r="I9" s="63">
        <f>SUM(F9:H9)</f>
        <v>1</v>
      </c>
      <c r="J9" s="63">
        <f t="shared" si="0"/>
        <v>1</v>
      </c>
    </row>
    <row r="10" spans="1:10">
      <c r="A10" s="1" t="s">
        <v>1</v>
      </c>
      <c r="B10" s="4" t="s">
        <v>19</v>
      </c>
      <c r="C10" s="10">
        <v>0</v>
      </c>
      <c r="D10" s="11">
        <v>0</v>
      </c>
      <c r="E10" s="41"/>
      <c r="F10" s="9">
        <v>0</v>
      </c>
      <c r="G10" s="10">
        <v>0</v>
      </c>
      <c r="H10" s="51">
        <v>0</v>
      </c>
      <c r="I10" s="63"/>
      <c r="J10" s="63">
        <f t="shared" si="0"/>
        <v>0</v>
      </c>
    </row>
    <row r="11" spans="1:10">
      <c r="A11" s="1" t="s">
        <v>1</v>
      </c>
      <c r="B11" s="4" t="s">
        <v>20</v>
      </c>
      <c r="C11" s="10">
        <v>0</v>
      </c>
      <c r="D11" s="11">
        <v>0</v>
      </c>
      <c r="E11" s="41"/>
      <c r="F11" s="9">
        <v>0</v>
      </c>
      <c r="G11" s="10">
        <v>0</v>
      </c>
      <c r="H11" s="51">
        <v>0</v>
      </c>
      <c r="I11" s="63"/>
      <c r="J11" s="63">
        <f t="shared" si="0"/>
        <v>0</v>
      </c>
    </row>
    <row r="12" spans="1:10">
      <c r="A12" s="1" t="s">
        <v>1</v>
      </c>
      <c r="B12" s="4" t="s">
        <v>21</v>
      </c>
      <c r="C12" s="10">
        <v>0</v>
      </c>
      <c r="D12" s="11">
        <v>0</v>
      </c>
      <c r="E12" s="41"/>
      <c r="F12" s="9">
        <v>0</v>
      </c>
      <c r="G12" s="10">
        <v>0</v>
      </c>
      <c r="H12" s="51">
        <v>0</v>
      </c>
      <c r="I12" s="63"/>
      <c r="J12" s="63">
        <f t="shared" si="0"/>
        <v>0</v>
      </c>
    </row>
    <row r="13" spans="1:10">
      <c r="A13" s="1" t="s">
        <v>1</v>
      </c>
      <c r="B13" s="4" t="s">
        <v>22</v>
      </c>
      <c r="C13" s="13">
        <v>0</v>
      </c>
      <c r="D13" s="14">
        <v>3.1666666666666665</v>
      </c>
      <c r="E13" s="42">
        <f>SUM(C13:D13)</f>
        <v>3.1666666666666665</v>
      </c>
      <c r="F13" s="12">
        <v>0</v>
      </c>
      <c r="G13" s="13">
        <v>0</v>
      </c>
      <c r="H13" s="52">
        <v>0</v>
      </c>
      <c r="I13" s="64"/>
      <c r="J13" s="64">
        <f t="shared" si="0"/>
        <v>3.1666666666666665</v>
      </c>
    </row>
    <row r="14" spans="1:10">
      <c r="A14" s="1" t="s">
        <v>1</v>
      </c>
      <c r="B14" s="4" t="s">
        <v>23</v>
      </c>
      <c r="C14" s="13">
        <v>0</v>
      </c>
      <c r="D14" s="14">
        <v>0</v>
      </c>
      <c r="E14" s="42"/>
      <c r="F14" s="12">
        <v>2.75</v>
      </c>
      <c r="G14" s="13">
        <v>3.25</v>
      </c>
      <c r="H14" s="52">
        <v>2.375</v>
      </c>
      <c r="I14" s="64">
        <f>SUM(F14:H14)</f>
        <v>8.375</v>
      </c>
      <c r="J14" s="64">
        <f t="shared" si="0"/>
        <v>8.375</v>
      </c>
    </row>
    <row r="15" spans="1:10">
      <c r="A15" s="1" t="s">
        <v>1</v>
      </c>
      <c r="B15" s="4" t="s">
        <v>24</v>
      </c>
      <c r="C15" s="13">
        <v>0</v>
      </c>
      <c r="D15" s="14">
        <v>0</v>
      </c>
      <c r="E15" s="42"/>
      <c r="F15" s="12">
        <v>8.3333333333333329E-2</v>
      </c>
      <c r="G15" s="13">
        <v>0.33333333333333331</v>
      </c>
      <c r="H15" s="52">
        <v>0.33333333333333331</v>
      </c>
      <c r="I15" s="64">
        <f>SUM(F15:H15)</f>
        <v>0.75</v>
      </c>
      <c r="J15" s="64">
        <f t="shared" si="0"/>
        <v>0.75</v>
      </c>
    </row>
    <row r="16" spans="1:10">
      <c r="A16" s="1" t="s">
        <v>1</v>
      </c>
      <c r="B16" s="4" t="s">
        <v>25</v>
      </c>
      <c r="C16" s="13">
        <v>0</v>
      </c>
      <c r="D16" s="14">
        <v>0</v>
      </c>
      <c r="E16" s="42"/>
      <c r="F16" s="12">
        <v>0</v>
      </c>
      <c r="G16" s="13">
        <v>0</v>
      </c>
      <c r="H16" s="52">
        <v>0</v>
      </c>
      <c r="I16" s="64"/>
      <c r="J16" s="64">
        <f t="shared" si="0"/>
        <v>0</v>
      </c>
    </row>
    <row r="17" spans="1:10">
      <c r="A17" s="1" t="s">
        <v>1</v>
      </c>
      <c r="B17" s="4" t="s">
        <v>26</v>
      </c>
      <c r="C17" s="13">
        <v>0</v>
      </c>
      <c r="D17" s="14">
        <v>0</v>
      </c>
      <c r="E17" s="42"/>
      <c r="F17" s="12">
        <v>0</v>
      </c>
      <c r="G17" s="13">
        <v>0</v>
      </c>
      <c r="H17" s="52">
        <v>0</v>
      </c>
      <c r="I17" s="64"/>
      <c r="J17" s="64">
        <f t="shared" si="0"/>
        <v>0</v>
      </c>
    </row>
    <row r="18" spans="1:10">
      <c r="A18" s="1" t="s">
        <v>1</v>
      </c>
      <c r="B18" s="4" t="s">
        <v>27</v>
      </c>
      <c r="C18" s="13">
        <v>0</v>
      </c>
      <c r="D18" s="14">
        <v>0</v>
      </c>
      <c r="E18" s="42"/>
      <c r="F18" s="12">
        <v>0</v>
      </c>
      <c r="G18" s="13">
        <v>0</v>
      </c>
      <c r="H18" s="52">
        <v>0</v>
      </c>
      <c r="I18" s="64"/>
      <c r="J18" s="64">
        <f t="shared" si="0"/>
        <v>0</v>
      </c>
    </row>
    <row r="19" spans="1:10">
      <c r="A19" s="1" t="s">
        <v>1</v>
      </c>
      <c r="B19" s="4" t="s">
        <v>28</v>
      </c>
      <c r="C19" s="13">
        <v>0</v>
      </c>
      <c r="D19" s="14">
        <v>0</v>
      </c>
      <c r="E19" s="42"/>
      <c r="F19" s="12">
        <v>0</v>
      </c>
      <c r="G19" s="13">
        <v>0</v>
      </c>
      <c r="H19" s="52">
        <v>0</v>
      </c>
      <c r="I19" s="64"/>
      <c r="J19" s="64">
        <f t="shared" si="0"/>
        <v>0</v>
      </c>
    </row>
    <row r="20" spans="1:10">
      <c r="A20" s="1" t="s">
        <v>1</v>
      </c>
      <c r="B20" s="4" t="s">
        <v>29</v>
      </c>
      <c r="C20" s="13">
        <v>0</v>
      </c>
      <c r="D20" s="14">
        <v>0</v>
      </c>
      <c r="E20" s="42"/>
      <c r="F20" s="12">
        <v>0</v>
      </c>
      <c r="G20" s="13">
        <v>0</v>
      </c>
      <c r="H20" s="52">
        <v>0</v>
      </c>
      <c r="I20" s="64"/>
      <c r="J20" s="64">
        <f t="shared" si="0"/>
        <v>0</v>
      </c>
    </row>
    <row r="21" spans="1:10">
      <c r="A21" s="1" t="s">
        <v>1</v>
      </c>
      <c r="B21" s="4" t="s">
        <v>30</v>
      </c>
      <c r="C21" s="13">
        <v>0</v>
      </c>
      <c r="D21" s="14">
        <v>0</v>
      </c>
      <c r="E21" s="42"/>
      <c r="F21" s="12">
        <v>0</v>
      </c>
      <c r="G21" s="13">
        <v>0</v>
      </c>
      <c r="H21" s="52">
        <v>0</v>
      </c>
      <c r="I21" s="64"/>
      <c r="J21" s="64">
        <f t="shared" si="0"/>
        <v>0</v>
      </c>
    </row>
    <row r="22" spans="1:10">
      <c r="A22" s="1" t="s">
        <v>1</v>
      </c>
      <c r="B22" s="4" t="s">
        <v>31</v>
      </c>
      <c r="C22" s="13">
        <v>4.1666666666666664E-2</v>
      </c>
      <c r="D22" s="14">
        <v>0</v>
      </c>
      <c r="E22" s="42">
        <f>SUM(C22:D22)</f>
        <v>4.1666666666666664E-2</v>
      </c>
      <c r="F22" s="12">
        <v>0.25</v>
      </c>
      <c r="G22" s="13">
        <v>0.33333333333333331</v>
      </c>
      <c r="H22" s="52">
        <v>0.20833333333333334</v>
      </c>
      <c r="I22" s="64">
        <f>SUM(F22:H22)</f>
        <v>0.79166666666666663</v>
      </c>
      <c r="J22" s="64">
        <f t="shared" si="0"/>
        <v>0.83333333333333326</v>
      </c>
    </row>
    <row r="23" spans="1:10" ht="19.5" thickBot="1">
      <c r="A23" s="1" t="s">
        <v>1</v>
      </c>
      <c r="B23" s="5" t="s">
        <v>32</v>
      </c>
      <c r="C23" s="33">
        <v>25</v>
      </c>
      <c r="D23" s="34">
        <v>10</v>
      </c>
      <c r="E23" s="43">
        <f>SUM(C23:D23)</f>
        <v>35</v>
      </c>
      <c r="F23" s="32">
        <v>28</v>
      </c>
      <c r="G23" s="33">
        <v>28</v>
      </c>
      <c r="H23" s="53">
        <v>10</v>
      </c>
      <c r="I23" s="65">
        <f>SUM(F23:H23)</f>
        <v>66</v>
      </c>
      <c r="J23" s="65">
        <f t="shared" si="0"/>
        <v>101</v>
      </c>
    </row>
    <row r="24" spans="1:10">
      <c r="A24" s="1" t="s">
        <v>1</v>
      </c>
      <c r="B24" s="21" t="s">
        <v>33</v>
      </c>
      <c r="C24" s="30">
        <v>355000</v>
      </c>
      <c r="D24" s="31">
        <v>0</v>
      </c>
      <c r="E24" s="31">
        <f>SUM(C24:D24)</f>
        <v>355000</v>
      </c>
      <c r="F24" s="29">
        <v>182000</v>
      </c>
      <c r="G24" s="30">
        <v>192000</v>
      </c>
      <c r="H24" s="54">
        <v>182000</v>
      </c>
      <c r="I24" s="66">
        <f>SUM(F24:H24)</f>
        <v>556000</v>
      </c>
      <c r="J24" s="66">
        <f t="shared" si="0"/>
        <v>911000</v>
      </c>
    </row>
    <row r="25" spans="1:10">
      <c r="A25" s="1" t="s">
        <v>1</v>
      </c>
      <c r="B25" s="4" t="s">
        <v>34</v>
      </c>
      <c r="C25" s="16">
        <v>0</v>
      </c>
      <c r="D25" s="17">
        <v>0</v>
      </c>
      <c r="E25" s="17">
        <f t="shared" ref="E25:E66" si="1">SUM(C25:D25)</f>
        <v>0</v>
      </c>
      <c r="F25" s="15">
        <v>5000</v>
      </c>
      <c r="G25" s="16">
        <v>0</v>
      </c>
      <c r="H25" s="55">
        <v>0</v>
      </c>
      <c r="I25" s="67">
        <f t="shared" ref="I25:I66" si="2">SUM(F25:H25)</f>
        <v>5000</v>
      </c>
      <c r="J25" s="67">
        <f t="shared" si="0"/>
        <v>5000</v>
      </c>
    </row>
    <row r="26" spans="1:10">
      <c r="A26" s="1" t="s">
        <v>1</v>
      </c>
      <c r="B26" s="4" t="s">
        <v>35</v>
      </c>
      <c r="C26" s="16">
        <v>0</v>
      </c>
      <c r="D26" s="17">
        <v>0</v>
      </c>
      <c r="E26" s="17">
        <f t="shared" si="1"/>
        <v>0</v>
      </c>
      <c r="F26" s="15">
        <v>3000</v>
      </c>
      <c r="G26" s="16">
        <v>3000</v>
      </c>
      <c r="H26" s="55">
        <v>0</v>
      </c>
      <c r="I26" s="67">
        <f t="shared" si="2"/>
        <v>6000</v>
      </c>
      <c r="J26" s="67">
        <f t="shared" si="0"/>
        <v>6000</v>
      </c>
    </row>
    <row r="27" spans="1:10">
      <c r="A27" s="1" t="s">
        <v>1</v>
      </c>
      <c r="B27" s="4" t="s">
        <v>36</v>
      </c>
      <c r="C27" s="16">
        <v>50000</v>
      </c>
      <c r="D27" s="17">
        <v>0</v>
      </c>
      <c r="E27" s="17">
        <f t="shared" si="1"/>
        <v>50000</v>
      </c>
      <c r="F27" s="15">
        <v>50000</v>
      </c>
      <c r="G27" s="16">
        <v>50000</v>
      </c>
      <c r="H27" s="55">
        <v>50000</v>
      </c>
      <c r="I27" s="67">
        <f t="shared" si="2"/>
        <v>150000</v>
      </c>
      <c r="J27" s="67">
        <f t="shared" si="0"/>
        <v>200000</v>
      </c>
    </row>
    <row r="28" spans="1:10">
      <c r="A28" s="1" t="s">
        <v>1</v>
      </c>
      <c r="B28" s="4" t="s">
        <v>37</v>
      </c>
      <c r="C28" s="16">
        <v>0</v>
      </c>
      <c r="D28" s="17">
        <v>0</v>
      </c>
      <c r="E28" s="17">
        <f t="shared" si="1"/>
        <v>0</v>
      </c>
      <c r="F28" s="15">
        <v>0</v>
      </c>
      <c r="G28" s="16">
        <v>0</v>
      </c>
      <c r="H28" s="55">
        <v>0</v>
      </c>
      <c r="I28" s="67">
        <f t="shared" si="2"/>
        <v>0</v>
      </c>
      <c r="J28" s="67">
        <f t="shared" si="0"/>
        <v>0</v>
      </c>
    </row>
    <row r="29" spans="1:10">
      <c r="A29" s="1" t="s">
        <v>1</v>
      </c>
      <c r="B29" s="4" t="s">
        <v>38</v>
      </c>
      <c r="C29" s="16">
        <v>0</v>
      </c>
      <c r="D29" s="17">
        <v>81320</v>
      </c>
      <c r="E29" s="17">
        <f t="shared" si="1"/>
        <v>81320</v>
      </c>
      <c r="F29" s="15">
        <v>0</v>
      </c>
      <c r="G29" s="16">
        <v>0</v>
      </c>
      <c r="H29" s="55">
        <v>0</v>
      </c>
      <c r="I29" s="67">
        <f t="shared" si="2"/>
        <v>0</v>
      </c>
      <c r="J29" s="67">
        <f t="shared" si="0"/>
        <v>81320</v>
      </c>
    </row>
    <row r="30" spans="1:10">
      <c r="A30" s="1" t="s">
        <v>1</v>
      </c>
      <c r="B30" s="4" t="s">
        <v>39</v>
      </c>
      <c r="C30" s="16">
        <v>0</v>
      </c>
      <c r="D30" s="17">
        <v>0</v>
      </c>
      <c r="E30" s="17">
        <f t="shared" si="1"/>
        <v>0</v>
      </c>
      <c r="F30" s="15">
        <v>0</v>
      </c>
      <c r="G30" s="16">
        <v>0</v>
      </c>
      <c r="H30" s="55">
        <v>0</v>
      </c>
      <c r="I30" s="67">
        <f t="shared" si="2"/>
        <v>0</v>
      </c>
      <c r="J30" s="67">
        <f t="shared" si="0"/>
        <v>0</v>
      </c>
    </row>
    <row r="31" spans="1:10">
      <c r="A31" s="1" t="s">
        <v>1</v>
      </c>
      <c r="B31" s="4" t="s">
        <v>40</v>
      </c>
      <c r="C31" s="16">
        <v>0</v>
      </c>
      <c r="D31" s="17">
        <v>0</v>
      </c>
      <c r="E31" s="17">
        <f t="shared" si="1"/>
        <v>0</v>
      </c>
      <c r="F31" s="15">
        <v>22800</v>
      </c>
      <c r="G31" s="16">
        <v>21600</v>
      </c>
      <c r="H31" s="55">
        <v>10400</v>
      </c>
      <c r="I31" s="67">
        <f t="shared" si="2"/>
        <v>54800</v>
      </c>
      <c r="J31" s="67">
        <f t="shared" si="0"/>
        <v>54800</v>
      </c>
    </row>
    <row r="32" spans="1:10">
      <c r="A32" s="1" t="s">
        <v>1</v>
      </c>
      <c r="B32" s="4" t="s">
        <v>41</v>
      </c>
      <c r="C32" s="16">
        <v>0</v>
      </c>
      <c r="D32" s="17">
        <v>0</v>
      </c>
      <c r="E32" s="17">
        <f t="shared" si="1"/>
        <v>0</v>
      </c>
      <c r="F32" s="15">
        <v>2000</v>
      </c>
      <c r="G32" s="16">
        <v>2000</v>
      </c>
      <c r="H32" s="55">
        <v>2000</v>
      </c>
      <c r="I32" s="67">
        <f t="shared" si="2"/>
        <v>6000</v>
      </c>
      <c r="J32" s="67">
        <f t="shared" si="0"/>
        <v>6000</v>
      </c>
    </row>
    <row r="33" spans="1:10">
      <c r="A33" s="1" t="s">
        <v>1</v>
      </c>
      <c r="B33" s="4" t="s">
        <v>42</v>
      </c>
      <c r="C33" s="16">
        <v>0</v>
      </c>
      <c r="D33" s="17">
        <v>0</v>
      </c>
      <c r="E33" s="17">
        <f t="shared" si="1"/>
        <v>0</v>
      </c>
      <c r="F33" s="15">
        <v>0</v>
      </c>
      <c r="G33" s="16">
        <v>0</v>
      </c>
      <c r="H33" s="55">
        <v>0</v>
      </c>
      <c r="I33" s="67">
        <f t="shared" si="2"/>
        <v>0</v>
      </c>
      <c r="J33" s="67">
        <f t="shared" si="0"/>
        <v>0</v>
      </c>
    </row>
    <row r="34" spans="1:10">
      <c r="A34" s="1" t="s">
        <v>1</v>
      </c>
      <c r="B34" s="4" t="s">
        <v>43</v>
      </c>
      <c r="C34" s="16">
        <v>0</v>
      </c>
      <c r="D34" s="17">
        <v>0</v>
      </c>
      <c r="E34" s="17">
        <f t="shared" si="1"/>
        <v>0</v>
      </c>
      <c r="F34" s="15">
        <v>0</v>
      </c>
      <c r="G34" s="16">
        <v>0</v>
      </c>
      <c r="H34" s="55">
        <v>0</v>
      </c>
      <c r="I34" s="67">
        <f t="shared" si="2"/>
        <v>0</v>
      </c>
      <c r="J34" s="67">
        <f t="shared" si="0"/>
        <v>0</v>
      </c>
    </row>
    <row r="35" spans="1:10">
      <c r="A35" s="1" t="s">
        <v>1</v>
      </c>
      <c r="B35" s="4" t="s">
        <v>44</v>
      </c>
      <c r="C35" s="16">
        <v>0</v>
      </c>
      <c r="D35" s="17">
        <v>0</v>
      </c>
      <c r="E35" s="17">
        <f t="shared" si="1"/>
        <v>0</v>
      </c>
      <c r="F35" s="15">
        <v>0</v>
      </c>
      <c r="G35" s="16">
        <v>0</v>
      </c>
      <c r="H35" s="55">
        <v>0</v>
      </c>
      <c r="I35" s="67">
        <f t="shared" si="2"/>
        <v>0</v>
      </c>
      <c r="J35" s="67">
        <f t="shared" si="0"/>
        <v>0</v>
      </c>
    </row>
    <row r="36" spans="1:10">
      <c r="A36" s="1" t="s">
        <v>1</v>
      </c>
      <c r="B36" s="4" t="s">
        <v>45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0</v>
      </c>
      <c r="H36" s="55">
        <v>0</v>
      </c>
      <c r="I36" s="67">
        <f t="shared" si="2"/>
        <v>0</v>
      </c>
      <c r="J36" s="67">
        <f t="shared" si="0"/>
        <v>0</v>
      </c>
    </row>
    <row r="37" spans="1:10">
      <c r="A37" s="1" t="s">
        <v>1</v>
      </c>
      <c r="B37" s="4" t="s">
        <v>46</v>
      </c>
      <c r="C37" s="16">
        <v>0</v>
      </c>
      <c r="D37" s="17">
        <v>0</v>
      </c>
      <c r="E37" s="17">
        <f t="shared" si="1"/>
        <v>0</v>
      </c>
      <c r="F37" s="15">
        <v>0</v>
      </c>
      <c r="G37" s="16">
        <v>13000</v>
      </c>
      <c r="H37" s="55">
        <v>13000</v>
      </c>
      <c r="I37" s="67">
        <f t="shared" si="2"/>
        <v>26000</v>
      </c>
      <c r="J37" s="67">
        <f t="shared" si="0"/>
        <v>26000</v>
      </c>
    </row>
    <row r="38" spans="1:10">
      <c r="A38" s="1" t="s">
        <v>1</v>
      </c>
      <c r="B38" s="4" t="s">
        <v>47</v>
      </c>
      <c r="C38" s="16">
        <v>0</v>
      </c>
      <c r="D38" s="17">
        <v>0</v>
      </c>
      <c r="E38" s="17">
        <f t="shared" si="1"/>
        <v>0</v>
      </c>
      <c r="F38" s="15">
        <v>0</v>
      </c>
      <c r="G38" s="16">
        <v>0</v>
      </c>
      <c r="H38" s="55">
        <v>0</v>
      </c>
      <c r="I38" s="67">
        <f t="shared" si="2"/>
        <v>0</v>
      </c>
      <c r="J38" s="67">
        <f t="shared" si="0"/>
        <v>0</v>
      </c>
    </row>
    <row r="39" spans="1:10">
      <c r="A39" s="1" t="s">
        <v>1</v>
      </c>
      <c r="B39" s="4" t="s">
        <v>48</v>
      </c>
      <c r="C39" s="16">
        <v>0</v>
      </c>
      <c r="D39" s="17">
        <v>0</v>
      </c>
      <c r="E39" s="17">
        <f t="shared" si="1"/>
        <v>0</v>
      </c>
      <c r="F39" s="15">
        <v>0</v>
      </c>
      <c r="G39" s="16">
        <v>0</v>
      </c>
      <c r="H39" s="55">
        <v>0</v>
      </c>
      <c r="I39" s="67">
        <f t="shared" si="2"/>
        <v>0</v>
      </c>
      <c r="J39" s="67">
        <f t="shared" si="0"/>
        <v>0</v>
      </c>
    </row>
    <row r="40" spans="1:10">
      <c r="A40" s="1" t="s">
        <v>1</v>
      </c>
      <c r="B40" s="4" t="s">
        <v>49</v>
      </c>
      <c r="C40" s="16">
        <v>0</v>
      </c>
      <c r="D40" s="17">
        <v>0</v>
      </c>
      <c r="E40" s="17">
        <f t="shared" si="1"/>
        <v>0</v>
      </c>
      <c r="F40" s="15">
        <v>0</v>
      </c>
      <c r="G40" s="16">
        <v>0</v>
      </c>
      <c r="H40" s="55">
        <v>0</v>
      </c>
      <c r="I40" s="67">
        <f t="shared" si="2"/>
        <v>0</v>
      </c>
      <c r="J40" s="67">
        <f t="shared" si="0"/>
        <v>0</v>
      </c>
    </row>
    <row r="41" spans="1:10">
      <c r="A41" s="1" t="s">
        <v>1</v>
      </c>
      <c r="B41" s="4" t="s">
        <v>23</v>
      </c>
      <c r="C41" s="16">
        <v>0</v>
      </c>
      <c r="D41" s="17">
        <v>0</v>
      </c>
      <c r="E41" s="17">
        <f t="shared" si="1"/>
        <v>0</v>
      </c>
      <c r="F41" s="15">
        <v>119526</v>
      </c>
      <c r="G41" s="16">
        <v>151788</v>
      </c>
      <c r="H41" s="55">
        <v>105393</v>
      </c>
      <c r="I41" s="67">
        <f t="shared" si="2"/>
        <v>376707</v>
      </c>
      <c r="J41" s="67">
        <f t="shared" si="0"/>
        <v>376707</v>
      </c>
    </row>
    <row r="42" spans="1:10">
      <c r="A42" s="1" t="s">
        <v>1</v>
      </c>
      <c r="B42" s="4" t="s">
        <v>50</v>
      </c>
      <c r="C42" s="16">
        <v>0</v>
      </c>
      <c r="D42" s="17">
        <v>0</v>
      </c>
      <c r="E42" s="17">
        <f t="shared" si="1"/>
        <v>0</v>
      </c>
      <c r="F42" s="15">
        <v>3912</v>
      </c>
      <c r="G42" s="16">
        <v>16816</v>
      </c>
      <c r="H42" s="55">
        <v>15976</v>
      </c>
      <c r="I42" s="67">
        <f t="shared" si="2"/>
        <v>36704</v>
      </c>
      <c r="J42" s="67">
        <f t="shared" si="0"/>
        <v>36704</v>
      </c>
    </row>
    <row r="43" spans="1:10">
      <c r="A43" s="1" t="s">
        <v>1</v>
      </c>
      <c r="B43" s="4" t="s">
        <v>51</v>
      </c>
      <c r="C43" s="16">
        <v>0</v>
      </c>
      <c r="D43" s="17">
        <v>0</v>
      </c>
      <c r="E43" s="17">
        <f t="shared" si="1"/>
        <v>0</v>
      </c>
      <c r="F43" s="15">
        <v>0</v>
      </c>
      <c r="G43" s="16">
        <v>0</v>
      </c>
      <c r="H43" s="55">
        <v>0</v>
      </c>
      <c r="I43" s="67">
        <f t="shared" si="2"/>
        <v>0</v>
      </c>
      <c r="J43" s="67">
        <f t="shared" si="0"/>
        <v>0</v>
      </c>
    </row>
    <row r="44" spans="1:10">
      <c r="A44" s="1" t="s">
        <v>1</v>
      </c>
      <c r="B44" s="4" t="s">
        <v>52</v>
      </c>
      <c r="C44" s="16">
        <v>0</v>
      </c>
      <c r="D44" s="17">
        <v>0</v>
      </c>
      <c r="E44" s="17">
        <f t="shared" si="1"/>
        <v>0</v>
      </c>
      <c r="F44" s="15">
        <v>0</v>
      </c>
      <c r="G44" s="16">
        <v>0</v>
      </c>
      <c r="H44" s="55">
        <v>0</v>
      </c>
      <c r="I44" s="67">
        <f t="shared" si="2"/>
        <v>0</v>
      </c>
      <c r="J44" s="67">
        <f t="shared" si="0"/>
        <v>0</v>
      </c>
    </row>
    <row r="45" spans="1:10">
      <c r="A45" s="1" t="s">
        <v>1</v>
      </c>
      <c r="B45" s="4" t="s">
        <v>53</v>
      </c>
      <c r="C45" s="16">
        <v>0</v>
      </c>
      <c r="D45" s="17">
        <v>0</v>
      </c>
      <c r="E45" s="17">
        <f t="shared" si="1"/>
        <v>0</v>
      </c>
      <c r="F45" s="15">
        <v>0</v>
      </c>
      <c r="G45" s="16">
        <v>0</v>
      </c>
      <c r="H45" s="55">
        <v>0</v>
      </c>
      <c r="I45" s="67">
        <f t="shared" si="2"/>
        <v>0</v>
      </c>
      <c r="J45" s="67">
        <f t="shared" si="0"/>
        <v>0</v>
      </c>
    </row>
    <row r="46" spans="1:10">
      <c r="A46" s="1" t="s">
        <v>1</v>
      </c>
      <c r="B46" s="4" t="s">
        <v>54</v>
      </c>
      <c r="C46" s="16">
        <v>0</v>
      </c>
      <c r="D46" s="17">
        <v>0</v>
      </c>
      <c r="E46" s="17">
        <f t="shared" si="1"/>
        <v>0</v>
      </c>
      <c r="F46" s="15">
        <v>0</v>
      </c>
      <c r="G46" s="16">
        <v>0</v>
      </c>
      <c r="H46" s="55">
        <v>0</v>
      </c>
      <c r="I46" s="67">
        <f t="shared" si="2"/>
        <v>0</v>
      </c>
      <c r="J46" s="67">
        <f t="shared" si="0"/>
        <v>0</v>
      </c>
    </row>
    <row r="47" spans="1:10">
      <c r="A47" s="1" t="s">
        <v>1</v>
      </c>
      <c r="B47" s="4" t="s">
        <v>28</v>
      </c>
      <c r="C47" s="16">
        <v>0</v>
      </c>
      <c r="D47" s="17">
        <v>0</v>
      </c>
      <c r="E47" s="17">
        <f t="shared" si="1"/>
        <v>0</v>
      </c>
      <c r="F47" s="15">
        <v>0</v>
      </c>
      <c r="G47" s="16">
        <v>0</v>
      </c>
      <c r="H47" s="55">
        <v>0</v>
      </c>
      <c r="I47" s="67">
        <f t="shared" si="2"/>
        <v>0</v>
      </c>
      <c r="J47" s="67">
        <f t="shared" si="0"/>
        <v>0</v>
      </c>
    </row>
    <row r="48" spans="1:10" ht="19.5" thickBot="1">
      <c r="A48" s="1" t="s">
        <v>1</v>
      </c>
      <c r="B48" s="70" t="s">
        <v>31</v>
      </c>
      <c r="C48" s="71">
        <v>606</v>
      </c>
      <c r="D48" s="72">
        <v>0</v>
      </c>
      <c r="E48" s="72">
        <f t="shared" si="1"/>
        <v>606</v>
      </c>
      <c r="F48" s="73">
        <v>2172</v>
      </c>
      <c r="G48" s="71">
        <v>3112</v>
      </c>
      <c r="H48" s="74">
        <v>1850</v>
      </c>
      <c r="I48" s="75">
        <f t="shared" si="2"/>
        <v>7134</v>
      </c>
      <c r="J48" s="75">
        <f t="shared" si="0"/>
        <v>7740</v>
      </c>
    </row>
    <row r="49" spans="1:10">
      <c r="A49" s="1" t="s">
        <v>1</v>
      </c>
      <c r="B49" s="21" t="s">
        <v>55</v>
      </c>
      <c r="C49" s="30">
        <v>405606</v>
      </c>
      <c r="D49" s="31">
        <v>81320</v>
      </c>
      <c r="E49" s="31">
        <f t="shared" si="1"/>
        <v>486926</v>
      </c>
      <c r="F49" s="29">
        <v>390410</v>
      </c>
      <c r="G49" s="30">
        <v>453316</v>
      </c>
      <c r="H49" s="54">
        <v>380619</v>
      </c>
      <c r="I49" s="66">
        <f t="shared" si="2"/>
        <v>1224345</v>
      </c>
      <c r="J49" s="66">
        <f t="shared" si="0"/>
        <v>1711271</v>
      </c>
    </row>
    <row r="50" spans="1:10" ht="19.5" thickBot="1">
      <c r="A50" s="1" t="s">
        <v>1</v>
      </c>
      <c r="B50" s="4" t="s">
        <v>56</v>
      </c>
      <c r="C50" s="16">
        <v>10489</v>
      </c>
      <c r="D50" s="17">
        <v>0</v>
      </c>
      <c r="E50" s="17">
        <f t="shared" si="1"/>
        <v>10489</v>
      </c>
      <c r="F50" s="15">
        <v>6262</v>
      </c>
      <c r="G50" s="16">
        <v>1657</v>
      </c>
      <c r="H50" s="55">
        <v>0</v>
      </c>
      <c r="I50" s="67">
        <f t="shared" si="2"/>
        <v>7919</v>
      </c>
      <c r="J50" s="67">
        <f t="shared" si="0"/>
        <v>18408</v>
      </c>
    </row>
    <row r="51" spans="1:10" ht="19.5" thickBot="1">
      <c r="A51" s="1" t="s">
        <v>1</v>
      </c>
      <c r="B51" s="35" t="s">
        <v>57</v>
      </c>
      <c r="C51" s="37">
        <v>10489</v>
      </c>
      <c r="D51" s="38">
        <v>0</v>
      </c>
      <c r="E51" s="38">
        <f t="shared" si="1"/>
        <v>10489</v>
      </c>
      <c r="F51" s="36">
        <v>6262</v>
      </c>
      <c r="G51" s="37">
        <v>1657</v>
      </c>
      <c r="H51" s="56">
        <v>0</v>
      </c>
      <c r="I51" s="68">
        <f t="shared" si="2"/>
        <v>7919</v>
      </c>
      <c r="J51" s="68">
        <f t="shared" si="0"/>
        <v>18408</v>
      </c>
    </row>
    <row r="52" spans="1:10" ht="19.5" thickBot="1">
      <c r="A52" s="1" t="s">
        <v>1</v>
      </c>
      <c r="B52" s="35" t="s">
        <v>58</v>
      </c>
      <c r="C52" s="37">
        <v>416095</v>
      </c>
      <c r="D52" s="38">
        <v>81320</v>
      </c>
      <c r="E52" s="38">
        <f t="shared" si="1"/>
        <v>497415</v>
      </c>
      <c r="F52" s="36">
        <v>396672</v>
      </c>
      <c r="G52" s="37">
        <v>454973</v>
      </c>
      <c r="H52" s="56">
        <v>380619</v>
      </c>
      <c r="I52" s="68">
        <f t="shared" si="2"/>
        <v>1232264</v>
      </c>
      <c r="J52" s="68">
        <f t="shared" si="0"/>
        <v>1729679</v>
      </c>
    </row>
    <row r="53" spans="1:10">
      <c r="A53" s="1" t="s">
        <v>1</v>
      </c>
      <c r="B53" s="21" t="s">
        <v>59</v>
      </c>
      <c r="C53" s="30">
        <v>20910</v>
      </c>
      <c r="D53" s="31">
        <v>0</v>
      </c>
      <c r="E53" s="31">
        <f t="shared" si="1"/>
        <v>20910</v>
      </c>
      <c r="F53" s="29">
        <v>17340</v>
      </c>
      <c r="G53" s="30">
        <v>19380</v>
      </c>
      <c r="H53" s="54">
        <v>16320</v>
      </c>
      <c r="I53" s="66">
        <f t="shared" si="2"/>
        <v>53040</v>
      </c>
      <c r="J53" s="66">
        <f t="shared" si="0"/>
        <v>73950</v>
      </c>
    </row>
    <row r="54" spans="1:10">
      <c r="A54" s="1" t="s">
        <v>1</v>
      </c>
      <c r="B54" s="4" t="s">
        <v>60</v>
      </c>
      <c r="C54" s="16">
        <v>3690</v>
      </c>
      <c r="D54" s="17">
        <v>0</v>
      </c>
      <c r="E54" s="17">
        <f t="shared" si="1"/>
        <v>3690</v>
      </c>
      <c r="F54" s="15">
        <v>3060</v>
      </c>
      <c r="G54" s="16">
        <v>3420</v>
      </c>
      <c r="H54" s="55">
        <v>2880</v>
      </c>
      <c r="I54" s="67">
        <f t="shared" si="2"/>
        <v>9360</v>
      </c>
      <c r="J54" s="67">
        <f t="shared" si="0"/>
        <v>13050</v>
      </c>
    </row>
    <row r="55" spans="1:10">
      <c r="A55" s="1" t="s">
        <v>1</v>
      </c>
      <c r="B55" s="4" t="s">
        <v>61</v>
      </c>
      <c r="C55" s="16">
        <v>37515</v>
      </c>
      <c r="D55" s="17">
        <v>0</v>
      </c>
      <c r="E55" s="17">
        <f t="shared" si="1"/>
        <v>37515</v>
      </c>
      <c r="F55" s="15">
        <v>31110</v>
      </c>
      <c r="G55" s="16">
        <v>34770</v>
      </c>
      <c r="H55" s="55">
        <v>29280</v>
      </c>
      <c r="I55" s="67">
        <f t="shared" si="2"/>
        <v>95160</v>
      </c>
      <c r="J55" s="67">
        <f t="shared" si="0"/>
        <v>132675</v>
      </c>
    </row>
    <row r="56" spans="1:10" ht="19.5" thickBot="1">
      <c r="A56" s="1" t="s">
        <v>1</v>
      </c>
      <c r="B56" s="4" t="s">
        <v>62</v>
      </c>
      <c r="C56" s="16">
        <v>2080</v>
      </c>
      <c r="D56" s="17">
        <v>407</v>
      </c>
      <c r="E56" s="17">
        <f t="shared" si="1"/>
        <v>2487</v>
      </c>
      <c r="F56" s="15">
        <v>1983</v>
      </c>
      <c r="G56" s="16">
        <v>2275</v>
      </c>
      <c r="H56" s="55">
        <v>1903</v>
      </c>
      <c r="I56" s="67">
        <f t="shared" si="2"/>
        <v>6161</v>
      </c>
      <c r="J56" s="67">
        <f t="shared" si="0"/>
        <v>8648</v>
      </c>
    </row>
    <row r="57" spans="1:10" ht="19.5" thickBot="1">
      <c r="A57" s="1" t="s">
        <v>1</v>
      </c>
      <c r="B57" s="35" t="s">
        <v>63</v>
      </c>
      <c r="C57" s="37">
        <v>64195</v>
      </c>
      <c r="D57" s="38">
        <v>407</v>
      </c>
      <c r="E57" s="38">
        <f t="shared" si="1"/>
        <v>64602</v>
      </c>
      <c r="F57" s="36">
        <v>53493</v>
      </c>
      <c r="G57" s="37">
        <v>59845</v>
      </c>
      <c r="H57" s="56">
        <v>50383</v>
      </c>
      <c r="I57" s="68">
        <f t="shared" si="2"/>
        <v>163721</v>
      </c>
      <c r="J57" s="68">
        <f t="shared" si="0"/>
        <v>228323</v>
      </c>
    </row>
    <row r="58" spans="1:10">
      <c r="A58" s="1" t="s">
        <v>1</v>
      </c>
      <c r="B58" s="21" t="s">
        <v>64</v>
      </c>
      <c r="C58" s="30">
        <v>8530</v>
      </c>
      <c r="D58" s="31">
        <v>0</v>
      </c>
      <c r="E58" s="31">
        <f t="shared" si="1"/>
        <v>8530</v>
      </c>
      <c r="F58" s="29">
        <v>11400</v>
      </c>
      <c r="G58" s="30">
        <v>16010</v>
      </c>
      <c r="H58" s="54">
        <v>6340</v>
      </c>
      <c r="I58" s="66">
        <f t="shared" si="2"/>
        <v>33750</v>
      </c>
      <c r="J58" s="66">
        <f t="shared" si="0"/>
        <v>42280</v>
      </c>
    </row>
    <row r="59" spans="1:10">
      <c r="A59" s="1" t="s">
        <v>1</v>
      </c>
      <c r="B59" s="4" t="s">
        <v>65</v>
      </c>
      <c r="C59" s="16">
        <v>0</v>
      </c>
      <c r="D59" s="17">
        <v>0</v>
      </c>
      <c r="E59" s="17">
        <f t="shared" si="1"/>
        <v>0</v>
      </c>
      <c r="F59" s="15">
        <v>0</v>
      </c>
      <c r="G59" s="16">
        <v>0</v>
      </c>
      <c r="H59" s="55">
        <v>0</v>
      </c>
      <c r="I59" s="67">
        <f t="shared" si="2"/>
        <v>0</v>
      </c>
      <c r="J59" s="67">
        <f t="shared" ref="J59:J66" si="3">E59+I59</f>
        <v>0</v>
      </c>
    </row>
    <row r="60" spans="1:10">
      <c r="A60" s="1" t="s">
        <v>1</v>
      </c>
      <c r="B60" s="4" t="s">
        <v>66</v>
      </c>
      <c r="C60" s="16">
        <v>19900</v>
      </c>
      <c r="D60" s="17">
        <v>0</v>
      </c>
      <c r="E60" s="17">
        <f t="shared" si="1"/>
        <v>19900</v>
      </c>
      <c r="F60" s="15">
        <v>12100</v>
      </c>
      <c r="G60" s="16">
        <v>17900</v>
      </c>
      <c r="H60" s="55">
        <v>6000</v>
      </c>
      <c r="I60" s="67">
        <f t="shared" si="2"/>
        <v>36000</v>
      </c>
      <c r="J60" s="67">
        <f t="shared" si="3"/>
        <v>55900</v>
      </c>
    </row>
    <row r="61" spans="1:10" ht="19.5" thickBot="1">
      <c r="A61" s="1" t="s">
        <v>1</v>
      </c>
      <c r="B61" s="4" t="s">
        <v>67</v>
      </c>
      <c r="C61" s="16">
        <v>0</v>
      </c>
      <c r="D61" s="17">
        <v>0</v>
      </c>
      <c r="E61" s="17">
        <f t="shared" si="1"/>
        <v>0</v>
      </c>
      <c r="F61" s="15">
        <v>22800</v>
      </c>
      <c r="G61" s="16">
        <v>21600</v>
      </c>
      <c r="H61" s="55">
        <v>10400</v>
      </c>
      <c r="I61" s="67">
        <f t="shared" si="2"/>
        <v>54800</v>
      </c>
      <c r="J61" s="67">
        <f t="shared" si="3"/>
        <v>54800</v>
      </c>
    </row>
    <row r="62" spans="1:10" ht="19.5" thickBot="1">
      <c r="A62" s="1" t="s">
        <v>1</v>
      </c>
      <c r="B62" s="35" t="s">
        <v>68</v>
      </c>
      <c r="C62" s="37">
        <v>92625</v>
      </c>
      <c r="D62" s="38">
        <v>407</v>
      </c>
      <c r="E62" s="38">
        <f t="shared" si="1"/>
        <v>93032</v>
      </c>
      <c r="F62" s="36">
        <v>99793</v>
      </c>
      <c r="G62" s="37">
        <v>115355</v>
      </c>
      <c r="H62" s="56">
        <v>73123</v>
      </c>
      <c r="I62" s="68">
        <f t="shared" si="2"/>
        <v>288271</v>
      </c>
      <c r="J62" s="68">
        <f t="shared" si="3"/>
        <v>381303</v>
      </c>
    </row>
    <row r="63" spans="1:10" ht="19.5" thickBot="1">
      <c r="A63" s="1" t="s">
        <v>1</v>
      </c>
      <c r="B63" s="35" t="s">
        <v>69</v>
      </c>
      <c r="C63" s="37">
        <v>341411</v>
      </c>
      <c r="D63" s="38">
        <v>80913</v>
      </c>
      <c r="E63" s="38">
        <f t="shared" si="1"/>
        <v>422324</v>
      </c>
      <c r="F63" s="36">
        <v>336917</v>
      </c>
      <c r="G63" s="37">
        <v>393471</v>
      </c>
      <c r="H63" s="56">
        <v>330236</v>
      </c>
      <c r="I63" s="68">
        <f t="shared" si="2"/>
        <v>1060624</v>
      </c>
      <c r="J63" s="68">
        <f t="shared" si="3"/>
        <v>1482948</v>
      </c>
    </row>
    <row r="64" spans="1:10" ht="19.5" thickBot="1">
      <c r="A64" s="1" t="s">
        <v>1</v>
      </c>
      <c r="B64" s="35" t="s">
        <v>70</v>
      </c>
      <c r="C64" s="37">
        <v>323470</v>
      </c>
      <c r="D64" s="38">
        <v>80913</v>
      </c>
      <c r="E64" s="38">
        <f t="shared" si="1"/>
        <v>404383</v>
      </c>
      <c r="F64" s="36">
        <v>296879</v>
      </c>
      <c r="G64" s="37">
        <v>339618</v>
      </c>
      <c r="H64" s="56">
        <v>307496</v>
      </c>
      <c r="I64" s="68">
        <f t="shared" si="2"/>
        <v>943993</v>
      </c>
      <c r="J64" s="68">
        <f t="shared" si="3"/>
        <v>1348376</v>
      </c>
    </row>
    <row r="65" spans="1:10">
      <c r="A65" s="1" t="s">
        <v>1</v>
      </c>
      <c r="B65" s="21" t="s">
        <v>71</v>
      </c>
      <c r="C65" s="30">
        <v>0</v>
      </c>
      <c r="D65" s="31">
        <v>0</v>
      </c>
      <c r="E65" s="31">
        <f t="shared" si="1"/>
        <v>0</v>
      </c>
      <c r="F65" s="29">
        <v>0</v>
      </c>
      <c r="G65" s="30">
        <v>0</v>
      </c>
      <c r="H65" s="54">
        <v>0</v>
      </c>
      <c r="I65" s="66">
        <f t="shared" si="2"/>
        <v>0</v>
      </c>
      <c r="J65" s="66">
        <f t="shared" si="3"/>
        <v>0</v>
      </c>
    </row>
    <row r="66" spans="1:10">
      <c r="A66" s="1" t="s">
        <v>1</v>
      </c>
      <c r="B66" s="4" t="s">
        <v>72</v>
      </c>
      <c r="C66" s="16">
        <v>323470</v>
      </c>
      <c r="D66" s="17">
        <v>80913</v>
      </c>
      <c r="E66" s="17">
        <f t="shared" si="1"/>
        <v>404383</v>
      </c>
      <c r="F66" s="15">
        <v>296879</v>
      </c>
      <c r="G66" s="16">
        <v>339618</v>
      </c>
      <c r="H66" s="55">
        <v>307496</v>
      </c>
      <c r="I66" s="67">
        <f t="shared" si="2"/>
        <v>943993</v>
      </c>
      <c r="J66" s="67">
        <f t="shared" si="3"/>
        <v>1348376</v>
      </c>
    </row>
    <row r="67" spans="1:10">
      <c r="A67" s="1" t="s">
        <v>1</v>
      </c>
      <c r="B67" s="4" t="s">
        <v>73</v>
      </c>
      <c r="C67" s="16">
        <v>1</v>
      </c>
      <c r="D67" s="17">
        <v>0</v>
      </c>
      <c r="E67" s="44"/>
      <c r="F67" s="15">
        <v>0</v>
      </c>
      <c r="G67" s="16">
        <v>0</v>
      </c>
      <c r="H67" s="55">
        <v>2</v>
      </c>
      <c r="I67" s="67"/>
      <c r="J67" s="67"/>
    </row>
    <row r="68" spans="1:10" ht="19.5" thickBot="1">
      <c r="A68" s="1" t="s">
        <v>1</v>
      </c>
      <c r="B68" s="5" t="s">
        <v>74</v>
      </c>
      <c r="C68" s="19" t="s">
        <v>75</v>
      </c>
      <c r="D68" s="20" t="s">
        <v>75</v>
      </c>
      <c r="E68" s="45"/>
      <c r="F68" s="18" t="s">
        <v>75</v>
      </c>
      <c r="G68" s="19" t="s">
        <v>75</v>
      </c>
      <c r="H68" s="57" t="s">
        <v>75</v>
      </c>
      <c r="I68" s="69"/>
      <c r="J68" s="69"/>
    </row>
  </sheetData>
  <phoneticPr fontId="4"/>
  <pageMargins left="0.31496062992125984" right="0.31496062992125984" top="0.35433070866141736" bottom="0.35433070866141736" header="0.11811023622047245" footer="0.11811023622047245"/>
  <pageSetup paperSize="12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2022年10月度給与 (2)</vt:lpstr>
      <vt:lpstr>'2022年10月度給与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2022-11-11T00:53:55Z</cp:lastPrinted>
  <dcterms:created xsi:type="dcterms:W3CDTF">2022-11-08T01:59:59Z</dcterms:created>
  <dcterms:modified xsi:type="dcterms:W3CDTF">2022-12-10T02:35:34Z</dcterms:modified>
</cp:coreProperties>
</file>