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6957C4B7-070D-455D-AA92-FF1539AC48A8}" xr6:coauthVersionLast="47" xr6:coauthVersionMax="47" xr10:uidLastSave="{00000000-0000-0000-0000-000000000000}"/>
  <bookViews>
    <workbookView xWindow="-120" yWindow="-120" windowWidth="20730" windowHeight="11160" xr2:uid="{A342C381-4BA6-4ABE-914E-2B6DFC7932C3}"/>
  </bookViews>
  <sheets>
    <sheet name="2022年10月度給与 (2)" sheetId="3" r:id="rId1"/>
  </sheets>
  <definedNames>
    <definedName name="_xlnm.Print_Area" localSheetId="0">'2022年10月度給与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2" i="3" l="1"/>
  <c r="M17" i="3"/>
  <c r="M18" i="3"/>
  <c r="M19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3" i="3"/>
  <c r="L22" i="3"/>
  <c r="L21" i="3"/>
  <c r="L15" i="3"/>
  <c r="M15" i="3" s="1"/>
  <c r="L16" i="3"/>
  <c r="M16" i="3" s="1"/>
  <c r="L14" i="3"/>
  <c r="M14" i="3" s="1"/>
  <c r="L8" i="3"/>
  <c r="M8" i="3" s="1"/>
  <c r="L9" i="3"/>
  <c r="M9" i="3" s="1"/>
  <c r="L10" i="3"/>
  <c r="L11" i="3"/>
  <c r="M11" i="3" s="1"/>
  <c r="L7" i="3"/>
  <c r="M7" i="3" s="1"/>
  <c r="L6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M59" i="3" s="1"/>
  <c r="E60" i="3"/>
  <c r="E61" i="3"/>
  <c r="E23" i="3"/>
  <c r="E22" i="3"/>
  <c r="M22" i="3" s="1"/>
  <c r="E21" i="3"/>
  <c r="E20" i="3"/>
  <c r="M20" i="3" s="1"/>
  <c r="E13" i="3"/>
  <c r="M13" i="3" s="1"/>
  <c r="E10" i="3"/>
  <c r="M10" i="3" s="1"/>
  <c r="E6" i="3"/>
  <c r="M6" i="3" l="1"/>
  <c r="M52" i="3"/>
  <c r="M48" i="3"/>
  <c r="M45" i="3"/>
  <c r="M42" i="3"/>
  <c r="M38" i="3"/>
  <c r="M35" i="3"/>
  <c r="M33" i="3"/>
  <c r="M29" i="3"/>
  <c r="M26" i="3"/>
  <c r="M61" i="3"/>
  <c r="M57" i="3"/>
  <c r="M56" i="3"/>
  <c r="M53" i="3"/>
  <c r="M50" i="3"/>
  <c r="M40" i="3"/>
  <c r="M37" i="3"/>
  <c r="M31" i="3"/>
  <c r="M24" i="3"/>
  <c r="M23" i="3"/>
  <c r="M58" i="3"/>
  <c r="M54" i="3"/>
  <c r="M51" i="3"/>
  <c r="M47" i="3"/>
  <c r="M44" i="3"/>
  <c r="M41" i="3"/>
  <c r="M34" i="3"/>
  <c r="M32" i="3"/>
  <c r="M28" i="3"/>
  <c r="M25" i="3"/>
  <c r="M21" i="3"/>
  <c r="M60" i="3"/>
  <c r="M55" i="3"/>
  <c r="M49" i="3"/>
  <c r="M46" i="3"/>
  <c r="M43" i="3"/>
  <c r="M39" i="3"/>
  <c r="M36" i="3"/>
  <c r="M30" i="3"/>
  <c r="M27" i="3"/>
</calcChain>
</file>

<file path=xl/sharedStrings.xml><?xml version="1.0" encoding="utf-8"?>
<sst xmlns="http://schemas.openxmlformats.org/spreadsheetml/2006/main" count="149" uniqueCount="82">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</sst>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37" xfId="1" applyFont="1" applyBorder="1" applyAlignment="1">
      <alignment horizontal="right"/>
    </xf>
    <xf numFmtId="0" fontId="2" fillId="0" borderId="41" xfId="1" applyFont="1" applyBorder="1"/>
    <xf numFmtId="177" fontId="2" fillId="0" borderId="8" xfId="1" applyNumberFormat="1" applyFont="1" applyBorder="1"/>
    <xf numFmtId="177" fontId="2" fillId="0" borderId="33" xfId="1" applyNumberFormat="1" applyFont="1" applyBorder="1"/>
    <xf numFmtId="177" fontId="2" fillId="0" borderId="39" xfId="1" applyNumberFormat="1" applyFont="1" applyBorder="1"/>
  </cellXfs>
  <cellStyles count="2">
    <cellStyle name="標準" xfId="0" builtinId="0"/>
    <cellStyle name="標準 2" xfId="1" xr:uid="{FCBD5A41-658A-466D-9C42-0D382EBC6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BAD-A3CD-4369-8562-140084AC0C22}">
  <sheetPr>
    <pageSetUpPr fitToPage="1"/>
  </sheetPr>
  <dimension ref="A2:M63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2" spans="1:13">
      <c r="A2" s="1" t="s">
        <v>0</v>
      </c>
    </row>
    <row r="3" spans="1:13" ht="19.5" thickBot="1">
      <c r="A3" s="1" t="s">
        <v>77</v>
      </c>
    </row>
    <row r="4" spans="1:13">
      <c r="B4" s="3"/>
      <c r="C4" s="7" t="s">
        <v>4</v>
      </c>
      <c r="D4" s="8" t="s">
        <v>9</v>
      </c>
      <c r="E4" s="49" t="s">
        <v>78</v>
      </c>
      <c r="F4" s="6" t="s">
        <v>2</v>
      </c>
      <c r="G4" s="7" t="s">
        <v>3</v>
      </c>
      <c r="H4" s="7" t="s">
        <v>5</v>
      </c>
      <c r="I4" s="7" t="s">
        <v>6</v>
      </c>
      <c r="J4" s="7" t="s">
        <v>7</v>
      </c>
      <c r="K4" s="51" t="s">
        <v>8</v>
      </c>
      <c r="L4" s="62" t="s">
        <v>78</v>
      </c>
      <c r="M4" s="63" t="s">
        <v>19</v>
      </c>
    </row>
    <row r="5" spans="1:13" ht="19.5" thickBot="1">
      <c r="A5" s="75"/>
      <c r="B5" s="25" t="s">
        <v>10</v>
      </c>
      <c r="C5" s="27" t="s">
        <v>13</v>
      </c>
      <c r="D5" s="28" t="s">
        <v>18</v>
      </c>
      <c r="E5" s="50" t="s">
        <v>79</v>
      </c>
      <c r="F5" s="26" t="s">
        <v>11</v>
      </c>
      <c r="G5" s="27" t="s">
        <v>12</v>
      </c>
      <c r="H5" s="27" t="s">
        <v>14</v>
      </c>
      <c r="I5" s="27" t="s">
        <v>15</v>
      </c>
      <c r="J5" s="27" t="s">
        <v>16</v>
      </c>
      <c r="K5" s="52" t="s">
        <v>17</v>
      </c>
      <c r="L5" s="64" t="s">
        <v>80</v>
      </c>
      <c r="M5" s="74" t="s">
        <v>81</v>
      </c>
    </row>
    <row r="6" spans="1:13">
      <c r="A6" s="1" t="s">
        <v>1</v>
      </c>
      <c r="B6" s="21" t="s">
        <v>20</v>
      </c>
      <c r="C6" s="23">
        <v>20</v>
      </c>
      <c r="D6" s="24">
        <v>11</v>
      </c>
      <c r="E6" s="43">
        <f>SUM(C6:D6)</f>
        <v>31</v>
      </c>
      <c r="F6" s="22">
        <v>20</v>
      </c>
      <c r="G6" s="23">
        <v>19</v>
      </c>
      <c r="H6" s="23">
        <v>19</v>
      </c>
      <c r="I6" s="23">
        <v>17</v>
      </c>
      <c r="J6" s="23">
        <v>18</v>
      </c>
      <c r="K6" s="53">
        <v>20</v>
      </c>
      <c r="L6" s="65">
        <f>SUM(F6:K6)</f>
        <v>113</v>
      </c>
      <c r="M6" s="65">
        <f>E6+L6</f>
        <v>144</v>
      </c>
    </row>
    <row r="7" spans="1:13">
      <c r="A7" s="1" t="s">
        <v>1</v>
      </c>
      <c r="B7" s="4" t="s">
        <v>21</v>
      </c>
      <c r="C7" s="10">
        <v>0</v>
      </c>
      <c r="D7" s="11">
        <v>0</v>
      </c>
      <c r="E7" s="44"/>
      <c r="F7" s="9">
        <v>2</v>
      </c>
      <c r="G7" s="10">
        <v>3</v>
      </c>
      <c r="H7" s="10">
        <v>4</v>
      </c>
      <c r="I7" s="10">
        <v>1</v>
      </c>
      <c r="J7" s="10">
        <v>4</v>
      </c>
      <c r="K7" s="54">
        <v>4</v>
      </c>
      <c r="L7" s="66">
        <f>SUM(F7:K7)</f>
        <v>18</v>
      </c>
      <c r="M7" s="66">
        <f t="shared" ref="M7:M54" si="0">E7+L7</f>
        <v>18</v>
      </c>
    </row>
    <row r="8" spans="1:13">
      <c r="A8" s="1" t="s">
        <v>1</v>
      </c>
      <c r="B8" s="4" t="s">
        <v>22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1</v>
      </c>
      <c r="I8" s="10">
        <v>0</v>
      </c>
      <c r="J8" s="10">
        <v>2</v>
      </c>
      <c r="K8" s="54">
        <v>2</v>
      </c>
      <c r="L8" s="66">
        <f t="shared" ref="L8:L11" si="1">SUM(F8:K8)</f>
        <v>5</v>
      </c>
      <c r="M8" s="66">
        <f t="shared" si="0"/>
        <v>5</v>
      </c>
    </row>
    <row r="9" spans="1:13">
      <c r="A9" s="1" t="s">
        <v>1</v>
      </c>
      <c r="B9" s="4" t="s">
        <v>23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4">
        <v>0</v>
      </c>
      <c r="L9" s="66">
        <f t="shared" si="1"/>
        <v>0</v>
      </c>
      <c r="M9" s="66">
        <f t="shared" si="0"/>
        <v>0</v>
      </c>
    </row>
    <row r="10" spans="1:13">
      <c r="A10" s="1" t="s">
        <v>1</v>
      </c>
      <c r="B10" s="4" t="s">
        <v>24</v>
      </c>
      <c r="C10" s="10">
        <v>0</v>
      </c>
      <c r="D10" s="11">
        <v>1</v>
      </c>
      <c r="E10" s="44">
        <f>SUM(C10:D10)</f>
        <v>1</v>
      </c>
      <c r="F10" s="9">
        <v>0</v>
      </c>
      <c r="G10" s="10">
        <v>1</v>
      </c>
      <c r="H10" s="10">
        <v>1</v>
      </c>
      <c r="I10" s="10">
        <v>0</v>
      </c>
      <c r="J10" s="10">
        <v>2</v>
      </c>
      <c r="K10" s="54">
        <v>0</v>
      </c>
      <c r="L10" s="66">
        <f t="shared" si="1"/>
        <v>4</v>
      </c>
      <c r="M10" s="66">
        <f t="shared" si="0"/>
        <v>5</v>
      </c>
    </row>
    <row r="11" spans="1:13">
      <c r="A11" s="1" t="s">
        <v>1</v>
      </c>
      <c r="B11" s="4" t="s">
        <v>25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3</v>
      </c>
      <c r="J11" s="10">
        <v>0</v>
      </c>
      <c r="K11" s="54">
        <v>0</v>
      </c>
      <c r="L11" s="66">
        <f t="shared" si="1"/>
        <v>3</v>
      </c>
      <c r="M11" s="66">
        <f t="shared" si="0"/>
        <v>3</v>
      </c>
    </row>
    <row r="12" spans="1:13">
      <c r="A12" s="1" t="s">
        <v>1</v>
      </c>
      <c r="B12" s="4" t="s">
        <v>26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6"/>
      <c r="M12" s="66">
        <f t="shared" si="0"/>
        <v>0</v>
      </c>
    </row>
    <row r="13" spans="1:13">
      <c r="A13" s="1" t="s">
        <v>1</v>
      </c>
      <c r="B13" s="4" t="s">
        <v>27</v>
      </c>
      <c r="C13" s="13">
        <v>0</v>
      </c>
      <c r="D13" s="14">
        <v>3.0416666666666665</v>
      </c>
      <c r="E13" s="45">
        <f>SUM(C13:D13)</f>
        <v>3.0416666666666665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5">
        <v>0</v>
      </c>
      <c r="L13" s="67"/>
      <c r="M13" s="67">
        <f t="shared" si="0"/>
        <v>3.0416666666666665</v>
      </c>
    </row>
    <row r="14" spans="1:13">
      <c r="A14" s="1" t="s">
        <v>1</v>
      </c>
      <c r="B14" s="4" t="s">
        <v>28</v>
      </c>
      <c r="C14" s="13">
        <v>0</v>
      </c>
      <c r="D14" s="14">
        <v>0</v>
      </c>
      <c r="E14" s="45"/>
      <c r="F14" s="12">
        <v>2.75</v>
      </c>
      <c r="G14" s="13">
        <v>1.8333333333333335</v>
      </c>
      <c r="H14" s="13">
        <v>1.3333333333333333</v>
      </c>
      <c r="I14" s="13">
        <v>2.3333333333333335</v>
      </c>
      <c r="J14" s="13">
        <v>1.8333333333333335</v>
      </c>
      <c r="K14" s="55">
        <v>1.75</v>
      </c>
      <c r="L14" s="67">
        <f>SUM(F14:K14)</f>
        <v>11.833333333333334</v>
      </c>
      <c r="M14" s="67">
        <f t="shared" si="0"/>
        <v>11.833333333333334</v>
      </c>
    </row>
    <row r="15" spans="1:13">
      <c r="A15" s="1" t="s">
        <v>1</v>
      </c>
      <c r="B15" s="4" t="s">
        <v>29</v>
      </c>
      <c r="C15" s="13">
        <v>0</v>
      </c>
      <c r="D15" s="14">
        <v>0</v>
      </c>
      <c r="E15" s="45"/>
      <c r="F15" s="12">
        <v>0.41666666666666669</v>
      </c>
      <c r="G15" s="13">
        <v>0.79166666666666663</v>
      </c>
      <c r="H15" s="13">
        <v>1.5</v>
      </c>
      <c r="I15" s="13">
        <v>0.25</v>
      </c>
      <c r="J15" s="13">
        <v>1.125</v>
      </c>
      <c r="K15" s="55">
        <v>0.875</v>
      </c>
      <c r="L15" s="67">
        <f t="shared" ref="L15:L16" si="2">SUM(F15:K15)</f>
        <v>4.958333333333333</v>
      </c>
      <c r="M15" s="67">
        <f t="shared" si="0"/>
        <v>4.958333333333333</v>
      </c>
    </row>
    <row r="16" spans="1:13">
      <c r="A16" s="1" t="s">
        <v>1</v>
      </c>
      <c r="B16" s="4" t="s">
        <v>30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0.33333333333333331</v>
      </c>
      <c r="I16" s="13">
        <v>0</v>
      </c>
      <c r="J16" s="13">
        <v>0.66666666666666663</v>
      </c>
      <c r="K16" s="55">
        <v>0.75</v>
      </c>
      <c r="L16" s="67">
        <f t="shared" si="2"/>
        <v>1.75</v>
      </c>
      <c r="M16" s="67">
        <f t="shared" si="0"/>
        <v>1.75</v>
      </c>
    </row>
    <row r="17" spans="1:13">
      <c r="A17" s="1" t="s">
        <v>1</v>
      </c>
      <c r="B17" s="4" t="s">
        <v>31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5">
        <v>0</v>
      </c>
      <c r="L17" s="67"/>
      <c r="M17" s="67">
        <f t="shared" si="0"/>
        <v>0</v>
      </c>
    </row>
    <row r="18" spans="1:13">
      <c r="A18" s="1" t="s">
        <v>1</v>
      </c>
      <c r="B18" s="4" t="s">
        <v>32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5">
        <v>0</v>
      </c>
      <c r="L18" s="67"/>
      <c r="M18" s="67">
        <f t="shared" si="0"/>
        <v>0</v>
      </c>
    </row>
    <row r="19" spans="1:13">
      <c r="A19" s="1" t="s">
        <v>1</v>
      </c>
      <c r="B19" s="4" t="s">
        <v>33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5">
        <v>0</v>
      </c>
      <c r="L19" s="67"/>
      <c r="M19" s="67">
        <f t="shared" si="0"/>
        <v>0</v>
      </c>
    </row>
    <row r="20" spans="1:13">
      <c r="A20" s="1" t="s">
        <v>1</v>
      </c>
      <c r="B20" s="4" t="s">
        <v>34</v>
      </c>
      <c r="C20" s="13">
        <v>0</v>
      </c>
      <c r="D20" s="14">
        <v>0.29166666666666669</v>
      </c>
      <c r="E20" s="45">
        <f>SUM(C20:D20)</f>
        <v>0.29166666666666669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5">
        <v>0</v>
      </c>
      <c r="L20" s="67"/>
      <c r="M20" s="67">
        <f t="shared" si="0"/>
        <v>0.29166666666666669</v>
      </c>
    </row>
    <row r="21" spans="1:13">
      <c r="A21" s="1" t="s">
        <v>1</v>
      </c>
      <c r="B21" s="4" t="s">
        <v>35</v>
      </c>
      <c r="C21" s="13">
        <v>0.125</v>
      </c>
      <c r="D21" s="14">
        <v>0</v>
      </c>
      <c r="E21" s="45">
        <f>SUM(C21:D21)</f>
        <v>0.125</v>
      </c>
      <c r="F21" s="12">
        <v>0.66666666666666663</v>
      </c>
      <c r="G21" s="13">
        <v>0.66666666666666663</v>
      </c>
      <c r="H21" s="13">
        <v>0.375</v>
      </c>
      <c r="I21" s="13">
        <v>0.66666666666666663</v>
      </c>
      <c r="J21" s="13">
        <v>0.25</v>
      </c>
      <c r="K21" s="55">
        <v>0.29166666666666669</v>
      </c>
      <c r="L21" s="67">
        <f>SUM(F21:K21)</f>
        <v>2.9166666666666665</v>
      </c>
      <c r="M21" s="67">
        <f t="shared" si="0"/>
        <v>3.0416666666666665</v>
      </c>
    </row>
    <row r="22" spans="1:13" ht="19.5" thickBot="1">
      <c r="A22" s="1" t="s">
        <v>1</v>
      </c>
      <c r="B22" s="5" t="s">
        <v>36</v>
      </c>
      <c r="C22" s="33">
        <v>37</v>
      </c>
      <c r="D22" s="34">
        <v>10</v>
      </c>
      <c r="E22" s="46">
        <f>SUM(C22:D22)</f>
        <v>47</v>
      </c>
      <c r="F22" s="32">
        <v>27</v>
      </c>
      <c r="G22" s="33">
        <v>29</v>
      </c>
      <c r="H22" s="33">
        <v>33</v>
      </c>
      <c r="I22" s="33">
        <v>23</v>
      </c>
      <c r="J22" s="33">
        <v>25</v>
      </c>
      <c r="K22" s="56">
        <v>24</v>
      </c>
      <c r="L22" s="68">
        <f>SUM(F22:K22)</f>
        <v>161</v>
      </c>
      <c r="M22" s="68">
        <f t="shared" si="0"/>
        <v>208</v>
      </c>
    </row>
    <row r="23" spans="1:13">
      <c r="A23" s="1" t="s">
        <v>1</v>
      </c>
      <c r="B23" s="21" t="s">
        <v>37</v>
      </c>
      <c r="C23" s="30">
        <v>345000</v>
      </c>
      <c r="D23" s="31">
        <v>0</v>
      </c>
      <c r="E23" s="31">
        <f>SUM(C23:D23)</f>
        <v>345000</v>
      </c>
      <c r="F23" s="29">
        <v>177000</v>
      </c>
      <c r="G23" s="30">
        <v>192000</v>
      </c>
      <c r="H23" s="30">
        <v>177000</v>
      </c>
      <c r="I23" s="30">
        <v>177000</v>
      </c>
      <c r="J23" s="30">
        <v>177000</v>
      </c>
      <c r="K23" s="57">
        <v>170000</v>
      </c>
      <c r="L23" s="69">
        <f>SUM(F23:K23)</f>
        <v>1070000</v>
      </c>
      <c r="M23" s="69">
        <f t="shared" si="0"/>
        <v>1415000</v>
      </c>
    </row>
    <row r="24" spans="1:13">
      <c r="A24" s="1" t="s">
        <v>1</v>
      </c>
      <c r="B24" s="4" t="s">
        <v>38</v>
      </c>
      <c r="C24" s="16">
        <v>0</v>
      </c>
      <c r="D24" s="17">
        <v>0</v>
      </c>
      <c r="E24" s="17">
        <f t="shared" ref="E24:E61" si="3">SUM(C24:D24)</f>
        <v>0</v>
      </c>
      <c r="F24" s="15">
        <v>0</v>
      </c>
      <c r="G24" s="16">
        <v>5000</v>
      </c>
      <c r="H24" s="16">
        <v>0</v>
      </c>
      <c r="I24" s="16">
        <v>0</v>
      </c>
      <c r="J24" s="16">
        <v>0</v>
      </c>
      <c r="K24" s="58">
        <v>0</v>
      </c>
      <c r="L24" s="70">
        <f t="shared" ref="L24:L61" si="4">SUM(F24:K24)</f>
        <v>5000</v>
      </c>
      <c r="M24" s="70">
        <f t="shared" si="0"/>
        <v>5000</v>
      </c>
    </row>
    <row r="25" spans="1:13">
      <c r="A25" s="1" t="s">
        <v>1</v>
      </c>
      <c r="B25" s="4" t="s">
        <v>39</v>
      </c>
      <c r="C25" s="16">
        <v>0</v>
      </c>
      <c r="D25" s="17">
        <v>0</v>
      </c>
      <c r="E25" s="17">
        <f t="shared" si="3"/>
        <v>0</v>
      </c>
      <c r="F25" s="15">
        <v>6000</v>
      </c>
      <c r="G25" s="16">
        <v>0</v>
      </c>
      <c r="H25" s="16">
        <v>3000</v>
      </c>
      <c r="I25" s="16">
        <v>0</v>
      </c>
      <c r="J25" s="16">
        <v>0</v>
      </c>
      <c r="K25" s="58">
        <v>0</v>
      </c>
      <c r="L25" s="70">
        <f t="shared" si="4"/>
        <v>9000</v>
      </c>
      <c r="M25" s="70">
        <f t="shared" si="0"/>
        <v>9000</v>
      </c>
    </row>
    <row r="26" spans="1:13">
      <c r="A26" s="1" t="s">
        <v>1</v>
      </c>
      <c r="B26" s="4" t="s">
        <v>40</v>
      </c>
      <c r="C26" s="16">
        <v>50000</v>
      </c>
      <c r="D26" s="17">
        <v>0</v>
      </c>
      <c r="E26" s="17">
        <f t="shared" si="3"/>
        <v>50000</v>
      </c>
      <c r="F26" s="15">
        <v>50000</v>
      </c>
      <c r="G26" s="16">
        <v>50000</v>
      </c>
      <c r="H26" s="16">
        <v>50000</v>
      </c>
      <c r="I26" s="16">
        <v>50000</v>
      </c>
      <c r="J26" s="16">
        <v>50000</v>
      </c>
      <c r="K26" s="58">
        <v>50000</v>
      </c>
      <c r="L26" s="70">
        <f t="shared" si="4"/>
        <v>300000</v>
      </c>
      <c r="M26" s="70">
        <f t="shared" si="0"/>
        <v>350000</v>
      </c>
    </row>
    <row r="27" spans="1:13">
      <c r="A27" s="1" t="s">
        <v>1</v>
      </c>
      <c r="B27" s="4" t="s">
        <v>41</v>
      </c>
      <c r="C27" s="16">
        <v>0</v>
      </c>
      <c r="D27" s="17">
        <v>84680</v>
      </c>
      <c r="E27" s="17">
        <f t="shared" si="3"/>
        <v>84680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8">
        <v>0</v>
      </c>
      <c r="L27" s="70">
        <f t="shared" si="4"/>
        <v>0</v>
      </c>
      <c r="M27" s="70">
        <f t="shared" si="0"/>
        <v>84680</v>
      </c>
    </row>
    <row r="28" spans="1:13">
      <c r="A28" s="1" t="s">
        <v>1</v>
      </c>
      <c r="B28" s="4" t="s">
        <v>42</v>
      </c>
      <c r="C28" s="16">
        <v>0</v>
      </c>
      <c r="D28" s="17">
        <v>0</v>
      </c>
      <c r="E28" s="17">
        <f t="shared" si="3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8">
        <v>0</v>
      </c>
      <c r="L28" s="70">
        <f t="shared" si="4"/>
        <v>0</v>
      </c>
      <c r="M28" s="70">
        <f t="shared" si="0"/>
        <v>0</v>
      </c>
    </row>
    <row r="29" spans="1:13">
      <c r="A29" s="1" t="s">
        <v>1</v>
      </c>
      <c r="B29" s="4" t="s">
        <v>43</v>
      </c>
      <c r="C29" s="16">
        <v>0</v>
      </c>
      <c r="D29" s="17">
        <v>0</v>
      </c>
      <c r="E29" s="17">
        <f t="shared" si="3"/>
        <v>0</v>
      </c>
      <c r="F29" s="15">
        <v>24000</v>
      </c>
      <c r="G29" s="16">
        <v>24800</v>
      </c>
      <c r="H29" s="16">
        <v>0</v>
      </c>
      <c r="I29" s="16">
        <v>0</v>
      </c>
      <c r="J29" s="16">
        <v>27000</v>
      </c>
      <c r="K29" s="58">
        <v>27200</v>
      </c>
      <c r="L29" s="70">
        <f t="shared" si="4"/>
        <v>103000</v>
      </c>
      <c r="M29" s="70">
        <f t="shared" si="0"/>
        <v>103000</v>
      </c>
    </row>
    <row r="30" spans="1:13">
      <c r="A30" s="1" t="s">
        <v>1</v>
      </c>
      <c r="B30" s="4" t="s">
        <v>44</v>
      </c>
      <c r="C30" s="16">
        <v>0</v>
      </c>
      <c r="D30" s="17">
        <v>0</v>
      </c>
      <c r="E30" s="17">
        <f t="shared" si="3"/>
        <v>0</v>
      </c>
      <c r="F30" s="15">
        <v>2000</v>
      </c>
      <c r="G30" s="16">
        <v>2000</v>
      </c>
      <c r="H30" s="16">
        <v>0</v>
      </c>
      <c r="I30" s="16">
        <v>1000</v>
      </c>
      <c r="J30" s="16">
        <v>2000</v>
      </c>
      <c r="K30" s="58">
        <v>2000</v>
      </c>
      <c r="L30" s="70">
        <f t="shared" si="4"/>
        <v>9000</v>
      </c>
      <c r="M30" s="70">
        <f t="shared" si="0"/>
        <v>9000</v>
      </c>
    </row>
    <row r="31" spans="1:13">
      <c r="A31" s="1" t="s">
        <v>1</v>
      </c>
      <c r="B31" s="4" t="s">
        <v>45</v>
      </c>
      <c r="C31" s="16">
        <v>0</v>
      </c>
      <c r="D31" s="17">
        <v>8120</v>
      </c>
      <c r="E31" s="17">
        <f t="shared" si="3"/>
        <v>8120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8">
        <v>0</v>
      </c>
      <c r="L31" s="70">
        <f t="shared" si="4"/>
        <v>0</v>
      </c>
      <c r="M31" s="70">
        <f t="shared" si="0"/>
        <v>8120</v>
      </c>
    </row>
    <row r="32" spans="1:13">
      <c r="A32" s="1" t="s">
        <v>1</v>
      </c>
      <c r="B32" s="4" t="s">
        <v>46</v>
      </c>
      <c r="C32" s="16">
        <v>0</v>
      </c>
      <c r="D32" s="17">
        <v>0</v>
      </c>
      <c r="E32" s="17">
        <f t="shared" si="3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8">
        <v>0</v>
      </c>
      <c r="L32" s="70">
        <f t="shared" si="4"/>
        <v>0</v>
      </c>
      <c r="M32" s="70">
        <f t="shared" si="0"/>
        <v>0</v>
      </c>
    </row>
    <row r="33" spans="1:13">
      <c r="A33" s="1" t="s">
        <v>1</v>
      </c>
      <c r="B33" s="4" t="s">
        <v>47</v>
      </c>
      <c r="C33" s="16">
        <v>0</v>
      </c>
      <c r="D33" s="17">
        <v>0</v>
      </c>
      <c r="E33" s="17">
        <f t="shared" si="3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8">
        <v>0</v>
      </c>
      <c r="L33" s="70">
        <f t="shared" si="4"/>
        <v>0</v>
      </c>
      <c r="M33" s="70">
        <f t="shared" si="0"/>
        <v>0</v>
      </c>
    </row>
    <row r="34" spans="1:13">
      <c r="A34" s="1" t="s">
        <v>1</v>
      </c>
      <c r="B34" s="4" t="s">
        <v>48</v>
      </c>
      <c r="C34" s="16">
        <v>0</v>
      </c>
      <c r="D34" s="17">
        <v>0</v>
      </c>
      <c r="E34" s="17">
        <f t="shared" si="3"/>
        <v>0</v>
      </c>
      <c r="F34" s="15">
        <v>20300</v>
      </c>
      <c r="G34" s="16">
        <v>10500</v>
      </c>
      <c r="H34" s="16">
        <v>13500</v>
      </c>
      <c r="I34" s="16">
        <v>13000</v>
      </c>
      <c r="J34" s="16">
        <v>13000</v>
      </c>
      <c r="K34" s="58">
        <v>15000</v>
      </c>
      <c r="L34" s="70">
        <f t="shared" si="4"/>
        <v>85300</v>
      </c>
      <c r="M34" s="70">
        <f t="shared" si="0"/>
        <v>85300</v>
      </c>
    </row>
    <row r="35" spans="1:13">
      <c r="A35" s="1" t="s">
        <v>1</v>
      </c>
      <c r="B35" s="4" t="s">
        <v>49</v>
      </c>
      <c r="C35" s="16">
        <v>0</v>
      </c>
      <c r="D35" s="17">
        <v>0</v>
      </c>
      <c r="E35" s="17">
        <f t="shared" si="3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8">
        <v>0</v>
      </c>
      <c r="L35" s="70">
        <f t="shared" si="4"/>
        <v>0</v>
      </c>
      <c r="M35" s="70">
        <f t="shared" si="0"/>
        <v>0</v>
      </c>
    </row>
    <row r="36" spans="1:13">
      <c r="A36" s="1" t="s">
        <v>1</v>
      </c>
      <c r="B36" s="4" t="s">
        <v>50</v>
      </c>
      <c r="C36" s="16">
        <v>0</v>
      </c>
      <c r="D36" s="17">
        <v>0</v>
      </c>
      <c r="E36" s="17">
        <f t="shared" si="3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8">
        <v>0</v>
      </c>
      <c r="L36" s="70">
        <f t="shared" si="4"/>
        <v>0</v>
      </c>
      <c r="M36" s="70">
        <f t="shared" si="0"/>
        <v>0</v>
      </c>
    </row>
    <row r="37" spans="1:13">
      <c r="A37" s="1" t="s">
        <v>1</v>
      </c>
      <c r="B37" s="4" t="s">
        <v>51</v>
      </c>
      <c r="C37" s="16">
        <v>0</v>
      </c>
      <c r="D37" s="17">
        <v>0</v>
      </c>
      <c r="E37" s="17">
        <f t="shared" si="3"/>
        <v>0</v>
      </c>
      <c r="F37" s="15">
        <v>0</v>
      </c>
      <c r="G37" s="16">
        <v>0</v>
      </c>
      <c r="H37" s="16">
        <v>0</v>
      </c>
      <c r="I37" s="76">
        <v>-34593</v>
      </c>
      <c r="J37" s="76">
        <v>0</v>
      </c>
      <c r="K37" s="77">
        <v>0</v>
      </c>
      <c r="L37" s="78">
        <f t="shared" si="4"/>
        <v>-34593</v>
      </c>
      <c r="M37" s="78">
        <f t="shared" si="0"/>
        <v>-34593</v>
      </c>
    </row>
    <row r="38" spans="1:13">
      <c r="A38" s="1" t="s">
        <v>1</v>
      </c>
      <c r="B38" s="4" t="s">
        <v>28</v>
      </c>
      <c r="C38" s="16">
        <v>0</v>
      </c>
      <c r="D38" s="17">
        <v>0</v>
      </c>
      <c r="E38" s="17">
        <f t="shared" si="3"/>
        <v>0</v>
      </c>
      <c r="F38" s="15">
        <v>126126</v>
      </c>
      <c r="G38" s="16">
        <v>85492</v>
      </c>
      <c r="H38" s="16">
        <v>58336</v>
      </c>
      <c r="I38" s="16">
        <v>101024</v>
      </c>
      <c r="J38" s="16">
        <v>79684</v>
      </c>
      <c r="K38" s="58">
        <v>74508</v>
      </c>
      <c r="L38" s="70">
        <f t="shared" si="4"/>
        <v>525170</v>
      </c>
      <c r="M38" s="70">
        <f t="shared" si="0"/>
        <v>525170</v>
      </c>
    </row>
    <row r="39" spans="1:13">
      <c r="A39" s="1" t="s">
        <v>1</v>
      </c>
      <c r="B39" s="4" t="s">
        <v>52</v>
      </c>
      <c r="C39" s="16">
        <v>0</v>
      </c>
      <c r="D39" s="17">
        <v>0</v>
      </c>
      <c r="E39" s="17">
        <f t="shared" si="3"/>
        <v>0</v>
      </c>
      <c r="F39" s="15">
        <v>20640</v>
      </c>
      <c r="G39" s="16">
        <v>39862</v>
      </c>
      <c r="H39" s="16">
        <v>70848</v>
      </c>
      <c r="I39" s="16">
        <v>11688</v>
      </c>
      <c r="J39" s="16">
        <v>52812</v>
      </c>
      <c r="K39" s="58">
        <v>40236</v>
      </c>
      <c r="L39" s="70">
        <f t="shared" si="4"/>
        <v>236086</v>
      </c>
      <c r="M39" s="70">
        <f t="shared" si="0"/>
        <v>236086</v>
      </c>
    </row>
    <row r="40" spans="1:13">
      <c r="A40" s="1" t="s">
        <v>1</v>
      </c>
      <c r="B40" s="4" t="s">
        <v>53</v>
      </c>
      <c r="C40" s="16">
        <v>0</v>
      </c>
      <c r="D40" s="17">
        <v>0</v>
      </c>
      <c r="E40" s="17">
        <f t="shared" si="3"/>
        <v>0</v>
      </c>
      <c r="F40" s="15">
        <v>0</v>
      </c>
      <c r="G40" s="16">
        <v>0</v>
      </c>
      <c r="H40" s="16">
        <v>15744</v>
      </c>
      <c r="I40" s="16">
        <v>0</v>
      </c>
      <c r="J40" s="16">
        <v>31296</v>
      </c>
      <c r="K40" s="58">
        <v>34488</v>
      </c>
      <c r="L40" s="70">
        <f t="shared" si="4"/>
        <v>81528</v>
      </c>
      <c r="M40" s="70">
        <f t="shared" si="0"/>
        <v>81528</v>
      </c>
    </row>
    <row r="41" spans="1:13">
      <c r="A41" s="1" t="s">
        <v>1</v>
      </c>
      <c r="B41" s="4" t="s">
        <v>54</v>
      </c>
      <c r="C41" s="16">
        <v>0</v>
      </c>
      <c r="D41" s="17">
        <v>0</v>
      </c>
      <c r="E41" s="17">
        <f t="shared" si="3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8">
        <v>0</v>
      </c>
      <c r="L41" s="70">
        <f t="shared" si="4"/>
        <v>0</v>
      </c>
      <c r="M41" s="70">
        <f t="shared" si="0"/>
        <v>0</v>
      </c>
    </row>
    <row r="42" spans="1:13">
      <c r="A42" s="1" t="s">
        <v>1</v>
      </c>
      <c r="B42" s="4" t="s">
        <v>55</v>
      </c>
      <c r="C42" s="16">
        <v>0</v>
      </c>
      <c r="D42" s="17">
        <v>0</v>
      </c>
      <c r="E42" s="17">
        <f t="shared" si="3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8">
        <v>0</v>
      </c>
      <c r="L42" s="70">
        <f t="shared" si="4"/>
        <v>0</v>
      </c>
      <c r="M42" s="70">
        <f t="shared" si="0"/>
        <v>0</v>
      </c>
    </row>
    <row r="43" spans="1:13">
      <c r="A43" s="1" t="s">
        <v>1</v>
      </c>
      <c r="B43" s="4" t="s">
        <v>56</v>
      </c>
      <c r="C43" s="16">
        <v>0</v>
      </c>
      <c r="D43" s="17">
        <v>0</v>
      </c>
      <c r="E43" s="17">
        <f t="shared" si="3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8">
        <v>0</v>
      </c>
      <c r="L43" s="70">
        <f t="shared" si="4"/>
        <v>0</v>
      </c>
      <c r="M43" s="70">
        <f t="shared" si="0"/>
        <v>0</v>
      </c>
    </row>
    <row r="44" spans="1:13" ht="19.5" thickBot="1">
      <c r="A44" s="1" t="s">
        <v>1</v>
      </c>
      <c r="B44" s="35" t="s">
        <v>35</v>
      </c>
      <c r="C44" s="37">
        <v>1773</v>
      </c>
      <c r="D44" s="38">
        <v>0</v>
      </c>
      <c r="E44" s="38">
        <f t="shared" si="3"/>
        <v>1773</v>
      </c>
      <c r="F44" s="36">
        <v>6112</v>
      </c>
      <c r="G44" s="37">
        <v>6224</v>
      </c>
      <c r="H44" s="37">
        <v>3285</v>
      </c>
      <c r="I44" s="37">
        <v>5776</v>
      </c>
      <c r="J44" s="37">
        <v>2172</v>
      </c>
      <c r="K44" s="59">
        <v>2485</v>
      </c>
      <c r="L44" s="71">
        <f t="shared" si="4"/>
        <v>26054</v>
      </c>
      <c r="M44" s="71">
        <f t="shared" si="0"/>
        <v>27827</v>
      </c>
    </row>
    <row r="45" spans="1:13" ht="19.5" thickBot="1">
      <c r="A45" s="1" t="s">
        <v>1</v>
      </c>
      <c r="B45" s="39" t="s">
        <v>57</v>
      </c>
      <c r="C45" s="41">
        <v>396773</v>
      </c>
      <c r="D45" s="42">
        <v>92800</v>
      </c>
      <c r="E45" s="42">
        <f t="shared" si="3"/>
        <v>489573</v>
      </c>
      <c r="F45" s="40">
        <v>432178</v>
      </c>
      <c r="G45" s="41">
        <v>415878</v>
      </c>
      <c r="H45" s="41">
        <v>391713</v>
      </c>
      <c r="I45" s="41">
        <v>324895</v>
      </c>
      <c r="J45" s="41">
        <v>434964</v>
      </c>
      <c r="K45" s="60">
        <v>415917</v>
      </c>
      <c r="L45" s="72">
        <f t="shared" si="4"/>
        <v>2415545</v>
      </c>
      <c r="M45" s="72">
        <f t="shared" si="0"/>
        <v>2905118</v>
      </c>
    </row>
    <row r="46" spans="1:13" ht="19.5" thickBot="1">
      <c r="A46" s="1" t="s">
        <v>1</v>
      </c>
      <c r="B46" s="21" t="s">
        <v>58</v>
      </c>
      <c r="C46" s="30">
        <v>12421</v>
      </c>
      <c r="D46" s="31">
        <v>3960</v>
      </c>
      <c r="E46" s="31">
        <f t="shared" si="3"/>
        <v>16381</v>
      </c>
      <c r="F46" s="29">
        <v>6248</v>
      </c>
      <c r="G46" s="30">
        <v>5667</v>
      </c>
      <c r="H46" s="30">
        <v>9901</v>
      </c>
      <c r="I46" s="30">
        <v>4195</v>
      </c>
      <c r="J46" s="30">
        <v>4357</v>
      </c>
      <c r="K46" s="57">
        <v>6701</v>
      </c>
      <c r="L46" s="69">
        <f t="shared" si="4"/>
        <v>37069</v>
      </c>
      <c r="M46" s="69">
        <f t="shared" si="0"/>
        <v>53450</v>
      </c>
    </row>
    <row r="47" spans="1:13" ht="19.5" thickBot="1">
      <c r="A47" s="1" t="s">
        <v>1</v>
      </c>
      <c r="B47" s="39" t="s">
        <v>59</v>
      </c>
      <c r="C47" s="41">
        <v>12421</v>
      </c>
      <c r="D47" s="42">
        <v>3960</v>
      </c>
      <c r="E47" s="42">
        <f t="shared" si="3"/>
        <v>16381</v>
      </c>
      <c r="F47" s="40">
        <v>6248</v>
      </c>
      <c r="G47" s="41">
        <v>5667</v>
      </c>
      <c r="H47" s="41">
        <v>9901</v>
      </c>
      <c r="I47" s="41">
        <v>4195</v>
      </c>
      <c r="J47" s="41">
        <v>4357</v>
      </c>
      <c r="K47" s="60">
        <v>6701</v>
      </c>
      <c r="L47" s="72">
        <f t="shared" si="4"/>
        <v>37069</v>
      </c>
      <c r="M47" s="72">
        <f t="shared" si="0"/>
        <v>53450</v>
      </c>
    </row>
    <row r="48" spans="1:13" ht="19.5" thickBot="1">
      <c r="A48" s="1" t="s">
        <v>1</v>
      </c>
      <c r="B48" s="39" t="s">
        <v>60</v>
      </c>
      <c r="C48" s="41">
        <v>409194</v>
      </c>
      <c r="D48" s="42">
        <v>96760</v>
      </c>
      <c r="E48" s="42">
        <f t="shared" si="3"/>
        <v>505954</v>
      </c>
      <c r="F48" s="40">
        <v>438426</v>
      </c>
      <c r="G48" s="41">
        <v>421545</v>
      </c>
      <c r="H48" s="41">
        <v>401614</v>
      </c>
      <c r="I48" s="41">
        <v>329090</v>
      </c>
      <c r="J48" s="41">
        <v>439321</v>
      </c>
      <c r="K48" s="60">
        <v>422618</v>
      </c>
      <c r="L48" s="72">
        <f t="shared" si="4"/>
        <v>2452614</v>
      </c>
      <c r="M48" s="72">
        <f t="shared" si="0"/>
        <v>2958568</v>
      </c>
    </row>
    <row r="49" spans="1:13">
      <c r="A49" s="1" t="s">
        <v>1</v>
      </c>
      <c r="B49" s="21" t="s">
        <v>61</v>
      </c>
      <c r="C49" s="30">
        <v>20910</v>
      </c>
      <c r="D49" s="31">
        <v>0</v>
      </c>
      <c r="E49" s="31">
        <f t="shared" si="3"/>
        <v>20910</v>
      </c>
      <c r="F49" s="29">
        <v>18360</v>
      </c>
      <c r="G49" s="30">
        <v>18360</v>
      </c>
      <c r="H49" s="30">
        <v>16320</v>
      </c>
      <c r="I49" s="30">
        <v>17340</v>
      </c>
      <c r="J49" s="30">
        <v>17340</v>
      </c>
      <c r="K49" s="57">
        <v>17340</v>
      </c>
      <c r="L49" s="69">
        <f t="shared" si="4"/>
        <v>105060</v>
      </c>
      <c r="M49" s="69">
        <f t="shared" si="0"/>
        <v>125970</v>
      </c>
    </row>
    <row r="50" spans="1:13">
      <c r="A50" s="1" t="s">
        <v>1</v>
      </c>
      <c r="B50" s="4" t="s">
        <v>62</v>
      </c>
      <c r="C50" s="16">
        <v>3690</v>
      </c>
      <c r="D50" s="17">
        <v>0</v>
      </c>
      <c r="E50" s="17">
        <f t="shared" si="3"/>
        <v>3690</v>
      </c>
      <c r="F50" s="15">
        <v>3240</v>
      </c>
      <c r="G50" s="16">
        <v>3240</v>
      </c>
      <c r="H50" s="16">
        <v>2880</v>
      </c>
      <c r="I50" s="16">
        <v>3060</v>
      </c>
      <c r="J50" s="16">
        <v>3060</v>
      </c>
      <c r="K50" s="58">
        <v>3060</v>
      </c>
      <c r="L50" s="70">
        <f t="shared" si="4"/>
        <v>18540</v>
      </c>
      <c r="M50" s="70">
        <f t="shared" si="0"/>
        <v>22230</v>
      </c>
    </row>
    <row r="51" spans="1:13">
      <c r="A51" s="1" t="s">
        <v>1</v>
      </c>
      <c r="B51" s="4" t="s">
        <v>63</v>
      </c>
      <c r="C51" s="16">
        <v>37515</v>
      </c>
      <c r="D51" s="17">
        <v>0</v>
      </c>
      <c r="E51" s="17">
        <f t="shared" si="3"/>
        <v>37515</v>
      </c>
      <c r="F51" s="15">
        <v>32940</v>
      </c>
      <c r="G51" s="16">
        <v>32940</v>
      </c>
      <c r="H51" s="16">
        <v>29280</v>
      </c>
      <c r="I51" s="16">
        <v>31110</v>
      </c>
      <c r="J51" s="16">
        <v>31110</v>
      </c>
      <c r="K51" s="58">
        <v>31110</v>
      </c>
      <c r="L51" s="70">
        <f t="shared" si="4"/>
        <v>188490</v>
      </c>
      <c r="M51" s="70">
        <f t="shared" si="0"/>
        <v>226005</v>
      </c>
    </row>
    <row r="52" spans="1:13" ht="19.5" thickBot="1">
      <c r="A52" s="1" t="s">
        <v>1</v>
      </c>
      <c r="B52" s="4" t="s">
        <v>64</v>
      </c>
      <c r="C52" s="16">
        <v>2046</v>
      </c>
      <c r="D52" s="17">
        <v>484</v>
      </c>
      <c r="E52" s="17">
        <f t="shared" si="3"/>
        <v>2530</v>
      </c>
      <c r="F52" s="15">
        <v>2192</v>
      </c>
      <c r="G52" s="16">
        <v>2108</v>
      </c>
      <c r="H52" s="16">
        <v>2008</v>
      </c>
      <c r="I52" s="16">
        <v>1645</v>
      </c>
      <c r="J52" s="16">
        <v>2197</v>
      </c>
      <c r="K52" s="58">
        <v>2113</v>
      </c>
      <c r="L52" s="70">
        <f t="shared" si="4"/>
        <v>12263</v>
      </c>
      <c r="M52" s="70">
        <f t="shared" si="0"/>
        <v>14793</v>
      </c>
    </row>
    <row r="53" spans="1:13" ht="19.5" thickBot="1">
      <c r="A53" s="1" t="s">
        <v>1</v>
      </c>
      <c r="B53" s="39" t="s">
        <v>65</v>
      </c>
      <c r="C53" s="41">
        <v>64161</v>
      </c>
      <c r="D53" s="42">
        <v>484</v>
      </c>
      <c r="E53" s="42">
        <f t="shared" si="3"/>
        <v>64645</v>
      </c>
      <c r="F53" s="40">
        <v>56732</v>
      </c>
      <c r="G53" s="41">
        <v>56648</v>
      </c>
      <c r="H53" s="41">
        <v>50488</v>
      </c>
      <c r="I53" s="41">
        <v>53155</v>
      </c>
      <c r="J53" s="41">
        <v>53707</v>
      </c>
      <c r="K53" s="60">
        <v>53623</v>
      </c>
      <c r="L53" s="72">
        <f t="shared" si="4"/>
        <v>324353</v>
      </c>
      <c r="M53" s="72">
        <f t="shared" si="0"/>
        <v>388998</v>
      </c>
    </row>
    <row r="54" spans="1:13">
      <c r="A54" s="1" t="s">
        <v>1</v>
      </c>
      <c r="B54" s="21" t="s">
        <v>66</v>
      </c>
      <c r="C54" s="30">
        <v>6440</v>
      </c>
      <c r="D54" s="31">
        <v>330</v>
      </c>
      <c r="E54" s="31">
        <f t="shared" si="3"/>
        <v>6770</v>
      </c>
      <c r="F54" s="29">
        <v>11310</v>
      </c>
      <c r="G54" s="30">
        <v>13220</v>
      </c>
      <c r="H54" s="30">
        <v>8510</v>
      </c>
      <c r="I54" s="30">
        <v>4100</v>
      </c>
      <c r="J54" s="30">
        <v>15020</v>
      </c>
      <c r="K54" s="57">
        <v>13470</v>
      </c>
      <c r="L54" s="69">
        <f t="shared" si="4"/>
        <v>65630</v>
      </c>
      <c r="M54" s="69">
        <f t="shared" si="0"/>
        <v>72400</v>
      </c>
    </row>
    <row r="55" spans="1:13">
      <c r="A55" s="1" t="s">
        <v>1</v>
      </c>
      <c r="B55" s="4" t="s">
        <v>67</v>
      </c>
      <c r="C55" s="16">
        <v>26400</v>
      </c>
      <c r="D55" s="17">
        <v>600</v>
      </c>
      <c r="E55" s="17">
        <f t="shared" si="3"/>
        <v>27000</v>
      </c>
      <c r="F55" s="15">
        <v>14200</v>
      </c>
      <c r="G55" s="16">
        <v>17200</v>
      </c>
      <c r="H55" s="16">
        <v>5300</v>
      </c>
      <c r="I55" s="16">
        <v>7600</v>
      </c>
      <c r="J55" s="16">
        <v>16700</v>
      </c>
      <c r="K55" s="58">
        <v>5300</v>
      </c>
      <c r="L55" s="70">
        <f t="shared" si="4"/>
        <v>66300</v>
      </c>
      <c r="M55" s="70">
        <f t="shared" ref="M55:M61" si="5">E55+L55</f>
        <v>93300</v>
      </c>
    </row>
    <row r="56" spans="1:13" ht="19.5" thickBot="1">
      <c r="A56" s="1" t="s">
        <v>1</v>
      </c>
      <c r="B56" s="4" t="s">
        <v>68</v>
      </c>
      <c r="C56" s="16">
        <v>0</v>
      </c>
      <c r="D56" s="17">
        <v>0</v>
      </c>
      <c r="E56" s="17">
        <f t="shared" si="3"/>
        <v>0</v>
      </c>
      <c r="F56" s="15">
        <v>24000</v>
      </c>
      <c r="G56" s="16">
        <v>24800</v>
      </c>
      <c r="H56" s="16">
        <v>0</v>
      </c>
      <c r="I56" s="16">
        <v>0</v>
      </c>
      <c r="J56" s="16">
        <v>27000</v>
      </c>
      <c r="K56" s="58">
        <v>27200</v>
      </c>
      <c r="L56" s="70">
        <f t="shared" si="4"/>
        <v>103000</v>
      </c>
      <c r="M56" s="70">
        <f t="shared" si="5"/>
        <v>103000</v>
      </c>
    </row>
    <row r="57" spans="1:13" ht="19.5" thickBot="1">
      <c r="A57" s="1" t="s">
        <v>1</v>
      </c>
      <c r="B57" s="39" t="s">
        <v>69</v>
      </c>
      <c r="C57" s="41">
        <v>97001</v>
      </c>
      <c r="D57" s="42">
        <v>1414</v>
      </c>
      <c r="E57" s="42">
        <f t="shared" si="3"/>
        <v>98415</v>
      </c>
      <c r="F57" s="40">
        <v>106242</v>
      </c>
      <c r="G57" s="41">
        <v>111868</v>
      </c>
      <c r="H57" s="41">
        <v>64298</v>
      </c>
      <c r="I57" s="41">
        <v>64855</v>
      </c>
      <c r="J57" s="41">
        <v>112427</v>
      </c>
      <c r="K57" s="60">
        <v>99593</v>
      </c>
      <c r="L57" s="72">
        <f t="shared" si="4"/>
        <v>559283</v>
      </c>
      <c r="M57" s="72">
        <f t="shared" si="5"/>
        <v>657698</v>
      </c>
    </row>
    <row r="58" spans="1:13" ht="19.5" thickBot="1">
      <c r="A58" s="1" t="s">
        <v>1</v>
      </c>
      <c r="B58" s="39" t="s">
        <v>70</v>
      </c>
      <c r="C58" s="41">
        <v>332612</v>
      </c>
      <c r="D58" s="42">
        <v>92316</v>
      </c>
      <c r="E58" s="42">
        <f t="shared" si="3"/>
        <v>424928</v>
      </c>
      <c r="F58" s="40">
        <v>375446</v>
      </c>
      <c r="G58" s="41">
        <v>359230</v>
      </c>
      <c r="H58" s="41">
        <v>341225</v>
      </c>
      <c r="I58" s="41">
        <v>271740</v>
      </c>
      <c r="J58" s="41">
        <v>381257</v>
      </c>
      <c r="K58" s="60">
        <v>362294</v>
      </c>
      <c r="L58" s="72">
        <f t="shared" si="4"/>
        <v>2091192</v>
      </c>
      <c r="M58" s="72">
        <f t="shared" si="5"/>
        <v>2516120</v>
      </c>
    </row>
    <row r="59" spans="1:13" ht="19.5" thickBot="1">
      <c r="A59" s="1" t="s">
        <v>1</v>
      </c>
      <c r="B59" s="39" t="s">
        <v>71</v>
      </c>
      <c r="C59" s="41">
        <v>312193</v>
      </c>
      <c r="D59" s="42">
        <v>95346</v>
      </c>
      <c r="E59" s="42">
        <f t="shared" si="3"/>
        <v>407539</v>
      </c>
      <c r="F59" s="40">
        <v>332184</v>
      </c>
      <c r="G59" s="41">
        <v>309677</v>
      </c>
      <c r="H59" s="41">
        <v>337316</v>
      </c>
      <c r="I59" s="41">
        <v>264235</v>
      </c>
      <c r="J59" s="41">
        <v>326894</v>
      </c>
      <c r="K59" s="60">
        <v>323025</v>
      </c>
      <c r="L59" s="72">
        <f t="shared" si="4"/>
        <v>1893331</v>
      </c>
      <c r="M59" s="72">
        <f t="shared" si="5"/>
        <v>2300870</v>
      </c>
    </row>
    <row r="60" spans="1:13">
      <c r="A60" s="1" t="s">
        <v>1</v>
      </c>
      <c r="B60" s="21" t="s">
        <v>72</v>
      </c>
      <c r="C60" s="30">
        <v>0</v>
      </c>
      <c r="D60" s="31">
        <v>0</v>
      </c>
      <c r="E60" s="31">
        <f t="shared" si="3"/>
        <v>0</v>
      </c>
      <c r="F60" s="29">
        <v>0</v>
      </c>
      <c r="G60" s="30">
        <v>0</v>
      </c>
      <c r="H60" s="30">
        <v>0</v>
      </c>
      <c r="I60" s="30">
        <v>0</v>
      </c>
      <c r="J60" s="30">
        <v>0</v>
      </c>
      <c r="K60" s="57">
        <v>0</v>
      </c>
      <c r="L60" s="69">
        <f t="shared" si="4"/>
        <v>0</v>
      </c>
      <c r="M60" s="69">
        <f t="shared" si="5"/>
        <v>0</v>
      </c>
    </row>
    <row r="61" spans="1:13">
      <c r="A61" s="1" t="s">
        <v>1</v>
      </c>
      <c r="B61" s="4" t="s">
        <v>73</v>
      </c>
      <c r="C61" s="16">
        <v>312193</v>
      </c>
      <c r="D61" s="17">
        <v>95346</v>
      </c>
      <c r="E61" s="17">
        <f t="shared" si="3"/>
        <v>407539</v>
      </c>
      <c r="F61" s="15">
        <v>332184</v>
      </c>
      <c r="G61" s="16">
        <v>309677</v>
      </c>
      <c r="H61" s="16">
        <v>337316</v>
      </c>
      <c r="I61" s="16">
        <v>264235</v>
      </c>
      <c r="J61" s="16">
        <v>326894</v>
      </c>
      <c r="K61" s="58">
        <v>323025</v>
      </c>
      <c r="L61" s="70">
        <f t="shared" si="4"/>
        <v>1893331</v>
      </c>
      <c r="M61" s="70">
        <f t="shared" si="5"/>
        <v>2300870</v>
      </c>
    </row>
    <row r="62" spans="1:13">
      <c r="A62" s="1" t="s">
        <v>1</v>
      </c>
      <c r="B62" s="4" t="s">
        <v>74</v>
      </c>
      <c r="C62" s="16">
        <v>2</v>
      </c>
      <c r="D62" s="17">
        <v>0</v>
      </c>
      <c r="E62" s="47"/>
      <c r="F62" s="15">
        <v>1</v>
      </c>
      <c r="G62" s="16">
        <v>0</v>
      </c>
      <c r="H62" s="16">
        <v>1</v>
      </c>
      <c r="I62" s="16">
        <v>2</v>
      </c>
      <c r="J62" s="16">
        <v>0</v>
      </c>
      <c r="K62" s="58">
        <v>0</v>
      </c>
      <c r="L62" s="70"/>
      <c r="M62" s="70"/>
    </row>
    <row r="63" spans="1:13" ht="19.5" thickBot="1">
      <c r="A63" s="1" t="s">
        <v>1</v>
      </c>
      <c r="B63" s="5" t="s">
        <v>75</v>
      </c>
      <c r="C63" s="19" t="s">
        <v>76</v>
      </c>
      <c r="D63" s="20" t="s">
        <v>76</v>
      </c>
      <c r="E63" s="48"/>
      <c r="F63" s="18" t="s">
        <v>76</v>
      </c>
      <c r="G63" s="19" t="s">
        <v>76</v>
      </c>
      <c r="H63" s="19" t="s">
        <v>76</v>
      </c>
      <c r="I63" s="19" t="s">
        <v>76</v>
      </c>
      <c r="J63" s="19" t="s">
        <v>76</v>
      </c>
      <c r="K63" s="61" t="s">
        <v>76</v>
      </c>
      <c r="L63" s="73"/>
      <c r="M63" s="73"/>
    </row>
  </sheetData>
  <phoneticPr fontId="4"/>
  <pageMargins left="0.31496062992125984" right="0.31496062992125984" top="0.35433070866141736" bottom="0.35433070866141736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2022年10月度給与 (2)</vt:lpstr>
      <vt:lpstr>'2022年10月度給与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2022-11-10T08:45:11Z</cp:lastPrinted>
  <dcterms:created xsi:type="dcterms:W3CDTF">2022-11-08T01:55:44Z</dcterms:created>
  <dcterms:modified xsi:type="dcterms:W3CDTF">2022-12-10T02:35:53Z</dcterms:modified>
</cp:coreProperties>
</file>