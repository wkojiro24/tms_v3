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10\"/>
    </mc:Choice>
  </mc:AlternateContent>
  <xr:revisionPtr revIDLastSave="0" documentId="13_ncr:1_{5715CD34-7709-4145-BD76-EAC03CD495C7}" xr6:coauthVersionLast="47" xr6:coauthVersionMax="47" xr10:uidLastSave="{00000000-0000-0000-0000-000000000000}"/>
  <bookViews>
    <workbookView xWindow="-120" yWindow="-120" windowWidth="20730" windowHeight="11160" xr2:uid="{E485D82E-3457-4CF9-A899-25824CDAA420}"/>
  </bookViews>
  <sheets>
    <sheet name="2022年10月度給与 (2)" sheetId="3" r:id="rId1"/>
  </sheets>
  <definedNames>
    <definedName name="_xlnm.Print_Area" localSheetId="0">'2022年10月度給与 (2)'!$A$1:$O$64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1" i="3" l="1"/>
  <c r="O12" i="3"/>
  <c r="O13" i="3"/>
  <c r="O21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4" i="3"/>
  <c r="N23" i="3"/>
  <c r="N22" i="3"/>
  <c r="N15" i="3"/>
  <c r="N16" i="3"/>
  <c r="N17" i="3"/>
  <c r="O17" i="3" s="1"/>
  <c r="N18" i="3"/>
  <c r="O18" i="3" s="1"/>
  <c r="N14" i="3"/>
  <c r="N7" i="3"/>
  <c r="N8" i="3"/>
  <c r="O8" i="3" s="1"/>
  <c r="N9" i="3"/>
  <c r="O9" i="3" s="1"/>
  <c r="N10" i="3"/>
  <c r="O10" i="3" s="1"/>
  <c r="N6" i="3"/>
  <c r="N5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4" i="3"/>
  <c r="F23" i="3"/>
  <c r="F22" i="3"/>
  <c r="F20" i="3"/>
  <c r="O20" i="3" s="1"/>
  <c r="F19" i="3"/>
  <c r="O19" i="3" s="1"/>
  <c r="F15" i="3"/>
  <c r="F16" i="3"/>
  <c r="F14" i="3"/>
  <c r="F7" i="3"/>
  <c r="F6" i="3"/>
  <c r="F5" i="3"/>
  <c r="O6" i="3" l="1"/>
  <c r="O5" i="3"/>
  <c r="O14" i="3"/>
  <c r="O16" i="3"/>
  <c r="O7" i="3"/>
  <c r="O24" i="3"/>
  <c r="O59" i="3"/>
  <c r="O54" i="3"/>
  <c r="O51" i="3"/>
  <c r="O47" i="3"/>
  <c r="O44" i="3"/>
  <c r="O40" i="3"/>
  <c r="O34" i="3"/>
  <c r="O29" i="3"/>
  <c r="O26" i="3"/>
  <c r="O61" i="3"/>
  <c r="O56" i="3"/>
  <c r="O49" i="3"/>
  <c r="O42" i="3"/>
  <c r="O35" i="3"/>
  <c r="O31" i="3"/>
  <c r="O28" i="3"/>
  <c r="O46" i="3"/>
  <c r="O38" i="3"/>
  <c r="O57" i="3"/>
  <c r="O36" i="3"/>
  <c r="O22" i="3"/>
  <c r="O62" i="3"/>
  <c r="O53" i="3"/>
  <c r="O39" i="3"/>
  <c r="O15" i="3"/>
  <c r="O58" i="3"/>
  <c r="O50" i="3"/>
  <c r="O43" i="3"/>
  <c r="O32" i="3"/>
  <c r="O25" i="3"/>
  <c r="O23" i="3"/>
  <c r="O60" i="3"/>
  <c r="O55" i="3"/>
  <c r="O52" i="3"/>
  <c r="O48" i="3"/>
  <c r="O45" i="3"/>
  <c r="O41" i="3"/>
  <c r="O37" i="3"/>
  <c r="O33" i="3"/>
  <c r="O30" i="3"/>
  <c r="O27" i="3"/>
</calcChain>
</file>

<file path=xl/sharedStrings.xml><?xml version="1.0" encoding="utf-8"?>
<sst xmlns="http://schemas.openxmlformats.org/spreadsheetml/2006/main" count="159" uniqueCount="87">
  <si>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</si>
  <si>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</si>
  <si>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</si>
  <si>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</si>
  <si>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</si>
  <si>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</si>
  <si>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</si>
  <si>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</si>
  <si>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</si>
  <si>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</si>
  <si>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</si>
  <si>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</si>
  <si>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</si>
  <si>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</si>
  <si>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</si>
  <si>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</si>
  <si>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</si>
  <si>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</si>
  <si>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</si>
  <si>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</si>
  <si>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</si>
  <si>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</si>
  <si>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</si>
  <si>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</si>
  <si>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</si>
  <si>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</si>
  <si>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</si>
  <si>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</si>
  <si>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</si>
  <si>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</si>
  <si>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</si>
  <si>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</si>
  <si>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</si>
  <si>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</si>
  <si>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</si>
  <si>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</si>
  <si>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</si>
  <si>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</si>
  <si>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</si>
  <si>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</si>
  <si>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</si>
  <si>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</si>
  <si>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</si>
  <si>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</si>
  <si>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</si>
  <si>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</si>
  <si>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</si>
  <si>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</si>
  <si>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</si>
  <si>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</si>
  <si>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</si>
  <si>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調整加算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</si>
  <si>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</si>
  <si>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</si>
  <si>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</si>
  <si>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</si>
  <si>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</si>
  <si>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</si>
  <si>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</si>
  <si>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</si>
  <si>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</si>
  <si>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</si>
  <si>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</si>
  <si>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</si>
  <si>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</si>
  <si>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</si>
  <si>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</si>
  <si>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</si>
  <si>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</si>
  <si>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</si>
  <si>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</si>
  <si>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</si>
  <si>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</si>
  <si>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</si>
  <si>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</si>
  <si>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</si>
  <si>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</si>
  <si>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</si>
  <si>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</si>
  <si>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</si>
  <si>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2022年10月度給与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</si>
  <si>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</si>
  <si>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</si>
  <si>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</si>
  <si>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</si>
  <si>
    <t>佐藤ゆうこ</t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</si>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</sst>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6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49" fontId="2" fillId="0" borderId="33" xfId="1" applyNumberFormat="1" applyFont="1" applyBorder="1" applyAlignment="1">
      <alignment horizontal="left"/>
    </xf>
    <xf numFmtId="0" fontId="2" fillId="0" borderId="33" xfId="1" applyFont="1" applyBorder="1"/>
    <xf numFmtId="49" fontId="2" fillId="0" borderId="34" xfId="1" applyNumberFormat="1" applyFont="1" applyBorder="1" applyAlignment="1">
      <alignment horizontal="right"/>
    </xf>
    <xf numFmtId="0" fontId="2" fillId="0" borderId="34" xfId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2" xfId="1" applyNumberFormat="1" applyFont="1" applyBorder="1"/>
    <xf numFmtId="49" fontId="2" fillId="0" borderId="34" xfId="1" applyNumberFormat="1" applyFont="1" applyBorder="1"/>
  </cellXfs>
  <cellStyles count="2">
    <cellStyle name="標準" xfId="0" builtinId="0"/>
    <cellStyle name="標準 2" xfId="1" xr:uid="{D0184D92-3AA7-423B-9990-04E669965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C67A-8A3F-463D-B10A-186B20D7A8F2}">
  <sheetPr>
    <pageSetUpPr fitToPage="1"/>
  </sheetPr>
  <dimension ref="A1:O64"/>
  <sheetViews>
    <sheetView showZeros="0" tabSelected="1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5" width="10.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80</v>
      </c>
    </row>
    <row r="3" spans="1:15">
      <c r="B3" s="3"/>
      <c r="C3" s="7" t="s">
        <v>5</v>
      </c>
      <c r="D3" s="7" t="s">
        <v>9</v>
      </c>
      <c r="E3" s="44" t="s">
        <v>7</v>
      </c>
      <c r="F3" s="55" t="s">
        <v>81</v>
      </c>
      <c r="G3" s="6" t="s">
        <v>2</v>
      </c>
      <c r="H3" s="7" t="s">
        <v>3</v>
      </c>
      <c r="I3" s="7" t="s">
        <v>4</v>
      </c>
      <c r="J3" s="7" t="s">
        <v>6</v>
      </c>
      <c r="K3" s="7" t="s">
        <v>8</v>
      </c>
      <c r="L3" s="7" t="s">
        <v>10</v>
      </c>
      <c r="M3" s="8" t="s">
        <v>11</v>
      </c>
      <c r="N3" s="55" t="s">
        <v>81</v>
      </c>
      <c r="O3" s="56" t="s">
        <v>21</v>
      </c>
    </row>
    <row r="4" spans="1:15" ht="19.5" thickBot="1">
      <c r="A4" s="43"/>
      <c r="B4" s="25" t="s">
        <v>12</v>
      </c>
      <c r="C4" s="27" t="s">
        <v>16</v>
      </c>
      <c r="D4" s="27" t="s">
        <v>19</v>
      </c>
      <c r="E4" s="45" t="s">
        <v>85</v>
      </c>
      <c r="F4" s="57" t="s">
        <v>82</v>
      </c>
      <c r="G4" s="26" t="s">
        <v>13</v>
      </c>
      <c r="H4" s="27" t="s">
        <v>14</v>
      </c>
      <c r="I4" s="27" t="s">
        <v>15</v>
      </c>
      <c r="J4" s="27" t="s">
        <v>17</v>
      </c>
      <c r="K4" s="27" t="s">
        <v>18</v>
      </c>
      <c r="L4" s="27" t="s">
        <v>20</v>
      </c>
      <c r="M4" s="28" t="s">
        <v>86</v>
      </c>
      <c r="N4" s="57" t="s">
        <v>83</v>
      </c>
      <c r="O4" s="58" t="s">
        <v>84</v>
      </c>
    </row>
    <row r="5" spans="1:15">
      <c r="A5" s="1" t="s">
        <v>1</v>
      </c>
      <c r="B5" s="21" t="s">
        <v>22</v>
      </c>
      <c r="C5" s="23">
        <v>20</v>
      </c>
      <c r="D5" s="23">
        <v>18</v>
      </c>
      <c r="E5" s="46">
        <v>20</v>
      </c>
      <c r="F5" s="59">
        <f>SUM(C5:E5)</f>
        <v>58</v>
      </c>
      <c r="G5" s="22">
        <v>19</v>
      </c>
      <c r="H5" s="23">
        <v>17</v>
      </c>
      <c r="I5" s="23">
        <v>17</v>
      </c>
      <c r="J5" s="23">
        <v>20</v>
      </c>
      <c r="K5" s="23">
        <v>19</v>
      </c>
      <c r="L5" s="23">
        <v>18</v>
      </c>
      <c r="M5" s="24">
        <v>18</v>
      </c>
      <c r="N5" s="59">
        <f>SUM(G5:M5)</f>
        <v>128</v>
      </c>
      <c r="O5" s="59">
        <f>F5+N5</f>
        <v>186</v>
      </c>
    </row>
    <row r="6" spans="1:15">
      <c r="A6" s="1" t="s">
        <v>1</v>
      </c>
      <c r="B6" s="4" t="s">
        <v>23</v>
      </c>
      <c r="C6" s="10">
        <v>0</v>
      </c>
      <c r="D6" s="10">
        <v>0</v>
      </c>
      <c r="E6" s="47">
        <v>2</v>
      </c>
      <c r="F6" s="60">
        <f>SUM(C6:E6)</f>
        <v>2</v>
      </c>
      <c r="G6" s="9">
        <v>3</v>
      </c>
      <c r="H6" s="10">
        <v>3</v>
      </c>
      <c r="I6" s="10">
        <v>3</v>
      </c>
      <c r="J6" s="10">
        <v>5</v>
      </c>
      <c r="K6" s="10">
        <v>3</v>
      </c>
      <c r="L6" s="10">
        <v>4</v>
      </c>
      <c r="M6" s="11">
        <v>4</v>
      </c>
      <c r="N6" s="60">
        <f>SUM(G6:M6)</f>
        <v>25</v>
      </c>
      <c r="O6" s="60">
        <f t="shared" ref="O6:O54" si="0">F6+N6</f>
        <v>27</v>
      </c>
    </row>
    <row r="7" spans="1:15">
      <c r="A7" s="1" t="s">
        <v>1</v>
      </c>
      <c r="B7" s="4" t="s">
        <v>24</v>
      </c>
      <c r="C7" s="10">
        <v>0</v>
      </c>
      <c r="D7" s="10">
        <v>0</v>
      </c>
      <c r="E7" s="47">
        <v>1</v>
      </c>
      <c r="F7" s="60">
        <f>SUM(C7:E7)</f>
        <v>1</v>
      </c>
      <c r="G7" s="9">
        <v>2</v>
      </c>
      <c r="H7" s="10">
        <v>5</v>
      </c>
      <c r="I7" s="10">
        <v>4</v>
      </c>
      <c r="J7" s="10">
        <v>1</v>
      </c>
      <c r="K7" s="10">
        <v>2</v>
      </c>
      <c r="L7" s="10">
        <v>1</v>
      </c>
      <c r="M7" s="11">
        <v>2</v>
      </c>
      <c r="N7" s="60">
        <f t="shared" ref="N7:N10" si="1">SUM(G7:M7)</f>
        <v>17</v>
      </c>
      <c r="O7" s="60">
        <f t="shared" si="0"/>
        <v>18</v>
      </c>
    </row>
    <row r="8" spans="1:15">
      <c r="A8" s="1" t="s">
        <v>1</v>
      </c>
      <c r="B8" s="4" t="s">
        <v>25</v>
      </c>
      <c r="C8" s="10">
        <v>0</v>
      </c>
      <c r="D8" s="10">
        <v>0</v>
      </c>
      <c r="E8" s="47">
        <v>0</v>
      </c>
      <c r="F8" s="60"/>
      <c r="G8" s="9">
        <v>0</v>
      </c>
      <c r="H8" s="10">
        <v>2</v>
      </c>
      <c r="I8" s="10">
        <v>1</v>
      </c>
      <c r="J8" s="10">
        <v>0</v>
      </c>
      <c r="K8" s="10">
        <v>0</v>
      </c>
      <c r="L8" s="10">
        <v>1</v>
      </c>
      <c r="M8" s="11">
        <v>1</v>
      </c>
      <c r="N8" s="60">
        <f t="shared" si="1"/>
        <v>5</v>
      </c>
      <c r="O8" s="60">
        <f t="shared" si="0"/>
        <v>5</v>
      </c>
    </row>
    <row r="9" spans="1:15">
      <c r="A9" s="1" t="s">
        <v>1</v>
      </c>
      <c r="B9" s="4" t="s">
        <v>26</v>
      </c>
      <c r="C9" s="10">
        <v>0</v>
      </c>
      <c r="D9" s="10">
        <v>0</v>
      </c>
      <c r="E9" s="47">
        <v>0</v>
      </c>
      <c r="F9" s="60"/>
      <c r="G9" s="9">
        <v>1</v>
      </c>
      <c r="H9" s="10">
        <v>1</v>
      </c>
      <c r="I9" s="10">
        <v>0</v>
      </c>
      <c r="J9" s="10">
        <v>0</v>
      </c>
      <c r="K9" s="10">
        <v>1</v>
      </c>
      <c r="L9" s="10">
        <v>0</v>
      </c>
      <c r="M9" s="11">
        <v>0</v>
      </c>
      <c r="N9" s="60">
        <f t="shared" si="1"/>
        <v>3</v>
      </c>
      <c r="O9" s="60">
        <f t="shared" si="0"/>
        <v>3</v>
      </c>
    </row>
    <row r="10" spans="1:15">
      <c r="A10" s="1" t="s">
        <v>1</v>
      </c>
      <c r="B10" s="4" t="s">
        <v>27</v>
      </c>
      <c r="C10" s="10">
        <v>0</v>
      </c>
      <c r="D10" s="10">
        <v>0</v>
      </c>
      <c r="E10" s="47">
        <v>0</v>
      </c>
      <c r="F10" s="60"/>
      <c r="G10" s="9">
        <v>0</v>
      </c>
      <c r="H10" s="10">
        <v>0</v>
      </c>
      <c r="I10" s="10">
        <v>2</v>
      </c>
      <c r="J10" s="10">
        <v>0</v>
      </c>
      <c r="K10" s="10">
        <v>0</v>
      </c>
      <c r="L10" s="10">
        <v>1</v>
      </c>
      <c r="M10" s="11">
        <v>1</v>
      </c>
      <c r="N10" s="60">
        <f t="shared" si="1"/>
        <v>4</v>
      </c>
      <c r="O10" s="60">
        <f t="shared" si="0"/>
        <v>4</v>
      </c>
    </row>
    <row r="11" spans="1:15">
      <c r="A11" s="1" t="s">
        <v>1</v>
      </c>
      <c r="B11" s="4" t="s">
        <v>28</v>
      </c>
      <c r="C11" s="10">
        <v>0</v>
      </c>
      <c r="D11" s="10">
        <v>0</v>
      </c>
      <c r="E11" s="47">
        <v>0</v>
      </c>
      <c r="F11" s="60"/>
      <c r="G11" s="9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1">
        <v>0</v>
      </c>
      <c r="N11" s="60"/>
      <c r="O11" s="60">
        <f t="shared" si="0"/>
        <v>0</v>
      </c>
    </row>
    <row r="12" spans="1:15">
      <c r="A12" s="1" t="s">
        <v>1</v>
      </c>
      <c r="B12" s="4" t="s">
        <v>29</v>
      </c>
      <c r="C12" s="10">
        <v>0</v>
      </c>
      <c r="D12" s="10">
        <v>0</v>
      </c>
      <c r="E12" s="47">
        <v>0</v>
      </c>
      <c r="F12" s="60"/>
      <c r="G12" s="9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1">
        <v>0</v>
      </c>
      <c r="N12" s="60"/>
      <c r="O12" s="60">
        <f t="shared" si="0"/>
        <v>0</v>
      </c>
    </row>
    <row r="13" spans="1:15">
      <c r="A13" s="1" t="s">
        <v>1</v>
      </c>
      <c r="B13" s="4" t="s">
        <v>30</v>
      </c>
      <c r="C13" s="13">
        <v>0</v>
      </c>
      <c r="D13" s="13">
        <v>0</v>
      </c>
      <c r="E13" s="48">
        <v>0</v>
      </c>
      <c r="F13" s="61"/>
      <c r="G13" s="12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4">
        <v>0</v>
      </c>
      <c r="N13" s="61"/>
      <c r="O13" s="61">
        <f t="shared" si="0"/>
        <v>0</v>
      </c>
    </row>
    <row r="14" spans="1:15">
      <c r="A14" s="1" t="s">
        <v>1</v>
      </c>
      <c r="B14" s="4" t="s">
        <v>31</v>
      </c>
      <c r="C14" s="13">
        <v>0</v>
      </c>
      <c r="D14" s="13">
        <v>0</v>
      </c>
      <c r="E14" s="48">
        <v>0.20833333333333334</v>
      </c>
      <c r="F14" s="61">
        <f>SUM(C14:E14)</f>
        <v>0.20833333333333334</v>
      </c>
      <c r="G14" s="12">
        <v>2</v>
      </c>
      <c r="H14" s="13">
        <v>0.875</v>
      </c>
      <c r="I14" s="13">
        <v>1.2083333333333333</v>
      </c>
      <c r="J14" s="13">
        <v>1.7916666666666665</v>
      </c>
      <c r="K14" s="13">
        <v>2</v>
      </c>
      <c r="L14" s="13">
        <v>1.3333333333333333</v>
      </c>
      <c r="M14" s="14">
        <v>2.0833333333333335</v>
      </c>
      <c r="N14" s="61">
        <f>SUM(G14:M14)</f>
        <v>11.291666666666668</v>
      </c>
      <c r="O14" s="61">
        <f t="shared" si="0"/>
        <v>11.500000000000002</v>
      </c>
    </row>
    <row r="15" spans="1:15">
      <c r="A15" s="1" t="s">
        <v>1</v>
      </c>
      <c r="B15" s="4" t="s">
        <v>32</v>
      </c>
      <c r="C15" s="13">
        <v>0</v>
      </c>
      <c r="D15" s="13">
        <v>0</v>
      </c>
      <c r="E15" s="48">
        <v>0.66666666666666663</v>
      </c>
      <c r="F15" s="61">
        <f t="shared" ref="F15:F16" si="2">SUM(C15:E15)</f>
        <v>0.66666666666666663</v>
      </c>
      <c r="G15" s="12">
        <v>1.5</v>
      </c>
      <c r="H15" s="13">
        <v>0.66666666666666663</v>
      </c>
      <c r="I15" s="13">
        <v>1.125</v>
      </c>
      <c r="J15" s="13">
        <v>2</v>
      </c>
      <c r="K15" s="13">
        <v>1.0833333333333333</v>
      </c>
      <c r="L15" s="13">
        <v>1.625</v>
      </c>
      <c r="M15" s="14">
        <v>1.7083333333333335</v>
      </c>
      <c r="N15" s="61">
        <f t="shared" ref="N15:N18" si="3">SUM(G15:M15)</f>
        <v>9.7083333333333321</v>
      </c>
      <c r="O15" s="61">
        <f t="shared" si="0"/>
        <v>10.374999999999998</v>
      </c>
    </row>
    <row r="16" spans="1:15">
      <c r="A16" s="1" t="s">
        <v>1</v>
      </c>
      <c r="B16" s="4" t="s">
        <v>33</v>
      </c>
      <c r="C16" s="13">
        <v>0</v>
      </c>
      <c r="D16" s="13">
        <v>0</v>
      </c>
      <c r="E16" s="48">
        <v>0.29166666666666669</v>
      </c>
      <c r="F16" s="61">
        <f t="shared" si="2"/>
        <v>0.29166666666666669</v>
      </c>
      <c r="G16" s="12">
        <v>0.79166666666666663</v>
      </c>
      <c r="H16" s="13">
        <v>1.375</v>
      </c>
      <c r="I16" s="13">
        <v>1.0416666666666667</v>
      </c>
      <c r="J16" s="13">
        <v>0.45833333333333331</v>
      </c>
      <c r="K16" s="13">
        <v>0.5</v>
      </c>
      <c r="L16" s="13">
        <v>0</v>
      </c>
      <c r="M16" s="14">
        <v>0.33333333333333331</v>
      </c>
      <c r="N16" s="61">
        <f t="shared" si="3"/>
        <v>4.4999999999999991</v>
      </c>
      <c r="O16" s="61">
        <f t="shared" si="0"/>
        <v>4.7916666666666661</v>
      </c>
    </row>
    <row r="17" spans="1:15">
      <c r="A17" s="1" t="s">
        <v>1</v>
      </c>
      <c r="B17" s="4" t="s">
        <v>34</v>
      </c>
      <c r="C17" s="13">
        <v>0</v>
      </c>
      <c r="D17" s="13">
        <v>0</v>
      </c>
      <c r="E17" s="48">
        <v>0</v>
      </c>
      <c r="F17" s="61"/>
      <c r="G17" s="12">
        <v>0</v>
      </c>
      <c r="H17" s="13">
        <v>0.33333333333333331</v>
      </c>
      <c r="I17" s="13">
        <v>0</v>
      </c>
      <c r="J17" s="13">
        <v>0</v>
      </c>
      <c r="K17" s="13">
        <v>0</v>
      </c>
      <c r="L17" s="13">
        <v>0</v>
      </c>
      <c r="M17" s="14">
        <v>0</v>
      </c>
      <c r="N17" s="61">
        <f t="shared" si="3"/>
        <v>0.33333333333333331</v>
      </c>
      <c r="O17" s="61">
        <f t="shared" si="0"/>
        <v>0.33333333333333331</v>
      </c>
    </row>
    <row r="18" spans="1:15">
      <c r="A18" s="1" t="s">
        <v>1</v>
      </c>
      <c r="B18" s="4" t="s">
        <v>35</v>
      </c>
      <c r="C18" s="13">
        <v>0</v>
      </c>
      <c r="D18" s="13">
        <v>0</v>
      </c>
      <c r="E18" s="48">
        <v>0</v>
      </c>
      <c r="F18" s="61"/>
      <c r="G18" s="12">
        <v>0</v>
      </c>
      <c r="H18" s="13">
        <v>0.33333333333333331</v>
      </c>
      <c r="I18" s="13">
        <v>0.29166666666666669</v>
      </c>
      <c r="J18" s="13">
        <v>0</v>
      </c>
      <c r="K18" s="13">
        <v>0</v>
      </c>
      <c r="L18" s="13">
        <v>0.29166666666666669</v>
      </c>
      <c r="M18" s="14">
        <v>0.25</v>
      </c>
      <c r="N18" s="61">
        <f t="shared" si="3"/>
        <v>1.1666666666666667</v>
      </c>
      <c r="O18" s="61">
        <f t="shared" si="0"/>
        <v>1.1666666666666667</v>
      </c>
    </row>
    <row r="19" spans="1:15">
      <c r="A19" s="1" t="s">
        <v>1</v>
      </c>
      <c r="B19" s="4" t="s">
        <v>36</v>
      </c>
      <c r="C19" s="13">
        <v>0</v>
      </c>
      <c r="D19" s="13">
        <v>0</v>
      </c>
      <c r="E19" s="48">
        <v>0.29166666666666669</v>
      </c>
      <c r="F19" s="61">
        <f>SUM(C19:E19)</f>
        <v>0.29166666666666669</v>
      </c>
      <c r="G19" s="12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4">
        <v>0</v>
      </c>
      <c r="N19" s="61"/>
      <c r="O19" s="61">
        <f t="shared" si="0"/>
        <v>0.29166666666666669</v>
      </c>
    </row>
    <row r="20" spans="1:15">
      <c r="A20" s="1" t="s">
        <v>1</v>
      </c>
      <c r="B20" s="4" t="s">
        <v>37</v>
      </c>
      <c r="C20" s="13">
        <v>0</v>
      </c>
      <c r="D20" s="13">
        <v>0</v>
      </c>
      <c r="E20" s="48">
        <v>0</v>
      </c>
      <c r="F20" s="61">
        <f t="shared" ref="F20" si="4">SUM(C20:E20)</f>
        <v>0</v>
      </c>
      <c r="G20" s="12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4">
        <v>0</v>
      </c>
      <c r="N20" s="61"/>
      <c r="O20" s="61">
        <f t="shared" si="0"/>
        <v>0</v>
      </c>
    </row>
    <row r="21" spans="1:15">
      <c r="A21" s="1" t="s">
        <v>1</v>
      </c>
      <c r="B21" s="4" t="s">
        <v>38</v>
      </c>
      <c r="C21" s="13">
        <v>0</v>
      </c>
      <c r="D21" s="13">
        <v>0</v>
      </c>
      <c r="E21" s="48">
        <v>0</v>
      </c>
      <c r="F21" s="61"/>
      <c r="G21" s="12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4">
        <v>0</v>
      </c>
      <c r="N21" s="61"/>
      <c r="O21" s="61">
        <f t="shared" si="0"/>
        <v>0</v>
      </c>
    </row>
    <row r="22" spans="1:15">
      <c r="A22" s="1" t="s">
        <v>1</v>
      </c>
      <c r="B22" s="4" t="s">
        <v>39</v>
      </c>
      <c r="C22" s="13">
        <v>0.29166666666666669</v>
      </c>
      <c r="D22" s="13">
        <v>0</v>
      </c>
      <c r="E22" s="48">
        <v>0</v>
      </c>
      <c r="F22" s="61">
        <f>SUM(C22:E22)</f>
        <v>0.29166666666666669</v>
      </c>
      <c r="G22" s="12">
        <v>1</v>
      </c>
      <c r="H22" s="13">
        <v>2.4166666666666665</v>
      </c>
      <c r="I22" s="13">
        <v>1.8333333333333335</v>
      </c>
      <c r="J22" s="13">
        <v>1.625</v>
      </c>
      <c r="K22" s="13">
        <v>1.2083333333333333</v>
      </c>
      <c r="L22" s="13">
        <v>0.70833333333333337</v>
      </c>
      <c r="M22" s="14">
        <v>0.625</v>
      </c>
      <c r="N22" s="61">
        <f>SUM(G22:M22)</f>
        <v>9.4166666666666679</v>
      </c>
      <c r="O22" s="61">
        <f t="shared" si="0"/>
        <v>9.7083333333333339</v>
      </c>
    </row>
    <row r="23" spans="1:15" ht="19.5" thickBot="1">
      <c r="A23" s="1" t="s">
        <v>1</v>
      </c>
      <c r="B23" s="5" t="s">
        <v>40</v>
      </c>
      <c r="C23" s="33">
        <v>35.5</v>
      </c>
      <c r="D23" s="33">
        <v>15</v>
      </c>
      <c r="E23" s="49">
        <v>16</v>
      </c>
      <c r="F23" s="62">
        <f>SUM(C23:E23)</f>
        <v>66.5</v>
      </c>
      <c r="G23" s="32">
        <v>33</v>
      </c>
      <c r="H23" s="33">
        <v>31</v>
      </c>
      <c r="I23" s="33">
        <v>28</v>
      </c>
      <c r="J23" s="33">
        <v>31</v>
      </c>
      <c r="K23" s="33">
        <v>13</v>
      </c>
      <c r="L23" s="33">
        <v>9</v>
      </c>
      <c r="M23" s="34">
        <v>7</v>
      </c>
      <c r="N23" s="62">
        <f>SUM(G23:M23)</f>
        <v>152</v>
      </c>
      <c r="O23" s="62">
        <f t="shared" si="0"/>
        <v>218.5</v>
      </c>
    </row>
    <row r="24" spans="1:15">
      <c r="A24" s="1" t="s">
        <v>1</v>
      </c>
      <c r="B24" s="21" t="s">
        <v>41</v>
      </c>
      <c r="C24" s="30">
        <v>355000</v>
      </c>
      <c r="D24" s="30">
        <v>355000</v>
      </c>
      <c r="E24" s="50">
        <v>170000</v>
      </c>
      <c r="F24" s="63">
        <f>SUM(C24:E24)</f>
        <v>880000</v>
      </c>
      <c r="G24" s="29">
        <v>177000</v>
      </c>
      <c r="H24" s="30">
        <v>177000</v>
      </c>
      <c r="I24" s="30">
        <v>177000</v>
      </c>
      <c r="J24" s="30">
        <v>192000</v>
      </c>
      <c r="K24" s="30">
        <v>177000</v>
      </c>
      <c r="L24" s="30">
        <v>170000</v>
      </c>
      <c r="M24" s="31">
        <v>170000</v>
      </c>
      <c r="N24" s="63">
        <f>SUM(G24:M24)</f>
        <v>1240000</v>
      </c>
      <c r="O24" s="63">
        <f t="shared" si="0"/>
        <v>2120000</v>
      </c>
    </row>
    <row r="25" spans="1:15">
      <c r="A25" s="1" t="s">
        <v>1</v>
      </c>
      <c r="B25" s="4" t="s">
        <v>42</v>
      </c>
      <c r="C25" s="16">
        <v>0</v>
      </c>
      <c r="D25" s="16">
        <v>0</v>
      </c>
      <c r="E25" s="51">
        <v>0</v>
      </c>
      <c r="F25" s="64">
        <f t="shared" ref="F25:F62" si="5">SUM(C25:E25)</f>
        <v>0</v>
      </c>
      <c r="G25" s="15">
        <v>5000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7">
        <v>0</v>
      </c>
      <c r="N25" s="64">
        <f t="shared" ref="N25:N62" si="6">SUM(G25:M25)</f>
        <v>5000</v>
      </c>
      <c r="O25" s="64">
        <f t="shared" si="0"/>
        <v>5000</v>
      </c>
    </row>
    <row r="26" spans="1:15">
      <c r="A26" s="1" t="s">
        <v>1</v>
      </c>
      <c r="B26" s="4" t="s">
        <v>43</v>
      </c>
      <c r="C26" s="16">
        <v>0</v>
      </c>
      <c r="D26" s="16">
        <v>0</v>
      </c>
      <c r="E26" s="51">
        <v>6000</v>
      </c>
      <c r="F26" s="64">
        <f t="shared" si="5"/>
        <v>6000</v>
      </c>
      <c r="G26" s="15">
        <v>0</v>
      </c>
      <c r="H26" s="16">
        <v>10000</v>
      </c>
      <c r="I26" s="16">
        <v>0</v>
      </c>
      <c r="J26" s="16">
        <v>0</v>
      </c>
      <c r="K26" s="16">
        <v>0</v>
      </c>
      <c r="L26" s="16">
        <v>0</v>
      </c>
      <c r="M26" s="17">
        <v>0</v>
      </c>
      <c r="N26" s="64">
        <f t="shared" si="6"/>
        <v>10000</v>
      </c>
      <c r="O26" s="64">
        <f t="shared" si="0"/>
        <v>16000</v>
      </c>
    </row>
    <row r="27" spans="1:15">
      <c r="A27" s="1" t="s">
        <v>1</v>
      </c>
      <c r="B27" s="4" t="s">
        <v>44</v>
      </c>
      <c r="C27" s="16">
        <v>0</v>
      </c>
      <c r="D27" s="16">
        <v>0</v>
      </c>
      <c r="E27" s="51">
        <v>0</v>
      </c>
      <c r="F27" s="64">
        <f t="shared" si="5"/>
        <v>0</v>
      </c>
      <c r="G27" s="15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7">
        <v>0</v>
      </c>
      <c r="N27" s="64">
        <f t="shared" si="6"/>
        <v>0</v>
      </c>
      <c r="O27" s="64">
        <f t="shared" si="0"/>
        <v>0</v>
      </c>
    </row>
    <row r="28" spans="1:15">
      <c r="A28" s="1" t="s">
        <v>1</v>
      </c>
      <c r="B28" s="4" t="s">
        <v>45</v>
      </c>
      <c r="C28" s="16">
        <v>0</v>
      </c>
      <c r="D28" s="16">
        <v>0</v>
      </c>
      <c r="E28" s="51">
        <v>0</v>
      </c>
      <c r="F28" s="64">
        <f t="shared" si="5"/>
        <v>0</v>
      </c>
      <c r="G28" s="15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7">
        <v>0</v>
      </c>
      <c r="N28" s="64">
        <f t="shared" si="6"/>
        <v>0</v>
      </c>
      <c r="O28" s="64">
        <f t="shared" si="0"/>
        <v>0</v>
      </c>
    </row>
    <row r="29" spans="1:15">
      <c r="A29" s="1" t="s">
        <v>1</v>
      </c>
      <c r="B29" s="4" t="s">
        <v>46</v>
      </c>
      <c r="C29" s="16">
        <v>0</v>
      </c>
      <c r="D29" s="16">
        <v>0</v>
      </c>
      <c r="E29" s="51">
        <v>0</v>
      </c>
      <c r="F29" s="64">
        <f t="shared" si="5"/>
        <v>0</v>
      </c>
      <c r="G29" s="15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7">
        <v>0</v>
      </c>
      <c r="N29" s="64">
        <f t="shared" si="6"/>
        <v>0</v>
      </c>
      <c r="O29" s="64">
        <f t="shared" si="0"/>
        <v>0</v>
      </c>
    </row>
    <row r="30" spans="1:15">
      <c r="A30" s="1" t="s">
        <v>1</v>
      </c>
      <c r="B30" s="4" t="s">
        <v>47</v>
      </c>
      <c r="C30" s="16">
        <v>0</v>
      </c>
      <c r="D30" s="16">
        <v>0</v>
      </c>
      <c r="E30" s="51">
        <v>0</v>
      </c>
      <c r="F30" s="64">
        <f t="shared" si="5"/>
        <v>0</v>
      </c>
      <c r="G30" s="15">
        <v>29800</v>
      </c>
      <c r="H30" s="16">
        <v>27600</v>
      </c>
      <c r="I30" s="16">
        <v>28000</v>
      </c>
      <c r="J30" s="16">
        <v>28000</v>
      </c>
      <c r="K30" s="16">
        <v>0</v>
      </c>
      <c r="L30" s="16">
        <v>14500</v>
      </c>
      <c r="M30" s="17">
        <v>0</v>
      </c>
      <c r="N30" s="64">
        <f t="shared" si="6"/>
        <v>127900</v>
      </c>
      <c r="O30" s="64">
        <f t="shared" si="0"/>
        <v>127900</v>
      </c>
    </row>
    <row r="31" spans="1:15">
      <c r="A31" s="1" t="s">
        <v>1</v>
      </c>
      <c r="B31" s="4" t="s">
        <v>48</v>
      </c>
      <c r="C31" s="16">
        <v>0</v>
      </c>
      <c r="D31" s="16">
        <v>0</v>
      </c>
      <c r="E31" s="51">
        <v>0</v>
      </c>
      <c r="F31" s="64">
        <f t="shared" si="5"/>
        <v>0</v>
      </c>
      <c r="G31" s="15">
        <v>2000</v>
      </c>
      <c r="H31" s="16">
        <v>2000</v>
      </c>
      <c r="I31" s="16">
        <v>2000</v>
      </c>
      <c r="J31" s="16">
        <v>2000</v>
      </c>
      <c r="K31" s="16">
        <v>1000</v>
      </c>
      <c r="L31" s="16">
        <v>0</v>
      </c>
      <c r="M31" s="17">
        <v>0</v>
      </c>
      <c r="N31" s="64">
        <f t="shared" si="6"/>
        <v>9000</v>
      </c>
      <c r="O31" s="64">
        <f t="shared" si="0"/>
        <v>9000</v>
      </c>
    </row>
    <row r="32" spans="1:15">
      <c r="A32" s="1" t="s">
        <v>1</v>
      </c>
      <c r="B32" s="4" t="s">
        <v>49</v>
      </c>
      <c r="C32" s="16">
        <v>0</v>
      </c>
      <c r="D32" s="16">
        <v>0</v>
      </c>
      <c r="E32" s="51">
        <v>0</v>
      </c>
      <c r="F32" s="64">
        <f t="shared" si="5"/>
        <v>0</v>
      </c>
      <c r="G32" s="15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7">
        <v>0</v>
      </c>
      <c r="N32" s="64">
        <f t="shared" si="6"/>
        <v>0</v>
      </c>
      <c r="O32" s="64">
        <f t="shared" si="0"/>
        <v>0</v>
      </c>
    </row>
    <row r="33" spans="1:15">
      <c r="A33" s="1" t="s">
        <v>1</v>
      </c>
      <c r="B33" s="4" t="s">
        <v>50</v>
      </c>
      <c r="C33" s="16">
        <v>0</v>
      </c>
      <c r="D33" s="16">
        <v>0</v>
      </c>
      <c r="E33" s="51">
        <v>0</v>
      </c>
      <c r="F33" s="64">
        <f t="shared" si="5"/>
        <v>0</v>
      </c>
      <c r="G33" s="15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7">
        <v>0</v>
      </c>
      <c r="N33" s="64">
        <f t="shared" si="6"/>
        <v>0</v>
      </c>
      <c r="O33" s="64">
        <f t="shared" si="0"/>
        <v>0</v>
      </c>
    </row>
    <row r="34" spans="1:15">
      <c r="A34" s="1" t="s">
        <v>1</v>
      </c>
      <c r="B34" s="4" t="s">
        <v>51</v>
      </c>
      <c r="C34" s="16">
        <v>0</v>
      </c>
      <c r="D34" s="16">
        <v>0</v>
      </c>
      <c r="E34" s="51">
        <v>0</v>
      </c>
      <c r="F34" s="64">
        <f t="shared" si="5"/>
        <v>0</v>
      </c>
      <c r="G34" s="15">
        <v>0</v>
      </c>
      <c r="H34" s="16">
        <v>12600</v>
      </c>
      <c r="I34" s="16">
        <v>0</v>
      </c>
      <c r="J34" s="16">
        <v>0</v>
      </c>
      <c r="K34" s="16">
        <v>0</v>
      </c>
      <c r="L34" s="16">
        <v>0</v>
      </c>
      <c r="M34" s="17">
        <v>0</v>
      </c>
      <c r="N34" s="64">
        <f t="shared" si="6"/>
        <v>12600</v>
      </c>
      <c r="O34" s="64">
        <f t="shared" si="0"/>
        <v>12600</v>
      </c>
    </row>
    <row r="35" spans="1:15">
      <c r="A35" s="1" t="s">
        <v>1</v>
      </c>
      <c r="B35" s="4" t="s">
        <v>52</v>
      </c>
      <c r="C35" s="16">
        <v>0</v>
      </c>
      <c r="D35" s="16">
        <v>0</v>
      </c>
      <c r="E35" s="51">
        <v>0</v>
      </c>
      <c r="F35" s="64">
        <f t="shared" si="5"/>
        <v>0</v>
      </c>
      <c r="G35" s="15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7">
        <v>0</v>
      </c>
      <c r="N35" s="64">
        <f t="shared" si="6"/>
        <v>0</v>
      </c>
      <c r="O35" s="64">
        <f t="shared" si="0"/>
        <v>0</v>
      </c>
    </row>
    <row r="36" spans="1:15">
      <c r="A36" s="1" t="s">
        <v>1</v>
      </c>
      <c r="B36" s="4" t="s">
        <v>53</v>
      </c>
      <c r="C36" s="16">
        <v>0</v>
      </c>
      <c r="D36" s="16">
        <v>0</v>
      </c>
      <c r="E36" s="51">
        <v>0</v>
      </c>
      <c r="F36" s="64">
        <f t="shared" si="5"/>
        <v>0</v>
      </c>
      <c r="G36" s="15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7">
        <v>0</v>
      </c>
      <c r="N36" s="64">
        <f t="shared" si="6"/>
        <v>0</v>
      </c>
      <c r="O36" s="64">
        <f t="shared" si="0"/>
        <v>0</v>
      </c>
    </row>
    <row r="37" spans="1:15">
      <c r="A37" s="1" t="s">
        <v>1</v>
      </c>
      <c r="B37" s="4" t="s">
        <v>31</v>
      </c>
      <c r="C37" s="16">
        <v>0</v>
      </c>
      <c r="D37" s="16">
        <v>0</v>
      </c>
      <c r="E37" s="51">
        <v>7530</v>
      </c>
      <c r="F37" s="64">
        <f t="shared" si="5"/>
        <v>7530</v>
      </c>
      <c r="G37" s="15">
        <v>66144</v>
      </c>
      <c r="H37" s="16">
        <v>31689</v>
      </c>
      <c r="I37" s="16">
        <v>38860</v>
      </c>
      <c r="J37" s="16">
        <v>62479</v>
      </c>
      <c r="K37" s="16">
        <v>63984</v>
      </c>
      <c r="L37" s="16">
        <v>40736</v>
      </c>
      <c r="M37" s="17">
        <v>63650</v>
      </c>
      <c r="N37" s="64">
        <f t="shared" si="6"/>
        <v>367542</v>
      </c>
      <c r="O37" s="64">
        <f t="shared" si="0"/>
        <v>375072</v>
      </c>
    </row>
    <row r="38" spans="1:15">
      <c r="A38" s="1" t="s">
        <v>1</v>
      </c>
      <c r="B38" s="4" t="s">
        <v>54</v>
      </c>
      <c r="C38" s="16">
        <v>0</v>
      </c>
      <c r="D38" s="16">
        <v>0</v>
      </c>
      <c r="E38" s="51">
        <v>26032</v>
      </c>
      <c r="F38" s="64">
        <f t="shared" si="5"/>
        <v>26032</v>
      </c>
      <c r="G38" s="15">
        <v>53568</v>
      </c>
      <c r="H38" s="16">
        <v>26064</v>
      </c>
      <c r="I38" s="16">
        <v>39069</v>
      </c>
      <c r="J38" s="16">
        <v>75312</v>
      </c>
      <c r="K38" s="16">
        <v>37414</v>
      </c>
      <c r="L38" s="16">
        <v>53586</v>
      </c>
      <c r="M38" s="17">
        <v>56334</v>
      </c>
      <c r="N38" s="64">
        <f t="shared" si="6"/>
        <v>341347</v>
      </c>
      <c r="O38" s="64">
        <f t="shared" si="0"/>
        <v>367379</v>
      </c>
    </row>
    <row r="39" spans="1:15">
      <c r="A39" s="1" t="s">
        <v>1</v>
      </c>
      <c r="B39" s="4" t="s">
        <v>55</v>
      </c>
      <c r="C39" s="16">
        <v>0</v>
      </c>
      <c r="D39" s="16">
        <v>0</v>
      </c>
      <c r="E39" s="51">
        <v>11389</v>
      </c>
      <c r="F39" s="64">
        <f t="shared" si="5"/>
        <v>11389</v>
      </c>
      <c r="G39" s="15">
        <v>28272</v>
      </c>
      <c r="H39" s="16">
        <v>53757</v>
      </c>
      <c r="I39" s="16">
        <v>36175</v>
      </c>
      <c r="J39" s="16">
        <v>17259</v>
      </c>
      <c r="K39" s="16">
        <v>17268</v>
      </c>
      <c r="L39" s="16">
        <v>0</v>
      </c>
      <c r="M39" s="17">
        <v>10992</v>
      </c>
      <c r="N39" s="64">
        <f t="shared" si="6"/>
        <v>163723</v>
      </c>
      <c r="O39" s="64">
        <f t="shared" si="0"/>
        <v>175112</v>
      </c>
    </row>
    <row r="40" spans="1:15">
      <c r="A40" s="1" t="s">
        <v>1</v>
      </c>
      <c r="B40" s="4" t="s">
        <v>56</v>
      </c>
      <c r="C40" s="16">
        <v>0</v>
      </c>
      <c r="D40" s="16">
        <v>0</v>
      </c>
      <c r="E40" s="51">
        <v>0</v>
      </c>
      <c r="F40" s="64">
        <f t="shared" si="5"/>
        <v>0</v>
      </c>
      <c r="G40" s="15">
        <v>0</v>
      </c>
      <c r="H40" s="16">
        <v>3376</v>
      </c>
      <c r="I40" s="16">
        <v>0</v>
      </c>
      <c r="J40" s="16">
        <v>0</v>
      </c>
      <c r="K40" s="16">
        <v>0</v>
      </c>
      <c r="L40" s="16">
        <v>0</v>
      </c>
      <c r="M40" s="17">
        <v>0</v>
      </c>
      <c r="N40" s="64">
        <f t="shared" si="6"/>
        <v>3376</v>
      </c>
      <c r="O40" s="64">
        <f t="shared" si="0"/>
        <v>3376</v>
      </c>
    </row>
    <row r="41" spans="1:15">
      <c r="A41" s="1" t="s">
        <v>1</v>
      </c>
      <c r="B41" s="4" t="s">
        <v>57</v>
      </c>
      <c r="C41" s="16">
        <v>0</v>
      </c>
      <c r="D41" s="16">
        <v>0</v>
      </c>
      <c r="E41" s="51">
        <v>0</v>
      </c>
      <c r="F41" s="64">
        <f t="shared" si="5"/>
        <v>0</v>
      </c>
      <c r="G41" s="15">
        <v>0</v>
      </c>
      <c r="H41" s="16">
        <v>3376</v>
      </c>
      <c r="I41" s="16">
        <v>2625</v>
      </c>
      <c r="J41" s="16">
        <v>0</v>
      </c>
      <c r="K41" s="16">
        <v>0</v>
      </c>
      <c r="L41" s="16">
        <v>2492</v>
      </c>
      <c r="M41" s="17">
        <v>2136</v>
      </c>
      <c r="N41" s="64">
        <f t="shared" si="6"/>
        <v>10629</v>
      </c>
      <c r="O41" s="64">
        <f t="shared" si="0"/>
        <v>10629</v>
      </c>
    </row>
    <row r="42" spans="1:15">
      <c r="A42" s="1" t="s">
        <v>1</v>
      </c>
      <c r="B42" s="4" t="s">
        <v>58</v>
      </c>
      <c r="C42" s="16">
        <v>0</v>
      </c>
      <c r="D42" s="16">
        <v>0</v>
      </c>
      <c r="E42" s="51">
        <v>0</v>
      </c>
      <c r="F42" s="64">
        <f t="shared" si="5"/>
        <v>0</v>
      </c>
      <c r="G42" s="15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7">
        <v>0</v>
      </c>
      <c r="N42" s="64">
        <f t="shared" si="6"/>
        <v>0</v>
      </c>
      <c r="O42" s="64">
        <f t="shared" si="0"/>
        <v>0</v>
      </c>
    </row>
    <row r="43" spans="1:15">
      <c r="A43" s="1" t="s">
        <v>1</v>
      </c>
      <c r="B43" s="4" t="s">
        <v>36</v>
      </c>
      <c r="C43" s="16">
        <v>0</v>
      </c>
      <c r="D43" s="16">
        <v>0</v>
      </c>
      <c r="E43" s="51">
        <v>8435</v>
      </c>
      <c r="F43" s="64">
        <f t="shared" si="5"/>
        <v>8435</v>
      </c>
      <c r="G43" s="15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7">
        <v>0</v>
      </c>
      <c r="N43" s="64">
        <f t="shared" si="6"/>
        <v>0</v>
      </c>
      <c r="O43" s="64">
        <f t="shared" si="0"/>
        <v>8435</v>
      </c>
    </row>
    <row r="44" spans="1:15" ht="19.5" thickBot="1">
      <c r="A44" s="1" t="s">
        <v>1</v>
      </c>
      <c r="B44" s="35" t="s">
        <v>39</v>
      </c>
      <c r="C44" s="37">
        <v>3724</v>
      </c>
      <c r="D44" s="37">
        <v>0</v>
      </c>
      <c r="E44" s="52">
        <v>0</v>
      </c>
      <c r="F44" s="65">
        <f t="shared" si="5"/>
        <v>3724</v>
      </c>
      <c r="G44" s="36">
        <v>6624</v>
      </c>
      <c r="H44" s="37">
        <v>17516</v>
      </c>
      <c r="I44" s="37">
        <v>11792</v>
      </c>
      <c r="J44" s="37">
        <v>11349</v>
      </c>
      <c r="K44" s="37">
        <v>7743</v>
      </c>
      <c r="L44" s="37">
        <v>4335</v>
      </c>
      <c r="M44" s="38">
        <v>3825</v>
      </c>
      <c r="N44" s="65">
        <f t="shared" si="6"/>
        <v>63184</v>
      </c>
      <c r="O44" s="65">
        <f t="shared" si="0"/>
        <v>66908</v>
      </c>
    </row>
    <row r="45" spans="1:15" ht="19.5" thickBot="1">
      <c r="A45" s="1" t="s">
        <v>1</v>
      </c>
      <c r="B45" s="39" t="s">
        <v>59</v>
      </c>
      <c r="C45" s="41">
        <v>358724</v>
      </c>
      <c r="D45" s="41">
        <v>355000</v>
      </c>
      <c r="E45" s="53">
        <v>229386</v>
      </c>
      <c r="F45" s="66">
        <f t="shared" si="5"/>
        <v>943110</v>
      </c>
      <c r="G45" s="40">
        <v>368408</v>
      </c>
      <c r="H45" s="41">
        <v>364978</v>
      </c>
      <c r="I45" s="41">
        <v>335521</v>
      </c>
      <c r="J45" s="41">
        <v>388399</v>
      </c>
      <c r="K45" s="41">
        <v>304409</v>
      </c>
      <c r="L45" s="41">
        <v>285649</v>
      </c>
      <c r="M45" s="42">
        <v>306937</v>
      </c>
      <c r="N45" s="66">
        <f t="shared" si="6"/>
        <v>2354301</v>
      </c>
      <c r="O45" s="66">
        <f t="shared" si="0"/>
        <v>3297411</v>
      </c>
    </row>
    <row r="46" spans="1:15" ht="19.5" thickBot="1">
      <c r="A46" s="1" t="s">
        <v>1</v>
      </c>
      <c r="B46" s="21" t="s">
        <v>60</v>
      </c>
      <c r="C46" s="30">
        <v>7023</v>
      </c>
      <c r="D46" s="30">
        <v>15715</v>
      </c>
      <c r="E46" s="50">
        <v>565</v>
      </c>
      <c r="F46" s="63">
        <f t="shared" si="5"/>
        <v>23303</v>
      </c>
      <c r="G46" s="29">
        <v>8840</v>
      </c>
      <c r="H46" s="30">
        <v>2456</v>
      </c>
      <c r="I46" s="30">
        <v>2358</v>
      </c>
      <c r="J46" s="30">
        <v>12130</v>
      </c>
      <c r="K46" s="30">
        <v>5304</v>
      </c>
      <c r="L46" s="30">
        <v>6777</v>
      </c>
      <c r="M46" s="31">
        <v>1179</v>
      </c>
      <c r="N46" s="63">
        <f t="shared" si="6"/>
        <v>39044</v>
      </c>
      <c r="O46" s="63">
        <f t="shared" si="0"/>
        <v>62347</v>
      </c>
    </row>
    <row r="47" spans="1:15" ht="19.5" thickBot="1">
      <c r="A47" s="1" t="s">
        <v>1</v>
      </c>
      <c r="B47" s="39" t="s">
        <v>61</v>
      </c>
      <c r="C47" s="41">
        <v>7023</v>
      </c>
      <c r="D47" s="41">
        <v>15715</v>
      </c>
      <c r="E47" s="53">
        <v>565</v>
      </c>
      <c r="F47" s="66">
        <f t="shared" si="5"/>
        <v>23303</v>
      </c>
      <c r="G47" s="40">
        <v>8840</v>
      </c>
      <c r="H47" s="41">
        <v>2456</v>
      </c>
      <c r="I47" s="41">
        <v>2358</v>
      </c>
      <c r="J47" s="41">
        <v>12130</v>
      </c>
      <c r="K47" s="41">
        <v>5304</v>
      </c>
      <c r="L47" s="41">
        <v>6777</v>
      </c>
      <c r="M47" s="42">
        <v>1179</v>
      </c>
      <c r="N47" s="66">
        <f t="shared" si="6"/>
        <v>39044</v>
      </c>
      <c r="O47" s="66">
        <f t="shared" si="0"/>
        <v>62347</v>
      </c>
    </row>
    <row r="48" spans="1:15" ht="19.5" thickBot="1">
      <c r="A48" s="1" t="s">
        <v>1</v>
      </c>
      <c r="B48" s="39" t="s">
        <v>62</v>
      </c>
      <c r="C48" s="41">
        <v>365747</v>
      </c>
      <c r="D48" s="41">
        <v>370715</v>
      </c>
      <c r="E48" s="53">
        <v>229951</v>
      </c>
      <c r="F48" s="66">
        <f t="shared" si="5"/>
        <v>966413</v>
      </c>
      <c r="G48" s="40">
        <v>377248</v>
      </c>
      <c r="H48" s="41">
        <v>367434</v>
      </c>
      <c r="I48" s="41">
        <v>337879</v>
      </c>
      <c r="J48" s="41">
        <v>400529</v>
      </c>
      <c r="K48" s="41">
        <v>309713</v>
      </c>
      <c r="L48" s="41">
        <v>292426</v>
      </c>
      <c r="M48" s="42">
        <v>308116</v>
      </c>
      <c r="N48" s="66">
        <f t="shared" si="6"/>
        <v>2393345</v>
      </c>
      <c r="O48" s="66">
        <f t="shared" si="0"/>
        <v>3359758</v>
      </c>
    </row>
    <row r="49" spans="1:15">
      <c r="A49" s="1" t="s">
        <v>1</v>
      </c>
      <c r="B49" s="21" t="s">
        <v>63</v>
      </c>
      <c r="C49" s="30">
        <v>17340</v>
      </c>
      <c r="D49" s="30">
        <v>18360</v>
      </c>
      <c r="E49" s="50">
        <v>11220</v>
      </c>
      <c r="F49" s="63">
        <f t="shared" si="5"/>
        <v>46920</v>
      </c>
      <c r="G49" s="29">
        <v>19380</v>
      </c>
      <c r="H49" s="30">
        <v>16320</v>
      </c>
      <c r="I49" s="30">
        <v>16320</v>
      </c>
      <c r="J49" s="30">
        <v>17340</v>
      </c>
      <c r="K49" s="30">
        <v>15300</v>
      </c>
      <c r="L49" s="30">
        <v>15300</v>
      </c>
      <c r="M49" s="31">
        <v>15300</v>
      </c>
      <c r="N49" s="63">
        <f t="shared" si="6"/>
        <v>115260</v>
      </c>
      <c r="O49" s="63">
        <f t="shared" si="0"/>
        <v>162180</v>
      </c>
    </row>
    <row r="50" spans="1:15">
      <c r="A50" s="1" t="s">
        <v>1</v>
      </c>
      <c r="B50" s="4" t="s">
        <v>64</v>
      </c>
      <c r="C50" s="16">
        <v>3060</v>
      </c>
      <c r="D50" s="16">
        <v>3240</v>
      </c>
      <c r="E50" s="51">
        <v>0</v>
      </c>
      <c r="F50" s="64">
        <f t="shared" si="5"/>
        <v>6300</v>
      </c>
      <c r="G50" s="15">
        <v>3420</v>
      </c>
      <c r="H50" s="16">
        <v>2880</v>
      </c>
      <c r="I50" s="16">
        <v>2880</v>
      </c>
      <c r="J50" s="16">
        <v>3060</v>
      </c>
      <c r="K50" s="16">
        <v>2700</v>
      </c>
      <c r="L50" s="16">
        <v>2700</v>
      </c>
      <c r="M50" s="17">
        <v>2700</v>
      </c>
      <c r="N50" s="64">
        <f t="shared" si="6"/>
        <v>20340</v>
      </c>
      <c r="O50" s="64">
        <f t="shared" si="0"/>
        <v>26640</v>
      </c>
    </row>
    <row r="51" spans="1:15">
      <c r="A51" s="1" t="s">
        <v>1</v>
      </c>
      <c r="B51" s="4" t="s">
        <v>65</v>
      </c>
      <c r="C51" s="16">
        <v>31110</v>
      </c>
      <c r="D51" s="16">
        <v>32940</v>
      </c>
      <c r="E51" s="51">
        <v>20130</v>
      </c>
      <c r="F51" s="64">
        <f t="shared" si="5"/>
        <v>84180</v>
      </c>
      <c r="G51" s="15">
        <v>34770</v>
      </c>
      <c r="H51" s="16">
        <v>29280</v>
      </c>
      <c r="I51" s="16">
        <v>29280</v>
      </c>
      <c r="J51" s="16">
        <v>31110</v>
      </c>
      <c r="K51" s="16">
        <v>27450</v>
      </c>
      <c r="L51" s="16">
        <v>27450</v>
      </c>
      <c r="M51" s="17">
        <v>27450</v>
      </c>
      <c r="N51" s="64">
        <f t="shared" si="6"/>
        <v>206790</v>
      </c>
      <c r="O51" s="64">
        <f t="shared" si="0"/>
        <v>290970</v>
      </c>
    </row>
    <row r="52" spans="1:15" ht="19.5" thickBot="1">
      <c r="A52" s="1" t="s">
        <v>1</v>
      </c>
      <c r="B52" s="4" t="s">
        <v>66</v>
      </c>
      <c r="C52" s="16">
        <v>1829</v>
      </c>
      <c r="D52" s="16">
        <v>1854</v>
      </c>
      <c r="E52" s="51">
        <v>1150</v>
      </c>
      <c r="F52" s="64">
        <f t="shared" si="5"/>
        <v>4833</v>
      </c>
      <c r="G52" s="15">
        <v>1886</v>
      </c>
      <c r="H52" s="16">
        <v>1837</v>
      </c>
      <c r="I52" s="16">
        <v>1689</v>
      </c>
      <c r="J52" s="16">
        <v>2003</v>
      </c>
      <c r="K52" s="16">
        <v>1549</v>
      </c>
      <c r="L52" s="16">
        <v>1462</v>
      </c>
      <c r="M52" s="17">
        <v>1541</v>
      </c>
      <c r="N52" s="64">
        <f t="shared" si="6"/>
        <v>11967</v>
      </c>
      <c r="O52" s="64">
        <f t="shared" si="0"/>
        <v>16800</v>
      </c>
    </row>
    <row r="53" spans="1:15" ht="19.5" thickBot="1">
      <c r="A53" s="1" t="s">
        <v>1</v>
      </c>
      <c r="B53" s="39" t="s">
        <v>67</v>
      </c>
      <c r="C53" s="41">
        <v>53339</v>
      </c>
      <c r="D53" s="41">
        <v>56394</v>
      </c>
      <c r="E53" s="53">
        <v>32500</v>
      </c>
      <c r="F53" s="66">
        <f t="shared" si="5"/>
        <v>142233</v>
      </c>
      <c r="G53" s="40">
        <v>59456</v>
      </c>
      <c r="H53" s="41">
        <v>50317</v>
      </c>
      <c r="I53" s="41">
        <v>50169</v>
      </c>
      <c r="J53" s="41">
        <v>53513</v>
      </c>
      <c r="K53" s="41">
        <v>46999</v>
      </c>
      <c r="L53" s="41">
        <v>46912</v>
      </c>
      <c r="M53" s="42">
        <v>46991</v>
      </c>
      <c r="N53" s="66">
        <f t="shared" si="6"/>
        <v>354357</v>
      </c>
      <c r="O53" s="66">
        <f t="shared" si="0"/>
        <v>496590</v>
      </c>
    </row>
    <row r="54" spans="1:15">
      <c r="A54" s="1" t="s">
        <v>1</v>
      </c>
      <c r="B54" s="21" t="s">
        <v>68</v>
      </c>
      <c r="C54" s="30">
        <v>8820</v>
      </c>
      <c r="D54" s="30">
        <v>8290</v>
      </c>
      <c r="E54" s="50">
        <v>4650</v>
      </c>
      <c r="F54" s="63">
        <f t="shared" si="5"/>
        <v>21760</v>
      </c>
      <c r="G54" s="29">
        <v>5470</v>
      </c>
      <c r="H54" s="30">
        <v>5700</v>
      </c>
      <c r="I54" s="30">
        <v>7810</v>
      </c>
      <c r="J54" s="30">
        <v>11230</v>
      </c>
      <c r="K54" s="30">
        <v>3580</v>
      </c>
      <c r="L54" s="30">
        <v>6150</v>
      </c>
      <c r="M54" s="31">
        <v>5290</v>
      </c>
      <c r="N54" s="63">
        <f t="shared" si="6"/>
        <v>45230</v>
      </c>
      <c r="O54" s="63">
        <f t="shared" si="0"/>
        <v>66990</v>
      </c>
    </row>
    <row r="55" spans="1:15">
      <c r="A55" s="1" t="s">
        <v>1</v>
      </c>
      <c r="B55" s="4" t="s">
        <v>69</v>
      </c>
      <c r="C55" s="16">
        <v>0</v>
      </c>
      <c r="D55" s="16">
        <v>0</v>
      </c>
      <c r="E55" s="51">
        <v>0</v>
      </c>
      <c r="F55" s="64">
        <f t="shared" si="5"/>
        <v>0</v>
      </c>
      <c r="G55" s="15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7">
        <v>0</v>
      </c>
      <c r="N55" s="64">
        <f t="shared" si="6"/>
        <v>0</v>
      </c>
      <c r="O55" s="64">
        <f t="shared" ref="O55:O62" si="7">F55+N55</f>
        <v>0</v>
      </c>
    </row>
    <row r="56" spans="1:15">
      <c r="A56" s="1" t="s">
        <v>1</v>
      </c>
      <c r="B56" s="4" t="s">
        <v>70</v>
      </c>
      <c r="C56" s="16">
        <v>14100</v>
      </c>
      <c r="D56" s="16">
        <v>15500</v>
      </c>
      <c r="E56" s="51">
        <v>5500</v>
      </c>
      <c r="F56" s="64">
        <f t="shared" si="5"/>
        <v>35100</v>
      </c>
      <c r="G56" s="15">
        <v>7700</v>
      </c>
      <c r="H56" s="16">
        <v>9200</v>
      </c>
      <c r="I56" s="16">
        <v>12700</v>
      </c>
      <c r="J56" s="16">
        <v>14400</v>
      </c>
      <c r="K56" s="16">
        <v>9200</v>
      </c>
      <c r="L56" s="16">
        <v>10700</v>
      </c>
      <c r="M56" s="17">
        <v>12800</v>
      </c>
      <c r="N56" s="64">
        <f t="shared" si="6"/>
        <v>76700</v>
      </c>
      <c r="O56" s="64">
        <f t="shared" si="7"/>
        <v>111800</v>
      </c>
    </row>
    <row r="57" spans="1:15" ht="19.5" thickBot="1">
      <c r="A57" s="1" t="s">
        <v>1</v>
      </c>
      <c r="B57" s="4" t="s">
        <v>71</v>
      </c>
      <c r="C57" s="16">
        <v>0</v>
      </c>
      <c r="D57" s="16">
        <v>0</v>
      </c>
      <c r="E57" s="51">
        <v>0</v>
      </c>
      <c r="F57" s="64">
        <f t="shared" si="5"/>
        <v>0</v>
      </c>
      <c r="G57" s="15">
        <v>29800</v>
      </c>
      <c r="H57" s="16">
        <v>27600</v>
      </c>
      <c r="I57" s="16">
        <v>28000</v>
      </c>
      <c r="J57" s="16">
        <v>28000</v>
      </c>
      <c r="K57" s="16">
        <v>0</v>
      </c>
      <c r="L57" s="16">
        <v>14500</v>
      </c>
      <c r="M57" s="17">
        <v>0</v>
      </c>
      <c r="N57" s="64">
        <f t="shared" si="6"/>
        <v>127900</v>
      </c>
      <c r="O57" s="64">
        <f t="shared" si="7"/>
        <v>127900</v>
      </c>
    </row>
    <row r="58" spans="1:15" ht="19.5" thickBot="1">
      <c r="A58" s="1" t="s">
        <v>1</v>
      </c>
      <c r="B58" s="39" t="s">
        <v>72</v>
      </c>
      <c r="C58" s="41">
        <v>76259</v>
      </c>
      <c r="D58" s="41">
        <v>80184</v>
      </c>
      <c r="E58" s="53">
        <v>42650</v>
      </c>
      <c r="F58" s="66">
        <f t="shared" si="5"/>
        <v>199093</v>
      </c>
      <c r="G58" s="40">
        <v>102426</v>
      </c>
      <c r="H58" s="41">
        <v>92817</v>
      </c>
      <c r="I58" s="41">
        <v>98679</v>
      </c>
      <c r="J58" s="41">
        <v>107143</v>
      </c>
      <c r="K58" s="41">
        <v>59779</v>
      </c>
      <c r="L58" s="41">
        <v>78262</v>
      </c>
      <c r="M58" s="42">
        <v>65081</v>
      </c>
      <c r="N58" s="66">
        <f t="shared" si="6"/>
        <v>604187</v>
      </c>
      <c r="O58" s="66">
        <f t="shared" si="7"/>
        <v>803280</v>
      </c>
    </row>
    <row r="59" spans="1:15" ht="19.5" thickBot="1">
      <c r="A59" s="1" t="s">
        <v>1</v>
      </c>
      <c r="B59" s="39" t="s">
        <v>73</v>
      </c>
      <c r="C59" s="41">
        <v>305385</v>
      </c>
      <c r="D59" s="41">
        <v>298606</v>
      </c>
      <c r="E59" s="53">
        <v>196886</v>
      </c>
      <c r="F59" s="66">
        <f t="shared" si="5"/>
        <v>800877</v>
      </c>
      <c r="G59" s="40">
        <v>308952</v>
      </c>
      <c r="H59" s="41">
        <v>314661</v>
      </c>
      <c r="I59" s="41">
        <v>285352</v>
      </c>
      <c r="J59" s="41">
        <v>334886</v>
      </c>
      <c r="K59" s="41">
        <v>257410</v>
      </c>
      <c r="L59" s="41">
        <v>238737</v>
      </c>
      <c r="M59" s="42">
        <v>259946</v>
      </c>
      <c r="N59" s="66">
        <f t="shared" si="6"/>
        <v>1999944</v>
      </c>
      <c r="O59" s="66">
        <f t="shared" si="7"/>
        <v>2800821</v>
      </c>
    </row>
    <row r="60" spans="1:15" ht="19.5" thickBot="1">
      <c r="A60" s="1" t="s">
        <v>1</v>
      </c>
      <c r="B60" s="39" t="s">
        <v>74</v>
      </c>
      <c r="C60" s="41">
        <v>289488</v>
      </c>
      <c r="D60" s="41">
        <v>290531</v>
      </c>
      <c r="E60" s="53">
        <v>187301</v>
      </c>
      <c r="F60" s="66">
        <f t="shared" si="5"/>
        <v>767320</v>
      </c>
      <c r="G60" s="40">
        <v>274822</v>
      </c>
      <c r="H60" s="41">
        <v>274617</v>
      </c>
      <c r="I60" s="41">
        <v>239200</v>
      </c>
      <c r="J60" s="41">
        <v>293386</v>
      </c>
      <c r="K60" s="41">
        <v>249934</v>
      </c>
      <c r="L60" s="41">
        <v>214164</v>
      </c>
      <c r="M60" s="42">
        <v>243035</v>
      </c>
      <c r="N60" s="66">
        <f t="shared" si="6"/>
        <v>1789158</v>
      </c>
      <c r="O60" s="66">
        <f t="shared" si="7"/>
        <v>2556478</v>
      </c>
    </row>
    <row r="61" spans="1:15">
      <c r="A61" s="1" t="s">
        <v>1</v>
      </c>
      <c r="B61" s="21" t="s">
        <v>75</v>
      </c>
      <c r="C61" s="30">
        <v>0</v>
      </c>
      <c r="D61" s="30">
        <v>0</v>
      </c>
      <c r="E61" s="50">
        <v>0</v>
      </c>
      <c r="F61" s="63">
        <f t="shared" si="5"/>
        <v>0</v>
      </c>
      <c r="G61" s="29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1">
        <v>0</v>
      </c>
      <c r="N61" s="63">
        <f t="shared" si="6"/>
        <v>0</v>
      </c>
      <c r="O61" s="63">
        <f t="shared" si="7"/>
        <v>0</v>
      </c>
    </row>
    <row r="62" spans="1:15">
      <c r="A62" s="1" t="s">
        <v>1</v>
      </c>
      <c r="B62" s="4" t="s">
        <v>76</v>
      </c>
      <c r="C62" s="16">
        <v>289488</v>
      </c>
      <c r="D62" s="16">
        <v>290531</v>
      </c>
      <c r="E62" s="51">
        <v>187301</v>
      </c>
      <c r="F62" s="64">
        <f t="shared" si="5"/>
        <v>767320</v>
      </c>
      <c r="G62" s="15">
        <v>274822</v>
      </c>
      <c r="H62" s="16">
        <v>274617</v>
      </c>
      <c r="I62" s="16">
        <v>239200</v>
      </c>
      <c r="J62" s="16">
        <v>293386</v>
      </c>
      <c r="K62" s="16">
        <v>249934</v>
      </c>
      <c r="L62" s="16">
        <v>214164</v>
      </c>
      <c r="M62" s="17">
        <v>243035</v>
      </c>
      <c r="N62" s="64">
        <f t="shared" si="6"/>
        <v>1789158</v>
      </c>
      <c r="O62" s="64">
        <f t="shared" si="7"/>
        <v>2556478</v>
      </c>
    </row>
    <row r="63" spans="1:15">
      <c r="A63" s="1" t="s">
        <v>1</v>
      </c>
      <c r="B63" s="4" t="s">
        <v>77</v>
      </c>
      <c r="C63" s="16">
        <v>0</v>
      </c>
      <c r="D63" s="16">
        <v>0</v>
      </c>
      <c r="E63" s="51">
        <v>0</v>
      </c>
      <c r="F63" s="64"/>
      <c r="G63" s="15">
        <v>2</v>
      </c>
      <c r="H63" s="16">
        <v>2</v>
      </c>
      <c r="I63" s="16">
        <v>0</v>
      </c>
      <c r="J63" s="16">
        <v>0</v>
      </c>
      <c r="K63" s="16">
        <v>2</v>
      </c>
      <c r="L63" s="16">
        <v>0</v>
      </c>
      <c r="M63" s="17">
        <v>1</v>
      </c>
      <c r="N63" s="64"/>
      <c r="O63" s="64"/>
    </row>
    <row r="64" spans="1:15" ht="19.5" thickBot="1">
      <c r="A64" s="1" t="s">
        <v>1</v>
      </c>
      <c r="B64" s="5" t="s">
        <v>78</v>
      </c>
      <c r="C64" s="19" t="s">
        <v>79</v>
      </c>
      <c r="D64" s="19" t="s">
        <v>79</v>
      </c>
      <c r="E64" s="54" t="s">
        <v>79</v>
      </c>
      <c r="F64" s="67"/>
      <c r="G64" s="18" t="s">
        <v>79</v>
      </c>
      <c r="H64" s="19" t="s">
        <v>79</v>
      </c>
      <c r="I64" s="19" t="s">
        <v>79</v>
      </c>
      <c r="J64" s="19" t="s">
        <v>79</v>
      </c>
      <c r="K64" s="19" t="s">
        <v>79</v>
      </c>
      <c r="L64" s="19" t="s">
        <v>79</v>
      </c>
      <c r="M64" s="20" t="s">
        <v>79</v>
      </c>
      <c r="N64" s="67"/>
      <c r="O64" s="67"/>
    </row>
  </sheetData>
  <phoneticPr fontId="4"/>
  <pageMargins left="0.31496062992125984" right="0.31496062992125984" top="0.15748031496062992" bottom="0.15748031496062992" header="0.11811023622047245" footer="0.11811023622047245"/>
  <pageSetup paperSize="12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2022年10月度給与 (2)</vt:lpstr>
      <vt:lpstr>'2022年10月度給与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2022-11-10T08:42:59Z</cp:lastPrinted>
  <dcterms:created xsi:type="dcterms:W3CDTF">2022-11-08T01:52:34Z</dcterms:created>
  <dcterms:modified xsi:type="dcterms:W3CDTF">2022-12-10T02:35:14Z</dcterms:modified>
</cp:coreProperties>
</file>