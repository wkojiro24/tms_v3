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0\"/>
    </mc:Choice>
  </mc:AlternateContent>
  <xr:revisionPtr revIDLastSave="0" documentId="13_ncr:1_{67C6C322-DC9A-4D2D-BE4D-7B50D369DFF9}" xr6:coauthVersionLast="47" xr6:coauthVersionMax="47" xr10:uidLastSave="{00000000-0000-0000-0000-000000000000}"/>
  <bookViews>
    <workbookView xWindow="-120" yWindow="-120" windowWidth="20730" windowHeight="11160" xr2:uid="{2B100577-AEF9-4EB2-A473-3BDAEF90601D}"/>
  </bookViews>
  <sheets>
    <sheet name="2022年10月度給与 (3)" sheetId="4" r:id="rId1"/>
    <sheet name="2022年10月度給与 (4)" sheetId="5" r:id="rId2"/>
  </sheets>
  <definedNames>
    <definedName name="_xlnm.Print_Area" localSheetId="1">'2022年10月度給与 (4)'!$A$1:$T$64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62" i="5" l="1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O62" i="4"/>
  <c r="M62" i="4"/>
  <c r="O61" i="4"/>
  <c r="M61" i="4"/>
  <c r="O60" i="4"/>
  <c r="M60" i="4"/>
  <c r="O59" i="4"/>
  <c r="M59" i="4"/>
  <c r="O58" i="4"/>
  <c r="M58" i="4"/>
  <c r="O57" i="4"/>
  <c r="M57" i="4"/>
  <c r="O56" i="4"/>
  <c r="M56" i="4"/>
  <c r="O55" i="4"/>
  <c r="M55" i="4"/>
  <c r="O54" i="4"/>
  <c r="M54" i="4"/>
  <c r="O53" i="4"/>
  <c r="M53" i="4"/>
  <c r="O52" i="4"/>
  <c r="M52" i="4"/>
  <c r="O51" i="4"/>
  <c r="M51" i="4"/>
  <c r="O50" i="4"/>
  <c r="M50" i="4"/>
  <c r="O49" i="4"/>
  <c r="M49" i="4"/>
  <c r="O48" i="4"/>
  <c r="M48" i="4"/>
  <c r="O47" i="4"/>
  <c r="M47" i="4"/>
  <c r="O46" i="4"/>
  <c r="M46" i="4"/>
  <c r="O45" i="4"/>
  <c r="M45" i="4"/>
  <c r="O44" i="4"/>
  <c r="M44" i="4"/>
  <c r="O43" i="4"/>
  <c r="M43" i="4"/>
  <c r="O42" i="4"/>
  <c r="M42" i="4"/>
  <c r="O41" i="4"/>
  <c r="M41" i="4"/>
  <c r="O40" i="4"/>
  <c r="M40" i="4"/>
  <c r="O39" i="4"/>
  <c r="M39" i="4"/>
  <c r="O38" i="4"/>
  <c r="M38" i="4"/>
  <c r="O37" i="4"/>
  <c r="M37" i="4"/>
  <c r="O36" i="4"/>
  <c r="M36" i="4"/>
  <c r="O35" i="4"/>
  <c r="M35" i="4"/>
  <c r="O34" i="4"/>
  <c r="M34" i="4"/>
  <c r="O33" i="4"/>
  <c r="M33" i="4"/>
  <c r="O32" i="4"/>
  <c r="M32" i="4"/>
  <c r="O31" i="4"/>
  <c r="M31" i="4"/>
  <c r="O30" i="4"/>
  <c r="M30" i="4"/>
  <c r="O29" i="4"/>
  <c r="M29" i="4"/>
  <c r="O28" i="4"/>
  <c r="M28" i="4"/>
  <c r="O27" i="4"/>
  <c r="M27" i="4"/>
  <c r="O26" i="4"/>
  <c r="M26" i="4"/>
  <c r="O25" i="4"/>
  <c r="M25" i="4"/>
  <c r="O24" i="4"/>
  <c r="M24" i="4"/>
  <c r="O23" i="4"/>
  <c r="M23" i="4"/>
  <c r="O22" i="4"/>
  <c r="M22" i="4"/>
  <c r="M20" i="4"/>
  <c r="M16" i="4"/>
  <c r="M15" i="4"/>
  <c r="M14" i="4"/>
  <c r="M13" i="4"/>
  <c r="O9" i="4"/>
  <c r="M9" i="4"/>
  <c r="M8" i="4"/>
  <c r="M7" i="4"/>
  <c r="M6" i="4"/>
  <c r="O5" i="4"/>
  <c r="M5" i="4"/>
</calcChain>
</file>

<file path=xl/sharedStrings.xml><?xml version="1.0" encoding="utf-8"?>
<sst xmlns="http://schemas.openxmlformats.org/spreadsheetml/2006/main" count="338" uniqueCount="124">
  <si>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</si>
  <si>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</si>
  <si>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</si>
  <si>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</si>
  <si>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</si>
  <si>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</si>
  <si>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</si>
  <si>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</si>
  <si>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</si>
  <si>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</si>
  <si>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</si>
  <si>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</si>
  <si>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</si>
  <si>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</si>
  <si>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</si>
  <si>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</si>
  <si>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</si>
  <si>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</si>
  <si>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</si>
  <si>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</si>
  <si>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1105</t>
    <phoneticPr fontId="4"/>
  </si>
  <si>
    <t>1107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</si>
  <si>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</si>
  <si>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</si>
  <si>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</si>
  <si>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</si>
  <si>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</si>
  <si>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</si>
  <si>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</si>
  <si>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1106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</si>
  <si>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</si>
  <si>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</si>
  <si>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</si>
  <si>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</si>
  <si>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</si>
  <si>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</si>
  <si>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</si>
  <si>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</si>
  <si>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</si>
  <si>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</si>
  <si>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</si>
  <si>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</si>
  <si>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</si>
  <si>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</si>
  <si>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</si>
  <si>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</si>
  <si>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</si>
  <si>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</si>
  <si>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</si>
  <si>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山本　健介</t>
    <phoneticPr fontId="4"/>
  </si>
  <si>
    <t>渡邊　晃弘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</si>
  <si>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</si>
  <si>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</si>
  <si>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</si>
  <si>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</si>
  <si>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</si>
  <si>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</si>
  <si>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</si>
  <si>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小野　宏美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</si>
  <si>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</si>
  <si>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</si>
  <si>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</si>
  <si>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</si>
  <si>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</si>
  <si>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</si>
  <si>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</si>
  <si>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</si>
  <si>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</si>
  <si>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</si>
  <si>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</si>
  <si>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</si>
  <si>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</si>
  <si>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</si>
  <si>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</si>
  <si>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</si>
  <si>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</si>
  <si>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</si>
  <si>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</si>
  <si>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</si>
  <si>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</si>
  <si>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</si>
  <si>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</si>
  <si>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</si>
  <si>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</si>
  <si>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</si>
  <si>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</si>
  <si>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</si>
  <si>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</si>
  <si>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</si>
  <si>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</si>
  <si>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</si>
  <si>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</si>
  <si>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</si>
  <si>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</si>
  <si>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</si>
  <si>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</si>
  <si>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</si>
  <si>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</si>
  <si>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</si>
  <si>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</si>
  <si>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</si>
  <si>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</si>
  <si>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</si>
  <si>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</si>
  <si>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</si>
  <si>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</si>
  <si>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</si>
  <si>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</si>
  <si>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</si>
  <si>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</si>
  <si>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</si>
  <si>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</si>
  <si>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</si>
  <si>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</si>
  <si>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</si>
  <si>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</si>
  <si>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</si>
  <si>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</si>
  <si>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2022年10月度給与</t>
    <phoneticPr fontId="4"/>
  </si>
  <si>
    <t>小計</t>
    <rPh sb="0" eb="2">
      <t>ショウケイ</t>
    </rPh>
    <phoneticPr fontId="3"/>
  </si>
  <si>
    <t>10名</t>
    <rPh sb="2" eb="3">
      <t>メイ</t>
    </rPh>
    <phoneticPr fontId="3"/>
  </si>
  <si>
    <t>17名</t>
    <rPh sb="2" eb="3">
      <t>メイ</t>
    </rPh>
    <phoneticPr fontId="3"/>
  </si>
  <si>
    <t>1名</t>
    <rPh sb="1" eb="2">
      <t>メイ</t>
    </rPh>
    <phoneticPr fontId="3"/>
  </si>
  <si>
    <t>28名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</si>
</sst>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  <xf numFmtId="49" fontId="2" fillId="0" borderId="38" xfId="1" applyNumberFormat="1" applyFont="1" applyBorder="1" applyAlignment="1">
      <alignment horizontal="center"/>
    </xf>
    <xf numFmtId="0" fontId="2" fillId="0" borderId="38" xfId="1" applyFont="1" applyBorder="1"/>
    <xf numFmtId="49" fontId="2" fillId="0" borderId="39" xfId="1" applyNumberFormat="1" applyFont="1" applyBorder="1" applyAlignment="1">
      <alignment horizontal="center"/>
    </xf>
    <xf numFmtId="0" fontId="2" fillId="0" borderId="39" xfId="1" applyFont="1" applyBorder="1" applyAlignment="1">
      <alignment horizontal="right"/>
    </xf>
    <xf numFmtId="0" fontId="2" fillId="0" borderId="43" xfId="1" applyFont="1" applyBorder="1"/>
    <xf numFmtId="0" fontId="2" fillId="0" borderId="4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8" xfId="1" applyNumberFormat="1" applyFont="1" applyBorder="1" applyAlignment="1">
      <alignment horizontal="left"/>
    </xf>
    <xf numFmtId="49" fontId="2" fillId="0" borderId="22" xfId="1" applyNumberFormat="1" applyFont="1" applyBorder="1" applyAlignment="1">
      <alignment horizontal="left"/>
    </xf>
    <xf numFmtId="177" fontId="2" fillId="0" borderId="8" xfId="1" applyNumberFormat="1" applyFont="1" applyBorder="1"/>
    <xf numFmtId="177" fontId="2" fillId="0" borderId="28" xfId="1" applyNumberFormat="1" applyFont="1" applyBorder="1"/>
    <xf numFmtId="177" fontId="2" fillId="0" borderId="41" xfId="1" applyNumberFormat="1" applyFont="1" applyBorder="1"/>
  </cellXfs>
  <cellStyles count="2">
    <cellStyle name="標準" xfId="0" builtinId="0"/>
    <cellStyle name="標準 2" xfId="1" xr:uid="{7A42961D-6DCD-4635-B522-D26487D304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A902-B33A-435F-9F80-04210C49670A}">
  <sheetPr>
    <pageSetUpPr fitToPage="1"/>
  </sheetPr>
  <dimension ref="A1:P64"/>
  <sheetViews>
    <sheetView showZeros="0" tabSelected="1" zoomScale="96" zoomScaleNormal="96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8.75"/>
  <cols>
    <col min="1" max="1" width="2.375" style="2" customWidth="1"/>
    <col min="2" max="2" width="13.25" style="2" bestFit="1" customWidth="1"/>
    <col min="3" max="16" width="11.625" style="2" customWidth="1"/>
    <col min="17" max="239" width="9" style="2"/>
    <col min="240" max="240" width="2.375" style="2" customWidth="1"/>
    <col min="241" max="241" width="13.25" style="2" bestFit="1" customWidth="1"/>
    <col min="242" max="243" width="11.125" style="2" bestFit="1" customWidth="1"/>
    <col min="244" max="244" width="13.25" style="2" bestFit="1" customWidth="1"/>
    <col min="245" max="245" width="11.125" style="2" bestFit="1" customWidth="1"/>
    <col min="246" max="246" width="9" style="2"/>
    <col min="247" max="247" width="11.125" style="2" bestFit="1" customWidth="1"/>
    <col min="248" max="248" width="9" style="2"/>
    <col min="249" max="269" width="11.125" style="2" bestFit="1" customWidth="1"/>
    <col min="270" max="270" width="9.625" style="2" bestFit="1" customWidth="1"/>
    <col min="271" max="495" width="9" style="2"/>
    <col min="496" max="496" width="2.375" style="2" customWidth="1"/>
    <col min="497" max="497" width="13.25" style="2" bestFit="1" customWidth="1"/>
    <col min="498" max="499" width="11.125" style="2" bestFit="1" customWidth="1"/>
    <col min="500" max="500" width="13.25" style="2" bestFit="1" customWidth="1"/>
    <col min="501" max="501" width="11.125" style="2" bestFit="1" customWidth="1"/>
    <col min="502" max="502" width="9" style="2"/>
    <col min="503" max="503" width="11.125" style="2" bestFit="1" customWidth="1"/>
    <col min="504" max="504" width="9" style="2"/>
    <col min="505" max="525" width="11.125" style="2" bestFit="1" customWidth="1"/>
    <col min="526" max="526" width="9.625" style="2" bestFit="1" customWidth="1"/>
    <col min="527" max="751" width="9" style="2"/>
    <col min="752" max="752" width="2.375" style="2" customWidth="1"/>
    <col min="753" max="753" width="13.25" style="2" bestFit="1" customWidth="1"/>
    <col min="754" max="755" width="11.125" style="2" bestFit="1" customWidth="1"/>
    <col min="756" max="756" width="13.25" style="2" bestFit="1" customWidth="1"/>
    <col min="757" max="757" width="11.125" style="2" bestFit="1" customWidth="1"/>
    <col min="758" max="758" width="9" style="2"/>
    <col min="759" max="759" width="11.125" style="2" bestFit="1" customWidth="1"/>
    <col min="760" max="760" width="9" style="2"/>
    <col min="761" max="781" width="11.125" style="2" bestFit="1" customWidth="1"/>
    <col min="782" max="782" width="9.625" style="2" bestFit="1" customWidth="1"/>
    <col min="783" max="1007" width="9" style="2"/>
    <col min="1008" max="1008" width="2.375" style="2" customWidth="1"/>
    <col min="1009" max="1009" width="13.25" style="2" bestFit="1" customWidth="1"/>
    <col min="1010" max="1011" width="11.125" style="2" bestFit="1" customWidth="1"/>
    <col min="1012" max="1012" width="13.25" style="2" bestFit="1" customWidth="1"/>
    <col min="1013" max="1013" width="11.125" style="2" bestFit="1" customWidth="1"/>
    <col min="1014" max="1014" width="9" style="2"/>
    <col min="1015" max="1015" width="11.125" style="2" bestFit="1" customWidth="1"/>
    <col min="1016" max="1016" width="9" style="2"/>
    <col min="1017" max="1037" width="11.125" style="2" bestFit="1" customWidth="1"/>
    <col min="1038" max="1038" width="9.625" style="2" bestFit="1" customWidth="1"/>
    <col min="1039" max="1263" width="9" style="2"/>
    <col min="1264" max="1264" width="2.375" style="2" customWidth="1"/>
    <col min="1265" max="1265" width="13.25" style="2" bestFit="1" customWidth="1"/>
    <col min="1266" max="1267" width="11.125" style="2" bestFit="1" customWidth="1"/>
    <col min="1268" max="1268" width="13.25" style="2" bestFit="1" customWidth="1"/>
    <col min="1269" max="1269" width="11.125" style="2" bestFit="1" customWidth="1"/>
    <col min="1270" max="1270" width="9" style="2"/>
    <col min="1271" max="1271" width="11.125" style="2" bestFit="1" customWidth="1"/>
    <col min="1272" max="1272" width="9" style="2"/>
    <col min="1273" max="1293" width="11.125" style="2" bestFit="1" customWidth="1"/>
    <col min="1294" max="1294" width="9.625" style="2" bestFit="1" customWidth="1"/>
    <col min="1295" max="1519" width="9" style="2"/>
    <col min="1520" max="1520" width="2.375" style="2" customWidth="1"/>
    <col min="1521" max="1521" width="13.25" style="2" bestFit="1" customWidth="1"/>
    <col min="1522" max="1523" width="11.125" style="2" bestFit="1" customWidth="1"/>
    <col min="1524" max="1524" width="13.25" style="2" bestFit="1" customWidth="1"/>
    <col min="1525" max="1525" width="11.125" style="2" bestFit="1" customWidth="1"/>
    <col min="1526" max="1526" width="9" style="2"/>
    <col min="1527" max="1527" width="11.125" style="2" bestFit="1" customWidth="1"/>
    <col min="1528" max="1528" width="9" style="2"/>
    <col min="1529" max="1549" width="11.125" style="2" bestFit="1" customWidth="1"/>
    <col min="1550" max="1550" width="9.625" style="2" bestFit="1" customWidth="1"/>
    <col min="1551" max="1775" width="9" style="2"/>
    <col min="1776" max="1776" width="2.375" style="2" customWidth="1"/>
    <col min="1777" max="1777" width="13.25" style="2" bestFit="1" customWidth="1"/>
    <col min="1778" max="1779" width="11.125" style="2" bestFit="1" customWidth="1"/>
    <col min="1780" max="1780" width="13.25" style="2" bestFit="1" customWidth="1"/>
    <col min="1781" max="1781" width="11.125" style="2" bestFit="1" customWidth="1"/>
    <col min="1782" max="1782" width="9" style="2"/>
    <col min="1783" max="1783" width="11.125" style="2" bestFit="1" customWidth="1"/>
    <col min="1784" max="1784" width="9" style="2"/>
    <col min="1785" max="1805" width="11.125" style="2" bestFit="1" customWidth="1"/>
    <col min="1806" max="1806" width="9.625" style="2" bestFit="1" customWidth="1"/>
    <col min="1807" max="2031" width="9" style="2"/>
    <col min="2032" max="2032" width="2.375" style="2" customWidth="1"/>
    <col min="2033" max="2033" width="13.25" style="2" bestFit="1" customWidth="1"/>
    <col min="2034" max="2035" width="11.125" style="2" bestFit="1" customWidth="1"/>
    <col min="2036" max="2036" width="13.25" style="2" bestFit="1" customWidth="1"/>
    <col min="2037" max="2037" width="11.125" style="2" bestFit="1" customWidth="1"/>
    <col min="2038" max="2038" width="9" style="2"/>
    <col min="2039" max="2039" width="11.125" style="2" bestFit="1" customWidth="1"/>
    <col min="2040" max="2040" width="9" style="2"/>
    <col min="2041" max="2061" width="11.125" style="2" bestFit="1" customWidth="1"/>
    <col min="2062" max="2062" width="9.625" style="2" bestFit="1" customWidth="1"/>
    <col min="2063" max="2287" width="9" style="2"/>
    <col min="2288" max="2288" width="2.375" style="2" customWidth="1"/>
    <col min="2289" max="2289" width="13.25" style="2" bestFit="1" customWidth="1"/>
    <col min="2290" max="2291" width="11.125" style="2" bestFit="1" customWidth="1"/>
    <col min="2292" max="2292" width="13.25" style="2" bestFit="1" customWidth="1"/>
    <col min="2293" max="2293" width="11.125" style="2" bestFit="1" customWidth="1"/>
    <col min="2294" max="2294" width="9" style="2"/>
    <col min="2295" max="2295" width="11.125" style="2" bestFit="1" customWidth="1"/>
    <col min="2296" max="2296" width="9" style="2"/>
    <col min="2297" max="2317" width="11.125" style="2" bestFit="1" customWidth="1"/>
    <col min="2318" max="2318" width="9.625" style="2" bestFit="1" customWidth="1"/>
    <col min="2319" max="2543" width="9" style="2"/>
    <col min="2544" max="2544" width="2.375" style="2" customWidth="1"/>
    <col min="2545" max="2545" width="13.25" style="2" bestFit="1" customWidth="1"/>
    <col min="2546" max="2547" width="11.125" style="2" bestFit="1" customWidth="1"/>
    <col min="2548" max="2548" width="13.25" style="2" bestFit="1" customWidth="1"/>
    <col min="2549" max="2549" width="11.125" style="2" bestFit="1" customWidth="1"/>
    <col min="2550" max="2550" width="9" style="2"/>
    <col min="2551" max="2551" width="11.125" style="2" bestFit="1" customWidth="1"/>
    <col min="2552" max="2552" width="9" style="2"/>
    <col min="2553" max="2573" width="11.125" style="2" bestFit="1" customWidth="1"/>
    <col min="2574" max="2574" width="9.625" style="2" bestFit="1" customWidth="1"/>
    <col min="2575" max="2799" width="9" style="2"/>
    <col min="2800" max="2800" width="2.375" style="2" customWidth="1"/>
    <col min="2801" max="2801" width="13.25" style="2" bestFit="1" customWidth="1"/>
    <col min="2802" max="2803" width="11.125" style="2" bestFit="1" customWidth="1"/>
    <col min="2804" max="2804" width="13.25" style="2" bestFit="1" customWidth="1"/>
    <col min="2805" max="2805" width="11.125" style="2" bestFit="1" customWidth="1"/>
    <col min="2806" max="2806" width="9" style="2"/>
    <col min="2807" max="2807" width="11.125" style="2" bestFit="1" customWidth="1"/>
    <col min="2808" max="2808" width="9" style="2"/>
    <col min="2809" max="2829" width="11.125" style="2" bestFit="1" customWidth="1"/>
    <col min="2830" max="2830" width="9.625" style="2" bestFit="1" customWidth="1"/>
    <col min="2831" max="3055" width="9" style="2"/>
    <col min="3056" max="3056" width="2.375" style="2" customWidth="1"/>
    <col min="3057" max="3057" width="13.25" style="2" bestFit="1" customWidth="1"/>
    <col min="3058" max="3059" width="11.125" style="2" bestFit="1" customWidth="1"/>
    <col min="3060" max="3060" width="13.25" style="2" bestFit="1" customWidth="1"/>
    <col min="3061" max="3061" width="11.125" style="2" bestFit="1" customWidth="1"/>
    <col min="3062" max="3062" width="9" style="2"/>
    <col min="3063" max="3063" width="11.125" style="2" bestFit="1" customWidth="1"/>
    <col min="3064" max="3064" width="9" style="2"/>
    <col min="3065" max="3085" width="11.125" style="2" bestFit="1" customWidth="1"/>
    <col min="3086" max="3086" width="9.625" style="2" bestFit="1" customWidth="1"/>
    <col min="3087" max="3311" width="9" style="2"/>
    <col min="3312" max="3312" width="2.375" style="2" customWidth="1"/>
    <col min="3313" max="3313" width="13.25" style="2" bestFit="1" customWidth="1"/>
    <col min="3314" max="3315" width="11.125" style="2" bestFit="1" customWidth="1"/>
    <col min="3316" max="3316" width="13.25" style="2" bestFit="1" customWidth="1"/>
    <col min="3317" max="3317" width="11.125" style="2" bestFit="1" customWidth="1"/>
    <col min="3318" max="3318" width="9" style="2"/>
    <col min="3319" max="3319" width="11.125" style="2" bestFit="1" customWidth="1"/>
    <col min="3320" max="3320" width="9" style="2"/>
    <col min="3321" max="3341" width="11.125" style="2" bestFit="1" customWidth="1"/>
    <col min="3342" max="3342" width="9.625" style="2" bestFit="1" customWidth="1"/>
    <col min="3343" max="3567" width="9" style="2"/>
    <col min="3568" max="3568" width="2.375" style="2" customWidth="1"/>
    <col min="3569" max="3569" width="13.25" style="2" bestFit="1" customWidth="1"/>
    <col min="3570" max="3571" width="11.125" style="2" bestFit="1" customWidth="1"/>
    <col min="3572" max="3572" width="13.25" style="2" bestFit="1" customWidth="1"/>
    <col min="3573" max="3573" width="11.125" style="2" bestFit="1" customWidth="1"/>
    <col min="3574" max="3574" width="9" style="2"/>
    <col min="3575" max="3575" width="11.125" style="2" bestFit="1" customWidth="1"/>
    <col min="3576" max="3576" width="9" style="2"/>
    <col min="3577" max="3597" width="11.125" style="2" bestFit="1" customWidth="1"/>
    <col min="3598" max="3598" width="9.625" style="2" bestFit="1" customWidth="1"/>
    <col min="3599" max="3823" width="9" style="2"/>
    <col min="3824" max="3824" width="2.375" style="2" customWidth="1"/>
    <col min="3825" max="3825" width="13.25" style="2" bestFit="1" customWidth="1"/>
    <col min="3826" max="3827" width="11.125" style="2" bestFit="1" customWidth="1"/>
    <col min="3828" max="3828" width="13.25" style="2" bestFit="1" customWidth="1"/>
    <col min="3829" max="3829" width="11.125" style="2" bestFit="1" customWidth="1"/>
    <col min="3830" max="3830" width="9" style="2"/>
    <col min="3831" max="3831" width="11.125" style="2" bestFit="1" customWidth="1"/>
    <col min="3832" max="3832" width="9" style="2"/>
    <col min="3833" max="3853" width="11.125" style="2" bestFit="1" customWidth="1"/>
    <col min="3854" max="3854" width="9.625" style="2" bestFit="1" customWidth="1"/>
    <col min="3855" max="4079" width="9" style="2"/>
    <col min="4080" max="4080" width="2.375" style="2" customWidth="1"/>
    <col min="4081" max="4081" width="13.25" style="2" bestFit="1" customWidth="1"/>
    <col min="4082" max="4083" width="11.125" style="2" bestFit="1" customWidth="1"/>
    <col min="4084" max="4084" width="13.25" style="2" bestFit="1" customWidth="1"/>
    <col min="4085" max="4085" width="11.125" style="2" bestFit="1" customWidth="1"/>
    <col min="4086" max="4086" width="9" style="2"/>
    <col min="4087" max="4087" width="11.125" style="2" bestFit="1" customWidth="1"/>
    <col min="4088" max="4088" width="9" style="2"/>
    <col min="4089" max="4109" width="11.125" style="2" bestFit="1" customWidth="1"/>
    <col min="4110" max="4110" width="9.625" style="2" bestFit="1" customWidth="1"/>
    <col min="4111" max="4335" width="9" style="2"/>
    <col min="4336" max="4336" width="2.375" style="2" customWidth="1"/>
    <col min="4337" max="4337" width="13.25" style="2" bestFit="1" customWidth="1"/>
    <col min="4338" max="4339" width="11.125" style="2" bestFit="1" customWidth="1"/>
    <col min="4340" max="4340" width="13.25" style="2" bestFit="1" customWidth="1"/>
    <col min="4341" max="4341" width="11.125" style="2" bestFit="1" customWidth="1"/>
    <col min="4342" max="4342" width="9" style="2"/>
    <col min="4343" max="4343" width="11.125" style="2" bestFit="1" customWidth="1"/>
    <col min="4344" max="4344" width="9" style="2"/>
    <col min="4345" max="4365" width="11.125" style="2" bestFit="1" customWidth="1"/>
    <col min="4366" max="4366" width="9.625" style="2" bestFit="1" customWidth="1"/>
    <col min="4367" max="4591" width="9" style="2"/>
    <col min="4592" max="4592" width="2.375" style="2" customWidth="1"/>
    <col min="4593" max="4593" width="13.25" style="2" bestFit="1" customWidth="1"/>
    <col min="4594" max="4595" width="11.125" style="2" bestFit="1" customWidth="1"/>
    <col min="4596" max="4596" width="13.25" style="2" bestFit="1" customWidth="1"/>
    <col min="4597" max="4597" width="11.125" style="2" bestFit="1" customWidth="1"/>
    <col min="4598" max="4598" width="9" style="2"/>
    <col min="4599" max="4599" width="11.125" style="2" bestFit="1" customWidth="1"/>
    <col min="4600" max="4600" width="9" style="2"/>
    <col min="4601" max="4621" width="11.125" style="2" bestFit="1" customWidth="1"/>
    <col min="4622" max="4622" width="9.625" style="2" bestFit="1" customWidth="1"/>
    <col min="4623" max="4847" width="9" style="2"/>
    <col min="4848" max="4848" width="2.375" style="2" customWidth="1"/>
    <col min="4849" max="4849" width="13.25" style="2" bestFit="1" customWidth="1"/>
    <col min="4850" max="4851" width="11.125" style="2" bestFit="1" customWidth="1"/>
    <col min="4852" max="4852" width="13.25" style="2" bestFit="1" customWidth="1"/>
    <col min="4853" max="4853" width="11.125" style="2" bestFit="1" customWidth="1"/>
    <col min="4854" max="4854" width="9" style="2"/>
    <col min="4855" max="4855" width="11.125" style="2" bestFit="1" customWidth="1"/>
    <col min="4856" max="4856" width="9" style="2"/>
    <col min="4857" max="4877" width="11.125" style="2" bestFit="1" customWidth="1"/>
    <col min="4878" max="4878" width="9.625" style="2" bestFit="1" customWidth="1"/>
    <col min="4879" max="5103" width="9" style="2"/>
    <col min="5104" max="5104" width="2.375" style="2" customWidth="1"/>
    <col min="5105" max="5105" width="13.25" style="2" bestFit="1" customWidth="1"/>
    <col min="5106" max="5107" width="11.125" style="2" bestFit="1" customWidth="1"/>
    <col min="5108" max="5108" width="13.25" style="2" bestFit="1" customWidth="1"/>
    <col min="5109" max="5109" width="11.125" style="2" bestFit="1" customWidth="1"/>
    <col min="5110" max="5110" width="9" style="2"/>
    <col min="5111" max="5111" width="11.125" style="2" bestFit="1" customWidth="1"/>
    <col min="5112" max="5112" width="9" style="2"/>
    <col min="5113" max="5133" width="11.125" style="2" bestFit="1" customWidth="1"/>
    <col min="5134" max="5134" width="9.625" style="2" bestFit="1" customWidth="1"/>
    <col min="5135" max="5359" width="9" style="2"/>
    <col min="5360" max="5360" width="2.375" style="2" customWidth="1"/>
    <col min="5361" max="5361" width="13.25" style="2" bestFit="1" customWidth="1"/>
    <col min="5362" max="5363" width="11.125" style="2" bestFit="1" customWidth="1"/>
    <col min="5364" max="5364" width="13.25" style="2" bestFit="1" customWidth="1"/>
    <col min="5365" max="5365" width="11.125" style="2" bestFit="1" customWidth="1"/>
    <col min="5366" max="5366" width="9" style="2"/>
    <col min="5367" max="5367" width="11.125" style="2" bestFit="1" customWidth="1"/>
    <col min="5368" max="5368" width="9" style="2"/>
    <col min="5369" max="5389" width="11.125" style="2" bestFit="1" customWidth="1"/>
    <col min="5390" max="5390" width="9.625" style="2" bestFit="1" customWidth="1"/>
    <col min="5391" max="5615" width="9" style="2"/>
    <col min="5616" max="5616" width="2.375" style="2" customWidth="1"/>
    <col min="5617" max="5617" width="13.25" style="2" bestFit="1" customWidth="1"/>
    <col min="5618" max="5619" width="11.125" style="2" bestFit="1" customWidth="1"/>
    <col min="5620" max="5620" width="13.25" style="2" bestFit="1" customWidth="1"/>
    <col min="5621" max="5621" width="11.125" style="2" bestFit="1" customWidth="1"/>
    <col min="5622" max="5622" width="9" style="2"/>
    <col min="5623" max="5623" width="11.125" style="2" bestFit="1" customWidth="1"/>
    <col min="5624" max="5624" width="9" style="2"/>
    <col min="5625" max="5645" width="11.125" style="2" bestFit="1" customWidth="1"/>
    <col min="5646" max="5646" width="9.625" style="2" bestFit="1" customWidth="1"/>
    <col min="5647" max="5871" width="9" style="2"/>
    <col min="5872" max="5872" width="2.375" style="2" customWidth="1"/>
    <col min="5873" max="5873" width="13.25" style="2" bestFit="1" customWidth="1"/>
    <col min="5874" max="5875" width="11.125" style="2" bestFit="1" customWidth="1"/>
    <col min="5876" max="5876" width="13.25" style="2" bestFit="1" customWidth="1"/>
    <col min="5877" max="5877" width="11.125" style="2" bestFit="1" customWidth="1"/>
    <col min="5878" max="5878" width="9" style="2"/>
    <col min="5879" max="5879" width="11.125" style="2" bestFit="1" customWidth="1"/>
    <col min="5880" max="5880" width="9" style="2"/>
    <col min="5881" max="5901" width="11.125" style="2" bestFit="1" customWidth="1"/>
    <col min="5902" max="5902" width="9.625" style="2" bestFit="1" customWidth="1"/>
    <col min="5903" max="6127" width="9" style="2"/>
    <col min="6128" max="6128" width="2.375" style="2" customWidth="1"/>
    <col min="6129" max="6129" width="13.25" style="2" bestFit="1" customWidth="1"/>
    <col min="6130" max="6131" width="11.125" style="2" bestFit="1" customWidth="1"/>
    <col min="6132" max="6132" width="13.25" style="2" bestFit="1" customWidth="1"/>
    <col min="6133" max="6133" width="11.125" style="2" bestFit="1" customWidth="1"/>
    <col min="6134" max="6134" width="9" style="2"/>
    <col min="6135" max="6135" width="11.125" style="2" bestFit="1" customWidth="1"/>
    <col min="6136" max="6136" width="9" style="2"/>
    <col min="6137" max="6157" width="11.125" style="2" bestFit="1" customWidth="1"/>
    <col min="6158" max="6158" width="9.625" style="2" bestFit="1" customWidth="1"/>
    <col min="6159" max="6383" width="9" style="2"/>
    <col min="6384" max="6384" width="2.375" style="2" customWidth="1"/>
    <col min="6385" max="6385" width="13.25" style="2" bestFit="1" customWidth="1"/>
    <col min="6386" max="6387" width="11.125" style="2" bestFit="1" customWidth="1"/>
    <col min="6388" max="6388" width="13.25" style="2" bestFit="1" customWidth="1"/>
    <col min="6389" max="6389" width="11.125" style="2" bestFit="1" customWidth="1"/>
    <col min="6390" max="6390" width="9" style="2"/>
    <col min="6391" max="6391" width="11.125" style="2" bestFit="1" customWidth="1"/>
    <col min="6392" max="6392" width="9" style="2"/>
    <col min="6393" max="6413" width="11.125" style="2" bestFit="1" customWidth="1"/>
    <col min="6414" max="6414" width="9.625" style="2" bestFit="1" customWidth="1"/>
    <col min="6415" max="6639" width="9" style="2"/>
    <col min="6640" max="6640" width="2.375" style="2" customWidth="1"/>
    <col min="6641" max="6641" width="13.25" style="2" bestFit="1" customWidth="1"/>
    <col min="6642" max="6643" width="11.125" style="2" bestFit="1" customWidth="1"/>
    <col min="6644" max="6644" width="13.25" style="2" bestFit="1" customWidth="1"/>
    <col min="6645" max="6645" width="11.125" style="2" bestFit="1" customWidth="1"/>
    <col min="6646" max="6646" width="9" style="2"/>
    <col min="6647" max="6647" width="11.125" style="2" bestFit="1" customWidth="1"/>
    <col min="6648" max="6648" width="9" style="2"/>
    <col min="6649" max="6669" width="11.125" style="2" bestFit="1" customWidth="1"/>
    <col min="6670" max="6670" width="9.625" style="2" bestFit="1" customWidth="1"/>
    <col min="6671" max="6895" width="9" style="2"/>
    <col min="6896" max="6896" width="2.375" style="2" customWidth="1"/>
    <col min="6897" max="6897" width="13.25" style="2" bestFit="1" customWidth="1"/>
    <col min="6898" max="6899" width="11.125" style="2" bestFit="1" customWidth="1"/>
    <col min="6900" max="6900" width="13.25" style="2" bestFit="1" customWidth="1"/>
    <col min="6901" max="6901" width="11.125" style="2" bestFit="1" customWidth="1"/>
    <col min="6902" max="6902" width="9" style="2"/>
    <col min="6903" max="6903" width="11.125" style="2" bestFit="1" customWidth="1"/>
    <col min="6904" max="6904" width="9" style="2"/>
    <col min="6905" max="6925" width="11.125" style="2" bestFit="1" customWidth="1"/>
    <col min="6926" max="6926" width="9.625" style="2" bestFit="1" customWidth="1"/>
    <col min="6927" max="7151" width="9" style="2"/>
    <col min="7152" max="7152" width="2.375" style="2" customWidth="1"/>
    <col min="7153" max="7153" width="13.25" style="2" bestFit="1" customWidth="1"/>
    <col min="7154" max="7155" width="11.125" style="2" bestFit="1" customWidth="1"/>
    <col min="7156" max="7156" width="13.25" style="2" bestFit="1" customWidth="1"/>
    <col min="7157" max="7157" width="11.125" style="2" bestFit="1" customWidth="1"/>
    <col min="7158" max="7158" width="9" style="2"/>
    <col min="7159" max="7159" width="11.125" style="2" bestFit="1" customWidth="1"/>
    <col min="7160" max="7160" width="9" style="2"/>
    <col min="7161" max="7181" width="11.125" style="2" bestFit="1" customWidth="1"/>
    <col min="7182" max="7182" width="9.625" style="2" bestFit="1" customWidth="1"/>
    <col min="7183" max="7407" width="9" style="2"/>
    <col min="7408" max="7408" width="2.375" style="2" customWidth="1"/>
    <col min="7409" max="7409" width="13.25" style="2" bestFit="1" customWidth="1"/>
    <col min="7410" max="7411" width="11.125" style="2" bestFit="1" customWidth="1"/>
    <col min="7412" max="7412" width="13.25" style="2" bestFit="1" customWidth="1"/>
    <col min="7413" max="7413" width="11.125" style="2" bestFit="1" customWidth="1"/>
    <col min="7414" max="7414" width="9" style="2"/>
    <col min="7415" max="7415" width="11.125" style="2" bestFit="1" customWidth="1"/>
    <col min="7416" max="7416" width="9" style="2"/>
    <col min="7417" max="7437" width="11.125" style="2" bestFit="1" customWidth="1"/>
    <col min="7438" max="7438" width="9.625" style="2" bestFit="1" customWidth="1"/>
    <col min="7439" max="7663" width="9" style="2"/>
    <col min="7664" max="7664" width="2.375" style="2" customWidth="1"/>
    <col min="7665" max="7665" width="13.25" style="2" bestFit="1" customWidth="1"/>
    <col min="7666" max="7667" width="11.125" style="2" bestFit="1" customWidth="1"/>
    <col min="7668" max="7668" width="13.25" style="2" bestFit="1" customWidth="1"/>
    <col min="7669" max="7669" width="11.125" style="2" bestFit="1" customWidth="1"/>
    <col min="7670" max="7670" width="9" style="2"/>
    <col min="7671" max="7671" width="11.125" style="2" bestFit="1" customWidth="1"/>
    <col min="7672" max="7672" width="9" style="2"/>
    <col min="7673" max="7693" width="11.125" style="2" bestFit="1" customWidth="1"/>
    <col min="7694" max="7694" width="9.625" style="2" bestFit="1" customWidth="1"/>
    <col min="7695" max="7919" width="9" style="2"/>
    <col min="7920" max="7920" width="2.375" style="2" customWidth="1"/>
    <col min="7921" max="7921" width="13.25" style="2" bestFit="1" customWidth="1"/>
    <col min="7922" max="7923" width="11.125" style="2" bestFit="1" customWidth="1"/>
    <col min="7924" max="7924" width="13.25" style="2" bestFit="1" customWidth="1"/>
    <col min="7925" max="7925" width="11.125" style="2" bestFit="1" customWidth="1"/>
    <col min="7926" max="7926" width="9" style="2"/>
    <col min="7927" max="7927" width="11.125" style="2" bestFit="1" customWidth="1"/>
    <col min="7928" max="7928" width="9" style="2"/>
    <col min="7929" max="7949" width="11.125" style="2" bestFit="1" customWidth="1"/>
    <col min="7950" max="7950" width="9.625" style="2" bestFit="1" customWidth="1"/>
    <col min="7951" max="8175" width="9" style="2"/>
    <col min="8176" max="8176" width="2.375" style="2" customWidth="1"/>
    <col min="8177" max="8177" width="13.25" style="2" bestFit="1" customWidth="1"/>
    <col min="8178" max="8179" width="11.125" style="2" bestFit="1" customWidth="1"/>
    <col min="8180" max="8180" width="13.25" style="2" bestFit="1" customWidth="1"/>
    <col min="8181" max="8181" width="11.125" style="2" bestFit="1" customWidth="1"/>
    <col min="8182" max="8182" width="9" style="2"/>
    <col min="8183" max="8183" width="11.125" style="2" bestFit="1" customWidth="1"/>
    <col min="8184" max="8184" width="9" style="2"/>
    <col min="8185" max="8205" width="11.125" style="2" bestFit="1" customWidth="1"/>
    <col min="8206" max="8206" width="9.625" style="2" bestFit="1" customWidth="1"/>
    <col min="8207" max="8431" width="9" style="2"/>
    <col min="8432" max="8432" width="2.375" style="2" customWidth="1"/>
    <col min="8433" max="8433" width="13.25" style="2" bestFit="1" customWidth="1"/>
    <col min="8434" max="8435" width="11.125" style="2" bestFit="1" customWidth="1"/>
    <col min="8436" max="8436" width="13.25" style="2" bestFit="1" customWidth="1"/>
    <col min="8437" max="8437" width="11.125" style="2" bestFit="1" customWidth="1"/>
    <col min="8438" max="8438" width="9" style="2"/>
    <col min="8439" max="8439" width="11.125" style="2" bestFit="1" customWidth="1"/>
    <col min="8440" max="8440" width="9" style="2"/>
    <col min="8441" max="8461" width="11.125" style="2" bestFit="1" customWidth="1"/>
    <col min="8462" max="8462" width="9.625" style="2" bestFit="1" customWidth="1"/>
    <col min="8463" max="8687" width="9" style="2"/>
    <col min="8688" max="8688" width="2.375" style="2" customWidth="1"/>
    <col min="8689" max="8689" width="13.25" style="2" bestFit="1" customWidth="1"/>
    <col min="8690" max="8691" width="11.125" style="2" bestFit="1" customWidth="1"/>
    <col min="8692" max="8692" width="13.25" style="2" bestFit="1" customWidth="1"/>
    <col min="8693" max="8693" width="11.125" style="2" bestFit="1" customWidth="1"/>
    <col min="8694" max="8694" width="9" style="2"/>
    <col min="8695" max="8695" width="11.125" style="2" bestFit="1" customWidth="1"/>
    <col min="8696" max="8696" width="9" style="2"/>
    <col min="8697" max="8717" width="11.125" style="2" bestFit="1" customWidth="1"/>
    <col min="8718" max="8718" width="9.625" style="2" bestFit="1" customWidth="1"/>
    <col min="8719" max="8943" width="9" style="2"/>
    <col min="8944" max="8944" width="2.375" style="2" customWidth="1"/>
    <col min="8945" max="8945" width="13.25" style="2" bestFit="1" customWidth="1"/>
    <col min="8946" max="8947" width="11.125" style="2" bestFit="1" customWidth="1"/>
    <col min="8948" max="8948" width="13.25" style="2" bestFit="1" customWidth="1"/>
    <col min="8949" max="8949" width="11.125" style="2" bestFit="1" customWidth="1"/>
    <col min="8950" max="8950" width="9" style="2"/>
    <col min="8951" max="8951" width="11.125" style="2" bestFit="1" customWidth="1"/>
    <col min="8952" max="8952" width="9" style="2"/>
    <col min="8953" max="8973" width="11.125" style="2" bestFit="1" customWidth="1"/>
    <col min="8974" max="8974" width="9.625" style="2" bestFit="1" customWidth="1"/>
    <col min="8975" max="9199" width="9" style="2"/>
    <col min="9200" max="9200" width="2.375" style="2" customWidth="1"/>
    <col min="9201" max="9201" width="13.25" style="2" bestFit="1" customWidth="1"/>
    <col min="9202" max="9203" width="11.125" style="2" bestFit="1" customWidth="1"/>
    <col min="9204" max="9204" width="13.25" style="2" bestFit="1" customWidth="1"/>
    <col min="9205" max="9205" width="11.125" style="2" bestFit="1" customWidth="1"/>
    <col min="9206" max="9206" width="9" style="2"/>
    <col min="9207" max="9207" width="11.125" style="2" bestFit="1" customWidth="1"/>
    <col min="9208" max="9208" width="9" style="2"/>
    <col min="9209" max="9229" width="11.125" style="2" bestFit="1" customWidth="1"/>
    <col min="9230" max="9230" width="9.625" style="2" bestFit="1" customWidth="1"/>
    <col min="9231" max="9455" width="9" style="2"/>
    <col min="9456" max="9456" width="2.375" style="2" customWidth="1"/>
    <col min="9457" max="9457" width="13.25" style="2" bestFit="1" customWidth="1"/>
    <col min="9458" max="9459" width="11.125" style="2" bestFit="1" customWidth="1"/>
    <col min="9460" max="9460" width="13.25" style="2" bestFit="1" customWidth="1"/>
    <col min="9461" max="9461" width="11.125" style="2" bestFit="1" customWidth="1"/>
    <col min="9462" max="9462" width="9" style="2"/>
    <col min="9463" max="9463" width="11.125" style="2" bestFit="1" customWidth="1"/>
    <col min="9464" max="9464" width="9" style="2"/>
    <col min="9465" max="9485" width="11.125" style="2" bestFit="1" customWidth="1"/>
    <col min="9486" max="9486" width="9.625" style="2" bestFit="1" customWidth="1"/>
    <col min="9487" max="9711" width="9" style="2"/>
    <col min="9712" max="9712" width="2.375" style="2" customWidth="1"/>
    <col min="9713" max="9713" width="13.25" style="2" bestFit="1" customWidth="1"/>
    <col min="9714" max="9715" width="11.125" style="2" bestFit="1" customWidth="1"/>
    <col min="9716" max="9716" width="13.25" style="2" bestFit="1" customWidth="1"/>
    <col min="9717" max="9717" width="11.125" style="2" bestFit="1" customWidth="1"/>
    <col min="9718" max="9718" width="9" style="2"/>
    <col min="9719" max="9719" width="11.125" style="2" bestFit="1" customWidth="1"/>
    <col min="9720" max="9720" width="9" style="2"/>
    <col min="9721" max="9741" width="11.125" style="2" bestFit="1" customWidth="1"/>
    <col min="9742" max="9742" width="9.625" style="2" bestFit="1" customWidth="1"/>
    <col min="9743" max="9967" width="9" style="2"/>
    <col min="9968" max="9968" width="2.375" style="2" customWidth="1"/>
    <col min="9969" max="9969" width="13.25" style="2" bestFit="1" customWidth="1"/>
    <col min="9970" max="9971" width="11.125" style="2" bestFit="1" customWidth="1"/>
    <col min="9972" max="9972" width="13.25" style="2" bestFit="1" customWidth="1"/>
    <col min="9973" max="9973" width="11.125" style="2" bestFit="1" customWidth="1"/>
    <col min="9974" max="9974" width="9" style="2"/>
    <col min="9975" max="9975" width="11.125" style="2" bestFit="1" customWidth="1"/>
    <col min="9976" max="9976" width="9" style="2"/>
    <col min="9977" max="9997" width="11.125" style="2" bestFit="1" customWidth="1"/>
    <col min="9998" max="9998" width="9.625" style="2" bestFit="1" customWidth="1"/>
    <col min="9999" max="10223" width="9" style="2"/>
    <col min="10224" max="10224" width="2.375" style="2" customWidth="1"/>
    <col min="10225" max="10225" width="13.25" style="2" bestFit="1" customWidth="1"/>
    <col min="10226" max="10227" width="11.125" style="2" bestFit="1" customWidth="1"/>
    <col min="10228" max="10228" width="13.25" style="2" bestFit="1" customWidth="1"/>
    <col min="10229" max="10229" width="11.125" style="2" bestFit="1" customWidth="1"/>
    <col min="10230" max="10230" width="9" style="2"/>
    <col min="10231" max="10231" width="11.125" style="2" bestFit="1" customWidth="1"/>
    <col min="10232" max="10232" width="9" style="2"/>
    <col min="10233" max="10253" width="11.125" style="2" bestFit="1" customWidth="1"/>
    <col min="10254" max="10254" width="9.625" style="2" bestFit="1" customWidth="1"/>
    <col min="10255" max="10479" width="9" style="2"/>
    <col min="10480" max="10480" width="2.375" style="2" customWidth="1"/>
    <col min="10481" max="10481" width="13.25" style="2" bestFit="1" customWidth="1"/>
    <col min="10482" max="10483" width="11.125" style="2" bestFit="1" customWidth="1"/>
    <col min="10484" max="10484" width="13.25" style="2" bestFit="1" customWidth="1"/>
    <col min="10485" max="10485" width="11.125" style="2" bestFit="1" customWidth="1"/>
    <col min="10486" max="10486" width="9" style="2"/>
    <col min="10487" max="10487" width="11.125" style="2" bestFit="1" customWidth="1"/>
    <col min="10488" max="10488" width="9" style="2"/>
    <col min="10489" max="10509" width="11.125" style="2" bestFit="1" customWidth="1"/>
    <col min="10510" max="10510" width="9.625" style="2" bestFit="1" customWidth="1"/>
    <col min="10511" max="10735" width="9" style="2"/>
    <col min="10736" max="10736" width="2.375" style="2" customWidth="1"/>
    <col min="10737" max="10737" width="13.25" style="2" bestFit="1" customWidth="1"/>
    <col min="10738" max="10739" width="11.125" style="2" bestFit="1" customWidth="1"/>
    <col min="10740" max="10740" width="13.25" style="2" bestFit="1" customWidth="1"/>
    <col min="10741" max="10741" width="11.125" style="2" bestFit="1" customWidth="1"/>
    <col min="10742" max="10742" width="9" style="2"/>
    <col min="10743" max="10743" width="11.125" style="2" bestFit="1" customWidth="1"/>
    <col min="10744" max="10744" width="9" style="2"/>
    <col min="10745" max="10765" width="11.125" style="2" bestFit="1" customWidth="1"/>
    <col min="10766" max="10766" width="9.625" style="2" bestFit="1" customWidth="1"/>
    <col min="10767" max="10991" width="9" style="2"/>
    <col min="10992" max="10992" width="2.375" style="2" customWidth="1"/>
    <col min="10993" max="10993" width="13.25" style="2" bestFit="1" customWidth="1"/>
    <col min="10994" max="10995" width="11.125" style="2" bestFit="1" customWidth="1"/>
    <col min="10996" max="10996" width="13.25" style="2" bestFit="1" customWidth="1"/>
    <col min="10997" max="10997" width="11.125" style="2" bestFit="1" customWidth="1"/>
    <col min="10998" max="10998" width="9" style="2"/>
    <col min="10999" max="10999" width="11.125" style="2" bestFit="1" customWidth="1"/>
    <col min="11000" max="11000" width="9" style="2"/>
    <col min="11001" max="11021" width="11.125" style="2" bestFit="1" customWidth="1"/>
    <col min="11022" max="11022" width="9.625" style="2" bestFit="1" customWidth="1"/>
    <col min="11023" max="11247" width="9" style="2"/>
    <col min="11248" max="11248" width="2.375" style="2" customWidth="1"/>
    <col min="11249" max="11249" width="13.25" style="2" bestFit="1" customWidth="1"/>
    <col min="11250" max="11251" width="11.125" style="2" bestFit="1" customWidth="1"/>
    <col min="11252" max="11252" width="13.25" style="2" bestFit="1" customWidth="1"/>
    <col min="11253" max="11253" width="11.125" style="2" bestFit="1" customWidth="1"/>
    <col min="11254" max="11254" width="9" style="2"/>
    <col min="11255" max="11255" width="11.125" style="2" bestFit="1" customWidth="1"/>
    <col min="11256" max="11256" width="9" style="2"/>
    <col min="11257" max="11277" width="11.125" style="2" bestFit="1" customWidth="1"/>
    <col min="11278" max="11278" width="9.625" style="2" bestFit="1" customWidth="1"/>
    <col min="11279" max="11503" width="9" style="2"/>
    <col min="11504" max="11504" width="2.375" style="2" customWidth="1"/>
    <col min="11505" max="11505" width="13.25" style="2" bestFit="1" customWidth="1"/>
    <col min="11506" max="11507" width="11.125" style="2" bestFit="1" customWidth="1"/>
    <col min="11508" max="11508" width="13.25" style="2" bestFit="1" customWidth="1"/>
    <col min="11509" max="11509" width="11.125" style="2" bestFit="1" customWidth="1"/>
    <col min="11510" max="11510" width="9" style="2"/>
    <col min="11511" max="11511" width="11.125" style="2" bestFit="1" customWidth="1"/>
    <col min="11512" max="11512" width="9" style="2"/>
    <col min="11513" max="11533" width="11.125" style="2" bestFit="1" customWidth="1"/>
    <col min="11534" max="11534" width="9.625" style="2" bestFit="1" customWidth="1"/>
    <col min="11535" max="11759" width="9" style="2"/>
    <col min="11760" max="11760" width="2.375" style="2" customWidth="1"/>
    <col min="11761" max="11761" width="13.25" style="2" bestFit="1" customWidth="1"/>
    <col min="11762" max="11763" width="11.125" style="2" bestFit="1" customWidth="1"/>
    <col min="11764" max="11764" width="13.25" style="2" bestFit="1" customWidth="1"/>
    <col min="11765" max="11765" width="11.125" style="2" bestFit="1" customWidth="1"/>
    <col min="11766" max="11766" width="9" style="2"/>
    <col min="11767" max="11767" width="11.125" style="2" bestFit="1" customWidth="1"/>
    <col min="11768" max="11768" width="9" style="2"/>
    <col min="11769" max="11789" width="11.125" style="2" bestFit="1" customWidth="1"/>
    <col min="11790" max="11790" width="9.625" style="2" bestFit="1" customWidth="1"/>
    <col min="11791" max="12015" width="9" style="2"/>
    <col min="12016" max="12016" width="2.375" style="2" customWidth="1"/>
    <col min="12017" max="12017" width="13.25" style="2" bestFit="1" customWidth="1"/>
    <col min="12018" max="12019" width="11.125" style="2" bestFit="1" customWidth="1"/>
    <col min="12020" max="12020" width="13.25" style="2" bestFit="1" customWidth="1"/>
    <col min="12021" max="12021" width="11.125" style="2" bestFit="1" customWidth="1"/>
    <col min="12022" max="12022" width="9" style="2"/>
    <col min="12023" max="12023" width="11.125" style="2" bestFit="1" customWidth="1"/>
    <col min="12024" max="12024" width="9" style="2"/>
    <col min="12025" max="12045" width="11.125" style="2" bestFit="1" customWidth="1"/>
    <col min="12046" max="12046" width="9.625" style="2" bestFit="1" customWidth="1"/>
    <col min="12047" max="12271" width="9" style="2"/>
    <col min="12272" max="12272" width="2.375" style="2" customWidth="1"/>
    <col min="12273" max="12273" width="13.25" style="2" bestFit="1" customWidth="1"/>
    <col min="12274" max="12275" width="11.125" style="2" bestFit="1" customWidth="1"/>
    <col min="12276" max="12276" width="13.25" style="2" bestFit="1" customWidth="1"/>
    <col min="12277" max="12277" width="11.125" style="2" bestFit="1" customWidth="1"/>
    <col min="12278" max="12278" width="9" style="2"/>
    <col min="12279" max="12279" width="11.125" style="2" bestFit="1" customWidth="1"/>
    <col min="12280" max="12280" width="9" style="2"/>
    <col min="12281" max="12301" width="11.125" style="2" bestFit="1" customWidth="1"/>
    <col min="12302" max="12302" width="9.625" style="2" bestFit="1" customWidth="1"/>
    <col min="12303" max="12527" width="9" style="2"/>
    <col min="12528" max="12528" width="2.375" style="2" customWidth="1"/>
    <col min="12529" max="12529" width="13.25" style="2" bestFit="1" customWidth="1"/>
    <col min="12530" max="12531" width="11.125" style="2" bestFit="1" customWidth="1"/>
    <col min="12532" max="12532" width="13.25" style="2" bestFit="1" customWidth="1"/>
    <col min="12533" max="12533" width="11.125" style="2" bestFit="1" customWidth="1"/>
    <col min="12534" max="12534" width="9" style="2"/>
    <col min="12535" max="12535" width="11.125" style="2" bestFit="1" customWidth="1"/>
    <col min="12536" max="12536" width="9" style="2"/>
    <col min="12537" max="12557" width="11.125" style="2" bestFit="1" customWidth="1"/>
    <col min="12558" max="12558" width="9.625" style="2" bestFit="1" customWidth="1"/>
    <col min="12559" max="12783" width="9" style="2"/>
    <col min="12784" max="12784" width="2.375" style="2" customWidth="1"/>
    <col min="12785" max="12785" width="13.25" style="2" bestFit="1" customWidth="1"/>
    <col min="12786" max="12787" width="11.125" style="2" bestFit="1" customWidth="1"/>
    <col min="12788" max="12788" width="13.25" style="2" bestFit="1" customWidth="1"/>
    <col min="12789" max="12789" width="11.125" style="2" bestFit="1" customWidth="1"/>
    <col min="12790" max="12790" width="9" style="2"/>
    <col min="12791" max="12791" width="11.125" style="2" bestFit="1" customWidth="1"/>
    <col min="12792" max="12792" width="9" style="2"/>
    <col min="12793" max="12813" width="11.125" style="2" bestFit="1" customWidth="1"/>
    <col min="12814" max="12814" width="9.625" style="2" bestFit="1" customWidth="1"/>
    <col min="12815" max="13039" width="9" style="2"/>
    <col min="13040" max="13040" width="2.375" style="2" customWidth="1"/>
    <col min="13041" max="13041" width="13.25" style="2" bestFit="1" customWidth="1"/>
    <col min="13042" max="13043" width="11.125" style="2" bestFit="1" customWidth="1"/>
    <col min="13044" max="13044" width="13.25" style="2" bestFit="1" customWidth="1"/>
    <col min="13045" max="13045" width="11.125" style="2" bestFit="1" customWidth="1"/>
    <col min="13046" max="13046" width="9" style="2"/>
    <col min="13047" max="13047" width="11.125" style="2" bestFit="1" customWidth="1"/>
    <col min="13048" max="13048" width="9" style="2"/>
    <col min="13049" max="13069" width="11.125" style="2" bestFit="1" customWidth="1"/>
    <col min="13070" max="13070" width="9.625" style="2" bestFit="1" customWidth="1"/>
    <col min="13071" max="13295" width="9" style="2"/>
    <col min="13296" max="13296" width="2.375" style="2" customWidth="1"/>
    <col min="13297" max="13297" width="13.25" style="2" bestFit="1" customWidth="1"/>
    <col min="13298" max="13299" width="11.125" style="2" bestFit="1" customWidth="1"/>
    <col min="13300" max="13300" width="13.25" style="2" bestFit="1" customWidth="1"/>
    <col min="13301" max="13301" width="11.125" style="2" bestFit="1" customWidth="1"/>
    <col min="13302" max="13302" width="9" style="2"/>
    <col min="13303" max="13303" width="11.125" style="2" bestFit="1" customWidth="1"/>
    <col min="13304" max="13304" width="9" style="2"/>
    <col min="13305" max="13325" width="11.125" style="2" bestFit="1" customWidth="1"/>
    <col min="13326" max="13326" width="9.625" style="2" bestFit="1" customWidth="1"/>
    <col min="13327" max="13551" width="9" style="2"/>
    <col min="13552" max="13552" width="2.375" style="2" customWidth="1"/>
    <col min="13553" max="13553" width="13.25" style="2" bestFit="1" customWidth="1"/>
    <col min="13554" max="13555" width="11.125" style="2" bestFit="1" customWidth="1"/>
    <col min="13556" max="13556" width="13.25" style="2" bestFit="1" customWidth="1"/>
    <col min="13557" max="13557" width="11.125" style="2" bestFit="1" customWidth="1"/>
    <col min="13558" max="13558" width="9" style="2"/>
    <col min="13559" max="13559" width="11.125" style="2" bestFit="1" customWidth="1"/>
    <col min="13560" max="13560" width="9" style="2"/>
    <col min="13561" max="13581" width="11.125" style="2" bestFit="1" customWidth="1"/>
    <col min="13582" max="13582" width="9.625" style="2" bestFit="1" customWidth="1"/>
    <col min="13583" max="13807" width="9" style="2"/>
    <col min="13808" max="13808" width="2.375" style="2" customWidth="1"/>
    <col min="13809" max="13809" width="13.25" style="2" bestFit="1" customWidth="1"/>
    <col min="13810" max="13811" width="11.125" style="2" bestFit="1" customWidth="1"/>
    <col min="13812" max="13812" width="13.25" style="2" bestFit="1" customWidth="1"/>
    <col min="13813" max="13813" width="11.125" style="2" bestFit="1" customWidth="1"/>
    <col min="13814" max="13814" width="9" style="2"/>
    <col min="13815" max="13815" width="11.125" style="2" bestFit="1" customWidth="1"/>
    <col min="13816" max="13816" width="9" style="2"/>
    <col min="13817" max="13837" width="11.125" style="2" bestFit="1" customWidth="1"/>
    <col min="13838" max="13838" width="9.625" style="2" bestFit="1" customWidth="1"/>
    <col min="13839" max="14063" width="9" style="2"/>
    <col min="14064" max="14064" width="2.375" style="2" customWidth="1"/>
    <col min="14065" max="14065" width="13.25" style="2" bestFit="1" customWidth="1"/>
    <col min="14066" max="14067" width="11.125" style="2" bestFit="1" customWidth="1"/>
    <col min="14068" max="14068" width="13.25" style="2" bestFit="1" customWidth="1"/>
    <col min="14069" max="14069" width="11.125" style="2" bestFit="1" customWidth="1"/>
    <col min="14070" max="14070" width="9" style="2"/>
    <col min="14071" max="14071" width="11.125" style="2" bestFit="1" customWidth="1"/>
    <col min="14072" max="14072" width="9" style="2"/>
    <col min="14073" max="14093" width="11.125" style="2" bestFit="1" customWidth="1"/>
    <col min="14094" max="14094" width="9.625" style="2" bestFit="1" customWidth="1"/>
    <col min="14095" max="14319" width="9" style="2"/>
    <col min="14320" max="14320" width="2.375" style="2" customWidth="1"/>
    <col min="14321" max="14321" width="13.25" style="2" bestFit="1" customWidth="1"/>
    <col min="14322" max="14323" width="11.125" style="2" bestFit="1" customWidth="1"/>
    <col min="14324" max="14324" width="13.25" style="2" bestFit="1" customWidth="1"/>
    <col min="14325" max="14325" width="11.125" style="2" bestFit="1" customWidth="1"/>
    <col min="14326" max="14326" width="9" style="2"/>
    <col min="14327" max="14327" width="11.125" style="2" bestFit="1" customWidth="1"/>
    <col min="14328" max="14328" width="9" style="2"/>
    <col min="14329" max="14349" width="11.125" style="2" bestFit="1" customWidth="1"/>
    <col min="14350" max="14350" width="9.625" style="2" bestFit="1" customWidth="1"/>
    <col min="14351" max="14575" width="9" style="2"/>
    <col min="14576" max="14576" width="2.375" style="2" customWidth="1"/>
    <col min="14577" max="14577" width="13.25" style="2" bestFit="1" customWidth="1"/>
    <col min="14578" max="14579" width="11.125" style="2" bestFit="1" customWidth="1"/>
    <col min="14580" max="14580" width="13.25" style="2" bestFit="1" customWidth="1"/>
    <col min="14581" max="14581" width="11.125" style="2" bestFit="1" customWidth="1"/>
    <col min="14582" max="14582" width="9" style="2"/>
    <col min="14583" max="14583" width="11.125" style="2" bestFit="1" customWidth="1"/>
    <col min="14584" max="14584" width="9" style="2"/>
    <col min="14585" max="14605" width="11.125" style="2" bestFit="1" customWidth="1"/>
    <col min="14606" max="14606" width="9.625" style="2" bestFit="1" customWidth="1"/>
    <col min="14607" max="14831" width="9" style="2"/>
    <col min="14832" max="14832" width="2.375" style="2" customWidth="1"/>
    <col min="14833" max="14833" width="13.25" style="2" bestFit="1" customWidth="1"/>
    <col min="14834" max="14835" width="11.125" style="2" bestFit="1" customWidth="1"/>
    <col min="14836" max="14836" width="13.25" style="2" bestFit="1" customWidth="1"/>
    <col min="14837" max="14837" width="11.125" style="2" bestFit="1" customWidth="1"/>
    <col min="14838" max="14838" width="9" style="2"/>
    <col min="14839" max="14839" width="11.125" style="2" bestFit="1" customWidth="1"/>
    <col min="14840" max="14840" width="9" style="2"/>
    <col min="14841" max="14861" width="11.125" style="2" bestFit="1" customWidth="1"/>
    <col min="14862" max="14862" width="9.625" style="2" bestFit="1" customWidth="1"/>
    <col min="14863" max="15087" width="9" style="2"/>
    <col min="15088" max="15088" width="2.375" style="2" customWidth="1"/>
    <col min="15089" max="15089" width="13.25" style="2" bestFit="1" customWidth="1"/>
    <col min="15090" max="15091" width="11.125" style="2" bestFit="1" customWidth="1"/>
    <col min="15092" max="15092" width="13.25" style="2" bestFit="1" customWidth="1"/>
    <col min="15093" max="15093" width="11.125" style="2" bestFit="1" customWidth="1"/>
    <col min="15094" max="15094" width="9" style="2"/>
    <col min="15095" max="15095" width="11.125" style="2" bestFit="1" customWidth="1"/>
    <col min="15096" max="15096" width="9" style="2"/>
    <col min="15097" max="15117" width="11.125" style="2" bestFit="1" customWidth="1"/>
    <col min="15118" max="15118" width="9.625" style="2" bestFit="1" customWidth="1"/>
    <col min="15119" max="15343" width="9" style="2"/>
    <col min="15344" max="15344" width="2.375" style="2" customWidth="1"/>
    <col min="15345" max="15345" width="13.25" style="2" bestFit="1" customWidth="1"/>
    <col min="15346" max="15347" width="11.125" style="2" bestFit="1" customWidth="1"/>
    <col min="15348" max="15348" width="13.25" style="2" bestFit="1" customWidth="1"/>
    <col min="15349" max="15349" width="11.125" style="2" bestFit="1" customWidth="1"/>
    <col min="15350" max="15350" width="9" style="2"/>
    <col min="15351" max="15351" width="11.125" style="2" bestFit="1" customWidth="1"/>
    <col min="15352" max="15352" width="9" style="2"/>
    <col min="15353" max="15373" width="11.125" style="2" bestFit="1" customWidth="1"/>
    <col min="15374" max="15374" width="9.625" style="2" bestFit="1" customWidth="1"/>
    <col min="15375" max="15599" width="9" style="2"/>
    <col min="15600" max="15600" width="2.375" style="2" customWidth="1"/>
    <col min="15601" max="15601" width="13.25" style="2" bestFit="1" customWidth="1"/>
    <col min="15602" max="15603" width="11.125" style="2" bestFit="1" customWidth="1"/>
    <col min="15604" max="15604" width="13.25" style="2" bestFit="1" customWidth="1"/>
    <col min="15605" max="15605" width="11.125" style="2" bestFit="1" customWidth="1"/>
    <col min="15606" max="15606" width="9" style="2"/>
    <col min="15607" max="15607" width="11.125" style="2" bestFit="1" customWidth="1"/>
    <col min="15608" max="15608" width="9" style="2"/>
    <col min="15609" max="15629" width="11.125" style="2" bestFit="1" customWidth="1"/>
    <col min="15630" max="15630" width="9.625" style="2" bestFit="1" customWidth="1"/>
    <col min="15631" max="15855" width="9" style="2"/>
    <col min="15856" max="15856" width="2.375" style="2" customWidth="1"/>
    <col min="15857" max="15857" width="13.25" style="2" bestFit="1" customWidth="1"/>
    <col min="15858" max="15859" width="11.125" style="2" bestFit="1" customWidth="1"/>
    <col min="15860" max="15860" width="13.25" style="2" bestFit="1" customWidth="1"/>
    <col min="15861" max="15861" width="11.125" style="2" bestFit="1" customWidth="1"/>
    <col min="15862" max="15862" width="9" style="2"/>
    <col min="15863" max="15863" width="11.125" style="2" bestFit="1" customWidth="1"/>
    <col min="15864" max="15864" width="9" style="2"/>
    <col min="15865" max="15885" width="11.125" style="2" bestFit="1" customWidth="1"/>
    <col min="15886" max="15886" width="9.625" style="2" bestFit="1" customWidth="1"/>
    <col min="15887" max="16111" width="9" style="2"/>
    <col min="16112" max="16112" width="2.375" style="2" customWidth="1"/>
    <col min="16113" max="16113" width="13.25" style="2" bestFit="1" customWidth="1"/>
    <col min="16114" max="16115" width="11.125" style="2" bestFit="1" customWidth="1"/>
    <col min="16116" max="16116" width="13.25" style="2" bestFit="1" customWidth="1"/>
    <col min="16117" max="16117" width="11.125" style="2" bestFit="1" customWidth="1"/>
    <col min="16118" max="16118" width="9" style="2"/>
    <col min="16119" max="16119" width="11.125" style="2" bestFit="1" customWidth="1"/>
    <col min="16120" max="16120" width="9" style="2"/>
    <col min="16121" max="16141" width="11.125" style="2" bestFit="1" customWidth="1"/>
    <col min="16142" max="16142" width="9.625" style="2" bestFit="1" customWidth="1"/>
    <col min="16143" max="16384" width="9" style="2"/>
  </cols>
  <sheetData>
    <row r="1" spans="1:16">
      <c r="A1" s="1" t="s">
        <v>0</v>
      </c>
    </row>
    <row r="2" spans="1:16" ht="19.5" thickBot="1">
      <c r="A2" s="1" t="s">
        <v>118</v>
      </c>
    </row>
    <row r="3" spans="1:16">
      <c r="B3" s="81"/>
      <c r="C3" s="54" t="s">
        <v>17</v>
      </c>
      <c r="D3" s="7" t="s">
        <v>4</v>
      </c>
      <c r="E3" s="7" t="s">
        <v>25</v>
      </c>
      <c r="F3" s="7" t="s">
        <v>26</v>
      </c>
      <c r="G3" s="7" t="s">
        <v>22</v>
      </c>
      <c r="H3" s="7" t="s">
        <v>23</v>
      </c>
      <c r="I3" s="7" t="s">
        <v>24</v>
      </c>
      <c r="J3" s="7" t="s">
        <v>27</v>
      </c>
      <c r="K3" s="7" t="s">
        <v>28</v>
      </c>
      <c r="L3" s="8" t="s">
        <v>29</v>
      </c>
      <c r="M3" s="65" t="s">
        <v>119</v>
      </c>
      <c r="N3" s="76" t="s">
        <v>5</v>
      </c>
      <c r="O3" s="65" t="s">
        <v>119</v>
      </c>
      <c r="P3" s="77" t="s">
        <v>59</v>
      </c>
    </row>
    <row r="4" spans="1:16" ht="19.5" thickBot="1">
      <c r="A4" s="80"/>
      <c r="B4" s="82" t="s">
        <v>30</v>
      </c>
      <c r="C4" s="55" t="s">
        <v>46</v>
      </c>
      <c r="D4" s="27" t="s">
        <v>33</v>
      </c>
      <c r="E4" s="27" t="s">
        <v>54</v>
      </c>
      <c r="F4" s="27" t="s">
        <v>55</v>
      </c>
      <c r="G4" s="27" t="s">
        <v>51</v>
      </c>
      <c r="H4" s="27" t="s">
        <v>52</v>
      </c>
      <c r="I4" s="27" t="s">
        <v>53</v>
      </c>
      <c r="J4" s="27" t="s">
        <v>56</v>
      </c>
      <c r="K4" s="27" t="s">
        <v>57</v>
      </c>
      <c r="L4" s="28" t="s">
        <v>58</v>
      </c>
      <c r="M4" s="66" t="s">
        <v>120</v>
      </c>
      <c r="N4" s="78" t="s">
        <v>34</v>
      </c>
      <c r="O4" s="66" t="s">
        <v>122</v>
      </c>
      <c r="P4" s="79" t="s">
        <v>123</v>
      </c>
    </row>
    <row r="5" spans="1:16">
      <c r="A5" s="1" t="s">
        <v>1</v>
      </c>
      <c r="B5" s="83" t="s">
        <v>60</v>
      </c>
      <c r="C5" s="56">
        <v>19</v>
      </c>
      <c r="D5" s="23">
        <v>20</v>
      </c>
      <c r="E5" s="23">
        <v>13</v>
      </c>
      <c r="F5" s="23">
        <v>14</v>
      </c>
      <c r="G5" s="23">
        <v>11</v>
      </c>
      <c r="H5" s="23">
        <v>10</v>
      </c>
      <c r="I5" s="23">
        <v>10</v>
      </c>
      <c r="J5" s="23">
        <v>5</v>
      </c>
      <c r="K5" s="23">
        <v>20</v>
      </c>
      <c r="L5" s="24">
        <v>7</v>
      </c>
      <c r="M5" s="67">
        <f>SUM(C5:L5)</f>
        <v>129</v>
      </c>
      <c r="N5" s="67">
        <v>19</v>
      </c>
      <c r="O5" s="67">
        <f>SUM(N5)</f>
        <v>19</v>
      </c>
      <c r="P5" s="67">
        <v>459</v>
      </c>
    </row>
    <row r="6" spans="1:16">
      <c r="A6" s="1" t="s">
        <v>1</v>
      </c>
      <c r="B6" s="84" t="s">
        <v>61</v>
      </c>
      <c r="C6" s="57">
        <v>0</v>
      </c>
      <c r="D6" s="10">
        <v>5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1">
        <v>0</v>
      </c>
      <c r="M6" s="68">
        <f>SUM(C6:L6)</f>
        <v>5</v>
      </c>
      <c r="N6" s="68">
        <v>0</v>
      </c>
      <c r="O6" s="68"/>
      <c r="P6" s="68">
        <v>58</v>
      </c>
    </row>
    <row r="7" spans="1:16">
      <c r="A7" s="1" t="s">
        <v>1</v>
      </c>
      <c r="B7" s="84" t="s">
        <v>62</v>
      </c>
      <c r="C7" s="57">
        <v>0</v>
      </c>
      <c r="D7" s="10">
        <v>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1">
        <v>0</v>
      </c>
      <c r="M7" s="68">
        <f t="shared" ref="M7:M9" si="0">SUM(C7:L7)</f>
        <v>1</v>
      </c>
      <c r="N7" s="68">
        <v>0</v>
      </c>
      <c r="O7" s="68"/>
      <c r="P7" s="68">
        <v>41</v>
      </c>
    </row>
    <row r="8" spans="1:16">
      <c r="A8" s="1" t="s">
        <v>1</v>
      </c>
      <c r="B8" s="84" t="s">
        <v>63</v>
      </c>
      <c r="C8" s="57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1">
        <v>0</v>
      </c>
      <c r="M8" s="68">
        <f t="shared" si="0"/>
        <v>0</v>
      </c>
      <c r="N8" s="68">
        <v>0</v>
      </c>
      <c r="O8" s="68"/>
      <c r="P8" s="68">
        <v>9</v>
      </c>
    </row>
    <row r="9" spans="1:16">
      <c r="A9" s="1" t="s">
        <v>1</v>
      </c>
      <c r="B9" s="84" t="s">
        <v>64</v>
      </c>
      <c r="C9" s="57">
        <v>1</v>
      </c>
      <c r="D9" s="10">
        <v>0</v>
      </c>
      <c r="E9" s="10">
        <v>0</v>
      </c>
      <c r="F9" s="10">
        <v>0</v>
      </c>
      <c r="G9" s="10">
        <v>1</v>
      </c>
      <c r="H9" s="10">
        <v>1</v>
      </c>
      <c r="I9" s="10">
        <v>0</v>
      </c>
      <c r="J9" s="10">
        <v>0</v>
      </c>
      <c r="K9" s="10">
        <v>0</v>
      </c>
      <c r="L9" s="11">
        <v>0</v>
      </c>
      <c r="M9" s="68">
        <f t="shared" si="0"/>
        <v>3</v>
      </c>
      <c r="N9" s="68">
        <v>1</v>
      </c>
      <c r="O9" s="68">
        <f>SUM(N9)</f>
        <v>1</v>
      </c>
      <c r="P9" s="68">
        <v>19</v>
      </c>
    </row>
    <row r="10" spans="1:16">
      <c r="A10" s="1" t="s">
        <v>1</v>
      </c>
      <c r="B10" s="84" t="s">
        <v>65</v>
      </c>
      <c r="C10" s="57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1">
        <v>0</v>
      </c>
      <c r="M10" s="68"/>
      <c r="N10" s="68">
        <v>0</v>
      </c>
      <c r="O10" s="68"/>
      <c r="P10" s="68">
        <v>1</v>
      </c>
    </row>
    <row r="11" spans="1:16">
      <c r="A11" s="1" t="s">
        <v>1</v>
      </c>
      <c r="B11" s="84" t="s">
        <v>66</v>
      </c>
      <c r="C11" s="57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68"/>
      <c r="N11" s="68">
        <v>0</v>
      </c>
      <c r="O11" s="68"/>
      <c r="P11" s="68">
        <v>4</v>
      </c>
    </row>
    <row r="12" spans="1:16">
      <c r="A12" s="1" t="s">
        <v>1</v>
      </c>
      <c r="B12" s="84" t="s">
        <v>67</v>
      </c>
      <c r="C12" s="57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68"/>
      <c r="N12" s="68">
        <v>0</v>
      </c>
      <c r="O12" s="68"/>
      <c r="P12" s="68">
        <v>4</v>
      </c>
    </row>
    <row r="13" spans="1:16">
      <c r="A13" s="1" t="s">
        <v>1</v>
      </c>
      <c r="B13" s="84" t="s">
        <v>68</v>
      </c>
      <c r="C13" s="58">
        <v>0</v>
      </c>
      <c r="D13" s="13">
        <v>0</v>
      </c>
      <c r="E13" s="13">
        <v>3.7083333333333335</v>
      </c>
      <c r="F13" s="13">
        <v>3.5416666666666665</v>
      </c>
      <c r="G13" s="13">
        <v>3.25</v>
      </c>
      <c r="H13" s="13">
        <v>2.9166666666666665</v>
      </c>
      <c r="I13" s="13">
        <v>2.9166666666666665</v>
      </c>
      <c r="J13" s="13">
        <v>1.6666666666666665</v>
      </c>
      <c r="K13" s="13">
        <v>3.625</v>
      </c>
      <c r="L13" s="14">
        <v>1.9166666666666665</v>
      </c>
      <c r="M13" s="69">
        <f>SUM(C13:L13)</f>
        <v>23.541666666666668</v>
      </c>
      <c r="N13" s="69">
        <v>0</v>
      </c>
      <c r="O13" s="69"/>
      <c r="P13" s="69">
        <v>23.541666666666668</v>
      </c>
    </row>
    <row r="14" spans="1:16">
      <c r="A14" s="1" t="s">
        <v>1</v>
      </c>
      <c r="B14" s="84" t="s">
        <v>69</v>
      </c>
      <c r="C14" s="58">
        <v>0</v>
      </c>
      <c r="D14" s="13">
        <v>1.5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4.1666666666666664E-2</v>
      </c>
      <c r="K14" s="13">
        <v>0</v>
      </c>
      <c r="L14" s="14">
        <v>4.1666666666666664E-2</v>
      </c>
      <c r="M14" s="69">
        <f t="shared" ref="M14:M16" si="1">SUM(C14:L14)</f>
        <v>1.5833333333333335</v>
      </c>
      <c r="N14" s="69">
        <v>0</v>
      </c>
      <c r="O14" s="69"/>
      <c r="P14" s="69">
        <v>32.916666666666664</v>
      </c>
    </row>
    <row r="15" spans="1:16">
      <c r="A15" s="1" t="s">
        <v>1</v>
      </c>
      <c r="B15" s="84" t="s">
        <v>70</v>
      </c>
      <c r="C15" s="58">
        <v>0</v>
      </c>
      <c r="D15" s="13">
        <v>1.7083333333333335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4">
        <v>0</v>
      </c>
      <c r="M15" s="69">
        <f t="shared" si="1"/>
        <v>1.7083333333333335</v>
      </c>
      <c r="N15" s="69">
        <v>0</v>
      </c>
      <c r="O15" s="69"/>
      <c r="P15" s="69">
        <v>20.416666666666664</v>
      </c>
    </row>
    <row r="16" spans="1:16">
      <c r="A16" s="1" t="s">
        <v>1</v>
      </c>
      <c r="B16" s="84" t="s">
        <v>71</v>
      </c>
      <c r="C16" s="58">
        <v>0</v>
      </c>
      <c r="D16" s="13">
        <v>0.125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0</v>
      </c>
      <c r="M16" s="69">
        <f t="shared" si="1"/>
        <v>0.125</v>
      </c>
      <c r="N16" s="69">
        <v>0</v>
      </c>
      <c r="O16" s="69"/>
      <c r="P16" s="69">
        <v>14.625000000000002</v>
      </c>
    </row>
    <row r="17" spans="1:16">
      <c r="A17" s="1" t="s">
        <v>1</v>
      </c>
      <c r="B17" s="84" t="s">
        <v>72</v>
      </c>
      <c r="C17" s="58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4">
        <v>0</v>
      </c>
      <c r="M17" s="69"/>
      <c r="N17" s="69">
        <v>0</v>
      </c>
      <c r="O17" s="69"/>
      <c r="P17" s="69">
        <v>2.8333333333333335</v>
      </c>
    </row>
    <row r="18" spans="1:16">
      <c r="A18" s="1" t="s">
        <v>1</v>
      </c>
      <c r="B18" s="84" t="s">
        <v>73</v>
      </c>
      <c r="C18" s="58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4">
        <v>0</v>
      </c>
      <c r="M18" s="69"/>
      <c r="N18" s="69">
        <v>0</v>
      </c>
      <c r="O18" s="69"/>
      <c r="P18" s="69">
        <v>0.625</v>
      </c>
    </row>
    <row r="19" spans="1:16">
      <c r="A19" s="1" t="s">
        <v>1</v>
      </c>
      <c r="B19" s="84" t="s">
        <v>74</v>
      </c>
      <c r="C19" s="58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4">
        <v>0</v>
      </c>
      <c r="M19" s="69"/>
      <c r="N19" s="69">
        <v>0</v>
      </c>
      <c r="O19" s="69"/>
      <c r="P19" s="69">
        <v>0</v>
      </c>
    </row>
    <row r="20" spans="1:16">
      <c r="A20" s="1" t="s">
        <v>1</v>
      </c>
      <c r="B20" s="84" t="s">
        <v>75</v>
      </c>
      <c r="C20" s="58">
        <v>0</v>
      </c>
      <c r="D20" s="13">
        <v>0</v>
      </c>
      <c r="E20" s="13">
        <v>0</v>
      </c>
      <c r="F20" s="13">
        <v>0</v>
      </c>
      <c r="G20" s="13">
        <v>0.29166666666666669</v>
      </c>
      <c r="H20" s="13">
        <v>0.29166666666666669</v>
      </c>
      <c r="I20" s="13">
        <v>0</v>
      </c>
      <c r="J20" s="13">
        <v>0</v>
      </c>
      <c r="K20" s="13">
        <v>0</v>
      </c>
      <c r="L20" s="14">
        <v>0</v>
      </c>
      <c r="M20" s="69">
        <f>SUM(C20:L20)</f>
        <v>0.58333333333333337</v>
      </c>
      <c r="N20" s="69">
        <v>0</v>
      </c>
      <c r="O20" s="69"/>
      <c r="P20" s="69">
        <v>0.58333333333333337</v>
      </c>
    </row>
    <row r="21" spans="1:16">
      <c r="A21" s="1" t="s">
        <v>1</v>
      </c>
      <c r="B21" s="84" t="s">
        <v>76</v>
      </c>
      <c r="C21" s="58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4">
        <v>0</v>
      </c>
      <c r="M21" s="69"/>
      <c r="N21" s="69">
        <v>0</v>
      </c>
      <c r="O21" s="69"/>
      <c r="P21" s="69">
        <v>0</v>
      </c>
    </row>
    <row r="22" spans="1:16">
      <c r="A22" s="1" t="s">
        <v>1</v>
      </c>
      <c r="B22" s="84" t="s">
        <v>77</v>
      </c>
      <c r="C22" s="58">
        <v>4.1666666666666664E-2</v>
      </c>
      <c r="D22" s="13">
        <v>0</v>
      </c>
      <c r="E22" s="13">
        <v>0</v>
      </c>
      <c r="F22" s="13">
        <v>0</v>
      </c>
      <c r="G22" s="13">
        <v>2.2916666666666665</v>
      </c>
      <c r="H22" s="13">
        <v>2.0833333333333335</v>
      </c>
      <c r="I22" s="13">
        <v>2.0833333333333335</v>
      </c>
      <c r="J22" s="13">
        <v>0</v>
      </c>
      <c r="K22" s="13">
        <v>0</v>
      </c>
      <c r="L22" s="14">
        <v>0</v>
      </c>
      <c r="M22" s="69">
        <f>SUM(C22:L22)</f>
        <v>6.5</v>
      </c>
      <c r="N22" s="69">
        <v>0.20833333333333334</v>
      </c>
      <c r="O22" s="69">
        <f>SUM(N22)</f>
        <v>0.20833333333333334</v>
      </c>
      <c r="P22" s="69">
        <v>19.166666666666664</v>
      </c>
    </row>
    <row r="23" spans="1:16" ht="19.5" thickBot="1">
      <c r="A23" s="1" t="s">
        <v>1</v>
      </c>
      <c r="B23" s="85" t="s">
        <v>78</v>
      </c>
      <c r="C23" s="59">
        <v>19</v>
      </c>
      <c r="D23" s="33">
        <v>38</v>
      </c>
      <c r="E23" s="33">
        <v>21</v>
      </c>
      <c r="F23" s="33">
        <v>20</v>
      </c>
      <c r="G23" s="33">
        <v>2</v>
      </c>
      <c r="H23" s="33">
        <v>1</v>
      </c>
      <c r="I23" s="33">
        <v>0</v>
      </c>
      <c r="J23" s="33">
        <v>3</v>
      </c>
      <c r="K23" s="33">
        <v>11</v>
      </c>
      <c r="L23" s="34">
        <v>0</v>
      </c>
      <c r="M23" s="70">
        <f>SUM(C23:L23)</f>
        <v>115</v>
      </c>
      <c r="N23" s="70">
        <v>38</v>
      </c>
      <c r="O23" s="70">
        <f>SUM(N23)</f>
        <v>38</v>
      </c>
      <c r="P23" s="70">
        <v>468</v>
      </c>
    </row>
    <row r="24" spans="1:16">
      <c r="A24" s="1" t="s">
        <v>1</v>
      </c>
      <c r="B24" s="83" t="s">
        <v>79</v>
      </c>
      <c r="C24" s="60">
        <v>355000</v>
      </c>
      <c r="D24" s="30">
        <v>270000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1">
        <v>0</v>
      </c>
      <c r="M24" s="71">
        <f>SUM(C24:L24)</f>
        <v>625000</v>
      </c>
      <c r="N24" s="71">
        <v>365000</v>
      </c>
      <c r="O24" s="71">
        <f>SUM(N24)</f>
        <v>365000</v>
      </c>
      <c r="P24" s="71">
        <v>4039000</v>
      </c>
    </row>
    <row r="25" spans="1:16">
      <c r="A25" s="1" t="s">
        <v>1</v>
      </c>
      <c r="B25" s="84" t="s">
        <v>80</v>
      </c>
      <c r="C25" s="61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7">
        <v>0</v>
      </c>
      <c r="M25" s="72">
        <f t="shared" ref="M25:M62" si="2">SUM(C25:L25)</f>
        <v>0</v>
      </c>
      <c r="N25" s="72">
        <v>0</v>
      </c>
      <c r="O25" s="72">
        <f t="shared" ref="O25:O62" si="3">SUM(N25)</f>
        <v>0</v>
      </c>
      <c r="P25" s="72">
        <v>35000</v>
      </c>
    </row>
    <row r="26" spans="1:16">
      <c r="A26" s="1" t="s">
        <v>1</v>
      </c>
      <c r="B26" s="84" t="s">
        <v>81</v>
      </c>
      <c r="C26" s="61">
        <v>0</v>
      </c>
      <c r="D26" s="16">
        <v>3000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7">
        <v>0</v>
      </c>
      <c r="M26" s="72">
        <f t="shared" si="2"/>
        <v>3000</v>
      </c>
      <c r="N26" s="72">
        <v>0</v>
      </c>
      <c r="O26" s="72">
        <f t="shared" si="3"/>
        <v>0</v>
      </c>
      <c r="P26" s="72">
        <v>6000</v>
      </c>
    </row>
    <row r="27" spans="1:16">
      <c r="A27" s="1" t="s">
        <v>1</v>
      </c>
      <c r="B27" s="84" t="s">
        <v>82</v>
      </c>
      <c r="C27" s="61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72">
        <f t="shared" si="2"/>
        <v>0</v>
      </c>
      <c r="N27" s="72">
        <v>0</v>
      </c>
      <c r="O27" s="72">
        <f t="shared" si="3"/>
        <v>0</v>
      </c>
      <c r="P27" s="72">
        <v>0</v>
      </c>
    </row>
    <row r="28" spans="1:16">
      <c r="A28" s="1" t="s">
        <v>1</v>
      </c>
      <c r="B28" s="84" t="s">
        <v>83</v>
      </c>
      <c r="C28" s="61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72">
        <f t="shared" si="2"/>
        <v>0</v>
      </c>
      <c r="N28" s="72">
        <v>0</v>
      </c>
      <c r="O28" s="72">
        <f t="shared" si="3"/>
        <v>0</v>
      </c>
      <c r="P28" s="72">
        <v>108589</v>
      </c>
    </row>
    <row r="29" spans="1:16">
      <c r="A29" s="1" t="s">
        <v>1</v>
      </c>
      <c r="B29" s="84" t="s">
        <v>84</v>
      </c>
      <c r="C29" s="61">
        <v>0</v>
      </c>
      <c r="D29" s="16">
        <v>0</v>
      </c>
      <c r="E29" s="16">
        <v>83660</v>
      </c>
      <c r="F29" s="16">
        <v>79900</v>
      </c>
      <c r="G29" s="16">
        <v>67080</v>
      </c>
      <c r="H29" s="16">
        <v>60200</v>
      </c>
      <c r="I29" s="16">
        <v>60200</v>
      </c>
      <c r="J29" s="16">
        <v>34400</v>
      </c>
      <c r="K29" s="16">
        <v>74820</v>
      </c>
      <c r="L29" s="17">
        <v>38640</v>
      </c>
      <c r="M29" s="72">
        <f t="shared" si="2"/>
        <v>498900</v>
      </c>
      <c r="N29" s="72">
        <v>0</v>
      </c>
      <c r="O29" s="72">
        <f t="shared" si="3"/>
        <v>0</v>
      </c>
      <c r="P29" s="72">
        <v>498900</v>
      </c>
    </row>
    <row r="30" spans="1:16">
      <c r="A30" s="1" t="s">
        <v>1</v>
      </c>
      <c r="B30" s="84" t="s">
        <v>85</v>
      </c>
      <c r="C30" s="61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7">
        <v>0</v>
      </c>
      <c r="M30" s="72">
        <f t="shared" si="2"/>
        <v>0</v>
      </c>
      <c r="N30" s="72">
        <v>0</v>
      </c>
      <c r="O30" s="72">
        <f t="shared" si="3"/>
        <v>0</v>
      </c>
      <c r="P30" s="72">
        <v>0</v>
      </c>
    </row>
    <row r="31" spans="1:16">
      <c r="A31" s="1" t="s">
        <v>1</v>
      </c>
      <c r="B31" s="84" t="s">
        <v>86</v>
      </c>
      <c r="C31" s="61">
        <v>28800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7">
        <v>0</v>
      </c>
      <c r="M31" s="72">
        <f t="shared" si="2"/>
        <v>28800</v>
      </c>
      <c r="N31" s="72">
        <v>0</v>
      </c>
      <c r="O31" s="72">
        <f t="shared" si="3"/>
        <v>0</v>
      </c>
      <c r="P31" s="72">
        <v>335400</v>
      </c>
    </row>
    <row r="32" spans="1:16">
      <c r="A32" s="1" t="s">
        <v>1</v>
      </c>
      <c r="B32" s="84" t="s">
        <v>87</v>
      </c>
      <c r="C32" s="61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7">
        <v>0</v>
      </c>
      <c r="M32" s="72">
        <f t="shared" si="2"/>
        <v>0</v>
      </c>
      <c r="N32" s="72">
        <v>0</v>
      </c>
      <c r="O32" s="72">
        <f t="shared" si="3"/>
        <v>0</v>
      </c>
      <c r="P32" s="72">
        <v>27000</v>
      </c>
    </row>
    <row r="33" spans="1:16">
      <c r="A33" s="1" t="s">
        <v>1</v>
      </c>
      <c r="B33" s="84" t="s">
        <v>88</v>
      </c>
      <c r="C33" s="61">
        <v>0</v>
      </c>
      <c r="D33" s="16">
        <v>0</v>
      </c>
      <c r="E33" s="16">
        <v>0</v>
      </c>
      <c r="F33" s="16">
        <v>0</v>
      </c>
      <c r="G33" s="16">
        <v>6020</v>
      </c>
      <c r="H33" s="16">
        <v>6020</v>
      </c>
      <c r="I33" s="16">
        <v>0</v>
      </c>
      <c r="J33" s="16">
        <v>0</v>
      </c>
      <c r="K33" s="16">
        <v>0</v>
      </c>
      <c r="L33" s="17">
        <v>0</v>
      </c>
      <c r="M33" s="72">
        <f t="shared" si="2"/>
        <v>12040</v>
      </c>
      <c r="N33" s="72">
        <v>0</v>
      </c>
      <c r="O33" s="72">
        <f t="shared" si="3"/>
        <v>0</v>
      </c>
      <c r="P33" s="72">
        <v>12040</v>
      </c>
    </row>
    <row r="34" spans="1:16">
      <c r="A34" s="1" t="s">
        <v>1</v>
      </c>
      <c r="B34" s="84" t="s">
        <v>89</v>
      </c>
      <c r="C34" s="61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7">
        <v>0</v>
      </c>
      <c r="M34" s="72">
        <f t="shared" si="2"/>
        <v>0</v>
      </c>
      <c r="N34" s="72">
        <v>0</v>
      </c>
      <c r="O34" s="72">
        <f t="shared" si="3"/>
        <v>0</v>
      </c>
      <c r="P34" s="72">
        <v>0</v>
      </c>
    </row>
    <row r="35" spans="1:16">
      <c r="A35" s="1" t="s">
        <v>1</v>
      </c>
      <c r="B35" s="84" t="s">
        <v>90</v>
      </c>
      <c r="C35" s="61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7">
        <v>0</v>
      </c>
      <c r="M35" s="72">
        <f t="shared" si="2"/>
        <v>0</v>
      </c>
      <c r="N35" s="72">
        <v>0</v>
      </c>
      <c r="O35" s="72">
        <f t="shared" si="3"/>
        <v>0</v>
      </c>
      <c r="P35" s="72">
        <v>0</v>
      </c>
    </row>
    <row r="36" spans="1:16">
      <c r="A36" s="1" t="s">
        <v>1</v>
      </c>
      <c r="B36" s="84" t="s">
        <v>91</v>
      </c>
      <c r="C36" s="61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7">
        <v>0</v>
      </c>
      <c r="M36" s="72">
        <f t="shared" si="2"/>
        <v>0</v>
      </c>
      <c r="N36" s="72">
        <v>0</v>
      </c>
      <c r="O36" s="72">
        <f t="shared" si="3"/>
        <v>0</v>
      </c>
      <c r="P36" s="90">
        <v>-32532</v>
      </c>
    </row>
    <row r="37" spans="1:16">
      <c r="A37" s="1" t="s">
        <v>1</v>
      </c>
      <c r="B37" s="84" t="s">
        <v>69</v>
      </c>
      <c r="C37" s="61">
        <v>0</v>
      </c>
      <c r="D37" s="16">
        <v>73584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1075</v>
      </c>
      <c r="K37" s="16">
        <v>0</v>
      </c>
      <c r="L37" s="17">
        <v>1050</v>
      </c>
      <c r="M37" s="72">
        <f t="shared" si="2"/>
        <v>75709</v>
      </c>
      <c r="N37" s="72">
        <v>0</v>
      </c>
      <c r="O37" s="72">
        <f t="shared" si="3"/>
        <v>0</v>
      </c>
      <c r="P37" s="72">
        <v>1106288</v>
      </c>
    </row>
    <row r="38" spans="1:16">
      <c r="A38" s="1" t="s">
        <v>1</v>
      </c>
      <c r="B38" s="84" t="s">
        <v>92</v>
      </c>
      <c r="C38" s="61">
        <v>0</v>
      </c>
      <c r="D38" s="16">
        <v>90487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7">
        <v>0</v>
      </c>
      <c r="M38" s="72">
        <f t="shared" si="2"/>
        <v>90487</v>
      </c>
      <c r="N38" s="72">
        <v>0</v>
      </c>
      <c r="O38" s="72">
        <f t="shared" si="3"/>
        <v>0</v>
      </c>
      <c r="P38" s="72">
        <v>751941</v>
      </c>
    </row>
    <row r="39" spans="1:16">
      <c r="A39" s="1" t="s">
        <v>1</v>
      </c>
      <c r="B39" s="84" t="s">
        <v>93</v>
      </c>
      <c r="C39" s="61">
        <v>0</v>
      </c>
      <c r="D39" s="16">
        <v>6621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7">
        <v>0</v>
      </c>
      <c r="M39" s="72">
        <f t="shared" si="2"/>
        <v>6621</v>
      </c>
      <c r="N39" s="72">
        <v>0</v>
      </c>
      <c r="O39" s="72">
        <f t="shared" si="3"/>
        <v>0</v>
      </c>
      <c r="P39" s="72">
        <v>519752</v>
      </c>
    </row>
    <row r="40" spans="1:16">
      <c r="A40" s="1" t="s">
        <v>1</v>
      </c>
      <c r="B40" s="84" t="s">
        <v>94</v>
      </c>
      <c r="C40" s="61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7">
        <v>0</v>
      </c>
      <c r="M40" s="72">
        <f t="shared" si="2"/>
        <v>0</v>
      </c>
      <c r="N40" s="72">
        <v>0</v>
      </c>
      <c r="O40" s="72">
        <f t="shared" si="3"/>
        <v>0</v>
      </c>
      <c r="P40" s="72">
        <v>24975</v>
      </c>
    </row>
    <row r="41" spans="1:16">
      <c r="A41" s="1" t="s">
        <v>1</v>
      </c>
      <c r="B41" s="84" t="s">
        <v>95</v>
      </c>
      <c r="C41" s="61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7">
        <v>0</v>
      </c>
      <c r="M41" s="72">
        <f t="shared" si="2"/>
        <v>0</v>
      </c>
      <c r="N41" s="72">
        <v>0</v>
      </c>
      <c r="O41" s="72">
        <f t="shared" si="3"/>
        <v>0</v>
      </c>
      <c r="P41" s="72">
        <v>5391</v>
      </c>
    </row>
    <row r="42" spans="1:16">
      <c r="A42" s="1" t="s">
        <v>1</v>
      </c>
      <c r="B42" s="84" t="s">
        <v>96</v>
      </c>
      <c r="C42" s="61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7">
        <v>0</v>
      </c>
      <c r="M42" s="72">
        <f t="shared" si="2"/>
        <v>0</v>
      </c>
      <c r="N42" s="72">
        <v>0</v>
      </c>
      <c r="O42" s="72">
        <f t="shared" si="3"/>
        <v>0</v>
      </c>
      <c r="P42" s="72">
        <v>32532</v>
      </c>
    </row>
    <row r="43" spans="1:16">
      <c r="A43" s="1" t="s">
        <v>1</v>
      </c>
      <c r="B43" s="84" t="s">
        <v>74</v>
      </c>
      <c r="C43" s="61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7">
        <v>0</v>
      </c>
      <c r="M43" s="72">
        <f t="shared" si="2"/>
        <v>0</v>
      </c>
      <c r="N43" s="72">
        <v>0</v>
      </c>
      <c r="O43" s="72">
        <f t="shared" si="3"/>
        <v>0</v>
      </c>
      <c r="P43" s="72">
        <v>0</v>
      </c>
    </row>
    <row r="44" spans="1:16" ht="19.5" thickBot="1">
      <c r="A44" s="1" t="s">
        <v>1</v>
      </c>
      <c r="B44" s="86" t="s">
        <v>77</v>
      </c>
      <c r="C44" s="62">
        <v>532</v>
      </c>
      <c r="D44" s="37">
        <v>0</v>
      </c>
      <c r="E44" s="37">
        <v>0</v>
      </c>
      <c r="F44" s="37">
        <v>0</v>
      </c>
      <c r="G44" s="37">
        <v>11825</v>
      </c>
      <c r="H44" s="37">
        <v>10750</v>
      </c>
      <c r="I44" s="37">
        <v>10750</v>
      </c>
      <c r="J44" s="37">
        <v>0</v>
      </c>
      <c r="K44" s="37">
        <v>0</v>
      </c>
      <c r="L44" s="38">
        <v>0</v>
      </c>
      <c r="M44" s="73">
        <f t="shared" si="2"/>
        <v>33857</v>
      </c>
      <c r="N44" s="73">
        <v>2735</v>
      </c>
      <c r="O44" s="73">
        <f t="shared" si="3"/>
        <v>2735</v>
      </c>
      <c r="P44" s="73">
        <v>118368</v>
      </c>
    </row>
    <row r="45" spans="1:16" ht="19.5" thickBot="1">
      <c r="A45" s="1" t="s">
        <v>1</v>
      </c>
      <c r="B45" s="87" t="s">
        <v>97</v>
      </c>
      <c r="C45" s="63">
        <v>384332</v>
      </c>
      <c r="D45" s="41">
        <v>443692</v>
      </c>
      <c r="E45" s="41">
        <v>83660</v>
      </c>
      <c r="F45" s="41">
        <v>79900</v>
      </c>
      <c r="G45" s="41">
        <v>84925</v>
      </c>
      <c r="H45" s="41">
        <v>76970</v>
      </c>
      <c r="I45" s="41">
        <v>70950</v>
      </c>
      <c r="J45" s="41">
        <v>35475</v>
      </c>
      <c r="K45" s="41">
        <v>74820</v>
      </c>
      <c r="L45" s="42">
        <v>39690</v>
      </c>
      <c r="M45" s="74">
        <f t="shared" si="2"/>
        <v>1374414</v>
      </c>
      <c r="N45" s="74">
        <v>367735</v>
      </c>
      <c r="O45" s="74">
        <f t="shared" si="3"/>
        <v>367735</v>
      </c>
      <c r="P45" s="74">
        <v>7588644</v>
      </c>
    </row>
    <row r="46" spans="1:16" ht="19.5" thickBot="1">
      <c r="A46" s="1" t="s">
        <v>1</v>
      </c>
      <c r="B46" s="83" t="s">
        <v>98</v>
      </c>
      <c r="C46" s="60">
        <v>3410</v>
      </c>
      <c r="D46" s="30">
        <v>6045</v>
      </c>
      <c r="E46" s="30">
        <v>2687</v>
      </c>
      <c r="F46" s="30">
        <v>1809</v>
      </c>
      <c r="G46" s="30">
        <v>3410</v>
      </c>
      <c r="H46" s="30">
        <v>3875</v>
      </c>
      <c r="I46" s="30">
        <v>4133</v>
      </c>
      <c r="J46" s="30">
        <v>1679</v>
      </c>
      <c r="K46" s="30">
        <v>7233</v>
      </c>
      <c r="L46" s="31">
        <v>2713</v>
      </c>
      <c r="M46" s="71">
        <f t="shared" si="2"/>
        <v>36994</v>
      </c>
      <c r="N46" s="71">
        <v>7388</v>
      </c>
      <c r="O46" s="71">
        <f t="shared" si="3"/>
        <v>7388</v>
      </c>
      <c r="P46" s="71">
        <v>147765</v>
      </c>
    </row>
    <row r="47" spans="1:16" ht="19.5" thickBot="1">
      <c r="A47" s="1" t="s">
        <v>1</v>
      </c>
      <c r="B47" s="87" t="s">
        <v>99</v>
      </c>
      <c r="C47" s="63">
        <v>3410</v>
      </c>
      <c r="D47" s="41">
        <v>6045</v>
      </c>
      <c r="E47" s="41">
        <v>2687</v>
      </c>
      <c r="F47" s="41">
        <v>1809</v>
      </c>
      <c r="G47" s="41">
        <v>3410</v>
      </c>
      <c r="H47" s="41">
        <v>3875</v>
      </c>
      <c r="I47" s="41">
        <v>4133</v>
      </c>
      <c r="J47" s="41">
        <v>1679</v>
      </c>
      <c r="K47" s="41">
        <v>7233</v>
      </c>
      <c r="L47" s="42">
        <v>2713</v>
      </c>
      <c r="M47" s="74">
        <f t="shared" si="2"/>
        <v>36994</v>
      </c>
      <c r="N47" s="74">
        <v>7388</v>
      </c>
      <c r="O47" s="74">
        <f t="shared" si="3"/>
        <v>7388</v>
      </c>
      <c r="P47" s="74">
        <v>147765</v>
      </c>
    </row>
    <row r="48" spans="1:16" ht="19.5" thickBot="1">
      <c r="A48" s="1" t="s">
        <v>1</v>
      </c>
      <c r="B48" s="87" t="s">
        <v>100</v>
      </c>
      <c r="C48" s="63">
        <v>387742</v>
      </c>
      <c r="D48" s="41">
        <v>449737</v>
      </c>
      <c r="E48" s="41">
        <v>86347</v>
      </c>
      <c r="F48" s="41">
        <v>81709</v>
      </c>
      <c r="G48" s="41">
        <v>88335</v>
      </c>
      <c r="H48" s="41">
        <v>80845</v>
      </c>
      <c r="I48" s="41">
        <v>75083</v>
      </c>
      <c r="J48" s="41">
        <v>37154</v>
      </c>
      <c r="K48" s="41">
        <v>82053</v>
      </c>
      <c r="L48" s="42">
        <v>42403</v>
      </c>
      <c r="M48" s="74">
        <f t="shared" si="2"/>
        <v>1411408</v>
      </c>
      <c r="N48" s="74">
        <v>375123</v>
      </c>
      <c r="O48" s="74">
        <f t="shared" si="3"/>
        <v>375123</v>
      </c>
      <c r="P48" s="74">
        <v>7736409</v>
      </c>
    </row>
    <row r="49" spans="1:16">
      <c r="A49" s="1" t="s">
        <v>1</v>
      </c>
      <c r="B49" s="83" t="s">
        <v>101</v>
      </c>
      <c r="C49" s="60">
        <v>19380</v>
      </c>
      <c r="D49" s="30">
        <v>20910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1">
        <v>0</v>
      </c>
      <c r="M49" s="71">
        <f t="shared" si="2"/>
        <v>40290</v>
      </c>
      <c r="N49" s="71">
        <v>19380</v>
      </c>
      <c r="O49" s="71">
        <f t="shared" si="3"/>
        <v>19380</v>
      </c>
      <c r="P49" s="71">
        <v>343230</v>
      </c>
    </row>
    <row r="50" spans="1:16">
      <c r="A50" s="1" t="s">
        <v>1</v>
      </c>
      <c r="B50" s="84" t="s">
        <v>102</v>
      </c>
      <c r="C50" s="61">
        <v>3420</v>
      </c>
      <c r="D50" s="16">
        <v>3690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7">
        <v>0</v>
      </c>
      <c r="M50" s="72">
        <f t="shared" si="2"/>
        <v>7110</v>
      </c>
      <c r="N50" s="72">
        <v>3420</v>
      </c>
      <c r="O50" s="72">
        <f t="shared" si="3"/>
        <v>3420</v>
      </c>
      <c r="P50" s="72">
        <v>58230</v>
      </c>
    </row>
    <row r="51" spans="1:16">
      <c r="A51" s="1" t="s">
        <v>1</v>
      </c>
      <c r="B51" s="84" t="s">
        <v>103</v>
      </c>
      <c r="C51" s="61">
        <v>34770</v>
      </c>
      <c r="D51" s="16">
        <v>37515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7">
        <v>0</v>
      </c>
      <c r="M51" s="72">
        <f t="shared" si="2"/>
        <v>72285</v>
      </c>
      <c r="N51" s="72">
        <v>34770</v>
      </c>
      <c r="O51" s="72">
        <f t="shared" si="3"/>
        <v>34770</v>
      </c>
      <c r="P51" s="72">
        <v>615795</v>
      </c>
    </row>
    <row r="52" spans="1:16" ht="19.5" thickBot="1">
      <c r="A52" s="1" t="s">
        <v>1</v>
      </c>
      <c r="B52" s="84" t="s">
        <v>104</v>
      </c>
      <c r="C52" s="61">
        <v>1939</v>
      </c>
      <c r="D52" s="16">
        <v>2249</v>
      </c>
      <c r="E52" s="16">
        <v>432</v>
      </c>
      <c r="F52" s="16">
        <v>409</v>
      </c>
      <c r="G52" s="16">
        <v>0</v>
      </c>
      <c r="H52" s="16">
        <v>0</v>
      </c>
      <c r="I52" s="16">
        <v>0</v>
      </c>
      <c r="J52" s="16">
        <v>0</v>
      </c>
      <c r="K52" s="16">
        <v>410</v>
      </c>
      <c r="L52" s="17">
        <v>0</v>
      </c>
      <c r="M52" s="72">
        <f t="shared" si="2"/>
        <v>5439</v>
      </c>
      <c r="N52" s="72">
        <v>1876</v>
      </c>
      <c r="O52" s="72">
        <f t="shared" si="3"/>
        <v>1876</v>
      </c>
      <c r="P52" s="72">
        <v>37065</v>
      </c>
    </row>
    <row r="53" spans="1:16" ht="19.5" thickBot="1">
      <c r="A53" s="1" t="s">
        <v>1</v>
      </c>
      <c r="B53" s="87" t="s">
        <v>105</v>
      </c>
      <c r="C53" s="63">
        <v>59509</v>
      </c>
      <c r="D53" s="41">
        <v>64364</v>
      </c>
      <c r="E53" s="41">
        <v>432</v>
      </c>
      <c r="F53" s="41">
        <v>409</v>
      </c>
      <c r="G53" s="41">
        <v>0</v>
      </c>
      <c r="H53" s="41">
        <v>0</v>
      </c>
      <c r="I53" s="41">
        <v>0</v>
      </c>
      <c r="J53" s="41">
        <v>0</v>
      </c>
      <c r="K53" s="41">
        <v>410</v>
      </c>
      <c r="L53" s="42">
        <v>0</v>
      </c>
      <c r="M53" s="74">
        <f t="shared" si="2"/>
        <v>125124</v>
      </c>
      <c r="N53" s="74">
        <v>59446</v>
      </c>
      <c r="O53" s="74">
        <f t="shared" si="3"/>
        <v>59446</v>
      </c>
      <c r="P53" s="74">
        <v>1054320</v>
      </c>
    </row>
    <row r="54" spans="1:16">
      <c r="A54" s="1" t="s">
        <v>1</v>
      </c>
      <c r="B54" s="83" t="s">
        <v>106</v>
      </c>
      <c r="C54" s="60">
        <v>10410</v>
      </c>
      <c r="D54" s="30">
        <v>11630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1">
        <v>0</v>
      </c>
      <c r="M54" s="71">
        <f t="shared" si="2"/>
        <v>22040</v>
      </c>
      <c r="N54" s="71">
        <v>9060</v>
      </c>
      <c r="O54" s="71">
        <f t="shared" si="3"/>
        <v>9060</v>
      </c>
      <c r="P54" s="71">
        <v>165790</v>
      </c>
    </row>
    <row r="55" spans="1:16">
      <c r="A55" s="1" t="s">
        <v>1</v>
      </c>
      <c r="B55" s="84" t="s">
        <v>107</v>
      </c>
      <c r="C55" s="61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7">
        <v>0</v>
      </c>
      <c r="M55" s="72">
        <f t="shared" si="2"/>
        <v>0</v>
      </c>
      <c r="N55" s="72">
        <v>0</v>
      </c>
      <c r="O55" s="72">
        <f t="shared" si="3"/>
        <v>0</v>
      </c>
      <c r="P55" s="72">
        <v>15600</v>
      </c>
    </row>
    <row r="56" spans="1:16">
      <c r="A56" s="1" t="s">
        <v>1</v>
      </c>
      <c r="B56" s="84" t="s">
        <v>108</v>
      </c>
      <c r="C56" s="61">
        <v>15200</v>
      </c>
      <c r="D56" s="16">
        <v>16300</v>
      </c>
      <c r="E56" s="16">
        <v>600</v>
      </c>
      <c r="F56" s="16">
        <v>500</v>
      </c>
      <c r="G56" s="16">
        <v>0</v>
      </c>
      <c r="H56" s="16">
        <v>0</v>
      </c>
      <c r="I56" s="16">
        <v>0</v>
      </c>
      <c r="J56" s="16">
        <v>0</v>
      </c>
      <c r="K56" s="16">
        <v>11600</v>
      </c>
      <c r="L56" s="17">
        <v>0</v>
      </c>
      <c r="M56" s="72">
        <f t="shared" si="2"/>
        <v>44200</v>
      </c>
      <c r="N56" s="72">
        <v>17800</v>
      </c>
      <c r="O56" s="72">
        <f t="shared" si="3"/>
        <v>17800</v>
      </c>
      <c r="P56" s="72">
        <v>258100</v>
      </c>
    </row>
    <row r="57" spans="1:16" ht="19.5" thickBot="1">
      <c r="A57" s="1" t="s">
        <v>1</v>
      </c>
      <c r="B57" s="84" t="s">
        <v>109</v>
      </c>
      <c r="C57" s="61">
        <v>28800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7">
        <v>0</v>
      </c>
      <c r="M57" s="72">
        <f t="shared" si="2"/>
        <v>28800</v>
      </c>
      <c r="N57" s="72">
        <v>0</v>
      </c>
      <c r="O57" s="72">
        <f t="shared" si="3"/>
        <v>0</v>
      </c>
      <c r="P57" s="72">
        <v>335400</v>
      </c>
    </row>
    <row r="58" spans="1:16" ht="19.5" thickBot="1">
      <c r="A58" s="1" t="s">
        <v>1</v>
      </c>
      <c r="B58" s="87" t="s">
        <v>110</v>
      </c>
      <c r="C58" s="63">
        <v>113919</v>
      </c>
      <c r="D58" s="41">
        <v>92294</v>
      </c>
      <c r="E58" s="41">
        <v>1032</v>
      </c>
      <c r="F58" s="41">
        <v>909</v>
      </c>
      <c r="G58" s="41">
        <v>0</v>
      </c>
      <c r="H58" s="41">
        <v>0</v>
      </c>
      <c r="I58" s="41">
        <v>0</v>
      </c>
      <c r="J58" s="41">
        <v>0</v>
      </c>
      <c r="K58" s="41">
        <v>12010</v>
      </c>
      <c r="L58" s="42">
        <v>0</v>
      </c>
      <c r="M58" s="74">
        <f t="shared" si="2"/>
        <v>220164</v>
      </c>
      <c r="N58" s="74">
        <v>86306</v>
      </c>
      <c r="O58" s="74">
        <f t="shared" si="3"/>
        <v>86306</v>
      </c>
      <c r="P58" s="74">
        <v>1829210</v>
      </c>
    </row>
    <row r="59" spans="1:16" ht="19.5" thickBot="1">
      <c r="A59" s="1" t="s">
        <v>1</v>
      </c>
      <c r="B59" s="87" t="s">
        <v>111</v>
      </c>
      <c r="C59" s="63">
        <v>324823</v>
      </c>
      <c r="D59" s="41">
        <v>379328</v>
      </c>
      <c r="E59" s="41">
        <v>83228</v>
      </c>
      <c r="F59" s="41">
        <v>79491</v>
      </c>
      <c r="G59" s="41">
        <v>84925</v>
      </c>
      <c r="H59" s="41">
        <v>76970</v>
      </c>
      <c r="I59" s="41">
        <v>70950</v>
      </c>
      <c r="J59" s="41">
        <v>35475</v>
      </c>
      <c r="K59" s="41">
        <v>74410</v>
      </c>
      <c r="L59" s="42">
        <v>39690</v>
      </c>
      <c r="M59" s="74">
        <f t="shared" si="2"/>
        <v>1249290</v>
      </c>
      <c r="N59" s="74">
        <v>308289</v>
      </c>
      <c r="O59" s="74">
        <f t="shared" si="3"/>
        <v>308289</v>
      </c>
      <c r="P59" s="74">
        <v>6534324</v>
      </c>
    </row>
    <row r="60" spans="1:16" ht="19.5" thickBot="1">
      <c r="A60" s="1" t="s">
        <v>1</v>
      </c>
      <c r="B60" s="87" t="s">
        <v>112</v>
      </c>
      <c r="C60" s="63">
        <v>273823</v>
      </c>
      <c r="D60" s="41">
        <v>357443</v>
      </c>
      <c r="E60" s="41">
        <v>85315</v>
      </c>
      <c r="F60" s="41">
        <v>80800</v>
      </c>
      <c r="G60" s="41">
        <v>88335</v>
      </c>
      <c r="H60" s="41">
        <v>80845</v>
      </c>
      <c r="I60" s="41">
        <v>75083</v>
      </c>
      <c r="J60" s="41">
        <v>37154</v>
      </c>
      <c r="K60" s="41">
        <v>70043</v>
      </c>
      <c r="L60" s="42">
        <v>42403</v>
      </c>
      <c r="M60" s="74">
        <f t="shared" si="2"/>
        <v>1191244</v>
      </c>
      <c r="N60" s="74">
        <v>288817</v>
      </c>
      <c r="O60" s="74">
        <f t="shared" si="3"/>
        <v>288817</v>
      </c>
      <c r="P60" s="74">
        <v>5907199</v>
      </c>
    </row>
    <row r="61" spans="1:16">
      <c r="A61" s="1" t="s">
        <v>1</v>
      </c>
      <c r="B61" s="83" t="s">
        <v>113</v>
      </c>
      <c r="C61" s="6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1">
        <v>0</v>
      </c>
      <c r="M61" s="71">
        <f t="shared" si="2"/>
        <v>0</v>
      </c>
      <c r="N61" s="71">
        <v>0</v>
      </c>
      <c r="O61" s="71">
        <f t="shared" si="3"/>
        <v>0</v>
      </c>
      <c r="P61" s="71">
        <v>0</v>
      </c>
    </row>
    <row r="62" spans="1:16">
      <c r="A62" s="1" t="s">
        <v>1</v>
      </c>
      <c r="B62" s="84" t="s">
        <v>114</v>
      </c>
      <c r="C62" s="61">
        <v>273823</v>
      </c>
      <c r="D62" s="16">
        <v>357443</v>
      </c>
      <c r="E62" s="16">
        <v>85315</v>
      </c>
      <c r="F62" s="16">
        <v>80800</v>
      </c>
      <c r="G62" s="16">
        <v>88335</v>
      </c>
      <c r="H62" s="16">
        <v>80845</v>
      </c>
      <c r="I62" s="16">
        <v>75083</v>
      </c>
      <c r="J62" s="16">
        <v>37154</v>
      </c>
      <c r="K62" s="16">
        <v>70043</v>
      </c>
      <c r="L62" s="17">
        <v>42403</v>
      </c>
      <c r="M62" s="72">
        <f t="shared" si="2"/>
        <v>1191244</v>
      </c>
      <c r="N62" s="72">
        <v>288817</v>
      </c>
      <c r="O62" s="72">
        <f t="shared" si="3"/>
        <v>288817</v>
      </c>
      <c r="P62" s="72">
        <v>5907199</v>
      </c>
    </row>
    <row r="63" spans="1:16">
      <c r="A63" s="1" t="s">
        <v>1</v>
      </c>
      <c r="B63" s="84" t="s">
        <v>115</v>
      </c>
      <c r="C63" s="61">
        <v>0</v>
      </c>
      <c r="D63" s="16">
        <v>1</v>
      </c>
      <c r="E63" s="16">
        <v>0</v>
      </c>
      <c r="F63" s="16">
        <v>0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7">
        <v>0</v>
      </c>
      <c r="M63" s="72"/>
      <c r="N63" s="72">
        <v>0</v>
      </c>
      <c r="O63" s="72"/>
      <c r="P63" s="72"/>
    </row>
    <row r="64" spans="1:16" ht="19.5" thickBot="1">
      <c r="A64" s="1" t="s">
        <v>1</v>
      </c>
      <c r="B64" s="85" t="s">
        <v>116</v>
      </c>
      <c r="C64" s="64" t="s">
        <v>117</v>
      </c>
      <c r="D64" s="19" t="s">
        <v>117</v>
      </c>
      <c r="E64" s="19" t="s">
        <v>117</v>
      </c>
      <c r="F64" s="19" t="s">
        <v>117</v>
      </c>
      <c r="G64" s="19" t="s">
        <v>117</v>
      </c>
      <c r="H64" s="19" t="s">
        <v>117</v>
      </c>
      <c r="I64" s="19" t="s">
        <v>117</v>
      </c>
      <c r="J64" s="19" t="s">
        <v>117</v>
      </c>
      <c r="K64" s="19" t="s">
        <v>117</v>
      </c>
      <c r="L64" s="20" t="s">
        <v>117</v>
      </c>
      <c r="M64" s="75"/>
      <c r="N64" s="75" t="s">
        <v>117</v>
      </c>
      <c r="O64" s="75"/>
      <c r="P64" s="75"/>
    </row>
  </sheetData>
  <phoneticPr fontId="3"/>
  <pageMargins left="0.31496062992125984" right="0.31496062992125984" top="0.15748031496062992" bottom="0.15748031496062992" header="0.11811023622047245" footer="0.11811023622047245"/>
  <pageSetup paperSize="12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9151-333A-4048-A5DB-05F3FA6DA939}">
  <sheetPr>
    <pageSetUpPr fitToPage="1"/>
  </sheetPr>
  <dimension ref="A1:T64"/>
  <sheetViews>
    <sheetView showZeros="0" zoomScale="96" zoomScaleNormal="96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11.125" style="2" bestFit="1" customWidth="1"/>
    <col min="7" max="7" width="9" style="2" bestFit="1" customWidth="1"/>
    <col min="8" max="19" width="11.125" style="2" bestFit="1" customWidth="1"/>
    <col min="20" max="20" width="11.125" style="2" customWidth="1"/>
    <col min="21" max="244" width="9" style="2"/>
    <col min="245" max="245" width="2.375" style="2" customWidth="1"/>
    <col min="246" max="246" width="13.25" style="2" bestFit="1" customWidth="1"/>
    <col min="247" max="248" width="11.125" style="2" bestFit="1" customWidth="1"/>
    <col min="249" max="249" width="13.25" style="2" bestFit="1" customWidth="1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74" width="11.125" style="2" bestFit="1" customWidth="1"/>
    <col min="275" max="275" width="9.625" style="2" bestFit="1" customWidth="1"/>
    <col min="276" max="500" width="9" style="2"/>
    <col min="501" max="501" width="2.375" style="2" customWidth="1"/>
    <col min="502" max="502" width="13.25" style="2" bestFit="1" customWidth="1"/>
    <col min="503" max="504" width="11.125" style="2" bestFit="1" customWidth="1"/>
    <col min="505" max="505" width="13.25" style="2" bestFit="1" customWidth="1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30" width="11.125" style="2" bestFit="1" customWidth="1"/>
    <col min="531" max="531" width="9.625" style="2" bestFit="1" customWidth="1"/>
    <col min="532" max="756" width="9" style="2"/>
    <col min="757" max="757" width="2.375" style="2" customWidth="1"/>
    <col min="758" max="758" width="13.25" style="2" bestFit="1" customWidth="1"/>
    <col min="759" max="760" width="11.125" style="2" bestFit="1" customWidth="1"/>
    <col min="761" max="761" width="13.25" style="2" bestFit="1" customWidth="1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86" width="11.125" style="2" bestFit="1" customWidth="1"/>
    <col min="787" max="787" width="9.625" style="2" bestFit="1" customWidth="1"/>
    <col min="788" max="1012" width="9" style="2"/>
    <col min="1013" max="1013" width="2.375" style="2" customWidth="1"/>
    <col min="1014" max="1014" width="13.25" style="2" bestFit="1" customWidth="1"/>
    <col min="1015" max="1016" width="11.125" style="2" bestFit="1" customWidth="1"/>
    <col min="1017" max="1017" width="13.25" style="2" bestFit="1" customWidth="1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42" width="11.125" style="2" bestFit="1" customWidth="1"/>
    <col min="1043" max="1043" width="9.625" style="2" bestFit="1" customWidth="1"/>
    <col min="1044" max="1268" width="9" style="2"/>
    <col min="1269" max="1269" width="2.375" style="2" customWidth="1"/>
    <col min="1270" max="1270" width="13.25" style="2" bestFit="1" customWidth="1"/>
    <col min="1271" max="1272" width="11.125" style="2" bestFit="1" customWidth="1"/>
    <col min="1273" max="1273" width="13.25" style="2" bestFit="1" customWidth="1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98" width="11.125" style="2" bestFit="1" customWidth="1"/>
    <col min="1299" max="1299" width="9.625" style="2" bestFit="1" customWidth="1"/>
    <col min="1300" max="1524" width="9" style="2"/>
    <col min="1525" max="1525" width="2.375" style="2" customWidth="1"/>
    <col min="1526" max="1526" width="13.25" style="2" bestFit="1" customWidth="1"/>
    <col min="1527" max="1528" width="11.125" style="2" bestFit="1" customWidth="1"/>
    <col min="1529" max="1529" width="13.25" style="2" bestFit="1" customWidth="1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54" width="11.125" style="2" bestFit="1" customWidth="1"/>
    <col min="1555" max="1555" width="9.625" style="2" bestFit="1" customWidth="1"/>
    <col min="1556" max="1780" width="9" style="2"/>
    <col min="1781" max="1781" width="2.375" style="2" customWidth="1"/>
    <col min="1782" max="1782" width="13.25" style="2" bestFit="1" customWidth="1"/>
    <col min="1783" max="1784" width="11.125" style="2" bestFit="1" customWidth="1"/>
    <col min="1785" max="1785" width="13.25" style="2" bestFit="1" customWidth="1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810" width="11.125" style="2" bestFit="1" customWidth="1"/>
    <col min="1811" max="1811" width="9.625" style="2" bestFit="1" customWidth="1"/>
    <col min="1812" max="2036" width="9" style="2"/>
    <col min="2037" max="2037" width="2.375" style="2" customWidth="1"/>
    <col min="2038" max="2038" width="13.25" style="2" bestFit="1" customWidth="1"/>
    <col min="2039" max="2040" width="11.125" style="2" bestFit="1" customWidth="1"/>
    <col min="2041" max="2041" width="13.25" style="2" bestFit="1" customWidth="1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66" width="11.125" style="2" bestFit="1" customWidth="1"/>
    <col min="2067" max="2067" width="9.625" style="2" bestFit="1" customWidth="1"/>
    <col min="2068" max="2292" width="9" style="2"/>
    <col min="2293" max="2293" width="2.375" style="2" customWidth="1"/>
    <col min="2294" max="2294" width="13.25" style="2" bestFit="1" customWidth="1"/>
    <col min="2295" max="2296" width="11.125" style="2" bestFit="1" customWidth="1"/>
    <col min="2297" max="2297" width="13.25" style="2" bestFit="1" customWidth="1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22" width="11.125" style="2" bestFit="1" customWidth="1"/>
    <col min="2323" max="2323" width="9.625" style="2" bestFit="1" customWidth="1"/>
    <col min="2324" max="2548" width="9" style="2"/>
    <col min="2549" max="2549" width="2.375" style="2" customWidth="1"/>
    <col min="2550" max="2550" width="13.25" style="2" bestFit="1" customWidth="1"/>
    <col min="2551" max="2552" width="11.125" style="2" bestFit="1" customWidth="1"/>
    <col min="2553" max="2553" width="13.25" style="2" bestFit="1" customWidth="1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78" width="11.125" style="2" bestFit="1" customWidth="1"/>
    <col min="2579" max="2579" width="9.625" style="2" bestFit="1" customWidth="1"/>
    <col min="2580" max="2804" width="9" style="2"/>
    <col min="2805" max="2805" width="2.375" style="2" customWidth="1"/>
    <col min="2806" max="2806" width="13.25" style="2" bestFit="1" customWidth="1"/>
    <col min="2807" max="2808" width="11.125" style="2" bestFit="1" customWidth="1"/>
    <col min="2809" max="2809" width="13.25" style="2" bestFit="1" customWidth="1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34" width="11.125" style="2" bestFit="1" customWidth="1"/>
    <col min="2835" max="2835" width="9.625" style="2" bestFit="1" customWidth="1"/>
    <col min="2836" max="3060" width="9" style="2"/>
    <col min="3061" max="3061" width="2.375" style="2" customWidth="1"/>
    <col min="3062" max="3062" width="13.25" style="2" bestFit="1" customWidth="1"/>
    <col min="3063" max="3064" width="11.125" style="2" bestFit="1" customWidth="1"/>
    <col min="3065" max="3065" width="13.25" style="2" bestFit="1" customWidth="1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90" width="11.125" style="2" bestFit="1" customWidth="1"/>
    <col min="3091" max="3091" width="9.625" style="2" bestFit="1" customWidth="1"/>
    <col min="3092" max="3316" width="9" style="2"/>
    <col min="3317" max="3317" width="2.375" style="2" customWidth="1"/>
    <col min="3318" max="3318" width="13.25" style="2" bestFit="1" customWidth="1"/>
    <col min="3319" max="3320" width="11.125" style="2" bestFit="1" customWidth="1"/>
    <col min="3321" max="3321" width="13.25" style="2" bestFit="1" customWidth="1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46" width="11.125" style="2" bestFit="1" customWidth="1"/>
    <col min="3347" max="3347" width="9.625" style="2" bestFit="1" customWidth="1"/>
    <col min="3348" max="3572" width="9" style="2"/>
    <col min="3573" max="3573" width="2.375" style="2" customWidth="1"/>
    <col min="3574" max="3574" width="13.25" style="2" bestFit="1" customWidth="1"/>
    <col min="3575" max="3576" width="11.125" style="2" bestFit="1" customWidth="1"/>
    <col min="3577" max="3577" width="13.25" style="2" bestFit="1" customWidth="1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602" width="11.125" style="2" bestFit="1" customWidth="1"/>
    <col min="3603" max="3603" width="9.625" style="2" bestFit="1" customWidth="1"/>
    <col min="3604" max="3828" width="9" style="2"/>
    <col min="3829" max="3829" width="2.375" style="2" customWidth="1"/>
    <col min="3830" max="3830" width="13.25" style="2" bestFit="1" customWidth="1"/>
    <col min="3831" max="3832" width="11.125" style="2" bestFit="1" customWidth="1"/>
    <col min="3833" max="3833" width="13.25" style="2" bestFit="1" customWidth="1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58" width="11.125" style="2" bestFit="1" customWidth="1"/>
    <col min="3859" max="3859" width="9.625" style="2" bestFit="1" customWidth="1"/>
    <col min="3860" max="4084" width="9" style="2"/>
    <col min="4085" max="4085" width="2.375" style="2" customWidth="1"/>
    <col min="4086" max="4086" width="13.25" style="2" bestFit="1" customWidth="1"/>
    <col min="4087" max="4088" width="11.125" style="2" bestFit="1" customWidth="1"/>
    <col min="4089" max="4089" width="13.25" style="2" bestFit="1" customWidth="1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14" width="11.125" style="2" bestFit="1" customWidth="1"/>
    <col min="4115" max="4115" width="9.625" style="2" bestFit="1" customWidth="1"/>
    <col min="4116" max="4340" width="9" style="2"/>
    <col min="4341" max="4341" width="2.375" style="2" customWidth="1"/>
    <col min="4342" max="4342" width="13.25" style="2" bestFit="1" customWidth="1"/>
    <col min="4343" max="4344" width="11.125" style="2" bestFit="1" customWidth="1"/>
    <col min="4345" max="4345" width="13.25" style="2" bestFit="1" customWidth="1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70" width="11.125" style="2" bestFit="1" customWidth="1"/>
    <col min="4371" max="4371" width="9.625" style="2" bestFit="1" customWidth="1"/>
    <col min="4372" max="4596" width="9" style="2"/>
    <col min="4597" max="4597" width="2.375" style="2" customWidth="1"/>
    <col min="4598" max="4598" width="13.25" style="2" bestFit="1" customWidth="1"/>
    <col min="4599" max="4600" width="11.125" style="2" bestFit="1" customWidth="1"/>
    <col min="4601" max="4601" width="13.25" style="2" bestFit="1" customWidth="1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26" width="11.125" style="2" bestFit="1" customWidth="1"/>
    <col min="4627" max="4627" width="9.625" style="2" bestFit="1" customWidth="1"/>
    <col min="4628" max="4852" width="9" style="2"/>
    <col min="4853" max="4853" width="2.375" style="2" customWidth="1"/>
    <col min="4854" max="4854" width="13.25" style="2" bestFit="1" customWidth="1"/>
    <col min="4855" max="4856" width="11.125" style="2" bestFit="1" customWidth="1"/>
    <col min="4857" max="4857" width="13.25" style="2" bestFit="1" customWidth="1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82" width="11.125" style="2" bestFit="1" customWidth="1"/>
    <col min="4883" max="4883" width="9.625" style="2" bestFit="1" customWidth="1"/>
    <col min="4884" max="5108" width="9" style="2"/>
    <col min="5109" max="5109" width="2.375" style="2" customWidth="1"/>
    <col min="5110" max="5110" width="13.25" style="2" bestFit="1" customWidth="1"/>
    <col min="5111" max="5112" width="11.125" style="2" bestFit="1" customWidth="1"/>
    <col min="5113" max="5113" width="13.25" style="2" bestFit="1" customWidth="1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38" width="11.125" style="2" bestFit="1" customWidth="1"/>
    <col min="5139" max="5139" width="9.625" style="2" bestFit="1" customWidth="1"/>
    <col min="5140" max="5364" width="9" style="2"/>
    <col min="5365" max="5365" width="2.375" style="2" customWidth="1"/>
    <col min="5366" max="5366" width="13.25" style="2" bestFit="1" customWidth="1"/>
    <col min="5367" max="5368" width="11.125" style="2" bestFit="1" customWidth="1"/>
    <col min="5369" max="5369" width="13.25" style="2" bestFit="1" customWidth="1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94" width="11.125" style="2" bestFit="1" customWidth="1"/>
    <col min="5395" max="5395" width="9.625" style="2" bestFit="1" customWidth="1"/>
    <col min="5396" max="5620" width="9" style="2"/>
    <col min="5621" max="5621" width="2.375" style="2" customWidth="1"/>
    <col min="5622" max="5622" width="13.25" style="2" bestFit="1" customWidth="1"/>
    <col min="5623" max="5624" width="11.125" style="2" bestFit="1" customWidth="1"/>
    <col min="5625" max="5625" width="13.25" style="2" bestFit="1" customWidth="1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50" width="11.125" style="2" bestFit="1" customWidth="1"/>
    <col min="5651" max="5651" width="9.625" style="2" bestFit="1" customWidth="1"/>
    <col min="5652" max="5876" width="9" style="2"/>
    <col min="5877" max="5877" width="2.375" style="2" customWidth="1"/>
    <col min="5878" max="5878" width="13.25" style="2" bestFit="1" customWidth="1"/>
    <col min="5879" max="5880" width="11.125" style="2" bestFit="1" customWidth="1"/>
    <col min="5881" max="5881" width="13.25" style="2" bestFit="1" customWidth="1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906" width="11.125" style="2" bestFit="1" customWidth="1"/>
    <col min="5907" max="5907" width="9.625" style="2" bestFit="1" customWidth="1"/>
    <col min="5908" max="6132" width="9" style="2"/>
    <col min="6133" max="6133" width="2.375" style="2" customWidth="1"/>
    <col min="6134" max="6134" width="13.25" style="2" bestFit="1" customWidth="1"/>
    <col min="6135" max="6136" width="11.125" style="2" bestFit="1" customWidth="1"/>
    <col min="6137" max="6137" width="13.25" style="2" bestFit="1" customWidth="1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62" width="11.125" style="2" bestFit="1" customWidth="1"/>
    <col min="6163" max="6163" width="9.625" style="2" bestFit="1" customWidth="1"/>
    <col min="6164" max="6388" width="9" style="2"/>
    <col min="6389" max="6389" width="2.375" style="2" customWidth="1"/>
    <col min="6390" max="6390" width="13.25" style="2" bestFit="1" customWidth="1"/>
    <col min="6391" max="6392" width="11.125" style="2" bestFit="1" customWidth="1"/>
    <col min="6393" max="6393" width="13.25" style="2" bestFit="1" customWidth="1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18" width="11.125" style="2" bestFit="1" customWidth="1"/>
    <col min="6419" max="6419" width="9.625" style="2" bestFit="1" customWidth="1"/>
    <col min="6420" max="6644" width="9" style="2"/>
    <col min="6645" max="6645" width="2.375" style="2" customWidth="1"/>
    <col min="6646" max="6646" width="13.25" style="2" bestFit="1" customWidth="1"/>
    <col min="6647" max="6648" width="11.125" style="2" bestFit="1" customWidth="1"/>
    <col min="6649" max="6649" width="13.25" style="2" bestFit="1" customWidth="1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74" width="11.125" style="2" bestFit="1" customWidth="1"/>
    <col min="6675" max="6675" width="9.625" style="2" bestFit="1" customWidth="1"/>
    <col min="6676" max="6900" width="9" style="2"/>
    <col min="6901" max="6901" width="2.375" style="2" customWidth="1"/>
    <col min="6902" max="6902" width="13.25" style="2" bestFit="1" customWidth="1"/>
    <col min="6903" max="6904" width="11.125" style="2" bestFit="1" customWidth="1"/>
    <col min="6905" max="6905" width="13.25" style="2" bestFit="1" customWidth="1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30" width="11.125" style="2" bestFit="1" customWidth="1"/>
    <col min="6931" max="6931" width="9.625" style="2" bestFit="1" customWidth="1"/>
    <col min="6932" max="7156" width="9" style="2"/>
    <col min="7157" max="7157" width="2.375" style="2" customWidth="1"/>
    <col min="7158" max="7158" width="13.25" style="2" bestFit="1" customWidth="1"/>
    <col min="7159" max="7160" width="11.125" style="2" bestFit="1" customWidth="1"/>
    <col min="7161" max="7161" width="13.25" style="2" bestFit="1" customWidth="1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86" width="11.125" style="2" bestFit="1" customWidth="1"/>
    <col min="7187" max="7187" width="9.625" style="2" bestFit="1" customWidth="1"/>
    <col min="7188" max="7412" width="9" style="2"/>
    <col min="7413" max="7413" width="2.375" style="2" customWidth="1"/>
    <col min="7414" max="7414" width="13.25" style="2" bestFit="1" customWidth="1"/>
    <col min="7415" max="7416" width="11.125" style="2" bestFit="1" customWidth="1"/>
    <col min="7417" max="7417" width="13.25" style="2" bestFit="1" customWidth="1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42" width="11.125" style="2" bestFit="1" customWidth="1"/>
    <col min="7443" max="7443" width="9.625" style="2" bestFit="1" customWidth="1"/>
    <col min="7444" max="7668" width="9" style="2"/>
    <col min="7669" max="7669" width="2.375" style="2" customWidth="1"/>
    <col min="7670" max="7670" width="13.25" style="2" bestFit="1" customWidth="1"/>
    <col min="7671" max="7672" width="11.125" style="2" bestFit="1" customWidth="1"/>
    <col min="7673" max="7673" width="13.25" style="2" bestFit="1" customWidth="1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98" width="11.125" style="2" bestFit="1" customWidth="1"/>
    <col min="7699" max="7699" width="9.625" style="2" bestFit="1" customWidth="1"/>
    <col min="7700" max="7924" width="9" style="2"/>
    <col min="7925" max="7925" width="2.375" style="2" customWidth="1"/>
    <col min="7926" max="7926" width="13.25" style="2" bestFit="1" customWidth="1"/>
    <col min="7927" max="7928" width="11.125" style="2" bestFit="1" customWidth="1"/>
    <col min="7929" max="7929" width="13.25" style="2" bestFit="1" customWidth="1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54" width="11.125" style="2" bestFit="1" customWidth="1"/>
    <col min="7955" max="7955" width="9.625" style="2" bestFit="1" customWidth="1"/>
    <col min="7956" max="8180" width="9" style="2"/>
    <col min="8181" max="8181" width="2.375" style="2" customWidth="1"/>
    <col min="8182" max="8182" width="13.25" style="2" bestFit="1" customWidth="1"/>
    <col min="8183" max="8184" width="11.125" style="2" bestFit="1" customWidth="1"/>
    <col min="8185" max="8185" width="13.25" style="2" bestFit="1" customWidth="1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210" width="11.125" style="2" bestFit="1" customWidth="1"/>
    <col min="8211" max="8211" width="9.625" style="2" bestFit="1" customWidth="1"/>
    <col min="8212" max="8436" width="9" style="2"/>
    <col min="8437" max="8437" width="2.375" style="2" customWidth="1"/>
    <col min="8438" max="8438" width="13.25" style="2" bestFit="1" customWidth="1"/>
    <col min="8439" max="8440" width="11.125" style="2" bestFit="1" customWidth="1"/>
    <col min="8441" max="8441" width="13.25" style="2" bestFit="1" customWidth="1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66" width="11.125" style="2" bestFit="1" customWidth="1"/>
    <col min="8467" max="8467" width="9.625" style="2" bestFit="1" customWidth="1"/>
    <col min="8468" max="8692" width="9" style="2"/>
    <col min="8693" max="8693" width="2.375" style="2" customWidth="1"/>
    <col min="8694" max="8694" width="13.25" style="2" bestFit="1" customWidth="1"/>
    <col min="8695" max="8696" width="11.125" style="2" bestFit="1" customWidth="1"/>
    <col min="8697" max="8697" width="13.25" style="2" bestFit="1" customWidth="1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22" width="11.125" style="2" bestFit="1" customWidth="1"/>
    <col min="8723" max="8723" width="9.625" style="2" bestFit="1" customWidth="1"/>
    <col min="8724" max="8948" width="9" style="2"/>
    <col min="8949" max="8949" width="2.375" style="2" customWidth="1"/>
    <col min="8950" max="8950" width="13.25" style="2" bestFit="1" customWidth="1"/>
    <col min="8951" max="8952" width="11.125" style="2" bestFit="1" customWidth="1"/>
    <col min="8953" max="8953" width="13.25" style="2" bestFit="1" customWidth="1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78" width="11.125" style="2" bestFit="1" customWidth="1"/>
    <col min="8979" max="8979" width="9.625" style="2" bestFit="1" customWidth="1"/>
    <col min="8980" max="9204" width="9" style="2"/>
    <col min="9205" max="9205" width="2.375" style="2" customWidth="1"/>
    <col min="9206" max="9206" width="13.25" style="2" bestFit="1" customWidth="1"/>
    <col min="9207" max="9208" width="11.125" style="2" bestFit="1" customWidth="1"/>
    <col min="9209" max="9209" width="13.25" style="2" bestFit="1" customWidth="1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34" width="11.125" style="2" bestFit="1" customWidth="1"/>
    <col min="9235" max="9235" width="9.625" style="2" bestFit="1" customWidth="1"/>
    <col min="9236" max="9460" width="9" style="2"/>
    <col min="9461" max="9461" width="2.375" style="2" customWidth="1"/>
    <col min="9462" max="9462" width="13.25" style="2" bestFit="1" customWidth="1"/>
    <col min="9463" max="9464" width="11.125" style="2" bestFit="1" customWidth="1"/>
    <col min="9465" max="9465" width="13.25" style="2" bestFit="1" customWidth="1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90" width="11.125" style="2" bestFit="1" customWidth="1"/>
    <col min="9491" max="9491" width="9.625" style="2" bestFit="1" customWidth="1"/>
    <col min="9492" max="9716" width="9" style="2"/>
    <col min="9717" max="9717" width="2.375" style="2" customWidth="1"/>
    <col min="9718" max="9718" width="13.25" style="2" bestFit="1" customWidth="1"/>
    <col min="9719" max="9720" width="11.125" style="2" bestFit="1" customWidth="1"/>
    <col min="9721" max="9721" width="13.25" style="2" bestFit="1" customWidth="1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46" width="11.125" style="2" bestFit="1" customWidth="1"/>
    <col min="9747" max="9747" width="9.625" style="2" bestFit="1" customWidth="1"/>
    <col min="9748" max="9972" width="9" style="2"/>
    <col min="9973" max="9973" width="2.375" style="2" customWidth="1"/>
    <col min="9974" max="9974" width="13.25" style="2" bestFit="1" customWidth="1"/>
    <col min="9975" max="9976" width="11.125" style="2" bestFit="1" customWidth="1"/>
    <col min="9977" max="9977" width="13.25" style="2" bestFit="1" customWidth="1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10002" width="11.125" style="2" bestFit="1" customWidth="1"/>
    <col min="10003" max="10003" width="9.625" style="2" bestFit="1" customWidth="1"/>
    <col min="10004" max="10228" width="9" style="2"/>
    <col min="10229" max="10229" width="2.375" style="2" customWidth="1"/>
    <col min="10230" max="10230" width="13.25" style="2" bestFit="1" customWidth="1"/>
    <col min="10231" max="10232" width="11.125" style="2" bestFit="1" customWidth="1"/>
    <col min="10233" max="10233" width="13.25" style="2" bestFit="1" customWidth="1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58" width="11.125" style="2" bestFit="1" customWidth="1"/>
    <col min="10259" max="10259" width="9.625" style="2" bestFit="1" customWidth="1"/>
    <col min="10260" max="10484" width="9" style="2"/>
    <col min="10485" max="10485" width="2.375" style="2" customWidth="1"/>
    <col min="10486" max="10486" width="13.25" style="2" bestFit="1" customWidth="1"/>
    <col min="10487" max="10488" width="11.125" style="2" bestFit="1" customWidth="1"/>
    <col min="10489" max="10489" width="13.25" style="2" bestFit="1" customWidth="1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14" width="11.125" style="2" bestFit="1" customWidth="1"/>
    <col min="10515" max="10515" width="9.625" style="2" bestFit="1" customWidth="1"/>
    <col min="10516" max="10740" width="9" style="2"/>
    <col min="10741" max="10741" width="2.375" style="2" customWidth="1"/>
    <col min="10742" max="10742" width="13.25" style="2" bestFit="1" customWidth="1"/>
    <col min="10743" max="10744" width="11.125" style="2" bestFit="1" customWidth="1"/>
    <col min="10745" max="10745" width="13.25" style="2" bestFit="1" customWidth="1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70" width="11.125" style="2" bestFit="1" customWidth="1"/>
    <col min="10771" max="10771" width="9.625" style="2" bestFit="1" customWidth="1"/>
    <col min="10772" max="10996" width="9" style="2"/>
    <col min="10997" max="10997" width="2.375" style="2" customWidth="1"/>
    <col min="10998" max="10998" width="13.25" style="2" bestFit="1" customWidth="1"/>
    <col min="10999" max="11000" width="11.125" style="2" bestFit="1" customWidth="1"/>
    <col min="11001" max="11001" width="13.25" style="2" bestFit="1" customWidth="1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26" width="11.125" style="2" bestFit="1" customWidth="1"/>
    <col min="11027" max="11027" width="9.625" style="2" bestFit="1" customWidth="1"/>
    <col min="11028" max="11252" width="9" style="2"/>
    <col min="11253" max="11253" width="2.375" style="2" customWidth="1"/>
    <col min="11254" max="11254" width="13.25" style="2" bestFit="1" customWidth="1"/>
    <col min="11255" max="11256" width="11.125" style="2" bestFit="1" customWidth="1"/>
    <col min="11257" max="11257" width="13.25" style="2" bestFit="1" customWidth="1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82" width="11.125" style="2" bestFit="1" customWidth="1"/>
    <col min="11283" max="11283" width="9.625" style="2" bestFit="1" customWidth="1"/>
    <col min="11284" max="11508" width="9" style="2"/>
    <col min="11509" max="11509" width="2.375" style="2" customWidth="1"/>
    <col min="11510" max="11510" width="13.25" style="2" bestFit="1" customWidth="1"/>
    <col min="11511" max="11512" width="11.125" style="2" bestFit="1" customWidth="1"/>
    <col min="11513" max="11513" width="13.25" style="2" bestFit="1" customWidth="1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38" width="11.125" style="2" bestFit="1" customWidth="1"/>
    <col min="11539" max="11539" width="9.625" style="2" bestFit="1" customWidth="1"/>
    <col min="11540" max="11764" width="9" style="2"/>
    <col min="11765" max="11765" width="2.375" style="2" customWidth="1"/>
    <col min="11766" max="11766" width="13.25" style="2" bestFit="1" customWidth="1"/>
    <col min="11767" max="11768" width="11.125" style="2" bestFit="1" customWidth="1"/>
    <col min="11769" max="11769" width="13.25" style="2" bestFit="1" customWidth="1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94" width="11.125" style="2" bestFit="1" customWidth="1"/>
    <col min="11795" max="11795" width="9.625" style="2" bestFit="1" customWidth="1"/>
    <col min="11796" max="12020" width="9" style="2"/>
    <col min="12021" max="12021" width="2.375" style="2" customWidth="1"/>
    <col min="12022" max="12022" width="13.25" style="2" bestFit="1" customWidth="1"/>
    <col min="12023" max="12024" width="11.125" style="2" bestFit="1" customWidth="1"/>
    <col min="12025" max="12025" width="13.25" style="2" bestFit="1" customWidth="1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50" width="11.125" style="2" bestFit="1" customWidth="1"/>
    <col min="12051" max="12051" width="9.625" style="2" bestFit="1" customWidth="1"/>
    <col min="12052" max="12276" width="9" style="2"/>
    <col min="12277" max="12277" width="2.375" style="2" customWidth="1"/>
    <col min="12278" max="12278" width="13.25" style="2" bestFit="1" customWidth="1"/>
    <col min="12279" max="12280" width="11.125" style="2" bestFit="1" customWidth="1"/>
    <col min="12281" max="12281" width="13.25" style="2" bestFit="1" customWidth="1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306" width="11.125" style="2" bestFit="1" customWidth="1"/>
    <col min="12307" max="12307" width="9.625" style="2" bestFit="1" customWidth="1"/>
    <col min="12308" max="12532" width="9" style="2"/>
    <col min="12533" max="12533" width="2.375" style="2" customWidth="1"/>
    <col min="12534" max="12534" width="13.25" style="2" bestFit="1" customWidth="1"/>
    <col min="12535" max="12536" width="11.125" style="2" bestFit="1" customWidth="1"/>
    <col min="12537" max="12537" width="13.25" style="2" bestFit="1" customWidth="1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62" width="11.125" style="2" bestFit="1" customWidth="1"/>
    <col min="12563" max="12563" width="9.625" style="2" bestFit="1" customWidth="1"/>
    <col min="12564" max="12788" width="9" style="2"/>
    <col min="12789" max="12789" width="2.375" style="2" customWidth="1"/>
    <col min="12790" max="12790" width="13.25" style="2" bestFit="1" customWidth="1"/>
    <col min="12791" max="12792" width="11.125" style="2" bestFit="1" customWidth="1"/>
    <col min="12793" max="12793" width="13.25" style="2" bestFit="1" customWidth="1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18" width="11.125" style="2" bestFit="1" customWidth="1"/>
    <col min="12819" max="12819" width="9.625" style="2" bestFit="1" customWidth="1"/>
    <col min="12820" max="13044" width="9" style="2"/>
    <col min="13045" max="13045" width="2.375" style="2" customWidth="1"/>
    <col min="13046" max="13046" width="13.25" style="2" bestFit="1" customWidth="1"/>
    <col min="13047" max="13048" width="11.125" style="2" bestFit="1" customWidth="1"/>
    <col min="13049" max="13049" width="13.25" style="2" bestFit="1" customWidth="1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74" width="11.125" style="2" bestFit="1" customWidth="1"/>
    <col min="13075" max="13075" width="9.625" style="2" bestFit="1" customWidth="1"/>
    <col min="13076" max="13300" width="9" style="2"/>
    <col min="13301" max="13301" width="2.375" style="2" customWidth="1"/>
    <col min="13302" max="13302" width="13.25" style="2" bestFit="1" customWidth="1"/>
    <col min="13303" max="13304" width="11.125" style="2" bestFit="1" customWidth="1"/>
    <col min="13305" max="13305" width="13.25" style="2" bestFit="1" customWidth="1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30" width="11.125" style="2" bestFit="1" customWidth="1"/>
    <col min="13331" max="13331" width="9.625" style="2" bestFit="1" customWidth="1"/>
    <col min="13332" max="13556" width="9" style="2"/>
    <col min="13557" max="13557" width="2.375" style="2" customWidth="1"/>
    <col min="13558" max="13558" width="13.25" style="2" bestFit="1" customWidth="1"/>
    <col min="13559" max="13560" width="11.125" style="2" bestFit="1" customWidth="1"/>
    <col min="13561" max="13561" width="13.25" style="2" bestFit="1" customWidth="1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86" width="11.125" style="2" bestFit="1" customWidth="1"/>
    <col min="13587" max="13587" width="9.625" style="2" bestFit="1" customWidth="1"/>
    <col min="13588" max="13812" width="9" style="2"/>
    <col min="13813" max="13813" width="2.375" style="2" customWidth="1"/>
    <col min="13814" max="13814" width="13.25" style="2" bestFit="1" customWidth="1"/>
    <col min="13815" max="13816" width="11.125" style="2" bestFit="1" customWidth="1"/>
    <col min="13817" max="13817" width="13.25" style="2" bestFit="1" customWidth="1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42" width="11.125" style="2" bestFit="1" customWidth="1"/>
    <col min="13843" max="13843" width="9.625" style="2" bestFit="1" customWidth="1"/>
    <col min="13844" max="14068" width="9" style="2"/>
    <col min="14069" max="14069" width="2.375" style="2" customWidth="1"/>
    <col min="14070" max="14070" width="13.25" style="2" bestFit="1" customWidth="1"/>
    <col min="14071" max="14072" width="11.125" style="2" bestFit="1" customWidth="1"/>
    <col min="14073" max="14073" width="13.25" style="2" bestFit="1" customWidth="1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98" width="11.125" style="2" bestFit="1" customWidth="1"/>
    <col min="14099" max="14099" width="9.625" style="2" bestFit="1" customWidth="1"/>
    <col min="14100" max="14324" width="9" style="2"/>
    <col min="14325" max="14325" width="2.375" style="2" customWidth="1"/>
    <col min="14326" max="14326" width="13.25" style="2" bestFit="1" customWidth="1"/>
    <col min="14327" max="14328" width="11.125" style="2" bestFit="1" customWidth="1"/>
    <col min="14329" max="14329" width="13.25" style="2" bestFit="1" customWidth="1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54" width="11.125" style="2" bestFit="1" customWidth="1"/>
    <col min="14355" max="14355" width="9.625" style="2" bestFit="1" customWidth="1"/>
    <col min="14356" max="14580" width="9" style="2"/>
    <col min="14581" max="14581" width="2.375" style="2" customWidth="1"/>
    <col min="14582" max="14582" width="13.25" style="2" bestFit="1" customWidth="1"/>
    <col min="14583" max="14584" width="11.125" style="2" bestFit="1" customWidth="1"/>
    <col min="14585" max="14585" width="13.25" style="2" bestFit="1" customWidth="1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610" width="11.125" style="2" bestFit="1" customWidth="1"/>
    <col min="14611" max="14611" width="9.625" style="2" bestFit="1" customWidth="1"/>
    <col min="14612" max="14836" width="9" style="2"/>
    <col min="14837" max="14837" width="2.375" style="2" customWidth="1"/>
    <col min="14838" max="14838" width="13.25" style="2" bestFit="1" customWidth="1"/>
    <col min="14839" max="14840" width="11.125" style="2" bestFit="1" customWidth="1"/>
    <col min="14841" max="14841" width="13.25" style="2" bestFit="1" customWidth="1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66" width="11.125" style="2" bestFit="1" customWidth="1"/>
    <col min="14867" max="14867" width="9.625" style="2" bestFit="1" customWidth="1"/>
    <col min="14868" max="15092" width="9" style="2"/>
    <col min="15093" max="15093" width="2.375" style="2" customWidth="1"/>
    <col min="15094" max="15094" width="13.25" style="2" bestFit="1" customWidth="1"/>
    <col min="15095" max="15096" width="11.125" style="2" bestFit="1" customWidth="1"/>
    <col min="15097" max="15097" width="13.25" style="2" bestFit="1" customWidth="1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22" width="11.125" style="2" bestFit="1" customWidth="1"/>
    <col min="15123" max="15123" width="9.625" style="2" bestFit="1" customWidth="1"/>
    <col min="15124" max="15348" width="9" style="2"/>
    <col min="15349" max="15349" width="2.375" style="2" customWidth="1"/>
    <col min="15350" max="15350" width="13.25" style="2" bestFit="1" customWidth="1"/>
    <col min="15351" max="15352" width="11.125" style="2" bestFit="1" customWidth="1"/>
    <col min="15353" max="15353" width="13.25" style="2" bestFit="1" customWidth="1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78" width="11.125" style="2" bestFit="1" customWidth="1"/>
    <col min="15379" max="15379" width="9.625" style="2" bestFit="1" customWidth="1"/>
    <col min="15380" max="15604" width="9" style="2"/>
    <col min="15605" max="15605" width="2.375" style="2" customWidth="1"/>
    <col min="15606" max="15606" width="13.25" style="2" bestFit="1" customWidth="1"/>
    <col min="15607" max="15608" width="11.125" style="2" bestFit="1" customWidth="1"/>
    <col min="15609" max="15609" width="13.25" style="2" bestFit="1" customWidth="1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34" width="11.125" style="2" bestFit="1" customWidth="1"/>
    <col min="15635" max="15635" width="9.625" style="2" bestFit="1" customWidth="1"/>
    <col min="15636" max="15860" width="9" style="2"/>
    <col min="15861" max="15861" width="2.375" style="2" customWidth="1"/>
    <col min="15862" max="15862" width="13.25" style="2" bestFit="1" customWidth="1"/>
    <col min="15863" max="15864" width="11.125" style="2" bestFit="1" customWidth="1"/>
    <col min="15865" max="15865" width="13.25" style="2" bestFit="1" customWidth="1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90" width="11.125" style="2" bestFit="1" customWidth="1"/>
    <col min="15891" max="15891" width="9.625" style="2" bestFit="1" customWidth="1"/>
    <col min="15892" max="16116" width="9" style="2"/>
    <col min="16117" max="16117" width="2.375" style="2" customWidth="1"/>
    <col min="16118" max="16118" width="13.25" style="2" bestFit="1" customWidth="1"/>
    <col min="16119" max="16120" width="11.125" style="2" bestFit="1" customWidth="1"/>
    <col min="16121" max="16121" width="13.25" style="2" bestFit="1" customWidth="1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46" width="11.125" style="2" bestFit="1" customWidth="1"/>
    <col min="16147" max="16147" width="9.625" style="2" bestFit="1" customWidth="1"/>
    <col min="16148" max="16384" width="9" style="2"/>
  </cols>
  <sheetData>
    <row r="1" spans="1:20">
      <c r="A1" s="1" t="s">
        <v>0</v>
      </c>
    </row>
    <row r="2" spans="1:20" ht="19.5" thickBot="1">
      <c r="A2" s="1" t="s">
        <v>118</v>
      </c>
    </row>
    <row r="3" spans="1:20">
      <c r="B3" s="3"/>
      <c r="C3" s="6" t="s">
        <v>2</v>
      </c>
      <c r="D3" s="7" t="s">
        <v>3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18</v>
      </c>
      <c r="Q3" s="7" t="s">
        <v>19</v>
      </c>
      <c r="R3" s="7" t="s">
        <v>20</v>
      </c>
      <c r="S3" s="43" t="s">
        <v>21</v>
      </c>
      <c r="T3" s="65" t="s">
        <v>119</v>
      </c>
    </row>
    <row r="4" spans="1:20" ht="19.5" thickBot="1">
      <c r="A4" s="80"/>
      <c r="B4" s="25" t="s">
        <v>30</v>
      </c>
      <c r="C4" s="26" t="s">
        <v>31</v>
      </c>
      <c r="D4" s="27" t="s">
        <v>32</v>
      </c>
      <c r="E4" s="27" t="s">
        <v>35</v>
      </c>
      <c r="F4" s="27" t="s">
        <v>36</v>
      </c>
      <c r="G4" s="27" t="s">
        <v>37</v>
      </c>
      <c r="H4" s="27" t="s">
        <v>38</v>
      </c>
      <c r="I4" s="27" t="s">
        <v>39</v>
      </c>
      <c r="J4" s="27" t="s">
        <v>40</v>
      </c>
      <c r="K4" s="27" t="s">
        <v>41</v>
      </c>
      <c r="L4" s="27" t="s">
        <v>42</v>
      </c>
      <c r="M4" s="27" t="s">
        <v>43</v>
      </c>
      <c r="N4" s="27" t="s">
        <v>44</v>
      </c>
      <c r="O4" s="27" t="s">
        <v>45</v>
      </c>
      <c r="P4" s="27" t="s">
        <v>47</v>
      </c>
      <c r="Q4" s="27" t="s">
        <v>48</v>
      </c>
      <c r="R4" s="27" t="s">
        <v>49</v>
      </c>
      <c r="S4" s="44" t="s">
        <v>50</v>
      </c>
      <c r="T4" s="66" t="s">
        <v>121</v>
      </c>
    </row>
    <row r="5" spans="1:20">
      <c r="A5" s="1" t="s">
        <v>1</v>
      </c>
      <c r="B5" s="21" t="s">
        <v>60</v>
      </c>
      <c r="C5" s="22">
        <v>20</v>
      </c>
      <c r="D5" s="23">
        <v>19</v>
      </c>
      <c r="E5" s="23">
        <v>20</v>
      </c>
      <c r="F5" s="23">
        <v>17</v>
      </c>
      <c r="G5" s="23">
        <v>19</v>
      </c>
      <c r="H5" s="23">
        <v>18</v>
      </c>
      <c r="I5" s="23">
        <v>19</v>
      </c>
      <c r="J5" s="23">
        <v>20</v>
      </c>
      <c r="K5" s="23">
        <v>20</v>
      </c>
      <c r="L5" s="23">
        <v>19</v>
      </c>
      <c r="M5" s="23">
        <v>17</v>
      </c>
      <c r="N5" s="23">
        <v>17</v>
      </c>
      <c r="O5" s="23">
        <v>18</v>
      </c>
      <c r="P5" s="23">
        <v>17</v>
      </c>
      <c r="Q5" s="23">
        <v>18</v>
      </c>
      <c r="R5" s="23">
        <v>15</v>
      </c>
      <c r="S5" s="45">
        <v>18</v>
      </c>
      <c r="T5" s="67">
        <f>SUM(C5:S5)</f>
        <v>311</v>
      </c>
    </row>
    <row r="6" spans="1:20">
      <c r="A6" s="1" t="s">
        <v>1</v>
      </c>
      <c r="B6" s="4" t="s">
        <v>61</v>
      </c>
      <c r="C6" s="9">
        <v>3</v>
      </c>
      <c r="D6" s="10">
        <v>5</v>
      </c>
      <c r="E6" s="10">
        <v>0</v>
      </c>
      <c r="F6" s="10">
        <v>3</v>
      </c>
      <c r="G6" s="10">
        <v>3</v>
      </c>
      <c r="H6" s="10">
        <v>2</v>
      </c>
      <c r="I6" s="10">
        <v>3</v>
      </c>
      <c r="J6" s="10">
        <v>4</v>
      </c>
      <c r="K6" s="10">
        <v>3</v>
      </c>
      <c r="L6" s="10">
        <v>3</v>
      </c>
      <c r="M6" s="10">
        <v>5</v>
      </c>
      <c r="N6" s="10">
        <v>5</v>
      </c>
      <c r="O6" s="10">
        <v>3</v>
      </c>
      <c r="P6" s="10">
        <v>2</v>
      </c>
      <c r="Q6" s="10">
        <v>4</v>
      </c>
      <c r="R6" s="10">
        <v>1</v>
      </c>
      <c r="S6" s="46">
        <v>4</v>
      </c>
      <c r="T6" s="68">
        <f>SUM(C6:S6)</f>
        <v>53</v>
      </c>
    </row>
    <row r="7" spans="1:20">
      <c r="A7" s="1" t="s">
        <v>1</v>
      </c>
      <c r="B7" s="4" t="s">
        <v>62</v>
      </c>
      <c r="C7" s="9">
        <v>3</v>
      </c>
      <c r="D7" s="10">
        <v>2</v>
      </c>
      <c r="E7" s="10">
        <v>3</v>
      </c>
      <c r="F7" s="10">
        <v>3</v>
      </c>
      <c r="G7" s="10">
        <v>1</v>
      </c>
      <c r="H7" s="10">
        <v>1</v>
      </c>
      <c r="I7" s="10">
        <v>3</v>
      </c>
      <c r="J7" s="10">
        <v>1</v>
      </c>
      <c r="K7" s="10">
        <v>2</v>
      </c>
      <c r="L7" s="10">
        <v>2</v>
      </c>
      <c r="M7" s="10">
        <v>3</v>
      </c>
      <c r="N7" s="10">
        <v>5</v>
      </c>
      <c r="O7" s="10">
        <v>3</v>
      </c>
      <c r="P7" s="10">
        <v>2</v>
      </c>
      <c r="Q7" s="10">
        <v>3</v>
      </c>
      <c r="R7" s="10">
        <v>0</v>
      </c>
      <c r="S7" s="46">
        <v>3</v>
      </c>
      <c r="T7" s="68">
        <f t="shared" ref="T7:T13" si="0">SUM(C7:S7)</f>
        <v>40</v>
      </c>
    </row>
    <row r="8" spans="1:20">
      <c r="A8" s="1" t="s">
        <v>1</v>
      </c>
      <c r="B8" s="4" t="s">
        <v>63</v>
      </c>
      <c r="C8" s="9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3</v>
      </c>
      <c r="N8" s="10">
        <v>1</v>
      </c>
      <c r="O8" s="10">
        <v>0</v>
      </c>
      <c r="P8" s="10">
        <v>0</v>
      </c>
      <c r="Q8" s="10">
        <v>2</v>
      </c>
      <c r="R8" s="10">
        <v>1</v>
      </c>
      <c r="S8" s="46">
        <v>2</v>
      </c>
      <c r="T8" s="68">
        <f t="shared" si="0"/>
        <v>9</v>
      </c>
    </row>
    <row r="9" spans="1:20">
      <c r="A9" s="1" t="s">
        <v>1</v>
      </c>
      <c r="B9" s="4" t="s">
        <v>64</v>
      </c>
      <c r="C9" s="9">
        <v>0</v>
      </c>
      <c r="D9" s="10">
        <v>1</v>
      </c>
      <c r="E9" s="10">
        <v>0</v>
      </c>
      <c r="F9" s="10">
        <v>3</v>
      </c>
      <c r="G9" s="10">
        <v>1</v>
      </c>
      <c r="H9" s="10">
        <v>2</v>
      </c>
      <c r="I9" s="10">
        <v>1</v>
      </c>
      <c r="J9" s="10">
        <v>0</v>
      </c>
      <c r="K9" s="10">
        <v>0</v>
      </c>
      <c r="L9" s="10">
        <v>0</v>
      </c>
      <c r="M9" s="10">
        <v>0</v>
      </c>
      <c r="N9" s="10">
        <v>2</v>
      </c>
      <c r="O9" s="10">
        <v>2</v>
      </c>
      <c r="P9" s="10">
        <v>3</v>
      </c>
      <c r="Q9" s="10">
        <v>0</v>
      </c>
      <c r="R9" s="10">
        <v>0</v>
      </c>
      <c r="S9" s="46">
        <v>0</v>
      </c>
      <c r="T9" s="68">
        <f t="shared" si="0"/>
        <v>15</v>
      </c>
    </row>
    <row r="10" spans="1:20">
      <c r="A10" s="1" t="s">
        <v>1</v>
      </c>
      <c r="B10" s="4" t="s">
        <v>65</v>
      </c>
      <c r="C10" s="9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1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46">
        <v>0</v>
      </c>
      <c r="T10" s="68">
        <f t="shared" si="0"/>
        <v>1</v>
      </c>
    </row>
    <row r="11" spans="1:20">
      <c r="A11" s="1" t="s">
        <v>1</v>
      </c>
      <c r="B11" s="4" t="s">
        <v>66</v>
      </c>
      <c r="C11" s="9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4</v>
      </c>
      <c r="S11" s="46">
        <v>0</v>
      </c>
      <c r="T11" s="68">
        <f t="shared" si="0"/>
        <v>4</v>
      </c>
    </row>
    <row r="12" spans="1:20">
      <c r="A12" s="1" t="s">
        <v>1</v>
      </c>
      <c r="B12" s="4" t="s">
        <v>67</v>
      </c>
      <c r="C12" s="9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4</v>
      </c>
      <c r="S12" s="46">
        <v>0</v>
      </c>
      <c r="T12" s="68">
        <f t="shared" si="0"/>
        <v>4</v>
      </c>
    </row>
    <row r="13" spans="1:20">
      <c r="A13" s="1" t="s">
        <v>1</v>
      </c>
      <c r="B13" s="4" t="s">
        <v>68</v>
      </c>
      <c r="C13" s="12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47">
        <v>0</v>
      </c>
      <c r="T13" s="68">
        <f t="shared" si="0"/>
        <v>0</v>
      </c>
    </row>
    <row r="14" spans="1:20">
      <c r="A14" s="1" t="s">
        <v>1</v>
      </c>
      <c r="B14" s="4" t="s">
        <v>69</v>
      </c>
      <c r="C14" s="12">
        <v>1.4166666666666667</v>
      </c>
      <c r="D14" s="13">
        <v>2.6666666666666665</v>
      </c>
      <c r="E14" s="13">
        <v>0.41666666666666669</v>
      </c>
      <c r="F14" s="13">
        <v>2.0416666666666665</v>
      </c>
      <c r="G14" s="13">
        <v>1.9166666666666665</v>
      </c>
      <c r="H14" s="13">
        <v>2.5833333333333335</v>
      </c>
      <c r="I14" s="13">
        <v>2.375</v>
      </c>
      <c r="J14" s="13">
        <v>2</v>
      </c>
      <c r="K14" s="13">
        <v>2</v>
      </c>
      <c r="L14" s="13">
        <v>2.3333333333333335</v>
      </c>
      <c r="M14" s="13">
        <v>2</v>
      </c>
      <c r="N14" s="13">
        <v>1.5833333333333335</v>
      </c>
      <c r="O14" s="13">
        <v>1.375</v>
      </c>
      <c r="P14" s="13">
        <v>2.25</v>
      </c>
      <c r="Q14" s="13">
        <v>1.75</v>
      </c>
      <c r="R14" s="13">
        <v>0.5</v>
      </c>
      <c r="S14" s="47">
        <v>2.125</v>
      </c>
      <c r="T14" s="69">
        <f>SUM(C14:S14)</f>
        <v>31.333333333333329</v>
      </c>
    </row>
    <row r="15" spans="1:20">
      <c r="A15" s="1" t="s">
        <v>1</v>
      </c>
      <c r="B15" s="4" t="s">
        <v>70</v>
      </c>
      <c r="C15" s="12">
        <v>1.0833333333333333</v>
      </c>
      <c r="D15" s="13">
        <v>1.7916666666666665</v>
      </c>
      <c r="E15" s="13">
        <v>0</v>
      </c>
      <c r="F15" s="13">
        <v>1.4583333333333333</v>
      </c>
      <c r="G15" s="13">
        <v>1.2083333333333333</v>
      </c>
      <c r="H15" s="13">
        <v>1</v>
      </c>
      <c r="I15" s="13">
        <v>1.0833333333333333</v>
      </c>
      <c r="J15" s="13">
        <v>1.3333333333333333</v>
      </c>
      <c r="K15" s="13">
        <v>1</v>
      </c>
      <c r="L15" s="13">
        <v>1</v>
      </c>
      <c r="M15" s="13">
        <v>0.91666666666666663</v>
      </c>
      <c r="N15" s="13">
        <v>2.375</v>
      </c>
      <c r="O15" s="13">
        <v>1.25</v>
      </c>
      <c r="P15" s="13">
        <v>1</v>
      </c>
      <c r="Q15" s="13">
        <v>0.70833333333333337</v>
      </c>
      <c r="R15" s="13">
        <v>0</v>
      </c>
      <c r="S15" s="47">
        <v>1.5</v>
      </c>
      <c r="T15" s="69">
        <f t="shared" ref="T15:T19" si="1">SUM(C15:S15)</f>
        <v>18.708333333333332</v>
      </c>
    </row>
    <row r="16" spans="1:20">
      <c r="A16" s="1" t="s">
        <v>1</v>
      </c>
      <c r="B16" s="4" t="s">
        <v>71</v>
      </c>
      <c r="C16" s="12">
        <v>0.66666666666666663</v>
      </c>
      <c r="D16" s="13">
        <v>1.0416666666666667</v>
      </c>
      <c r="E16" s="13">
        <v>0.79166666666666663</v>
      </c>
      <c r="F16" s="13">
        <v>0.91666666666666663</v>
      </c>
      <c r="G16" s="13">
        <v>0.20833333333333334</v>
      </c>
      <c r="H16" s="13">
        <v>0.5</v>
      </c>
      <c r="I16" s="13">
        <v>1.125</v>
      </c>
      <c r="J16" s="13">
        <v>0.45833333333333331</v>
      </c>
      <c r="K16" s="13">
        <v>0.70833333333333337</v>
      </c>
      <c r="L16" s="13">
        <v>0.75</v>
      </c>
      <c r="M16" s="13">
        <v>1.4583333333333333</v>
      </c>
      <c r="N16" s="13">
        <v>2.2083333333333335</v>
      </c>
      <c r="O16" s="13">
        <v>0.83333333333333337</v>
      </c>
      <c r="P16" s="13">
        <v>0.58333333333333337</v>
      </c>
      <c r="Q16" s="13">
        <v>1.1666666666666667</v>
      </c>
      <c r="R16" s="13">
        <v>0</v>
      </c>
      <c r="S16" s="47">
        <v>1.0833333333333333</v>
      </c>
      <c r="T16" s="69">
        <f t="shared" si="1"/>
        <v>14.500000000000002</v>
      </c>
    </row>
    <row r="17" spans="1:20">
      <c r="A17" s="1" t="s">
        <v>1</v>
      </c>
      <c r="B17" s="4" t="s">
        <v>72</v>
      </c>
      <c r="C17" s="12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1.2916666666666667</v>
      </c>
      <c r="N17" s="13">
        <v>0</v>
      </c>
      <c r="O17" s="13">
        <v>0</v>
      </c>
      <c r="P17" s="13">
        <v>0</v>
      </c>
      <c r="Q17" s="13">
        <v>0.66666666666666663</v>
      </c>
      <c r="R17" s="13">
        <v>0.41666666666666669</v>
      </c>
      <c r="S17" s="47">
        <v>0.45833333333333331</v>
      </c>
      <c r="T17" s="69">
        <f t="shared" si="1"/>
        <v>2.8333333333333335</v>
      </c>
    </row>
    <row r="18" spans="1:20">
      <c r="A18" s="1" t="s">
        <v>1</v>
      </c>
      <c r="B18" s="4" t="s">
        <v>73</v>
      </c>
      <c r="C18" s="12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0.125</v>
      </c>
      <c r="O18" s="13">
        <v>0</v>
      </c>
      <c r="P18" s="13">
        <v>0</v>
      </c>
      <c r="Q18" s="13">
        <v>0</v>
      </c>
      <c r="R18" s="13">
        <v>0</v>
      </c>
      <c r="S18" s="47">
        <v>0.5</v>
      </c>
      <c r="T18" s="69">
        <f t="shared" si="1"/>
        <v>0.625</v>
      </c>
    </row>
    <row r="19" spans="1:20">
      <c r="A19" s="1" t="s">
        <v>1</v>
      </c>
      <c r="B19" s="4" t="s">
        <v>74</v>
      </c>
      <c r="C19" s="12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47">
        <v>0</v>
      </c>
      <c r="T19" s="69">
        <f t="shared" si="1"/>
        <v>0</v>
      </c>
    </row>
    <row r="20" spans="1:20">
      <c r="A20" s="1" t="s">
        <v>1</v>
      </c>
      <c r="B20" s="4" t="s">
        <v>75</v>
      </c>
      <c r="C20" s="12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47">
        <v>0</v>
      </c>
      <c r="T20" s="69"/>
    </row>
    <row r="21" spans="1:20">
      <c r="A21" s="1" t="s">
        <v>1</v>
      </c>
      <c r="B21" s="4" t="s">
        <v>76</v>
      </c>
      <c r="C21" s="12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47">
        <v>0</v>
      </c>
      <c r="T21" s="69"/>
    </row>
    <row r="22" spans="1:20">
      <c r="A22" s="1" t="s">
        <v>1</v>
      </c>
      <c r="B22" s="4" t="s">
        <v>77</v>
      </c>
      <c r="C22" s="12">
        <v>0.41666666666666669</v>
      </c>
      <c r="D22" s="13">
        <v>0.95833333333333337</v>
      </c>
      <c r="E22" s="13">
        <v>0</v>
      </c>
      <c r="F22" s="13">
        <v>0.83333333333333337</v>
      </c>
      <c r="G22" s="13">
        <v>1.0416666666666667</v>
      </c>
      <c r="H22" s="13">
        <v>1.4583333333333333</v>
      </c>
      <c r="I22" s="13">
        <v>0.20833333333333334</v>
      </c>
      <c r="J22" s="13">
        <v>0.25</v>
      </c>
      <c r="K22" s="13">
        <v>4.1666666666666664E-2</v>
      </c>
      <c r="L22" s="13">
        <v>0.375</v>
      </c>
      <c r="M22" s="13">
        <v>0.66666666666666663</v>
      </c>
      <c r="N22" s="13">
        <v>1.875</v>
      </c>
      <c r="O22" s="13">
        <v>0.25</v>
      </c>
      <c r="P22" s="13">
        <v>1</v>
      </c>
      <c r="Q22" s="13">
        <v>1.2916666666666667</v>
      </c>
      <c r="R22" s="13">
        <v>4.1666666666666664E-2</v>
      </c>
      <c r="S22" s="47">
        <v>1.75</v>
      </c>
      <c r="T22" s="69">
        <f>SUM(C22:S22)</f>
        <v>12.458333333333332</v>
      </c>
    </row>
    <row r="23" spans="1:20" ht="19.5" thickBot="1">
      <c r="A23" s="1" t="s">
        <v>1</v>
      </c>
      <c r="B23" s="5" t="s">
        <v>78</v>
      </c>
      <c r="C23" s="32">
        <v>15</v>
      </c>
      <c r="D23" s="33">
        <v>28</v>
      </c>
      <c r="E23" s="33">
        <v>28</v>
      </c>
      <c r="F23" s="33">
        <v>28</v>
      </c>
      <c r="G23" s="33">
        <v>25</v>
      </c>
      <c r="H23" s="33">
        <v>29</v>
      </c>
      <c r="I23" s="33">
        <v>27</v>
      </c>
      <c r="J23" s="33">
        <v>16</v>
      </c>
      <c r="K23" s="33">
        <v>27</v>
      </c>
      <c r="L23" s="33">
        <v>33</v>
      </c>
      <c r="M23" s="33">
        <v>0</v>
      </c>
      <c r="N23" s="33">
        <v>10</v>
      </c>
      <c r="O23" s="33">
        <v>24</v>
      </c>
      <c r="P23" s="33">
        <v>14</v>
      </c>
      <c r="Q23" s="33">
        <v>11</v>
      </c>
      <c r="R23" s="33">
        <v>0</v>
      </c>
      <c r="S23" s="48">
        <v>0</v>
      </c>
      <c r="T23" s="70">
        <f>SUM(C23:S23)</f>
        <v>315</v>
      </c>
    </row>
    <row r="24" spans="1:20">
      <c r="A24" s="1" t="s">
        <v>1</v>
      </c>
      <c r="B24" s="21" t="s">
        <v>79</v>
      </c>
      <c r="C24" s="29">
        <v>177000</v>
      </c>
      <c r="D24" s="30">
        <v>187000</v>
      </c>
      <c r="E24" s="30">
        <v>187000</v>
      </c>
      <c r="F24" s="30">
        <v>192000</v>
      </c>
      <c r="G24" s="30">
        <v>187000</v>
      </c>
      <c r="H24" s="30">
        <v>192000</v>
      </c>
      <c r="I24" s="30">
        <v>177000</v>
      </c>
      <c r="J24" s="30">
        <v>177000</v>
      </c>
      <c r="K24" s="30">
        <v>177000</v>
      </c>
      <c r="L24" s="30">
        <v>187000</v>
      </c>
      <c r="M24" s="30">
        <v>177000</v>
      </c>
      <c r="N24" s="30">
        <v>177000</v>
      </c>
      <c r="O24" s="30">
        <v>170000</v>
      </c>
      <c r="P24" s="30">
        <v>170000</v>
      </c>
      <c r="Q24" s="30">
        <v>175000</v>
      </c>
      <c r="R24" s="30">
        <v>170000</v>
      </c>
      <c r="S24" s="49">
        <v>170000</v>
      </c>
      <c r="T24" s="71">
        <f>SUM(C24:S24)</f>
        <v>3049000</v>
      </c>
    </row>
    <row r="25" spans="1:20">
      <c r="A25" s="1" t="s">
        <v>1</v>
      </c>
      <c r="B25" s="4" t="s">
        <v>80</v>
      </c>
      <c r="C25" s="15">
        <v>0</v>
      </c>
      <c r="D25" s="16">
        <v>0</v>
      </c>
      <c r="E25" s="16">
        <v>20000</v>
      </c>
      <c r="F25" s="16">
        <v>5000</v>
      </c>
      <c r="G25" s="16">
        <v>5000</v>
      </c>
      <c r="H25" s="16">
        <v>5000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50">
        <v>0</v>
      </c>
      <c r="T25" s="72">
        <f t="shared" ref="T25:T62" si="2">SUM(C25:S25)</f>
        <v>35000</v>
      </c>
    </row>
    <row r="26" spans="1:20">
      <c r="A26" s="1" t="s">
        <v>1</v>
      </c>
      <c r="B26" s="4" t="s">
        <v>81</v>
      </c>
      <c r="C26" s="15">
        <v>0</v>
      </c>
      <c r="D26" s="16">
        <v>0</v>
      </c>
      <c r="E26" s="16">
        <v>3000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50">
        <v>0</v>
      </c>
      <c r="T26" s="72">
        <f t="shared" si="2"/>
        <v>3000</v>
      </c>
    </row>
    <row r="27" spans="1:20">
      <c r="A27" s="1" t="s">
        <v>1</v>
      </c>
      <c r="B27" s="4" t="s">
        <v>82</v>
      </c>
      <c r="C27" s="15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50">
        <v>0</v>
      </c>
      <c r="T27" s="72">
        <f t="shared" si="2"/>
        <v>0</v>
      </c>
    </row>
    <row r="28" spans="1:20">
      <c r="A28" s="1" t="s">
        <v>1</v>
      </c>
      <c r="B28" s="4" t="s">
        <v>83</v>
      </c>
      <c r="C28" s="15">
        <v>0</v>
      </c>
      <c r="D28" s="16">
        <v>0</v>
      </c>
      <c r="E28" s="16">
        <v>99477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9112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50">
        <v>0</v>
      </c>
      <c r="T28" s="72">
        <f t="shared" si="2"/>
        <v>108589</v>
      </c>
    </row>
    <row r="29" spans="1:20">
      <c r="A29" s="1" t="s">
        <v>1</v>
      </c>
      <c r="B29" s="4" t="s">
        <v>84</v>
      </c>
      <c r="C29" s="15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50">
        <v>0</v>
      </c>
      <c r="T29" s="72">
        <f t="shared" si="2"/>
        <v>0</v>
      </c>
    </row>
    <row r="30" spans="1:20">
      <c r="A30" s="1" t="s">
        <v>1</v>
      </c>
      <c r="B30" s="4" t="s">
        <v>85</v>
      </c>
      <c r="C30" s="15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50">
        <v>0</v>
      </c>
      <c r="T30" s="72">
        <f t="shared" si="2"/>
        <v>0</v>
      </c>
    </row>
    <row r="31" spans="1:20">
      <c r="A31" s="1" t="s">
        <v>1</v>
      </c>
      <c r="B31" s="4" t="s">
        <v>86</v>
      </c>
      <c r="C31" s="15">
        <v>29600</v>
      </c>
      <c r="D31" s="16">
        <v>4200</v>
      </c>
      <c r="E31" s="16">
        <v>28800</v>
      </c>
      <c r="F31" s="16">
        <v>28400</v>
      </c>
      <c r="G31" s="16">
        <v>29200</v>
      </c>
      <c r="H31" s="16">
        <v>29000</v>
      </c>
      <c r="I31" s="16">
        <v>30000</v>
      </c>
      <c r="J31" s="16">
        <v>27400</v>
      </c>
      <c r="K31" s="16">
        <v>30000</v>
      </c>
      <c r="L31" s="16">
        <v>30000</v>
      </c>
      <c r="M31" s="16">
        <v>0</v>
      </c>
      <c r="N31" s="16">
        <v>0</v>
      </c>
      <c r="O31" s="16">
        <v>15200</v>
      </c>
      <c r="P31" s="16">
        <v>0</v>
      </c>
      <c r="Q31" s="16">
        <v>24800</v>
      </c>
      <c r="R31" s="16">
        <v>0</v>
      </c>
      <c r="S31" s="50">
        <v>0</v>
      </c>
      <c r="T31" s="72">
        <f t="shared" si="2"/>
        <v>306600</v>
      </c>
    </row>
    <row r="32" spans="1:20">
      <c r="A32" s="1" t="s">
        <v>1</v>
      </c>
      <c r="B32" s="4" t="s">
        <v>87</v>
      </c>
      <c r="C32" s="15">
        <v>2000</v>
      </c>
      <c r="D32" s="16">
        <v>2000</v>
      </c>
      <c r="E32" s="16">
        <v>2000</v>
      </c>
      <c r="F32" s="16">
        <v>2000</v>
      </c>
      <c r="G32" s="16">
        <v>2000</v>
      </c>
      <c r="H32" s="16">
        <v>2000</v>
      </c>
      <c r="I32" s="16">
        <v>2000</v>
      </c>
      <c r="J32" s="16">
        <v>2000</v>
      </c>
      <c r="K32" s="16">
        <v>2000</v>
      </c>
      <c r="L32" s="16">
        <v>2000</v>
      </c>
      <c r="M32" s="16">
        <v>1000</v>
      </c>
      <c r="N32" s="16">
        <v>1000</v>
      </c>
      <c r="O32" s="16">
        <v>2000</v>
      </c>
      <c r="P32" s="16">
        <v>1000</v>
      </c>
      <c r="Q32" s="16">
        <v>2000</v>
      </c>
      <c r="R32" s="16">
        <v>0</v>
      </c>
      <c r="S32" s="50">
        <v>0</v>
      </c>
      <c r="T32" s="72">
        <f t="shared" si="2"/>
        <v>27000</v>
      </c>
    </row>
    <row r="33" spans="1:20">
      <c r="A33" s="1" t="s">
        <v>1</v>
      </c>
      <c r="B33" s="4" t="s">
        <v>88</v>
      </c>
      <c r="C33" s="15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50">
        <v>0</v>
      </c>
      <c r="T33" s="72">
        <f t="shared" si="2"/>
        <v>0</v>
      </c>
    </row>
    <row r="34" spans="1:20">
      <c r="A34" s="1" t="s">
        <v>1</v>
      </c>
      <c r="B34" s="4" t="s">
        <v>89</v>
      </c>
      <c r="C34" s="15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50">
        <v>0</v>
      </c>
      <c r="T34" s="72">
        <f t="shared" si="2"/>
        <v>0</v>
      </c>
    </row>
    <row r="35" spans="1:20">
      <c r="A35" s="1" t="s">
        <v>1</v>
      </c>
      <c r="B35" s="4" t="s">
        <v>90</v>
      </c>
      <c r="C35" s="15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50">
        <v>0</v>
      </c>
      <c r="T35" s="72">
        <f t="shared" si="2"/>
        <v>0</v>
      </c>
    </row>
    <row r="36" spans="1:20">
      <c r="A36" s="1" t="s">
        <v>1</v>
      </c>
      <c r="B36" s="4" t="s">
        <v>91</v>
      </c>
      <c r="C36" s="15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88">
        <v>-32532</v>
      </c>
      <c r="S36" s="89">
        <v>0</v>
      </c>
      <c r="T36" s="90">
        <f t="shared" si="2"/>
        <v>-32532</v>
      </c>
    </row>
    <row r="37" spans="1:20">
      <c r="A37" s="1" t="s">
        <v>1</v>
      </c>
      <c r="B37" s="4" t="s">
        <v>69</v>
      </c>
      <c r="C37" s="15">
        <v>45560</v>
      </c>
      <c r="D37" s="16">
        <v>90560</v>
      </c>
      <c r="E37" s="16">
        <v>15860</v>
      </c>
      <c r="F37" s="16">
        <v>73010</v>
      </c>
      <c r="G37" s="16">
        <v>66838</v>
      </c>
      <c r="H37" s="16">
        <v>92380</v>
      </c>
      <c r="I37" s="16">
        <v>76380</v>
      </c>
      <c r="J37" s="16">
        <v>64320</v>
      </c>
      <c r="K37" s="16">
        <v>64320</v>
      </c>
      <c r="L37" s="16">
        <v>79240</v>
      </c>
      <c r="M37" s="16">
        <v>63984</v>
      </c>
      <c r="N37" s="16">
        <v>50654</v>
      </c>
      <c r="O37" s="16">
        <v>42504</v>
      </c>
      <c r="P37" s="16">
        <v>69120</v>
      </c>
      <c r="Q37" s="16">
        <v>55650</v>
      </c>
      <c r="R37" s="16">
        <v>15276</v>
      </c>
      <c r="S37" s="50">
        <v>64923</v>
      </c>
      <c r="T37" s="72">
        <f t="shared" si="2"/>
        <v>1030579</v>
      </c>
    </row>
    <row r="38" spans="1:20">
      <c r="A38" s="1" t="s">
        <v>1</v>
      </c>
      <c r="B38" s="4" t="s">
        <v>92</v>
      </c>
      <c r="C38" s="15">
        <v>37622</v>
      </c>
      <c r="D38" s="16">
        <v>65704</v>
      </c>
      <c r="E38" s="16">
        <v>0</v>
      </c>
      <c r="F38" s="16">
        <v>56315</v>
      </c>
      <c r="G38" s="16">
        <v>45501</v>
      </c>
      <c r="H38" s="16">
        <v>38616</v>
      </c>
      <c r="I38" s="16">
        <v>37622</v>
      </c>
      <c r="J38" s="16">
        <v>46304</v>
      </c>
      <c r="K38" s="16">
        <v>34728</v>
      </c>
      <c r="L38" s="16">
        <v>36672</v>
      </c>
      <c r="M38" s="16">
        <v>31658</v>
      </c>
      <c r="N38" s="16">
        <v>82023</v>
      </c>
      <c r="O38" s="16">
        <v>41730</v>
      </c>
      <c r="P38" s="16">
        <v>33168</v>
      </c>
      <c r="Q38" s="16">
        <v>24327</v>
      </c>
      <c r="R38" s="16">
        <v>0</v>
      </c>
      <c r="S38" s="50">
        <v>49464</v>
      </c>
      <c r="T38" s="72">
        <f t="shared" si="2"/>
        <v>661454</v>
      </c>
    </row>
    <row r="39" spans="1:20">
      <c r="A39" s="1" t="s">
        <v>1</v>
      </c>
      <c r="B39" s="4" t="s">
        <v>93</v>
      </c>
      <c r="C39" s="15">
        <v>23152</v>
      </c>
      <c r="D39" s="16">
        <v>38200</v>
      </c>
      <c r="E39" s="16">
        <v>32547</v>
      </c>
      <c r="F39" s="16">
        <v>35398</v>
      </c>
      <c r="G39" s="16">
        <v>7845</v>
      </c>
      <c r="H39" s="16">
        <v>19308</v>
      </c>
      <c r="I39" s="16">
        <v>39069</v>
      </c>
      <c r="J39" s="16">
        <v>15917</v>
      </c>
      <c r="K39" s="16">
        <v>24599</v>
      </c>
      <c r="L39" s="16">
        <v>27504</v>
      </c>
      <c r="M39" s="16">
        <v>50365</v>
      </c>
      <c r="N39" s="16">
        <v>76267</v>
      </c>
      <c r="O39" s="16">
        <v>27820</v>
      </c>
      <c r="P39" s="16">
        <v>19348</v>
      </c>
      <c r="Q39" s="16">
        <v>40068</v>
      </c>
      <c r="R39" s="16">
        <v>0</v>
      </c>
      <c r="S39" s="50">
        <v>35724</v>
      </c>
      <c r="T39" s="72">
        <f t="shared" si="2"/>
        <v>513131</v>
      </c>
    </row>
    <row r="40" spans="1:20">
      <c r="A40" s="1" t="s">
        <v>1</v>
      </c>
      <c r="B40" s="4" t="s">
        <v>94</v>
      </c>
      <c r="C40" s="15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11563</v>
      </c>
      <c r="N40" s="16">
        <v>0</v>
      </c>
      <c r="O40" s="16">
        <v>0</v>
      </c>
      <c r="P40" s="16">
        <v>0</v>
      </c>
      <c r="Q40" s="16">
        <v>5936</v>
      </c>
      <c r="R40" s="16">
        <v>3560</v>
      </c>
      <c r="S40" s="50">
        <v>3916</v>
      </c>
      <c r="T40" s="72">
        <f t="shared" si="2"/>
        <v>24975</v>
      </c>
    </row>
    <row r="41" spans="1:20">
      <c r="A41" s="1" t="s">
        <v>1</v>
      </c>
      <c r="B41" s="4" t="s">
        <v>95</v>
      </c>
      <c r="C41" s="15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1119</v>
      </c>
      <c r="O41" s="16">
        <v>0</v>
      </c>
      <c r="P41" s="16">
        <v>0</v>
      </c>
      <c r="Q41" s="16">
        <v>0</v>
      </c>
      <c r="R41" s="16">
        <v>0</v>
      </c>
      <c r="S41" s="50">
        <v>4272</v>
      </c>
      <c r="T41" s="72">
        <f t="shared" si="2"/>
        <v>5391</v>
      </c>
    </row>
    <row r="42" spans="1:20">
      <c r="A42" s="1" t="s">
        <v>1</v>
      </c>
      <c r="B42" s="4" t="s">
        <v>96</v>
      </c>
      <c r="C42" s="15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32532</v>
      </c>
      <c r="S42" s="50">
        <v>0</v>
      </c>
      <c r="T42" s="72">
        <f t="shared" si="2"/>
        <v>32532</v>
      </c>
    </row>
    <row r="43" spans="1:20">
      <c r="A43" s="1" t="s">
        <v>1</v>
      </c>
      <c r="B43" s="4" t="s">
        <v>74</v>
      </c>
      <c r="C43" s="15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50">
        <v>0</v>
      </c>
      <c r="T43" s="72">
        <f t="shared" si="2"/>
        <v>0</v>
      </c>
    </row>
    <row r="44" spans="1:20" ht="19.5" thickBot="1">
      <c r="A44" s="1" t="s">
        <v>1</v>
      </c>
      <c r="B44" s="35" t="s">
        <v>77</v>
      </c>
      <c r="C44" s="36">
        <v>2680</v>
      </c>
      <c r="D44" s="37">
        <v>6509</v>
      </c>
      <c r="E44" s="37">
        <v>0</v>
      </c>
      <c r="F44" s="37">
        <v>5960</v>
      </c>
      <c r="G44" s="37">
        <v>7275</v>
      </c>
      <c r="H44" s="37">
        <v>10430</v>
      </c>
      <c r="I44" s="37">
        <v>1340</v>
      </c>
      <c r="J44" s="37">
        <v>1608</v>
      </c>
      <c r="K44" s="37">
        <v>268</v>
      </c>
      <c r="L44" s="37">
        <v>2547</v>
      </c>
      <c r="M44" s="37">
        <v>4272</v>
      </c>
      <c r="N44" s="37">
        <v>12015</v>
      </c>
      <c r="O44" s="37">
        <v>1548</v>
      </c>
      <c r="P44" s="37">
        <v>6144</v>
      </c>
      <c r="Q44" s="37">
        <v>8215</v>
      </c>
      <c r="R44" s="37">
        <v>255</v>
      </c>
      <c r="S44" s="51">
        <v>10710</v>
      </c>
      <c r="T44" s="73">
        <f t="shared" si="2"/>
        <v>81776</v>
      </c>
    </row>
    <row r="45" spans="1:20" ht="19.5" thickBot="1">
      <c r="A45" s="1" t="s">
        <v>1</v>
      </c>
      <c r="B45" s="39" t="s">
        <v>97</v>
      </c>
      <c r="C45" s="40">
        <v>317614</v>
      </c>
      <c r="D45" s="41">
        <v>394173</v>
      </c>
      <c r="E45" s="41">
        <v>388684</v>
      </c>
      <c r="F45" s="41">
        <v>398083</v>
      </c>
      <c r="G45" s="41">
        <v>350659</v>
      </c>
      <c r="H45" s="41">
        <v>388734</v>
      </c>
      <c r="I45" s="41">
        <v>363411</v>
      </c>
      <c r="J45" s="41">
        <v>334549</v>
      </c>
      <c r="K45" s="41">
        <v>332915</v>
      </c>
      <c r="L45" s="41">
        <v>374075</v>
      </c>
      <c r="M45" s="41">
        <v>339842</v>
      </c>
      <c r="N45" s="41">
        <v>400078</v>
      </c>
      <c r="O45" s="41">
        <v>300802</v>
      </c>
      <c r="P45" s="41">
        <v>298780</v>
      </c>
      <c r="Q45" s="41">
        <v>335996</v>
      </c>
      <c r="R45" s="41">
        <v>189091</v>
      </c>
      <c r="S45" s="52">
        <v>339009</v>
      </c>
      <c r="T45" s="74">
        <f t="shared" si="2"/>
        <v>5846495</v>
      </c>
    </row>
    <row r="46" spans="1:20" ht="19.5" thickBot="1">
      <c r="A46" s="1" t="s">
        <v>1</v>
      </c>
      <c r="B46" s="21" t="s">
        <v>98</v>
      </c>
      <c r="C46" s="29">
        <v>13432</v>
      </c>
      <c r="D46" s="30">
        <v>3358</v>
      </c>
      <c r="E46" s="30">
        <v>5347</v>
      </c>
      <c r="F46" s="30">
        <v>2971</v>
      </c>
      <c r="G46" s="30">
        <v>13665</v>
      </c>
      <c r="H46" s="30">
        <v>2170</v>
      </c>
      <c r="I46" s="30">
        <v>2584</v>
      </c>
      <c r="J46" s="30">
        <v>1292</v>
      </c>
      <c r="K46" s="30">
        <v>3229</v>
      </c>
      <c r="L46" s="30">
        <v>4960</v>
      </c>
      <c r="M46" s="30">
        <v>6458</v>
      </c>
      <c r="N46" s="30">
        <v>4883</v>
      </c>
      <c r="O46" s="30">
        <v>7440</v>
      </c>
      <c r="P46" s="30">
        <v>5425</v>
      </c>
      <c r="Q46" s="30">
        <v>10979</v>
      </c>
      <c r="R46" s="30">
        <v>7440</v>
      </c>
      <c r="S46" s="49">
        <v>7750</v>
      </c>
      <c r="T46" s="71">
        <f t="shared" si="2"/>
        <v>103383</v>
      </c>
    </row>
    <row r="47" spans="1:20" ht="19.5" thickBot="1">
      <c r="A47" s="1" t="s">
        <v>1</v>
      </c>
      <c r="B47" s="39" t="s">
        <v>99</v>
      </c>
      <c r="C47" s="40">
        <v>13432</v>
      </c>
      <c r="D47" s="41">
        <v>3358</v>
      </c>
      <c r="E47" s="41">
        <v>5347</v>
      </c>
      <c r="F47" s="41">
        <v>2971</v>
      </c>
      <c r="G47" s="41">
        <v>13665</v>
      </c>
      <c r="H47" s="41">
        <v>2170</v>
      </c>
      <c r="I47" s="41">
        <v>2584</v>
      </c>
      <c r="J47" s="41">
        <v>1292</v>
      </c>
      <c r="K47" s="41">
        <v>3229</v>
      </c>
      <c r="L47" s="41">
        <v>4960</v>
      </c>
      <c r="M47" s="41">
        <v>6458</v>
      </c>
      <c r="N47" s="41">
        <v>4883</v>
      </c>
      <c r="O47" s="41">
        <v>7440</v>
      </c>
      <c r="P47" s="41">
        <v>5425</v>
      </c>
      <c r="Q47" s="41">
        <v>10979</v>
      </c>
      <c r="R47" s="41">
        <v>7440</v>
      </c>
      <c r="S47" s="52">
        <v>7750</v>
      </c>
      <c r="T47" s="74">
        <f t="shared" si="2"/>
        <v>103383</v>
      </c>
    </row>
    <row r="48" spans="1:20" ht="19.5" thickBot="1">
      <c r="A48" s="1" t="s">
        <v>1</v>
      </c>
      <c r="B48" s="39" t="s">
        <v>100</v>
      </c>
      <c r="C48" s="40">
        <v>331046</v>
      </c>
      <c r="D48" s="41">
        <v>397531</v>
      </c>
      <c r="E48" s="41">
        <v>394031</v>
      </c>
      <c r="F48" s="41">
        <v>401054</v>
      </c>
      <c r="G48" s="41">
        <v>364324</v>
      </c>
      <c r="H48" s="41">
        <v>390904</v>
      </c>
      <c r="I48" s="41">
        <v>365995</v>
      </c>
      <c r="J48" s="41">
        <v>335841</v>
      </c>
      <c r="K48" s="41">
        <v>336144</v>
      </c>
      <c r="L48" s="41">
        <v>379035</v>
      </c>
      <c r="M48" s="41">
        <v>346300</v>
      </c>
      <c r="N48" s="41">
        <v>404961</v>
      </c>
      <c r="O48" s="41">
        <v>308242</v>
      </c>
      <c r="P48" s="41">
        <v>304205</v>
      </c>
      <c r="Q48" s="41">
        <v>346975</v>
      </c>
      <c r="R48" s="41">
        <v>196531</v>
      </c>
      <c r="S48" s="52">
        <v>346759</v>
      </c>
      <c r="T48" s="74">
        <f t="shared" si="2"/>
        <v>5949878</v>
      </c>
    </row>
    <row r="49" spans="1:20">
      <c r="A49" s="1" t="s">
        <v>1</v>
      </c>
      <c r="B49" s="21" t="s">
        <v>101</v>
      </c>
      <c r="C49" s="29">
        <v>16320</v>
      </c>
      <c r="D49" s="30">
        <v>19380</v>
      </c>
      <c r="E49" s="30">
        <v>19380</v>
      </c>
      <c r="F49" s="30">
        <v>18360</v>
      </c>
      <c r="G49" s="30">
        <v>16320</v>
      </c>
      <c r="H49" s="30">
        <v>19380</v>
      </c>
      <c r="I49" s="30">
        <v>17340</v>
      </c>
      <c r="J49" s="30">
        <v>16320</v>
      </c>
      <c r="K49" s="30">
        <v>16320</v>
      </c>
      <c r="L49" s="30">
        <v>18360</v>
      </c>
      <c r="M49" s="30">
        <v>15300</v>
      </c>
      <c r="N49" s="30">
        <v>17340</v>
      </c>
      <c r="O49" s="30">
        <v>15300</v>
      </c>
      <c r="P49" s="30">
        <v>17340</v>
      </c>
      <c r="Q49" s="30">
        <v>14280</v>
      </c>
      <c r="R49" s="30">
        <v>13260</v>
      </c>
      <c r="S49" s="49">
        <v>13260</v>
      </c>
      <c r="T49" s="71">
        <f t="shared" si="2"/>
        <v>283560</v>
      </c>
    </row>
    <row r="50" spans="1:20">
      <c r="A50" s="1" t="s">
        <v>1</v>
      </c>
      <c r="B50" s="4" t="s">
        <v>102</v>
      </c>
      <c r="C50" s="15">
        <v>2880</v>
      </c>
      <c r="D50" s="16">
        <v>3420</v>
      </c>
      <c r="E50" s="16">
        <v>3420</v>
      </c>
      <c r="F50" s="16">
        <v>3240</v>
      </c>
      <c r="G50" s="16">
        <v>2880</v>
      </c>
      <c r="H50" s="16">
        <v>3420</v>
      </c>
      <c r="I50" s="16">
        <v>3060</v>
      </c>
      <c r="J50" s="16">
        <v>2880</v>
      </c>
      <c r="K50" s="16">
        <v>2880</v>
      </c>
      <c r="L50" s="16">
        <v>3240</v>
      </c>
      <c r="M50" s="16">
        <v>2700</v>
      </c>
      <c r="N50" s="16">
        <v>3060</v>
      </c>
      <c r="O50" s="16">
        <v>2700</v>
      </c>
      <c r="P50" s="16">
        <v>3060</v>
      </c>
      <c r="Q50" s="16">
        <v>2520</v>
      </c>
      <c r="R50" s="16">
        <v>0</v>
      </c>
      <c r="S50" s="50">
        <v>2340</v>
      </c>
      <c r="T50" s="72">
        <f t="shared" si="2"/>
        <v>47700</v>
      </c>
    </row>
    <row r="51" spans="1:20">
      <c r="A51" s="1" t="s">
        <v>1</v>
      </c>
      <c r="B51" s="4" t="s">
        <v>103</v>
      </c>
      <c r="C51" s="15">
        <v>29280</v>
      </c>
      <c r="D51" s="16">
        <v>34770</v>
      </c>
      <c r="E51" s="16">
        <v>34770</v>
      </c>
      <c r="F51" s="16">
        <v>32940</v>
      </c>
      <c r="G51" s="16">
        <v>29280</v>
      </c>
      <c r="H51" s="16">
        <v>34770</v>
      </c>
      <c r="I51" s="16">
        <v>31110</v>
      </c>
      <c r="J51" s="16">
        <v>29280</v>
      </c>
      <c r="K51" s="16">
        <v>29280</v>
      </c>
      <c r="L51" s="16">
        <v>32940</v>
      </c>
      <c r="M51" s="16">
        <v>27450</v>
      </c>
      <c r="N51" s="16">
        <v>31110</v>
      </c>
      <c r="O51" s="16">
        <v>27450</v>
      </c>
      <c r="P51" s="16">
        <v>31110</v>
      </c>
      <c r="Q51" s="16">
        <v>25620</v>
      </c>
      <c r="R51" s="16">
        <v>23790</v>
      </c>
      <c r="S51" s="50">
        <v>23790</v>
      </c>
      <c r="T51" s="72">
        <f t="shared" si="2"/>
        <v>508740</v>
      </c>
    </row>
    <row r="52" spans="1:20" ht="19.5" thickBot="1">
      <c r="A52" s="1" t="s">
        <v>1</v>
      </c>
      <c r="B52" s="4" t="s">
        <v>104</v>
      </c>
      <c r="C52" s="15">
        <v>1655</v>
      </c>
      <c r="D52" s="16">
        <v>1988</v>
      </c>
      <c r="E52" s="16">
        <v>1970</v>
      </c>
      <c r="F52" s="16">
        <v>2005</v>
      </c>
      <c r="G52" s="16">
        <v>1822</v>
      </c>
      <c r="H52" s="16">
        <v>1955</v>
      </c>
      <c r="I52" s="16">
        <v>1830</v>
      </c>
      <c r="J52" s="16">
        <v>1679</v>
      </c>
      <c r="K52" s="16">
        <v>1681</v>
      </c>
      <c r="L52" s="16">
        <v>1895</v>
      </c>
      <c r="M52" s="16">
        <v>1731</v>
      </c>
      <c r="N52" s="16">
        <v>2025</v>
      </c>
      <c r="O52" s="16">
        <v>1541</v>
      </c>
      <c r="P52" s="16">
        <v>1521</v>
      </c>
      <c r="Q52" s="16">
        <v>1735</v>
      </c>
      <c r="R52" s="16">
        <v>983</v>
      </c>
      <c r="S52" s="50">
        <v>1734</v>
      </c>
      <c r="T52" s="72">
        <f t="shared" si="2"/>
        <v>29750</v>
      </c>
    </row>
    <row r="53" spans="1:20" ht="19.5" thickBot="1">
      <c r="A53" s="1" t="s">
        <v>1</v>
      </c>
      <c r="B53" s="39" t="s">
        <v>105</v>
      </c>
      <c r="C53" s="40">
        <v>50135</v>
      </c>
      <c r="D53" s="41">
        <v>59558</v>
      </c>
      <c r="E53" s="41">
        <v>59540</v>
      </c>
      <c r="F53" s="41">
        <v>56545</v>
      </c>
      <c r="G53" s="41">
        <v>50302</v>
      </c>
      <c r="H53" s="41">
        <v>59525</v>
      </c>
      <c r="I53" s="41">
        <v>53340</v>
      </c>
      <c r="J53" s="41">
        <v>50159</v>
      </c>
      <c r="K53" s="41">
        <v>50161</v>
      </c>
      <c r="L53" s="41">
        <v>56435</v>
      </c>
      <c r="M53" s="41">
        <v>47181</v>
      </c>
      <c r="N53" s="41">
        <v>53535</v>
      </c>
      <c r="O53" s="41">
        <v>46991</v>
      </c>
      <c r="P53" s="41">
        <v>53031</v>
      </c>
      <c r="Q53" s="41">
        <v>44155</v>
      </c>
      <c r="R53" s="41">
        <v>38033</v>
      </c>
      <c r="S53" s="52">
        <v>41124</v>
      </c>
      <c r="T53" s="74">
        <f t="shared" si="2"/>
        <v>869750</v>
      </c>
    </row>
    <row r="54" spans="1:20">
      <c r="A54" s="1" t="s">
        <v>1</v>
      </c>
      <c r="B54" s="21" t="s">
        <v>106</v>
      </c>
      <c r="C54" s="29">
        <v>5560</v>
      </c>
      <c r="D54" s="30">
        <v>11210</v>
      </c>
      <c r="E54" s="30">
        <v>7910</v>
      </c>
      <c r="F54" s="30">
        <v>11770</v>
      </c>
      <c r="G54" s="30">
        <v>6740</v>
      </c>
      <c r="H54" s="30">
        <v>10770</v>
      </c>
      <c r="I54" s="30">
        <v>9200</v>
      </c>
      <c r="J54" s="30">
        <v>6160</v>
      </c>
      <c r="K54" s="30">
        <v>7720</v>
      </c>
      <c r="L54" s="30">
        <v>9820</v>
      </c>
      <c r="M54" s="30">
        <v>8080</v>
      </c>
      <c r="N54" s="30">
        <v>12180</v>
      </c>
      <c r="O54" s="30">
        <v>6690</v>
      </c>
      <c r="P54" s="30">
        <v>1550</v>
      </c>
      <c r="Q54" s="30">
        <v>8050</v>
      </c>
      <c r="R54" s="30">
        <v>3020</v>
      </c>
      <c r="S54" s="49">
        <v>8260</v>
      </c>
      <c r="T54" s="71">
        <f t="shared" si="2"/>
        <v>134690</v>
      </c>
    </row>
    <row r="55" spans="1:20">
      <c r="A55" s="1" t="s">
        <v>1</v>
      </c>
      <c r="B55" s="4" t="s">
        <v>107</v>
      </c>
      <c r="C55" s="15">
        <v>1300</v>
      </c>
      <c r="D55" s="16">
        <v>1300</v>
      </c>
      <c r="E55" s="16">
        <v>1300</v>
      </c>
      <c r="F55" s="16">
        <v>0</v>
      </c>
      <c r="G55" s="16">
        <v>1300</v>
      </c>
      <c r="H55" s="16">
        <v>1300</v>
      </c>
      <c r="I55" s="16">
        <v>1300</v>
      </c>
      <c r="J55" s="16">
        <v>1300</v>
      </c>
      <c r="K55" s="16">
        <v>1300</v>
      </c>
      <c r="L55" s="16">
        <v>1300</v>
      </c>
      <c r="M55" s="16">
        <v>0</v>
      </c>
      <c r="N55" s="16">
        <v>0</v>
      </c>
      <c r="O55" s="16">
        <v>1300</v>
      </c>
      <c r="P55" s="16">
        <v>1300</v>
      </c>
      <c r="Q55" s="16">
        <v>1300</v>
      </c>
      <c r="R55" s="16">
        <v>0</v>
      </c>
      <c r="S55" s="50">
        <v>0</v>
      </c>
      <c r="T55" s="72">
        <f t="shared" si="2"/>
        <v>15600</v>
      </c>
    </row>
    <row r="56" spans="1:20">
      <c r="A56" s="1" t="s">
        <v>1</v>
      </c>
      <c r="B56" s="4" t="s">
        <v>108</v>
      </c>
      <c r="C56" s="15">
        <v>9900</v>
      </c>
      <c r="D56" s="16">
        <v>16100</v>
      </c>
      <c r="E56" s="16">
        <v>15700</v>
      </c>
      <c r="F56" s="16">
        <v>18800</v>
      </c>
      <c r="G56" s="16">
        <v>12100</v>
      </c>
      <c r="H56" s="16">
        <v>18500</v>
      </c>
      <c r="I56" s="16">
        <v>14500</v>
      </c>
      <c r="J56" s="16">
        <v>9300</v>
      </c>
      <c r="K56" s="16">
        <v>13400</v>
      </c>
      <c r="L56" s="16">
        <v>13900</v>
      </c>
      <c r="M56" s="16">
        <v>10400</v>
      </c>
      <c r="N56" s="16">
        <v>24600</v>
      </c>
      <c r="O56" s="16">
        <v>12200</v>
      </c>
      <c r="P56" s="16">
        <v>6700</v>
      </c>
      <c r="Q56" s="16">
        <v>0</v>
      </c>
      <c r="R56" s="16">
        <v>0</v>
      </c>
      <c r="S56" s="50">
        <v>0</v>
      </c>
      <c r="T56" s="72">
        <f t="shared" si="2"/>
        <v>196100</v>
      </c>
    </row>
    <row r="57" spans="1:20" ht="19.5" thickBot="1">
      <c r="A57" s="1" t="s">
        <v>1</v>
      </c>
      <c r="B57" s="4" t="s">
        <v>109</v>
      </c>
      <c r="C57" s="15">
        <v>29600</v>
      </c>
      <c r="D57" s="16">
        <v>4200</v>
      </c>
      <c r="E57" s="16">
        <v>28800</v>
      </c>
      <c r="F57" s="16">
        <v>28400</v>
      </c>
      <c r="G57" s="16">
        <v>29200</v>
      </c>
      <c r="H57" s="16">
        <v>29000</v>
      </c>
      <c r="I57" s="16">
        <v>30000</v>
      </c>
      <c r="J57" s="16">
        <v>27400</v>
      </c>
      <c r="K57" s="16">
        <v>30000</v>
      </c>
      <c r="L57" s="16">
        <v>30000</v>
      </c>
      <c r="M57" s="16">
        <v>0</v>
      </c>
      <c r="N57" s="16">
        <v>0</v>
      </c>
      <c r="O57" s="16">
        <v>15200</v>
      </c>
      <c r="P57" s="16">
        <v>0</v>
      </c>
      <c r="Q57" s="16">
        <v>24800</v>
      </c>
      <c r="R57" s="16">
        <v>0</v>
      </c>
      <c r="S57" s="50">
        <v>0</v>
      </c>
      <c r="T57" s="72">
        <f t="shared" si="2"/>
        <v>306600</v>
      </c>
    </row>
    <row r="58" spans="1:20" ht="19.5" thickBot="1">
      <c r="A58" s="1" t="s">
        <v>1</v>
      </c>
      <c r="B58" s="39" t="s">
        <v>110</v>
      </c>
      <c r="C58" s="40">
        <v>96495</v>
      </c>
      <c r="D58" s="41">
        <v>92368</v>
      </c>
      <c r="E58" s="41">
        <v>113250</v>
      </c>
      <c r="F58" s="41">
        <v>115515</v>
      </c>
      <c r="G58" s="41">
        <v>99642</v>
      </c>
      <c r="H58" s="41">
        <v>119095</v>
      </c>
      <c r="I58" s="41">
        <v>108340</v>
      </c>
      <c r="J58" s="41">
        <v>94319</v>
      </c>
      <c r="K58" s="41">
        <v>102581</v>
      </c>
      <c r="L58" s="41">
        <v>111455</v>
      </c>
      <c r="M58" s="41">
        <v>65661</v>
      </c>
      <c r="N58" s="41">
        <v>90315</v>
      </c>
      <c r="O58" s="41">
        <v>82381</v>
      </c>
      <c r="P58" s="41">
        <v>62581</v>
      </c>
      <c r="Q58" s="41">
        <v>78305</v>
      </c>
      <c r="R58" s="41">
        <v>41053</v>
      </c>
      <c r="S58" s="52">
        <v>49384</v>
      </c>
      <c r="T58" s="74">
        <f t="shared" si="2"/>
        <v>1522740</v>
      </c>
    </row>
    <row r="59" spans="1:20" ht="19.5" thickBot="1">
      <c r="A59" s="1" t="s">
        <v>1</v>
      </c>
      <c r="B59" s="39" t="s">
        <v>111</v>
      </c>
      <c r="C59" s="40">
        <v>267479</v>
      </c>
      <c r="D59" s="41">
        <v>334615</v>
      </c>
      <c r="E59" s="41">
        <v>329144</v>
      </c>
      <c r="F59" s="41">
        <v>341538</v>
      </c>
      <c r="G59" s="41">
        <v>300357</v>
      </c>
      <c r="H59" s="41">
        <v>329209</v>
      </c>
      <c r="I59" s="41">
        <v>310071</v>
      </c>
      <c r="J59" s="41">
        <v>284390</v>
      </c>
      <c r="K59" s="41">
        <v>282754</v>
      </c>
      <c r="L59" s="41">
        <v>317640</v>
      </c>
      <c r="M59" s="41">
        <v>292661</v>
      </c>
      <c r="N59" s="41">
        <v>346543</v>
      </c>
      <c r="O59" s="41">
        <v>253811</v>
      </c>
      <c r="P59" s="41">
        <v>245749</v>
      </c>
      <c r="Q59" s="41">
        <v>291841</v>
      </c>
      <c r="R59" s="41">
        <v>151058</v>
      </c>
      <c r="S59" s="52">
        <v>297885</v>
      </c>
      <c r="T59" s="74">
        <f t="shared" si="2"/>
        <v>4976745</v>
      </c>
    </row>
    <row r="60" spans="1:20" ht="19.5" thickBot="1">
      <c r="A60" s="1" t="s">
        <v>1</v>
      </c>
      <c r="B60" s="39" t="s">
        <v>112</v>
      </c>
      <c r="C60" s="40">
        <v>234551</v>
      </c>
      <c r="D60" s="41">
        <v>305163</v>
      </c>
      <c r="E60" s="41">
        <v>280781</v>
      </c>
      <c r="F60" s="41">
        <v>285539</v>
      </c>
      <c r="G60" s="41">
        <v>264682</v>
      </c>
      <c r="H60" s="41">
        <v>271809</v>
      </c>
      <c r="I60" s="41">
        <v>257655</v>
      </c>
      <c r="J60" s="41">
        <v>241522</v>
      </c>
      <c r="K60" s="41">
        <v>233563</v>
      </c>
      <c r="L60" s="41">
        <v>267580</v>
      </c>
      <c r="M60" s="41">
        <v>280639</v>
      </c>
      <c r="N60" s="41">
        <v>314646</v>
      </c>
      <c r="O60" s="41">
        <v>225861</v>
      </c>
      <c r="P60" s="41">
        <v>241624</v>
      </c>
      <c r="Q60" s="41">
        <v>268670</v>
      </c>
      <c r="R60" s="41">
        <v>155478</v>
      </c>
      <c r="S60" s="52">
        <v>297375</v>
      </c>
      <c r="T60" s="74">
        <f t="shared" si="2"/>
        <v>4427138</v>
      </c>
    </row>
    <row r="61" spans="1:20">
      <c r="A61" s="1" t="s">
        <v>1</v>
      </c>
      <c r="B61" s="21" t="s">
        <v>113</v>
      </c>
      <c r="C61" s="29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49">
        <v>0</v>
      </c>
      <c r="T61" s="71">
        <f t="shared" si="2"/>
        <v>0</v>
      </c>
    </row>
    <row r="62" spans="1:20">
      <c r="A62" s="1" t="s">
        <v>1</v>
      </c>
      <c r="B62" s="4" t="s">
        <v>114</v>
      </c>
      <c r="C62" s="15">
        <v>234551</v>
      </c>
      <c r="D62" s="16">
        <v>305163</v>
      </c>
      <c r="E62" s="16">
        <v>280781</v>
      </c>
      <c r="F62" s="16">
        <v>285539</v>
      </c>
      <c r="G62" s="16">
        <v>264682</v>
      </c>
      <c r="H62" s="16">
        <v>271809</v>
      </c>
      <c r="I62" s="16">
        <v>257655</v>
      </c>
      <c r="J62" s="16">
        <v>241522</v>
      </c>
      <c r="K62" s="16">
        <v>233563</v>
      </c>
      <c r="L62" s="16">
        <v>267580</v>
      </c>
      <c r="M62" s="16">
        <v>280639</v>
      </c>
      <c r="N62" s="16">
        <v>314646</v>
      </c>
      <c r="O62" s="16">
        <v>225861</v>
      </c>
      <c r="P62" s="16">
        <v>241624</v>
      </c>
      <c r="Q62" s="16">
        <v>268670</v>
      </c>
      <c r="R62" s="16">
        <v>155478</v>
      </c>
      <c r="S62" s="50">
        <v>297375</v>
      </c>
      <c r="T62" s="72">
        <f t="shared" si="2"/>
        <v>4427138</v>
      </c>
    </row>
    <row r="63" spans="1:20">
      <c r="A63" s="1" t="s">
        <v>1</v>
      </c>
      <c r="B63" s="4" t="s">
        <v>115</v>
      </c>
      <c r="C63" s="15">
        <v>1</v>
      </c>
      <c r="D63" s="16">
        <v>0</v>
      </c>
      <c r="E63" s="16">
        <v>1</v>
      </c>
      <c r="F63" s="16">
        <v>0</v>
      </c>
      <c r="G63" s="16">
        <v>1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3</v>
      </c>
      <c r="Q63" s="16">
        <v>0</v>
      </c>
      <c r="R63" s="16">
        <v>0</v>
      </c>
      <c r="S63" s="50">
        <v>0</v>
      </c>
      <c r="T63" s="72"/>
    </row>
    <row r="64" spans="1:20" ht="19.5" thickBot="1">
      <c r="A64" s="1" t="s">
        <v>1</v>
      </c>
      <c r="B64" s="5" t="s">
        <v>116</v>
      </c>
      <c r="C64" s="18" t="s">
        <v>117</v>
      </c>
      <c r="D64" s="19" t="s">
        <v>117</v>
      </c>
      <c r="E64" s="19" t="s">
        <v>117</v>
      </c>
      <c r="F64" s="19" t="s">
        <v>117</v>
      </c>
      <c r="G64" s="19" t="s">
        <v>117</v>
      </c>
      <c r="H64" s="19" t="s">
        <v>117</v>
      </c>
      <c r="I64" s="19" t="s">
        <v>117</v>
      </c>
      <c r="J64" s="19" t="s">
        <v>117</v>
      </c>
      <c r="K64" s="19" t="s">
        <v>117</v>
      </c>
      <c r="L64" s="19" t="s">
        <v>117</v>
      </c>
      <c r="M64" s="19" t="s">
        <v>117</v>
      </c>
      <c r="N64" s="19" t="s">
        <v>117</v>
      </c>
      <c r="O64" s="19" t="s">
        <v>117</v>
      </c>
      <c r="P64" s="19" t="s">
        <v>117</v>
      </c>
      <c r="Q64" s="19" t="s">
        <v>117</v>
      </c>
      <c r="R64" s="19" t="s">
        <v>117</v>
      </c>
      <c r="S64" s="53" t="s">
        <v>117</v>
      </c>
      <c r="T64" s="75"/>
    </row>
  </sheetData>
  <phoneticPr fontId="3"/>
  <pageMargins left="0.11811023622047245" right="0.11811023622047245" top="0.15748031496062992" bottom="0.19685039370078741" header="0.31496062992125984" footer="0.31496062992125984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2022年10月度給与 (3)</vt:lpstr>
      <vt:lpstr>2022年10月度給与 (4)</vt:lpstr>
      <vt:lpstr>'2022年10月度給与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2022-11-11T00:56:34Z</cp:lastPrinted>
  <dcterms:created xsi:type="dcterms:W3CDTF">2022-11-08T01:48:17Z</dcterms:created>
  <dcterms:modified xsi:type="dcterms:W3CDTF">2022-12-10T02:34:54Z</dcterms:modified>
</cp:coreProperties>
</file>