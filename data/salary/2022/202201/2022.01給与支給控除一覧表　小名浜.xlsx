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ACC5EC20-32E5-4625-95A6-0CD4D523006C}" xr6:coauthVersionLast="47" xr6:coauthVersionMax="47" xr10:uidLastSave="{00000000-0000-0000-0000-000000000000}"/>
  <bookViews>
    <workbookView xWindow="-120" yWindow="-120" windowWidth="20730" windowHeight="11160" xr2:uid="{99928C8E-0E9A-4E3D-85DD-887291C54627}"/>
  </bookViews>
  <sheets>
    <sheet name="2022年 1月度給与 (2)" sheetId="3" r:id="rId1"/>
    <sheet name="2022年 1月度給与 (3)" sheetId="4" r:id="rId2"/>
    <sheet name="2022年 1月度給与 (4)" sheetId="5" r:id="rId3"/>
  </sheets>
  <definedNames>
    <definedName name="_xlnm.Print_Area" localSheetId="1">'2022年 1月度給与 (3)'!$A$1:$O$63</definedName>
    <definedName name="_xlnm.Print_Area" localSheetId="2">'2022年 1月度給与 (4)'!$A$1:$T$63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1" i="5" l="1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19" i="5"/>
  <c r="T18" i="5"/>
  <c r="T17" i="5"/>
  <c r="T16" i="5"/>
  <c r="T15" i="5"/>
  <c r="T13" i="5"/>
  <c r="T12" i="5"/>
  <c r="T11" i="5"/>
  <c r="T10" i="5"/>
  <c r="T9" i="5"/>
  <c r="T8" i="5"/>
  <c r="T7" i="5"/>
  <c r="T6" i="5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L20" i="4"/>
  <c r="L16" i="4"/>
  <c r="L15" i="4"/>
  <c r="L14" i="4"/>
  <c r="L10" i="4"/>
  <c r="L7" i="4"/>
  <c r="N6" i="4"/>
  <c r="L6" i="4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10" i="3"/>
  <c r="AG9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31" i="3"/>
  <c r="AF30" i="3"/>
  <c r="AF29" i="3"/>
  <c r="AF9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31" i="3"/>
  <c r="AD30" i="3"/>
  <c r="AD29" i="3"/>
  <c r="AD26" i="3"/>
  <c r="AD20" i="3"/>
  <c r="AD19" i="3"/>
  <c r="AD17" i="3"/>
  <c r="AD13" i="3"/>
  <c r="AD10" i="3"/>
  <c r="AD9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AG52" i="3" s="1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31" i="3"/>
  <c r="T30" i="3"/>
  <c r="T29" i="3"/>
  <c r="T20" i="3"/>
  <c r="T21" i="3"/>
  <c r="T22" i="3"/>
  <c r="T23" i="3"/>
  <c r="T19" i="3"/>
  <c r="T16" i="3"/>
  <c r="T14" i="3"/>
  <c r="T15" i="3"/>
  <c r="T13" i="3"/>
  <c r="T10" i="3"/>
  <c r="T11" i="3"/>
  <c r="T12" i="3"/>
  <c r="T9" i="3"/>
</calcChain>
</file>

<file path=xl/sharedStrings.xml><?xml version="1.0" encoding="utf-8"?>
<sst xmlns="http://schemas.openxmlformats.org/spreadsheetml/2006/main" count="580" uniqueCount="142">
  <si>
    <t>支給控除一覧表</t>
    <phoneticPr fontId="4"/>
  </si>
  <si>
    <t>若林運送株式会社</t>
    <phoneticPr fontId="4"/>
  </si>
  <si>
    <t>2022年 2月 9日 作成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</si>
  <si>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</si>
  <si>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</si>
  <si>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</si>
  <si>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</si>
  <si>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</si>
  <si>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</si>
  <si>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</si>
  <si>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</si>
  <si>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</si>
  <si>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</si>
  <si>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</si>
  <si>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</si>
  <si>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</si>
  <si>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</si>
  <si>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</si>
  <si>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</si>
  <si>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</si>
  <si>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</si>
  <si>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</si>
  <si>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</si>
  <si>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</si>
  <si>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</si>
  <si>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</si>
  <si>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</si>
  <si>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</si>
  <si>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</si>
  <si>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</si>
  <si>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</si>
  <si>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</si>
  <si>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</si>
  <si>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</si>
  <si>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</si>
  <si>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</si>
  <si>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</si>
  <si>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</si>
  <si>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</si>
  <si>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</si>
  <si>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</si>
  <si>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</si>
  <si>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</si>
  <si>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</si>
  <si>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</si>
  <si>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</si>
  <si>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</si>
  <si>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</si>
  <si>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</si>
  <si>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</si>
  <si>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</si>
  <si>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</si>
  <si>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</si>
  <si>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</si>
  <si>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</si>
  <si>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</si>
  <si>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</si>
  <si>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</si>
  <si>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</si>
  <si>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</si>
  <si>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</si>
  <si>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</si>
  <si>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</si>
  <si>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</si>
  <si>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</si>
  <si>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</si>
  <si>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</si>
  <si>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</si>
  <si>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</si>
  <si>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</si>
  <si>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</si>
  <si>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</si>
  <si>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</si>
  <si>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</si>
  <si>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</si>
  <si>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</si>
  <si>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</si>
  <si>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</si>
  <si>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</si>
  <si>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</si>
  <si>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</si>
  <si>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</si>
  <si>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</si>
  <si>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</si>
  <si>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</si>
  <si>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</si>
  <si>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</si>
  <si>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</si>
  <si>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</si>
  <si>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</si>
  <si>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</si>
  <si>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</si>
  <si>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</si>
  <si>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</si>
  <si>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</si>
  <si>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</si>
  <si>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</si>
  <si>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</si>
  <si>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</si>
  <si>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</si>
  <si>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</si>
  <si>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</si>
  <si>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</si>
  <si>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</si>
  <si>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</si>
  <si>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</si>
  <si>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</si>
  <si>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</si>
  <si>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</si>
  <si>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</si>
  <si>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</si>
  <si>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</si>
  <si>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</si>
  <si>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</si>
  <si>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</si>
  <si>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</si>
  <si>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</si>
  <si>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</si>
  <si>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</si>
  <si>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</si>
  <si>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</si>
  <si>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</si>
  <si>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</si>
  <si>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</si>
  <si>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</si>
  <si>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</si>
  <si>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</si>
  <si>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</si>
  <si>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</si>
  <si>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</si>
  <si>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</si>
  <si>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</si>
  <si>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</si>
  <si>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</si>
  <si>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</si>
  <si>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</si>
  <si>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1月度給与</t>
    <phoneticPr fontId="4"/>
  </si>
  <si>
    <t>小計</t>
    <rPh sb="0" eb="2">
      <t>ショウケイ</t>
    </rPh>
    <phoneticPr fontId="3"/>
  </si>
  <si>
    <t>１７名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</si>
  <si>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</si>
  <si>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</si>
  <si>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２７名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</si>
</sst>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8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26" xfId="1" applyNumberFormat="1" applyFont="1" applyBorder="1"/>
    <xf numFmtId="49" fontId="2" fillId="0" borderId="40" xfId="1" applyNumberFormat="1" applyFont="1" applyBorder="1"/>
    <xf numFmtId="2" fontId="2" fillId="0" borderId="42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49" fontId="2" fillId="0" borderId="45" xfId="1" applyNumberFormat="1" applyFont="1" applyBorder="1"/>
    <xf numFmtId="0" fontId="2" fillId="0" borderId="39" xfId="1" applyFont="1" applyBorder="1"/>
    <xf numFmtId="0" fontId="2" fillId="0" borderId="40" xfId="1" applyFont="1" applyBorder="1" applyAlignment="1">
      <alignment horizontal="right"/>
    </xf>
    <xf numFmtId="0" fontId="2" fillId="0" borderId="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49" fontId="2" fillId="0" borderId="15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left"/>
    </xf>
    <xf numFmtId="49" fontId="2" fillId="0" borderId="19" xfId="1" applyNumberFormat="1" applyFont="1" applyBorder="1" applyAlignment="1">
      <alignment horizontal="left"/>
    </xf>
    <xf numFmtId="49" fontId="2" fillId="0" borderId="23" xfId="1" applyNumberFormat="1" applyFont="1" applyBorder="1" applyAlignment="1">
      <alignment horizontal="left"/>
    </xf>
    <xf numFmtId="0" fontId="2" fillId="0" borderId="50" xfId="1" applyFont="1" applyBorder="1"/>
    <xf numFmtId="177" fontId="2" fillId="0" borderId="8" xfId="1" applyNumberFormat="1" applyFont="1" applyBorder="1"/>
    <xf numFmtId="177" fontId="2" fillId="0" borderId="9" xfId="1" applyNumberFormat="1" applyFont="1" applyBorder="1"/>
    <xf numFmtId="177" fontId="2" fillId="0" borderId="42" xfId="1" applyNumberFormat="1" applyFont="1" applyBorder="1"/>
  </cellXfs>
  <cellStyles count="2">
    <cellStyle name="標準" xfId="0" builtinId="0"/>
    <cellStyle name="標準 2" xfId="1" xr:uid="{786429CF-9CDC-4D99-B088-98F93DE22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488C-7BB6-4132-8E5A-C012E913E606}">
  <dimension ref="A1:AI86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33" width="10.625" style="2" customWidth="1"/>
    <col min="34" max="259" width="9" style="2"/>
    <col min="260" max="260" width="2.375" style="2" customWidth="1"/>
    <col min="261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5">
      <c r="A1" s="1" t="s">
        <v>0</v>
      </c>
    </row>
    <row r="2" spans="1:35">
      <c r="A2" s="1"/>
    </row>
    <row r="3" spans="1:35">
      <c r="A3" s="1" t="s">
        <v>1</v>
      </c>
    </row>
    <row r="4" spans="1:35">
      <c r="A4" s="1" t="s">
        <v>2</v>
      </c>
    </row>
    <row r="5" spans="1:35">
      <c r="A5" s="1" t="s">
        <v>3</v>
      </c>
    </row>
    <row r="6" spans="1:35" ht="19.5" thickBot="1">
      <c r="A6" s="1" t="s">
        <v>136</v>
      </c>
    </row>
    <row r="7" spans="1:35">
      <c r="B7" s="4"/>
      <c r="C7" s="7" t="s">
        <v>4</v>
      </c>
      <c r="D7" s="8" t="s">
        <v>5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44" t="s">
        <v>23</v>
      </c>
      <c r="T7" s="66" t="s">
        <v>137</v>
      </c>
      <c r="U7" s="55" t="s">
        <v>6</v>
      </c>
      <c r="V7" s="8" t="s">
        <v>7</v>
      </c>
      <c r="W7" s="8" t="s">
        <v>27</v>
      </c>
      <c r="X7" s="8" t="s">
        <v>28</v>
      </c>
      <c r="Y7" s="8" t="s">
        <v>24</v>
      </c>
      <c r="Z7" s="8" t="s">
        <v>25</v>
      </c>
      <c r="AA7" s="8" t="s">
        <v>26</v>
      </c>
      <c r="AB7" s="8" t="s">
        <v>29</v>
      </c>
      <c r="AC7" s="9" t="s">
        <v>30</v>
      </c>
      <c r="AD7" s="66" t="s">
        <v>137</v>
      </c>
      <c r="AE7" s="77" t="s">
        <v>8</v>
      </c>
      <c r="AF7" s="66" t="s">
        <v>137</v>
      </c>
      <c r="AG7" s="88" t="s">
        <v>59</v>
      </c>
    </row>
    <row r="8" spans="1:35" ht="19.5" thickBot="1">
      <c r="A8" s="3"/>
      <c r="B8" s="26" t="s">
        <v>31</v>
      </c>
      <c r="C8" s="27" t="s">
        <v>32</v>
      </c>
      <c r="D8" s="28" t="s">
        <v>33</v>
      </c>
      <c r="E8" s="28" t="s">
        <v>37</v>
      </c>
      <c r="F8" s="28" t="s">
        <v>38</v>
      </c>
      <c r="G8" s="28" t="s">
        <v>39</v>
      </c>
      <c r="H8" s="28" t="s">
        <v>40</v>
      </c>
      <c r="I8" s="28" t="s">
        <v>41</v>
      </c>
      <c r="J8" s="28" t="s">
        <v>42</v>
      </c>
      <c r="K8" s="28" t="s">
        <v>43</v>
      </c>
      <c r="L8" s="28" t="s">
        <v>44</v>
      </c>
      <c r="M8" s="28" t="s">
        <v>45</v>
      </c>
      <c r="N8" s="28" t="s">
        <v>46</v>
      </c>
      <c r="O8" s="28" t="s">
        <v>47</v>
      </c>
      <c r="P8" s="28" t="s">
        <v>48</v>
      </c>
      <c r="Q8" s="28" t="s">
        <v>49</v>
      </c>
      <c r="R8" s="28" t="s">
        <v>50</v>
      </c>
      <c r="S8" s="45" t="s">
        <v>51</v>
      </c>
      <c r="T8" s="67" t="s">
        <v>138</v>
      </c>
      <c r="U8" s="56" t="s">
        <v>34</v>
      </c>
      <c r="V8" s="28" t="s">
        <v>35</v>
      </c>
      <c r="W8" s="28" t="s">
        <v>55</v>
      </c>
      <c r="X8" s="28" t="s">
        <v>56</v>
      </c>
      <c r="Y8" s="28" t="s">
        <v>52</v>
      </c>
      <c r="Z8" s="28" t="s">
        <v>53</v>
      </c>
      <c r="AA8" s="28" t="s">
        <v>54</v>
      </c>
      <c r="AB8" s="28" t="s">
        <v>57</v>
      </c>
      <c r="AC8" s="29" t="s">
        <v>58</v>
      </c>
      <c r="AD8" s="67" t="s">
        <v>139</v>
      </c>
      <c r="AE8" s="78" t="s">
        <v>36</v>
      </c>
      <c r="AF8" s="67" t="s">
        <v>140</v>
      </c>
      <c r="AG8" s="89" t="s">
        <v>141</v>
      </c>
    </row>
    <row r="9" spans="1:35">
      <c r="A9" s="1" t="s">
        <v>3</v>
      </c>
      <c r="B9" s="22" t="s">
        <v>60</v>
      </c>
      <c r="C9" s="23">
        <v>13</v>
      </c>
      <c r="D9" s="24">
        <v>12</v>
      </c>
      <c r="E9" s="24">
        <v>19</v>
      </c>
      <c r="F9" s="24">
        <v>19</v>
      </c>
      <c r="G9" s="24">
        <v>17</v>
      </c>
      <c r="H9" s="24">
        <v>19</v>
      </c>
      <c r="I9" s="24">
        <v>18</v>
      </c>
      <c r="J9" s="24">
        <v>18</v>
      </c>
      <c r="K9" s="24">
        <v>14</v>
      </c>
      <c r="L9" s="24">
        <v>19</v>
      </c>
      <c r="M9" s="24">
        <v>15</v>
      </c>
      <c r="N9" s="24">
        <v>18</v>
      </c>
      <c r="O9" s="24">
        <v>19</v>
      </c>
      <c r="P9" s="24">
        <v>19</v>
      </c>
      <c r="Q9" s="24">
        <v>19</v>
      </c>
      <c r="R9" s="24">
        <v>19</v>
      </c>
      <c r="S9" s="46">
        <v>17</v>
      </c>
      <c r="T9" s="68">
        <f>SUM(C9:S9)</f>
        <v>294</v>
      </c>
      <c r="U9" s="57">
        <v>19</v>
      </c>
      <c r="V9" s="24">
        <v>19</v>
      </c>
      <c r="W9" s="24">
        <v>13</v>
      </c>
      <c r="X9" s="24">
        <v>14</v>
      </c>
      <c r="Y9" s="24">
        <v>10</v>
      </c>
      <c r="Z9" s="24">
        <v>6</v>
      </c>
      <c r="AA9" s="24">
        <v>9</v>
      </c>
      <c r="AB9" s="24">
        <v>9</v>
      </c>
      <c r="AC9" s="25">
        <v>19</v>
      </c>
      <c r="AD9" s="68">
        <f>SUM(U9:AC9)</f>
        <v>118</v>
      </c>
      <c r="AE9" s="79">
        <v>19</v>
      </c>
      <c r="AF9" s="68">
        <f>SUM(AE9)</f>
        <v>19</v>
      </c>
      <c r="AG9" s="68">
        <f>SUM(AF9,AD9,T9)</f>
        <v>431</v>
      </c>
      <c r="AI9"/>
    </row>
    <row r="10" spans="1:35">
      <c r="A10" s="1" t="s">
        <v>3</v>
      </c>
      <c r="B10" s="5" t="s">
        <v>61</v>
      </c>
      <c r="C10" s="10">
        <v>3</v>
      </c>
      <c r="D10" s="11">
        <v>0</v>
      </c>
      <c r="E10" s="11">
        <v>5</v>
      </c>
      <c r="F10" s="11">
        <v>2</v>
      </c>
      <c r="G10" s="11">
        <v>2</v>
      </c>
      <c r="H10" s="11">
        <v>2</v>
      </c>
      <c r="I10" s="11">
        <v>4</v>
      </c>
      <c r="J10" s="11">
        <v>4</v>
      </c>
      <c r="K10" s="11">
        <v>2</v>
      </c>
      <c r="L10" s="11">
        <v>3</v>
      </c>
      <c r="M10" s="11">
        <v>3</v>
      </c>
      <c r="N10" s="11">
        <v>5</v>
      </c>
      <c r="O10" s="11">
        <v>2</v>
      </c>
      <c r="P10" s="11">
        <v>3</v>
      </c>
      <c r="Q10" s="11">
        <v>2</v>
      </c>
      <c r="R10" s="11">
        <v>0</v>
      </c>
      <c r="S10" s="47">
        <v>2</v>
      </c>
      <c r="T10" s="68">
        <f t="shared" ref="T10:T16" si="0">SUM(C10:S10)</f>
        <v>44</v>
      </c>
      <c r="U10" s="58">
        <v>0</v>
      </c>
      <c r="V10" s="11">
        <v>2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2">
        <v>0</v>
      </c>
      <c r="AD10" s="76">
        <f>SUM(U10:AC10)</f>
        <v>2</v>
      </c>
      <c r="AE10" s="80">
        <v>0</v>
      </c>
      <c r="AF10" s="76"/>
      <c r="AG10" s="76">
        <f>SUM(T10+AD10+AF10)</f>
        <v>46</v>
      </c>
      <c r="AI10"/>
    </row>
    <row r="11" spans="1:35">
      <c r="A11" s="1" t="s">
        <v>3</v>
      </c>
      <c r="B11" s="5" t="s">
        <v>62</v>
      </c>
      <c r="C11" s="10">
        <v>5</v>
      </c>
      <c r="D11" s="11">
        <v>3</v>
      </c>
      <c r="E11" s="11">
        <v>2</v>
      </c>
      <c r="F11" s="11">
        <v>3</v>
      </c>
      <c r="G11" s="11">
        <v>4</v>
      </c>
      <c r="H11" s="11">
        <v>3</v>
      </c>
      <c r="I11" s="11">
        <v>1</v>
      </c>
      <c r="J11" s="11">
        <v>1</v>
      </c>
      <c r="K11" s="11">
        <v>2</v>
      </c>
      <c r="L11" s="11">
        <v>1</v>
      </c>
      <c r="M11" s="11">
        <v>2</v>
      </c>
      <c r="N11" s="11">
        <v>3</v>
      </c>
      <c r="O11" s="11">
        <v>4</v>
      </c>
      <c r="P11" s="11">
        <v>1</v>
      </c>
      <c r="Q11" s="11">
        <v>3</v>
      </c>
      <c r="R11" s="11">
        <v>1</v>
      </c>
      <c r="S11" s="47">
        <v>3</v>
      </c>
      <c r="T11" s="68">
        <f t="shared" si="0"/>
        <v>42</v>
      </c>
      <c r="U11" s="58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2">
        <v>0</v>
      </c>
      <c r="AD11" s="76"/>
      <c r="AE11" s="80">
        <v>0</v>
      </c>
      <c r="AF11" s="76"/>
      <c r="AG11" s="76">
        <f t="shared" ref="AG11:AG74" si="1">SUM(T11+AD11+AF11)</f>
        <v>42</v>
      </c>
      <c r="AI11"/>
    </row>
    <row r="12" spans="1:35">
      <c r="A12" s="1" t="s">
        <v>3</v>
      </c>
      <c r="B12" s="5" t="s">
        <v>63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1</v>
      </c>
      <c r="O12" s="11">
        <v>0</v>
      </c>
      <c r="P12" s="11">
        <v>0</v>
      </c>
      <c r="Q12" s="11">
        <v>0</v>
      </c>
      <c r="R12" s="11">
        <v>0</v>
      </c>
      <c r="S12" s="47">
        <v>2</v>
      </c>
      <c r="T12" s="68">
        <f t="shared" si="0"/>
        <v>3</v>
      </c>
      <c r="U12" s="58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2">
        <v>0</v>
      </c>
      <c r="AD12" s="76"/>
      <c r="AE12" s="80">
        <v>0</v>
      </c>
      <c r="AF12" s="76"/>
      <c r="AG12" s="76">
        <f t="shared" si="1"/>
        <v>3</v>
      </c>
      <c r="AI12"/>
    </row>
    <row r="13" spans="1:35">
      <c r="A13" s="1" t="s">
        <v>3</v>
      </c>
      <c r="B13" s="5" t="s">
        <v>64</v>
      </c>
      <c r="C13" s="10">
        <v>4</v>
      </c>
      <c r="D13" s="11">
        <v>7</v>
      </c>
      <c r="E13" s="11">
        <v>1</v>
      </c>
      <c r="F13" s="11">
        <v>0</v>
      </c>
      <c r="G13" s="11">
        <v>2</v>
      </c>
      <c r="H13" s="11">
        <v>0</v>
      </c>
      <c r="I13" s="11">
        <v>1</v>
      </c>
      <c r="J13" s="11">
        <v>1</v>
      </c>
      <c r="K13" s="11">
        <v>0</v>
      </c>
      <c r="L13" s="11">
        <v>0</v>
      </c>
      <c r="M13" s="11">
        <v>2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47">
        <v>0</v>
      </c>
      <c r="T13" s="68">
        <f t="shared" si="0"/>
        <v>18</v>
      </c>
      <c r="U13" s="58">
        <v>0</v>
      </c>
      <c r="V13" s="11">
        <v>0</v>
      </c>
      <c r="W13" s="11">
        <v>1</v>
      </c>
      <c r="X13" s="11">
        <v>1</v>
      </c>
      <c r="Y13" s="11">
        <v>0</v>
      </c>
      <c r="Z13" s="11">
        <v>0</v>
      </c>
      <c r="AA13" s="11">
        <v>0</v>
      </c>
      <c r="AB13" s="11">
        <v>0</v>
      </c>
      <c r="AC13" s="12">
        <v>0</v>
      </c>
      <c r="AD13" s="76">
        <f>SUM(U13:AC13)</f>
        <v>2</v>
      </c>
      <c r="AE13" s="80">
        <v>0</v>
      </c>
      <c r="AF13" s="76"/>
      <c r="AG13" s="76">
        <f t="shared" si="1"/>
        <v>20</v>
      </c>
      <c r="AI13"/>
    </row>
    <row r="14" spans="1:35">
      <c r="A14" s="1" t="s">
        <v>3</v>
      </c>
      <c r="B14" s="5" t="s">
        <v>65</v>
      </c>
      <c r="C14" s="10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5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47">
        <v>0</v>
      </c>
      <c r="T14" s="68">
        <f t="shared" si="0"/>
        <v>5</v>
      </c>
      <c r="U14" s="58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2">
        <v>0</v>
      </c>
      <c r="AD14" s="76"/>
      <c r="AE14" s="80">
        <v>0</v>
      </c>
      <c r="AF14" s="76"/>
      <c r="AG14" s="76">
        <f t="shared" si="1"/>
        <v>5</v>
      </c>
      <c r="AI14"/>
    </row>
    <row r="15" spans="1:35">
      <c r="A15" s="1" t="s">
        <v>3</v>
      </c>
      <c r="B15" s="5" t="s">
        <v>66</v>
      </c>
      <c r="C15" s="10">
        <v>2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2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47">
        <v>0</v>
      </c>
      <c r="T15" s="68">
        <f t="shared" si="0"/>
        <v>4</v>
      </c>
      <c r="U15" s="58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2">
        <v>0</v>
      </c>
      <c r="AD15" s="76"/>
      <c r="AE15" s="80">
        <v>0</v>
      </c>
      <c r="AF15" s="76"/>
      <c r="AG15" s="76">
        <f t="shared" si="1"/>
        <v>4</v>
      </c>
      <c r="AI15"/>
    </row>
    <row r="16" spans="1:35">
      <c r="A16" s="1" t="s">
        <v>3</v>
      </c>
      <c r="B16" s="5" t="s">
        <v>67</v>
      </c>
      <c r="C16" s="10">
        <v>2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47">
        <v>0</v>
      </c>
      <c r="T16" s="68">
        <f t="shared" si="0"/>
        <v>2</v>
      </c>
      <c r="U16" s="58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2">
        <v>0</v>
      </c>
      <c r="AD16" s="76"/>
      <c r="AE16" s="80">
        <v>0</v>
      </c>
      <c r="AF16" s="76"/>
      <c r="AG16" s="76">
        <f t="shared" si="1"/>
        <v>2</v>
      </c>
      <c r="AI16"/>
    </row>
    <row r="17" spans="1:35">
      <c r="A17" s="1" t="s">
        <v>3</v>
      </c>
      <c r="B17" s="5" t="s">
        <v>68</v>
      </c>
      <c r="C17" s="13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48">
        <v>0</v>
      </c>
      <c r="T17" s="69"/>
      <c r="U17" s="59">
        <v>0</v>
      </c>
      <c r="V17" s="14">
        <v>0</v>
      </c>
      <c r="W17" s="14">
        <v>3.5416666666666665</v>
      </c>
      <c r="X17" s="14">
        <v>3.625</v>
      </c>
      <c r="Y17" s="14">
        <v>2.9583333333333335</v>
      </c>
      <c r="Z17" s="14">
        <v>1.625</v>
      </c>
      <c r="AA17" s="14">
        <v>2.625</v>
      </c>
      <c r="AB17" s="14">
        <v>2.75</v>
      </c>
      <c r="AC17" s="15">
        <v>3.2083333333333335</v>
      </c>
      <c r="AD17" s="69">
        <f>SUM(U17:AC17)</f>
        <v>20.333333333333332</v>
      </c>
      <c r="AE17" s="81">
        <v>0</v>
      </c>
      <c r="AF17" s="69"/>
      <c r="AG17" s="69">
        <f t="shared" si="1"/>
        <v>20.333333333333332</v>
      </c>
      <c r="AI17"/>
    </row>
    <row r="18" spans="1:35">
      <c r="A18" s="1" t="s">
        <v>3</v>
      </c>
      <c r="B18" s="5" t="s">
        <v>69</v>
      </c>
      <c r="C18" s="13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48">
        <v>0</v>
      </c>
      <c r="T18" s="69"/>
      <c r="U18" s="59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5">
        <v>0</v>
      </c>
      <c r="AD18" s="69"/>
      <c r="AE18" s="81">
        <v>0</v>
      </c>
      <c r="AF18" s="69"/>
      <c r="AG18" s="69">
        <f t="shared" si="1"/>
        <v>0</v>
      </c>
      <c r="AI18"/>
    </row>
    <row r="19" spans="1:35">
      <c r="A19" s="1" t="s">
        <v>3</v>
      </c>
      <c r="B19" s="5" t="s">
        <v>70</v>
      </c>
      <c r="C19" s="13">
        <v>0.41666666666666669</v>
      </c>
      <c r="D19" s="14">
        <v>1.4583333333333333</v>
      </c>
      <c r="E19" s="14">
        <v>1.4166666666666667</v>
      </c>
      <c r="F19" s="14">
        <v>2.5833333333333335</v>
      </c>
      <c r="G19" s="14">
        <v>1.4583333333333333</v>
      </c>
      <c r="H19" s="14">
        <v>2.875</v>
      </c>
      <c r="I19" s="14">
        <v>1.9166666666666665</v>
      </c>
      <c r="J19" s="14">
        <v>2.0416666666666665</v>
      </c>
      <c r="K19" s="14">
        <v>1.5833333333333335</v>
      </c>
      <c r="L19" s="14">
        <v>0.79166666666666663</v>
      </c>
      <c r="M19" s="14">
        <v>1</v>
      </c>
      <c r="N19" s="14">
        <v>2.875</v>
      </c>
      <c r="O19" s="14">
        <v>2</v>
      </c>
      <c r="P19" s="14">
        <v>3.5416666666666665</v>
      </c>
      <c r="Q19" s="14">
        <v>2.9166666666666665</v>
      </c>
      <c r="R19" s="14">
        <v>2</v>
      </c>
      <c r="S19" s="48">
        <v>1.6666666666666665</v>
      </c>
      <c r="T19" s="69">
        <f>SUM(C19:S19)</f>
        <v>32.541666666666664</v>
      </c>
      <c r="U19" s="59">
        <v>0</v>
      </c>
      <c r="V19" s="14">
        <v>1.4583333333333333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0.125</v>
      </c>
      <c r="AC19" s="15">
        <v>0</v>
      </c>
      <c r="AD19" s="69">
        <f t="shared" ref="AD19:AD20" si="2">SUM(U19:AC19)</f>
        <v>1.5833333333333333</v>
      </c>
      <c r="AE19" s="81">
        <v>0</v>
      </c>
      <c r="AF19" s="69"/>
      <c r="AG19" s="69">
        <f t="shared" si="1"/>
        <v>34.125</v>
      </c>
      <c r="AI19"/>
    </row>
    <row r="20" spans="1:35">
      <c r="A20" s="1" t="s">
        <v>3</v>
      </c>
      <c r="B20" s="5" t="s">
        <v>71</v>
      </c>
      <c r="C20" s="13">
        <v>1.2083333333333333</v>
      </c>
      <c r="D20" s="14">
        <v>0</v>
      </c>
      <c r="E20" s="14">
        <v>1.75</v>
      </c>
      <c r="F20" s="14">
        <v>0.54166666666666663</v>
      </c>
      <c r="G20" s="14">
        <v>1</v>
      </c>
      <c r="H20" s="14">
        <v>0.875</v>
      </c>
      <c r="I20" s="14">
        <v>1.8333333333333335</v>
      </c>
      <c r="J20" s="14">
        <v>1.75</v>
      </c>
      <c r="K20" s="14">
        <v>0.625</v>
      </c>
      <c r="L20" s="14">
        <v>0.91666666666666663</v>
      </c>
      <c r="M20" s="14">
        <v>1.375</v>
      </c>
      <c r="N20" s="14">
        <v>1.7083333333333335</v>
      </c>
      <c r="O20" s="14">
        <v>0.70833333333333337</v>
      </c>
      <c r="P20" s="14">
        <v>0.79166666666666663</v>
      </c>
      <c r="Q20" s="14">
        <v>0.95833333333333337</v>
      </c>
      <c r="R20" s="14">
        <v>0</v>
      </c>
      <c r="S20" s="48">
        <v>0.91666666666666663</v>
      </c>
      <c r="T20" s="69">
        <f t="shared" ref="T20:T23" si="3">SUM(C20:S20)</f>
        <v>16.958333333333336</v>
      </c>
      <c r="U20" s="59">
        <v>0</v>
      </c>
      <c r="V20" s="14">
        <v>0.54166666666666663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5">
        <v>0</v>
      </c>
      <c r="AD20" s="69">
        <f t="shared" si="2"/>
        <v>0.54166666666666663</v>
      </c>
      <c r="AE20" s="81">
        <v>0</v>
      </c>
      <c r="AF20" s="69"/>
      <c r="AG20" s="69">
        <f t="shared" si="1"/>
        <v>17.500000000000004</v>
      </c>
      <c r="AI20"/>
    </row>
    <row r="21" spans="1:35">
      <c r="A21" s="1" t="s">
        <v>3</v>
      </c>
      <c r="B21" s="5" t="s">
        <v>72</v>
      </c>
      <c r="C21" s="13">
        <v>1.875</v>
      </c>
      <c r="D21" s="14">
        <v>0.79166666666666663</v>
      </c>
      <c r="E21" s="14">
        <v>0.29166666666666669</v>
      </c>
      <c r="F21" s="14">
        <v>1</v>
      </c>
      <c r="G21" s="14">
        <v>1.3333333333333333</v>
      </c>
      <c r="H21" s="14">
        <v>0.75</v>
      </c>
      <c r="I21" s="14">
        <v>0.45833333333333331</v>
      </c>
      <c r="J21" s="14">
        <v>0.41666666666666669</v>
      </c>
      <c r="K21" s="14">
        <v>0.66666666666666663</v>
      </c>
      <c r="L21" s="14">
        <v>0.29166666666666669</v>
      </c>
      <c r="M21" s="14">
        <v>0.79166666666666663</v>
      </c>
      <c r="N21" s="14">
        <v>0.83333333333333337</v>
      </c>
      <c r="O21" s="14">
        <v>1.2916666666666667</v>
      </c>
      <c r="P21" s="14">
        <v>0.45833333333333331</v>
      </c>
      <c r="Q21" s="14">
        <v>0.45833333333333331</v>
      </c>
      <c r="R21" s="14">
        <v>0.33333333333333331</v>
      </c>
      <c r="S21" s="48">
        <v>0.33333333333333331</v>
      </c>
      <c r="T21" s="69">
        <f t="shared" si="3"/>
        <v>12.375000000000002</v>
      </c>
      <c r="U21" s="59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5">
        <v>0</v>
      </c>
      <c r="AD21" s="69"/>
      <c r="AE21" s="81">
        <v>0</v>
      </c>
      <c r="AF21" s="69"/>
      <c r="AG21" s="69">
        <f t="shared" si="1"/>
        <v>12.375000000000002</v>
      </c>
      <c r="AI21"/>
    </row>
    <row r="22" spans="1:35">
      <c r="A22" s="1" t="s">
        <v>3</v>
      </c>
      <c r="B22" s="5" t="s">
        <v>73</v>
      </c>
      <c r="C22" s="13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48">
        <v>0</v>
      </c>
      <c r="T22" s="69">
        <f t="shared" si="3"/>
        <v>0</v>
      </c>
      <c r="U22" s="59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5">
        <v>0</v>
      </c>
      <c r="AD22" s="69"/>
      <c r="AE22" s="81">
        <v>0</v>
      </c>
      <c r="AF22" s="69"/>
      <c r="AG22" s="69">
        <f t="shared" si="1"/>
        <v>0</v>
      </c>
      <c r="AI22"/>
    </row>
    <row r="23" spans="1:35">
      <c r="A23" s="1" t="s">
        <v>3</v>
      </c>
      <c r="B23" s="5" t="s">
        <v>74</v>
      </c>
      <c r="C23" s="13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0.33333333333333331</v>
      </c>
      <c r="O23" s="14">
        <v>0</v>
      </c>
      <c r="P23" s="14">
        <v>0</v>
      </c>
      <c r="Q23" s="14">
        <v>0</v>
      </c>
      <c r="R23" s="14">
        <v>0</v>
      </c>
      <c r="S23" s="48">
        <v>0.625</v>
      </c>
      <c r="T23" s="69">
        <f t="shared" si="3"/>
        <v>0.95833333333333326</v>
      </c>
      <c r="U23" s="59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5">
        <v>0</v>
      </c>
      <c r="AD23" s="69"/>
      <c r="AE23" s="81">
        <v>0</v>
      </c>
      <c r="AF23" s="69"/>
      <c r="AG23" s="69">
        <f t="shared" si="1"/>
        <v>0.95833333333333326</v>
      </c>
      <c r="AI23"/>
    </row>
    <row r="24" spans="1:35">
      <c r="A24" s="1" t="s">
        <v>3</v>
      </c>
      <c r="B24" s="5" t="s">
        <v>75</v>
      </c>
      <c r="C24" s="13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48">
        <v>0</v>
      </c>
      <c r="T24" s="69"/>
      <c r="U24" s="59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5">
        <v>0</v>
      </c>
      <c r="AD24" s="69"/>
      <c r="AE24" s="81">
        <v>0</v>
      </c>
      <c r="AF24" s="69"/>
      <c r="AG24" s="69">
        <f t="shared" si="1"/>
        <v>0</v>
      </c>
      <c r="AI24"/>
    </row>
    <row r="25" spans="1:35">
      <c r="A25" s="1" t="s">
        <v>3</v>
      </c>
      <c r="B25" s="5" t="s">
        <v>76</v>
      </c>
      <c r="C25" s="13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48">
        <v>0</v>
      </c>
      <c r="T25" s="69"/>
      <c r="U25" s="59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5">
        <v>0</v>
      </c>
      <c r="AD25" s="69"/>
      <c r="AE25" s="81">
        <v>0</v>
      </c>
      <c r="AF25" s="69"/>
      <c r="AG25" s="69">
        <f t="shared" si="1"/>
        <v>0</v>
      </c>
      <c r="AI25"/>
    </row>
    <row r="26" spans="1:35">
      <c r="A26" s="1" t="s">
        <v>3</v>
      </c>
      <c r="B26" s="5" t="s">
        <v>77</v>
      </c>
      <c r="C26" s="13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48">
        <v>0</v>
      </c>
      <c r="T26" s="69"/>
      <c r="U26" s="59">
        <v>0</v>
      </c>
      <c r="V26" s="14">
        <v>0</v>
      </c>
      <c r="W26" s="14">
        <v>0.29166666666666669</v>
      </c>
      <c r="X26" s="14">
        <v>0.29166666666666669</v>
      </c>
      <c r="Y26" s="14">
        <v>0</v>
      </c>
      <c r="Z26" s="14">
        <v>0</v>
      </c>
      <c r="AA26" s="14">
        <v>0</v>
      </c>
      <c r="AB26" s="14">
        <v>0</v>
      </c>
      <c r="AC26" s="15">
        <v>0</v>
      </c>
      <c r="AD26" s="69">
        <f t="shared" ref="AD26" si="4">SUM(U26:AC26)</f>
        <v>0.58333333333333337</v>
      </c>
      <c r="AE26" s="81">
        <v>0</v>
      </c>
      <c r="AF26" s="69"/>
      <c r="AG26" s="69">
        <f t="shared" si="1"/>
        <v>0.58333333333333337</v>
      </c>
      <c r="AI26"/>
    </row>
    <row r="27" spans="1:35">
      <c r="A27" s="1" t="s">
        <v>3</v>
      </c>
      <c r="B27" s="5" t="s">
        <v>78</v>
      </c>
      <c r="C27" s="13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48">
        <v>0</v>
      </c>
      <c r="T27" s="69"/>
      <c r="U27" s="59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5">
        <v>0</v>
      </c>
      <c r="AD27" s="69"/>
      <c r="AE27" s="81">
        <v>0</v>
      </c>
      <c r="AF27" s="69"/>
      <c r="AG27" s="69">
        <f t="shared" si="1"/>
        <v>0</v>
      </c>
      <c r="AI27"/>
    </row>
    <row r="28" spans="1:35">
      <c r="A28" s="1" t="s">
        <v>3</v>
      </c>
      <c r="B28" s="5" t="s">
        <v>79</v>
      </c>
      <c r="C28" s="13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48">
        <v>0</v>
      </c>
      <c r="T28" s="69"/>
      <c r="U28" s="59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5">
        <v>0</v>
      </c>
      <c r="AD28" s="69"/>
      <c r="AE28" s="81">
        <v>0</v>
      </c>
      <c r="AF28" s="69"/>
      <c r="AG28" s="69">
        <f t="shared" si="1"/>
        <v>0</v>
      </c>
      <c r="AI28"/>
    </row>
    <row r="29" spans="1:35">
      <c r="A29" s="1" t="s">
        <v>3</v>
      </c>
      <c r="B29" s="5" t="s">
        <v>80</v>
      </c>
      <c r="C29" s="13">
        <v>0</v>
      </c>
      <c r="D29" s="14">
        <v>0.125</v>
      </c>
      <c r="E29" s="14">
        <v>8.3333333333333329E-2</v>
      </c>
      <c r="F29" s="14">
        <v>1.0833333333333333</v>
      </c>
      <c r="G29" s="14">
        <v>2.0416666666666665</v>
      </c>
      <c r="H29" s="14">
        <v>1.25</v>
      </c>
      <c r="I29" s="14">
        <v>0.20833333333333334</v>
      </c>
      <c r="J29" s="14">
        <v>0.375</v>
      </c>
      <c r="K29" s="14">
        <v>4.1666666666666664E-2</v>
      </c>
      <c r="L29" s="14">
        <v>0.16666666666666666</v>
      </c>
      <c r="M29" s="14">
        <v>0.20833333333333334</v>
      </c>
      <c r="N29" s="14">
        <v>0.20833333333333334</v>
      </c>
      <c r="O29" s="14">
        <v>0.20833333333333334</v>
      </c>
      <c r="P29" s="14">
        <v>1.6666666666666665</v>
      </c>
      <c r="Q29" s="14">
        <v>1.3333333333333333</v>
      </c>
      <c r="R29" s="14">
        <v>0.58333333333333337</v>
      </c>
      <c r="S29" s="48">
        <v>1.625</v>
      </c>
      <c r="T29" s="69">
        <f t="shared" ref="T29" si="5">SUM(C29:S29)</f>
        <v>11.208333333333334</v>
      </c>
      <c r="U29" s="59">
        <v>0.125</v>
      </c>
      <c r="V29" s="14">
        <v>8.3333333333333329E-2</v>
      </c>
      <c r="W29" s="14">
        <v>0</v>
      </c>
      <c r="X29" s="14">
        <v>0</v>
      </c>
      <c r="Y29" s="14">
        <v>2.0833333333333335</v>
      </c>
      <c r="Z29" s="14">
        <v>1.125</v>
      </c>
      <c r="AA29" s="14">
        <v>1.875</v>
      </c>
      <c r="AB29" s="14">
        <v>0.83333333333333337</v>
      </c>
      <c r="AC29" s="15">
        <v>0</v>
      </c>
      <c r="AD29" s="69">
        <f>SUM(U29:AC29)</f>
        <v>6.125</v>
      </c>
      <c r="AE29" s="81">
        <v>8.3333333333333329E-2</v>
      </c>
      <c r="AF29" s="69">
        <f>SUM(AE29)</f>
        <v>8.3333333333333329E-2</v>
      </c>
      <c r="AG29" s="69">
        <f t="shared" si="1"/>
        <v>17.416666666666668</v>
      </c>
      <c r="AI29"/>
    </row>
    <row r="30" spans="1:35" ht="19.5" thickBot="1">
      <c r="A30" s="1" t="s">
        <v>3</v>
      </c>
      <c r="B30" s="6" t="s">
        <v>81</v>
      </c>
      <c r="C30" s="33">
        <v>12</v>
      </c>
      <c r="D30" s="34">
        <v>20</v>
      </c>
      <c r="E30" s="34">
        <v>29</v>
      </c>
      <c r="F30" s="34">
        <v>33</v>
      </c>
      <c r="G30" s="34">
        <v>17</v>
      </c>
      <c r="H30" s="34">
        <v>27</v>
      </c>
      <c r="I30" s="34">
        <v>24</v>
      </c>
      <c r="J30" s="34">
        <v>11</v>
      </c>
      <c r="K30" s="34">
        <v>19</v>
      </c>
      <c r="L30" s="34">
        <v>28</v>
      </c>
      <c r="M30" s="34">
        <v>4</v>
      </c>
      <c r="N30" s="34">
        <v>4</v>
      </c>
      <c r="O30" s="34">
        <v>19</v>
      </c>
      <c r="P30" s="34">
        <v>11</v>
      </c>
      <c r="Q30" s="34">
        <v>9</v>
      </c>
      <c r="R30" s="34">
        <v>7</v>
      </c>
      <c r="S30" s="49">
        <v>0</v>
      </c>
      <c r="T30" s="70">
        <f>SUM(C30:S30)</f>
        <v>274</v>
      </c>
      <c r="U30" s="60">
        <v>37</v>
      </c>
      <c r="V30" s="34">
        <v>38</v>
      </c>
      <c r="W30" s="34">
        <v>17</v>
      </c>
      <c r="X30" s="34">
        <v>16</v>
      </c>
      <c r="Y30" s="34">
        <v>5</v>
      </c>
      <c r="Z30" s="34">
        <v>3</v>
      </c>
      <c r="AA30" s="34">
        <v>3</v>
      </c>
      <c r="AB30" s="34">
        <v>3</v>
      </c>
      <c r="AC30" s="35">
        <v>5</v>
      </c>
      <c r="AD30" s="70">
        <f>SUM(U30:AC30)</f>
        <v>127</v>
      </c>
      <c r="AE30" s="82">
        <v>39</v>
      </c>
      <c r="AF30" s="70">
        <f>SUM(AE30)</f>
        <v>39</v>
      </c>
      <c r="AG30" s="70">
        <f t="shared" si="1"/>
        <v>440</v>
      </c>
      <c r="AI30"/>
    </row>
    <row r="31" spans="1:35">
      <c r="A31" s="1" t="s">
        <v>3</v>
      </c>
      <c r="B31" s="22" t="s">
        <v>82</v>
      </c>
      <c r="C31" s="30">
        <v>177000</v>
      </c>
      <c r="D31" s="31">
        <v>187000</v>
      </c>
      <c r="E31" s="31">
        <v>187000</v>
      </c>
      <c r="F31" s="31">
        <v>192000</v>
      </c>
      <c r="G31" s="31">
        <v>182000</v>
      </c>
      <c r="H31" s="31">
        <v>187000</v>
      </c>
      <c r="I31" s="31">
        <v>177000</v>
      </c>
      <c r="J31" s="31">
        <v>177000</v>
      </c>
      <c r="K31" s="31">
        <v>172000</v>
      </c>
      <c r="L31" s="31">
        <v>177958</v>
      </c>
      <c r="M31" s="31">
        <v>177000</v>
      </c>
      <c r="N31" s="31">
        <v>177000</v>
      </c>
      <c r="O31" s="31">
        <v>170000</v>
      </c>
      <c r="P31" s="31">
        <v>177000</v>
      </c>
      <c r="Q31" s="31">
        <v>175000</v>
      </c>
      <c r="R31" s="31">
        <v>175000</v>
      </c>
      <c r="S31" s="50">
        <v>170000</v>
      </c>
      <c r="T31" s="71">
        <f>SUM(C31:S31)</f>
        <v>3036958</v>
      </c>
      <c r="U31" s="61">
        <v>485000</v>
      </c>
      <c r="V31" s="31">
        <v>280000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2">
        <v>0</v>
      </c>
      <c r="AD31" s="71">
        <f>SUM(U31:AC31)</f>
        <v>765000</v>
      </c>
      <c r="AE31" s="83">
        <v>375000</v>
      </c>
      <c r="AF31" s="71">
        <f>SUM(AE31)</f>
        <v>375000</v>
      </c>
      <c r="AG31" s="71">
        <f t="shared" si="1"/>
        <v>4176958</v>
      </c>
      <c r="AI31"/>
    </row>
    <row r="32" spans="1:35">
      <c r="A32" s="1" t="s">
        <v>3</v>
      </c>
      <c r="B32" s="5" t="s">
        <v>83</v>
      </c>
      <c r="C32" s="16">
        <v>0</v>
      </c>
      <c r="D32" s="17">
        <v>0</v>
      </c>
      <c r="E32" s="17">
        <v>20000</v>
      </c>
      <c r="F32" s="17">
        <v>5000</v>
      </c>
      <c r="G32" s="17">
        <v>5000</v>
      </c>
      <c r="H32" s="17">
        <v>5000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51">
        <v>0</v>
      </c>
      <c r="T32" s="72">
        <f t="shared" ref="T32:T84" si="6">SUM(C32:S32)</f>
        <v>35000</v>
      </c>
      <c r="U32" s="62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8">
        <v>0</v>
      </c>
      <c r="AD32" s="72">
        <f t="shared" ref="AD32:AD84" si="7">SUM(U32:AC32)</f>
        <v>0</v>
      </c>
      <c r="AE32" s="84">
        <v>0</v>
      </c>
      <c r="AF32" s="72">
        <f t="shared" ref="AF32:AF84" si="8">SUM(AE32)</f>
        <v>0</v>
      </c>
      <c r="AG32" s="72">
        <f t="shared" si="1"/>
        <v>35000</v>
      </c>
      <c r="AI32"/>
    </row>
    <row r="33" spans="1:35">
      <c r="A33" s="1" t="s">
        <v>3</v>
      </c>
      <c r="B33" s="5" t="s">
        <v>84</v>
      </c>
      <c r="C33" s="16">
        <v>0</v>
      </c>
      <c r="D33" s="17">
        <v>0</v>
      </c>
      <c r="E33" s="17">
        <v>3000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51">
        <v>0</v>
      </c>
      <c r="T33" s="72">
        <f t="shared" si="6"/>
        <v>3000</v>
      </c>
      <c r="U33" s="62">
        <v>0</v>
      </c>
      <c r="V33" s="17">
        <v>3000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8">
        <v>0</v>
      </c>
      <c r="AD33" s="72">
        <f t="shared" si="7"/>
        <v>3000</v>
      </c>
      <c r="AE33" s="84">
        <v>0</v>
      </c>
      <c r="AF33" s="72">
        <f t="shared" si="8"/>
        <v>0</v>
      </c>
      <c r="AG33" s="72">
        <f t="shared" si="1"/>
        <v>6000</v>
      </c>
      <c r="AI33"/>
    </row>
    <row r="34" spans="1:35">
      <c r="A34" s="1" t="s">
        <v>3</v>
      </c>
      <c r="B34" s="5" t="s">
        <v>85</v>
      </c>
      <c r="C34" s="16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51">
        <v>0</v>
      </c>
      <c r="T34" s="72">
        <f t="shared" si="6"/>
        <v>0</v>
      </c>
      <c r="U34" s="62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8">
        <v>0</v>
      </c>
      <c r="AD34" s="72">
        <f t="shared" si="7"/>
        <v>0</v>
      </c>
      <c r="AE34" s="84">
        <v>0</v>
      </c>
      <c r="AF34" s="72">
        <f t="shared" si="8"/>
        <v>0</v>
      </c>
      <c r="AG34" s="72">
        <f t="shared" si="1"/>
        <v>0</v>
      </c>
      <c r="AI34"/>
    </row>
    <row r="35" spans="1:35">
      <c r="A35" s="1" t="s">
        <v>3</v>
      </c>
      <c r="B35" s="5" t="s">
        <v>86</v>
      </c>
      <c r="C35" s="16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73674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51">
        <v>0</v>
      </c>
      <c r="T35" s="72">
        <f t="shared" si="6"/>
        <v>73674</v>
      </c>
      <c r="U35" s="62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8">
        <v>0</v>
      </c>
      <c r="AD35" s="72">
        <f t="shared" si="7"/>
        <v>0</v>
      </c>
      <c r="AE35" s="84">
        <v>0</v>
      </c>
      <c r="AF35" s="72">
        <f t="shared" si="8"/>
        <v>0</v>
      </c>
      <c r="AG35" s="72">
        <f t="shared" si="1"/>
        <v>73674</v>
      </c>
      <c r="AI35"/>
    </row>
    <row r="36" spans="1:35">
      <c r="A36" s="1" t="s">
        <v>3</v>
      </c>
      <c r="B36" s="5" t="s">
        <v>87</v>
      </c>
      <c r="C36" s="16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51">
        <v>0</v>
      </c>
      <c r="T36" s="72">
        <f t="shared" si="6"/>
        <v>0</v>
      </c>
      <c r="U36" s="62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8">
        <v>0</v>
      </c>
      <c r="AD36" s="72">
        <f t="shared" si="7"/>
        <v>0</v>
      </c>
      <c r="AE36" s="84">
        <v>0</v>
      </c>
      <c r="AF36" s="72">
        <f t="shared" si="8"/>
        <v>0</v>
      </c>
      <c r="AG36" s="72">
        <f t="shared" si="1"/>
        <v>0</v>
      </c>
      <c r="AI36"/>
    </row>
    <row r="37" spans="1:35">
      <c r="A37" s="1" t="s">
        <v>3</v>
      </c>
      <c r="B37" s="5" t="s">
        <v>88</v>
      </c>
      <c r="C37" s="16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51">
        <v>0</v>
      </c>
      <c r="T37" s="72">
        <f t="shared" si="6"/>
        <v>0</v>
      </c>
      <c r="U37" s="62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8">
        <v>0</v>
      </c>
      <c r="AD37" s="72">
        <f t="shared" si="7"/>
        <v>0</v>
      </c>
      <c r="AE37" s="84">
        <v>0</v>
      </c>
      <c r="AF37" s="72">
        <f t="shared" si="8"/>
        <v>0</v>
      </c>
      <c r="AG37" s="72">
        <f t="shared" si="1"/>
        <v>0</v>
      </c>
      <c r="AI37"/>
    </row>
    <row r="38" spans="1:35">
      <c r="A38" s="1" t="s">
        <v>3</v>
      </c>
      <c r="B38" s="5" t="s">
        <v>89</v>
      </c>
      <c r="C38" s="16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51">
        <v>0</v>
      </c>
      <c r="T38" s="72">
        <f t="shared" si="6"/>
        <v>0</v>
      </c>
      <c r="U38" s="62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8">
        <v>0</v>
      </c>
      <c r="AD38" s="72">
        <f t="shared" si="7"/>
        <v>0</v>
      </c>
      <c r="AE38" s="84">
        <v>0</v>
      </c>
      <c r="AF38" s="72">
        <f t="shared" si="8"/>
        <v>0</v>
      </c>
      <c r="AG38" s="72">
        <f t="shared" si="1"/>
        <v>0</v>
      </c>
      <c r="AI38"/>
    </row>
    <row r="39" spans="1:35">
      <c r="A39" s="1" t="s">
        <v>3</v>
      </c>
      <c r="B39" s="5" t="s">
        <v>90</v>
      </c>
      <c r="C39" s="16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51">
        <v>0</v>
      </c>
      <c r="T39" s="72">
        <f t="shared" si="6"/>
        <v>0</v>
      </c>
      <c r="U39" s="62">
        <v>0</v>
      </c>
      <c r="V39" s="17">
        <v>0</v>
      </c>
      <c r="W39" s="17">
        <v>78200</v>
      </c>
      <c r="X39" s="17">
        <v>80040</v>
      </c>
      <c r="Y39" s="17">
        <v>59640</v>
      </c>
      <c r="Z39" s="17">
        <v>32760</v>
      </c>
      <c r="AA39" s="17">
        <v>52920</v>
      </c>
      <c r="AB39" s="17">
        <v>54780</v>
      </c>
      <c r="AC39" s="18">
        <v>64680</v>
      </c>
      <c r="AD39" s="72">
        <f t="shared" si="7"/>
        <v>423020</v>
      </c>
      <c r="AE39" s="84">
        <v>0</v>
      </c>
      <c r="AF39" s="72">
        <f t="shared" si="8"/>
        <v>0</v>
      </c>
      <c r="AG39" s="72">
        <f t="shared" si="1"/>
        <v>423020</v>
      </c>
      <c r="AI39"/>
    </row>
    <row r="40" spans="1:35">
      <c r="A40" s="1" t="s">
        <v>3</v>
      </c>
      <c r="B40" s="5" t="s">
        <v>91</v>
      </c>
      <c r="C40" s="16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51">
        <v>0</v>
      </c>
      <c r="T40" s="72">
        <f t="shared" si="6"/>
        <v>0</v>
      </c>
      <c r="U40" s="62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8">
        <v>0</v>
      </c>
      <c r="AD40" s="72">
        <f t="shared" si="7"/>
        <v>0</v>
      </c>
      <c r="AE40" s="84">
        <v>0</v>
      </c>
      <c r="AF40" s="72">
        <f t="shared" si="8"/>
        <v>0</v>
      </c>
      <c r="AG40" s="72">
        <f t="shared" si="1"/>
        <v>0</v>
      </c>
      <c r="AI40"/>
    </row>
    <row r="41" spans="1:35">
      <c r="A41" s="1" t="s">
        <v>3</v>
      </c>
      <c r="B41" s="5" t="s">
        <v>92</v>
      </c>
      <c r="C41" s="16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51">
        <v>0</v>
      </c>
      <c r="T41" s="72">
        <f t="shared" si="6"/>
        <v>0</v>
      </c>
      <c r="U41" s="62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8">
        <v>0</v>
      </c>
      <c r="AD41" s="72">
        <f t="shared" si="7"/>
        <v>0</v>
      </c>
      <c r="AE41" s="84">
        <v>0</v>
      </c>
      <c r="AF41" s="72">
        <f t="shared" si="8"/>
        <v>0</v>
      </c>
      <c r="AG41" s="72">
        <f t="shared" si="1"/>
        <v>0</v>
      </c>
      <c r="AI41"/>
    </row>
    <row r="42" spans="1:35">
      <c r="A42" s="1" t="s">
        <v>3</v>
      </c>
      <c r="B42" s="5" t="s">
        <v>93</v>
      </c>
      <c r="C42" s="16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51">
        <v>0</v>
      </c>
      <c r="T42" s="72">
        <f t="shared" si="6"/>
        <v>0</v>
      </c>
      <c r="U42" s="62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8">
        <v>0</v>
      </c>
      <c r="AD42" s="72">
        <f t="shared" si="7"/>
        <v>0</v>
      </c>
      <c r="AE42" s="84">
        <v>0</v>
      </c>
      <c r="AF42" s="72">
        <f t="shared" si="8"/>
        <v>0</v>
      </c>
      <c r="AG42" s="72">
        <f t="shared" si="1"/>
        <v>0</v>
      </c>
      <c r="AI42"/>
    </row>
    <row r="43" spans="1:35">
      <c r="A43" s="1" t="s">
        <v>3</v>
      </c>
      <c r="B43" s="5" t="s">
        <v>94</v>
      </c>
      <c r="C43" s="16">
        <v>1000</v>
      </c>
      <c r="D43" s="17">
        <v>1000</v>
      </c>
      <c r="E43" s="17">
        <v>1000</v>
      </c>
      <c r="F43" s="17">
        <v>1000</v>
      </c>
      <c r="G43" s="17">
        <v>0</v>
      </c>
      <c r="H43" s="17">
        <v>1000</v>
      </c>
      <c r="I43" s="17">
        <v>0</v>
      </c>
      <c r="J43" s="17">
        <v>1000</v>
      </c>
      <c r="K43" s="17">
        <v>0</v>
      </c>
      <c r="L43" s="17">
        <v>1000</v>
      </c>
      <c r="M43" s="17">
        <v>1000</v>
      </c>
      <c r="N43" s="17">
        <v>1000</v>
      </c>
      <c r="O43" s="17">
        <v>1000</v>
      </c>
      <c r="P43" s="17">
        <v>1000</v>
      </c>
      <c r="Q43" s="17">
        <v>1000</v>
      </c>
      <c r="R43" s="17">
        <v>1000</v>
      </c>
      <c r="S43" s="51">
        <v>0</v>
      </c>
      <c r="T43" s="72">
        <f t="shared" si="6"/>
        <v>13000</v>
      </c>
      <c r="U43" s="62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8">
        <v>0</v>
      </c>
      <c r="AD43" s="72">
        <f t="shared" si="7"/>
        <v>0</v>
      </c>
      <c r="AE43" s="84">
        <v>0</v>
      </c>
      <c r="AF43" s="72">
        <f t="shared" si="8"/>
        <v>0</v>
      </c>
      <c r="AG43" s="72">
        <f t="shared" si="1"/>
        <v>13000</v>
      </c>
      <c r="AI43"/>
    </row>
    <row r="44" spans="1:35">
      <c r="A44" s="1" t="s">
        <v>3</v>
      </c>
      <c r="B44" s="5" t="s">
        <v>95</v>
      </c>
      <c r="C44" s="16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51">
        <v>0</v>
      </c>
      <c r="T44" s="72">
        <f t="shared" si="6"/>
        <v>0</v>
      </c>
      <c r="U44" s="62">
        <v>0</v>
      </c>
      <c r="V44" s="17">
        <v>0</v>
      </c>
      <c r="W44" s="17">
        <v>6440</v>
      </c>
      <c r="X44" s="17">
        <v>6440</v>
      </c>
      <c r="Y44" s="17">
        <v>0</v>
      </c>
      <c r="Z44" s="17">
        <v>0</v>
      </c>
      <c r="AA44" s="17">
        <v>0</v>
      </c>
      <c r="AB44" s="17">
        <v>0</v>
      </c>
      <c r="AC44" s="18">
        <v>0</v>
      </c>
      <c r="AD44" s="72">
        <f t="shared" si="7"/>
        <v>12880</v>
      </c>
      <c r="AE44" s="84">
        <v>0</v>
      </c>
      <c r="AF44" s="72">
        <f t="shared" si="8"/>
        <v>0</v>
      </c>
      <c r="AG44" s="72">
        <f t="shared" si="1"/>
        <v>12880</v>
      </c>
      <c r="AI44"/>
    </row>
    <row r="45" spans="1:35">
      <c r="A45" s="1" t="s">
        <v>3</v>
      </c>
      <c r="B45" s="5" t="s">
        <v>96</v>
      </c>
      <c r="C45" s="16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51">
        <v>0</v>
      </c>
      <c r="T45" s="72">
        <f t="shared" si="6"/>
        <v>0</v>
      </c>
      <c r="U45" s="62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8">
        <v>0</v>
      </c>
      <c r="AD45" s="72">
        <f t="shared" si="7"/>
        <v>0</v>
      </c>
      <c r="AE45" s="84">
        <v>0</v>
      </c>
      <c r="AF45" s="72">
        <f t="shared" si="8"/>
        <v>0</v>
      </c>
      <c r="AG45" s="72">
        <f t="shared" si="1"/>
        <v>0</v>
      </c>
      <c r="AI45"/>
    </row>
    <row r="46" spans="1:35">
      <c r="A46" s="1" t="s">
        <v>3</v>
      </c>
      <c r="B46" s="5" t="s">
        <v>97</v>
      </c>
      <c r="C46" s="16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51">
        <v>0</v>
      </c>
      <c r="T46" s="72">
        <f t="shared" si="6"/>
        <v>0</v>
      </c>
      <c r="U46" s="62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8">
        <v>0</v>
      </c>
      <c r="AD46" s="72">
        <f t="shared" si="7"/>
        <v>0</v>
      </c>
      <c r="AE46" s="84">
        <v>0</v>
      </c>
      <c r="AF46" s="72">
        <f t="shared" si="8"/>
        <v>0</v>
      </c>
      <c r="AG46" s="72">
        <f t="shared" si="1"/>
        <v>0</v>
      </c>
      <c r="AI46"/>
    </row>
    <row r="47" spans="1:35">
      <c r="A47" s="1" t="s">
        <v>3</v>
      </c>
      <c r="B47" s="5" t="s">
        <v>98</v>
      </c>
      <c r="C47" s="16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51">
        <v>0</v>
      </c>
      <c r="T47" s="72">
        <f t="shared" si="6"/>
        <v>0</v>
      </c>
      <c r="U47" s="62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8">
        <v>0</v>
      </c>
      <c r="AD47" s="72">
        <f t="shared" si="7"/>
        <v>0</v>
      </c>
      <c r="AE47" s="84">
        <v>0</v>
      </c>
      <c r="AF47" s="72">
        <f t="shared" si="8"/>
        <v>0</v>
      </c>
      <c r="AG47" s="72">
        <f t="shared" si="1"/>
        <v>0</v>
      </c>
      <c r="AI47"/>
    </row>
    <row r="48" spans="1:35">
      <c r="A48" s="1" t="s">
        <v>3</v>
      </c>
      <c r="B48" s="5" t="s">
        <v>99</v>
      </c>
      <c r="C48" s="16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51">
        <v>0</v>
      </c>
      <c r="T48" s="72">
        <f t="shared" si="6"/>
        <v>0</v>
      </c>
      <c r="U48" s="62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8">
        <v>0</v>
      </c>
      <c r="AD48" s="72">
        <f t="shared" si="7"/>
        <v>0</v>
      </c>
      <c r="AE48" s="84">
        <v>0</v>
      </c>
      <c r="AF48" s="72">
        <f t="shared" si="8"/>
        <v>0</v>
      </c>
      <c r="AG48" s="72">
        <f t="shared" si="1"/>
        <v>0</v>
      </c>
      <c r="AI48"/>
    </row>
    <row r="49" spans="1:35">
      <c r="A49" s="1" t="s">
        <v>3</v>
      </c>
      <c r="B49" s="5" t="s">
        <v>100</v>
      </c>
      <c r="C49" s="16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51">
        <v>0</v>
      </c>
      <c r="T49" s="72">
        <f t="shared" si="6"/>
        <v>0</v>
      </c>
      <c r="U49" s="62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8">
        <v>0</v>
      </c>
      <c r="AD49" s="72">
        <f t="shared" si="7"/>
        <v>0</v>
      </c>
      <c r="AE49" s="84">
        <v>0</v>
      </c>
      <c r="AF49" s="72">
        <f t="shared" si="8"/>
        <v>0</v>
      </c>
      <c r="AG49" s="72">
        <f t="shared" si="1"/>
        <v>0</v>
      </c>
      <c r="AI49"/>
    </row>
    <row r="50" spans="1:35">
      <c r="A50" s="1" t="s">
        <v>3</v>
      </c>
      <c r="B50" s="5" t="s">
        <v>101</v>
      </c>
      <c r="C50" s="16">
        <v>0</v>
      </c>
      <c r="D50" s="17">
        <v>0</v>
      </c>
      <c r="E50" s="17">
        <v>4500</v>
      </c>
      <c r="F50" s="17">
        <v>0</v>
      </c>
      <c r="G50" s="17">
        <v>0</v>
      </c>
      <c r="H50" s="17">
        <v>1500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6000</v>
      </c>
      <c r="O50" s="17">
        <v>3000</v>
      </c>
      <c r="P50" s="17">
        <v>0</v>
      </c>
      <c r="Q50" s="17">
        <v>1500</v>
      </c>
      <c r="R50" s="17">
        <v>0</v>
      </c>
      <c r="S50" s="51">
        <v>0</v>
      </c>
      <c r="T50" s="72">
        <f t="shared" si="6"/>
        <v>16500</v>
      </c>
      <c r="U50" s="62">
        <v>0</v>
      </c>
      <c r="V50" s="17">
        <v>0</v>
      </c>
      <c r="W50" s="17">
        <v>0</v>
      </c>
      <c r="X50" s="17">
        <v>0</v>
      </c>
      <c r="Y50" s="17">
        <v>0</v>
      </c>
      <c r="Z50" s="17">
        <v>3000</v>
      </c>
      <c r="AA50" s="17">
        <v>0</v>
      </c>
      <c r="AB50" s="17">
        <v>3000</v>
      </c>
      <c r="AC50" s="18">
        <v>0</v>
      </c>
      <c r="AD50" s="72">
        <f t="shared" si="7"/>
        <v>6000</v>
      </c>
      <c r="AE50" s="84">
        <v>3000</v>
      </c>
      <c r="AF50" s="72">
        <f t="shared" si="8"/>
        <v>3000</v>
      </c>
      <c r="AG50" s="72">
        <f t="shared" si="1"/>
        <v>25500</v>
      </c>
      <c r="AI50"/>
    </row>
    <row r="51" spans="1:35">
      <c r="A51" s="1" t="s">
        <v>3</v>
      </c>
      <c r="B51" s="5" t="s">
        <v>102</v>
      </c>
      <c r="C51" s="16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51">
        <v>0</v>
      </c>
      <c r="T51" s="72">
        <f t="shared" si="6"/>
        <v>0</v>
      </c>
      <c r="U51" s="62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8">
        <v>0</v>
      </c>
      <c r="AD51" s="72">
        <f t="shared" si="7"/>
        <v>0</v>
      </c>
      <c r="AE51" s="84">
        <v>0</v>
      </c>
      <c r="AF51" s="72">
        <f t="shared" si="8"/>
        <v>0</v>
      </c>
      <c r="AG51" s="72">
        <f t="shared" si="1"/>
        <v>0</v>
      </c>
      <c r="AI51"/>
    </row>
    <row r="52" spans="1:35">
      <c r="A52" s="1" t="s">
        <v>3</v>
      </c>
      <c r="B52" s="5" t="s">
        <v>103</v>
      </c>
      <c r="C52" s="98">
        <v>-17032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99">
        <v>-17032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51">
        <v>0</v>
      </c>
      <c r="T52" s="100">
        <f t="shared" si="6"/>
        <v>-34064</v>
      </c>
      <c r="U52" s="62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8">
        <v>0</v>
      </c>
      <c r="AD52" s="72">
        <f t="shared" si="7"/>
        <v>0</v>
      </c>
      <c r="AE52" s="84">
        <v>0</v>
      </c>
      <c r="AF52" s="72">
        <f t="shared" si="8"/>
        <v>0</v>
      </c>
      <c r="AG52" s="100">
        <f t="shared" si="1"/>
        <v>-34064</v>
      </c>
      <c r="AI52"/>
    </row>
    <row r="53" spans="1:35">
      <c r="A53" s="1" t="s">
        <v>3</v>
      </c>
      <c r="B53" s="5" t="s">
        <v>104</v>
      </c>
      <c r="C53" s="16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51">
        <v>0</v>
      </c>
      <c r="T53" s="72">
        <f t="shared" si="6"/>
        <v>0</v>
      </c>
      <c r="U53" s="62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8">
        <v>0</v>
      </c>
      <c r="AD53" s="72">
        <f t="shared" si="7"/>
        <v>0</v>
      </c>
      <c r="AE53" s="84">
        <v>0</v>
      </c>
      <c r="AF53" s="72">
        <f t="shared" si="8"/>
        <v>0</v>
      </c>
      <c r="AG53" s="72">
        <f t="shared" si="1"/>
        <v>0</v>
      </c>
      <c r="AI53"/>
    </row>
    <row r="54" spans="1:35">
      <c r="A54" s="1" t="s">
        <v>3</v>
      </c>
      <c r="B54" s="5" t="s">
        <v>70</v>
      </c>
      <c r="C54" s="16">
        <v>13330</v>
      </c>
      <c r="D54" s="17">
        <v>49280</v>
      </c>
      <c r="E54" s="17">
        <v>53686</v>
      </c>
      <c r="F54" s="17">
        <v>91946</v>
      </c>
      <c r="G54" s="17">
        <v>49000</v>
      </c>
      <c r="H54" s="17">
        <v>99705</v>
      </c>
      <c r="I54" s="17">
        <v>60950</v>
      </c>
      <c r="J54" s="17">
        <v>65317</v>
      </c>
      <c r="K54" s="17">
        <v>48944</v>
      </c>
      <c r="L54" s="17">
        <v>25327</v>
      </c>
      <c r="M54" s="17">
        <v>31992</v>
      </c>
      <c r="N54" s="17">
        <v>91977</v>
      </c>
      <c r="O54" s="17">
        <v>61440</v>
      </c>
      <c r="P54" s="17">
        <v>113305</v>
      </c>
      <c r="Q54" s="17">
        <v>92260</v>
      </c>
      <c r="R54" s="17">
        <v>63264</v>
      </c>
      <c r="S54" s="51">
        <v>50920</v>
      </c>
      <c r="T54" s="72">
        <f t="shared" si="6"/>
        <v>1062643</v>
      </c>
      <c r="U54" s="62">
        <v>0</v>
      </c>
      <c r="V54" s="17">
        <v>74165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3114</v>
      </c>
      <c r="AC54" s="18">
        <v>0</v>
      </c>
      <c r="AD54" s="72">
        <f t="shared" si="7"/>
        <v>77279</v>
      </c>
      <c r="AE54" s="84">
        <v>0</v>
      </c>
      <c r="AF54" s="72">
        <f t="shared" si="8"/>
        <v>0</v>
      </c>
      <c r="AG54" s="72">
        <f t="shared" si="1"/>
        <v>1139922</v>
      </c>
      <c r="AI54"/>
    </row>
    <row r="55" spans="1:35">
      <c r="A55" s="1" t="s">
        <v>3</v>
      </c>
      <c r="B55" s="5" t="s">
        <v>105</v>
      </c>
      <c r="C55" s="16">
        <v>41731</v>
      </c>
      <c r="D55" s="17">
        <v>0</v>
      </c>
      <c r="E55" s="17">
        <v>71610</v>
      </c>
      <c r="F55" s="17">
        <v>20813</v>
      </c>
      <c r="G55" s="17">
        <v>36288</v>
      </c>
      <c r="H55" s="17">
        <v>32781</v>
      </c>
      <c r="I55" s="17">
        <v>62964</v>
      </c>
      <c r="J55" s="17">
        <v>60438</v>
      </c>
      <c r="K55" s="17">
        <v>20865</v>
      </c>
      <c r="L55" s="17">
        <v>32387</v>
      </c>
      <c r="M55" s="17">
        <v>47487</v>
      </c>
      <c r="N55" s="17">
        <v>58999</v>
      </c>
      <c r="O55" s="17">
        <v>23494</v>
      </c>
      <c r="P55" s="17">
        <v>27341</v>
      </c>
      <c r="Q55" s="17">
        <v>32729</v>
      </c>
      <c r="R55" s="17">
        <v>0</v>
      </c>
      <c r="S55" s="51">
        <v>30228</v>
      </c>
      <c r="T55" s="72">
        <f t="shared" si="6"/>
        <v>600155</v>
      </c>
      <c r="U55" s="62">
        <v>0</v>
      </c>
      <c r="V55" s="17">
        <v>29744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8">
        <v>0</v>
      </c>
      <c r="AD55" s="72">
        <f t="shared" si="7"/>
        <v>29744</v>
      </c>
      <c r="AE55" s="84">
        <v>0</v>
      </c>
      <c r="AF55" s="72">
        <f t="shared" si="8"/>
        <v>0</v>
      </c>
      <c r="AG55" s="72">
        <f t="shared" si="1"/>
        <v>629899</v>
      </c>
      <c r="AI55"/>
    </row>
    <row r="56" spans="1:35">
      <c r="A56" s="1" t="s">
        <v>3</v>
      </c>
      <c r="B56" s="5" t="s">
        <v>106</v>
      </c>
      <c r="C56" s="16">
        <v>64755</v>
      </c>
      <c r="D56" s="17">
        <v>28880</v>
      </c>
      <c r="E56" s="17">
        <v>11935</v>
      </c>
      <c r="F56" s="17">
        <v>38424</v>
      </c>
      <c r="G56" s="17">
        <v>48384</v>
      </c>
      <c r="H56" s="17">
        <v>28098</v>
      </c>
      <c r="I56" s="17">
        <v>15741</v>
      </c>
      <c r="J56" s="17">
        <v>14390</v>
      </c>
      <c r="K56" s="17">
        <v>22256</v>
      </c>
      <c r="L56" s="17">
        <v>10073</v>
      </c>
      <c r="M56" s="17">
        <v>27341</v>
      </c>
      <c r="N56" s="17">
        <v>28780</v>
      </c>
      <c r="O56" s="17">
        <v>42842</v>
      </c>
      <c r="P56" s="17">
        <v>15829</v>
      </c>
      <c r="Q56" s="17">
        <v>15653</v>
      </c>
      <c r="R56" s="17">
        <v>11384</v>
      </c>
      <c r="S56" s="51">
        <v>10992</v>
      </c>
      <c r="T56" s="72">
        <f t="shared" si="6"/>
        <v>435757</v>
      </c>
      <c r="U56" s="62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8">
        <v>0</v>
      </c>
      <c r="AD56" s="72">
        <f t="shared" si="7"/>
        <v>0</v>
      </c>
      <c r="AE56" s="84">
        <v>0</v>
      </c>
      <c r="AF56" s="72">
        <f t="shared" si="8"/>
        <v>0</v>
      </c>
      <c r="AG56" s="72">
        <f t="shared" si="1"/>
        <v>435757</v>
      </c>
      <c r="AI56"/>
    </row>
    <row r="57" spans="1:35">
      <c r="A57" s="1" t="s">
        <v>3</v>
      </c>
      <c r="B57" s="5" t="s">
        <v>107</v>
      </c>
      <c r="C57" s="16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51">
        <v>0</v>
      </c>
      <c r="T57" s="72">
        <f t="shared" si="6"/>
        <v>0</v>
      </c>
      <c r="U57" s="62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8">
        <v>0</v>
      </c>
      <c r="AD57" s="72">
        <f t="shared" si="7"/>
        <v>0</v>
      </c>
      <c r="AE57" s="84">
        <v>0</v>
      </c>
      <c r="AF57" s="72">
        <f t="shared" si="8"/>
        <v>0</v>
      </c>
      <c r="AG57" s="72">
        <f t="shared" si="1"/>
        <v>0</v>
      </c>
      <c r="AI57"/>
    </row>
    <row r="58" spans="1:35">
      <c r="A58" s="1" t="s">
        <v>3</v>
      </c>
      <c r="B58" s="5" t="s">
        <v>108</v>
      </c>
      <c r="C58" s="16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2984</v>
      </c>
      <c r="O58" s="17">
        <v>0</v>
      </c>
      <c r="P58" s="17">
        <v>0</v>
      </c>
      <c r="Q58" s="17">
        <v>0</v>
      </c>
      <c r="R58" s="17">
        <v>0</v>
      </c>
      <c r="S58" s="51">
        <v>5340</v>
      </c>
      <c r="T58" s="72">
        <f t="shared" si="6"/>
        <v>8324</v>
      </c>
      <c r="U58" s="62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8">
        <v>0</v>
      </c>
      <c r="AD58" s="72">
        <f t="shared" si="7"/>
        <v>0</v>
      </c>
      <c r="AE58" s="84">
        <v>0</v>
      </c>
      <c r="AF58" s="72">
        <f t="shared" si="8"/>
        <v>0</v>
      </c>
      <c r="AG58" s="72">
        <f t="shared" si="1"/>
        <v>8324</v>
      </c>
      <c r="AI58"/>
    </row>
    <row r="59" spans="1:35">
      <c r="A59" s="1" t="s">
        <v>3</v>
      </c>
      <c r="B59" s="5" t="s">
        <v>109</v>
      </c>
      <c r="C59" s="16">
        <v>17032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51">
        <v>0</v>
      </c>
      <c r="T59" s="72">
        <f t="shared" si="6"/>
        <v>17032</v>
      </c>
      <c r="U59" s="62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8">
        <v>0</v>
      </c>
      <c r="AD59" s="72">
        <f t="shared" si="7"/>
        <v>0</v>
      </c>
      <c r="AE59" s="84">
        <v>0</v>
      </c>
      <c r="AF59" s="72">
        <f t="shared" si="8"/>
        <v>0</v>
      </c>
      <c r="AG59" s="72">
        <f t="shared" si="1"/>
        <v>17032</v>
      </c>
      <c r="AI59"/>
    </row>
    <row r="60" spans="1:35">
      <c r="A60" s="1" t="s">
        <v>3</v>
      </c>
      <c r="B60" s="5" t="s">
        <v>75</v>
      </c>
      <c r="C60" s="16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51">
        <v>0</v>
      </c>
      <c r="T60" s="72">
        <f t="shared" si="6"/>
        <v>0</v>
      </c>
      <c r="U60" s="62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8">
        <v>0</v>
      </c>
      <c r="AD60" s="72">
        <f t="shared" si="7"/>
        <v>0</v>
      </c>
      <c r="AE60" s="84">
        <v>0</v>
      </c>
      <c r="AF60" s="72">
        <f t="shared" si="8"/>
        <v>0</v>
      </c>
      <c r="AG60" s="72">
        <f t="shared" si="1"/>
        <v>0</v>
      </c>
      <c r="AI60"/>
    </row>
    <row r="61" spans="1:35" ht="19.5" thickBot="1">
      <c r="A61" s="1" t="s">
        <v>3</v>
      </c>
      <c r="B61" s="36" t="s">
        <v>80</v>
      </c>
      <c r="C61" s="37">
        <v>0</v>
      </c>
      <c r="D61" s="38">
        <v>846</v>
      </c>
      <c r="E61" s="38">
        <v>632</v>
      </c>
      <c r="F61" s="38">
        <v>7722</v>
      </c>
      <c r="G61" s="38">
        <v>13720</v>
      </c>
      <c r="H61" s="38">
        <v>8670</v>
      </c>
      <c r="I61" s="38">
        <v>1325</v>
      </c>
      <c r="J61" s="38">
        <v>2403</v>
      </c>
      <c r="K61" s="38">
        <v>258</v>
      </c>
      <c r="L61" s="38">
        <v>1068</v>
      </c>
      <c r="M61" s="38">
        <v>1335</v>
      </c>
      <c r="N61" s="38">
        <v>1335</v>
      </c>
      <c r="O61" s="38">
        <v>1280</v>
      </c>
      <c r="P61" s="38">
        <v>10680</v>
      </c>
      <c r="Q61" s="38">
        <v>8448</v>
      </c>
      <c r="R61" s="38">
        <v>3696</v>
      </c>
      <c r="S61" s="52">
        <v>9945</v>
      </c>
      <c r="T61" s="73">
        <f t="shared" si="6"/>
        <v>73363</v>
      </c>
      <c r="U61" s="63">
        <v>2178</v>
      </c>
      <c r="V61" s="38">
        <v>848</v>
      </c>
      <c r="W61" s="38">
        <v>0</v>
      </c>
      <c r="X61" s="38">
        <v>0</v>
      </c>
      <c r="Y61" s="38">
        <v>10500</v>
      </c>
      <c r="Z61" s="38">
        <v>5670</v>
      </c>
      <c r="AA61" s="38">
        <v>9450</v>
      </c>
      <c r="AB61" s="38">
        <v>4160</v>
      </c>
      <c r="AC61" s="39">
        <v>0</v>
      </c>
      <c r="AD61" s="73">
        <f t="shared" si="7"/>
        <v>32806</v>
      </c>
      <c r="AE61" s="85">
        <v>1124</v>
      </c>
      <c r="AF61" s="73">
        <f t="shared" si="8"/>
        <v>1124</v>
      </c>
      <c r="AG61" s="73">
        <f t="shared" si="1"/>
        <v>107293</v>
      </c>
      <c r="AI61"/>
    </row>
    <row r="62" spans="1:35" ht="19.5" thickBot="1">
      <c r="A62" s="1" t="s">
        <v>3</v>
      </c>
      <c r="B62" s="40" t="s">
        <v>110</v>
      </c>
      <c r="C62" s="41">
        <v>297816</v>
      </c>
      <c r="D62" s="42">
        <v>267006</v>
      </c>
      <c r="E62" s="42">
        <v>353363</v>
      </c>
      <c r="F62" s="42">
        <v>356905</v>
      </c>
      <c r="G62" s="42">
        <v>334392</v>
      </c>
      <c r="H62" s="42">
        <v>363754</v>
      </c>
      <c r="I62" s="42">
        <v>317980</v>
      </c>
      <c r="J62" s="42">
        <v>320548</v>
      </c>
      <c r="K62" s="42">
        <v>264323</v>
      </c>
      <c r="L62" s="42">
        <v>321487</v>
      </c>
      <c r="M62" s="42">
        <v>269123</v>
      </c>
      <c r="N62" s="42">
        <v>368075</v>
      </c>
      <c r="O62" s="42">
        <v>303056</v>
      </c>
      <c r="P62" s="42">
        <v>345155</v>
      </c>
      <c r="Q62" s="42">
        <v>326590</v>
      </c>
      <c r="R62" s="42">
        <v>254344</v>
      </c>
      <c r="S62" s="53">
        <v>277425</v>
      </c>
      <c r="T62" s="74">
        <f t="shared" si="6"/>
        <v>5341342</v>
      </c>
      <c r="U62" s="64">
        <v>487178</v>
      </c>
      <c r="V62" s="42">
        <v>387757</v>
      </c>
      <c r="W62" s="42">
        <v>84640</v>
      </c>
      <c r="X62" s="42">
        <v>86480</v>
      </c>
      <c r="Y62" s="42">
        <v>70140</v>
      </c>
      <c r="Z62" s="42">
        <v>41430</v>
      </c>
      <c r="AA62" s="42">
        <v>62370</v>
      </c>
      <c r="AB62" s="42">
        <v>65054</v>
      </c>
      <c r="AC62" s="43">
        <v>64680</v>
      </c>
      <c r="AD62" s="74">
        <f t="shared" si="7"/>
        <v>1349729</v>
      </c>
      <c r="AE62" s="86">
        <v>379124</v>
      </c>
      <c r="AF62" s="74">
        <f t="shared" si="8"/>
        <v>379124</v>
      </c>
      <c r="AG62" s="74">
        <f t="shared" si="1"/>
        <v>7070195</v>
      </c>
      <c r="AI62"/>
    </row>
    <row r="63" spans="1:35">
      <c r="A63" s="1" t="s">
        <v>3</v>
      </c>
      <c r="B63" s="22" t="s">
        <v>111</v>
      </c>
      <c r="C63" s="30">
        <v>10145</v>
      </c>
      <c r="D63" s="31">
        <v>1812</v>
      </c>
      <c r="E63" s="31">
        <v>5652</v>
      </c>
      <c r="F63" s="31">
        <v>2899</v>
      </c>
      <c r="G63" s="31">
        <v>12778</v>
      </c>
      <c r="H63" s="31">
        <v>2319</v>
      </c>
      <c r="I63" s="31">
        <v>2223</v>
      </c>
      <c r="J63" s="31">
        <v>1112</v>
      </c>
      <c r="K63" s="31">
        <v>2174</v>
      </c>
      <c r="L63" s="31">
        <v>4445</v>
      </c>
      <c r="M63" s="31">
        <v>4831</v>
      </c>
      <c r="N63" s="31">
        <v>4396</v>
      </c>
      <c r="O63" s="31">
        <v>7247</v>
      </c>
      <c r="P63" s="31">
        <v>3334</v>
      </c>
      <c r="Q63" s="31">
        <v>5797</v>
      </c>
      <c r="R63" s="31">
        <v>8213</v>
      </c>
      <c r="S63" s="50">
        <v>3720</v>
      </c>
      <c r="T63" s="71">
        <f t="shared" si="6"/>
        <v>83097</v>
      </c>
      <c r="U63" s="61">
        <v>8334</v>
      </c>
      <c r="V63" s="31">
        <v>4566</v>
      </c>
      <c r="W63" s="31">
        <v>2512</v>
      </c>
      <c r="X63" s="31">
        <v>1691</v>
      </c>
      <c r="Y63" s="31">
        <v>2899</v>
      </c>
      <c r="Z63" s="31">
        <v>2174</v>
      </c>
      <c r="AA63" s="31">
        <v>3479</v>
      </c>
      <c r="AB63" s="31">
        <v>2826</v>
      </c>
      <c r="AC63" s="32">
        <v>6425</v>
      </c>
      <c r="AD63" s="71">
        <f t="shared" si="7"/>
        <v>34906</v>
      </c>
      <c r="AE63" s="83">
        <v>7536</v>
      </c>
      <c r="AF63" s="71">
        <f t="shared" si="8"/>
        <v>7536</v>
      </c>
      <c r="AG63" s="71">
        <f t="shared" si="1"/>
        <v>125539</v>
      </c>
      <c r="AI63"/>
    </row>
    <row r="64" spans="1:35" ht="19.5" thickBot="1">
      <c r="A64" s="1" t="s">
        <v>3</v>
      </c>
      <c r="B64" s="36" t="s">
        <v>112</v>
      </c>
      <c r="C64" s="37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52">
        <v>0</v>
      </c>
      <c r="T64" s="73">
        <f t="shared" si="6"/>
        <v>0</v>
      </c>
      <c r="U64" s="63">
        <v>0</v>
      </c>
      <c r="V64" s="38">
        <v>0</v>
      </c>
      <c r="W64" s="38">
        <v>0</v>
      </c>
      <c r="X64" s="38">
        <v>0</v>
      </c>
      <c r="Y64" s="38">
        <v>0</v>
      </c>
      <c r="Z64" s="38">
        <v>0</v>
      </c>
      <c r="AA64" s="38">
        <v>0</v>
      </c>
      <c r="AB64" s="38">
        <v>0</v>
      </c>
      <c r="AC64" s="39">
        <v>0</v>
      </c>
      <c r="AD64" s="73">
        <f t="shared" si="7"/>
        <v>0</v>
      </c>
      <c r="AE64" s="85">
        <v>0</v>
      </c>
      <c r="AF64" s="73">
        <f t="shared" si="8"/>
        <v>0</v>
      </c>
      <c r="AG64" s="73">
        <f t="shared" si="1"/>
        <v>0</v>
      </c>
      <c r="AI64"/>
    </row>
    <row r="65" spans="1:35" ht="19.5" thickBot="1">
      <c r="A65" s="1" t="s">
        <v>3</v>
      </c>
      <c r="B65" s="40" t="s">
        <v>113</v>
      </c>
      <c r="C65" s="41">
        <v>10145</v>
      </c>
      <c r="D65" s="42">
        <v>1812</v>
      </c>
      <c r="E65" s="42">
        <v>5652</v>
      </c>
      <c r="F65" s="42">
        <v>2899</v>
      </c>
      <c r="G65" s="42">
        <v>12778</v>
      </c>
      <c r="H65" s="42">
        <v>2319</v>
      </c>
      <c r="I65" s="42">
        <v>2223</v>
      </c>
      <c r="J65" s="42">
        <v>1112</v>
      </c>
      <c r="K65" s="42">
        <v>2174</v>
      </c>
      <c r="L65" s="42">
        <v>4445</v>
      </c>
      <c r="M65" s="42">
        <v>4831</v>
      </c>
      <c r="N65" s="42">
        <v>4396</v>
      </c>
      <c r="O65" s="42">
        <v>7247</v>
      </c>
      <c r="P65" s="42">
        <v>3334</v>
      </c>
      <c r="Q65" s="42">
        <v>5797</v>
      </c>
      <c r="R65" s="42">
        <v>8213</v>
      </c>
      <c r="S65" s="53">
        <v>3720</v>
      </c>
      <c r="T65" s="74">
        <f t="shared" si="6"/>
        <v>83097</v>
      </c>
      <c r="U65" s="64">
        <v>8334</v>
      </c>
      <c r="V65" s="42">
        <v>4566</v>
      </c>
      <c r="W65" s="42">
        <v>2512</v>
      </c>
      <c r="X65" s="42">
        <v>1691</v>
      </c>
      <c r="Y65" s="42">
        <v>2899</v>
      </c>
      <c r="Z65" s="42">
        <v>2174</v>
      </c>
      <c r="AA65" s="42">
        <v>3479</v>
      </c>
      <c r="AB65" s="42">
        <v>2826</v>
      </c>
      <c r="AC65" s="43">
        <v>6425</v>
      </c>
      <c r="AD65" s="74">
        <f t="shared" si="7"/>
        <v>34906</v>
      </c>
      <c r="AE65" s="86">
        <v>7536</v>
      </c>
      <c r="AF65" s="74">
        <f t="shared" si="8"/>
        <v>7536</v>
      </c>
      <c r="AG65" s="74">
        <f t="shared" si="1"/>
        <v>125539</v>
      </c>
      <c r="AI65"/>
    </row>
    <row r="66" spans="1:35" ht="19.5" thickBot="1">
      <c r="A66" s="1" t="s">
        <v>3</v>
      </c>
      <c r="B66" s="40" t="s">
        <v>114</v>
      </c>
      <c r="C66" s="41">
        <v>307961</v>
      </c>
      <c r="D66" s="42">
        <v>268818</v>
      </c>
      <c r="E66" s="42">
        <v>359015</v>
      </c>
      <c r="F66" s="42">
        <v>359804</v>
      </c>
      <c r="G66" s="42">
        <v>347170</v>
      </c>
      <c r="H66" s="42">
        <v>366073</v>
      </c>
      <c r="I66" s="42">
        <v>320203</v>
      </c>
      <c r="J66" s="42">
        <v>321660</v>
      </c>
      <c r="K66" s="42">
        <v>266497</v>
      </c>
      <c r="L66" s="42">
        <v>325932</v>
      </c>
      <c r="M66" s="42">
        <v>273954</v>
      </c>
      <c r="N66" s="42">
        <v>372471</v>
      </c>
      <c r="O66" s="42">
        <v>310303</v>
      </c>
      <c r="P66" s="42">
        <v>348489</v>
      </c>
      <c r="Q66" s="42">
        <v>332387</v>
      </c>
      <c r="R66" s="42">
        <v>262557</v>
      </c>
      <c r="S66" s="53">
        <v>281145</v>
      </c>
      <c r="T66" s="74">
        <f t="shared" si="6"/>
        <v>5424439</v>
      </c>
      <c r="U66" s="64">
        <v>495512</v>
      </c>
      <c r="V66" s="42">
        <v>392323</v>
      </c>
      <c r="W66" s="42">
        <v>87152</v>
      </c>
      <c r="X66" s="42">
        <v>88171</v>
      </c>
      <c r="Y66" s="42">
        <v>73039</v>
      </c>
      <c r="Z66" s="42">
        <v>43604</v>
      </c>
      <c r="AA66" s="42">
        <v>65849</v>
      </c>
      <c r="AB66" s="42">
        <v>67880</v>
      </c>
      <c r="AC66" s="43">
        <v>71105</v>
      </c>
      <c r="AD66" s="74">
        <f t="shared" si="7"/>
        <v>1384635</v>
      </c>
      <c r="AE66" s="86">
        <v>386660</v>
      </c>
      <c r="AF66" s="74">
        <f t="shared" si="8"/>
        <v>386660</v>
      </c>
      <c r="AG66" s="74">
        <f t="shared" si="1"/>
        <v>7195734</v>
      </c>
      <c r="AI66"/>
    </row>
    <row r="67" spans="1:35">
      <c r="A67" s="1" t="s">
        <v>3</v>
      </c>
      <c r="B67" s="22" t="s">
        <v>115</v>
      </c>
      <c r="C67" s="30">
        <v>16320</v>
      </c>
      <c r="D67" s="31">
        <v>19380</v>
      </c>
      <c r="E67" s="31">
        <v>19380</v>
      </c>
      <c r="F67" s="31">
        <v>20910</v>
      </c>
      <c r="G67" s="31">
        <v>19380</v>
      </c>
      <c r="H67" s="31">
        <v>20910</v>
      </c>
      <c r="I67" s="31">
        <v>16320</v>
      </c>
      <c r="J67" s="31">
        <v>15300</v>
      </c>
      <c r="K67" s="31">
        <v>16320</v>
      </c>
      <c r="L67" s="31">
        <v>17340</v>
      </c>
      <c r="M67" s="31">
        <v>16320</v>
      </c>
      <c r="N67" s="31">
        <v>17340</v>
      </c>
      <c r="O67" s="31">
        <v>15300</v>
      </c>
      <c r="P67" s="31">
        <v>19380</v>
      </c>
      <c r="Q67" s="31">
        <v>17340</v>
      </c>
      <c r="R67" s="31">
        <v>15300</v>
      </c>
      <c r="S67" s="50">
        <v>13260</v>
      </c>
      <c r="T67" s="71">
        <f t="shared" si="6"/>
        <v>295800</v>
      </c>
      <c r="U67" s="61">
        <v>23970</v>
      </c>
      <c r="V67" s="31">
        <v>19380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2">
        <v>0</v>
      </c>
      <c r="AD67" s="71">
        <f t="shared" si="7"/>
        <v>43350</v>
      </c>
      <c r="AE67" s="83">
        <v>19380</v>
      </c>
      <c r="AF67" s="71">
        <f t="shared" si="8"/>
        <v>19380</v>
      </c>
      <c r="AG67" s="71">
        <f t="shared" si="1"/>
        <v>358530</v>
      </c>
      <c r="AI67"/>
    </row>
    <row r="68" spans="1:35">
      <c r="A68" s="1" t="s">
        <v>3</v>
      </c>
      <c r="B68" s="5" t="s">
        <v>116</v>
      </c>
      <c r="C68" s="16">
        <v>2880</v>
      </c>
      <c r="D68" s="17">
        <v>3420</v>
      </c>
      <c r="E68" s="17">
        <v>3420</v>
      </c>
      <c r="F68" s="17">
        <v>3690</v>
      </c>
      <c r="G68" s="17">
        <v>3420</v>
      </c>
      <c r="H68" s="17">
        <v>3690</v>
      </c>
      <c r="I68" s="17">
        <v>2880</v>
      </c>
      <c r="J68" s="17">
        <v>2700</v>
      </c>
      <c r="K68" s="17">
        <v>2880</v>
      </c>
      <c r="L68" s="17">
        <v>3060</v>
      </c>
      <c r="M68" s="17">
        <v>2880</v>
      </c>
      <c r="N68" s="17">
        <v>0</v>
      </c>
      <c r="O68" s="17">
        <v>2700</v>
      </c>
      <c r="P68" s="17">
        <v>3420</v>
      </c>
      <c r="Q68" s="17">
        <v>3060</v>
      </c>
      <c r="R68" s="17">
        <v>2700</v>
      </c>
      <c r="S68" s="51">
        <v>0</v>
      </c>
      <c r="T68" s="72">
        <f t="shared" si="6"/>
        <v>46800</v>
      </c>
      <c r="U68" s="62">
        <v>0</v>
      </c>
      <c r="V68" s="17">
        <v>3420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8">
        <v>0</v>
      </c>
      <c r="AD68" s="72">
        <f t="shared" si="7"/>
        <v>3420</v>
      </c>
      <c r="AE68" s="84">
        <v>3420</v>
      </c>
      <c r="AF68" s="72">
        <f t="shared" si="8"/>
        <v>3420</v>
      </c>
      <c r="AG68" s="72">
        <f t="shared" si="1"/>
        <v>53640</v>
      </c>
      <c r="AI68"/>
    </row>
    <row r="69" spans="1:35">
      <c r="A69" s="1" t="s">
        <v>3</v>
      </c>
      <c r="B69" s="5" t="s">
        <v>117</v>
      </c>
      <c r="C69" s="16">
        <v>29280</v>
      </c>
      <c r="D69" s="17">
        <v>34770</v>
      </c>
      <c r="E69" s="17">
        <v>34770</v>
      </c>
      <c r="F69" s="17">
        <v>37515</v>
      </c>
      <c r="G69" s="17">
        <v>34770</v>
      </c>
      <c r="H69" s="17">
        <v>37515</v>
      </c>
      <c r="I69" s="17">
        <v>29280</v>
      </c>
      <c r="J69" s="17">
        <v>27450</v>
      </c>
      <c r="K69" s="17">
        <v>29280</v>
      </c>
      <c r="L69" s="17">
        <v>31110</v>
      </c>
      <c r="M69" s="17">
        <v>29280</v>
      </c>
      <c r="N69" s="17">
        <v>31110</v>
      </c>
      <c r="O69" s="17">
        <v>27450</v>
      </c>
      <c r="P69" s="17">
        <v>34770</v>
      </c>
      <c r="Q69" s="17">
        <v>31110</v>
      </c>
      <c r="R69" s="17">
        <v>27450</v>
      </c>
      <c r="S69" s="51">
        <v>23790</v>
      </c>
      <c r="T69" s="72">
        <f t="shared" si="6"/>
        <v>530700</v>
      </c>
      <c r="U69" s="62">
        <v>43005</v>
      </c>
      <c r="V69" s="17">
        <v>34770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8">
        <v>0</v>
      </c>
      <c r="AD69" s="72">
        <f t="shared" si="7"/>
        <v>77775</v>
      </c>
      <c r="AE69" s="84">
        <v>34770</v>
      </c>
      <c r="AF69" s="72">
        <f t="shared" si="8"/>
        <v>34770</v>
      </c>
      <c r="AG69" s="72">
        <f t="shared" si="1"/>
        <v>643245</v>
      </c>
      <c r="AI69"/>
    </row>
    <row r="70" spans="1:35">
      <c r="A70" s="1" t="s">
        <v>3</v>
      </c>
      <c r="B70" s="5" t="s">
        <v>118</v>
      </c>
      <c r="C70" s="16">
        <v>924</v>
      </c>
      <c r="D70" s="17">
        <v>806</v>
      </c>
      <c r="E70" s="17">
        <v>1077</v>
      </c>
      <c r="F70" s="17">
        <v>1079</v>
      </c>
      <c r="G70" s="17">
        <v>1042</v>
      </c>
      <c r="H70" s="17">
        <v>1098</v>
      </c>
      <c r="I70" s="17">
        <v>961</v>
      </c>
      <c r="J70" s="17">
        <v>965</v>
      </c>
      <c r="K70" s="17">
        <v>799</v>
      </c>
      <c r="L70" s="17">
        <v>978</v>
      </c>
      <c r="M70" s="17">
        <v>822</v>
      </c>
      <c r="N70" s="17">
        <v>1117</v>
      </c>
      <c r="O70" s="17">
        <v>931</v>
      </c>
      <c r="P70" s="17">
        <v>1045</v>
      </c>
      <c r="Q70" s="17">
        <v>997</v>
      </c>
      <c r="R70" s="17">
        <v>788</v>
      </c>
      <c r="S70" s="51">
        <v>843</v>
      </c>
      <c r="T70" s="72">
        <f t="shared" si="6"/>
        <v>16272</v>
      </c>
      <c r="U70" s="62">
        <v>1487</v>
      </c>
      <c r="V70" s="17">
        <v>1177</v>
      </c>
      <c r="W70" s="17">
        <v>261</v>
      </c>
      <c r="X70" s="17">
        <v>265</v>
      </c>
      <c r="Y70" s="17">
        <v>0</v>
      </c>
      <c r="Z70" s="17">
        <v>0</v>
      </c>
      <c r="AA70" s="17">
        <v>0</v>
      </c>
      <c r="AB70" s="17">
        <v>0</v>
      </c>
      <c r="AC70" s="18">
        <v>213</v>
      </c>
      <c r="AD70" s="72">
        <f t="shared" si="7"/>
        <v>3403</v>
      </c>
      <c r="AE70" s="84">
        <v>1160</v>
      </c>
      <c r="AF70" s="72">
        <f t="shared" si="8"/>
        <v>1160</v>
      </c>
      <c r="AG70" s="72">
        <f t="shared" si="1"/>
        <v>20835</v>
      </c>
      <c r="AI70"/>
    </row>
    <row r="71" spans="1:35" ht="19.5" thickBot="1">
      <c r="A71" s="1" t="s">
        <v>3</v>
      </c>
      <c r="B71" s="36" t="s">
        <v>119</v>
      </c>
      <c r="C71" s="37">
        <v>0</v>
      </c>
      <c r="D71" s="38">
        <v>0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52">
        <v>0</v>
      </c>
      <c r="T71" s="73">
        <f t="shared" si="6"/>
        <v>0</v>
      </c>
      <c r="U71" s="63">
        <v>0</v>
      </c>
      <c r="V71" s="38">
        <v>0</v>
      </c>
      <c r="W71" s="38">
        <v>0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9">
        <v>0</v>
      </c>
      <c r="AD71" s="73">
        <f t="shared" si="7"/>
        <v>0</v>
      </c>
      <c r="AE71" s="85">
        <v>0</v>
      </c>
      <c r="AF71" s="73">
        <f t="shared" si="8"/>
        <v>0</v>
      </c>
      <c r="AG71" s="73">
        <f t="shared" si="1"/>
        <v>0</v>
      </c>
      <c r="AI71"/>
    </row>
    <row r="72" spans="1:35" ht="19.5" thickBot="1">
      <c r="A72" s="1" t="s">
        <v>3</v>
      </c>
      <c r="B72" s="40" t="s">
        <v>120</v>
      </c>
      <c r="C72" s="41">
        <v>49404</v>
      </c>
      <c r="D72" s="42">
        <v>58376</v>
      </c>
      <c r="E72" s="42">
        <v>58647</v>
      </c>
      <c r="F72" s="42">
        <v>63194</v>
      </c>
      <c r="G72" s="42">
        <v>58612</v>
      </c>
      <c r="H72" s="42">
        <v>63213</v>
      </c>
      <c r="I72" s="42">
        <v>49441</v>
      </c>
      <c r="J72" s="42">
        <v>46415</v>
      </c>
      <c r="K72" s="42">
        <v>49279</v>
      </c>
      <c r="L72" s="42">
        <v>52488</v>
      </c>
      <c r="M72" s="42">
        <v>49302</v>
      </c>
      <c r="N72" s="42">
        <v>49567</v>
      </c>
      <c r="O72" s="42">
        <v>46381</v>
      </c>
      <c r="P72" s="42">
        <v>58615</v>
      </c>
      <c r="Q72" s="42">
        <v>52507</v>
      </c>
      <c r="R72" s="42">
        <v>46238</v>
      </c>
      <c r="S72" s="53">
        <v>37893</v>
      </c>
      <c r="T72" s="74">
        <f t="shared" si="6"/>
        <v>889572</v>
      </c>
      <c r="U72" s="64">
        <v>68462</v>
      </c>
      <c r="V72" s="42">
        <v>58747</v>
      </c>
      <c r="W72" s="42">
        <v>261</v>
      </c>
      <c r="X72" s="42">
        <v>265</v>
      </c>
      <c r="Y72" s="42">
        <v>0</v>
      </c>
      <c r="Z72" s="42">
        <v>0</v>
      </c>
      <c r="AA72" s="42">
        <v>0</v>
      </c>
      <c r="AB72" s="42">
        <v>0</v>
      </c>
      <c r="AC72" s="43">
        <v>213</v>
      </c>
      <c r="AD72" s="74">
        <f t="shared" si="7"/>
        <v>127948</v>
      </c>
      <c r="AE72" s="86">
        <v>58730</v>
      </c>
      <c r="AF72" s="74">
        <f t="shared" si="8"/>
        <v>58730</v>
      </c>
      <c r="AG72" s="74">
        <f t="shared" si="1"/>
        <v>1076250</v>
      </c>
      <c r="AI72"/>
    </row>
    <row r="73" spans="1:35">
      <c r="A73" s="1" t="s">
        <v>3</v>
      </c>
      <c r="B73" s="22" t="s">
        <v>121</v>
      </c>
      <c r="C73" s="30">
        <v>4880</v>
      </c>
      <c r="D73" s="31">
        <v>5070</v>
      </c>
      <c r="E73" s="31">
        <v>6530</v>
      </c>
      <c r="F73" s="31">
        <v>8110</v>
      </c>
      <c r="G73" s="31">
        <v>5860</v>
      </c>
      <c r="H73" s="31">
        <v>8420</v>
      </c>
      <c r="I73" s="31">
        <v>7210</v>
      </c>
      <c r="J73" s="31">
        <v>5800</v>
      </c>
      <c r="K73" s="31">
        <v>5300</v>
      </c>
      <c r="L73" s="31">
        <v>7230</v>
      </c>
      <c r="M73" s="31">
        <v>5470</v>
      </c>
      <c r="N73" s="31">
        <v>9890</v>
      </c>
      <c r="O73" s="31">
        <v>6790</v>
      </c>
      <c r="P73" s="31">
        <v>7860</v>
      </c>
      <c r="Q73" s="31">
        <v>2560</v>
      </c>
      <c r="R73" s="31">
        <v>5050</v>
      </c>
      <c r="S73" s="50">
        <v>6180</v>
      </c>
      <c r="T73" s="71">
        <f t="shared" si="6"/>
        <v>108210</v>
      </c>
      <c r="U73" s="61">
        <v>18080</v>
      </c>
      <c r="V73" s="31">
        <v>7910</v>
      </c>
      <c r="W73" s="31">
        <v>0</v>
      </c>
      <c r="X73" s="31">
        <v>20</v>
      </c>
      <c r="Y73" s="31">
        <v>0</v>
      </c>
      <c r="Z73" s="31">
        <v>0</v>
      </c>
      <c r="AA73" s="31">
        <v>0</v>
      </c>
      <c r="AB73" s="31">
        <v>0</v>
      </c>
      <c r="AC73" s="32">
        <v>0</v>
      </c>
      <c r="AD73" s="71">
        <f t="shared" si="7"/>
        <v>26010</v>
      </c>
      <c r="AE73" s="83">
        <v>10050</v>
      </c>
      <c r="AF73" s="71">
        <f t="shared" si="8"/>
        <v>10050</v>
      </c>
      <c r="AG73" s="71">
        <f t="shared" si="1"/>
        <v>144270</v>
      </c>
      <c r="AI73"/>
    </row>
    <row r="74" spans="1:35">
      <c r="A74" s="1" t="s">
        <v>3</v>
      </c>
      <c r="B74" s="5" t="s">
        <v>122</v>
      </c>
      <c r="C74" s="16">
        <v>1300</v>
      </c>
      <c r="D74" s="17">
        <v>1300</v>
      </c>
      <c r="E74" s="17">
        <v>1300</v>
      </c>
      <c r="F74" s="17">
        <v>0</v>
      </c>
      <c r="G74" s="17">
        <v>1300</v>
      </c>
      <c r="H74" s="17">
        <v>1300</v>
      </c>
      <c r="I74" s="17">
        <v>1300</v>
      </c>
      <c r="J74" s="17">
        <v>1300</v>
      </c>
      <c r="K74" s="17">
        <v>1300</v>
      </c>
      <c r="L74" s="17">
        <v>1300</v>
      </c>
      <c r="M74" s="17">
        <v>0</v>
      </c>
      <c r="N74" s="17">
        <v>0</v>
      </c>
      <c r="O74" s="17">
        <v>1300</v>
      </c>
      <c r="P74" s="17">
        <v>1300</v>
      </c>
      <c r="Q74" s="17">
        <v>1300</v>
      </c>
      <c r="R74" s="17">
        <v>0</v>
      </c>
      <c r="S74" s="51">
        <v>0</v>
      </c>
      <c r="T74" s="72">
        <f t="shared" si="6"/>
        <v>15600</v>
      </c>
      <c r="U74" s="62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8">
        <v>0</v>
      </c>
      <c r="AD74" s="72">
        <f t="shared" si="7"/>
        <v>0</v>
      </c>
      <c r="AE74" s="84">
        <v>0</v>
      </c>
      <c r="AF74" s="72">
        <f t="shared" si="8"/>
        <v>0</v>
      </c>
      <c r="AG74" s="72">
        <f t="shared" si="1"/>
        <v>15600</v>
      </c>
      <c r="AI74"/>
    </row>
    <row r="75" spans="1:35">
      <c r="A75" s="1" t="s">
        <v>3</v>
      </c>
      <c r="B75" s="5" t="s">
        <v>123</v>
      </c>
      <c r="C75" s="16">
        <v>8600</v>
      </c>
      <c r="D75" s="17">
        <v>14600</v>
      </c>
      <c r="E75" s="17">
        <v>13800</v>
      </c>
      <c r="F75" s="17">
        <v>16700</v>
      </c>
      <c r="G75" s="17">
        <v>15200</v>
      </c>
      <c r="H75" s="17">
        <v>17700</v>
      </c>
      <c r="I75" s="17">
        <v>13500</v>
      </c>
      <c r="J75" s="17">
        <v>9200</v>
      </c>
      <c r="K75" s="17">
        <v>13000</v>
      </c>
      <c r="L75" s="17">
        <v>13800</v>
      </c>
      <c r="M75" s="17">
        <v>10500</v>
      </c>
      <c r="N75" s="17">
        <v>13500</v>
      </c>
      <c r="O75" s="17">
        <v>12100</v>
      </c>
      <c r="P75" s="17">
        <v>14200</v>
      </c>
      <c r="Q75" s="17">
        <v>5600</v>
      </c>
      <c r="R75" s="17">
        <v>0</v>
      </c>
      <c r="S75" s="51">
        <v>0</v>
      </c>
      <c r="T75" s="72">
        <f t="shared" si="6"/>
        <v>192000</v>
      </c>
      <c r="U75" s="62">
        <v>35200</v>
      </c>
      <c r="V75" s="17">
        <v>14500</v>
      </c>
      <c r="W75" s="17">
        <v>600</v>
      </c>
      <c r="X75" s="17">
        <v>500</v>
      </c>
      <c r="Y75" s="17">
        <v>0</v>
      </c>
      <c r="Z75" s="17">
        <v>4100</v>
      </c>
      <c r="AA75" s="17">
        <v>0</v>
      </c>
      <c r="AB75" s="17">
        <v>0</v>
      </c>
      <c r="AC75" s="18">
        <v>0</v>
      </c>
      <c r="AD75" s="72">
        <f t="shared" si="7"/>
        <v>54900</v>
      </c>
      <c r="AE75" s="84">
        <v>16100</v>
      </c>
      <c r="AF75" s="72">
        <f t="shared" si="8"/>
        <v>16100</v>
      </c>
      <c r="AG75" s="72">
        <f t="shared" ref="AG75:AG84" si="9">SUM(T75+AD75+AF75)</f>
        <v>263000</v>
      </c>
      <c r="AI75"/>
    </row>
    <row r="76" spans="1:35">
      <c r="A76" s="1" t="s">
        <v>3</v>
      </c>
      <c r="B76" s="5" t="s">
        <v>124</v>
      </c>
      <c r="C76" s="16">
        <v>0</v>
      </c>
      <c r="D76" s="17">
        <v>0</v>
      </c>
      <c r="E76" s="17">
        <v>0</v>
      </c>
      <c r="F76" s="17">
        <v>10000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51">
        <v>0</v>
      </c>
      <c r="T76" s="72">
        <f t="shared" si="6"/>
        <v>10000</v>
      </c>
      <c r="U76" s="62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8">
        <v>0</v>
      </c>
      <c r="AD76" s="72">
        <f t="shared" si="7"/>
        <v>0</v>
      </c>
      <c r="AE76" s="84">
        <v>0</v>
      </c>
      <c r="AF76" s="72">
        <f t="shared" si="8"/>
        <v>0</v>
      </c>
      <c r="AG76" s="72">
        <f t="shared" si="9"/>
        <v>10000</v>
      </c>
      <c r="AI76"/>
    </row>
    <row r="77" spans="1:35">
      <c r="A77" s="1" t="s">
        <v>3</v>
      </c>
      <c r="B77" s="5" t="s">
        <v>125</v>
      </c>
      <c r="C77" s="16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51">
        <v>0</v>
      </c>
      <c r="T77" s="72">
        <f t="shared" si="6"/>
        <v>0</v>
      </c>
      <c r="U77" s="62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8">
        <v>0</v>
      </c>
      <c r="AD77" s="72">
        <f t="shared" si="7"/>
        <v>0</v>
      </c>
      <c r="AE77" s="84">
        <v>0</v>
      </c>
      <c r="AF77" s="72">
        <f t="shared" si="8"/>
        <v>0</v>
      </c>
      <c r="AG77" s="72">
        <f t="shared" si="9"/>
        <v>0</v>
      </c>
      <c r="AI77"/>
    </row>
    <row r="78" spans="1:35">
      <c r="A78" s="1" t="s">
        <v>3</v>
      </c>
      <c r="B78" s="5" t="s">
        <v>126</v>
      </c>
      <c r="C78" s="16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51">
        <v>0</v>
      </c>
      <c r="T78" s="72">
        <f t="shared" si="6"/>
        <v>0</v>
      </c>
      <c r="U78" s="62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8">
        <v>0</v>
      </c>
      <c r="AD78" s="72">
        <f t="shared" si="7"/>
        <v>0</v>
      </c>
      <c r="AE78" s="84">
        <v>0</v>
      </c>
      <c r="AF78" s="72">
        <f t="shared" si="8"/>
        <v>0</v>
      </c>
      <c r="AG78" s="72">
        <f t="shared" si="9"/>
        <v>0</v>
      </c>
      <c r="AI78"/>
    </row>
    <row r="79" spans="1:35" ht="19.5" thickBot="1">
      <c r="A79" s="1" t="s">
        <v>3</v>
      </c>
      <c r="B79" s="36" t="s">
        <v>127</v>
      </c>
      <c r="C79" s="37">
        <v>0</v>
      </c>
      <c r="D79" s="38">
        <v>0</v>
      </c>
      <c r="E79" s="38"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52">
        <v>0</v>
      </c>
      <c r="T79" s="73">
        <f t="shared" si="6"/>
        <v>0</v>
      </c>
      <c r="U79" s="63">
        <v>0</v>
      </c>
      <c r="V79" s="38">
        <v>0</v>
      </c>
      <c r="W79" s="38">
        <v>0</v>
      </c>
      <c r="X79" s="38">
        <v>0</v>
      </c>
      <c r="Y79" s="38">
        <v>0</v>
      </c>
      <c r="Z79" s="38">
        <v>0</v>
      </c>
      <c r="AA79" s="38">
        <v>0</v>
      </c>
      <c r="AB79" s="38">
        <v>0</v>
      </c>
      <c r="AC79" s="39">
        <v>0</v>
      </c>
      <c r="AD79" s="73">
        <f t="shared" si="7"/>
        <v>0</v>
      </c>
      <c r="AE79" s="85">
        <v>0</v>
      </c>
      <c r="AF79" s="73">
        <f t="shared" si="8"/>
        <v>0</v>
      </c>
      <c r="AG79" s="73">
        <f t="shared" si="9"/>
        <v>0</v>
      </c>
      <c r="AI79"/>
    </row>
    <row r="80" spans="1:35" ht="19.5" thickBot="1">
      <c r="A80" s="1" t="s">
        <v>3</v>
      </c>
      <c r="B80" s="40" t="s">
        <v>128</v>
      </c>
      <c r="C80" s="41">
        <v>64184</v>
      </c>
      <c r="D80" s="42">
        <v>79346</v>
      </c>
      <c r="E80" s="42">
        <v>80277</v>
      </c>
      <c r="F80" s="42">
        <v>98004</v>
      </c>
      <c r="G80" s="42">
        <v>80972</v>
      </c>
      <c r="H80" s="42">
        <v>90633</v>
      </c>
      <c r="I80" s="42">
        <v>71451</v>
      </c>
      <c r="J80" s="42">
        <v>62715</v>
      </c>
      <c r="K80" s="42">
        <v>68879</v>
      </c>
      <c r="L80" s="42">
        <v>74818</v>
      </c>
      <c r="M80" s="42">
        <v>65272</v>
      </c>
      <c r="N80" s="42">
        <v>72957</v>
      </c>
      <c r="O80" s="42">
        <v>66571</v>
      </c>
      <c r="P80" s="42">
        <v>81975</v>
      </c>
      <c r="Q80" s="42">
        <v>61967</v>
      </c>
      <c r="R80" s="42">
        <v>51288</v>
      </c>
      <c r="S80" s="53">
        <v>44073</v>
      </c>
      <c r="T80" s="74">
        <f t="shared" si="6"/>
        <v>1215382</v>
      </c>
      <c r="U80" s="64">
        <v>121742</v>
      </c>
      <c r="V80" s="42">
        <v>81157</v>
      </c>
      <c r="W80" s="42">
        <v>861</v>
      </c>
      <c r="X80" s="42">
        <v>785</v>
      </c>
      <c r="Y80" s="42">
        <v>0</v>
      </c>
      <c r="Z80" s="42">
        <v>4100</v>
      </c>
      <c r="AA80" s="42">
        <v>0</v>
      </c>
      <c r="AB80" s="42">
        <v>0</v>
      </c>
      <c r="AC80" s="43">
        <v>213</v>
      </c>
      <c r="AD80" s="74">
        <f t="shared" si="7"/>
        <v>208858</v>
      </c>
      <c r="AE80" s="86">
        <v>84880</v>
      </c>
      <c r="AF80" s="74">
        <f t="shared" si="8"/>
        <v>84880</v>
      </c>
      <c r="AG80" s="74">
        <f t="shared" si="9"/>
        <v>1509120</v>
      </c>
      <c r="AI80"/>
    </row>
    <row r="81" spans="1:35" ht="19.5" thickBot="1">
      <c r="A81" s="1" t="s">
        <v>3</v>
      </c>
      <c r="B81" s="40" t="s">
        <v>129</v>
      </c>
      <c r="C81" s="41">
        <v>248412</v>
      </c>
      <c r="D81" s="42">
        <v>208630</v>
      </c>
      <c r="E81" s="42">
        <v>294716</v>
      </c>
      <c r="F81" s="42">
        <v>293711</v>
      </c>
      <c r="G81" s="42">
        <v>275780</v>
      </c>
      <c r="H81" s="42">
        <v>300541</v>
      </c>
      <c r="I81" s="42">
        <v>268539</v>
      </c>
      <c r="J81" s="42">
        <v>274133</v>
      </c>
      <c r="K81" s="42">
        <v>215044</v>
      </c>
      <c r="L81" s="42">
        <v>268999</v>
      </c>
      <c r="M81" s="42">
        <v>219821</v>
      </c>
      <c r="N81" s="42">
        <v>318508</v>
      </c>
      <c r="O81" s="42">
        <v>256675</v>
      </c>
      <c r="P81" s="42">
        <v>286540</v>
      </c>
      <c r="Q81" s="42">
        <v>274083</v>
      </c>
      <c r="R81" s="42">
        <v>208106</v>
      </c>
      <c r="S81" s="53">
        <v>239532</v>
      </c>
      <c r="T81" s="74">
        <f t="shared" si="6"/>
        <v>4451770</v>
      </c>
      <c r="U81" s="64">
        <v>418716</v>
      </c>
      <c r="V81" s="42">
        <v>329010</v>
      </c>
      <c r="W81" s="42">
        <v>84379</v>
      </c>
      <c r="X81" s="42">
        <v>86215</v>
      </c>
      <c r="Y81" s="42">
        <v>70140</v>
      </c>
      <c r="Z81" s="42">
        <v>41430</v>
      </c>
      <c r="AA81" s="42">
        <v>62370</v>
      </c>
      <c r="AB81" s="42">
        <v>65054</v>
      </c>
      <c r="AC81" s="43">
        <v>64467</v>
      </c>
      <c r="AD81" s="74">
        <f t="shared" si="7"/>
        <v>1221781</v>
      </c>
      <c r="AE81" s="86">
        <v>320394</v>
      </c>
      <c r="AF81" s="74">
        <f t="shared" si="8"/>
        <v>320394</v>
      </c>
      <c r="AG81" s="74">
        <f t="shared" si="9"/>
        <v>5993945</v>
      </c>
      <c r="AI81"/>
    </row>
    <row r="82" spans="1:35" ht="19.5" thickBot="1">
      <c r="A82" s="1" t="s">
        <v>3</v>
      </c>
      <c r="B82" s="40" t="s">
        <v>130</v>
      </c>
      <c r="C82" s="41">
        <v>243777</v>
      </c>
      <c r="D82" s="42">
        <v>189472</v>
      </c>
      <c r="E82" s="42">
        <v>278738</v>
      </c>
      <c r="F82" s="42">
        <v>261800</v>
      </c>
      <c r="G82" s="42">
        <v>266198</v>
      </c>
      <c r="H82" s="42">
        <v>275440</v>
      </c>
      <c r="I82" s="42">
        <v>248752</v>
      </c>
      <c r="J82" s="42">
        <v>258945</v>
      </c>
      <c r="K82" s="42">
        <v>197618</v>
      </c>
      <c r="L82" s="42">
        <v>251114</v>
      </c>
      <c r="M82" s="42">
        <v>208682</v>
      </c>
      <c r="N82" s="42">
        <v>299514</v>
      </c>
      <c r="O82" s="42">
        <v>243732</v>
      </c>
      <c r="P82" s="42">
        <v>266514</v>
      </c>
      <c r="Q82" s="42">
        <v>270420</v>
      </c>
      <c r="R82" s="42">
        <v>211269</v>
      </c>
      <c r="S82" s="53">
        <v>237072</v>
      </c>
      <c r="T82" s="74">
        <f t="shared" si="6"/>
        <v>4209057</v>
      </c>
      <c r="U82" s="64">
        <v>373770</v>
      </c>
      <c r="V82" s="42">
        <v>311166</v>
      </c>
      <c r="W82" s="42">
        <v>86291</v>
      </c>
      <c r="X82" s="42">
        <v>87386</v>
      </c>
      <c r="Y82" s="42">
        <v>73039</v>
      </c>
      <c r="Z82" s="42">
        <v>39504</v>
      </c>
      <c r="AA82" s="42">
        <v>65849</v>
      </c>
      <c r="AB82" s="42">
        <v>67880</v>
      </c>
      <c r="AC82" s="43">
        <v>70892</v>
      </c>
      <c r="AD82" s="74">
        <f t="shared" si="7"/>
        <v>1175777</v>
      </c>
      <c r="AE82" s="86">
        <v>301780</v>
      </c>
      <c r="AF82" s="74">
        <f t="shared" si="8"/>
        <v>301780</v>
      </c>
      <c r="AG82" s="74">
        <f t="shared" si="9"/>
        <v>5686614</v>
      </c>
      <c r="AI82"/>
    </row>
    <row r="83" spans="1:35">
      <c r="A83" s="1" t="s">
        <v>3</v>
      </c>
      <c r="B83" s="22" t="s">
        <v>131</v>
      </c>
      <c r="C83" s="30">
        <v>0</v>
      </c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50">
        <v>0</v>
      </c>
      <c r="T83" s="71">
        <f t="shared" si="6"/>
        <v>0</v>
      </c>
      <c r="U83" s="6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2">
        <v>0</v>
      </c>
      <c r="AD83" s="71">
        <f t="shared" si="7"/>
        <v>0</v>
      </c>
      <c r="AE83" s="83">
        <v>0</v>
      </c>
      <c r="AF83" s="71">
        <f t="shared" si="8"/>
        <v>0</v>
      </c>
      <c r="AG83" s="71">
        <f t="shared" si="9"/>
        <v>0</v>
      </c>
      <c r="AI83"/>
    </row>
    <row r="84" spans="1:35">
      <c r="A84" s="1" t="s">
        <v>3</v>
      </c>
      <c r="B84" s="5" t="s">
        <v>132</v>
      </c>
      <c r="C84" s="16">
        <v>243777</v>
      </c>
      <c r="D84" s="17">
        <v>189472</v>
      </c>
      <c r="E84" s="17">
        <v>278738</v>
      </c>
      <c r="F84" s="17">
        <v>261800</v>
      </c>
      <c r="G84" s="17">
        <v>266198</v>
      </c>
      <c r="H84" s="17">
        <v>275440</v>
      </c>
      <c r="I84" s="17">
        <v>248752</v>
      </c>
      <c r="J84" s="17">
        <v>258945</v>
      </c>
      <c r="K84" s="17">
        <v>197618</v>
      </c>
      <c r="L84" s="17">
        <v>251114</v>
      </c>
      <c r="M84" s="17">
        <v>208682</v>
      </c>
      <c r="N84" s="17">
        <v>299514</v>
      </c>
      <c r="O84" s="17">
        <v>243732</v>
      </c>
      <c r="P84" s="17">
        <v>266514</v>
      </c>
      <c r="Q84" s="17">
        <v>270420</v>
      </c>
      <c r="R84" s="17">
        <v>211269</v>
      </c>
      <c r="S84" s="51">
        <v>237072</v>
      </c>
      <c r="T84" s="72">
        <f t="shared" si="6"/>
        <v>4209057</v>
      </c>
      <c r="U84" s="62">
        <v>373770</v>
      </c>
      <c r="V84" s="17">
        <v>311166</v>
      </c>
      <c r="W84" s="17">
        <v>86291</v>
      </c>
      <c r="X84" s="17">
        <v>87386</v>
      </c>
      <c r="Y84" s="17">
        <v>73039</v>
      </c>
      <c r="Z84" s="17">
        <v>39504</v>
      </c>
      <c r="AA84" s="17">
        <v>65849</v>
      </c>
      <c r="AB84" s="17">
        <v>67880</v>
      </c>
      <c r="AC84" s="18">
        <v>70892</v>
      </c>
      <c r="AD84" s="72">
        <f t="shared" si="7"/>
        <v>1175777</v>
      </c>
      <c r="AE84" s="84">
        <v>301780</v>
      </c>
      <c r="AF84" s="72">
        <f t="shared" si="8"/>
        <v>301780</v>
      </c>
      <c r="AG84" s="72">
        <f t="shared" si="9"/>
        <v>5686614</v>
      </c>
      <c r="AI84"/>
    </row>
    <row r="85" spans="1:35">
      <c r="A85" s="1" t="s">
        <v>3</v>
      </c>
      <c r="B85" s="5" t="s">
        <v>133</v>
      </c>
      <c r="C85" s="16">
        <v>1</v>
      </c>
      <c r="D85" s="17">
        <v>0</v>
      </c>
      <c r="E85" s="17">
        <v>1</v>
      </c>
      <c r="F85" s="17">
        <v>0</v>
      </c>
      <c r="G85" s="17">
        <v>1</v>
      </c>
      <c r="H85" s="17">
        <v>0</v>
      </c>
      <c r="I85" s="17">
        <v>0</v>
      </c>
      <c r="J85" s="17">
        <v>1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3</v>
      </c>
      <c r="R85" s="17">
        <v>0</v>
      </c>
      <c r="S85" s="51">
        <v>0</v>
      </c>
      <c r="T85" s="72"/>
      <c r="U85" s="62">
        <v>0</v>
      </c>
      <c r="V85" s="17">
        <v>1</v>
      </c>
      <c r="W85" s="17">
        <v>0</v>
      </c>
      <c r="X85" s="17">
        <v>0</v>
      </c>
      <c r="Y85" s="17">
        <v>1</v>
      </c>
      <c r="Z85" s="17">
        <v>1</v>
      </c>
      <c r="AA85" s="17">
        <v>1</v>
      </c>
      <c r="AB85" s="17">
        <v>1</v>
      </c>
      <c r="AC85" s="18">
        <v>1</v>
      </c>
      <c r="AD85" s="72"/>
      <c r="AE85" s="84">
        <v>0</v>
      </c>
      <c r="AF85" s="72"/>
      <c r="AG85" s="72"/>
      <c r="AI85"/>
    </row>
    <row r="86" spans="1:35" ht="19.5" thickBot="1">
      <c r="A86" s="1" t="s">
        <v>3</v>
      </c>
      <c r="B86" s="6" t="s">
        <v>134</v>
      </c>
      <c r="C86" s="19" t="s">
        <v>135</v>
      </c>
      <c r="D86" s="20" t="s">
        <v>135</v>
      </c>
      <c r="E86" s="20" t="s">
        <v>135</v>
      </c>
      <c r="F86" s="20" t="s">
        <v>135</v>
      </c>
      <c r="G86" s="20" t="s">
        <v>135</v>
      </c>
      <c r="H86" s="20" t="s">
        <v>135</v>
      </c>
      <c r="I86" s="20" t="s">
        <v>135</v>
      </c>
      <c r="J86" s="20" t="s">
        <v>135</v>
      </c>
      <c r="K86" s="20" t="s">
        <v>135</v>
      </c>
      <c r="L86" s="20" t="s">
        <v>135</v>
      </c>
      <c r="M86" s="20" t="s">
        <v>135</v>
      </c>
      <c r="N86" s="20" t="s">
        <v>135</v>
      </c>
      <c r="O86" s="20" t="s">
        <v>135</v>
      </c>
      <c r="P86" s="20" t="s">
        <v>135</v>
      </c>
      <c r="Q86" s="20" t="s">
        <v>135</v>
      </c>
      <c r="R86" s="20" t="s">
        <v>135</v>
      </c>
      <c r="S86" s="54" t="s">
        <v>135</v>
      </c>
      <c r="T86" s="75"/>
      <c r="U86" s="65" t="s">
        <v>135</v>
      </c>
      <c r="V86" s="20" t="s">
        <v>135</v>
      </c>
      <c r="W86" s="20" t="s">
        <v>135</v>
      </c>
      <c r="X86" s="20" t="s">
        <v>135</v>
      </c>
      <c r="Y86" s="20" t="s">
        <v>135</v>
      </c>
      <c r="Z86" s="20" t="s">
        <v>135</v>
      </c>
      <c r="AA86" s="20" t="s">
        <v>135</v>
      </c>
      <c r="AB86" s="20" t="s">
        <v>135</v>
      </c>
      <c r="AC86" s="21" t="s">
        <v>135</v>
      </c>
      <c r="AD86" s="75"/>
      <c r="AE86" s="87" t="s">
        <v>135</v>
      </c>
      <c r="AF86" s="75"/>
      <c r="AG86" s="75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8702-3225-4916-B8C2-C84F07EAB8C3}">
  <sheetPr>
    <pageSetUpPr fitToPage="1"/>
  </sheetPr>
  <dimension ref="A1:Q63"/>
  <sheetViews>
    <sheetView showZeros="0" workbookViewId="0">
      <selection activeCell="O36" sqref="O36"/>
    </sheetView>
  </sheetViews>
  <sheetFormatPr defaultRowHeight="18.75"/>
  <cols>
    <col min="1" max="1" width="2.375" style="2" customWidth="1"/>
    <col min="2" max="2" width="13.25" style="2" bestFit="1" customWidth="1"/>
    <col min="3" max="15" width="10.875" style="2" customWidth="1"/>
    <col min="16" max="241" width="9" style="2"/>
    <col min="242" max="242" width="2.375" style="2" customWidth="1"/>
    <col min="243" max="243" width="13.25" style="2" bestFit="1" customWidth="1"/>
    <col min="244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62" width="11.125" style="2" bestFit="1" customWidth="1"/>
    <col min="263" max="263" width="9" style="2"/>
    <col min="264" max="270" width="11.125" style="2" bestFit="1" customWidth="1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18" width="11.125" style="2" bestFit="1" customWidth="1"/>
    <col min="519" max="519" width="9" style="2"/>
    <col min="520" max="526" width="11.125" style="2" bestFit="1" customWidth="1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74" width="11.125" style="2" bestFit="1" customWidth="1"/>
    <col min="775" max="775" width="9" style="2"/>
    <col min="776" max="782" width="11.125" style="2" bestFit="1" customWidth="1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30" width="11.125" style="2" bestFit="1" customWidth="1"/>
    <col min="1031" max="1031" width="9" style="2"/>
    <col min="1032" max="1038" width="11.125" style="2" bestFit="1" customWidth="1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86" width="11.125" style="2" bestFit="1" customWidth="1"/>
    <col min="1287" max="1287" width="9" style="2"/>
    <col min="1288" max="1294" width="11.125" style="2" bestFit="1" customWidth="1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42" width="11.125" style="2" bestFit="1" customWidth="1"/>
    <col min="1543" max="1543" width="9" style="2"/>
    <col min="1544" max="1550" width="11.125" style="2" bestFit="1" customWidth="1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98" width="11.125" style="2" bestFit="1" customWidth="1"/>
    <col min="1799" max="1799" width="9" style="2"/>
    <col min="1800" max="1806" width="11.125" style="2" bestFit="1" customWidth="1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54" width="11.125" style="2" bestFit="1" customWidth="1"/>
    <col min="2055" max="2055" width="9" style="2"/>
    <col min="2056" max="2062" width="11.125" style="2" bestFit="1" customWidth="1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10" width="11.125" style="2" bestFit="1" customWidth="1"/>
    <col min="2311" max="2311" width="9" style="2"/>
    <col min="2312" max="2318" width="11.125" style="2" bestFit="1" customWidth="1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66" width="11.125" style="2" bestFit="1" customWidth="1"/>
    <col min="2567" max="2567" width="9" style="2"/>
    <col min="2568" max="2574" width="11.125" style="2" bestFit="1" customWidth="1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22" width="11.125" style="2" bestFit="1" customWidth="1"/>
    <col min="2823" max="2823" width="9" style="2"/>
    <col min="2824" max="2830" width="11.125" style="2" bestFit="1" customWidth="1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78" width="11.125" style="2" bestFit="1" customWidth="1"/>
    <col min="3079" max="3079" width="9" style="2"/>
    <col min="3080" max="3086" width="11.125" style="2" bestFit="1" customWidth="1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34" width="11.125" style="2" bestFit="1" customWidth="1"/>
    <col min="3335" max="3335" width="9" style="2"/>
    <col min="3336" max="3342" width="11.125" style="2" bestFit="1" customWidth="1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90" width="11.125" style="2" bestFit="1" customWidth="1"/>
    <col min="3591" max="3591" width="9" style="2"/>
    <col min="3592" max="3598" width="11.125" style="2" bestFit="1" customWidth="1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46" width="11.125" style="2" bestFit="1" customWidth="1"/>
    <col min="3847" max="3847" width="9" style="2"/>
    <col min="3848" max="3854" width="11.125" style="2" bestFit="1" customWidth="1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102" width="11.125" style="2" bestFit="1" customWidth="1"/>
    <col min="4103" max="4103" width="9" style="2"/>
    <col min="4104" max="4110" width="11.125" style="2" bestFit="1" customWidth="1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58" width="11.125" style="2" bestFit="1" customWidth="1"/>
    <col min="4359" max="4359" width="9" style="2"/>
    <col min="4360" max="4366" width="11.125" style="2" bestFit="1" customWidth="1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14" width="11.125" style="2" bestFit="1" customWidth="1"/>
    <col min="4615" max="4615" width="9" style="2"/>
    <col min="4616" max="4622" width="11.125" style="2" bestFit="1" customWidth="1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70" width="11.125" style="2" bestFit="1" customWidth="1"/>
    <col min="4871" max="4871" width="9" style="2"/>
    <col min="4872" max="4878" width="11.125" style="2" bestFit="1" customWidth="1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26" width="11.125" style="2" bestFit="1" customWidth="1"/>
    <col min="5127" max="5127" width="9" style="2"/>
    <col min="5128" max="5134" width="11.125" style="2" bestFit="1" customWidth="1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82" width="11.125" style="2" bestFit="1" customWidth="1"/>
    <col min="5383" max="5383" width="9" style="2"/>
    <col min="5384" max="5390" width="11.125" style="2" bestFit="1" customWidth="1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38" width="11.125" style="2" bestFit="1" customWidth="1"/>
    <col min="5639" max="5639" width="9" style="2"/>
    <col min="5640" max="5646" width="11.125" style="2" bestFit="1" customWidth="1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94" width="11.125" style="2" bestFit="1" customWidth="1"/>
    <col min="5895" max="5895" width="9" style="2"/>
    <col min="5896" max="5902" width="11.125" style="2" bestFit="1" customWidth="1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50" width="11.125" style="2" bestFit="1" customWidth="1"/>
    <col min="6151" max="6151" width="9" style="2"/>
    <col min="6152" max="6158" width="11.125" style="2" bestFit="1" customWidth="1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406" width="11.125" style="2" bestFit="1" customWidth="1"/>
    <col min="6407" max="6407" width="9" style="2"/>
    <col min="6408" max="6414" width="11.125" style="2" bestFit="1" customWidth="1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62" width="11.125" style="2" bestFit="1" customWidth="1"/>
    <col min="6663" max="6663" width="9" style="2"/>
    <col min="6664" max="6670" width="11.125" style="2" bestFit="1" customWidth="1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18" width="11.125" style="2" bestFit="1" customWidth="1"/>
    <col min="6919" max="6919" width="9" style="2"/>
    <col min="6920" max="6926" width="11.125" style="2" bestFit="1" customWidth="1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74" width="11.125" style="2" bestFit="1" customWidth="1"/>
    <col min="7175" max="7175" width="9" style="2"/>
    <col min="7176" max="7182" width="11.125" style="2" bestFit="1" customWidth="1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30" width="11.125" style="2" bestFit="1" customWidth="1"/>
    <col min="7431" max="7431" width="9" style="2"/>
    <col min="7432" max="7438" width="11.125" style="2" bestFit="1" customWidth="1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86" width="11.125" style="2" bestFit="1" customWidth="1"/>
    <col min="7687" max="7687" width="9" style="2"/>
    <col min="7688" max="7694" width="11.125" style="2" bestFit="1" customWidth="1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42" width="11.125" style="2" bestFit="1" customWidth="1"/>
    <col min="7943" max="7943" width="9" style="2"/>
    <col min="7944" max="7950" width="11.125" style="2" bestFit="1" customWidth="1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98" width="11.125" style="2" bestFit="1" customWidth="1"/>
    <col min="8199" max="8199" width="9" style="2"/>
    <col min="8200" max="8206" width="11.125" style="2" bestFit="1" customWidth="1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54" width="11.125" style="2" bestFit="1" customWidth="1"/>
    <col min="8455" max="8455" width="9" style="2"/>
    <col min="8456" max="8462" width="11.125" style="2" bestFit="1" customWidth="1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10" width="11.125" style="2" bestFit="1" customWidth="1"/>
    <col min="8711" max="8711" width="9" style="2"/>
    <col min="8712" max="8718" width="11.125" style="2" bestFit="1" customWidth="1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66" width="11.125" style="2" bestFit="1" customWidth="1"/>
    <col min="8967" max="8967" width="9" style="2"/>
    <col min="8968" max="8974" width="11.125" style="2" bestFit="1" customWidth="1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22" width="11.125" style="2" bestFit="1" customWidth="1"/>
    <col min="9223" max="9223" width="9" style="2"/>
    <col min="9224" max="9230" width="11.125" style="2" bestFit="1" customWidth="1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78" width="11.125" style="2" bestFit="1" customWidth="1"/>
    <col min="9479" max="9479" width="9" style="2"/>
    <col min="9480" max="9486" width="11.125" style="2" bestFit="1" customWidth="1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34" width="11.125" style="2" bestFit="1" customWidth="1"/>
    <col min="9735" max="9735" width="9" style="2"/>
    <col min="9736" max="9742" width="11.125" style="2" bestFit="1" customWidth="1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90" width="11.125" style="2" bestFit="1" customWidth="1"/>
    <col min="9991" max="9991" width="9" style="2"/>
    <col min="9992" max="9998" width="11.125" style="2" bestFit="1" customWidth="1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46" width="11.125" style="2" bestFit="1" customWidth="1"/>
    <col min="10247" max="10247" width="9" style="2"/>
    <col min="10248" max="10254" width="11.125" style="2" bestFit="1" customWidth="1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502" width="11.125" style="2" bestFit="1" customWidth="1"/>
    <col min="10503" max="10503" width="9" style="2"/>
    <col min="10504" max="10510" width="11.125" style="2" bestFit="1" customWidth="1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58" width="11.125" style="2" bestFit="1" customWidth="1"/>
    <col min="10759" max="10759" width="9" style="2"/>
    <col min="10760" max="10766" width="11.125" style="2" bestFit="1" customWidth="1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14" width="11.125" style="2" bestFit="1" customWidth="1"/>
    <col min="11015" max="11015" width="9" style="2"/>
    <col min="11016" max="11022" width="11.125" style="2" bestFit="1" customWidth="1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70" width="11.125" style="2" bestFit="1" customWidth="1"/>
    <col min="11271" max="11271" width="9" style="2"/>
    <col min="11272" max="11278" width="11.125" style="2" bestFit="1" customWidth="1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26" width="11.125" style="2" bestFit="1" customWidth="1"/>
    <col min="11527" max="11527" width="9" style="2"/>
    <col min="11528" max="11534" width="11.125" style="2" bestFit="1" customWidth="1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82" width="11.125" style="2" bestFit="1" customWidth="1"/>
    <col min="11783" max="11783" width="9" style="2"/>
    <col min="11784" max="11790" width="11.125" style="2" bestFit="1" customWidth="1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38" width="11.125" style="2" bestFit="1" customWidth="1"/>
    <col min="12039" max="12039" width="9" style="2"/>
    <col min="12040" max="12046" width="11.125" style="2" bestFit="1" customWidth="1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94" width="11.125" style="2" bestFit="1" customWidth="1"/>
    <col min="12295" max="12295" width="9" style="2"/>
    <col min="12296" max="12302" width="11.125" style="2" bestFit="1" customWidth="1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50" width="11.125" style="2" bestFit="1" customWidth="1"/>
    <col min="12551" max="12551" width="9" style="2"/>
    <col min="12552" max="12558" width="11.125" style="2" bestFit="1" customWidth="1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806" width="11.125" style="2" bestFit="1" customWidth="1"/>
    <col min="12807" max="12807" width="9" style="2"/>
    <col min="12808" max="12814" width="11.125" style="2" bestFit="1" customWidth="1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62" width="11.125" style="2" bestFit="1" customWidth="1"/>
    <col min="13063" max="13063" width="9" style="2"/>
    <col min="13064" max="13070" width="11.125" style="2" bestFit="1" customWidth="1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18" width="11.125" style="2" bestFit="1" customWidth="1"/>
    <col min="13319" max="13319" width="9" style="2"/>
    <col min="13320" max="13326" width="11.125" style="2" bestFit="1" customWidth="1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74" width="11.125" style="2" bestFit="1" customWidth="1"/>
    <col min="13575" max="13575" width="9" style="2"/>
    <col min="13576" max="13582" width="11.125" style="2" bestFit="1" customWidth="1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30" width="11.125" style="2" bestFit="1" customWidth="1"/>
    <col min="13831" max="13831" width="9" style="2"/>
    <col min="13832" max="13838" width="11.125" style="2" bestFit="1" customWidth="1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86" width="11.125" style="2" bestFit="1" customWidth="1"/>
    <col min="14087" max="14087" width="9" style="2"/>
    <col min="14088" max="14094" width="11.125" style="2" bestFit="1" customWidth="1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42" width="11.125" style="2" bestFit="1" customWidth="1"/>
    <col min="14343" max="14343" width="9" style="2"/>
    <col min="14344" max="14350" width="11.125" style="2" bestFit="1" customWidth="1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98" width="11.125" style="2" bestFit="1" customWidth="1"/>
    <col min="14599" max="14599" width="9" style="2"/>
    <col min="14600" max="14606" width="11.125" style="2" bestFit="1" customWidth="1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54" width="11.125" style="2" bestFit="1" customWidth="1"/>
    <col min="14855" max="14855" width="9" style="2"/>
    <col min="14856" max="14862" width="11.125" style="2" bestFit="1" customWidth="1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10" width="11.125" style="2" bestFit="1" customWidth="1"/>
    <col min="15111" max="15111" width="9" style="2"/>
    <col min="15112" max="15118" width="11.125" style="2" bestFit="1" customWidth="1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66" width="11.125" style="2" bestFit="1" customWidth="1"/>
    <col min="15367" max="15367" width="9" style="2"/>
    <col min="15368" max="15374" width="11.125" style="2" bestFit="1" customWidth="1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22" width="11.125" style="2" bestFit="1" customWidth="1"/>
    <col min="15623" max="15623" width="9" style="2"/>
    <col min="15624" max="15630" width="11.125" style="2" bestFit="1" customWidth="1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78" width="11.125" style="2" bestFit="1" customWidth="1"/>
    <col min="15879" max="15879" width="9" style="2"/>
    <col min="15880" max="15886" width="11.125" style="2" bestFit="1" customWidth="1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34" width="11.125" style="2" bestFit="1" customWidth="1"/>
    <col min="16135" max="16135" width="9" style="2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136</v>
      </c>
    </row>
    <row r="4" spans="1:17">
      <c r="B4" s="90"/>
      <c r="C4" s="55" t="s">
        <v>6</v>
      </c>
      <c r="D4" s="8" t="s">
        <v>7</v>
      </c>
      <c r="E4" s="8" t="s">
        <v>27</v>
      </c>
      <c r="F4" s="8" t="s">
        <v>28</v>
      </c>
      <c r="G4" s="8" t="s">
        <v>24</v>
      </c>
      <c r="H4" s="8" t="s">
        <v>25</v>
      </c>
      <c r="I4" s="8" t="s">
        <v>26</v>
      </c>
      <c r="J4" s="8" t="s">
        <v>29</v>
      </c>
      <c r="K4" s="9" t="s">
        <v>30</v>
      </c>
      <c r="L4" s="66" t="s">
        <v>137</v>
      </c>
      <c r="M4" s="77" t="s">
        <v>8</v>
      </c>
      <c r="N4" s="66" t="s">
        <v>137</v>
      </c>
      <c r="O4" s="88" t="s">
        <v>59</v>
      </c>
    </row>
    <row r="5" spans="1:17" ht="19.5" thickBot="1">
      <c r="A5" s="97"/>
      <c r="B5" s="91" t="s">
        <v>31</v>
      </c>
      <c r="C5" s="56" t="s">
        <v>34</v>
      </c>
      <c r="D5" s="28" t="s">
        <v>35</v>
      </c>
      <c r="E5" s="28" t="s">
        <v>55</v>
      </c>
      <c r="F5" s="28" t="s">
        <v>56</v>
      </c>
      <c r="G5" s="28" t="s">
        <v>52</v>
      </c>
      <c r="H5" s="28" t="s">
        <v>53</v>
      </c>
      <c r="I5" s="28" t="s">
        <v>54</v>
      </c>
      <c r="J5" s="28" t="s">
        <v>57</v>
      </c>
      <c r="K5" s="29" t="s">
        <v>58</v>
      </c>
      <c r="L5" s="67" t="s">
        <v>139</v>
      </c>
      <c r="M5" s="78" t="s">
        <v>36</v>
      </c>
      <c r="N5" s="67" t="s">
        <v>140</v>
      </c>
      <c r="O5" s="89" t="s">
        <v>141</v>
      </c>
    </row>
    <row r="6" spans="1:17">
      <c r="A6" s="1" t="s">
        <v>3</v>
      </c>
      <c r="B6" s="92" t="s">
        <v>60</v>
      </c>
      <c r="C6" s="57">
        <v>19</v>
      </c>
      <c r="D6" s="24">
        <v>19</v>
      </c>
      <c r="E6" s="24">
        <v>13</v>
      </c>
      <c r="F6" s="24">
        <v>14</v>
      </c>
      <c r="G6" s="24">
        <v>10</v>
      </c>
      <c r="H6" s="24">
        <v>6</v>
      </c>
      <c r="I6" s="24">
        <v>9</v>
      </c>
      <c r="J6" s="24">
        <v>9</v>
      </c>
      <c r="K6" s="25">
        <v>19</v>
      </c>
      <c r="L6" s="68">
        <f>SUM(C6:K6)</f>
        <v>118</v>
      </c>
      <c r="M6" s="79">
        <v>19</v>
      </c>
      <c r="N6" s="68">
        <f>SUM(M6)</f>
        <v>19</v>
      </c>
      <c r="O6" s="68">
        <v>431</v>
      </c>
      <c r="Q6"/>
    </row>
    <row r="7" spans="1:17">
      <c r="A7" s="1" t="s">
        <v>3</v>
      </c>
      <c r="B7" s="93" t="s">
        <v>61</v>
      </c>
      <c r="C7" s="58">
        <v>0</v>
      </c>
      <c r="D7" s="11">
        <v>2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2">
        <v>0</v>
      </c>
      <c r="L7" s="76">
        <f>SUM(C7:K7)</f>
        <v>2</v>
      </c>
      <c r="M7" s="80">
        <v>0</v>
      </c>
      <c r="N7" s="76"/>
      <c r="O7" s="76">
        <v>46</v>
      </c>
      <c r="Q7"/>
    </row>
    <row r="8" spans="1:17">
      <c r="A8" s="1" t="s">
        <v>3</v>
      </c>
      <c r="B8" s="93" t="s">
        <v>62</v>
      </c>
      <c r="C8" s="58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2">
        <v>0</v>
      </c>
      <c r="L8" s="76"/>
      <c r="M8" s="80">
        <v>0</v>
      </c>
      <c r="N8" s="76"/>
      <c r="O8" s="76">
        <v>42</v>
      </c>
      <c r="Q8"/>
    </row>
    <row r="9" spans="1:17">
      <c r="A9" s="1" t="s">
        <v>3</v>
      </c>
      <c r="B9" s="93" t="s">
        <v>63</v>
      </c>
      <c r="C9" s="58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2">
        <v>0</v>
      </c>
      <c r="L9" s="76"/>
      <c r="M9" s="80">
        <v>0</v>
      </c>
      <c r="N9" s="76"/>
      <c r="O9" s="76">
        <v>3</v>
      </c>
      <c r="Q9"/>
    </row>
    <row r="10" spans="1:17">
      <c r="A10" s="1" t="s">
        <v>3</v>
      </c>
      <c r="B10" s="93" t="s">
        <v>64</v>
      </c>
      <c r="C10" s="58">
        <v>0</v>
      </c>
      <c r="D10" s="11">
        <v>0</v>
      </c>
      <c r="E10" s="11">
        <v>1</v>
      </c>
      <c r="F10" s="11">
        <v>1</v>
      </c>
      <c r="G10" s="11">
        <v>0</v>
      </c>
      <c r="H10" s="11">
        <v>0</v>
      </c>
      <c r="I10" s="11">
        <v>0</v>
      </c>
      <c r="J10" s="11">
        <v>0</v>
      </c>
      <c r="K10" s="12">
        <v>0</v>
      </c>
      <c r="L10" s="76">
        <f>SUM(C10:K10)</f>
        <v>2</v>
      </c>
      <c r="M10" s="80">
        <v>0</v>
      </c>
      <c r="N10" s="76"/>
      <c r="O10" s="76">
        <v>20</v>
      </c>
      <c r="Q10"/>
    </row>
    <row r="11" spans="1:17">
      <c r="A11" s="1" t="s">
        <v>3</v>
      </c>
      <c r="B11" s="93" t="s">
        <v>65</v>
      </c>
      <c r="C11" s="58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2">
        <v>0</v>
      </c>
      <c r="L11" s="76"/>
      <c r="M11" s="80">
        <v>0</v>
      </c>
      <c r="N11" s="76"/>
      <c r="O11" s="76">
        <v>5</v>
      </c>
      <c r="Q11"/>
    </row>
    <row r="12" spans="1:17">
      <c r="A12" s="1" t="s">
        <v>3</v>
      </c>
      <c r="B12" s="93" t="s">
        <v>66</v>
      </c>
      <c r="C12" s="58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2">
        <v>0</v>
      </c>
      <c r="L12" s="76"/>
      <c r="M12" s="80">
        <v>0</v>
      </c>
      <c r="N12" s="76"/>
      <c r="O12" s="76">
        <v>4</v>
      </c>
      <c r="Q12"/>
    </row>
    <row r="13" spans="1:17">
      <c r="A13" s="1" t="s">
        <v>3</v>
      </c>
      <c r="B13" s="93" t="s">
        <v>67</v>
      </c>
      <c r="C13" s="58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2">
        <v>0</v>
      </c>
      <c r="L13" s="76"/>
      <c r="M13" s="80">
        <v>0</v>
      </c>
      <c r="N13" s="76"/>
      <c r="O13" s="76">
        <v>2</v>
      </c>
      <c r="Q13"/>
    </row>
    <row r="14" spans="1:17">
      <c r="A14" s="1" t="s">
        <v>3</v>
      </c>
      <c r="B14" s="93" t="s">
        <v>68</v>
      </c>
      <c r="C14" s="59">
        <v>0</v>
      </c>
      <c r="D14" s="14">
        <v>0</v>
      </c>
      <c r="E14" s="14">
        <v>3.5416666666666665</v>
      </c>
      <c r="F14" s="14">
        <v>3.625</v>
      </c>
      <c r="G14" s="14">
        <v>2.9583333333333335</v>
      </c>
      <c r="H14" s="14">
        <v>1.625</v>
      </c>
      <c r="I14" s="14">
        <v>2.625</v>
      </c>
      <c r="J14" s="14">
        <v>2.75</v>
      </c>
      <c r="K14" s="15">
        <v>3.2083333333333335</v>
      </c>
      <c r="L14" s="69">
        <f>SUM(C14:K14)</f>
        <v>20.333333333333332</v>
      </c>
      <c r="M14" s="81">
        <v>0</v>
      </c>
      <c r="N14" s="69"/>
      <c r="O14" s="69">
        <v>20.333333333333332</v>
      </c>
      <c r="Q14"/>
    </row>
    <row r="15" spans="1:17">
      <c r="A15" s="1" t="s">
        <v>3</v>
      </c>
      <c r="B15" s="93" t="s">
        <v>70</v>
      </c>
      <c r="C15" s="59">
        <v>0</v>
      </c>
      <c r="D15" s="14">
        <v>1.4583333333333333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0.125</v>
      </c>
      <c r="K15" s="15">
        <v>0</v>
      </c>
      <c r="L15" s="69">
        <f t="shared" ref="L15:L16" si="0">SUM(C15:K15)</f>
        <v>1.5833333333333333</v>
      </c>
      <c r="M15" s="81">
        <v>0</v>
      </c>
      <c r="N15" s="69"/>
      <c r="O15" s="69">
        <v>34.125</v>
      </c>
      <c r="Q15"/>
    </row>
    <row r="16" spans="1:17">
      <c r="A16" s="1" t="s">
        <v>3</v>
      </c>
      <c r="B16" s="93" t="s">
        <v>71</v>
      </c>
      <c r="C16" s="59">
        <v>0</v>
      </c>
      <c r="D16" s="14">
        <v>0.54166666666666663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>
        <v>0</v>
      </c>
      <c r="L16" s="69">
        <f t="shared" si="0"/>
        <v>0.54166666666666663</v>
      </c>
      <c r="M16" s="81">
        <v>0</v>
      </c>
      <c r="N16" s="69"/>
      <c r="O16" s="69">
        <v>17.500000000000004</v>
      </c>
      <c r="Q16"/>
    </row>
    <row r="17" spans="1:17">
      <c r="A17" s="1" t="s">
        <v>3</v>
      </c>
      <c r="B17" s="93" t="s">
        <v>72</v>
      </c>
      <c r="C17" s="59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5">
        <v>0</v>
      </c>
      <c r="L17" s="69"/>
      <c r="M17" s="81">
        <v>0</v>
      </c>
      <c r="N17" s="69"/>
      <c r="O17" s="69">
        <v>12.375000000000002</v>
      </c>
      <c r="Q17"/>
    </row>
    <row r="18" spans="1:17">
      <c r="A18" s="1" t="s">
        <v>3</v>
      </c>
      <c r="B18" s="93" t="s">
        <v>73</v>
      </c>
      <c r="C18" s="59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>
        <v>0</v>
      </c>
      <c r="L18" s="69"/>
      <c r="M18" s="81">
        <v>0</v>
      </c>
      <c r="N18" s="69"/>
      <c r="O18" s="69">
        <v>0</v>
      </c>
      <c r="Q18"/>
    </row>
    <row r="19" spans="1:17">
      <c r="A19" s="1" t="s">
        <v>3</v>
      </c>
      <c r="B19" s="93" t="s">
        <v>74</v>
      </c>
      <c r="C19" s="59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5">
        <v>0</v>
      </c>
      <c r="L19" s="69"/>
      <c r="M19" s="81">
        <v>0</v>
      </c>
      <c r="N19" s="69"/>
      <c r="O19" s="69">
        <v>0.95833333333333326</v>
      </c>
      <c r="Q19"/>
    </row>
    <row r="20" spans="1:17">
      <c r="A20" s="1" t="s">
        <v>3</v>
      </c>
      <c r="B20" s="93" t="s">
        <v>77</v>
      </c>
      <c r="C20" s="59">
        <v>0</v>
      </c>
      <c r="D20" s="14">
        <v>0</v>
      </c>
      <c r="E20" s="14">
        <v>0.29166666666666669</v>
      </c>
      <c r="F20" s="14">
        <v>0.29166666666666669</v>
      </c>
      <c r="G20" s="14">
        <v>0</v>
      </c>
      <c r="H20" s="14">
        <v>0</v>
      </c>
      <c r="I20" s="14">
        <v>0</v>
      </c>
      <c r="J20" s="14">
        <v>0</v>
      </c>
      <c r="K20" s="15">
        <v>0</v>
      </c>
      <c r="L20" s="69">
        <f t="shared" ref="L20" si="1">SUM(C20:K20)</f>
        <v>0.58333333333333337</v>
      </c>
      <c r="M20" s="81">
        <v>0</v>
      </c>
      <c r="N20" s="69"/>
      <c r="O20" s="69">
        <v>0.58333333333333337</v>
      </c>
      <c r="Q20"/>
    </row>
    <row r="21" spans="1:17">
      <c r="A21" s="1" t="s">
        <v>3</v>
      </c>
      <c r="B21" s="93" t="s">
        <v>80</v>
      </c>
      <c r="C21" s="59">
        <v>0.125</v>
      </c>
      <c r="D21" s="14">
        <v>8.3333333333333329E-2</v>
      </c>
      <c r="E21" s="14">
        <v>0</v>
      </c>
      <c r="F21" s="14">
        <v>0</v>
      </c>
      <c r="G21" s="14">
        <v>2.0833333333333335</v>
      </c>
      <c r="H21" s="14">
        <v>1.125</v>
      </c>
      <c r="I21" s="14">
        <v>1.875</v>
      </c>
      <c r="J21" s="14">
        <v>0.83333333333333337</v>
      </c>
      <c r="K21" s="15">
        <v>0</v>
      </c>
      <c r="L21" s="69">
        <f>SUM(C21:K21)</f>
        <v>6.125</v>
      </c>
      <c r="M21" s="81">
        <v>8.3333333333333329E-2</v>
      </c>
      <c r="N21" s="69">
        <f>SUM(M21)</f>
        <v>8.3333333333333329E-2</v>
      </c>
      <c r="O21" s="69">
        <v>17.416666666666668</v>
      </c>
      <c r="Q21"/>
    </row>
    <row r="22" spans="1:17" ht="19.5" thickBot="1">
      <c r="A22" s="1" t="s">
        <v>3</v>
      </c>
      <c r="B22" s="94" t="s">
        <v>81</v>
      </c>
      <c r="C22" s="60">
        <v>37</v>
      </c>
      <c r="D22" s="34">
        <v>38</v>
      </c>
      <c r="E22" s="34">
        <v>17</v>
      </c>
      <c r="F22" s="34">
        <v>16</v>
      </c>
      <c r="G22" s="34">
        <v>5</v>
      </c>
      <c r="H22" s="34">
        <v>3</v>
      </c>
      <c r="I22" s="34">
        <v>3</v>
      </c>
      <c r="J22" s="34">
        <v>3</v>
      </c>
      <c r="K22" s="35">
        <v>5</v>
      </c>
      <c r="L22" s="70">
        <f>SUM(C22:K22)</f>
        <v>127</v>
      </c>
      <c r="M22" s="82">
        <v>39</v>
      </c>
      <c r="N22" s="70">
        <f>SUM(M22)</f>
        <v>39</v>
      </c>
      <c r="O22" s="70">
        <v>440</v>
      </c>
      <c r="Q22"/>
    </row>
    <row r="23" spans="1:17">
      <c r="A23" s="1" t="s">
        <v>3</v>
      </c>
      <c r="B23" s="92" t="s">
        <v>82</v>
      </c>
      <c r="C23" s="61">
        <v>485000</v>
      </c>
      <c r="D23" s="31">
        <v>280000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2">
        <v>0</v>
      </c>
      <c r="L23" s="71">
        <f>SUM(C23:K23)</f>
        <v>765000</v>
      </c>
      <c r="M23" s="83">
        <v>375000</v>
      </c>
      <c r="N23" s="71">
        <f>SUM(M23)</f>
        <v>375000</v>
      </c>
      <c r="O23" s="71">
        <v>4176958</v>
      </c>
      <c r="Q23"/>
    </row>
    <row r="24" spans="1:17">
      <c r="A24" s="1" t="s">
        <v>3</v>
      </c>
      <c r="B24" s="93" t="s">
        <v>83</v>
      </c>
      <c r="C24" s="62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  <c r="L24" s="72">
        <f t="shared" ref="L24:L61" si="2">SUM(C24:K24)</f>
        <v>0</v>
      </c>
      <c r="M24" s="84">
        <v>0</v>
      </c>
      <c r="N24" s="72">
        <f t="shared" ref="N24:N61" si="3">SUM(M24)</f>
        <v>0</v>
      </c>
      <c r="O24" s="72">
        <v>35000</v>
      </c>
      <c r="Q24"/>
    </row>
    <row r="25" spans="1:17">
      <c r="A25" s="1" t="s">
        <v>3</v>
      </c>
      <c r="B25" s="93" t="s">
        <v>84</v>
      </c>
      <c r="C25" s="62">
        <v>0</v>
      </c>
      <c r="D25" s="17">
        <v>3000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  <c r="L25" s="72">
        <f t="shared" si="2"/>
        <v>3000</v>
      </c>
      <c r="M25" s="84">
        <v>0</v>
      </c>
      <c r="N25" s="72">
        <f t="shared" si="3"/>
        <v>0</v>
      </c>
      <c r="O25" s="72">
        <v>6000</v>
      </c>
      <c r="Q25"/>
    </row>
    <row r="26" spans="1:17">
      <c r="A26" s="1" t="s">
        <v>3</v>
      </c>
      <c r="B26" s="93" t="s">
        <v>85</v>
      </c>
      <c r="C26" s="62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8">
        <v>0</v>
      </c>
      <c r="L26" s="72">
        <f t="shared" si="2"/>
        <v>0</v>
      </c>
      <c r="M26" s="84">
        <v>0</v>
      </c>
      <c r="N26" s="72">
        <f t="shared" si="3"/>
        <v>0</v>
      </c>
      <c r="O26" s="72">
        <v>0</v>
      </c>
      <c r="Q26"/>
    </row>
    <row r="27" spans="1:17">
      <c r="A27" s="1" t="s">
        <v>3</v>
      </c>
      <c r="B27" s="93" t="s">
        <v>86</v>
      </c>
      <c r="C27" s="62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  <c r="L27" s="72">
        <f t="shared" si="2"/>
        <v>0</v>
      </c>
      <c r="M27" s="84">
        <v>0</v>
      </c>
      <c r="N27" s="72">
        <f t="shared" si="3"/>
        <v>0</v>
      </c>
      <c r="O27" s="72">
        <v>73674</v>
      </c>
      <c r="Q27"/>
    </row>
    <row r="28" spans="1:17">
      <c r="A28" s="1" t="s">
        <v>3</v>
      </c>
      <c r="B28" s="93" t="s">
        <v>90</v>
      </c>
      <c r="C28" s="62">
        <v>0</v>
      </c>
      <c r="D28" s="17">
        <v>0</v>
      </c>
      <c r="E28" s="17">
        <v>78200</v>
      </c>
      <c r="F28" s="17">
        <v>80040</v>
      </c>
      <c r="G28" s="17">
        <v>59640</v>
      </c>
      <c r="H28" s="17">
        <v>32760</v>
      </c>
      <c r="I28" s="17">
        <v>52920</v>
      </c>
      <c r="J28" s="17">
        <v>54780</v>
      </c>
      <c r="K28" s="18">
        <v>64680</v>
      </c>
      <c r="L28" s="72">
        <f t="shared" si="2"/>
        <v>423020</v>
      </c>
      <c r="M28" s="84">
        <v>0</v>
      </c>
      <c r="N28" s="72">
        <f t="shared" si="3"/>
        <v>0</v>
      </c>
      <c r="O28" s="72">
        <v>423020</v>
      </c>
      <c r="Q28"/>
    </row>
    <row r="29" spans="1:17">
      <c r="A29" s="1" t="s">
        <v>3</v>
      </c>
      <c r="B29" s="93" t="s">
        <v>92</v>
      </c>
      <c r="C29" s="62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8">
        <v>0</v>
      </c>
      <c r="L29" s="72">
        <f t="shared" si="2"/>
        <v>0</v>
      </c>
      <c r="M29" s="84">
        <v>0</v>
      </c>
      <c r="N29" s="72">
        <f t="shared" si="3"/>
        <v>0</v>
      </c>
      <c r="O29" s="72">
        <v>0</v>
      </c>
      <c r="Q29"/>
    </row>
    <row r="30" spans="1:17">
      <c r="A30" s="1" t="s">
        <v>3</v>
      </c>
      <c r="B30" s="93" t="s">
        <v>93</v>
      </c>
      <c r="C30" s="62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8">
        <v>0</v>
      </c>
      <c r="L30" s="72">
        <f t="shared" si="2"/>
        <v>0</v>
      </c>
      <c r="M30" s="84">
        <v>0</v>
      </c>
      <c r="N30" s="72">
        <f t="shared" si="3"/>
        <v>0</v>
      </c>
      <c r="O30" s="72">
        <v>0</v>
      </c>
      <c r="Q30"/>
    </row>
    <row r="31" spans="1:17">
      <c r="A31" s="1" t="s">
        <v>3</v>
      </c>
      <c r="B31" s="93" t="s">
        <v>94</v>
      </c>
      <c r="C31" s="62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8">
        <v>0</v>
      </c>
      <c r="L31" s="72">
        <f t="shared" si="2"/>
        <v>0</v>
      </c>
      <c r="M31" s="84">
        <v>0</v>
      </c>
      <c r="N31" s="72">
        <f t="shared" si="3"/>
        <v>0</v>
      </c>
      <c r="O31" s="72">
        <v>13000</v>
      </c>
      <c r="Q31"/>
    </row>
    <row r="32" spans="1:17">
      <c r="A32" s="1" t="s">
        <v>3</v>
      </c>
      <c r="B32" s="93" t="s">
        <v>95</v>
      </c>
      <c r="C32" s="62">
        <v>0</v>
      </c>
      <c r="D32" s="17">
        <v>0</v>
      </c>
      <c r="E32" s="17">
        <v>6440</v>
      </c>
      <c r="F32" s="17">
        <v>6440</v>
      </c>
      <c r="G32" s="17">
        <v>0</v>
      </c>
      <c r="H32" s="17">
        <v>0</v>
      </c>
      <c r="I32" s="17">
        <v>0</v>
      </c>
      <c r="J32" s="17">
        <v>0</v>
      </c>
      <c r="K32" s="18">
        <v>0</v>
      </c>
      <c r="L32" s="72">
        <f t="shared" si="2"/>
        <v>12880</v>
      </c>
      <c r="M32" s="84">
        <v>0</v>
      </c>
      <c r="N32" s="72">
        <f t="shared" si="3"/>
        <v>0</v>
      </c>
      <c r="O32" s="72">
        <v>12880</v>
      </c>
      <c r="Q32"/>
    </row>
    <row r="33" spans="1:17">
      <c r="A33" s="1" t="s">
        <v>3</v>
      </c>
      <c r="B33" s="93" t="s">
        <v>97</v>
      </c>
      <c r="C33" s="62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8">
        <v>0</v>
      </c>
      <c r="L33" s="72">
        <f t="shared" si="2"/>
        <v>0</v>
      </c>
      <c r="M33" s="84">
        <v>0</v>
      </c>
      <c r="N33" s="72">
        <f t="shared" si="3"/>
        <v>0</v>
      </c>
      <c r="O33" s="72">
        <v>0</v>
      </c>
      <c r="Q33"/>
    </row>
    <row r="34" spans="1:17">
      <c r="A34" s="1" t="s">
        <v>3</v>
      </c>
      <c r="B34" s="93" t="s">
        <v>101</v>
      </c>
      <c r="C34" s="62">
        <v>0</v>
      </c>
      <c r="D34" s="17">
        <v>0</v>
      </c>
      <c r="E34" s="17">
        <v>0</v>
      </c>
      <c r="F34" s="17">
        <v>0</v>
      </c>
      <c r="G34" s="17">
        <v>0</v>
      </c>
      <c r="H34" s="17">
        <v>3000</v>
      </c>
      <c r="I34" s="17">
        <v>0</v>
      </c>
      <c r="J34" s="17">
        <v>3000</v>
      </c>
      <c r="K34" s="18">
        <v>0</v>
      </c>
      <c r="L34" s="72">
        <f t="shared" si="2"/>
        <v>6000</v>
      </c>
      <c r="M34" s="84">
        <v>3000</v>
      </c>
      <c r="N34" s="72">
        <f t="shared" si="3"/>
        <v>3000</v>
      </c>
      <c r="O34" s="72">
        <v>25500</v>
      </c>
      <c r="Q34"/>
    </row>
    <row r="35" spans="1:17">
      <c r="A35" s="1" t="s">
        <v>3</v>
      </c>
      <c r="B35" s="93" t="s">
        <v>102</v>
      </c>
      <c r="C35" s="62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8">
        <v>0</v>
      </c>
      <c r="L35" s="72">
        <f t="shared" si="2"/>
        <v>0</v>
      </c>
      <c r="M35" s="84">
        <v>0</v>
      </c>
      <c r="N35" s="72">
        <f t="shared" si="3"/>
        <v>0</v>
      </c>
      <c r="O35" s="72">
        <v>0</v>
      </c>
      <c r="Q35"/>
    </row>
    <row r="36" spans="1:17">
      <c r="A36" s="1" t="s">
        <v>3</v>
      </c>
      <c r="B36" s="93" t="s">
        <v>103</v>
      </c>
      <c r="C36" s="62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0</v>
      </c>
      <c r="L36" s="72">
        <f t="shared" si="2"/>
        <v>0</v>
      </c>
      <c r="M36" s="84">
        <v>0</v>
      </c>
      <c r="N36" s="72">
        <f t="shared" si="3"/>
        <v>0</v>
      </c>
      <c r="O36" s="100">
        <v>-34064</v>
      </c>
      <c r="Q36"/>
    </row>
    <row r="37" spans="1:17">
      <c r="A37" s="1" t="s">
        <v>3</v>
      </c>
      <c r="B37" s="93" t="s">
        <v>70</v>
      </c>
      <c r="C37" s="62">
        <v>0</v>
      </c>
      <c r="D37" s="17">
        <v>74165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3114</v>
      </c>
      <c r="K37" s="18">
        <v>0</v>
      </c>
      <c r="L37" s="72">
        <f t="shared" si="2"/>
        <v>77279</v>
      </c>
      <c r="M37" s="84">
        <v>0</v>
      </c>
      <c r="N37" s="72">
        <f t="shared" si="3"/>
        <v>0</v>
      </c>
      <c r="O37" s="72">
        <v>1139922</v>
      </c>
      <c r="Q37"/>
    </row>
    <row r="38" spans="1:17">
      <c r="A38" s="1" t="s">
        <v>3</v>
      </c>
      <c r="B38" s="93" t="s">
        <v>105</v>
      </c>
      <c r="C38" s="62">
        <v>0</v>
      </c>
      <c r="D38" s="17">
        <v>29744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8">
        <v>0</v>
      </c>
      <c r="L38" s="72">
        <f t="shared" si="2"/>
        <v>29744</v>
      </c>
      <c r="M38" s="84">
        <v>0</v>
      </c>
      <c r="N38" s="72">
        <f t="shared" si="3"/>
        <v>0</v>
      </c>
      <c r="O38" s="72">
        <v>629899</v>
      </c>
      <c r="Q38"/>
    </row>
    <row r="39" spans="1:17">
      <c r="A39" s="1" t="s">
        <v>3</v>
      </c>
      <c r="B39" s="93" t="s">
        <v>106</v>
      </c>
      <c r="C39" s="62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8">
        <v>0</v>
      </c>
      <c r="L39" s="72">
        <f t="shared" si="2"/>
        <v>0</v>
      </c>
      <c r="M39" s="84">
        <v>0</v>
      </c>
      <c r="N39" s="72">
        <f t="shared" si="3"/>
        <v>0</v>
      </c>
      <c r="O39" s="72">
        <v>435757</v>
      </c>
      <c r="Q39"/>
    </row>
    <row r="40" spans="1:17">
      <c r="A40" s="1" t="s">
        <v>3</v>
      </c>
      <c r="B40" s="93" t="s">
        <v>107</v>
      </c>
      <c r="C40" s="62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8">
        <v>0</v>
      </c>
      <c r="L40" s="72">
        <f t="shared" si="2"/>
        <v>0</v>
      </c>
      <c r="M40" s="84">
        <v>0</v>
      </c>
      <c r="N40" s="72">
        <f t="shared" si="3"/>
        <v>0</v>
      </c>
      <c r="O40" s="72">
        <v>0</v>
      </c>
      <c r="Q40"/>
    </row>
    <row r="41" spans="1:17">
      <c r="A41" s="1" t="s">
        <v>3</v>
      </c>
      <c r="B41" s="93" t="s">
        <v>108</v>
      </c>
      <c r="C41" s="62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  <c r="L41" s="72">
        <f t="shared" si="2"/>
        <v>0</v>
      </c>
      <c r="M41" s="84">
        <v>0</v>
      </c>
      <c r="N41" s="72">
        <f t="shared" si="3"/>
        <v>0</v>
      </c>
      <c r="O41" s="72">
        <v>8324</v>
      </c>
      <c r="Q41"/>
    </row>
    <row r="42" spans="1:17">
      <c r="A42" s="1" t="s">
        <v>3</v>
      </c>
      <c r="B42" s="93" t="s">
        <v>109</v>
      </c>
      <c r="C42" s="62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8">
        <v>0</v>
      </c>
      <c r="L42" s="72">
        <f t="shared" si="2"/>
        <v>0</v>
      </c>
      <c r="M42" s="84">
        <v>0</v>
      </c>
      <c r="N42" s="72">
        <f t="shared" si="3"/>
        <v>0</v>
      </c>
      <c r="O42" s="72">
        <v>17032</v>
      </c>
      <c r="Q42"/>
    </row>
    <row r="43" spans="1:17" ht="19.5" thickBot="1">
      <c r="A43" s="1" t="s">
        <v>3</v>
      </c>
      <c r="B43" s="95" t="s">
        <v>80</v>
      </c>
      <c r="C43" s="63">
        <v>2178</v>
      </c>
      <c r="D43" s="38">
        <v>848</v>
      </c>
      <c r="E43" s="38">
        <v>0</v>
      </c>
      <c r="F43" s="38">
        <v>0</v>
      </c>
      <c r="G43" s="38">
        <v>10500</v>
      </c>
      <c r="H43" s="38">
        <v>5670</v>
      </c>
      <c r="I43" s="38">
        <v>9450</v>
      </c>
      <c r="J43" s="38">
        <v>4160</v>
      </c>
      <c r="K43" s="39">
        <v>0</v>
      </c>
      <c r="L43" s="73">
        <f t="shared" si="2"/>
        <v>32806</v>
      </c>
      <c r="M43" s="85">
        <v>1124</v>
      </c>
      <c r="N43" s="73">
        <f t="shared" si="3"/>
        <v>1124</v>
      </c>
      <c r="O43" s="73">
        <v>107293</v>
      </c>
      <c r="Q43"/>
    </row>
    <row r="44" spans="1:17" ht="19.5" thickBot="1">
      <c r="A44" s="1" t="s">
        <v>3</v>
      </c>
      <c r="B44" s="96" t="s">
        <v>110</v>
      </c>
      <c r="C44" s="64">
        <v>487178</v>
      </c>
      <c r="D44" s="42">
        <v>387757</v>
      </c>
      <c r="E44" s="42">
        <v>84640</v>
      </c>
      <c r="F44" s="42">
        <v>86480</v>
      </c>
      <c r="G44" s="42">
        <v>70140</v>
      </c>
      <c r="H44" s="42">
        <v>41430</v>
      </c>
      <c r="I44" s="42">
        <v>62370</v>
      </c>
      <c r="J44" s="42">
        <v>65054</v>
      </c>
      <c r="K44" s="43">
        <v>64680</v>
      </c>
      <c r="L44" s="74">
        <f t="shared" si="2"/>
        <v>1349729</v>
      </c>
      <c r="M44" s="86">
        <v>379124</v>
      </c>
      <c r="N44" s="74">
        <f t="shared" si="3"/>
        <v>379124</v>
      </c>
      <c r="O44" s="74">
        <v>7070195</v>
      </c>
      <c r="Q44"/>
    </row>
    <row r="45" spans="1:17" ht="19.5" thickBot="1">
      <c r="A45" s="1" t="s">
        <v>3</v>
      </c>
      <c r="B45" s="92" t="s">
        <v>111</v>
      </c>
      <c r="C45" s="61">
        <v>8334</v>
      </c>
      <c r="D45" s="31">
        <v>4566</v>
      </c>
      <c r="E45" s="31">
        <v>2512</v>
      </c>
      <c r="F45" s="31">
        <v>1691</v>
      </c>
      <c r="G45" s="31">
        <v>2899</v>
      </c>
      <c r="H45" s="31">
        <v>2174</v>
      </c>
      <c r="I45" s="31">
        <v>3479</v>
      </c>
      <c r="J45" s="31">
        <v>2826</v>
      </c>
      <c r="K45" s="32">
        <v>6425</v>
      </c>
      <c r="L45" s="71">
        <f t="shared" si="2"/>
        <v>34906</v>
      </c>
      <c r="M45" s="83">
        <v>7536</v>
      </c>
      <c r="N45" s="71">
        <f t="shared" si="3"/>
        <v>7536</v>
      </c>
      <c r="O45" s="71">
        <v>125539</v>
      </c>
      <c r="Q45"/>
    </row>
    <row r="46" spans="1:17" ht="19.5" thickBot="1">
      <c r="A46" s="1" t="s">
        <v>3</v>
      </c>
      <c r="B46" s="96" t="s">
        <v>113</v>
      </c>
      <c r="C46" s="64">
        <v>8334</v>
      </c>
      <c r="D46" s="42">
        <v>4566</v>
      </c>
      <c r="E46" s="42">
        <v>2512</v>
      </c>
      <c r="F46" s="42">
        <v>1691</v>
      </c>
      <c r="G46" s="42">
        <v>2899</v>
      </c>
      <c r="H46" s="42">
        <v>2174</v>
      </c>
      <c r="I46" s="42">
        <v>3479</v>
      </c>
      <c r="J46" s="42">
        <v>2826</v>
      </c>
      <c r="K46" s="43">
        <v>6425</v>
      </c>
      <c r="L46" s="74">
        <f t="shared" si="2"/>
        <v>34906</v>
      </c>
      <c r="M46" s="86">
        <v>7536</v>
      </c>
      <c r="N46" s="74">
        <f t="shared" si="3"/>
        <v>7536</v>
      </c>
      <c r="O46" s="74">
        <v>125539</v>
      </c>
      <c r="Q46"/>
    </row>
    <row r="47" spans="1:17" ht="19.5" thickBot="1">
      <c r="A47" s="1" t="s">
        <v>3</v>
      </c>
      <c r="B47" s="96" t="s">
        <v>114</v>
      </c>
      <c r="C47" s="64">
        <v>495512</v>
      </c>
      <c r="D47" s="42">
        <v>392323</v>
      </c>
      <c r="E47" s="42">
        <v>87152</v>
      </c>
      <c r="F47" s="42">
        <v>88171</v>
      </c>
      <c r="G47" s="42">
        <v>73039</v>
      </c>
      <c r="H47" s="42">
        <v>43604</v>
      </c>
      <c r="I47" s="42">
        <v>65849</v>
      </c>
      <c r="J47" s="42">
        <v>67880</v>
      </c>
      <c r="K47" s="43">
        <v>71105</v>
      </c>
      <c r="L47" s="74">
        <f t="shared" si="2"/>
        <v>1384635</v>
      </c>
      <c r="M47" s="86">
        <v>386660</v>
      </c>
      <c r="N47" s="74">
        <f t="shared" si="3"/>
        <v>386660</v>
      </c>
      <c r="O47" s="74">
        <v>7195734</v>
      </c>
      <c r="Q47"/>
    </row>
    <row r="48" spans="1:17">
      <c r="A48" s="1" t="s">
        <v>3</v>
      </c>
      <c r="B48" s="92" t="s">
        <v>115</v>
      </c>
      <c r="C48" s="61">
        <v>23970</v>
      </c>
      <c r="D48" s="31">
        <v>19380</v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2">
        <v>0</v>
      </c>
      <c r="L48" s="71">
        <f t="shared" si="2"/>
        <v>43350</v>
      </c>
      <c r="M48" s="83">
        <v>19380</v>
      </c>
      <c r="N48" s="71">
        <f t="shared" si="3"/>
        <v>19380</v>
      </c>
      <c r="O48" s="71">
        <v>358530</v>
      </c>
      <c r="Q48"/>
    </row>
    <row r="49" spans="1:17">
      <c r="A49" s="1" t="s">
        <v>3</v>
      </c>
      <c r="B49" s="93" t="s">
        <v>116</v>
      </c>
      <c r="C49" s="62">
        <v>0</v>
      </c>
      <c r="D49" s="17">
        <v>3420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8">
        <v>0</v>
      </c>
      <c r="L49" s="72">
        <f t="shared" si="2"/>
        <v>3420</v>
      </c>
      <c r="M49" s="84">
        <v>3420</v>
      </c>
      <c r="N49" s="72">
        <f t="shared" si="3"/>
        <v>3420</v>
      </c>
      <c r="O49" s="72">
        <v>53640</v>
      </c>
      <c r="Q49"/>
    </row>
    <row r="50" spans="1:17">
      <c r="A50" s="1" t="s">
        <v>3</v>
      </c>
      <c r="B50" s="93" t="s">
        <v>117</v>
      </c>
      <c r="C50" s="62">
        <v>43005</v>
      </c>
      <c r="D50" s="17">
        <v>34770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  <c r="L50" s="72">
        <f t="shared" si="2"/>
        <v>77775</v>
      </c>
      <c r="M50" s="84">
        <v>34770</v>
      </c>
      <c r="N50" s="72">
        <f t="shared" si="3"/>
        <v>34770</v>
      </c>
      <c r="O50" s="72">
        <v>643245</v>
      </c>
      <c r="Q50"/>
    </row>
    <row r="51" spans="1:17" ht="19.5" thickBot="1">
      <c r="A51" s="1" t="s">
        <v>3</v>
      </c>
      <c r="B51" s="93" t="s">
        <v>118</v>
      </c>
      <c r="C51" s="62">
        <v>1487</v>
      </c>
      <c r="D51" s="17">
        <v>1177</v>
      </c>
      <c r="E51" s="17">
        <v>261</v>
      </c>
      <c r="F51" s="17">
        <v>265</v>
      </c>
      <c r="G51" s="17">
        <v>0</v>
      </c>
      <c r="H51" s="17">
        <v>0</v>
      </c>
      <c r="I51" s="17">
        <v>0</v>
      </c>
      <c r="J51" s="17">
        <v>0</v>
      </c>
      <c r="K51" s="18">
        <v>213</v>
      </c>
      <c r="L51" s="72">
        <f t="shared" si="2"/>
        <v>3403</v>
      </c>
      <c r="M51" s="84">
        <v>1160</v>
      </c>
      <c r="N51" s="72">
        <f t="shared" si="3"/>
        <v>1160</v>
      </c>
      <c r="O51" s="72">
        <v>20835</v>
      </c>
      <c r="Q51"/>
    </row>
    <row r="52" spans="1:17" ht="19.5" thickBot="1">
      <c r="A52" s="1" t="s">
        <v>3</v>
      </c>
      <c r="B52" s="96" t="s">
        <v>120</v>
      </c>
      <c r="C52" s="64">
        <v>68462</v>
      </c>
      <c r="D52" s="42">
        <v>58747</v>
      </c>
      <c r="E52" s="42">
        <v>261</v>
      </c>
      <c r="F52" s="42">
        <v>265</v>
      </c>
      <c r="G52" s="42">
        <v>0</v>
      </c>
      <c r="H52" s="42">
        <v>0</v>
      </c>
      <c r="I52" s="42">
        <v>0</v>
      </c>
      <c r="J52" s="42">
        <v>0</v>
      </c>
      <c r="K52" s="43">
        <v>213</v>
      </c>
      <c r="L52" s="74">
        <f t="shared" si="2"/>
        <v>127948</v>
      </c>
      <c r="M52" s="86">
        <v>58730</v>
      </c>
      <c r="N52" s="74">
        <f t="shared" si="3"/>
        <v>58730</v>
      </c>
      <c r="O52" s="74">
        <v>1076250</v>
      </c>
      <c r="Q52"/>
    </row>
    <row r="53" spans="1:17">
      <c r="A53" s="1" t="s">
        <v>3</v>
      </c>
      <c r="B53" s="92" t="s">
        <v>121</v>
      </c>
      <c r="C53" s="61">
        <v>18080</v>
      </c>
      <c r="D53" s="31">
        <v>7910</v>
      </c>
      <c r="E53" s="31">
        <v>0</v>
      </c>
      <c r="F53" s="31">
        <v>20</v>
      </c>
      <c r="G53" s="31">
        <v>0</v>
      </c>
      <c r="H53" s="31">
        <v>0</v>
      </c>
      <c r="I53" s="31">
        <v>0</v>
      </c>
      <c r="J53" s="31">
        <v>0</v>
      </c>
      <c r="K53" s="32">
        <v>0</v>
      </c>
      <c r="L53" s="71">
        <f t="shared" si="2"/>
        <v>26010</v>
      </c>
      <c r="M53" s="83">
        <v>10050</v>
      </c>
      <c r="N53" s="71">
        <f t="shared" si="3"/>
        <v>10050</v>
      </c>
      <c r="O53" s="71">
        <v>144270</v>
      </c>
      <c r="Q53"/>
    </row>
    <row r="54" spans="1:17">
      <c r="A54" s="1" t="s">
        <v>3</v>
      </c>
      <c r="B54" s="93" t="s">
        <v>122</v>
      </c>
      <c r="C54" s="62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8">
        <v>0</v>
      </c>
      <c r="L54" s="72">
        <f t="shared" si="2"/>
        <v>0</v>
      </c>
      <c r="M54" s="84">
        <v>0</v>
      </c>
      <c r="N54" s="72">
        <f t="shared" si="3"/>
        <v>0</v>
      </c>
      <c r="O54" s="72">
        <v>15600</v>
      </c>
      <c r="Q54"/>
    </row>
    <row r="55" spans="1:17">
      <c r="A55" s="1" t="s">
        <v>3</v>
      </c>
      <c r="B55" s="93" t="s">
        <v>123</v>
      </c>
      <c r="C55" s="62">
        <v>35200</v>
      </c>
      <c r="D55" s="17">
        <v>14500</v>
      </c>
      <c r="E55" s="17">
        <v>600</v>
      </c>
      <c r="F55" s="17">
        <v>500</v>
      </c>
      <c r="G55" s="17">
        <v>0</v>
      </c>
      <c r="H55" s="17">
        <v>4100</v>
      </c>
      <c r="I55" s="17">
        <v>0</v>
      </c>
      <c r="J55" s="17">
        <v>0</v>
      </c>
      <c r="K55" s="18">
        <v>0</v>
      </c>
      <c r="L55" s="72">
        <f t="shared" si="2"/>
        <v>54900</v>
      </c>
      <c r="M55" s="84">
        <v>16100</v>
      </c>
      <c r="N55" s="72">
        <f t="shared" si="3"/>
        <v>16100</v>
      </c>
      <c r="O55" s="72">
        <v>263000</v>
      </c>
      <c r="Q55"/>
    </row>
    <row r="56" spans="1:17" ht="19.5" thickBot="1">
      <c r="A56" s="1" t="s">
        <v>3</v>
      </c>
      <c r="B56" s="93" t="s">
        <v>124</v>
      </c>
      <c r="C56" s="62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8">
        <v>0</v>
      </c>
      <c r="L56" s="72">
        <f t="shared" si="2"/>
        <v>0</v>
      </c>
      <c r="M56" s="84">
        <v>0</v>
      </c>
      <c r="N56" s="72">
        <f t="shared" si="3"/>
        <v>0</v>
      </c>
      <c r="O56" s="72">
        <v>10000</v>
      </c>
      <c r="Q56"/>
    </row>
    <row r="57" spans="1:17" ht="19.5" thickBot="1">
      <c r="A57" s="1" t="s">
        <v>3</v>
      </c>
      <c r="B57" s="96" t="s">
        <v>128</v>
      </c>
      <c r="C57" s="64">
        <v>121742</v>
      </c>
      <c r="D57" s="42">
        <v>81157</v>
      </c>
      <c r="E57" s="42">
        <v>861</v>
      </c>
      <c r="F57" s="42">
        <v>785</v>
      </c>
      <c r="G57" s="42">
        <v>0</v>
      </c>
      <c r="H57" s="42">
        <v>4100</v>
      </c>
      <c r="I57" s="42">
        <v>0</v>
      </c>
      <c r="J57" s="42">
        <v>0</v>
      </c>
      <c r="K57" s="43">
        <v>213</v>
      </c>
      <c r="L57" s="74">
        <f t="shared" si="2"/>
        <v>208858</v>
      </c>
      <c r="M57" s="86">
        <v>84880</v>
      </c>
      <c r="N57" s="74">
        <f t="shared" si="3"/>
        <v>84880</v>
      </c>
      <c r="O57" s="74">
        <v>1509120</v>
      </c>
      <c r="Q57"/>
    </row>
    <row r="58" spans="1:17" ht="19.5" thickBot="1">
      <c r="A58" s="1" t="s">
        <v>3</v>
      </c>
      <c r="B58" s="96" t="s">
        <v>129</v>
      </c>
      <c r="C58" s="64">
        <v>418716</v>
      </c>
      <c r="D58" s="42">
        <v>329010</v>
      </c>
      <c r="E58" s="42">
        <v>84379</v>
      </c>
      <c r="F58" s="42">
        <v>86215</v>
      </c>
      <c r="G58" s="42">
        <v>70140</v>
      </c>
      <c r="H58" s="42">
        <v>41430</v>
      </c>
      <c r="I58" s="42">
        <v>62370</v>
      </c>
      <c r="J58" s="42">
        <v>65054</v>
      </c>
      <c r="K58" s="43">
        <v>64467</v>
      </c>
      <c r="L58" s="74">
        <f t="shared" si="2"/>
        <v>1221781</v>
      </c>
      <c r="M58" s="86">
        <v>320394</v>
      </c>
      <c r="N58" s="74">
        <f t="shared" si="3"/>
        <v>320394</v>
      </c>
      <c r="O58" s="74">
        <v>5993945</v>
      </c>
      <c r="Q58"/>
    </row>
    <row r="59" spans="1:17" ht="19.5" thickBot="1">
      <c r="A59" s="1" t="s">
        <v>3</v>
      </c>
      <c r="B59" s="96" t="s">
        <v>130</v>
      </c>
      <c r="C59" s="64">
        <v>373770</v>
      </c>
      <c r="D59" s="42">
        <v>311166</v>
      </c>
      <c r="E59" s="42">
        <v>86291</v>
      </c>
      <c r="F59" s="42">
        <v>87386</v>
      </c>
      <c r="G59" s="42">
        <v>73039</v>
      </c>
      <c r="H59" s="42">
        <v>39504</v>
      </c>
      <c r="I59" s="42">
        <v>65849</v>
      </c>
      <c r="J59" s="42">
        <v>67880</v>
      </c>
      <c r="K59" s="43">
        <v>70892</v>
      </c>
      <c r="L59" s="74">
        <f t="shared" si="2"/>
        <v>1175777</v>
      </c>
      <c r="M59" s="86">
        <v>301780</v>
      </c>
      <c r="N59" s="74">
        <f t="shared" si="3"/>
        <v>301780</v>
      </c>
      <c r="O59" s="74">
        <v>5686614</v>
      </c>
      <c r="Q59"/>
    </row>
    <row r="60" spans="1:17">
      <c r="A60" s="1" t="s">
        <v>3</v>
      </c>
      <c r="B60" s="92" t="s">
        <v>131</v>
      </c>
      <c r="C60" s="6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2">
        <v>0</v>
      </c>
      <c r="L60" s="71">
        <f t="shared" si="2"/>
        <v>0</v>
      </c>
      <c r="M60" s="83">
        <v>0</v>
      </c>
      <c r="N60" s="71">
        <f t="shared" si="3"/>
        <v>0</v>
      </c>
      <c r="O60" s="71">
        <v>0</v>
      </c>
      <c r="Q60"/>
    </row>
    <row r="61" spans="1:17">
      <c r="A61" s="1" t="s">
        <v>3</v>
      </c>
      <c r="B61" s="93" t="s">
        <v>132</v>
      </c>
      <c r="C61" s="62">
        <v>373770</v>
      </c>
      <c r="D61" s="17">
        <v>311166</v>
      </c>
      <c r="E61" s="17">
        <v>86291</v>
      </c>
      <c r="F61" s="17">
        <v>87386</v>
      </c>
      <c r="G61" s="17">
        <v>73039</v>
      </c>
      <c r="H61" s="17">
        <v>39504</v>
      </c>
      <c r="I61" s="17">
        <v>65849</v>
      </c>
      <c r="J61" s="17">
        <v>67880</v>
      </c>
      <c r="K61" s="18">
        <v>70892</v>
      </c>
      <c r="L61" s="72">
        <f t="shared" si="2"/>
        <v>1175777</v>
      </c>
      <c r="M61" s="84">
        <v>301780</v>
      </c>
      <c r="N61" s="72">
        <f t="shared" si="3"/>
        <v>301780</v>
      </c>
      <c r="O61" s="72">
        <v>5686614</v>
      </c>
      <c r="Q61"/>
    </row>
    <row r="62" spans="1:17">
      <c r="A62" s="1" t="s">
        <v>3</v>
      </c>
      <c r="B62" s="93" t="s">
        <v>133</v>
      </c>
      <c r="C62" s="62">
        <v>0</v>
      </c>
      <c r="D62" s="17">
        <v>1</v>
      </c>
      <c r="E62" s="17">
        <v>0</v>
      </c>
      <c r="F62" s="17">
        <v>0</v>
      </c>
      <c r="G62" s="17">
        <v>1</v>
      </c>
      <c r="H62" s="17">
        <v>1</v>
      </c>
      <c r="I62" s="17">
        <v>1</v>
      </c>
      <c r="J62" s="17">
        <v>1</v>
      </c>
      <c r="K62" s="18">
        <v>1</v>
      </c>
      <c r="L62" s="72"/>
      <c r="M62" s="84">
        <v>0</v>
      </c>
      <c r="N62" s="72"/>
      <c r="O62" s="72"/>
      <c r="Q62"/>
    </row>
    <row r="63" spans="1:17" ht="19.5" thickBot="1">
      <c r="A63" s="1" t="s">
        <v>3</v>
      </c>
      <c r="B63" s="94" t="s">
        <v>134</v>
      </c>
      <c r="C63" s="65" t="s">
        <v>135</v>
      </c>
      <c r="D63" s="20" t="s">
        <v>135</v>
      </c>
      <c r="E63" s="20" t="s">
        <v>135</v>
      </c>
      <c r="F63" s="20" t="s">
        <v>135</v>
      </c>
      <c r="G63" s="20" t="s">
        <v>135</v>
      </c>
      <c r="H63" s="20" t="s">
        <v>135</v>
      </c>
      <c r="I63" s="20" t="s">
        <v>135</v>
      </c>
      <c r="J63" s="20" t="s">
        <v>135</v>
      </c>
      <c r="K63" s="21" t="s">
        <v>135</v>
      </c>
      <c r="L63" s="75"/>
      <c r="M63" s="87" t="s">
        <v>135</v>
      </c>
      <c r="N63" s="75"/>
      <c r="O63" s="75"/>
    </row>
  </sheetData>
  <phoneticPr fontId="3"/>
  <pageMargins left="0.11811023622047245" right="0.11811023622047245" top="0.15748031496062992" bottom="0.15748031496062992" header="0.11811023622047245" footer="0.11811023622047245"/>
  <pageSetup paperSize="12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0DDB-5FEE-407D-ACEA-4D7F928ECEA6}">
  <sheetPr>
    <pageSetUpPr fitToPage="1"/>
  </sheetPr>
  <dimension ref="A1:V63"/>
  <sheetViews>
    <sheetView showZeros="0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20" width="10.625" style="2" customWidth="1"/>
    <col min="21" max="246" width="9" style="2"/>
    <col min="247" max="247" width="2.375" style="2" customWidth="1"/>
    <col min="248" max="248" width="13.25" style="2" bestFit="1" customWidth="1"/>
    <col min="249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>
      <c r="A2" s="1" t="s">
        <v>1</v>
      </c>
    </row>
    <row r="3" spans="1:22" ht="19.5" thickBot="1">
      <c r="A3" s="1" t="s">
        <v>136</v>
      </c>
    </row>
    <row r="4" spans="1:22">
      <c r="B4" s="4"/>
      <c r="C4" s="7" t="s">
        <v>4</v>
      </c>
      <c r="D4" s="8" t="s">
        <v>5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44" t="s">
        <v>23</v>
      </c>
      <c r="T4" s="66" t="s">
        <v>137</v>
      </c>
    </row>
    <row r="5" spans="1:22" ht="19.5" thickBot="1">
      <c r="A5" s="97"/>
      <c r="B5" s="26" t="s">
        <v>31</v>
      </c>
      <c r="C5" s="27" t="s">
        <v>32</v>
      </c>
      <c r="D5" s="28" t="s">
        <v>33</v>
      </c>
      <c r="E5" s="28" t="s">
        <v>37</v>
      </c>
      <c r="F5" s="28" t="s">
        <v>38</v>
      </c>
      <c r="G5" s="28" t="s">
        <v>39</v>
      </c>
      <c r="H5" s="28" t="s">
        <v>40</v>
      </c>
      <c r="I5" s="28" t="s">
        <v>41</v>
      </c>
      <c r="J5" s="28" t="s">
        <v>42</v>
      </c>
      <c r="K5" s="28" t="s">
        <v>43</v>
      </c>
      <c r="L5" s="28" t="s">
        <v>44</v>
      </c>
      <c r="M5" s="28" t="s">
        <v>45</v>
      </c>
      <c r="N5" s="28" t="s">
        <v>46</v>
      </c>
      <c r="O5" s="28" t="s">
        <v>47</v>
      </c>
      <c r="P5" s="28" t="s">
        <v>48</v>
      </c>
      <c r="Q5" s="28" t="s">
        <v>49</v>
      </c>
      <c r="R5" s="28" t="s">
        <v>50</v>
      </c>
      <c r="S5" s="45" t="s">
        <v>51</v>
      </c>
      <c r="T5" s="67" t="s">
        <v>138</v>
      </c>
    </row>
    <row r="6" spans="1:22">
      <c r="A6" s="1" t="s">
        <v>3</v>
      </c>
      <c r="B6" s="22" t="s">
        <v>60</v>
      </c>
      <c r="C6" s="23">
        <v>13</v>
      </c>
      <c r="D6" s="24">
        <v>12</v>
      </c>
      <c r="E6" s="24">
        <v>19</v>
      </c>
      <c r="F6" s="24">
        <v>19</v>
      </c>
      <c r="G6" s="24">
        <v>17</v>
      </c>
      <c r="H6" s="24">
        <v>19</v>
      </c>
      <c r="I6" s="24">
        <v>18</v>
      </c>
      <c r="J6" s="24">
        <v>18</v>
      </c>
      <c r="K6" s="24">
        <v>14</v>
      </c>
      <c r="L6" s="24">
        <v>19</v>
      </c>
      <c r="M6" s="24">
        <v>15</v>
      </c>
      <c r="N6" s="24">
        <v>18</v>
      </c>
      <c r="O6" s="24">
        <v>19</v>
      </c>
      <c r="P6" s="24">
        <v>19</v>
      </c>
      <c r="Q6" s="24">
        <v>19</v>
      </c>
      <c r="R6" s="24">
        <v>19</v>
      </c>
      <c r="S6" s="46">
        <v>17</v>
      </c>
      <c r="T6" s="68">
        <f>SUM(C6:S6)</f>
        <v>294</v>
      </c>
      <c r="V6"/>
    </row>
    <row r="7" spans="1:22">
      <c r="A7" s="1" t="s">
        <v>3</v>
      </c>
      <c r="B7" s="5" t="s">
        <v>61</v>
      </c>
      <c r="C7" s="10">
        <v>3</v>
      </c>
      <c r="D7" s="11">
        <v>0</v>
      </c>
      <c r="E7" s="11">
        <v>5</v>
      </c>
      <c r="F7" s="11">
        <v>2</v>
      </c>
      <c r="G7" s="11">
        <v>2</v>
      </c>
      <c r="H7" s="11">
        <v>2</v>
      </c>
      <c r="I7" s="11">
        <v>4</v>
      </c>
      <c r="J7" s="11">
        <v>4</v>
      </c>
      <c r="K7" s="11">
        <v>2</v>
      </c>
      <c r="L7" s="11">
        <v>3</v>
      </c>
      <c r="M7" s="11">
        <v>3</v>
      </c>
      <c r="N7" s="11">
        <v>5</v>
      </c>
      <c r="O7" s="11">
        <v>2</v>
      </c>
      <c r="P7" s="11">
        <v>3</v>
      </c>
      <c r="Q7" s="11">
        <v>2</v>
      </c>
      <c r="R7" s="11">
        <v>0</v>
      </c>
      <c r="S7" s="47">
        <v>2</v>
      </c>
      <c r="T7" s="68">
        <f t="shared" ref="T7:T13" si="0">SUM(C7:S7)</f>
        <v>44</v>
      </c>
      <c r="V7"/>
    </row>
    <row r="8" spans="1:22">
      <c r="A8" s="1" t="s">
        <v>3</v>
      </c>
      <c r="B8" s="5" t="s">
        <v>62</v>
      </c>
      <c r="C8" s="10">
        <v>5</v>
      </c>
      <c r="D8" s="11">
        <v>3</v>
      </c>
      <c r="E8" s="11">
        <v>2</v>
      </c>
      <c r="F8" s="11">
        <v>3</v>
      </c>
      <c r="G8" s="11">
        <v>4</v>
      </c>
      <c r="H8" s="11">
        <v>3</v>
      </c>
      <c r="I8" s="11">
        <v>1</v>
      </c>
      <c r="J8" s="11">
        <v>1</v>
      </c>
      <c r="K8" s="11">
        <v>2</v>
      </c>
      <c r="L8" s="11">
        <v>1</v>
      </c>
      <c r="M8" s="11">
        <v>2</v>
      </c>
      <c r="N8" s="11">
        <v>3</v>
      </c>
      <c r="O8" s="11">
        <v>4</v>
      </c>
      <c r="P8" s="11">
        <v>1</v>
      </c>
      <c r="Q8" s="11">
        <v>3</v>
      </c>
      <c r="R8" s="11">
        <v>1</v>
      </c>
      <c r="S8" s="47">
        <v>3</v>
      </c>
      <c r="T8" s="68">
        <f t="shared" si="0"/>
        <v>42</v>
      </c>
      <c r="V8"/>
    </row>
    <row r="9" spans="1:22">
      <c r="A9" s="1" t="s">
        <v>3</v>
      </c>
      <c r="B9" s="5" t="s">
        <v>63</v>
      </c>
      <c r="C9" s="10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47">
        <v>2</v>
      </c>
      <c r="T9" s="68">
        <f t="shared" si="0"/>
        <v>3</v>
      </c>
      <c r="V9"/>
    </row>
    <row r="10" spans="1:22">
      <c r="A10" s="1" t="s">
        <v>3</v>
      </c>
      <c r="B10" s="5" t="s">
        <v>64</v>
      </c>
      <c r="C10" s="10">
        <v>4</v>
      </c>
      <c r="D10" s="11">
        <v>7</v>
      </c>
      <c r="E10" s="11">
        <v>1</v>
      </c>
      <c r="F10" s="11">
        <v>0</v>
      </c>
      <c r="G10" s="11">
        <v>2</v>
      </c>
      <c r="H10" s="11">
        <v>0</v>
      </c>
      <c r="I10" s="11">
        <v>1</v>
      </c>
      <c r="J10" s="11">
        <v>1</v>
      </c>
      <c r="K10" s="11">
        <v>0</v>
      </c>
      <c r="L10" s="11">
        <v>0</v>
      </c>
      <c r="M10" s="11">
        <v>2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47">
        <v>0</v>
      </c>
      <c r="T10" s="68">
        <f t="shared" si="0"/>
        <v>18</v>
      </c>
      <c r="V10"/>
    </row>
    <row r="11" spans="1:22">
      <c r="A11" s="1" t="s">
        <v>3</v>
      </c>
      <c r="B11" s="5" t="s">
        <v>65</v>
      </c>
      <c r="C11" s="10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5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47">
        <v>0</v>
      </c>
      <c r="T11" s="68">
        <f t="shared" si="0"/>
        <v>5</v>
      </c>
      <c r="V11"/>
    </row>
    <row r="12" spans="1:22">
      <c r="A12" s="1" t="s">
        <v>3</v>
      </c>
      <c r="B12" s="5" t="s">
        <v>66</v>
      </c>
      <c r="C12" s="10">
        <v>2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2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47">
        <v>0</v>
      </c>
      <c r="T12" s="68">
        <f t="shared" si="0"/>
        <v>4</v>
      </c>
      <c r="V12"/>
    </row>
    <row r="13" spans="1:22">
      <c r="A13" s="1" t="s">
        <v>3</v>
      </c>
      <c r="B13" s="5" t="s">
        <v>67</v>
      </c>
      <c r="C13" s="10">
        <v>2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47">
        <v>0</v>
      </c>
      <c r="T13" s="68">
        <f t="shared" si="0"/>
        <v>2</v>
      </c>
      <c r="V13"/>
    </row>
    <row r="14" spans="1:22">
      <c r="A14" s="1" t="s">
        <v>3</v>
      </c>
      <c r="B14" s="5" t="s">
        <v>68</v>
      </c>
      <c r="C14" s="13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48">
        <v>0</v>
      </c>
      <c r="T14" s="69"/>
      <c r="V14"/>
    </row>
    <row r="15" spans="1:22">
      <c r="A15" s="1" t="s">
        <v>3</v>
      </c>
      <c r="B15" s="5" t="s">
        <v>70</v>
      </c>
      <c r="C15" s="13">
        <v>0.41666666666666669</v>
      </c>
      <c r="D15" s="14">
        <v>1.4583333333333333</v>
      </c>
      <c r="E15" s="14">
        <v>1.4166666666666667</v>
      </c>
      <c r="F15" s="14">
        <v>2.5833333333333335</v>
      </c>
      <c r="G15" s="14">
        <v>1.4583333333333333</v>
      </c>
      <c r="H15" s="14">
        <v>2.875</v>
      </c>
      <c r="I15" s="14">
        <v>1.9166666666666665</v>
      </c>
      <c r="J15" s="14">
        <v>2.0416666666666665</v>
      </c>
      <c r="K15" s="14">
        <v>1.5833333333333335</v>
      </c>
      <c r="L15" s="14">
        <v>0.79166666666666663</v>
      </c>
      <c r="M15" s="14">
        <v>1</v>
      </c>
      <c r="N15" s="14">
        <v>2.875</v>
      </c>
      <c r="O15" s="14">
        <v>2</v>
      </c>
      <c r="P15" s="14">
        <v>3.5416666666666665</v>
      </c>
      <c r="Q15" s="14">
        <v>2.9166666666666665</v>
      </c>
      <c r="R15" s="14">
        <v>2</v>
      </c>
      <c r="S15" s="48">
        <v>1.6666666666666665</v>
      </c>
      <c r="T15" s="69">
        <f>SUM(C15:S15)</f>
        <v>32.541666666666664</v>
      </c>
      <c r="V15"/>
    </row>
    <row r="16" spans="1:22">
      <c r="A16" s="1" t="s">
        <v>3</v>
      </c>
      <c r="B16" s="5" t="s">
        <v>71</v>
      </c>
      <c r="C16" s="13">
        <v>1.2083333333333333</v>
      </c>
      <c r="D16" s="14">
        <v>0</v>
      </c>
      <c r="E16" s="14">
        <v>1.75</v>
      </c>
      <c r="F16" s="14">
        <v>0.54166666666666663</v>
      </c>
      <c r="G16" s="14">
        <v>1</v>
      </c>
      <c r="H16" s="14">
        <v>0.875</v>
      </c>
      <c r="I16" s="14">
        <v>1.8333333333333335</v>
      </c>
      <c r="J16" s="14">
        <v>1.75</v>
      </c>
      <c r="K16" s="14">
        <v>0.625</v>
      </c>
      <c r="L16" s="14">
        <v>0.91666666666666663</v>
      </c>
      <c r="M16" s="14">
        <v>1.375</v>
      </c>
      <c r="N16" s="14">
        <v>1.7083333333333335</v>
      </c>
      <c r="O16" s="14">
        <v>0.70833333333333337</v>
      </c>
      <c r="P16" s="14">
        <v>0.79166666666666663</v>
      </c>
      <c r="Q16" s="14">
        <v>0.95833333333333337</v>
      </c>
      <c r="R16" s="14">
        <v>0</v>
      </c>
      <c r="S16" s="48">
        <v>0.91666666666666663</v>
      </c>
      <c r="T16" s="69">
        <f t="shared" ref="T16:T19" si="1">SUM(C16:S16)</f>
        <v>16.958333333333336</v>
      </c>
      <c r="V16"/>
    </row>
    <row r="17" spans="1:22">
      <c r="A17" s="1" t="s">
        <v>3</v>
      </c>
      <c r="B17" s="5" t="s">
        <v>72</v>
      </c>
      <c r="C17" s="13">
        <v>1.875</v>
      </c>
      <c r="D17" s="14">
        <v>0.79166666666666663</v>
      </c>
      <c r="E17" s="14">
        <v>0.29166666666666669</v>
      </c>
      <c r="F17" s="14">
        <v>1</v>
      </c>
      <c r="G17" s="14">
        <v>1.3333333333333333</v>
      </c>
      <c r="H17" s="14">
        <v>0.75</v>
      </c>
      <c r="I17" s="14">
        <v>0.45833333333333331</v>
      </c>
      <c r="J17" s="14">
        <v>0.41666666666666669</v>
      </c>
      <c r="K17" s="14">
        <v>0.66666666666666663</v>
      </c>
      <c r="L17" s="14">
        <v>0.29166666666666669</v>
      </c>
      <c r="M17" s="14">
        <v>0.79166666666666663</v>
      </c>
      <c r="N17" s="14">
        <v>0.83333333333333337</v>
      </c>
      <c r="O17" s="14">
        <v>1.2916666666666667</v>
      </c>
      <c r="P17" s="14">
        <v>0.45833333333333331</v>
      </c>
      <c r="Q17" s="14">
        <v>0.45833333333333331</v>
      </c>
      <c r="R17" s="14">
        <v>0.33333333333333331</v>
      </c>
      <c r="S17" s="48">
        <v>0.33333333333333331</v>
      </c>
      <c r="T17" s="69">
        <f t="shared" si="1"/>
        <v>12.375000000000002</v>
      </c>
      <c r="V17"/>
    </row>
    <row r="18" spans="1:22">
      <c r="A18" s="1" t="s">
        <v>3</v>
      </c>
      <c r="B18" s="5" t="s">
        <v>73</v>
      </c>
      <c r="C18" s="13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48">
        <v>0</v>
      </c>
      <c r="T18" s="69">
        <f t="shared" si="1"/>
        <v>0</v>
      </c>
      <c r="V18"/>
    </row>
    <row r="19" spans="1:22">
      <c r="A19" s="1" t="s">
        <v>3</v>
      </c>
      <c r="B19" s="5" t="s">
        <v>74</v>
      </c>
      <c r="C19" s="13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0.33333333333333331</v>
      </c>
      <c r="O19" s="14">
        <v>0</v>
      </c>
      <c r="P19" s="14">
        <v>0</v>
      </c>
      <c r="Q19" s="14">
        <v>0</v>
      </c>
      <c r="R19" s="14">
        <v>0</v>
      </c>
      <c r="S19" s="48">
        <v>0.625</v>
      </c>
      <c r="T19" s="69">
        <f t="shared" si="1"/>
        <v>0.95833333333333326</v>
      </c>
      <c r="V19"/>
    </row>
    <row r="20" spans="1:22">
      <c r="A20" s="1" t="s">
        <v>3</v>
      </c>
      <c r="B20" s="5" t="s">
        <v>77</v>
      </c>
      <c r="C20" s="13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48">
        <v>0</v>
      </c>
      <c r="T20" s="69"/>
      <c r="V20"/>
    </row>
    <row r="21" spans="1:22">
      <c r="A21" s="1" t="s">
        <v>3</v>
      </c>
      <c r="B21" s="5" t="s">
        <v>80</v>
      </c>
      <c r="C21" s="13">
        <v>0</v>
      </c>
      <c r="D21" s="14">
        <v>0.125</v>
      </c>
      <c r="E21" s="14">
        <v>8.3333333333333329E-2</v>
      </c>
      <c r="F21" s="14">
        <v>1.0833333333333333</v>
      </c>
      <c r="G21" s="14">
        <v>2.0416666666666665</v>
      </c>
      <c r="H21" s="14">
        <v>1.25</v>
      </c>
      <c r="I21" s="14">
        <v>0.20833333333333334</v>
      </c>
      <c r="J21" s="14">
        <v>0.375</v>
      </c>
      <c r="K21" s="14">
        <v>4.1666666666666664E-2</v>
      </c>
      <c r="L21" s="14">
        <v>0.16666666666666666</v>
      </c>
      <c r="M21" s="14">
        <v>0.20833333333333334</v>
      </c>
      <c r="N21" s="14">
        <v>0.20833333333333334</v>
      </c>
      <c r="O21" s="14">
        <v>0.20833333333333334</v>
      </c>
      <c r="P21" s="14">
        <v>1.6666666666666665</v>
      </c>
      <c r="Q21" s="14">
        <v>1.3333333333333333</v>
      </c>
      <c r="R21" s="14">
        <v>0.58333333333333337</v>
      </c>
      <c r="S21" s="48">
        <v>1.625</v>
      </c>
      <c r="T21" s="69">
        <f t="shared" ref="T21" si="2">SUM(C21:S21)</f>
        <v>11.208333333333334</v>
      </c>
      <c r="V21"/>
    </row>
    <row r="22" spans="1:22" ht="19.5" thickBot="1">
      <c r="A22" s="1" t="s">
        <v>3</v>
      </c>
      <c r="B22" s="6" t="s">
        <v>81</v>
      </c>
      <c r="C22" s="33">
        <v>12</v>
      </c>
      <c r="D22" s="34">
        <v>20</v>
      </c>
      <c r="E22" s="34">
        <v>29</v>
      </c>
      <c r="F22" s="34">
        <v>33</v>
      </c>
      <c r="G22" s="34">
        <v>17</v>
      </c>
      <c r="H22" s="34">
        <v>27</v>
      </c>
      <c r="I22" s="34">
        <v>24</v>
      </c>
      <c r="J22" s="34">
        <v>11</v>
      </c>
      <c r="K22" s="34">
        <v>19</v>
      </c>
      <c r="L22" s="34">
        <v>28</v>
      </c>
      <c r="M22" s="34">
        <v>4</v>
      </c>
      <c r="N22" s="34">
        <v>4</v>
      </c>
      <c r="O22" s="34">
        <v>19</v>
      </c>
      <c r="P22" s="34">
        <v>11</v>
      </c>
      <c r="Q22" s="34">
        <v>9</v>
      </c>
      <c r="R22" s="34">
        <v>7</v>
      </c>
      <c r="S22" s="49">
        <v>0</v>
      </c>
      <c r="T22" s="70">
        <f>SUM(C22:S22)</f>
        <v>274</v>
      </c>
      <c r="V22"/>
    </row>
    <row r="23" spans="1:22">
      <c r="A23" s="1" t="s">
        <v>3</v>
      </c>
      <c r="B23" s="22" t="s">
        <v>82</v>
      </c>
      <c r="C23" s="30">
        <v>177000</v>
      </c>
      <c r="D23" s="31">
        <v>187000</v>
      </c>
      <c r="E23" s="31">
        <v>187000</v>
      </c>
      <c r="F23" s="31">
        <v>192000</v>
      </c>
      <c r="G23" s="31">
        <v>182000</v>
      </c>
      <c r="H23" s="31">
        <v>187000</v>
      </c>
      <c r="I23" s="31">
        <v>177000</v>
      </c>
      <c r="J23" s="31">
        <v>177000</v>
      </c>
      <c r="K23" s="31">
        <v>172000</v>
      </c>
      <c r="L23" s="31">
        <v>177958</v>
      </c>
      <c r="M23" s="31">
        <v>177000</v>
      </c>
      <c r="N23" s="31">
        <v>177000</v>
      </c>
      <c r="O23" s="31">
        <v>170000</v>
      </c>
      <c r="P23" s="31">
        <v>177000</v>
      </c>
      <c r="Q23" s="31">
        <v>175000</v>
      </c>
      <c r="R23" s="31">
        <v>175000</v>
      </c>
      <c r="S23" s="50">
        <v>170000</v>
      </c>
      <c r="T23" s="71">
        <f>SUM(C23:S23)</f>
        <v>3036958</v>
      </c>
      <c r="V23"/>
    </row>
    <row r="24" spans="1:22">
      <c r="A24" s="1" t="s">
        <v>3</v>
      </c>
      <c r="B24" s="5" t="s">
        <v>83</v>
      </c>
      <c r="C24" s="16">
        <v>0</v>
      </c>
      <c r="D24" s="17">
        <v>0</v>
      </c>
      <c r="E24" s="17">
        <v>20000</v>
      </c>
      <c r="F24" s="17">
        <v>5000</v>
      </c>
      <c r="G24" s="17">
        <v>5000</v>
      </c>
      <c r="H24" s="17">
        <v>5000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51">
        <v>0</v>
      </c>
      <c r="T24" s="72">
        <f t="shared" ref="T24:T61" si="3">SUM(C24:S24)</f>
        <v>35000</v>
      </c>
      <c r="V24"/>
    </row>
    <row r="25" spans="1:22">
      <c r="A25" s="1" t="s">
        <v>3</v>
      </c>
      <c r="B25" s="5" t="s">
        <v>84</v>
      </c>
      <c r="C25" s="16">
        <v>0</v>
      </c>
      <c r="D25" s="17">
        <v>0</v>
      </c>
      <c r="E25" s="17">
        <v>3000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51">
        <v>0</v>
      </c>
      <c r="T25" s="72">
        <f t="shared" si="3"/>
        <v>3000</v>
      </c>
      <c r="V25"/>
    </row>
    <row r="26" spans="1:22">
      <c r="A26" s="1" t="s">
        <v>3</v>
      </c>
      <c r="B26" s="5" t="s">
        <v>85</v>
      </c>
      <c r="C26" s="16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51">
        <v>0</v>
      </c>
      <c r="T26" s="72">
        <f t="shared" si="3"/>
        <v>0</v>
      </c>
      <c r="V26"/>
    </row>
    <row r="27" spans="1:22">
      <c r="A27" s="1" t="s">
        <v>3</v>
      </c>
      <c r="B27" s="5" t="s">
        <v>86</v>
      </c>
      <c r="C27" s="16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73674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51">
        <v>0</v>
      </c>
      <c r="T27" s="72">
        <f t="shared" si="3"/>
        <v>73674</v>
      </c>
      <c r="V27"/>
    </row>
    <row r="28" spans="1:22">
      <c r="A28" s="1" t="s">
        <v>3</v>
      </c>
      <c r="B28" s="5" t="s">
        <v>90</v>
      </c>
      <c r="C28" s="16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51">
        <v>0</v>
      </c>
      <c r="T28" s="72">
        <f t="shared" si="3"/>
        <v>0</v>
      </c>
      <c r="V28"/>
    </row>
    <row r="29" spans="1:22">
      <c r="A29" s="1" t="s">
        <v>3</v>
      </c>
      <c r="B29" s="5" t="s">
        <v>92</v>
      </c>
      <c r="C29" s="16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51">
        <v>0</v>
      </c>
      <c r="T29" s="72">
        <f t="shared" si="3"/>
        <v>0</v>
      </c>
      <c r="V29"/>
    </row>
    <row r="30" spans="1:22">
      <c r="A30" s="1" t="s">
        <v>3</v>
      </c>
      <c r="B30" s="5" t="s">
        <v>93</v>
      </c>
      <c r="C30" s="16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51">
        <v>0</v>
      </c>
      <c r="T30" s="72">
        <f t="shared" si="3"/>
        <v>0</v>
      </c>
      <c r="V30"/>
    </row>
    <row r="31" spans="1:22">
      <c r="A31" s="1" t="s">
        <v>3</v>
      </c>
      <c r="B31" s="5" t="s">
        <v>94</v>
      </c>
      <c r="C31" s="16">
        <v>1000</v>
      </c>
      <c r="D31" s="17">
        <v>1000</v>
      </c>
      <c r="E31" s="17">
        <v>1000</v>
      </c>
      <c r="F31" s="17">
        <v>1000</v>
      </c>
      <c r="G31" s="17">
        <v>0</v>
      </c>
      <c r="H31" s="17">
        <v>1000</v>
      </c>
      <c r="I31" s="17">
        <v>0</v>
      </c>
      <c r="J31" s="17">
        <v>1000</v>
      </c>
      <c r="K31" s="17">
        <v>0</v>
      </c>
      <c r="L31" s="17">
        <v>1000</v>
      </c>
      <c r="M31" s="17">
        <v>1000</v>
      </c>
      <c r="N31" s="17">
        <v>1000</v>
      </c>
      <c r="O31" s="17">
        <v>1000</v>
      </c>
      <c r="P31" s="17">
        <v>1000</v>
      </c>
      <c r="Q31" s="17">
        <v>1000</v>
      </c>
      <c r="R31" s="17">
        <v>1000</v>
      </c>
      <c r="S31" s="51">
        <v>0</v>
      </c>
      <c r="T31" s="72">
        <f t="shared" si="3"/>
        <v>13000</v>
      </c>
      <c r="V31"/>
    </row>
    <row r="32" spans="1:22">
      <c r="A32" s="1" t="s">
        <v>3</v>
      </c>
      <c r="B32" s="5" t="s">
        <v>95</v>
      </c>
      <c r="C32" s="16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51">
        <v>0</v>
      </c>
      <c r="T32" s="72">
        <f t="shared" si="3"/>
        <v>0</v>
      </c>
      <c r="V32"/>
    </row>
    <row r="33" spans="1:22">
      <c r="A33" s="1" t="s">
        <v>3</v>
      </c>
      <c r="B33" s="5" t="s">
        <v>97</v>
      </c>
      <c r="C33" s="16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51">
        <v>0</v>
      </c>
      <c r="T33" s="72">
        <f t="shared" si="3"/>
        <v>0</v>
      </c>
      <c r="V33"/>
    </row>
    <row r="34" spans="1:22">
      <c r="A34" s="1" t="s">
        <v>3</v>
      </c>
      <c r="B34" s="5" t="s">
        <v>101</v>
      </c>
      <c r="C34" s="16">
        <v>0</v>
      </c>
      <c r="D34" s="17">
        <v>0</v>
      </c>
      <c r="E34" s="17">
        <v>4500</v>
      </c>
      <c r="F34" s="17">
        <v>0</v>
      </c>
      <c r="G34" s="17">
        <v>0</v>
      </c>
      <c r="H34" s="17">
        <v>1500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6000</v>
      </c>
      <c r="O34" s="17">
        <v>3000</v>
      </c>
      <c r="P34" s="17">
        <v>0</v>
      </c>
      <c r="Q34" s="17">
        <v>1500</v>
      </c>
      <c r="R34" s="17">
        <v>0</v>
      </c>
      <c r="S34" s="51">
        <v>0</v>
      </c>
      <c r="T34" s="72">
        <f t="shared" si="3"/>
        <v>16500</v>
      </c>
      <c r="V34"/>
    </row>
    <row r="35" spans="1:22">
      <c r="A35" s="1" t="s">
        <v>3</v>
      </c>
      <c r="B35" s="5" t="s">
        <v>102</v>
      </c>
      <c r="C35" s="16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51">
        <v>0</v>
      </c>
      <c r="T35" s="72">
        <f t="shared" si="3"/>
        <v>0</v>
      </c>
      <c r="V35"/>
    </row>
    <row r="36" spans="1:22">
      <c r="A36" s="1" t="s">
        <v>3</v>
      </c>
      <c r="B36" s="5" t="s">
        <v>103</v>
      </c>
      <c r="C36" s="98">
        <v>-17032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99">
        <v>-17032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51">
        <v>0</v>
      </c>
      <c r="T36" s="100">
        <f t="shared" si="3"/>
        <v>-34064</v>
      </c>
      <c r="V36"/>
    </row>
    <row r="37" spans="1:22">
      <c r="A37" s="1" t="s">
        <v>3</v>
      </c>
      <c r="B37" s="5" t="s">
        <v>70</v>
      </c>
      <c r="C37" s="16">
        <v>13330</v>
      </c>
      <c r="D37" s="17">
        <v>49280</v>
      </c>
      <c r="E37" s="17">
        <v>53686</v>
      </c>
      <c r="F37" s="17">
        <v>91946</v>
      </c>
      <c r="G37" s="17">
        <v>49000</v>
      </c>
      <c r="H37" s="17">
        <v>99705</v>
      </c>
      <c r="I37" s="17">
        <v>60950</v>
      </c>
      <c r="J37" s="17">
        <v>65317</v>
      </c>
      <c r="K37" s="17">
        <v>48944</v>
      </c>
      <c r="L37" s="17">
        <v>25327</v>
      </c>
      <c r="M37" s="17">
        <v>31992</v>
      </c>
      <c r="N37" s="17">
        <v>91977</v>
      </c>
      <c r="O37" s="17">
        <v>61440</v>
      </c>
      <c r="P37" s="17">
        <v>113305</v>
      </c>
      <c r="Q37" s="17">
        <v>92260</v>
      </c>
      <c r="R37" s="17">
        <v>63264</v>
      </c>
      <c r="S37" s="51">
        <v>50920</v>
      </c>
      <c r="T37" s="72">
        <f t="shared" si="3"/>
        <v>1062643</v>
      </c>
      <c r="V37"/>
    </row>
    <row r="38" spans="1:22">
      <c r="A38" s="1" t="s">
        <v>3</v>
      </c>
      <c r="B38" s="5" t="s">
        <v>105</v>
      </c>
      <c r="C38" s="16">
        <v>41731</v>
      </c>
      <c r="D38" s="17">
        <v>0</v>
      </c>
      <c r="E38" s="17">
        <v>71610</v>
      </c>
      <c r="F38" s="17">
        <v>20813</v>
      </c>
      <c r="G38" s="17">
        <v>36288</v>
      </c>
      <c r="H38" s="17">
        <v>32781</v>
      </c>
      <c r="I38" s="17">
        <v>62964</v>
      </c>
      <c r="J38" s="17">
        <v>60438</v>
      </c>
      <c r="K38" s="17">
        <v>20865</v>
      </c>
      <c r="L38" s="17">
        <v>32387</v>
      </c>
      <c r="M38" s="17">
        <v>47487</v>
      </c>
      <c r="N38" s="17">
        <v>58999</v>
      </c>
      <c r="O38" s="17">
        <v>23494</v>
      </c>
      <c r="P38" s="17">
        <v>27341</v>
      </c>
      <c r="Q38" s="17">
        <v>32729</v>
      </c>
      <c r="R38" s="17">
        <v>0</v>
      </c>
      <c r="S38" s="51">
        <v>30228</v>
      </c>
      <c r="T38" s="72">
        <f t="shared" si="3"/>
        <v>600155</v>
      </c>
      <c r="V38"/>
    </row>
    <row r="39" spans="1:22">
      <c r="A39" s="1" t="s">
        <v>3</v>
      </c>
      <c r="B39" s="5" t="s">
        <v>106</v>
      </c>
      <c r="C39" s="16">
        <v>64755</v>
      </c>
      <c r="D39" s="17">
        <v>28880</v>
      </c>
      <c r="E39" s="17">
        <v>11935</v>
      </c>
      <c r="F39" s="17">
        <v>38424</v>
      </c>
      <c r="G39" s="17">
        <v>48384</v>
      </c>
      <c r="H39" s="17">
        <v>28098</v>
      </c>
      <c r="I39" s="17">
        <v>15741</v>
      </c>
      <c r="J39" s="17">
        <v>14390</v>
      </c>
      <c r="K39" s="17">
        <v>22256</v>
      </c>
      <c r="L39" s="17">
        <v>10073</v>
      </c>
      <c r="M39" s="17">
        <v>27341</v>
      </c>
      <c r="N39" s="17">
        <v>28780</v>
      </c>
      <c r="O39" s="17">
        <v>42842</v>
      </c>
      <c r="P39" s="17">
        <v>15829</v>
      </c>
      <c r="Q39" s="17">
        <v>15653</v>
      </c>
      <c r="R39" s="17">
        <v>11384</v>
      </c>
      <c r="S39" s="51">
        <v>10992</v>
      </c>
      <c r="T39" s="72">
        <f t="shared" si="3"/>
        <v>435757</v>
      </c>
      <c r="V39"/>
    </row>
    <row r="40" spans="1:22">
      <c r="A40" s="1" t="s">
        <v>3</v>
      </c>
      <c r="B40" s="5" t="s">
        <v>107</v>
      </c>
      <c r="C40" s="16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51">
        <v>0</v>
      </c>
      <c r="T40" s="72">
        <f t="shared" si="3"/>
        <v>0</v>
      </c>
      <c r="V40"/>
    </row>
    <row r="41" spans="1:22">
      <c r="A41" s="1" t="s">
        <v>3</v>
      </c>
      <c r="B41" s="5" t="s">
        <v>108</v>
      </c>
      <c r="C41" s="16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2984</v>
      </c>
      <c r="O41" s="17">
        <v>0</v>
      </c>
      <c r="P41" s="17">
        <v>0</v>
      </c>
      <c r="Q41" s="17">
        <v>0</v>
      </c>
      <c r="R41" s="17">
        <v>0</v>
      </c>
      <c r="S41" s="51">
        <v>5340</v>
      </c>
      <c r="T41" s="72">
        <f t="shared" si="3"/>
        <v>8324</v>
      </c>
      <c r="V41"/>
    </row>
    <row r="42" spans="1:22">
      <c r="A42" s="1" t="s">
        <v>3</v>
      </c>
      <c r="B42" s="5" t="s">
        <v>109</v>
      </c>
      <c r="C42" s="16">
        <v>17032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51">
        <v>0</v>
      </c>
      <c r="T42" s="72">
        <f t="shared" si="3"/>
        <v>17032</v>
      </c>
      <c r="V42"/>
    </row>
    <row r="43" spans="1:22" ht="19.5" thickBot="1">
      <c r="A43" s="1" t="s">
        <v>3</v>
      </c>
      <c r="B43" s="36" t="s">
        <v>80</v>
      </c>
      <c r="C43" s="37">
        <v>0</v>
      </c>
      <c r="D43" s="38">
        <v>846</v>
      </c>
      <c r="E43" s="38">
        <v>632</v>
      </c>
      <c r="F43" s="38">
        <v>7722</v>
      </c>
      <c r="G43" s="38">
        <v>13720</v>
      </c>
      <c r="H43" s="38">
        <v>8670</v>
      </c>
      <c r="I43" s="38">
        <v>1325</v>
      </c>
      <c r="J43" s="38">
        <v>2403</v>
      </c>
      <c r="K43" s="38">
        <v>258</v>
      </c>
      <c r="L43" s="38">
        <v>1068</v>
      </c>
      <c r="M43" s="38">
        <v>1335</v>
      </c>
      <c r="N43" s="38">
        <v>1335</v>
      </c>
      <c r="O43" s="38">
        <v>1280</v>
      </c>
      <c r="P43" s="38">
        <v>10680</v>
      </c>
      <c r="Q43" s="38">
        <v>8448</v>
      </c>
      <c r="R43" s="38">
        <v>3696</v>
      </c>
      <c r="S43" s="52">
        <v>9945</v>
      </c>
      <c r="T43" s="73">
        <f t="shared" si="3"/>
        <v>73363</v>
      </c>
      <c r="V43"/>
    </row>
    <row r="44" spans="1:22" ht="19.5" thickBot="1">
      <c r="A44" s="1" t="s">
        <v>3</v>
      </c>
      <c r="B44" s="40" t="s">
        <v>110</v>
      </c>
      <c r="C44" s="41">
        <v>297816</v>
      </c>
      <c r="D44" s="42">
        <v>267006</v>
      </c>
      <c r="E44" s="42">
        <v>353363</v>
      </c>
      <c r="F44" s="42">
        <v>356905</v>
      </c>
      <c r="G44" s="42">
        <v>334392</v>
      </c>
      <c r="H44" s="42">
        <v>363754</v>
      </c>
      <c r="I44" s="42">
        <v>317980</v>
      </c>
      <c r="J44" s="42">
        <v>320548</v>
      </c>
      <c r="K44" s="42">
        <v>264323</v>
      </c>
      <c r="L44" s="42">
        <v>321487</v>
      </c>
      <c r="M44" s="42">
        <v>269123</v>
      </c>
      <c r="N44" s="42">
        <v>368075</v>
      </c>
      <c r="O44" s="42">
        <v>303056</v>
      </c>
      <c r="P44" s="42">
        <v>345155</v>
      </c>
      <c r="Q44" s="42">
        <v>326590</v>
      </c>
      <c r="R44" s="42">
        <v>254344</v>
      </c>
      <c r="S44" s="53">
        <v>277425</v>
      </c>
      <c r="T44" s="74">
        <f t="shared" si="3"/>
        <v>5341342</v>
      </c>
      <c r="V44"/>
    </row>
    <row r="45" spans="1:22" ht="19.5" thickBot="1">
      <c r="A45" s="1" t="s">
        <v>3</v>
      </c>
      <c r="B45" s="22" t="s">
        <v>111</v>
      </c>
      <c r="C45" s="30">
        <v>10145</v>
      </c>
      <c r="D45" s="31">
        <v>1812</v>
      </c>
      <c r="E45" s="31">
        <v>5652</v>
      </c>
      <c r="F45" s="31">
        <v>2899</v>
      </c>
      <c r="G45" s="31">
        <v>12778</v>
      </c>
      <c r="H45" s="31">
        <v>2319</v>
      </c>
      <c r="I45" s="31">
        <v>2223</v>
      </c>
      <c r="J45" s="31">
        <v>1112</v>
      </c>
      <c r="K45" s="31">
        <v>2174</v>
      </c>
      <c r="L45" s="31">
        <v>4445</v>
      </c>
      <c r="M45" s="31">
        <v>4831</v>
      </c>
      <c r="N45" s="31">
        <v>4396</v>
      </c>
      <c r="O45" s="31">
        <v>7247</v>
      </c>
      <c r="P45" s="31">
        <v>3334</v>
      </c>
      <c r="Q45" s="31">
        <v>5797</v>
      </c>
      <c r="R45" s="31">
        <v>8213</v>
      </c>
      <c r="S45" s="50">
        <v>3720</v>
      </c>
      <c r="T45" s="71">
        <f t="shared" si="3"/>
        <v>83097</v>
      </c>
      <c r="V45"/>
    </row>
    <row r="46" spans="1:22" ht="19.5" thickBot="1">
      <c r="A46" s="1" t="s">
        <v>3</v>
      </c>
      <c r="B46" s="40" t="s">
        <v>113</v>
      </c>
      <c r="C46" s="41">
        <v>10145</v>
      </c>
      <c r="D46" s="42">
        <v>1812</v>
      </c>
      <c r="E46" s="42">
        <v>5652</v>
      </c>
      <c r="F46" s="42">
        <v>2899</v>
      </c>
      <c r="G46" s="42">
        <v>12778</v>
      </c>
      <c r="H46" s="42">
        <v>2319</v>
      </c>
      <c r="I46" s="42">
        <v>2223</v>
      </c>
      <c r="J46" s="42">
        <v>1112</v>
      </c>
      <c r="K46" s="42">
        <v>2174</v>
      </c>
      <c r="L46" s="42">
        <v>4445</v>
      </c>
      <c r="M46" s="42">
        <v>4831</v>
      </c>
      <c r="N46" s="42">
        <v>4396</v>
      </c>
      <c r="O46" s="42">
        <v>7247</v>
      </c>
      <c r="P46" s="42">
        <v>3334</v>
      </c>
      <c r="Q46" s="42">
        <v>5797</v>
      </c>
      <c r="R46" s="42">
        <v>8213</v>
      </c>
      <c r="S46" s="53">
        <v>3720</v>
      </c>
      <c r="T46" s="74">
        <f t="shared" si="3"/>
        <v>83097</v>
      </c>
      <c r="V46"/>
    </row>
    <row r="47" spans="1:22" ht="19.5" thickBot="1">
      <c r="A47" s="1" t="s">
        <v>3</v>
      </c>
      <c r="B47" s="40" t="s">
        <v>114</v>
      </c>
      <c r="C47" s="41">
        <v>307961</v>
      </c>
      <c r="D47" s="42">
        <v>268818</v>
      </c>
      <c r="E47" s="42">
        <v>359015</v>
      </c>
      <c r="F47" s="42">
        <v>359804</v>
      </c>
      <c r="G47" s="42">
        <v>347170</v>
      </c>
      <c r="H47" s="42">
        <v>366073</v>
      </c>
      <c r="I47" s="42">
        <v>320203</v>
      </c>
      <c r="J47" s="42">
        <v>321660</v>
      </c>
      <c r="K47" s="42">
        <v>266497</v>
      </c>
      <c r="L47" s="42">
        <v>325932</v>
      </c>
      <c r="M47" s="42">
        <v>273954</v>
      </c>
      <c r="N47" s="42">
        <v>372471</v>
      </c>
      <c r="O47" s="42">
        <v>310303</v>
      </c>
      <c r="P47" s="42">
        <v>348489</v>
      </c>
      <c r="Q47" s="42">
        <v>332387</v>
      </c>
      <c r="R47" s="42">
        <v>262557</v>
      </c>
      <c r="S47" s="53">
        <v>281145</v>
      </c>
      <c r="T47" s="74">
        <f t="shared" si="3"/>
        <v>5424439</v>
      </c>
      <c r="V47"/>
    </row>
    <row r="48" spans="1:22">
      <c r="A48" s="1" t="s">
        <v>3</v>
      </c>
      <c r="B48" s="22" t="s">
        <v>115</v>
      </c>
      <c r="C48" s="30">
        <v>16320</v>
      </c>
      <c r="D48" s="31">
        <v>19380</v>
      </c>
      <c r="E48" s="31">
        <v>19380</v>
      </c>
      <c r="F48" s="31">
        <v>20910</v>
      </c>
      <c r="G48" s="31">
        <v>19380</v>
      </c>
      <c r="H48" s="31">
        <v>20910</v>
      </c>
      <c r="I48" s="31">
        <v>16320</v>
      </c>
      <c r="J48" s="31">
        <v>15300</v>
      </c>
      <c r="K48" s="31">
        <v>16320</v>
      </c>
      <c r="L48" s="31">
        <v>17340</v>
      </c>
      <c r="M48" s="31">
        <v>16320</v>
      </c>
      <c r="N48" s="31">
        <v>17340</v>
      </c>
      <c r="O48" s="31">
        <v>15300</v>
      </c>
      <c r="P48" s="31">
        <v>19380</v>
      </c>
      <c r="Q48" s="31">
        <v>17340</v>
      </c>
      <c r="R48" s="31">
        <v>15300</v>
      </c>
      <c r="S48" s="50">
        <v>13260</v>
      </c>
      <c r="T48" s="71">
        <f t="shared" si="3"/>
        <v>295800</v>
      </c>
      <c r="V48"/>
    </row>
    <row r="49" spans="1:22">
      <c r="A49" s="1" t="s">
        <v>3</v>
      </c>
      <c r="B49" s="5" t="s">
        <v>116</v>
      </c>
      <c r="C49" s="16">
        <v>2880</v>
      </c>
      <c r="D49" s="17">
        <v>3420</v>
      </c>
      <c r="E49" s="17">
        <v>3420</v>
      </c>
      <c r="F49" s="17">
        <v>3690</v>
      </c>
      <c r="G49" s="17">
        <v>3420</v>
      </c>
      <c r="H49" s="17">
        <v>3690</v>
      </c>
      <c r="I49" s="17">
        <v>2880</v>
      </c>
      <c r="J49" s="17">
        <v>2700</v>
      </c>
      <c r="K49" s="17">
        <v>2880</v>
      </c>
      <c r="L49" s="17">
        <v>3060</v>
      </c>
      <c r="M49" s="17">
        <v>2880</v>
      </c>
      <c r="N49" s="17">
        <v>0</v>
      </c>
      <c r="O49" s="17">
        <v>2700</v>
      </c>
      <c r="P49" s="17">
        <v>3420</v>
      </c>
      <c r="Q49" s="17">
        <v>3060</v>
      </c>
      <c r="R49" s="17">
        <v>2700</v>
      </c>
      <c r="S49" s="51">
        <v>0</v>
      </c>
      <c r="T49" s="72">
        <f t="shared" si="3"/>
        <v>46800</v>
      </c>
      <c r="V49"/>
    </row>
    <row r="50" spans="1:22">
      <c r="A50" s="1" t="s">
        <v>3</v>
      </c>
      <c r="B50" s="5" t="s">
        <v>117</v>
      </c>
      <c r="C50" s="16">
        <v>29280</v>
      </c>
      <c r="D50" s="17">
        <v>34770</v>
      </c>
      <c r="E50" s="17">
        <v>34770</v>
      </c>
      <c r="F50" s="17">
        <v>37515</v>
      </c>
      <c r="G50" s="17">
        <v>34770</v>
      </c>
      <c r="H50" s="17">
        <v>37515</v>
      </c>
      <c r="I50" s="17">
        <v>29280</v>
      </c>
      <c r="J50" s="17">
        <v>27450</v>
      </c>
      <c r="K50" s="17">
        <v>29280</v>
      </c>
      <c r="L50" s="17">
        <v>31110</v>
      </c>
      <c r="M50" s="17">
        <v>29280</v>
      </c>
      <c r="N50" s="17">
        <v>31110</v>
      </c>
      <c r="O50" s="17">
        <v>27450</v>
      </c>
      <c r="P50" s="17">
        <v>34770</v>
      </c>
      <c r="Q50" s="17">
        <v>31110</v>
      </c>
      <c r="R50" s="17">
        <v>27450</v>
      </c>
      <c r="S50" s="51">
        <v>23790</v>
      </c>
      <c r="T50" s="72">
        <f t="shared" si="3"/>
        <v>530700</v>
      </c>
      <c r="V50"/>
    </row>
    <row r="51" spans="1:22" ht="19.5" thickBot="1">
      <c r="A51" s="1" t="s">
        <v>3</v>
      </c>
      <c r="B51" s="5" t="s">
        <v>118</v>
      </c>
      <c r="C51" s="16">
        <v>924</v>
      </c>
      <c r="D51" s="17">
        <v>806</v>
      </c>
      <c r="E51" s="17">
        <v>1077</v>
      </c>
      <c r="F51" s="17">
        <v>1079</v>
      </c>
      <c r="G51" s="17">
        <v>1042</v>
      </c>
      <c r="H51" s="17">
        <v>1098</v>
      </c>
      <c r="I51" s="17">
        <v>961</v>
      </c>
      <c r="J51" s="17">
        <v>965</v>
      </c>
      <c r="K51" s="17">
        <v>799</v>
      </c>
      <c r="L51" s="17">
        <v>978</v>
      </c>
      <c r="M51" s="17">
        <v>822</v>
      </c>
      <c r="N51" s="17">
        <v>1117</v>
      </c>
      <c r="O51" s="17">
        <v>931</v>
      </c>
      <c r="P51" s="17">
        <v>1045</v>
      </c>
      <c r="Q51" s="17">
        <v>997</v>
      </c>
      <c r="R51" s="17">
        <v>788</v>
      </c>
      <c r="S51" s="51">
        <v>843</v>
      </c>
      <c r="T51" s="72">
        <f t="shared" si="3"/>
        <v>16272</v>
      </c>
      <c r="V51"/>
    </row>
    <row r="52" spans="1:22" ht="19.5" thickBot="1">
      <c r="A52" s="1" t="s">
        <v>3</v>
      </c>
      <c r="B52" s="40" t="s">
        <v>120</v>
      </c>
      <c r="C52" s="41">
        <v>49404</v>
      </c>
      <c r="D52" s="42">
        <v>58376</v>
      </c>
      <c r="E52" s="42">
        <v>58647</v>
      </c>
      <c r="F52" s="42">
        <v>63194</v>
      </c>
      <c r="G52" s="42">
        <v>58612</v>
      </c>
      <c r="H52" s="42">
        <v>63213</v>
      </c>
      <c r="I52" s="42">
        <v>49441</v>
      </c>
      <c r="J52" s="42">
        <v>46415</v>
      </c>
      <c r="K52" s="42">
        <v>49279</v>
      </c>
      <c r="L52" s="42">
        <v>52488</v>
      </c>
      <c r="M52" s="42">
        <v>49302</v>
      </c>
      <c r="N52" s="42">
        <v>49567</v>
      </c>
      <c r="O52" s="42">
        <v>46381</v>
      </c>
      <c r="P52" s="42">
        <v>58615</v>
      </c>
      <c r="Q52" s="42">
        <v>52507</v>
      </c>
      <c r="R52" s="42">
        <v>46238</v>
      </c>
      <c r="S52" s="53">
        <v>37893</v>
      </c>
      <c r="T52" s="74">
        <f t="shared" si="3"/>
        <v>889572</v>
      </c>
      <c r="V52"/>
    </row>
    <row r="53" spans="1:22">
      <c r="A53" s="1" t="s">
        <v>3</v>
      </c>
      <c r="B53" s="22" t="s">
        <v>121</v>
      </c>
      <c r="C53" s="30">
        <v>4880</v>
      </c>
      <c r="D53" s="31">
        <v>5070</v>
      </c>
      <c r="E53" s="31">
        <v>6530</v>
      </c>
      <c r="F53" s="31">
        <v>8110</v>
      </c>
      <c r="G53" s="31">
        <v>5860</v>
      </c>
      <c r="H53" s="31">
        <v>8420</v>
      </c>
      <c r="I53" s="31">
        <v>7210</v>
      </c>
      <c r="J53" s="31">
        <v>5800</v>
      </c>
      <c r="K53" s="31">
        <v>5300</v>
      </c>
      <c r="L53" s="31">
        <v>7230</v>
      </c>
      <c r="M53" s="31">
        <v>5470</v>
      </c>
      <c r="N53" s="31">
        <v>9890</v>
      </c>
      <c r="O53" s="31">
        <v>6790</v>
      </c>
      <c r="P53" s="31">
        <v>7860</v>
      </c>
      <c r="Q53" s="31">
        <v>2560</v>
      </c>
      <c r="R53" s="31">
        <v>5050</v>
      </c>
      <c r="S53" s="50">
        <v>6180</v>
      </c>
      <c r="T53" s="71">
        <f t="shared" si="3"/>
        <v>108210</v>
      </c>
      <c r="V53"/>
    </row>
    <row r="54" spans="1:22">
      <c r="A54" s="1" t="s">
        <v>3</v>
      </c>
      <c r="B54" s="5" t="s">
        <v>122</v>
      </c>
      <c r="C54" s="16">
        <v>1300</v>
      </c>
      <c r="D54" s="17">
        <v>1300</v>
      </c>
      <c r="E54" s="17">
        <v>1300</v>
      </c>
      <c r="F54" s="17">
        <v>0</v>
      </c>
      <c r="G54" s="17">
        <v>1300</v>
      </c>
      <c r="H54" s="17">
        <v>1300</v>
      </c>
      <c r="I54" s="17">
        <v>1300</v>
      </c>
      <c r="J54" s="17">
        <v>1300</v>
      </c>
      <c r="K54" s="17">
        <v>1300</v>
      </c>
      <c r="L54" s="17">
        <v>1300</v>
      </c>
      <c r="M54" s="17">
        <v>0</v>
      </c>
      <c r="N54" s="17">
        <v>0</v>
      </c>
      <c r="O54" s="17">
        <v>1300</v>
      </c>
      <c r="P54" s="17">
        <v>1300</v>
      </c>
      <c r="Q54" s="17">
        <v>1300</v>
      </c>
      <c r="R54" s="17">
        <v>0</v>
      </c>
      <c r="S54" s="51">
        <v>0</v>
      </c>
      <c r="T54" s="72">
        <f t="shared" si="3"/>
        <v>15600</v>
      </c>
      <c r="V54"/>
    </row>
    <row r="55" spans="1:22">
      <c r="A55" s="1" t="s">
        <v>3</v>
      </c>
      <c r="B55" s="5" t="s">
        <v>123</v>
      </c>
      <c r="C55" s="16">
        <v>8600</v>
      </c>
      <c r="D55" s="17">
        <v>14600</v>
      </c>
      <c r="E55" s="17">
        <v>13800</v>
      </c>
      <c r="F55" s="17">
        <v>16700</v>
      </c>
      <c r="G55" s="17">
        <v>15200</v>
      </c>
      <c r="H55" s="17">
        <v>17700</v>
      </c>
      <c r="I55" s="17">
        <v>13500</v>
      </c>
      <c r="J55" s="17">
        <v>9200</v>
      </c>
      <c r="K55" s="17">
        <v>13000</v>
      </c>
      <c r="L55" s="17">
        <v>13800</v>
      </c>
      <c r="M55" s="17">
        <v>10500</v>
      </c>
      <c r="N55" s="17">
        <v>13500</v>
      </c>
      <c r="O55" s="17">
        <v>12100</v>
      </c>
      <c r="P55" s="17">
        <v>14200</v>
      </c>
      <c r="Q55" s="17">
        <v>5600</v>
      </c>
      <c r="R55" s="17">
        <v>0</v>
      </c>
      <c r="S55" s="51">
        <v>0</v>
      </c>
      <c r="T55" s="72">
        <f t="shared" si="3"/>
        <v>192000</v>
      </c>
      <c r="V55"/>
    </row>
    <row r="56" spans="1:22" ht="19.5" thickBot="1">
      <c r="A56" s="1" t="s">
        <v>3</v>
      </c>
      <c r="B56" s="5" t="s">
        <v>124</v>
      </c>
      <c r="C56" s="16">
        <v>0</v>
      </c>
      <c r="D56" s="17">
        <v>0</v>
      </c>
      <c r="E56" s="17">
        <v>0</v>
      </c>
      <c r="F56" s="17">
        <v>10000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51">
        <v>0</v>
      </c>
      <c r="T56" s="72">
        <f t="shared" si="3"/>
        <v>10000</v>
      </c>
      <c r="V56"/>
    </row>
    <row r="57" spans="1:22" ht="19.5" thickBot="1">
      <c r="A57" s="1" t="s">
        <v>3</v>
      </c>
      <c r="B57" s="40" t="s">
        <v>128</v>
      </c>
      <c r="C57" s="41">
        <v>64184</v>
      </c>
      <c r="D57" s="42">
        <v>79346</v>
      </c>
      <c r="E57" s="42">
        <v>80277</v>
      </c>
      <c r="F57" s="42">
        <v>98004</v>
      </c>
      <c r="G57" s="42">
        <v>80972</v>
      </c>
      <c r="H57" s="42">
        <v>90633</v>
      </c>
      <c r="I57" s="42">
        <v>71451</v>
      </c>
      <c r="J57" s="42">
        <v>62715</v>
      </c>
      <c r="K57" s="42">
        <v>68879</v>
      </c>
      <c r="L57" s="42">
        <v>74818</v>
      </c>
      <c r="M57" s="42">
        <v>65272</v>
      </c>
      <c r="N57" s="42">
        <v>72957</v>
      </c>
      <c r="O57" s="42">
        <v>66571</v>
      </c>
      <c r="P57" s="42">
        <v>81975</v>
      </c>
      <c r="Q57" s="42">
        <v>61967</v>
      </c>
      <c r="R57" s="42">
        <v>51288</v>
      </c>
      <c r="S57" s="53">
        <v>44073</v>
      </c>
      <c r="T57" s="74">
        <f t="shared" si="3"/>
        <v>1215382</v>
      </c>
      <c r="V57"/>
    </row>
    <row r="58" spans="1:22" ht="19.5" thickBot="1">
      <c r="A58" s="1" t="s">
        <v>3</v>
      </c>
      <c r="B58" s="40" t="s">
        <v>129</v>
      </c>
      <c r="C58" s="41">
        <v>248412</v>
      </c>
      <c r="D58" s="42">
        <v>208630</v>
      </c>
      <c r="E58" s="42">
        <v>294716</v>
      </c>
      <c r="F58" s="42">
        <v>293711</v>
      </c>
      <c r="G58" s="42">
        <v>275780</v>
      </c>
      <c r="H58" s="42">
        <v>300541</v>
      </c>
      <c r="I58" s="42">
        <v>268539</v>
      </c>
      <c r="J58" s="42">
        <v>274133</v>
      </c>
      <c r="K58" s="42">
        <v>215044</v>
      </c>
      <c r="L58" s="42">
        <v>268999</v>
      </c>
      <c r="M58" s="42">
        <v>219821</v>
      </c>
      <c r="N58" s="42">
        <v>318508</v>
      </c>
      <c r="O58" s="42">
        <v>256675</v>
      </c>
      <c r="P58" s="42">
        <v>286540</v>
      </c>
      <c r="Q58" s="42">
        <v>274083</v>
      </c>
      <c r="R58" s="42">
        <v>208106</v>
      </c>
      <c r="S58" s="53">
        <v>239532</v>
      </c>
      <c r="T58" s="74">
        <f t="shared" si="3"/>
        <v>4451770</v>
      </c>
      <c r="V58"/>
    </row>
    <row r="59" spans="1:22" ht="19.5" thickBot="1">
      <c r="A59" s="1" t="s">
        <v>3</v>
      </c>
      <c r="B59" s="40" t="s">
        <v>130</v>
      </c>
      <c r="C59" s="41">
        <v>243777</v>
      </c>
      <c r="D59" s="42">
        <v>189472</v>
      </c>
      <c r="E59" s="42">
        <v>278738</v>
      </c>
      <c r="F59" s="42">
        <v>261800</v>
      </c>
      <c r="G59" s="42">
        <v>266198</v>
      </c>
      <c r="H59" s="42">
        <v>275440</v>
      </c>
      <c r="I59" s="42">
        <v>248752</v>
      </c>
      <c r="J59" s="42">
        <v>258945</v>
      </c>
      <c r="K59" s="42">
        <v>197618</v>
      </c>
      <c r="L59" s="42">
        <v>251114</v>
      </c>
      <c r="M59" s="42">
        <v>208682</v>
      </c>
      <c r="N59" s="42">
        <v>299514</v>
      </c>
      <c r="O59" s="42">
        <v>243732</v>
      </c>
      <c r="P59" s="42">
        <v>266514</v>
      </c>
      <c r="Q59" s="42">
        <v>270420</v>
      </c>
      <c r="R59" s="42">
        <v>211269</v>
      </c>
      <c r="S59" s="53">
        <v>237072</v>
      </c>
      <c r="T59" s="74">
        <f t="shared" si="3"/>
        <v>4209057</v>
      </c>
      <c r="V59"/>
    </row>
    <row r="60" spans="1:22">
      <c r="A60" s="1" t="s">
        <v>3</v>
      </c>
      <c r="B60" s="22" t="s">
        <v>131</v>
      </c>
      <c r="C60" s="30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50">
        <v>0</v>
      </c>
      <c r="T60" s="71">
        <f t="shared" si="3"/>
        <v>0</v>
      </c>
      <c r="V60"/>
    </row>
    <row r="61" spans="1:22">
      <c r="A61" s="1" t="s">
        <v>3</v>
      </c>
      <c r="B61" s="5" t="s">
        <v>132</v>
      </c>
      <c r="C61" s="16">
        <v>243777</v>
      </c>
      <c r="D61" s="17">
        <v>189472</v>
      </c>
      <c r="E61" s="17">
        <v>278738</v>
      </c>
      <c r="F61" s="17">
        <v>261800</v>
      </c>
      <c r="G61" s="17">
        <v>266198</v>
      </c>
      <c r="H61" s="17">
        <v>275440</v>
      </c>
      <c r="I61" s="17">
        <v>248752</v>
      </c>
      <c r="J61" s="17">
        <v>258945</v>
      </c>
      <c r="K61" s="17">
        <v>197618</v>
      </c>
      <c r="L61" s="17">
        <v>251114</v>
      </c>
      <c r="M61" s="17">
        <v>208682</v>
      </c>
      <c r="N61" s="17">
        <v>299514</v>
      </c>
      <c r="O61" s="17">
        <v>243732</v>
      </c>
      <c r="P61" s="17">
        <v>266514</v>
      </c>
      <c r="Q61" s="17">
        <v>270420</v>
      </c>
      <c r="R61" s="17">
        <v>211269</v>
      </c>
      <c r="S61" s="51">
        <v>237072</v>
      </c>
      <c r="T61" s="72">
        <f t="shared" si="3"/>
        <v>4209057</v>
      </c>
      <c r="V61"/>
    </row>
    <row r="62" spans="1:22">
      <c r="A62" s="1" t="s">
        <v>3</v>
      </c>
      <c r="B62" s="5" t="s">
        <v>133</v>
      </c>
      <c r="C62" s="16">
        <v>1</v>
      </c>
      <c r="D62" s="17">
        <v>0</v>
      </c>
      <c r="E62" s="17">
        <v>1</v>
      </c>
      <c r="F62" s="17">
        <v>0</v>
      </c>
      <c r="G62" s="17">
        <v>1</v>
      </c>
      <c r="H62" s="17">
        <v>0</v>
      </c>
      <c r="I62" s="17">
        <v>0</v>
      </c>
      <c r="J62" s="17">
        <v>1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3</v>
      </c>
      <c r="R62" s="17">
        <v>0</v>
      </c>
      <c r="S62" s="51">
        <v>0</v>
      </c>
      <c r="T62" s="72"/>
      <c r="V62"/>
    </row>
    <row r="63" spans="1:22" ht="19.5" thickBot="1">
      <c r="A63" s="1" t="s">
        <v>3</v>
      </c>
      <c r="B63" s="6" t="s">
        <v>134</v>
      </c>
      <c r="C63" s="19" t="s">
        <v>135</v>
      </c>
      <c r="D63" s="20" t="s">
        <v>135</v>
      </c>
      <c r="E63" s="20" t="s">
        <v>135</v>
      </c>
      <c r="F63" s="20" t="s">
        <v>135</v>
      </c>
      <c r="G63" s="20" t="s">
        <v>135</v>
      </c>
      <c r="H63" s="20" t="s">
        <v>135</v>
      </c>
      <c r="I63" s="20" t="s">
        <v>135</v>
      </c>
      <c r="J63" s="20" t="s">
        <v>135</v>
      </c>
      <c r="K63" s="20" t="s">
        <v>135</v>
      </c>
      <c r="L63" s="20" t="s">
        <v>135</v>
      </c>
      <c r="M63" s="20" t="s">
        <v>135</v>
      </c>
      <c r="N63" s="20" t="s">
        <v>135</v>
      </c>
      <c r="O63" s="20" t="s">
        <v>135</v>
      </c>
      <c r="P63" s="20" t="s">
        <v>135</v>
      </c>
      <c r="Q63" s="20" t="s">
        <v>135</v>
      </c>
      <c r="R63" s="20" t="s">
        <v>135</v>
      </c>
      <c r="S63" s="54" t="s">
        <v>135</v>
      </c>
      <c r="T63" s="75"/>
    </row>
  </sheetData>
  <phoneticPr fontId="3"/>
  <pageMargins left="0.11811023622047245" right="0.11811023622047245" top="0.15748031496062992" bottom="0.15748031496062992" header="0.11811023622047245" footer="0.11811023622047245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1月度給与 (2)</vt:lpstr>
      <vt:lpstr>2022年 1月度給与 (3)</vt:lpstr>
      <vt:lpstr>2022年 1月度給与 (4)</vt:lpstr>
      <vt:lpstr>'2022年 1月度給与 (3)'!Print_Area</vt:lpstr>
      <vt:lpstr>'2022年 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2022-02-12T01:11:55Z</cp:lastPrinted>
  <dcterms:created xsi:type="dcterms:W3CDTF">2022-02-09T06:29:48Z</dcterms:created>
  <dcterms:modified xsi:type="dcterms:W3CDTF">2022-02-12T01:25:07Z</dcterms:modified>
</cp:coreProperties>
</file>