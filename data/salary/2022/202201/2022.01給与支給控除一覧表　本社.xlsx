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437DD7FF-A40F-46D5-B517-56B49C9D43F4}" xr6:coauthVersionLast="47" xr6:coauthVersionMax="47" xr10:uidLastSave="{00000000-0000-0000-0000-000000000000}"/>
  <bookViews>
    <workbookView xWindow="-120" yWindow="-120" windowWidth="20730" windowHeight="11160" xr2:uid="{2775DD26-E32D-4705-B8B3-7C7D480EA064}"/>
  </bookViews>
  <sheets>
    <sheet name="2022年 1月度給与 (2)" sheetId="3" r:id="rId1"/>
  </sheets>
  <definedNames>
    <definedName name="_xlnm.Print_Area" localSheetId="0">'2022年 1月度給与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3" l="1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3" i="3"/>
  <c r="L22" i="3"/>
  <c r="L21" i="3"/>
  <c r="M21" i="3" s="1"/>
  <c r="L19" i="3"/>
  <c r="M19" i="3" s="1"/>
  <c r="L15" i="3"/>
  <c r="M15" i="3" s="1"/>
  <c r="L14" i="3"/>
  <c r="M14" i="3" s="1"/>
  <c r="L10" i="3"/>
  <c r="L7" i="3"/>
  <c r="M7" i="3" s="1"/>
  <c r="L6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23" i="3"/>
  <c r="J22" i="3"/>
  <c r="J20" i="3"/>
  <c r="M20" i="3" s="1"/>
  <c r="J13" i="3"/>
  <c r="M13" i="3" s="1"/>
  <c r="J10" i="3"/>
  <c r="M10" i="3" s="1"/>
  <c r="J6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29" i="3"/>
  <c r="F6" i="3"/>
  <c r="M18" i="3"/>
  <c r="M17" i="3"/>
  <c r="M16" i="3"/>
  <c r="M12" i="3"/>
  <c r="M11" i="3"/>
  <c r="M9" i="3"/>
  <c r="M8" i="3"/>
  <c r="M29" i="3" l="1"/>
  <c r="M51" i="3"/>
  <c r="M40" i="3"/>
  <c r="M30" i="3"/>
  <c r="M60" i="3"/>
  <c r="M55" i="3"/>
  <c r="M48" i="3"/>
  <c r="M41" i="3"/>
  <c r="M33" i="3"/>
  <c r="M59" i="3"/>
  <c r="M54" i="3"/>
  <c r="M47" i="3"/>
  <c r="M44" i="3"/>
  <c r="M36" i="3"/>
  <c r="M45" i="3"/>
  <c r="M37" i="3"/>
  <c r="M34" i="3"/>
  <c r="M31" i="3"/>
  <c r="M28" i="3"/>
  <c r="M27" i="3"/>
  <c r="M22" i="3"/>
  <c r="M26" i="3"/>
  <c r="M25" i="3"/>
  <c r="M6" i="3"/>
  <c r="M61" i="3"/>
  <c r="M57" i="3"/>
  <c r="M56" i="3"/>
  <c r="M52" i="3"/>
  <c r="M49" i="3"/>
  <c r="M42" i="3"/>
  <c r="M38" i="3"/>
  <c r="M35" i="3"/>
  <c r="M32" i="3"/>
  <c r="M23" i="3"/>
  <c r="M58" i="3"/>
  <c r="M53" i="3"/>
  <c r="M50" i="3"/>
  <c r="M46" i="3"/>
  <c r="M43" i="3"/>
  <c r="M39" i="3"/>
  <c r="M24" i="3"/>
</calcChain>
</file>

<file path=xl/sharedStrings.xml><?xml version="1.0" encoding="utf-8"?>
<sst xmlns="http://schemas.openxmlformats.org/spreadsheetml/2006/main" count="149" uniqueCount="81">
  <si>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</si>
  <si>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</si>
  <si>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</si>
  <si>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</si>
  <si>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</si>
  <si>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</si>
  <si>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</si>
  <si>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</si>
  <si>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</si>
  <si>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</si>
  <si>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</si>
  <si>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</si>
  <si>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</si>
  <si>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</si>
  <si>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</si>
  <si>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</si>
  <si>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</si>
  <si>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</si>
  <si>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</si>
  <si>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</si>
  <si>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</si>
  <si>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</si>
  <si>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</si>
  <si>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</si>
  <si>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</si>
  <si>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</si>
  <si>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</si>
  <si>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</si>
  <si>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</si>
  <si>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</si>
  <si>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</si>
  <si>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</si>
  <si>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</si>
  <si>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</si>
  <si>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</si>
  <si>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</si>
  <si>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</si>
  <si>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</si>
  <si>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</si>
  <si>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</si>
  <si>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</si>
  <si>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</si>
  <si>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</si>
  <si>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</si>
  <si>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</si>
  <si>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</si>
  <si>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</si>
  <si>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</si>
  <si>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</si>
  <si>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</si>
  <si>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</si>
  <si>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</si>
  <si>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</si>
  <si>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</si>
  <si>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</si>
  <si>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</si>
  <si>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</si>
  <si>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</si>
  <si>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</si>
  <si>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</si>
  <si>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</si>
  <si>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</si>
  <si>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</si>
  <si>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</si>
  <si>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</si>
  <si>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</si>
  <si>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</si>
  <si>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</si>
  <si>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</si>
  <si>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</si>
  <si>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</si>
  <si>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</si>
  <si>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</si>
  <si>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</si>
  <si>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</si>
  <si>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</si>
  <si>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1月度給与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</si>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</sst>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5" xfId="1" applyNumberFormat="1" applyFont="1" applyBorder="1"/>
    <xf numFmtId="49" fontId="2" fillId="0" borderId="39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4" xfId="1" applyNumberFormat="1" applyFont="1" applyBorder="1"/>
    <xf numFmtId="0" fontId="2" fillId="0" borderId="38" xfId="1" applyFont="1" applyBorder="1" applyAlignment="1">
      <alignment horizontal="center"/>
    </xf>
    <xf numFmtId="0" fontId="2" fillId="0" borderId="39" xfId="1" applyFont="1" applyBorder="1" applyAlignment="1">
      <alignment horizontal="right"/>
    </xf>
    <xf numFmtId="0" fontId="2" fillId="0" borderId="49" xfId="1" applyFont="1" applyBorder="1"/>
  </cellXfs>
  <cellStyles count="2">
    <cellStyle name="標準" xfId="0" builtinId="0"/>
    <cellStyle name="標準 2" xfId="1" xr:uid="{48EB3DF2-8C00-40FC-B71A-4E8D5C763C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DAB1-FE7E-4487-BEB1-26063107DA76}">
  <sheetPr>
    <pageSetUpPr fitToPage="1"/>
  </sheetPr>
  <dimension ref="A1:O63"/>
  <sheetViews>
    <sheetView showZeros="0" tabSelected="1" workbookViewId="0">
      <selection activeCell="B5" sqref="B5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76</v>
      </c>
    </row>
    <row r="4" spans="1:15">
      <c r="B4" s="3"/>
      <c r="C4" s="6" t="s">
        <v>3</v>
      </c>
      <c r="D4" s="7" t="s">
        <v>4</v>
      </c>
      <c r="E4" s="43" t="s">
        <v>5</v>
      </c>
      <c r="F4" s="65" t="s">
        <v>77</v>
      </c>
      <c r="G4" s="54" t="s">
        <v>6</v>
      </c>
      <c r="H4" s="7" t="s">
        <v>7</v>
      </c>
      <c r="I4" s="8" t="s">
        <v>9</v>
      </c>
      <c r="J4" s="65" t="s">
        <v>77</v>
      </c>
      <c r="K4" s="76" t="s">
        <v>8</v>
      </c>
      <c r="L4" s="65" t="s">
        <v>77</v>
      </c>
      <c r="M4" s="87" t="s">
        <v>18</v>
      </c>
    </row>
    <row r="5" spans="1:15" ht="19.5" thickBot="1">
      <c r="A5" s="89"/>
      <c r="B5" s="25" t="s">
        <v>10</v>
      </c>
      <c r="C5" s="26" t="s">
        <v>11</v>
      </c>
      <c r="D5" s="27" t="s">
        <v>12</v>
      </c>
      <c r="E5" s="44" t="s">
        <v>13</v>
      </c>
      <c r="F5" s="66" t="s">
        <v>78</v>
      </c>
      <c r="G5" s="55" t="s">
        <v>14</v>
      </c>
      <c r="H5" s="27" t="s">
        <v>15</v>
      </c>
      <c r="I5" s="28" t="s">
        <v>17</v>
      </c>
      <c r="J5" s="66" t="s">
        <v>78</v>
      </c>
      <c r="K5" s="77" t="s">
        <v>16</v>
      </c>
      <c r="L5" s="66" t="s">
        <v>79</v>
      </c>
      <c r="M5" s="88" t="s">
        <v>80</v>
      </c>
    </row>
    <row r="6" spans="1:15">
      <c r="A6" s="1" t="s">
        <v>2</v>
      </c>
      <c r="B6" s="21" t="s">
        <v>19</v>
      </c>
      <c r="C6" s="22">
        <v>0</v>
      </c>
      <c r="D6" s="23">
        <v>0</v>
      </c>
      <c r="E6" s="45">
        <v>0</v>
      </c>
      <c r="F6" s="67">
        <f>SUM(C6:E6)</f>
        <v>0</v>
      </c>
      <c r="G6" s="56">
        <v>18</v>
      </c>
      <c r="H6" s="23">
        <v>18</v>
      </c>
      <c r="I6" s="24">
        <v>18</v>
      </c>
      <c r="J6" s="67">
        <f>SUM(G6:I6)</f>
        <v>54</v>
      </c>
      <c r="K6" s="78">
        <v>18</v>
      </c>
      <c r="L6" s="67">
        <f>SUM(K6)</f>
        <v>18</v>
      </c>
      <c r="M6" s="67">
        <f>SUM(L6,J6,F6)</f>
        <v>72</v>
      </c>
      <c r="O6"/>
    </row>
    <row r="7" spans="1:15">
      <c r="A7" s="1" t="s">
        <v>2</v>
      </c>
      <c r="B7" s="4" t="s">
        <v>20</v>
      </c>
      <c r="C7" s="9">
        <v>0</v>
      </c>
      <c r="D7" s="10">
        <v>0</v>
      </c>
      <c r="E7" s="46">
        <v>0</v>
      </c>
      <c r="F7" s="68"/>
      <c r="G7" s="57">
        <v>0</v>
      </c>
      <c r="H7" s="10">
        <v>0</v>
      </c>
      <c r="I7" s="11">
        <v>0</v>
      </c>
      <c r="J7" s="68"/>
      <c r="K7" s="79">
        <v>1</v>
      </c>
      <c r="L7" s="68">
        <f>SUM(K7)</f>
        <v>1</v>
      </c>
      <c r="M7" s="68">
        <f>SUM(F7+J7+L7)</f>
        <v>1</v>
      </c>
      <c r="O7"/>
    </row>
    <row r="8" spans="1:15">
      <c r="A8" s="1" t="s">
        <v>2</v>
      </c>
      <c r="B8" s="4" t="s">
        <v>21</v>
      </c>
      <c r="C8" s="9">
        <v>0</v>
      </c>
      <c r="D8" s="10">
        <v>0</v>
      </c>
      <c r="E8" s="46">
        <v>0</v>
      </c>
      <c r="F8" s="68"/>
      <c r="G8" s="57">
        <v>0</v>
      </c>
      <c r="H8" s="10">
        <v>0</v>
      </c>
      <c r="I8" s="11">
        <v>0</v>
      </c>
      <c r="J8" s="68"/>
      <c r="K8" s="79">
        <v>0</v>
      </c>
      <c r="L8" s="68"/>
      <c r="M8" s="68">
        <f>SUM(C8:I8)</f>
        <v>0</v>
      </c>
      <c r="O8"/>
    </row>
    <row r="9" spans="1:15">
      <c r="A9" s="1" t="s">
        <v>2</v>
      </c>
      <c r="B9" s="4" t="s">
        <v>22</v>
      </c>
      <c r="C9" s="9">
        <v>0</v>
      </c>
      <c r="D9" s="10">
        <v>0</v>
      </c>
      <c r="E9" s="46">
        <v>0</v>
      </c>
      <c r="F9" s="68"/>
      <c r="G9" s="57">
        <v>0</v>
      </c>
      <c r="H9" s="10">
        <v>0</v>
      </c>
      <c r="I9" s="11">
        <v>0</v>
      </c>
      <c r="J9" s="68"/>
      <c r="K9" s="79">
        <v>0</v>
      </c>
      <c r="L9" s="68"/>
      <c r="M9" s="68">
        <f>SUM(C9:I9)</f>
        <v>0</v>
      </c>
      <c r="O9"/>
    </row>
    <row r="10" spans="1:15">
      <c r="A10" s="1" t="s">
        <v>2</v>
      </c>
      <c r="B10" s="4" t="s">
        <v>23</v>
      </c>
      <c r="C10" s="9">
        <v>0</v>
      </c>
      <c r="D10" s="10">
        <v>0</v>
      </c>
      <c r="E10" s="46">
        <v>0</v>
      </c>
      <c r="F10" s="68"/>
      <c r="G10" s="57">
        <v>1</v>
      </c>
      <c r="H10" s="10">
        <v>1</v>
      </c>
      <c r="I10" s="11">
        <v>1</v>
      </c>
      <c r="J10" s="68">
        <f>SUM(G10:I10)</f>
        <v>3</v>
      </c>
      <c r="K10" s="79">
        <v>1</v>
      </c>
      <c r="L10" s="68">
        <f>SUM(K10)</f>
        <v>1</v>
      </c>
      <c r="M10" s="68">
        <f>SUM(F10+J10+L10)</f>
        <v>4</v>
      </c>
      <c r="O10"/>
    </row>
    <row r="11" spans="1:15">
      <c r="A11" s="1" t="s">
        <v>2</v>
      </c>
      <c r="B11" s="4" t="s">
        <v>24</v>
      </c>
      <c r="C11" s="9">
        <v>0</v>
      </c>
      <c r="D11" s="10">
        <v>0</v>
      </c>
      <c r="E11" s="46">
        <v>0</v>
      </c>
      <c r="F11" s="68"/>
      <c r="G11" s="57">
        <v>0</v>
      </c>
      <c r="H11" s="10">
        <v>0</v>
      </c>
      <c r="I11" s="11">
        <v>0</v>
      </c>
      <c r="J11" s="68"/>
      <c r="K11" s="79">
        <v>0</v>
      </c>
      <c r="L11" s="68"/>
      <c r="M11" s="68">
        <f>SUM(C11:I11)</f>
        <v>0</v>
      </c>
      <c r="O11"/>
    </row>
    <row r="12" spans="1:15">
      <c r="A12" s="1" t="s">
        <v>2</v>
      </c>
      <c r="B12" s="4" t="s">
        <v>25</v>
      </c>
      <c r="C12" s="9">
        <v>0</v>
      </c>
      <c r="D12" s="10">
        <v>0</v>
      </c>
      <c r="E12" s="46">
        <v>0</v>
      </c>
      <c r="F12" s="68"/>
      <c r="G12" s="57">
        <v>0</v>
      </c>
      <c r="H12" s="10">
        <v>0</v>
      </c>
      <c r="I12" s="11">
        <v>0</v>
      </c>
      <c r="J12" s="68"/>
      <c r="K12" s="79">
        <v>0</v>
      </c>
      <c r="L12" s="68"/>
      <c r="M12" s="68">
        <f>SUM(C12:I12)</f>
        <v>0</v>
      </c>
      <c r="O12"/>
    </row>
    <row r="13" spans="1:15">
      <c r="A13" s="1" t="s">
        <v>2</v>
      </c>
      <c r="B13" s="4" t="s">
        <v>26</v>
      </c>
      <c r="C13" s="12">
        <v>0</v>
      </c>
      <c r="D13" s="13">
        <v>0</v>
      </c>
      <c r="E13" s="47">
        <v>0</v>
      </c>
      <c r="F13" s="69"/>
      <c r="G13" s="58">
        <v>0</v>
      </c>
      <c r="H13" s="13">
        <v>0</v>
      </c>
      <c r="I13" s="14">
        <v>3.8333333333333335</v>
      </c>
      <c r="J13" s="69">
        <f>SUM(G13:I13)</f>
        <v>3.8333333333333335</v>
      </c>
      <c r="K13" s="80">
        <v>0</v>
      </c>
      <c r="L13" s="69"/>
      <c r="M13" s="69">
        <f>SUM(F13+J13+L13)</f>
        <v>3.8333333333333335</v>
      </c>
      <c r="O13"/>
    </row>
    <row r="14" spans="1:15">
      <c r="A14" s="1" t="s">
        <v>2</v>
      </c>
      <c r="B14" s="4" t="s">
        <v>27</v>
      </c>
      <c r="C14" s="12">
        <v>0</v>
      </c>
      <c r="D14" s="13">
        <v>0</v>
      </c>
      <c r="E14" s="47">
        <v>0</v>
      </c>
      <c r="F14" s="69"/>
      <c r="G14" s="58">
        <v>0</v>
      </c>
      <c r="H14" s="13">
        <v>0</v>
      </c>
      <c r="I14" s="14">
        <v>0</v>
      </c>
      <c r="J14" s="69"/>
      <c r="K14" s="80">
        <v>0.5</v>
      </c>
      <c r="L14" s="69">
        <f>SUM(K14)</f>
        <v>0.5</v>
      </c>
      <c r="M14" s="69">
        <f t="shared" ref="M14:M15" si="0">SUM(F14+J14+L14)</f>
        <v>0.5</v>
      </c>
      <c r="O14"/>
    </row>
    <row r="15" spans="1:15">
      <c r="A15" s="1" t="s">
        <v>2</v>
      </c>
      <c r="B15" s="4" t="s">
        <v>28</v>
      </c>
      <c r="C15" s="12">
        <v>0</v>
      </c>
      <c r="D15" s="13">
        <v>0</v>
      </c>
      <c r="E15" s="47">
        <v>0</v>
      </c>
      <c r="F15" s="69"/>
      <c r="G15" s="58">
        <v>0</v>
      </c>
      <c r="H15" s="13">
        <v>0</v>
      </c>
      <c r="I15" s="14">
        <v>0</v>
      </c>
      <c r="J15" s="69"/>
      <c r="K15" s="80">
        <v>0.29166666666666669</v>
      </c>
      <c r="L15" s="69">
        <f>SUM(K15)</f>
        <v>0.29166666666666669</v>
      </c>
      <c r="M15" s="69">
        <f t="shared" si="0"/>
        <v>0.29166666666666669</v>
      </c>
      <c r="O15"/>
    </row>
    <row r="16" spans="1:15">
      <c r="A16" s="1" t="s">
        <v>2</v>
      </c>
      <c r="B16" s="4" t="s">
        <v>29</v>
      </c>
      <c r="C16" s="12">
        <v>0</v>
      </c>
      <c r="D16" s="13">
        <v>0</v>
      </c>
      <c r="E16" s="47">
        <v>0</v>
      </c>
      <c r="F16" s="69"/>
      <c r="G16" s="58">
        <v>0</v>
      </c>
      <c r="H16" s="13">
        <v>0</v>
      </c>
      <c r="I16" s="14">
        <v>0</v>
      </c>
      <c r="J16" s="69"/>
      <c r="K16" s="80">
        <v>0</v>
      </c>
      <c r="L16" s="69"/>
      <c r="M16" s="69">
        <f>SUM(C16:I16)</f>
        <v>0</v>
      </c>
      <c r="O16"/>
    </row>
    <row r="17" spans="1:15">
      <c r="A17" s="1" t="s">
        <v>2</v>
      </c>
      <c r="B17" s="4" t="s">
        <v>30</v>
      </c>
      <c r="C17" s="12">
        <v>0</v>
      </c>
      <c r="D17" s="13">
        <v>0</v>
      </c>
      <c r="E17" s="47">
        <v>0</v>
      </c>
      <c r="F17" s="69"/>
      <c r="G17" s="58">
        <v>0</v>
      </c>
      <c r="H17" s="13">
        <v>0</v>
      </c>
      <c r="I17" s="14">
        <v>0</v>
      </c>
      <c r="J17" s="69"/>
      <c r="K17" s="80">
        <v>0</v>
      </c>
      <c r="L17" s="69"/>
      <c r="M17" s="69">
        <f>SUM(C17:I17)</f>
        <v>0</v>
      </c>
      <c r="O17"/>
    </row>
    <row r="18" spans="1:15">
      <c r="A18" s="1" t="s">
        <v>2</v>
      </c>
      <c r="B18" s="4" t="s">
        <v>31</v>
      </c>
      <c r="C18" s="12">
        <v>0</v>
      </c>
      <c r="D18" s="13">
        <v>0</v>
      </c>
      <c r="E18" s="47">
        <v>0</v>
      </c>
      <c r="F18" s="69"/>
      <c r="G18" s="58">
        <v>0</v>
      </c>
      <c r="H18" s="13">
        <v>0</v>
      </c>
      <c r="I18" s="14">
        <v>0</v>
      </c>
      <c r="J18" s="69"/>
      <c r="K18" s="80">
        <v>0</v>
      </c>
      <c r="L18" s="69"/>
      <c r="M18" s="69">
        <f>SUM(C18:I18)</f>
        <v>0</v>
      </c>
      <c r="O18"/>
    </row>
    <row r="19" spans="1:15">
      <c r="A19" s="1" t="s">
        <v>2</v>
      </c>
      <c r="B19" s="4" t="s">
        <v>32</v>
      </c>
      <c r="C19" s="12">
        <v>0</v>
      </c>
      <c r="D19" s="13">
        <v>0</v>
      </c>
      <c r="E19" s="47">
        <v>0</v>
      </c>
      <c r="F19" s="69"/>
      <c r="G19" s="58">
        <v>0</v>
      </c>
      <c r="H19" s="13">
        <v>0</v>
      </c>
      <c r="I19" s="14">
        <v>0</v>
      </c>
      <c r="J19" s="69"/>
      <c r="K19" s="80">
        <v>0.54166666666666663</v>
      </c>
      <c r="L19" s="69">
        <f>SUM(K19)</f>
        <v>0.54166666666666663</v>
      </c>
      <c r="M19" s="69">
        <f t="shared" ref="M19:M20" si="1">SUM(F19+J19+L19)</f>
        <v>0.54166666666666663</v>
      </c>
      <c r="O19"/>
    </row>
    <row r="20" spans="1:15">
      <c r="A20" s="1" t="s">
        <v>2</v>
      </c>
      <c r="B20" s="4" t="s">
        <v>33</v>
      </c>
      <c r="C20" s="12">
        <v>0</v>
      </c>
      <c r="D20" s="13">
        <v>0</v>
      </c>
      <c r="E20" s="47">
        <v>0</v>
      </c>
      <c r="F20" s="69"/>
      <c r="G20" s="58">
        <v>0</v>
      </c>
      <c r="H20" s="13">
        <v>0</v>
      </c>
      <c r="I20" s="14">
        <v>0.20833333333333334</v>
      </c>
      <c r="J20" s="69">
        <f>SUM(G20:I20)</f>
        <v>0.20833333333333334</v>
      </c>
      <c r="K20" s="80">
        <v>0</v>
      </c>
      <c r="L20" s="69"/>
      <c r="M20" s="69">
        <f t="shared" si="1"/>
        <v>0.20833333333333334</v>
      </c>
      <c r="O20"/>
    </row>
    <row r="21" spans="1:15">
      <c r="A21" s="1" t="s">
        <v>2</v>
      </c>
      <c r="B21" s="4" t="s">
        <v>34</v>
      </c>
      <c r="C21" s="12">
        <v>0</v>
      </c>
      <c r="D21" s="13">
        <v>0</v>
      </c>
      <c r="E21" s="47">
        <v>0</v>
      </c>
      <c r="F21" s="69"/>
      <c r="G21" s="58">
        <v>0</v>
      </c>
      <c r="H21" s="13">
        <v>0</v>
      </c>
      <c r="I21" s="14">
        <v>0</v>
      </c>
      <c r="J21" s="69"/>
      <c r="K21" s="80">
        <v>4.1666666666666664E-2</v>
      </c>
      <c r="L21" s="69">
        <f>SUM(K21)</f>
        <v>4.1666666666666664E-2</v>
      </c>
      <c r="M21" s="69">
        <f t="shared" ref="M21" si="2">SUM(F21+J21+L21)</f>
        <v>4.1666666666666664E-2</v>
      </c>
      <c r="O21"/>
    </row>
    <row r="22" spans="1:15" ht="19.5" thickBot="1">
      <c r="A22" s="1" t="s">
        <v>2</v>
      </c>
      <c r="B22" s="5" t="s">
        <v>35</v>
      </c>
      <c r="C22" s="32">
        <v>0</v>
      </c>
      <c r="D22" s="33">
        <v>0</v>
      </c>
      <c r="E22" s="48">
        <v>0</v>
      </c>
      <c r="F22" s="70"/>
      <c r="G22" s="59">
        <v>14</v>
      </c>
      <c r="H22" s="33">
        <v>29</v>
      </c>
      <c r="I22" s="34">
        <v>30</v>
      </c>
      <c r="J22" s="70">
        <f>SUM(G22:I22)</f>
        <v>73</v>
      </c>
      <c r="K22" s="81">
        <v>4.5</v>
      </c>
      <c r="L22" s="70">
        <f>SUM(K22)</f>
        <v>4.5</v>
      </c>
      <c r="M22" s="70">
        <f>SUM(F22+J22+L22)</f>
        <v>77.5</v>
      </c>
      <c r="O22"/>
    </row>
    <row r="23" spans="1:15">
      <c r="A23" s="1" t="s">
        <v>2</v>
      </c>
      <c r="B23" s="21" t="s">
        <v>36</v>
      </c>
      <c r="C23" s="29">
        <v>0</v>
      </c>
      <c r="D23" s="30">
        <v>0</v>
      </c>
      <c r="E23" s="49">
        <v>0</v>
      </c>
      <c r="F23" s="71"/>
      <c r="G23" s="60">
        <v>375000</v>
      </c>
      <c r="H23" s="30">
        <v>365000</v>
      </c>
      <c r="I23" s="31">
        <v>0</v>
      </c>
      <c r="J23" s="71">
        <f>SUM(G23:I23)</f>
        <v>740000</v>
      </c>
      <c r="K23" s="82">
        <v>220000</v>
      </c>
      <c r="L23" s="71">
        <f>SUM(K23)</f>
        <v>220000</v>
      </c>
      <c r="M23" s="71">
        <f>SUM(F23+J23+L23)</f>
        <v>960000</v>
      </c>
      <c r="O23"/>
    </row>
    <row r="24" spans="1:15">
      <c r="A24" s="1" t="s">
        <v>2</v>
      </c>
      <c r="B24" s="4" t="s">
        <v>37</v>
      </c>
      <c r="C24" s="15">
        <v>0</v>
      </c>
      <c r="D24" s="16">
        <v>0</v>
      </c>
      <c r="E24" s="50">
        <v>0</v>
      </c>
      <c r="F24" s="72"/>
      <c r="G24" s="61">
        <v>0</v>
      </c>
      <c r="H24" s="16">
        <v>0</v>
      </c>
      <c r="I24" s="17">
        <v>0</v>
      </c>
      <c r="J24" s="72">
        <f t="shared" ref="J24:J61" si="3">SUM(G24:I24)</f>
        <v>0</v>
      </c>
      <c r="K24" s="83">
        <v>5000</v>
      </c>
      <c r="L24" s="72">
        <f t="shared" ref="L24:L61" si="4">SUM(K24)</f>
        <v>5000</v>
      </c>
      <c r="M24" s="72">
        <f t="shared" ref="M24:M61" si="5">SUM(F24+J24+L24)</f>
        <v>5000</v>
      </c>
      <c r="O24"/>
    </row>
    <row r="25" spans="1:15">
      <c r="A25" s="1" t="s">
        <v>2</v>
      </c>
      <c r="B25" s="4" t="s">
        <v>38</v>
      </c>
      <c r="C25" s="15">
        <v>0</v>
      </c>
      <c r="D25" s="16">
        <v>0</v>
      </c>
      <c r="E25" s="50">
        <v>0</v>
      </c>
      <c r="F25" s="72"/>
      <c r="G25" s="61">
        <v>0</v>
      </c>
      <c r="H25" s="16">
        <v>0</v>
      </c>
      <c r="I25" s="17">
        <v>0</v>
      </c>
      <c r="J25" s="72">
        <f t="shared" si="3"/>
        <v>0</v>
      </c>
      <c r="K25" s="83">
        <v>6000</v>
      </c>
      <c r="L25" s="72">
        <f t="shared" si="4"/>
        <v>6000</v>
      </c>
      <c r="M25" s="72">
        <f t="shared" si="5"/>
        <v>6000</v>
      </c>
      <c r="O25"/>
    </row>
    <row r="26" spans="1:15">
      <c r="A26" s="1" t="s">
        <v>2</v>
      </c>
      <c r="B26" s="4" t="s">
        <v>39</v>
      </c>
      <c r="C26" s="15">
        <v>0</v>
      </c>
      <c r="D26" s="16">
        <v>0</v>
      </c>
      <c r="E26" s="50">
        <v>0</v>
      </c>
      <c r="F26" s="72"/>
      <c r="G26" s="61">
        <v>50000</v>
      </c>
      <c r="H26" s="16">
        <v>50000</v>
      </c>
      <c r="I26" s="17">
        <v>0</v>
      </c>
      <c r="J26" s="72">
        <f t="shared" si="3"/>
        <v>100000</v>
      </c>
      <c r="K26" s="83">
        <v>50000</v>
      </c>
      <c r="L26" s="72">
        <f t="shared" si="4"/>
        <v>50000</v>
      </c>
      <c r="M26" s="72">
        <f t="shared" si="5"/>
        <v>150000</v>
      </c>
      <c r="O26"/>
    </row>
    <row r="27" spans="1:15">
      <c r="A27" s="1" t="s">
        <v>2</v>
      </c>
      <c r="B27" s="4" t="s">
        <v>40</v>
      </c>
      <c r="C27" s="15">
        <v>0</v>
      </c>
      <c r="D27" s="16">
        <v>0</v>
      </c>
      <c r="E27" s="50">
        <v>0</v>
      </c>
      <c r="F27" s="72"/>
      <c r="G27" s="61">
        <v>0</v>
      </c>
      <c r="H27" s="16">
        <v>0</v>
      </c>
      <c r="I27" s="17">
        <v>0</v>
      </c>
      <c r="J27" s="72">
        <f t="shared" si="3"/>
        <v>0</v>
      </c>
      <c r="K27" s="83">
        <v>0</v>
      </c>
      <c r="L27" s="72">
        <f t="shared" si="4"/>
        <v>0</v>
      </c>
      <c r="M27" s="72">
        <f t="shared" si="5"/>
        <v>0</v>
      </c>
      <c r="O27"/>
    </row>
    <row r="28" spans="1:15">
      <c r="A28" s="1" t="s">
        <v>2</v>
      </c>
      <c r="B28" s="4" t="s">
        <v>41</v>
      </c>
      <c r="C28" s="15">
        <v>0</v>
      </c>
      <c r="D28" s="16">
        <v>0</v>
      </c>
      <c r="E28" s="50">
        <v>0</v>
      </c>
      <c r="F28" s="72"/>
      <c r="G28" s="61">
        <v>0</v>
      </c>
      <c r="H28" s="16">
        <v>0</v>
      </c>
      <c r="I28" s="17">
        <v>108100</v>
      </c>
      <c r="J28" s="72">
        <f t="shared" si="3"/>
        <v>108100</v>
      </c>
      <c r="K28" s="83">
        <v>0</v>
      </c>
      <c r="L28" s="72">
        <f t="shared" si="4"/>
        <v>0</v>
      </c>
      <c r="M28" s="72">
        <f t="shared" si="5"/>
        <v>108100</v>
      </c>
      <c r="O28"/>
    </row>
    <row r="29" spans="1:15">
      <c r="A29" s="1" t="s">
        <v>2</v>
      </c>
      <c r="B29" s="4" t="s">
        <v>42</v>
      </c>
      <c r="C29" s="15">
        <v>1315000</v>
      </c>
      <c r="D29" s="16">
        <v>250000</v>
      </c>
      <c r="E29" s="50">
        <v>100000</v>
      </c>
      <c r="F29" s="72">
        <f>SUM(C29:E29)</f>
        <v>1665000</v>
      </c>
      <c r="G29" s="61">
        <v>0</v>
      </c>
      <c r="H29" s="16">
        <v>0</v>
      </c>
      <c r="I29" s="17">
        <v>0</v>
      </c>
      <c r="J29" s="72">
        <f t="shared" si="3"/>
        <v>0</v>
      </c>
      <c r="K29" s="83">
        <v>0</v>
      </c>
      <c r="L29" s="72">
        <f t="shared" si="4"/>
        <v>0</v>
      </c>
      <c r="M29" s="72">
        <f t="shared" si="5"/>
        <v>1665000</v>
      </c>
      <c r="O29"/>
    </row>
    <row r="30" spans="1:15">
      <c r="A30" s="1" t="s">
        <v>2</v>
      </c>
      <c r="B30" s="4" t="s">
        <v>43</v>
      </c>
      <c r="C30" s="15">
        <v>0</v>
      </c>
      <c r="D30" s="16">
        <v>0</v>
      </c>
      <c r="E30" s="50">
        <v>0</v>
      </c>
      <c r="F30" s="72">
        <f t="shared" ref="F30:F61" si="6">SUM(C30:E30)</f>
        <v>0</v>
      </c>
      <c r="G30" s="61">
        <v>0</v>
      </c>
      <c r="H30" s="16">
        <v>0</v>
      </c>
      <c r="I30" s="17">
        <v>0</v>
      </c>
      <c r="J30" s="72">
        <f t="shared" si="3"/>
        <v>0</v>
      </c>
      <c r="K30" s="83">
        <v>0</v>
      </c>
      <c r="L30" s="72">
        <f t="shared" si="4"/>
        <v>0</v>
      </c>
      <c r="M30" s="72">
        <f t="shared" si="5"/>
        <v>0</v>
      </c>
      <c r="O30"/>
    </row>
    <row r="31" spans="1:15">
      <c r="A31" s="1" t="s">
        <v>2</v>
      </c>
      <c r="B31" s="4" t="s">
        <v>44</v>
      </c>
      <c r="C31" s="15">
        <v>0</v>
      </c>
      <c r="D31" s="16">
        <v>0</v>
      </c>
      <c r="E31" s="50">
        <v>0</v>
      </c>
      <c r="F31" s="72">
        <f t="shared" si="6"/>
        <v>0</v>
      </c>
      <c r="G31" s="61">
        <v>0</v>
      </c>
      <c r="H31" s="16">
        <v>0</v>
      </c>
      <c r="I31" s="17">
        <v>0</v>
      </c>
      <c r="J31" s="72">
        <f t="shared" si="3"/>
        <v>0</v>
      </c>
      <c r="K31" s="83">
        <v>0</v>
      </c>
      <c r="L31" s="72">
        <f t="shared" si="4"/>
        <v>0</v>
      </c>
      <c r="M31" s="72">
        <f t="shared" si="5"/>
        <v>0</v>
      </c>
      <c r="O31"/>
    </row>
    <row r="32" spans="1:15">
      <c r="A32" s="1" t="s">
        <v>2</v>
      </c>
      <c r="B32" s="4" t="s">
        <v>45</v>
      </c>
      <c r="C32" s="15">
        <v>0</v>
      </c>
      <c r="D32" s="16">
        <v>0</v>
      </c>
      <c r="E32" s="50">
        <v>0</v>
      </c>
      <c r="F32" s="72">
        <f t="shared" si="6"/>
        <v>0</v>
      </c>
      <c r="G32" s="61">
        <v>0</v>
      </c>
      <c r="H32" s="16">
        <v>0</v>
      </c>
      <c r="I32" s="17">
        <v>5875</v>
      </c>
      <c r="J32" s="72">
        <f t="shared" si="3"/>
        <v>5875</v>
      </c>
      <c r="K32" s="83">
        <v>0</v>
      </c>
      <c r="L32" s="72">
        <f t="shared" si="4"/>
        <v>0</v>
      </c>
      <c r="M32" s="72">
        <f t="shared" si="5"/>
        <v>5875</v>
      </c>
      <c r="O32"/>
    </row>
    <row r="33" spans="1:15">
      <c r="A33" s="1" t="s">
        <v>2</v>
      </c>
      <c r="B33" s="4" t="s">
        <v>46</v>
      </c>
      <c r="C33" s="15">
        <v>0</v>
      </c>
      <c r="D33" s="16">
        <v>0</v>
      </c>
      <c r="E33" s="50">
        <v>0</v>
      </c>
      <c r="F33" s="72">
        <f t="shared" si="6"/>
        <v>0</v>
      </c>
      <c r="G33" s="61">
        <v>0</v>
      </c>
      <c r="H33" s="16">
        <v>0</v>
      </c>
      <c r="I33" s="17">
        <v>0</v>
      </c>
      <c r="J33" s="72">
        <f t="shared" si="3"/>
        <v>0</v>
      </c>
      <c r="K33" s="83">
        <v>0</v>
      </c>
      <c r="L33" s="72">
        <f t="shared" si="4"/>
        <v>0</v>
      </c>
      <c r="M33" s="72">
        <f t="shared" si="5"/>
        <v>0</v>
      </c>
      <c r="O33"/>
    </row>
    <row r="34" spans="1:15">
      <c r="A34" s="1" t="s">
        <v>2</v>
      </c>
      <c r="B34" s="4" t="s">
        <v>47</v>
      </c>
      <c r="C34" s="15">
        <v>0</v>
      </c>
      <c r="D34" s="16">
        <v>0</v>
      </c>
      <c r="E34" s="50">
        <v>0</v>
      </c>
      <c r="F34" s="72">
        <f t="shared" si="6"/>
        <v>0</v>
      </c>
      <c r="G34" s="61">
        <v>0</v>
      </c>
      <c r="H34" s="16">
        <v>0</v>
      </c>
      <c r="I34" s="17">
        <v>0</v>
      </c>
      <c r="J34" s="72">
        <f t="shared" si="3"/>
        <v>0</v>
      </c>
      <c r="K34" s="83">
        <v>0</v>
      </c>
      <c r="L34" s="72">
        <f t="shared" si="4"/>
        <v>0</v>
      </c>
      <c r="M34" s="72">
        <f t="shared" si="5"/>
        <v>0</v>
      </c>
      <c r="O34"/>
    </row>
    <row r="35" spans="1:15">
      <c r="A35" s="1" t="s">
        <v>2</v>
      </c>
      <c r="B35" s="4" t="s">
        <v>48</v>
      </c>
      <c r="C35" s="15">
        <v>0</v>
      </c>
      <c r="D35" s="16">
        <v>0</v>
      </c>
      <c r="E35" s="50">
        <v>0</v>
      </c>
      <c r="F35" s="72">
        <f t="shared" si="6"/>
        <v>0</v>
      </c>
      <c r="G35" s="61">
        <v>0</v>
      </c>
      <c r="H35" s="16">
        <v>0</v>
      </c>
      <c r="I35" s="17">
        <v>0</v>
      </c>
      <c r="J35" s="72">
        <f t="shared" si="3"/>
        <v>0</v>
      </c>
      <c r="K35" s="83">
        <v>0</v>
      </c>
      <c r="L35" s="72">
        <f t="shared" si="4"/>
        <v>0</v>
      </c>
      <c r="M35" s="72">
        <f t="shared" si="5"/>
        <v>0</v>
      </c>
      <c r="O35"/>
    </row>
    <row r="36" spans="1:15">
      <c r="A36" s="1" t="s">
        <v>2</v>
      </c>
      <c r="B36" s="4" t="s">
        <v>27</v>
      </c>
      <c r="C36" s="15">
        <v>0</v>
      </c>
      <c r="D36" s="16">
        <v>0</v>
      </c>
      <c r="E36" s="50">
        <v>0</v>
      </c>
      <c r="F36" s="72">
        <f t="shared" si="6"/>
        <v>0</v>
      </c>
      <c r="G36" s="61">
        <v>0</v>
      </c>
      <c r="H36" s="16">
        <v>0</v>
      </c>
      <c r="I36" s="17">
        <v>0</v>
      </c>
      <c r="J36" s="72">
        <f t="shared" si="3"/>
        <v>0</v>
      </c>
      <c r="K36" s="83">
        <v>29892</v>
      </c>
      <c r="L36" s="72">
        <f t="shared" si="4"/>
        <v>29892</v>
      </c>
      <c r="M36" s="72">
        <f t="shared" si="5"/>
        <v>29892</v>
      </c>
      <c r="O36"/>
    </row>
    <row r="37" spans="1:15">
      <c r="A37" s="1" t="s">
        <v>2</v>
      </c>
      <c r="B37" s="4" t="s">
        <v>49</v>
      </c>
      <c r="C37" s="15">
        <v>0</v>
      </c>
      <c r="D37" s="16">
        <v>0</v>
      </c>
      <c r="E37" s="50">
        <v>0</v>
      </c>
      <c r="F37" s="72">
        <f t="shared" si="6"/>
        <v>0</v>
      </c>
      <c r="G37" s="61">
        <v>0</v>
      </c>
      <c r="H37" s="16">
        <v>0</v>
      </c>
      <c r="I37" s="17">
        <v>0</v>
      </c>
      <c r="J37" s="72">
        <f t="shared" si="3"/>
        <v>0</v>
      </c>
      <c r="K37" s="83">
        <v>18837</v>
      </c>
      <c r="L37" s="72">
        <f t="shared" si="4"/>
        <v>18837</v>
      </c>
      <c r="M37" s="72">
        <f t="shared" si="5"/>
        <v>18837</v>
      </c>
      <c r="O37"/>
    </row>
    <row r="38" spans="1:15">
      <c r="A38" s="1" t="s">
        <v>2</v>
      </c>
      <c r="B38" s="4" t="s">
        <v>50</v>
      </c>
      <c r="C38" s="15">
        <v>0</v>
      </c>
      <c r="D38" s="16">
        <v>0</v>
      </c>
      <c r="E38" s="50">
        <v>0</v>
      </c>
      <c r="F38" s="72">
        <f t="shared" si="6"/>
        <v>0</v>
      </c>
      <c r="G38" s="61">
        <v>0</v>
      </c>
      <c r="H38" s="16">
        <v>0</v>
      </c>
      <c r="I38" s="17">
        <v>0</v>
      </c>
      <c r="J38" s="72">
        <f t="shared" si="3"/>
        <v>0</v>
      </c>
      <c r="K38" s="83">
        <v>0</v>
      </c>
      <c r="L38" s="72">
        <f t="shared" si="4"/>
        <v>0</v>
      </c>
      <c r="M38" s="72">
        <f t="shared" si="5"/>
        <v>0</v>
      </c>
      <c r="O38"/>
    </row>
    <row r="39" spans="1:15">
      <c r="A39" s="1" t="s">
        <v>2</v>
      </c>
      <c r="B39" s="4" t="s">
        <v>51</v>
      </c>
      <c r="C39" s="15">
        <v>0</v>
      </c>
      <c r="D39" s="16">
        <v>0</v>
      </c>
      <c r="E39" s="50">
        <v>0</v>
      </c>
      <c r="F39" s="72">
        <f t="shared" si="6"/>
        <v>0</v>
      </c>
      <c r="G39" s="61">
        <v>0</v>
      </c>
      <c r="H39" s="16">
        <v>0</v>
      </c>
      <c r="I39" s="17">
        <v>0</v>
      </c>
      <c r="J39" s="72">
        <f t="shared" si="3"/>
        <v>0</v>
      </c>
      <c r="K39" s="83">
        <v>0</v>
      </c>
      <c r="L39" s="72">
        <f t="shared" si="4"/>
        <v>0</v>
      </c>
      <c r="M39" s="72">
        <f t="shared" si="5"/>
        <v>0</v>
      </c>
      <c r="O39"/>
    </row>
    <row r="40" spans="1:15">
      <c r="A40" s="1" t="s">
        <v>2</v>
      </c>
      <c r="B40" s="4" t="s">
        <v>52</v>
      </c>
      <c r="C40" s="15">
        <v>0</v>
      </c>
      <c r="D40" s="16">
        <v>0</v>
      </c>
      <c r="E40" s="50">
        <v>0</v>
      </c>
      <c r="F40" s="72">
        <f t="shared" si="6"/>
        <v>0</v>
      </c>
      <c r="G40" s="61">
        <v>0</v>
      </c>
      <c r="H40" s="16">
        <v>0</v>
      </c>
      <c r="I40" s="17">
        <v>0</v>
      </c>
      <c r="J40" s="72">
        <f t="shared" si="3"/>
        <v>0</v>
      </c>
      <c r="K40" s="83">
        <v>0</v>
      </c>
      <c r="L40" s="72">
        <f t="shared" si="4"/>
        <v>0</v>
      </c>
      <c r="M40" s="72">
        <f t="shared" si="5"/>
        <v>0</v>
      </c>
      <c r="O40"/>
    </row>
    <row r="41" spans="1:15">
      <c r="A41" s="1" t="s">
        <v>2</v>
      </c>
      <c r="B41" s="4" t="s">
        <v>53</v>
      </c>
      <c r="C41" s="15">
        <v>0</v>
      </c>
      <c r="D41" s="16">
        <v>0</v>
      </c>
      <c r="E41" s="50">
        <v>0</v>
      </c>
      <c r="F41" s="72">
        <f t="shared" si="6"/>
        <v>0</v>
      </c>
      <c r="G41" s="61">
        <v>0</v>
      </c>
      <c r="H41" s="16">
        <v>0</v>
      </c>
      <c r="I41" s="17">
        <v>0</v>
      </c>
      <c r="J41" s="72">
        <f t="shared" si="3"/>
        <v>0</v>
      </c>
      <c r="K41" s="83">
        <v>0</v>
      </c>
      <c r="L41" s="72">
        <f t="shared" si="4"/>
        <v>0</v>
      </c>
      <c r="M41" s="72">
        <f t="shared" si="5"/>
        <v>0</v>
      </c>
      <c r="O41"/>
    </row>
    <row r="42" spans="1:15">
      <c r="A42" s="1" t="s">
        <v>2</v>
      </c>
      <c r="B42" s="4" t="s">
        <v>32</v>
      </c>
      <c r="C42" s="15">
        <v>0</v>
      </c>
      <c r="D42" s="16">
        <v>0</v>
      </c>
      <c r="E42" s="50">
        <v>0</v>
      </c>
      <c r="F42" s="72">
        <f t="shared" si="6"/>
        <v>0</v>
      </c>
      <c r="G42" s="61">
        <v>0</v>
      </c>
      <c r="H42" s="16">
        <v>0</v>
      </c>
      <c r="I42" s="17">
        <v>0</v>
      </c>
      <c r="J42" s="72">
        <f t="shared" si="3"/>
        <v>0</v>
      </c>
      <c r="K42" s="83">
        <v>25909</v>
      </c>
      <c r="L42" s="72">
        <f t="shared" si="4"/>
        <v>25909</v>
      </c>
      <c r="M42" s="72">
        <f t="shared" si="5"/>
        <v>25909</v>
      </c>
      <c r="O42"/>
    </row>
    <row r="43" spans="1:15" ht="19.5" thickBot="1">
      <c r="A43" s="1" t="s">
        <v>2</v>
      </c>
      <c r="B43" s="35" t="s">
        <v>34</v>
      </c>
      <c r="C43" s="36">
        <v>0</v>
      </c>
      <c r="D43" s="37">
        <v>0</v>
      </c>
      <c r="E43" s="51">
        <v>0</v>
      </c>
      <c r="F43" s="73">
        <f t="shared" si="6"/>
        <v>0</v>
      </c>
      <c r="G43" s="62">
        <v>0</v>
      </c>
      <c r="H43" s="37">
        <v>0</v>
      </c>
      <c r="I43" s="38">
        <v>0</v>
      </c>
      <c r="J43" s="73">
        <f t="shared" si="3"/>
        <v>0</v>
      </c>
      <c r="K43" s="84">
        <v>498</v>
      </c>
      <c r="L43" s="73">
        <f t="shared" si="4"/>
        <v>498</v>
      </c>
      <c r="M43" s="73">
        <f t="shared" si="5"/>
        <v>498</v>
      </c>
      <c r="O43"/>
    </row>
    <row r="44" spans="1:15" ht="19.5" thickBot="1">
      <c r="A44" s="1" t="s">
        <v>2</v>
      </c>
      <c r="B44" s="39" t="s">
        <v>54</v>
      </c>
      <c r="C44" s="40">
        <v>1315000</v>
      </c>
      <c r="D44" s="41">
        <v>250000</v>
      </c>
      <c r="E44" s="52">
        <v>100000</v>
      </c>
      <c r="F44" s="74">
        <f t="shared" si="6"/>
        <v>1665000</v>
      </c>
      <c r="G44" s="63">
        <v>425000</v>
      </c>
      <c r="H44" s="41">
        <v>415000</v>
      </c>
      <c r="I44" s="42">
        <v>113975</v>
      </c>
      <c r="J44" s="74">
        <f t="shared" si="3"/>
        <v>953975</v>
      </c>
      <c r="K44" s="85">
        <v>356136</v>
      </c>
      <c r="L44" s="74">
        <f t="shared" si="4"/>
        <v>356136</v>
      </c>
      <c r="M44" s="74">
        <f t="shared" si="5"/>
        <v>2975111</v>
      </c>
      <c r="O44"/>
    </row>
    <row r="45" spans="1:15" ht="19.5" thickBot="1">
      <c r="A45" s="1" t="s">
        <v>2</v>
      </c>
      <c r="B45" s="21" t="s">
        <v>55</v>
      </c>
      <c r="C45" s="29">
        <v>0</v>
      </c>
      <c r="D45" s="30">
        <v>0</v>
      </c>
      <c r="E45" s="49">
        <v>0</v>
      </c>
      <c r="F45" s="71">
        <f t="shared" si="6"/>
        <v>0</v>
      </c>
      <c r="G45" s="60">
        <v>2330</v>
      </c>
      <c r="H45" s="30">
        <v>8800</v>
      </c>
      <c r="I45" s="31">
        <v>0</v>
      </c>
      <c r="J45" s="71">
        <f t="shared" si="3"/>
        <v>11130</v>
      </c>
      <c r="K45" s="82">
        <v>4600</v>
      </c>
      <c r="L45" s="71">
        <f t="shared" si="4"/>
        <v>4600</v>
      </c>
      <c r="M45" s="71">
        <f t="shared" si="5"/>
        <v>15730</v>
      </c>
      <c r="O45"/>
    </row>
    <row r="46" spans="1:15" ht="19.5" thickBot="1">
      <c r="A46" s="1" t="s">
        <v>2</v>
      </c>
      <c r="B46" s="39" t="s">
        <v>56</v>
      </c>
      <c r="C46" s="40">
        <v>0</v>
      </c>
      <c r="D46" s="41">
        <v>0</v>
      </c>
      <c r="E46" s="52">
        <v>0</v>
      </c>
      <c r="F46" s="74">
        <f t="shared" si="6"/>
        <v>0</v>
      </c>
      <c r="G46" s="63">
        <v>2330</v>
      </c>
      <c r="H46" s="41">
        <v>8800</v>
      </c>
      <c r="I46" s="42">
        <v>0</v>
      </c>
      <c r="J46" s="74">
        <f t="shared" si="3"/>
        <v>11130</v>
      </c>
      <c r="K46" s="85">
        <v>4600</v>
      </c>
      <c r="L46" s="74">
        <f t="shared" si="4"/>
        <v>4600</v>
      </c>
      <c r="M46" s="74">
        <f t="shared" si="5"/>
        <v>15730</v>
      </c>
      <c r="O46"/>
    </row>
    <row r="47" spans="1:15" ht="19.5" thickBot="1">
      <c r="A47" s="1" t="s">
        <v>2</v>
      </c>
      <c r="B47" s="39" t="s">
        <v>57</v>
      </c>
      <c r="C47" s="40">
        <v>1315000</v>
      </c>
      <c r="D47" s="41">
        <v>250000</v>
      </c>
      <c r="E47" s="52">
        <v>100000</v>
      </c>
      <c r="F47" s="74">
        <f t="shared" si="6"/>
        <v>1665000</v>
      </c>
      <c r="G47" s="63">
        <v>427330</v>
      </c>
      <c r="H47" s="41">
        <v>423800</v>
      </c>
      <c r="I47" s="42">
        <v>113975</v>
      </c>
      <c r="J47" s="74">
        <f t="shared" si="3"/>
        <v>965105</v>
      </c>
      <c r="K47" s="85">
        <v>360736</v>
      </c>
      <c r="L47" s="74">
        <f t="shared" si="4"/>
        <v>360736</v>
      </c>
      <c r="M47" s="74">
        <f t="shared" si="5"/>
        <v>2990841</v>
      </c>
      <c r="O47"/>
    </row>
    <row r="48" spans="1:15">
      <c r="A48" s="1" t="s">
        <v>2</v>
      </c>
      <c r="B48" s="21" t="s">
        <v>58</v>
      </c>
      <c r="C48" s="29">
        <v>64770</v>
      </c>
      <c r="D48" s="30">
        <v>0</v>
      </c>
      <c r="E48" s="49">
        <v>0</v>
      </c>
      <c r="F48" s="71">
        <f t="shared" si="6"/>
        <v>64770</v>
      </c>
      <c r="G48" s="60">
        <v>22440</v>
      </c>
      <c r="H48" s="30">
        <v>20910</v>
      </c>
      <c r="I48" s="31">
        <v>0</v>
      </c>
      <c r="J48" s="71">
        <f t="shared" si="3"/>
        <v>43350</v>
      </c>
      <c r="K48" s="82">
        <v>17340</v>
      </c>
      <c r="L48" s="71">
        <f t="shared" si="4"/>
        <v>17340</v>
      </c>
      <c r="M48" s="71">
        <f t="shared" si="5"/>
        <v>125460</v>
      </c>
      <c r="O48"/>
    </row>
    <row r="49" spans="1:15">
      <c r="A49" s="1" t="s">
        <v>2</v>
      </c>
      <c r="B49" s="4" t="s">
        <v>59</v>
      </c>
      <c r="C49" s="15">
        <v>11430</v>
      </c>
      <c r="D49" s="16">
        <v>0</v>
      </c>
      <c r="E49" s="50">
        <v>0</v>
      </c>
      <c r="F49" s="72">
        <f t="shared" si="6"/>
        <v>11430</v>
      </c>
      <c r="G49" s="61">
        <v>3960</v>
      </c>
      <c r="H49" s="16">
        <v>3690</v>
      </c>
      <c r="I49" s="17">
        <v>0</v>
      </c>
      <c r="J49" s="72">
        <f t="shared" si="3"/>
        <v>7650</v>
      </c>
      <c r="K49" s="83">
        <v>3060</v>
      </c>
      <c r="L49" s="72">
        <f t="shared" si="4"/>
        <v>3060</v>
      </c>
      <c r="M49" s="72">
        <f t="shared" si="5"/>
        <v>22140</v>
      </c>
      <c r="O49"/>
    </row>
    <row r="50" spans="1:15">
      <c r="A50" s="1" t="s">
        <v>2</v>
      </c>
      <c r="B50" s="4" t="s">
        <v>60</v>
      </c>
      <c r="C50" s="15">
        <v>59475</v>
      </c>
      <c r="D50" s="16">
        <v>0</v>
      </c>
      <c r="E50" s="50">
        <v>0</v>
      </c>
      <c r="F50" s="72">
        <f t="shared" si="6"/>
        <v>59475</v>
      </c>
      <c r="G50" s="61">
        <v>40260</v>
      </c>
      <c r="H50" s="16">
        <v>37515</v>
      </c>
      <c r="I50" s="17">
        <v>0</v>
      </c>
      <c r="J50" s="72">
        <f t="shared" si="3"/>
        <v>77775</v>
      </c>
      <c r="K50" s="83">
        <v>31110</v>
      </c>
      <c r="L50" s="72">
        <f t="shared" si="4"/>
        <v>31110</v>
      </c>
      <c r="M50" s="72">
        <f t="shared" si="5"/>
        <v>168360</v>
      </c>
      <c r="O50"/>
    </row>
    <row r="51" spans="1:15" ht="19.5" thickBot="1">
      <c r="A51" s="1" t="s">
        <v>2</v>
      </c>
      <c r="B51" s="4" t="s">
        <v>61</v>
      </c>
      <c r="C51" s="15">
        <v>0</v>
      </c>
      <c r="D51" s="16">
        <v>0</v>
      </c>
      <c r="E51" s="50">
        <v>0</v>
      </c>
      <c r="F51" s="72">
        <f t="shared" si="6"/>
        <v>0</v>
      </c>
      <c r="G51" s="61">
        <v>1282</v>
      </c>
      <c r="H51" s="16">
        <v>1271</v>
      </c>
      <c r="I51" s="17">
        <v>342</v>
      </c>
      <c r="J51" s="72">
        <f t="shared" si="3"/>
        <v>2895</v>
      </c>
      <c r="K51" s="83">
        <v>1082</v>
      </c>
      <c r="L51" s="72">
        <f t="shared" si="4"/>
        <v>1082</v>
      </c>
      <c r="M51" s="72">
        <f t="shared" si="5"/>
        <v>3977</v>
      </c>
      <c r="O51"/>
    </row>
    <row r="52" spans="1:15" ht="19.5" thickBot="1">
      <c r="A52" s="1" t="s">
        <v>2</v>
      </c>
      <c r="B52" s="39" t="s">
        <v>62</v>
      </c>
      <c r="C52" s="40">
        <v>135675</v>
      </c>
      <c r="D52" s="41">
        <v>0</v>
      </c>
      <c r="E52" s="52">
        <v>0</v>
      </c>
      <c r="F52" s="74">
        <f t="shared" si="6"/>
        <v>135675</v>
      </c>
      <c r="G52" s="63">
        <v>67942</v>
      </c>
      <c r="H52" s="41">
        <v>63386</v>
      </c>
      <c r="I52" s="42">
        <v>342</v>
      </c>
      <c r="J52" s="74">
        <f t="shared" si="3"/>
        <v>131670</v>
      </c>
      <c r="K52" s="85">
        <v>52592</v>
      </c>
      <c r="L52" s="74">
        <f t="shared" si="4"/>
        <v>52592</v>
      </c>
      <c r="M52" s="74">
        <f t="shared" si="5"/>
        <v>319937</v>
      </c>
      <c r="O52"/>
    </row>
    <row r="53" spans="1:15">
      <c r="A53" s="1" t="s">
        <v>2</v>
      </c>
      <c r="B53" s="21" t="s">
        <v>63</v>
      </c>
      <c r="C53" s="29">
        <v>187760</v>
      </c>
      <c r="D53" s="30">
        <v>36400</v>
      </c>
      <c r="E53" s="49">
        <v>720</v>
      </c>
      <c r="F53" s="71">
        <f t="shared" si="6"/>
        <v>224880</v>
      </c>
      <c r="G53" s="60">
        <v>13040</v>
      </c>
      <c r="H53" s="30">
        <v>12600</v>
      </c>
      <c r="I53" s="31">
        <v>1420</v>
      </c>
      <c r="J53" s="71">
        <f t="shared" si="3"/>
        <v>27060</v>
      </c>
      <c r="K53" s="82">
        <v>6870</v>
      </c>
      <c r="L53" s="71">
        <f t="shared" si="4"/>
        <v>6870</v>
      </c>
      <c r="M53" s="71">
        <f t="shared" si="5"/>
        <v>258810</v>
      </c>
      <c r="O53"/>
    </row>
    <row r="54" spans="1:15">
      <c r="A54" s="1" t="s">
        <v>2</v>
      </c>
      <c r="B54" s="4" t="s">
        <v>64</v>
      </c>
      <c r="C54" s="15">
        <v>0</v>
      </c>
      <c r="D54" s="16">
        <v>0</v>
      </c>
      <c r="E54" s="50">
        <v>0</v>
      </c>
      <c r="F54" s="72">
        <f t="shared" si="6"/>
        <v>0</v>
      </c>
      <c r="G54" s="61">
        <v>0</v>
      </c>
      <c r="H54" s="16">
        <v>0</v>
      </c>
      <c r="I54" s="17">
        <v>0</v>
      </c>
      <c r="J54" s="72">
        <f t="shared" si="3"/>
        <v>0</v>
      </c>
      <c r="K54" s="83">
        <v>0</v>
      </c>
      <c r="L54" s="72">
        <f t="shared" si="4"/>
        <v>0</v>
      </c>
      <c r="M54" s="72">
        <f t="shared" si="5"/>
        <v>0</v>
      </c>
      <c r="O54"/>
    </row>
    <row r="55" spans="1:15">
      <c r="A55" s="1" t="s">
        <v>2</v>
      </c>
      <c r="B55" s="4" t="s">
        <v>65</v>
      </c>
      <c r="C55" s="15">
        <v>96300</v>
      </c>
      <c r="D55" s="16">
        <v>0</v>
      </c>
      <c r="E55" s="50">
        <v>900</v>
      </c>
      <c r="F55" s="72">
        <f t="shared" si="6"/>
        <v>97200</v>
      </c>
      <c r="G55" s="61">
        <v>19700</v>
      </c>
      <c r="H55" s="16">
        <v>18200</v>
      </c>
      <c r="I55" s="17">
        <v>2500</v>
      </c>
      <c r="J55" s="72">
        <f t="shared" si="3"/>
        <v>40400</v>
      </c>
      <c r="K55" s="83">
        <v>15600</v>
      </c>
      <c r="L55" s="72">
        <f t="shared" si="4"/>
        <v>15600</v>
      </c>
      <c r="M55" s="72">
        <f t="shared" si="5"/>
        <v>153200</v>
      </c>
      <c r="O55"/>
    </row>
    <row r="56" spans="1:15" ht="19.5" thickBot="1">
      <c r="A56" s="1" t="s">
        <v>2</v>
      </c>
      <c r="B56" s="4" t="s">
        <v>66</v>
      </c>
      <c r="C56" s="15">
        <v>32000</v>
      </c>
      <c r="D56" s="16">
        <v>0</v>
      </c>
      <c r="E56" s="50">
        <v>0</v>
      </c>
      <c r="F56" s="72">
        <f t="shared" si="6"/>
        <v>32000</v>
      </c>
      <c r="G56" s="61">
        <v>0</v>
      </c>
      <c r="H56" s="16">
        <v>0</v>
      </c>
      <c r="I56" s="17">
        <v>0</v>
      </c>
      <c r="J56" s="72">
        <f t="shared" si="3"/>
        <v>0</v>
      </c>
      <c r="K56" s="83">
        <v>0</v>
      </c>
      <c r="L56" s="72">
        <f t="shared" si="4"/>
        <v>0</v>
      </c>
      <c r="M56" s="72">
        <f t="shared" si="5"/>
        <v>32000</v>
      </c>
      <c r="O56"/>
    </row>
    <row r="57" spans="1:15" ht="19.5" thickBot="1">
      <c r="A57" s="1" t="s">
        <v>2</v>
      </c>
      <c r="B57" s="39" t="s">
        <v>67</v>
      </c>
      <c r="C57" s="40">
        <v>451735</v>
      </c>
      <c r="D57" s="41">
        <v>36400</v>
      </c>
      <c r="E57" s="52">
        <v>1620</v>
      </c>
      <c r="F57" s="74">
        <f t="shared" si="6"/>
        <v>489755</v>
      </c>
      <c r="G57" s="63">
        <v>100682</v>
      </c>
      <c r="H57" s="41">
        <v>94186</v>
      </c>
      <c r="I57" s="42">
        <v>4262</v>
      </c>
      <c r="J57" s="74">
        <f t="shared" si="3"/>
        <v>199130</v>
      </c>
      <c r="K57" s="85">
        <v>75062</v>
      </c>
      <c r="L57" s="74">
        <f t="shared" si="4"/>
        <v>75062</v>
      </c>
      <c r="M57" s="74">
        <f t="shared" si="5"/>
        <v>763947</v>
      </c>
      <c r="O57"/>
    </row>
    <row r="58" spans="1:15" ht="19.5" thickBot="1">
      <c r="A58" s="1" t="s">
        <v>2</v>
      </c>
      <c r="B58" s="39" t="s">
        <v>68</v>
      </c>
      <c r="C58" s="40">
        <v>1179325</v>
      </c>
      <c r="D58" s="41">
        <v>250000</v>
      </c>
      <c r="E58" s="52">
        <v>100000</v>
      </c>
      <c r="F58" s="74">
        <f t="shared" si="6"/>
        <v>1529325</v>
      </c>
      <c r="G58" s="63">
        <v>357058</v>
      </c>
      <c r="H58" s="41">
        <v>351614</v>
      </c>
      <c r="I58" s="42">
        <v>113633</v>
      </c>
      <c r="J58" s="74">
        <f t="shared" si="3"/>
        <v>822305</v>
      </c>
      <c r="K58" s="85">
        <v>303544</v>
      </c>
      <c r="L58" s="74">
        <f t="shared" si="4"/>
        <v>303544</v>
      </c>
      <c r="M58" s="74">
        <f t="shared" si="5"/>
        <v>2655174</v>
      </c>
      <c r="O58"/>
    </row>
    <row r="59" spans="1:15" ht="19.5" thickBot="1">
      <c r="A59" s="1" t="s">
        <v>2</v>
      </c>
      <c r="B59" s="39" t="s">
        <v>69</v>
      </c>
      <c r="C59" s="40">
        <v>863265</v>
      </c>
      <c r="D59" s="41">
        <v>213600</v>
      </c>
      <c r="E59" s="52">
        <v>98380</v>
      </c>
      <c r="F59" s="74">
        <f t="shared" si="6"/>
        <v>1175245</v>
      </c>
      <c r="G59" s="63">
        <v>326648</v>
      </c>
      <c r="H59" s="41">
        <v>329614</v>
      </c>
      <c r="I59" s="42">
        <v>109713</v>
      </c>
      <c r="J59" s="74">
        <f t="shared" si="3"/>
        <v>765975</v>
      </c>
      <c r="K59" s="85">
        <v>285674</v>
      </c>
      <c r="L59" s="74">
        <f t="shared" si="4"/>
        <v>285674</v>
      </c>
      <c r="M59" s="74">
        <f t="shared" si="5"/>
        <v>2226894</v>
      </c>
      <c r="O59"/>
    </row>
    <row r="60" spans="1:15">
      <c r="A60" s="1" t="s">
        <v>2</v>
      </c>
      <c r="B60" s="21" t="s">
        <v>70</v>
      </c>
      <c r="C60" s="29">
        <v>0</v>
      </c>
      <c r="D60" s="30">
        <v>0</v>
      </c>
      <c r="E60" s="49">
        <v>0</v>
      </c>
      <c r="F60" s="71">
        <f t="shared" si="6"/>
        <v>0</v>
      </c>
      <c r="G60" s="60">
        <v>0</v>
      </c>
      <c r="H60" s="30">
        <v>0</v>
      </c>
      <c r="I60" s="31">
        <v>0</v>
      </c>
      <c r="J60" s="71">
        <f t="shared" si="3"/>
        <v>0</v>
      </c>
      <c r="K60" s="82">
        <v>0</v>
      </c>
      <c r="L60" s="71">
        <f t="shared" si="4"/>
        <v>0</v>
      </c>
      <c r="M60" s="71">
        <f t="shared" si="5"/>
        <v>0</v>
      </c>
      <c r="O60"/>
    </row>
    <row r="61" spans="1:15">
      <c r="A61" s="1" t="s">
        <v>2</v>
      </c>
      <c r="B61" s="4" t="s">
        <v>71</v>
      </c>
      <c r="C61" s="15">
        <v>863265</v>
      </c>
      <c r="D61" s="16">
        <v>213600</v>
      </c>
      <c r="E61" s="50">
        <v>98380</v>
      </c>
      <c r="F61" s="72">
        <f t="shared" si="6"/>
        <v>1175245</v>
      </c>
      <c r="G61" s="61">
        <v>326648</v>
      </c>
      <c r="H61" s="16">
        <v>329614</v>
      </c>
      <c r="I61" s="17">
        <v>109713</v>
      </c>
      <c r="J61" s="72">
        <f t="shared" si="3"/>
        <v>765975</v>
      </c>
      <c r="K61" s="83">
        <v>285674</v>
      </c>
      <c r="L61" s="72">
        <f t="shared" si="4"/>
        <v>285674</v>
      </c>
      <c r="M61" s="72">
        <f t="shared" si="5"/>
        <v>2226894</v>
      </c>
      <c r="O61"/>
    </row>
    <row r="62" spans="1:15">
      <c r="A62" s="1" t="s">
        <v>2</v>
      </c>
      <c r="B62" s="4" t="s">
        <v>72</v>
      </c>
      <c r="C62" s="15">
        <v>1</v>
      </c>
      <c r="D62" s="16">
        <v>0</v>
      </c>
      <c r="E62" s="50">
        <v>0</v>
      </c>
      <c r="F62" s="72"/>
      <c r="G62" s="61">
        <v>0</v>
      </c>
      <c r="H62" s="16">
        <v>0</v>
      </c>
      <c r="I62" s="17">
        <v>0</v>
      </c>
      <c r="J62" s="72"/>
      <c r="K62" s="83">
        <v>1</v>
      </c>
      <c r="L62" s="72"/>
      <c r="M62" s="72"/>
      <c r="O62"/>
    </row>
    <row r="63" spans="1:15" ht="19.5" thickBot="1">
      <c r="A63" s="1" t="s">
        <v>2</v>
      </c>
      <c r="B63" s="5" t="s">
        <v>73</v>
      </c>
      <c r="C63" s="18" t="s">
        <v>74</v>
      </c>
      <c r="D63" s="19" t="s">
        <v>75</v>
      </c>
      <c r="E63" s="53" t="s">
        <v>74</v>
      </c>
      <c r="F63" s="75"/>
      <c r="G63" s="64" t="s">
        <v>74</v>
      </c>
      <c r="H63" s="19" t="s">
        <v>74</v>
      </c>
      <c r="I63" s="20" t="s">
        <v>74</v>
      </c>
      <c r="J63" s="75"/>
      <c r="K63" s="86" t="s">
        <v>74</v>
      </c>
      <c r="L63" s="75"/>
      <c r="M63" s="75"/>
      <c r="O63"/>
    </row>
  </sheetData>
  <phoneticPr fontId="3"/>
  <pageMargins left="0.31496062992125984" right="0.31496062992125984" top="0.15748031496062992" bottom="0.15748031496062992" header="0.11811023622047245" footer="0.19685039370078741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1月度給与 (2)</vt:lpstr>
      <vt:lpstr>'2022年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2022-02-10T08:30:04Z</cp:lastPrinted>
  <dcterms:created xsi:type="dcterms:W3CDTF">2022-02-09T06:24:15Z</dcterms:created>
  <dcterms:modified xsi:type="dcterms:W3CDTF">2022-02-12T01:26:02Z</dcterms:modified>
</cp:coreProperties>
</file>