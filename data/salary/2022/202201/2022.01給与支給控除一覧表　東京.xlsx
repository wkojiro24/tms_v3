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00A14146-D9D4-4D73-AB89-B179BCEAD04C}" xr6:coauthVersionLast="47" xr6:coauthVersionMax="47" xr10:uidLastSave="{00000000-0000-0000-0000-000000000000}"/>
  <bookViews>
    <workbookView xWindow="-120" yWindow="-120" windowWidth="20730" windowHeight="11160" xr2:uid="{2D718D80-292A-49FF-808F-CA18840DF0FE}"/>
  </bookViews>
  <sheets>
    <sheet name="2022年 1月度給与 (2)" sheetId="3" r:id="rId1"/>
  </sheets>
  <definedNames>
    <definedName name="_xlnm.Print_Area" localSheetId="0">'2022年 1月度給与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M17" i="3"/>
  <c r="M18" i="3"/>
  <c r="M19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3" i="3"/>
  <c r="L22" i="3"/>
  <c r="L21" i="3"/>
  <c r="M21" i="3" s="1"/>
  <c r="L15" i="3"/>
  <c r="M15" i="3" s="1"/>
  <c r="L16" i="3"/>
  <c r="M16" i="3" s="1"/>
  <c r="L14" i="3"/>
  <c r="M14" i="3" s="1"/>
  <c r="L12" i="3"/>
  <c r="M12" i="3" s="1"/>
  <c r="L11" i="3"/>
  <c r="M11" i="3" s="1"/>
  <c r="L10" i="3"/>
  <c r="L8" i="3"/>
  <c r="M8" i="3" s="1"/>
  <c r="L7" i="3"/>
  <c r="M7" i="3" s="1"/>
  <c r="L6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3" i="3"/>
  <c r="E22" i="3"/>
  <c r="E20" i="3"/>
  <c r="M20" i="3" s="1"/>
  <c r="E13" i="3"/>
  <c r="M13" i="3" s="1"/>
  <c r="E10" i="3"/>
  <c r="E6" i="3"/>
  <c r="M60" i="3" l="1"/>
  <c r="M55" i="3"/>
  <c r="M48" i="3"/>
  <c r="M45" i="3"/>
  <c r="M37" i="3"/>
  <c r="M30" i="3"/>
  <c r="M22" i="3"/>
  <c r="M52" i="3"/>
  <c r="M41" i="3"/>
  <c r="M26" i="3"/>
  <c r="M10" i="3"/>
  <c r="M23" i="3"/>
  <c r="M59" i="3"/>
  <c r="M54" i="3"/>
  <c r="M51" i="3"/>
  <c r="M47" i="3"/>
  <c r="M44" i="3"/>
  <c r="M40" i="3"/>
  <c r="M36" i="3"/>
  <c r="M33" i="3"/>
  <c r="M29" i="3"/>
  <c r="M25" i="3"/>
  <c r="M61" i="3"/>
  <c r="M56" i="3"/>
  <c r="M49" i="3"/>
  <c r="M46" i="3"/>
  <c r="M42" i="3"/>
  <c r="M38" i="3"/>
  <c r="M34" i="3"/>
  <c r="M31" i="3"/>
  <c r="M28" i="3"/>
  <c r="M27" i="3"/>
  <c r="M6" i="3"/>
  <c r="M62" i="3"/>
  <c r="M58" i="3"/>
  <c r="M57" i="3"/>
  <c r="M53" i="3"/>
  <c r="M50" i="3"/>
  <c r="M43" i="3"/>
  <c r="M39" i="3"/>
  <c r="M35" i="3"/>
  <c r="M32" i="3"/>
  <c r="M24" i="3"/>
</calcChain>
</file>

<file path=xl/sharedStrings.xml><?xml version="1.0" encoding="utf-8"?>
<sst xmlns="http://schemas.openxmlformats.org/spreadsheetml/2006/main" count="152" uniqueCount="83">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</sst>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177" fontId="2" fillId="0" borderId="8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177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8B3DF42A-D75A-4E18-A6B8-B97392A0D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75FD-1079-48D6-962B-E7274DAE2988}">
  <sheetPr>
    <pageSetUpPr fitToPage="1"/>
  </sheetPr>
  <dimension ref="A1:O64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0.625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78</v>
      </c>
    </row>
    <row r="4" spans="1:15">
      <c r="B4" s="3"/>
      <c r="C4" s="7" t="s">
        <v>5</v>
      </c>
      <c r="D4" s="8" t="s">
        <v>10</v>
      </c>
      <c r="E4" s="50" t="s">
        <v>79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2" t="s">
        <v>9</v>
      </c>
      <c r="L4" s="63" t="s">
        <v>79</v>
      </c>
      <c r="M4" s="64" t="s">
        <v>20</v>
      </c>
    </row>
    <row r="5" spans="1:15" ht="19.5" thickBot="1">
      <c r="A5" s="77"/>
      <c r="B5" s="25" t="s">
        <v>11</v>
      </c>
      <c r="C5" s="27" t="s">
        <v>14</v>
      </c>
      <c r="D5" s="28" t="s">
        <v>19</v>
      </c>
      <c r="E5" s="51" t="s">
        <v>80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3" t="s">
        <v>18</v>
      </c>
      <c r="L5" s="65" t="s">
        <v>81</v>
      </c>
      <c r="M5" s="66" t="s">
        <v>82</v>
      </c>
    </row>
    <row r="6" spans="1:15">
      <c r="A6" s="1" t="s">
        <v>2</v>
      </c>
      <c r="B6" s="21" t="s">
        <v>21</v>
      </c>
      <c r="C6" s="23">
        <v>19</v>
      </c>
      <c r="D6" s="24">
        <v>10</v>
      </c>
      <c r="E6" s="43">
        <f>SUM(C6:D6)</f>
        <v>29</v>
      </c>
      <c r="F6" s="22">
        <v>17</v>
      </c>
      <c r="G6" s="23">
        <v>16</v>
      </c>
      <c r="H6" s="23">
        <v>17</v>
      </c>
      <c r="I6" s="23">
        <v>17</v>
      </c>
      <c r="J6" s="23">
        <v>16</v>
      </c>
      <c r="K6" s="54">
        <v>19</v>
      </c>
      <c r="L6" s="67">
        <f>SUM(F6:K6)</f>
        <v>102</v>
      </c>
      <c r="M6" s="67">
        <f>SUM(L6,E6)</f>
        <v>131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1</v>
      </c>
      <c r="G7" s="10">
        <v>1</v>
      </c>
      <c r="H7" s="10">
        <v>1</v>
      </c>
      <c r="I7" s="10">
        <v>1</v>
      </c>
      <c r="J7" s="10">
        <v>2</v>
      </c>
      <c r="K7" s="55">
        <v>3</v>
      </c>
      <c r="L7" s="68">
        <f>SUM(F7:K7)</f>
        <v>9</v>
      </c>
      <c r="M7" s="68">
        <f>SUM(E7+L7)</f>
        <v>9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1</v>
      </c>
      <c r="G8" s="10">
        <v>0</v>
      </c>
      <c r="H8" s="10">
        <v>0</v>
      </c>
      <c r="I8" s="10">
        <v>0</v>
      </c>
      <c r="J8" s="10">
        <v>2</v>
      </c>
      <c r="K8" s="55">
        <v>2</v>
      </c>
      <c r="L8" s="68">
        <f>SUM(F8:K8)</f>
        <v>5</v>
      </c>
      <c r="M8" s="68">
        <f t="shared" ref="M8:M55" si="0">SUM(E8+L8)</f>
        <v>5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5">
        <v>0</v>
      </c>
      <c r="L9" s="68"/>
      <c r="M9" s="68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2</v>
      </c>
      <c r="E10" s="44">
        <f>SUM(C10:D10)</f>
        <v>2</v>
      </c>
      <c r="F10" s="9">
        <v>2</v>
      </c>
      <c r="G10" s="10">
        <v>3</v>
      </c>
      <c r="H10" s="10">
        <v>2</v>
      </c>
      <c r="I10" s="10">
        <v>2</v>
      </c>
      <c r="J10" s="10">
        <v>0</v>
      </c>
      <c r="K10" s="55">
        <v>0</v>
      </c>
      <c r="L10" s="68">
        <f>SUM(F10:K10)</f>
        <v>9</v>
      </c>
      <c r="M10" s="68">
        <f t="shared" si="0"/>
        <v>11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3</v>
      </c>
      <c r="K11" s="55">
        <v>0</v>
      </c>
      <c r="L11" s="68">
        <f t="shared" ref="L11:L12" si="1">SUM(F11:K11)</f>
        <v>3</v>
      </c>
      <c r="M11" s="68">
        <f t="shared" si="0"/>
        <v>3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2</v>
      </c>
      <c r="K12" s="55">
        <v>0</v>
      </c>
      <c r="L12" s="68">
        <f t="shared" si="1"/>
        <v>2</v>
      </c>
      <c r="M12" s="68">
        <f t="shared" si="0"/>
        <v>2</v>
      </c>
      <c r="O12"/>
    </row>
    <row r="13" spans="1:15">
      <c r="A13" s="1" t="s">
        <v>2</v>
      </c>
      <c r="B13" s="4" t="s">
        <v>28</v>
      </c>
      <c r="C13" s="13">
        <v>0</v>
      </c>
      <c r="D13" s="14">
        <v>2.8333333333333335</v>
      </c>
      <c r="E13" s="45">
        <f>SUM(C13:D13)</f>
        <v>2.8333333333333335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6">
        <v>0</v>
      </c>
      <c r="L13" s="69"/>
      <c r="M13" s="69">
        <f t="shared" si="0"/>
        <v>2.8333333333333335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0</v>
      </c>
      <c r="E14" s="45"/>
      <c r="F14" s="12">
        <v>1.625</v>
      </c>
      <c r="G14" s="13">
        <v>1.8333333333333335</v>
      </c>
      <c r="H14" s="13">
        <v>1.25</v>
      </c>
      <c r="I14" s="13">
        <v>1.75</v>
      </c>
      <c r="J14" s="13">
        <v>0.95833333333333337</v>
      </c>
      <c r="K14" s="56">
        <v>1.3333333333333333</v>
      </c>
      <c r="L14" s="69">
        <f>SUM(F14:K14)</f>
        <v>8.75</v>
      </c>
      <c r="M14" s="69">
        <f t="shared" si="0"/>
        <v>8.75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0.33333333333333331</v>
      </c>
      <c r="G15" s="13">
        <v>0.29166666666666669</v>
      </c>
      <c r="H15" s="13">
        <v>0.33333333333333331</v>
      </c>
      <c r="I15" s="13">
        <v>0.375</v>
      </c>
      <c r="J15" s="13">
        <v>0.66666666666666663</v>
      </c>
      <c r="K15" s="56">
        <v>1.2916666666666667</v>
      </c>
      <c r="L15" s="69">
        <f t="shared" ref="L15:L16" si="2">SUM(F15:K15)</f>
        <v>3.291666666666667</v>
      </c>
      <c r="M15" s="69">
        <f t="shared" si="0"/>
        <v>3.291666666666667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0.41666666666666669</v>
      </c>
      <c r="G16" s="13">
        <v>0</v>
      </c>
      <c r="H16" s="13">
        <v>0</v>
      </c>
      <c r="I16" s="13">
        <v>0</v>
      </c>
      <c r="J16" s="13">
        <v>0.79166666666666663</v>
      </c>
      <c r="K16" s="56">
        <v>0.58333333333333337</v>
      </c>
      <c r="L16" s="69">
        <f t="shared" si="2"/>
        <v>1.7916666666666665</v>
      </c>
      <c r="M16" s="69">
        <f t="shared" si="0"/>
        <v>1.7916666666666665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6">
        <v>0</v>
      </c>
      <c r="L17" s="69"/>
      <c r="M17" s="69">
        <f t="shared" si="0"/>
        <v>0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6">
        <v>0</v>
      </c>
      <c r="L18" s="69"/>
      <c r="M18" s="69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6">
        <v>0</v>
      </c>
      <c r="L19" s="69"/>
      <c r="M19" s="69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0.58333333333333337</v>
      </c>
      <c r="E20" s="45">
        <f>SUM(C20:D20)</f>
        <v>0.58333333333333337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6">
        <v>0</v>
      </c>
      <c r="L20" s="69"/>
      <c r="M20" s="69">
        <f t="shared" si="0"/>
        <v>0.58333333333333337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5"/>
      <c r="F21" s="12">
        <v>0.54166666666666663</v>
      </c>
      <c r="G21" s="13">
        <v>0.58333333333333337</v>
      </c>
      <c r="H21" s="13">
        <v>0.16666666666666666</v>
      </c>
      <c r="I21" s="13">
        <v>0.54166666666666663</v>
      </c>
      <c r="J21" s="13">
        <v>0.16666666666666666</v>
      </c>
      <c r="K21" s="56">
        <v>0.33333333333333331</v>
      </c>
      <c r="L21" s="69">
        <f>SUM(F21:K21)</f>
        <v>2.3333333333333335</v>
      </c>
      <c r="M21" s="69">
        <f t="shared" si="0"/>
        <v>2.3333333333333335</v>
      </c>
      <c r="O21"/>
    </row>
    <row r="22" spans="1:15" ht="19.5" thickBot="1">
      <c r="A22" s="1" t="s">
        <v>2</v>
      </c>
      <c r="B22" s="5" t="s">
        <v>37</v>
      </c>
      <c r="C22" s="33">
        <v>37</v>
      </c>
      <c r="D22" s="34">
        <v>12</v>
      </c>
      <c r="E22" s="46">
        <f>SUM(C22:D22)</f>
        <v>49</v>
      </c>
      <c r="F22" s="32">
        <v>29</v>
      </c>
      <c r="G22" s="33">
        <v>28</v>
      </c>
      <c r="H22" s="33">
        <v>23</v>
      </c>
      <c r="I22" s="33">
        <v>19</v>
      </c>
      <c r="J22" s="33">
        <v>25</v>
      </c>
      <c r="K22" s="57">
        <v>24</v>
      </c>
      <c r="L22" s="70">
        <f>SUM(F22:K22)</f>
        <v>148</v>
      </c>
      <c r="M22" s="70">
        <f t="shared" si="0"/>
        <v>197</v>
      </c>
      <c r="O22"/>
    </row>
    <row r="23" spans="1:15">
      <c r="A23" s="1" t="s">
        <v>2</v>
      </c>
      <c r="B23" s="21" t="s">
        <v>38</v>
      </c>
      <c r="C23" s="30">
        <v>355000</v>
      </c>
      <c r="D23" s="31">
        <v>0</v>
      </c>
      <c r="E23" s="31">
        <f>SUM(C23:D23)</f>
        <v>355000</v>
      </c>
      <c r="F23" s="29">
        <v>177000</v>
      </c>
      <c r="G23" s="30">
        <v>192000</v>
      </c>
      <c r="H23" s="30">
        <v>177000</v>
      </c>
      <c r="I23" s="30">
        <v>177000</v>
      </c>
      <c r="J23" s="30">
        <v>177000</v>
      </c>
      <c r="K23" s="58">
        <v>170000</v>
      </c>
      <c r="L23" s="71">
        <f>SUM(F23:K23)</f>
        <v>1070000</v>
      </c>
      <c r="M23" s="71">
        <f t="shared" si="0"/>
        <v>1425000</v>
      </c>
      <c r="O23"/>
    </row>
    <row r="24" spans="1:15">
      <c r="A24" s="1" t="s">
        <v>2</v>
      </c>
      <c r="B24" s="4" t="s">
        <v>39</v>
      </c>
      <c r="C24" s="16">
        <v>0</v>
      </c>
      <c r="D24" s="17">
        <v>0</v>
      </c>
      <c r="E24" s="17">
        <f t="shared" ref="E24:E62" si="3">SUM(C24:D24)</f>
        <v>0</v>
      </c>
      <c r="F24" s="15">
        <v>0</v>
      </c>
      <c r="G24" s="16">
        <v>5000</v>
      </c>
      <c r="H24" s="16">
        <v>0</v>
      </c>
      <c r="I24" s="16">
        <v>0</v>
      </c>
      <c r="J24" s="16">
        <v>0</v>
      </c>
      <c r="K24" s="59">
        <v>0</v>
      </c>
      <c r="L24" s="72">
        <f t="shared" ref="L24:L62" si="4">SUM(F24:K24)</f>
        <v>5000</v>
      </c>
      <c r="M24" s="72">
        <f t="shared" si="0"/>
        <v>5000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17">
        <f t="shared" si="3"/>
        <v>0</v>
      </c>
      <c r="F25" s="15">
        <v>6000</v>
      </c>
      <c r="G25" s="16">
        <v>0</v>
      </c>
      <c r="H25" s="16">
        <v>3000</v>
      </c>
      <c r="I25" s="16">
        <v>0</v>
      </c>
      <c r="J25" s="16">
        <v>0</v>
      </c>
      <c r="K25" s="59">
        <v>0</v>
      </c>
      <c r="L25" s="72">
        <f t="shared" si="4"/>
        <v>9000</v>
      </c>
      <c r="M25" s="72">
        <f t="shared" si="0"/>
        <v>9000</v>
      </c>
      <c r="O25"/>
    </row>
    <row r="26" spans="1:15">
      <c r="A26" s="1" t="s">
        <v>2</v>
      </c>
      <c r="B26" s="4" t="s">
        <v>41</v>
      </c>
      <c r="C26" s="16">
        <v>50000</v>
      </c>
      <c r="D26" s="17">
        <v>0</v>
      </c>
      <c r="E26" s="17">
        <f t="shared" si="3"/>
        <v>50000</v>
      </c>
      <c r="F26" s="15">
        <v>50000</v>
      </c>
      <c r="G26" s="16">
        <v>50000</v>
      </c>
      <c r="H26" s="16">
        <v>50000</v>
      </c>
      <c r="I26" s="16">
        <v>50000</v>
      </c>
      <c r="J26" s="16">
        <v>50000</v>
      </c>
      <c r="K26" s="59">
        <v>50000</v>
      </c>
      <c r="L26" s="72">
        <f t="shared" si="4"/>
        <v>300000</v>
      </c>
      <c r="M26" s="72">
        <f t="shared" si="0"/>
        <v>350000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0</v>
      </c>
      <c r="E27" s="17">
        <f t="shared" si="3"/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9">
        <v>0</v>
      </c>
      <c r="L27" s="72">
        <f t="shared" si="4"/>
        <v>0</v>
      </c>
      <c r="M27" s="72">
        <f t="shared" si="0"/>
        <v>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77520</v>
      </c>
      <c r="E28" s="17">
        <f t="shared" si="3"/>
        <v>77520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9">
        <v>0</v>
      </c>
      <c r="L28" s="72">
        <f t="shared" si="4"/>
        <v>0</v>
      </c>
      <c r="M28" s="72">
        <f t="shared" si="0"/>
        <v>77520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17">
        <f t="shared" si="3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9">
        <v>0</v>
      </c>
      <c r="L29" s="72">
        <f t="shared" si="4"/>
        <v>0</v>
      </c>
      <c r="M29" s="72">
        <f t="shared" si="0"/>
        <v>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>
        <f t="shared" si="3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9">
        <v>0</v>
      </c>
      <c r="L30" s="72">
        <f t="shared" si="4"/>
        <v>0</v>
      </c>
      <c r="M30" s="72">
        <f t="shared" si="0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17">
        <f t="shared" si="3"/>
        <v>0</v>
      </c>
      <c r="F31" s="15">
        <v>1000</v>
      </c>
      <c r="G31" s="16">
        <v>1000</v>
      </c>
      <c r="H31" s="16">
        <v>1000</v>
      </c>
      <c r="I31" s="16">
        <v>1000</v>
      </c>
      <c r="J31" s="16">
        <v>1000</v>
      </c>
      <c r="K31" s="59">
        <v>1000</v>
      </c>
      <c r="L31" s="72">
        <f t="shared" si="4"/>
        <v>6000</v>
      </c>
      <c r="M31" s="72">
        <f t="shared" si="0"/>
        <v>6000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15960</v>
      </c>
      <c r="E32" s="17">
        <f t="shared" si="3"/>
        <v>15960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9">
        <v>0</v>
      </c>
      <c r="L32" s="72">
        <f t="shared" si="4"/>
        <v>0</v>
      </c>
      <c r="M32" s="72">
        <f t="shared" si="0"/>
        <v>15960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17">
        <f t="shared" si="3"/>
        <v>0</v>
      </c>
      <c r="F33" s="15">
        <v>27100</v>
      </c>
      <c r="G33" s="16">
        <v>10500</v>
      </c>
      <c r="H33" s="16">
        <v>13500</v>
      </c>
      <c r="I33" s="16">
        <v>13000</v>
      </c>
      <c r="J33" s="16">
        <v>13000</v>
      </c>
      <c r="K33" s="59">
        <v>15000</v>
      </c>
      <c r="L33" s="72">
        <f t="shared" si="4"/>
        <v>92100</v>
      </c>
      <c r="M33" s="72">
        <f t="shared" si="0"/>
        <v>92100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17">
        <f t="shared" si="3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9">
        <v>0</v>
      </c>
      <c r="L34" s="72">
        <f t="shared" si="4"/>
        <v>0</v>
      </c>
      <c r="M34" s="72">
        <f t="shared" si="0"/>
        <v>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17">
        <f t="shared" si="3"/>
        <v>0</v>
      </c>
      <c r="F35" s="15">
        <v>0</v>
      </c>
      <c r="G35" s="16">
        <v>0</v>
      </c>
      <c r="H35" s="16">
        <v>0</v>
      </c>
      <c r="I35" s="16">
        <v>0</v>
      </c>
      <c r="J35" s="49">
        <v>-34593</v>
      </c>
      <c r="K35" s="59">
        <v>0</v>
      </c>
      <c r="L35" s="73">
        <f t="shared" si="4"/>
        <v>-34593</v>
      </c>
      <c r="M35" s="73">
        <f t="shared" si="0"/>
        <v>-34593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17">
        <f t="shared" si="3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9">
        <v>0</v>
      </c>
      <c r="L36" s="72">
        <f t="shared" si="4"/>
        <v>0</v>
      </c>
      <c r="M36" s="72">
        <f t="shared" si="0"/>
        <v>0</v>
      </c>
      <c r="O36"/>
    </row>
    <row r="37" spans="1:15">
      <c r="A37" s="1" t="s">
        <v>2</v>
      </c>
      <c r="B37" s="4" t="s">
        <v>29</v>
      </c>
      <c r="C37" s="16">
        <v>0</v>
      </c>
      <c r="D37" s="17">
        <v>0</v>
      </c>
      <c r="E37" s="17">
        <f t="shared" si="3"/>
        <v>0</v>
      </c>
      <c r="F37" s="15">
        <v>76206</v>
      </c>
      <c r="G37" s="16">
        <v>85140</v>
      </c>
      <c r="H37" s="16">
        <v>54900</v>
      </c>
      <c r="I37" s="16">
        <v>75768</v>
      </c>
      <c r="J37" s="16">
        <v>41492</v>
      </c>
      <c r="K37" s="59">
        <v>56512</v>
      </c>
      <c r="L37" s="72">
        <f t="shared" si="4"/>
        <v>390018</v>
      </c>
      <c r="M37" s="72">
        <f t="shared" si="0"/>
        <v>390018</v>
      </c>
      <c r="O37"/>
    </row>
    <row r="38" spans="1:15">
      <c r="A38" s="1" t="s">
        <v>2</v>
      </c>
      <c r="B38" s="4" t="s">
        <v>52</v>
      </c>
      <c r="C38" s="16">
        <v>0</v>
      </c>
      <c r="D38" s="17">
        <v>0</v>
      </c>
      <c r="E38" s="17">
        <f t="shared" si="3"/>
        <v>0</v>
      </c>
      <c r="F38" s="15">
        <v>16880</v>
      </c>
      <c r="G38" s="16">
        <v>14630</v>
      </c>
      <c r="H38" s="16">
        <v>15808</v>
      </c>
      <c r="I38" s="16">
        <v>17532</v>
      </c>
      <c r="J38" s="16">
        <v>31168</v>
      </c>
      <c r="K38" s="59">
        <v>59148</v>
      </c>
      <c r="L38" s="72">
        <f t="shared" si="4"/>
        <v>155166</v>
      </c>
      <c r="M38" s="72">
        <f t="shared" si="0"/>
        <v>155166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17">
        <f t="shared" si="3"/>
        <v>0</v>
      </c>
      <c r="F39" s="15">
        <v>21100</v>
      </c>
      <c r="G39" s="16">
        <v>0</v>
      </c>
      <c r="H39" s="16">
        <v>0</v>
      </c>
      <c r="I39" s="16">
        <v>0</v>
      </c>
      <c r="J39" s="16">
        <v>37012</v>
      </c>
      <c r="K39" s="59">
        <v>26712</v>
      </c>
      <c r="L39" s="72">
        <f t="shared" si="4"/>
        <v>84824</v>
      </c>
      <c r="M39" s="72">
        <f t="shared" si="0"/>
        <v>84824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17">
        <f t="shared" si="3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9">
        <v>0</v>
      </c>
      <c r="L40" s="72">
        <f t="shared" si="4"/>
        <v>0</v>
      </c>
      <c r="M40" s="72">
        <f t="shared" si="0"/>
        <v>0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17">
        <f t="shared" si="3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9">
        <v>0</v>
      </c>
      <c r="L41" s="72">
        <f t="shared" si="4"/>
        <v>0</v>
      </c>
      <c r="M41" s="72">
        <f t="shared" si="0"/>
        <v>0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17">
        <f t="shared" si="3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23062</v>
      </c>
      <c r="K42" s="59">
        <v>0</v>
      </c>
      <c r="L42" s="72">
        <f t="shared" si="4"/>
        <v>23062</v>
      </c>
      <c r="M42" s="72">
        <f t="shared" si="0"/>
        <v>23062</v>
      </c>
      <c r="O42"/>
    </row>
    <row r="43" spans="1:15">
      <c r="A43" s="1" t="s">
        <v>2</v>
      </c>
      <c r="B43" s="4" t="s">
        <v>34</v>
      </c>
      <c r="C43" s="16">
        <v>0</v>
      </c>
      <c r="D43" s="17">
        <v>0</v>
      </c>
      <c r="E43" s="17">
        <f t="shared" si="3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9">
        <v>0</v>
      </c>
      <c r="L43" s="72">
        <f t="shared" si="4"/>
        <v>0</v>
      </c>
      <c r="M43" s="72">
        <f t="shared" si="0"/>
        <v>0</v>
      </c>
      <c r="O43"/>
    </row>
    <row r="44" spans="1:15" ht="19.5" thickBot="1">
      <c r="A44" s="1" t="s">
        <v>2</v>
      </c>
      <c r="B44" s="35" t="s">
        <v>36</v>
      </c>
      <c r="C44" s="37">
        <v>0</v>
      </c>
      <c r="D44" s="38">
        <v>0</v>
      </c>
      <c r="E44" s="38">
        <f t="shared" si="3"/>
        <v>0</v>
      </c>
      <c r="F44" s="36">
        <v>5083</v>
      </c>
      <c r="G44" s="37">
        <v>5418</v>
      </c>
      <c r="H44" s="37">
        <v>1464</v>
      </c>
      <c r="I44" s="37">
        <v>4693</v>
      </c>
      <c r="J44" s="37">
        <v>1444</v>
      </c>
      <c r="K44" s="60">
        <v>2824</v>
      </c>
      <c r="L44" s="74">
        <f t="shared" si="4"/>
        <v>20926</v>
      </c>
      <c r="M44" s="74">
        <f t="shared" si="0"/>
        <v>20926</v>
      </c>
      <c r="O44"/>
    </row>
    <row r="45" spans="1:15" ht="19.5" thickBot="1">
      <c r="A45" s="1" t="s">
        <v>2</v>
      </c>
      <c r="B45" s="39" t="s">
        <v>57</v>
      </c>
      <c r="C45" s="41">
        <v>405000</v>
      </c>
      <c r="D45" s="42">
        <v>93480</v>
      </c>
      <c r="E45" s="42">
        <f t="shared" si="3"/>
        <v>498480</v>
      </c>
      <c r="F45" s="40">
        <v>380369</v>
      </c>
      <c r="G45" s="41">
        <v>363688</v>
      </c>
      <c r="H45" s="41">
        <v>316672</v>
      </c>
      <c r="I45" s="41">
        <v>338993</v>
      </c>
      <c r="J45" s="41">
        <v>343585</v>
      </c>
      <c r="K45" s="61">
        <v>384196</v>
      </c>
      <c r="L45" s="75">
        <f t="shared" si="4"/>
        <v>2127503</v>
      </c>
      <c r="M45" s="75">
        <f t="shared" si="0"/>
        <v>2625983</v>
      </c>
      <c r="O45"/>
    </row>
    <row r="46" spans="1:15" ht="19.5" thickBot="1">
      <c r="A46" s="1" t="s">
        <v>2</v>
      </c>
      <c r="B46" s="21" t="s">
        <v>58</v>
      </c>
      <c r="C46" s="30">
        <v>9990</v>
      </c>
      <c r="D46" s="31">
        <v>3600</v>
      </c>
      <c r="E46" s="31">
        <f t="shared" si="3"/>
        <v>13590</v>
      </c>
      <c r="F46" s="29">
        <v>4833</v>
      </c>
      <c r="G46" s="30">
        <v>3931</v>
      </c>
      <c r="H46" s="30">
        <v>6868</v>
      </c>
      <c r="I46" s="30">
        <v>3864</v>
      </c>
      <c r="J46" s="30">
        <v>3238</v>
      </c>
      <c r="K46" s="58">
        <v>5550</v>
      </c>
      <c r="L46" s="71">
        <f t="shared" si="4"/>
        <v>28284</v>
      </c>
      <c r="M46" s="71">
        <f t="shared" si="0"/>
        <v>41874</v>
      </c>
      <c r="O46"/>
    </row>
    <row r="47" spans="1:15" ht="19.5" thickBot="1">
      <c r="A47" s="1" t="s">
        <v>2</v>
      </c>
      <c r="B47" s="39" t="s">
        <v>59</v>
      </c>
      <c r="C47" s="41">
        <v>9990</v>
      </c>
      <c r="D47" s="42">
        <v>3600</v>
      </c>
      <c r="E47" s="42">
        <f t="shared" si="3"/>
        <v>13590</v>
      </c>
      <c r="F47" s="40">
        <v>4833</v>
      </c>
      <c r="G47" s="41">
        <v>3931</v>
      </c>
      <c r="H47" s="41">
        <v>6868</v>
      </c>
      <c r="I47" s="41">
        <v>3864</v>
      </c>
      <c r="J47" s="41">
        <v>3238</v>
      </c>
      <c r="K47" s="61">
        <v>5550</v>
      </c>
      <c r="L47" s="75">
        <f t="shared" si="4"/>
        <v>28284</v>
      </c>
      <c r="M47" s="75">
        <f t="shared" si="0"/>
        <v>41874</v>
      </c>
      <c r="O47"/>
    </row>
    <row r="48" spans="1:15" ht="19.5" thickBot="1">
      <c r="A48" s="1" t="s">
        <v>2</v>
      </c>
      <c r="B48" s="39" t="s">
        <v>60</v>
      </c>
      <c r="C48" s="41">
        <v>414990</v>
      </c>
      <c r="D48" s="42">
        <v>97080</v>
      </c>
      <c r="E48" s="42">
        <f t="shared" si="3"/>
        <v>512070</v>
      </c>
      <c r="F48" s="40">
        <v>385202</v>
      </c>
      <c r="G48" s="41">
        <v>367619</v>
      </c>
      <c r="H48" s="41">
        <v>323540</v>
      </c>
      <c r="I48" s="41">
        <v>342857</v>
      </c>
      <c r="J48" s="41">
        <v>346823</v>
      </c>
      <c r="K48" s="61">
        <v>389746</v>
      </c>
      <c r="L48" s="75">
        <f t="shared" si="4"/>
        <v>2155787</v>
      </c>
      <c r="M48" s="75">
        <f t="shared" si="0"/>
        <v>2667857</v>
      </c>
      <c r="O48"/>
    </row>
    <row r="49" spans="1:15">
      <c r="A49" s="1" t="s">
        <v>2</v>
      </c>
      <c r="B49" s="21" t="s">
        <v>61</v>
      </c>
      <c r="C49" s="30">
        <v>20910</v>
      </c>
      <c r="D49" s="31">
        <v>0</v>
      </c>
      <c r="E49" s="31">
        <f t="shared" si="3"/>
        <v>20910</v>
      </c>
      <c r="F49" s="29">
        <v>20910</v>
      </c>
      <c r="G49" s="30">
        <v>19380</v>
      </c>
      <c r="H49" s="30">
        <v>16320</v>
      </c>
      <c r="I49" s="30">
        <v>18360</v>
      </c>
      <c r="J49" s="30">
        <v>19380</v>
      </c>
      <c r="K49" s="58">
        <v>18360</v>
      </c>
      <c r="L49" s="71">
        <f t="shared" si="4"/>
        <v>112710</v>
      </c>
      <c r="M49" s="71">
        <f t="shared" si="0"/>
        <v>133620</v>
      </c>
      <c r="O49"/>
    </row>
    <row r="50" spans="1:15">
      <c r="A50" s="1" t="s">
        <v>2</v>
      </c>
      <c r="B50" s="4" t="s">
        <v>62</v>
      </c>
      <c r="C50" s="16">
        <v>3690</v>
      </c>
      <c r="D50" s="17">
        <v>0</v>
      </c>
      <c r="E50" s="17">
        <f t="shared" si="3"/>
        <v>3690</v>
      </c>
      <c r="F50" s="15">
        <v>3690</v>
      </c>
      <c r="G50" s="16">
        <v>3420</v>
      </c>
      <c r="H50" s="16">
        <v>2880</v>
      </c>
      <c r="I50" s="16">
        <v>3240</v>
      </c>
      <c r="J50" s="16">
        <v>3420</v>
      </c>
      <c r="K50" s="59">
        <v>3240</v>
      </c>
      <c r="L50" s="72">
        <f t="shared" si="4"/>
        <v>19890</v>
      </c>
      <c r="M50" s="72">
        <f t="shared" si="0"/>
        <v>23580</v>
      </c>
      <c r="O50"/>
    </row>
    <row r="51" spans="1:15">
      <c r="A51" s="1" t="s">
        <v>2</v>
      </c>
      <c r="B51" s="4" t="s">
        <v>63</v>
      </c>
      <c r="C51" s="16">
        <v>37515</v>
      </c>
      <c r="D51" s="17">
        <v>0</v>
      </c>
      <c r="E51" s="17">
        <f t="shared" si="3"/>
        <v>37515</v>
      </c>
      <c r="F51" s="15">
        <v>37515</v>
      </c>
      <c r="G51" s="16">
        <v>34770</v>
      </c>
      <c r="H51" s="16">
        <v>29280</v>
      </c>
      <c r="I51" s="16">
        <v>32940</v>
      </c>
      <c r="J51" s="16">
        <v>34770</v>
      </c>
      <c r="K51" s="59">
        <v>32940</v>
      </c>
      <c r="L51" s="72">
        <f t="shared" si="4"/>
        <v>202215</v>
      </c>
      <c r="M51" s="72">
        <f t="shared" si="0"/>
        <v>239730</v>
      </c>
      <c r="O51"/>
    </row>
    <row r="52" spans="1:15" ht="19.5" thickBot="1">
      <c r="A52" s="1" t="s">
        <v>2</v>
      </c>
      <c r="B52" s="4" t="s">
        <v>64</v>
      </c>
      <c r="C52" s="16">
        <v>1245</v>
      </c>
      <c r="D52" s="17">
        <v>291</v>
      </c>
      <c r="E52" s="17">
        <f t="shared" si="3"/>
        <v>1536</v>
      </c>
      <c r="F52" s="15">
        <v>1156</v>
      </c>
      <c r="G52" s="16">
        <v>1103</v>
      </c>
      <c r="H52" s="16">
        <v>971</v>
      </c>
      <c r="I52" s="16">
        <v>1029</v>
      </c>
      <c r="J52" s="16">
        <v>1040</v>
      </c>
      <c r="K52" s="59">
        <v>1169</v>
      </c>
      <c r="L52" s="72">
        <f t="shared" si="4"/>
        <v>6468</v>
      </c>
      <c r="M52" s="72">
        <f t="shared" si="0"/>
        <v>8004</v>
      </c>
      <c r="O52"/>
    </row>
    <row r="53" spans="1:15" ht="19.5" thickBot="1">
      <c r="A53" s="1" t="s">
        <v>2</v>
      </c>
      <c r="B53" s="39" t="s">
        <v>65</v>
      </c>
      <c r="C53" s="41">
        <v>63360</v>
      </c>
      <c r="D53" s="42">
        <v>291</v>
      </c>
      <c r="E53" s="42">
        <f t="shared" si="3"/>
        <v>63651</v>
      </c>
      <c r="F53" s="40">
        <v>63271</v>
      </c>
      <c r="G53" s="41">
        <v>58673</v>
      </c>
      <c r="H53" s="41">
        <v>49451</v>
      </c>
      <c r="I53" s="41">
        <v>55569</v>
      </c>
      <c r="J53" s="41">
        <v>58610</v>
      </c>
      <c r="K53" s="61">
        <v>55709</v>
      </c>
      <c r="L53" s="75">
        <f t="shared" si="4"/>
        <v>341283</v>
      </c>
      <c r="M53" s="75">
        <f t="shared" si="0"/>
        <v>404934</v>
      </c>
      <c r="O53"/>
    </row>
    <row r="54" spans="1:15">
      <c r="A54" s="1" t="s">
        <v>2</v>
      </c>
      <c r="B54" s="21" t="s">
        <v>66</v>
      </c>
      <c r="C54" s="30">
        <v>6810</v>
      </c>
      <c r="D54" s="31">
        <v>380</v>
      </c>
      <c r="E54" s="31">
        <f t="shared" si="3"/>
        <v>7190</v>
      </c>
      <c r="F54" s="29">
        <v>7420</v>
      </c>
      <c r="G54" s="30">
        <v>8790</v>
      </c>
      <c r="H54" s="30">
        <v>5550</v>
      </c>
      <c r="I54" s="30">
        <v>2900</v>
      </c>
      <c r="J54" s="30">
        <v>7800</v>
      </c>
      <c r="K54" s="58">
        <v>10710</v>
      </c>
      <c r="L54" s="71">
        <f t="shared" si="4"/>
        <v>43170</v>
      </c>
      <c r="M54" s="71">
        <f t="shared" si="0"/>
        <v>50360</v>
      </c>
      <c r="O54"/>
    </row>
    <row r="55" spans="1:15">
      <c r="A55" s="1" t="s">
        <v>2</v>
      </c>
      <c r="B55" s="4" t="s">
        <v>67</v>
      </c>
      <c r="C55" s="16">
        <v>0</v>
      </c>
      <c r="D55" s="17">
        <v>0</v>
      </c>
      <c r="E55" s="17">
        <f t="shared" si="3"/>
        <v>0</v>
      </c>
      <c r="F55" s="15">
        <v>0</v>
      </c>
      <c r="G55" s="16">
        <v>0</v>
      </c>
      <c r="H55" s="16">
        <v>0</v>
      </c>
      <c r="I55" s="16">
        <v>0</v>
      </c>
      <c r="J55" s="16">
        <v>0</v>
      </c>
      <c r="K55" s="59">
        <v>0</v>
      </c>
      <c r="L55" s="72">
        <f t="shared" si="4"/>
        <v>0</v>
      </c>
      <c r="M55" s="72">
        <f t="shared" si="0"/>
        <v>0</v>
      </c>
      <c r="O55"/>
    </row>
    <row r="56" spans="1:15">
      <c r="A56" s="1" t="s">
        <v>2</v>
      </c>
      <c r="B56" s="4" t="s">
        <v>68</v>
      </c>
      <c r="C56" s="16">
        <v>25500</v>
      </c>
      <c r="D56" s="17">
        <v>900</v>
      </c>
      <c r="E56" s="17">
        <f t="shared" si="3"/>
        <v>26400</v>
      </c>
      <c r="F56" s="15">
        <v>14800</v>
      </c>
      <c r="G56" s="16">
        <v>17200</v>
      </c>
      <c r="H56" s="16">
        <v>0</v>
      </c>
      <c r="I56" s="16">
        <v>5800</v>
      </c>
      <c r="J56" s="16">
        <v>18000</v>
      </c>
      <c r="K56" s="59">
        <v>2100</v>
      </c>
      <c r="L56" s="72">
        <f t="shared" si="4"/>
        <v>57900</v>
      </c>
      <c r="M56" s="72">
        <f t="shared" ref="M56:M62" si="5">SUM(E56+L56)</f>
        <v>84300</v>
      </c>
      <c r="O56"/>
    </row>
    <row r="57" spans="1:15" ht="19.5" thickBot="1">
      <c r="A57" s="1" t="s">
        <v>2</v>
      </c>
      <c r="B57" s="4" t="s">
        <v>69</v>
      </c>
      <c r="C57" s="16">
        <v>0</v>
      </c>
      <c r="D57" s="17">
        <v>0</v>
      </c>
      <c r="E57" s="17">
        <f t="shared" si="3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9">
        <v>0</v>
      </c>
      <c r="L57" s="72">
        <f t="shared" si="4"/>
        <v>0</v>
      </c>
      <c r="M57" s="72">
        <f t="shared" si="5"/>
        <v>0</v>
      </c>
      <c r="O57"/>
    </row>
    <row r="58" spans="1:15" ht="19.5" thickBot="1">
      <c r="A58" s="1" t="s">
        <v>2</v>
      </c>
      <c r="B58" s="39" t="s">
        <v>70</v>
      </c>
      <c r="C58" s="41">
        <v>95670</v>
      </c>
      <c r="D58" s="42">
        <v>1571</v>
      </c>
      <c r="E58" s="42">
        <f t="shared" si="3"/>
        <v>97241</v>
      </c>
      <c r="F58" s="40">
        <v>85491</v>
      </c>
      <c r="G58" s="41">
        <v>84663</v>
      </c>
      <c r="H58" s="41">
        <v>55001</v>
      </c>
      <c r="I58" s="41">
        <v>64269</v>
      </c>
      <c r="J58" s="41">
        <v>84410</v>
      </c>
      <c r="K58" s="61">
        <v>68519</v>
      </c>
      <c r="L58" s="75">
        <f t="shared" si="4"/>
        <v>442353</v>
      </c>
      <c r="M58" s="75">
        <f t="shared" si="5"/>
        <v>539594</v>
      </c>
      <c r="O58"/>
    </row>
    <row r="59" spans="1:15" ht="19.5" thickBot="1">
      <c r="A59" s="1" t="s">
        <v>2</v>
      </c>
      <c r="B59" s="39" t="s">
        <v>71</v>
      </c>
      <c r="C59" s="41">
        <v>341640</v>
      </c>
      <c r="D59" s="42">
        <v>93189</v>
      </c>
      <c r="E59" s="42">
        <f t="shared" si="3"/>
        <v>434829</v>
      </c>
      <c r="F59" s="40">
        <v>317098</v>
      </c>
      <c r="G59" s="41">
        <v>305015</v>
      </c>
      <c r="H59" s="41">
        <v>267221</v>
      </c>
      <c r="I59" s="41">
        <v>283424</v>
      </c>
      <c r="J59" s="41">
        <v>284975</v>
      </c>
      <c r="K59" s="61">
        <v>328487</v>
      </c>
      <c r="L59" s="75">
        <f t="shared" si="4"/>
        <v>1786220</v>
      </c>
      <c r="M59" s="75">
        <f t="shared" si="5"/>
        <v>2221049</v>
      </c>
      <c r="O59"/>
    </row>
    <row r="60" spans="1:15" ht="19.5" thickBot="1">
      <c r="A60" s="1" t="s">
        <v>2</v>
      </c>
      <c r="B60" s="39" t="s">
        <v>72</v>
      </c>
      <c r="C60" s="41">
        <v>319320</v>
      </c>
      <c r="D60" s="42">
        <v>95509</v>
      </c>
      <c r="E60" s="42">
        <f t="shared" si="3"/>
        <v>414829</v>
      </c>
      <c r="F60" s="40">
        <v>299711</v>
      </c>
      <c r="G60" s="41">
        <v>282956</v>
      </c>
      <c r="H60" s="41">
        <v>268539</v>
      </c>
      <c r="I60" s="41">
        <v>278588</v>
      </c>
      <c r="J60" s="41">
        <v>262413</v>
      </c>
      <c r="K60" s="61">
        <v>321227</v>
      </c>
      <c r="L60" s="75">
        <f t="shared" si="4"/>
        <v>1713434</v>
      </c>
      <c r="M60" s="75">
        <f t="shared" si="5"/>
        <v>2128263</v>
      </c>
      <c r="O60"/>
    </row>
    <row r="61" spans="1:15">
      <c r="A61" s="1" t="s">
        <v>2</v>
      </c>
      <c r="B61" s="21" t="s">
        <v>73</v>
      </c>
      <c r="C61" s="30">
        <v>0</v>
      </c>
      <c r="D61" s="31">
        <v>0</v>
      </c>
      <c r="E61" s="31">
        <f t="shared" si="3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58">
        <v>0</v>
      </c>
      <c r="L61" s="71">
        <f t="shared" si="4"/>
        <v>0</v>
      </c>
      <c r="M61" s="71">
        <f t="shared" si="5"/>
        <v>0</v>
      </c>
      <c r="O61"/>
    </row>
    <row r="62" spans="1:15">
      <c r="A62" s="1" t="s">
        <v>2</v>
      </c>
      <c r="B62" s="4" t="s">
        <v>74</v>
      </c>
      <c r="C62" s="16">
        <v>319320</v>
      </c>
      <c r="D62" s="17">
        <v>95509</v>
      </c>
      <c r="E62" s="17">
        <f t="shared" si="3"/>
        <v>414829</v>
      </c>
      <c r="F62" s="15">
        <v>299711</v>
      </c>
      <c r="G62" s="16">
        <v>282956</v>
      </c>
      <c r="H62" s="16">
        <v>268539</v>
      </c>
      <c r="I62" s="16">
        <v>278588</v>
      </c>
      <c r="J62" s="16">
        <v>262413</v>
      </c>
      <c r="K62" s="59">
        <v>321227</v>
      </c>
      <c r="L62" s="72">
        <f t="shared" si="4"/>
        <v>1713434</v>
      </c>
      <c r="M62" s="72">
        <f t="shared" si="5"/>
        <v>2128263</v>
      </c>
      <c r="O62"/>
    </row>
    <row r="63" spans="1:15">
      <c r="A63" s="1" t="s">
        <v>2</v>
      </c>
      <c r="B63" s="4" t="s">
        <v>75</v>
      </c>
      <c r="C63" s="16">
        <v>2</v>
      </c>
      <c r="D63" s="17">
        <v>0</v>
      </c>
      <c r="E63" s="47"/>
      <c r="F63" s="15">
        <v>1</v>
      </c>
      <c r="G63" s="16">
        <v>0</v>
      </c>
      <c r="H63" s="16">
        <v>1</v>
      </c>
      <c r="I63" s="16">
        <v>3</v>
      </c>
      <c r="J63" s="16">
        <v>0</v>
      </c>
      <c r="K63" s="59">
        <v>0</v>
      </c>
      <c r="L63" s="72"/>
      <c r="M63" s="72"/>
    </row>
    <row r="64" spans="1:15" ht="19.5" thickBot="1">
      <c r="A64" s="1" t="s">
        <v>2</v>
      </c>
      <c r="B64" s="5" t="s">
        <v>76</v>
      </c>
      <c r="C64" s="19" t="s">
        <v>77</v>
      </c>
      <c r="D64" s="20" t="s">
        <v>77</v>
      </c>
      <c r="E64" s="48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62" t="s">
        <v>77</v>
      </c>
      <c r="L64" s="76"/>
      <c r="M64" s="76"/>
    </row>
  </sheetData>
  <phoneticPr fontId="3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1月度給与 (2)</vt:lpstr>
      <vt:lpstr>'2022年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2022-02-10T08:32:05Z</cp:lastPrinted>
  <dcterms:created xsi:type="dcterms:W3CDTF">2022-02-09T06:38:10Z</dcterms:created>
  <dcterms:modified xsi:type="dcterms:W3CDTF">2022-02-12T01:25:49Z</dcterms:modified>
</cp:coreProperties>
</file>