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1\"/>
    </mc:Choice>
  </mc:AlternateContent>
  <xr:revisionPtr revIDLastSave="0" documentId="13_ncr:1_{12588FE4-79DE-449C-AD41-D9B4AC2B900A}" xr6:coauthVersionLast="47" xr6:coauthVersionMax="47" xr10:uidLastSave="{00000000-0000-0000-0000-000000000000}"/>
  <bookViews>
    <workbookView xWindow="-120" yWindow="-120" windowWidth="20730" windowHeight="11160" xr2:uid="{6A29EB52-3801-48A4-B497-4F21F1FD9F07}"/>
  </bookViews>
  <sheets>
    <sheet name="2022年 1月度給与 (2)" sheetId="3" r:id="rId1"/>
  </sheets>
  <definedNames>
    <definedName name="_xlnm.Print_Area" localSheetId="0">'2022年 1月度給与 (2)'!$A$1:$K$65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3" l="1"/>
  <c r="K9" i="3"/>
  <c r="K11" i="3"/>
  <c r="K12" i="3"/>
  <c r="K13" i="3"/>
  <c r="K17" i="3"/>
  <c r="K18" i="3"/>
  <c r="K19" i="3"/>
  <c r="K20" i="3"/>
  <c r="K21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24" i="3"/>
  <c r="J23" i="3"/>
  <c r="J22" i="3"/>
  <c r="J16" i="3"/>
  <c r="K16" i="3" s="1"/>
  <c r="J15" i="3"/>
  <c r="K15" i="3" s="1"/>
  <c r="J10" i="3"/>
  <c r="K10" i="3" s="1"/>
  <c r="J7" i="3"/>
  <c r="K7" i="3" s="1"/>
  <c r="J6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24" i="3"/>
  <c r="E23" i="3"/>
  <c r="E22" i="3"/>
  <c r="E14" i="3"/>
  <c r="K14" i="3" s="1"/>
  <c r="E6" i="3"/>
  <c r="K24" i="3" l="1"/>
  <c r="K60" i="3"/>
  <c r="K55" i="3"/>
  <c r="K52" i="3"/>
  <c r="K48" i="3"/>
  <c r="K45" i="3"/>
  <c r="K41" i="3"/>
  <c r="K34" i="3"/>
  <c r="K30" i="3"/>
  <c r="K6" i="3"/>
  <c r="K63" i="3"/>
  <c r="K58" i="3"/>
  <c r="K51" i="3"/>
  <c r="K44" i="3"/>
  <c r="K37" i="3"/>
  <c r="K33" i="3"/>
  <c r="K26" i="3"/>
  <c r="K59" i="3"/>
  <c r="K54" i="3"/>
  <c r="K40" i="3"/>
  <c r="K25" i="3"/>
  <c r="K23" i="3"/>
  <c r="K61" i="3"/>
  <c r="K56" i="3"/>
  <c r="K53" i="3"/>
  <c r="K49" i="3"/>
  <c r="K46" i="3"/>
  <c r="K42" i="3"/>
  <c r="K38" i="3"/>
  <c r="K35" i="3"/>
  <c r="K31" i="3"/>
  <c r="K27" i="3"/>
  <c r="K22" i="3"/>
  <c r="K62" i="3"/>
  <c r="K57" i="3"/>
  <c r="K50" i="3"/>
  <c r="K47" i="3"/>
  <c r="K43" i="3"/>
  <c r="K39" i="3"/>
  <c r="K36" i="3"/>
  <c r="K32" i="3"/>
  <c r="K29" i="3"/>
  <c r="K28" i="3"/>
</calcChain>
</file>

<file path=xl/sharedStrings.xml><?xml version="1.0" encoding="utf-8"?>
<sst xmlns="http://schemas.openxmlformats.org/spreadsheetml/2006/main" count="148" uniqueCount="80">
  <si>
    <t>支給控除一覧表</t>
    <phoneticPr fontId="4"/>
  </si>
  <si>
    <t>若林運送株式会社</t>
    <phoneticPr fontId="4"/>
  </si>
  <si>
    <t/>
  </si>
  <si>
    <t>1049</t>
    <phoneticPr fontId="4"/>
  </si>
  <si>
    <t>1050</t>
    <phoneticPr fontId="4"/>
  </si>
  <si>
    <t>1062</t>
    <phoneticPr fontId="4"/>
  </si>
  <si>
    <t>1078</t>
    <phoneticPr fontId="4"/>
  </si>
  <si>
    <t>1090</t>
    <phoneticPr fontId="4"/>
  </si>
  <si>
    <t>1089</t>
    <phoneticPr fontId="4"/>
  </si>
  <si>
    <t>項目名</t>
    <phoneticPr fontId="4"/>
  </si>
  <si>
    <t>菅原　幸志</t>
    <phoneticPr fontId="4"/>
  </si>
  <si>
    <t>伊藤　正典</t>
    <phoneticPr fontId="4"/>
  </si>
  <si>
    <t>上野　誠也</t>
    <phoneticPr fontId="4"/>
  </si>
  <si>
    <t>伊藤　尚</t>
    <phoneticPr fontId="4"/>
  </si>
  <si>
    <t>橋本　淳志</t>
    <phoneticPr fontId="4"/>
  </si>
  <si>
    <t>秋田　愛美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</si>
  <si>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</si>
  <si>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</si>
  <si>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</si>
  <si>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</si>
  <si>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</si>
  <si>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</si>
  <si>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</si>
  <si>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</si>
  <si>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</si>
  <si>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</si>
  <si>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</si>
  <si>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</si>
  <si>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</si>
  <si>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</si>
  <si>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</si>
  <si>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</si>
  <si>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</si>
  <si>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</si>
  <si>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</si>
  <si>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</si>
  <si>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</si>
  <si>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</si>
  <si>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</si>
  <si>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</si>
  <si>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</si>
  <si>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</si>
  <si>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</si>
  <si>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</si>
  <si>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</si>
  <si>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</si>
  <si>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</si>
  <si>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</si>
  <si>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</si>
  <si>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</si>
  <si>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</si>
  <si>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</si>
  <si>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</si>
  <si>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</si>
  <si>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</si>
  <si>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</si>
  <si>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</si>
  <si>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</si>
  <si>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</si>
  <si>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</si>
  <si>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</si>
  <si>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</si>
  <si>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</si>
  <si>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</si>
  <si>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</si>
  <si>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</si>
  <si>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</si>
  <si>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</si>
  <si>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</si>
  <si>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</si>
  <si>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</si>
  <si>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</si>
  <si>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</si>
  <si>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</si>
  <si>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</si>
  <si>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1月度給与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</si>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</sst>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8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0" fontId="2" fillId="0" borderId="37" xfId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41" xfId="1" applyFont="1" applyBorder="1"/>
  </cellXfs>
  <cellStyles count="2">
    <cellStyle name="標準" xfId="0" builtinId="0"/>
    <cellStyle name="標準 2" xfId="1" xr:uid="{27188D0D-D39E-4F1B-8FC2-A02B68F734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FE81-B632-484D-9541-99C235374196}">
  <sheetPr>
    <pageSetUpPr fitToPage="1"/>
  </sheetPr>
  <dimension ref="A1:M65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1" width="11.75" style="2" customWidth="1"/>
    <col min="12" max="258" width="9" style="2"/>
    <col min="259" max="259" width="2.375" style="2" customWidth="1"/>
    <col min="260" max="260" width="13.25" style="2" bestFit="1" customWidth="1"/>
    <col min="261" max="263" width="11.125" style="2" bestFit="1" customWidth="1"/>
    <col min="264" max="264" width="9" style="2"/>
    <col min="265" max="266" width="11.125" style="2" bestFit="1" customWidth="1"/>
    <col min="267" max="267" width="9.625" style="2" bestFit="1" customWidth="1"/>
    <col min="268" max="514" width="9" style="2"/>
    <col min="515" max="515" width="2.375" style="2" customWidth="1"/>
    <col min="516" max="516" width="13.25" style="2" bestFit="1" customWidth="1"/>
    <col min="517" max="519" width="11.125" style="2" bestFit="1" customWidth="1"/>
    <col min="520" max="520" width="9" style="2"/>
    <col min="521" max="522" width="11.125" style="2" bestFit="1" customWidth="1"/>
    <col min="523" max="523" width="9.625" style="2" bestFit="1" customWidth="1"/>
    <col min="524" max="770" width="9" style="2"/>
    <col min="771" max="771" width="2.375" style="2" customWidth="1"/>
    <col min="772" max="772" width="13.25" style="2" bestFit="1" customWidth="1"/>
    <col min="773" max="775" width="11.125" style="2" bestFit="1" customWidth="1"/>
    <col min="776" max="776" width="9" style="2"/>
    <col min="777" max="778" width="11.125" style="2" bestFit="1" customWidth="1"/>
    <col min="779" max="779" width="9.625" style="2" bestFit="1" customWidth="1"/>
    <col min="780" max="1026" width="9" style="2"/>
    <col min="1027" max="1027" width="2.375" style="2" customWidth="1"/>
    <col min="1028" max="1028" width="13.25" style="2" bestFit="1" customWidth="1"/>
    <col min="1029" max="1031" width="11.125" style="2" bestFit="1" customWidth="1"/>
    <col min="1032" max="1032" width="9" style="2"/>
    <col min="1033" max="1034" width="11.125" style="2" bestFit="1" customWidth="1"/>
    <col min="1035" max="1035" width="9.625" style="2" bestFit="1" customWidth="1"/>
    <col min="1036" max="1282" width="9" style="2"/>
    <col min="1283" max="1283" width="2.375" style="2" customWidth="1"/>
    <col min="1284" max="1284" width="13.25" style="2" bestFit="1" customWidth="1"/>
    <col min="1285" max="1287" width="11.125" style="2" bestFit="1" customWidth="1"/>
    <col min="1288" max="1288" width="9" style="2"/>
    <col min="1289" max="1290" width="11.125" style="2" bestFit="1" customWidth="1"/>
    <col min="1291" max="1291" width="9.625" style="2" bestFit="1" customWidth="1"/>
    <col min="1292" max="1538" width="9" style="2"/>
    <col min="1539" max="1539" width="2.375" style="2" customWidth="1"/>
    <col min="1540" max="1540" width="13.25" style="2" bestFit="1" customWidth="1"/>
    <col min="1541" max="1543" width="11.125" style="2" bestFit="1" customWidth="1"/>
    <col min="1544" max="1544" width="9" style="2"/>
    <col min="1545" max="1546" width="11.125" style="2" bestFit="1" customWidth="1"/>
    <col min="1547" max="1547" width="9.625" style="2" bestFit="1" customWidth="1"/>
    <col min="1548" max="1794" width="9" style="2"/>
    <col min="1795" max="1795" width="2.375" style="2" customWidth="1"/>
    <col min="1796" max="1796" width="13.25" style="2" bestFit="1" customWidth="1"/>
    <col min="1797" max="1799" width="11.125" style="2" bestFit="1" customWidth="1"/>
    <col min="1800" max="1800" width="9" style="2"/>
    <col min="1801" max="1802" width="11.125" style="2" bestFit="1" customWidth="1"/>
    <col min="1803" max="1803" width="9.625" style="2" bestFit="1" customWidth="1"/>
    <col min="1804" max="2050" width="9" style="2"/>
    <col min="2051" max="2051" width="2.375" style="2" customWidth="1"/>
    <col min="2052" max="2052" width="13.25" style="2" bestFit="1" customWidth="1"/>
    <col min="2053" max="2055" width="11.125" style="2" bestFit="1" customWidth="1"/>
    <col min="2056" max="2056" width="9" style="2"/>
    <col min="2057" max="2058" width="11.125" style="2" bestFit="1" customWidth="1"/>
    <col min="2059" max="2059" width="9.625" style="2" bestFit="1" customWidth="1"/>
    <col min="2060" max="2306" width="9" style="2"/>
    <col min="2307" max="2307" width="2.375" style="2" customWidth="1"/>
    <col min="2308" max="2308" width="13.25" style="2" bestFit="1" customWidth="1"/>
    <col min="2309" max="2311" width="11.125" style="2" bestFit="1" customWidth="1"/>
    <col min="2312" max="2312" width="9" style="2"/>
    <col min="2313" max="2314" width="11.125" style="2" bestFit="1" customWidth="1"/>
    <col min="2315" max="2315" width="9.625" style="2" bestFit="1" customWidth="1"/>
    <col min="2316" max="2562" width="9" style="2"/>
    <col min="2563" max="2563" width="2.375" style="2" customWidth="1"/>
    <col min="2564" max="2564" width="13.25" style="2" bestFit="1" customWidth="1"/>
    <col min="2565" max="2567" width="11.125" style="2" bestFit="1" customWidth="1"/>
    <col min="2568" max="2568" width="9" style="2"/>
    <col min="2569" max="2570" width="11.125" style="2" bestFit="1" customWidth="1"/>
    <col min="2571" max="2571" width="9.625" style="2" bestFit="1" customWidth="1"/>
    <col min="2572" max="2818" width="9" style="2"/>
    <col min="2819" max="2819" width="2.375" style="2" customWidth="1"/>
    <col min="2820" max="2820" width="13.25" style="2" bestFit="1" customWidth="1"/>
    <col min="2821" max="2823" width="11.125" style="2" bestFit="1" customWidth="1"/>
    <col min="2824" max="2824" width="9" style="2"/>
    <col min="2825" max="2826" width="11.125" style="2" bestFit="1" customWidth="1"/>
    <col min="2827" max="2827" width="9.625" style="2" bestFit="1" customWidth="1"/>
    <col min="2828" max="3074" width="9" style="2"/>
    <col min="3075" max="3075" width="2.375" style="2" customWidth="1"/>
    <col min="3076" max="3076" width="13.25" style="2" bestFit="1" customWidth="1"/>
    <col min="3077" max="3079" width="11.125" style="2" bestFit="1" customWidth="1"/>
    <col min="3080" max="3080" width="9" style="2"/>
    <col min="3081" max="3082" width="11.125" style="2" bestFit="1" customWidth="1"/>
    <col min="3083" max="3083" width="9.625" style="2" bestFit="1" customWidth="1"/>
    <col min="3084" max="3330" width="9" style="2"/>
    <col min="3331" max="3331" width="2.375" style="2" customWidth="1"/>
    <col min="3332" max="3332" width="13.25" style="2" bestFit="1" customWidth="1"/>
    <col min="3333" max="3335" width="11.125" style="2" bestFit="1" customWidth="1"/>
    <col min="3336" max="3336" width="9" style="2"/>
    <col min="3337" max="3338" width="11.125" style="2" bestFit="1" customWidth="1"/>
    <col min="3339" max="3339" width="9.625" style="2" bestFit="1" customWidth="1"/>
    <col min="3340" max="3586" width="9" style="2"/>
    <col min="3587" max="3587" width="2.375" style="2" customWidth="1"/>
    <col min="3588" max="3588" width="13.25" style="2" bestFit="1" customWidth="1"/>
    <col min="3589" max="3591" width="11.125" style="2" bestFit="1" customWidth="1"/>
    <col min="3592" max="3592" width="9" style="2"/>
    <col min="3593" max="3594" width="11.125" style="2" bestFit="1" customWidth="1"/>
    <col min="3595" max="3595" width="9.625" style="2" bestFit="1" customWidth="1"/>
    <col min="3596" max="3842" width="9" style="2"/>
    <col min="3843" max="3843" width="2.375" style="2" customWidth="1"/>
    <col min="3844" max="3844" width="13.25" style="2" bestFit="1" customWidth="1"/>
    <col min="3845" max="3847" width="11.125" style="2" bestFit="1" customWidth="1"/>
    <col min="3848" max="3848" width="9" style="2"/>
    <col min="3849" max="3850" width="11.125" style="2" bestFit="1" customWidth="1"/>
    <col min="3851" max="3851" width="9.625" style="2" bestFit="1" customWidth="1"/>
    <col min="3852" max="4098" width="9" style="2"/>
    <col min="4099" max="4099" width="2.375" style="2" customWidth="1"/>
    <col min="4100" max="4100" width="13.25" style="2" bestFit="1" customWidth="1"/>
    <col min="4101" max="4103" width="11.125" style="2" bestFit="1" customWidth="1"/>
    <col min="4104" max="4104" width="9" style="2"/>
    <col min="4105" max="4106" width="11.125" style="2" bestFit="1" customWidth="1"/>
    <col min="4107" max="4107" width="9.625" style="2" bestFit="1" customWidth="1"/>
    <col min="4108" max="4354" width="9" style="2"/>
    <col min="4355" max="4355" width="2.375" style="2" customWidth="1"/>
    <col min="4356" max="4356" width="13.25" style="2" bestFit="1" customWidth="1"/>
    <col min="4357" max="4359" width="11.125" style="2" bestFit="1" customWidth="1"/>
    <col min="4360" max="4360" width="9" style="2"/>
    <col min="4361" max="4362" width="11.125" style="2" bestFit="1" customWidth="1"/>
    <col min="4363" max="4363" width="9.625" style="2" bestFit="1" customWidth="1"/>
    <col min="4364" max="4610" width="9" style="2"/>
    <col min="4611" max="4611" width="2.375" style="2" customWidth="1"/>
    <col min="4612" max="4612" width="13.25" style="2" bestFit="1" customWidth="1"/>
    <col min="4613" max="4615" width="11.125" style="2" bestFit="1" customWidth="1"/>
    <col min="4616" max="4616" width="9" style="2"/>
    <col min="4617" max="4618" width="11.125" style="2" bestFit="1" customWidth="1"/>
    <col min="4619" max="4619" width="9.625" style="2" bestFit="1" customWidth="1"/>
    <col min="4620" max="4866" width="9" style="2"/>
    <col min="4867" max="4867" width="2.375" style="2" customWidth="1"/>
    <col min="4868" max="4868" width="13.25" style="2" bestFit="1" customWidth="1"/>
    <col min="4869" max="4871" width="11.125" style="2" bestFit="1" customWidth="1"/>
    <col min="4872" max="4872" width="9" style="2"/>
    <col min="4873" max="4874" width="11.125" style="2" bestFit="1" customWidth="1"/>
    <col min="4875" max="4875" width="9.625" style="2" bestFit="1" customWidth="1"/>
    <col min="4876" max="5122" width="9" style="2"/>
    <col min="5123" max="5123" width="2.375" style="2" customWidth="1"/>
    <col min="5124" max="5124" width="13.25" style="2" bestFit="1" customWidth="1"/>
    <col min="5125" max="5127" width="11.125" style="2" bestFit="1" customWidth="1"/>
    <col min="5128" max="5128" width="9" style="2"/>
    <col min="5129" max="5130" width="11.125" style="2" bestFit="1" customWidth="1"/>
    <col min="5131" max="5131" width="9.625" style="2" bestFit="1" customWidth="1"/>
    <col min="5132" max="5378" width="9" style="2"/>
    <col min="5379" max="5379" width="2.375" style="2" customWidth="1"/>
    <col min="5380" max="5380" width="13.25" style="2" bestFit="1" customWidth="1"/>
    <col min="5381" max="5383" width="11.125" style="2" bestFit="1" customWidth="1"/>
    <col min="5384" max="5384" width="9" style="2"/>
    <col min="5385" max="5386" width="11.125" style="2" bestFit="1" customWidth="1"/>
    <col min="5387" max="5387" width="9.625" style="2" bestFit="1" customWidth="1"/>
    <col min="5388" max="5634" width="9" style="2"/>
    <col min="5635" max="5635" width="2.375" style="2" customWidth="1"/>
    <col min="5636" max="5636" width="13.25" style="2" bestFit="1" customWidth="1"/>
    <col min="5637" max="5639" width="11.125" style="2" bestFit="1" customWidth="1"/>
    <col min="5640" max="5640" width="9" style="2"/>
    <col min="5641" max="5642" width="11.125" style="2" bestFit="1" customWidth="1"/>
    <col min="5643" max="5643" width="9.625" style="2" bestFit="1" customWidth="1"/>
    <col min="5644" max="5890" width="9" style="2"/>
    <col min="5891" max="5891" width="2.375" style="2" customWidth="1"/>
    <col min="5892" max="5892" width="13.25" style="2" bestFit="1" customWidth="1"/>
    <col min="5893" max="5895" width="11.125" style="2" bestFit="1" customWidth="1"/>
    <col min="5896" max="5896" width="9" style="2"/>
    <col min="5897" max="5898" width="11.125" style="2" bestFit="1" customWidth="1"/>
    <col min="5899" max="5899" width="9.625" style="2" bestFit="1" customWidth="1"/>
    <col min="5900" max="6146" width="9" style="2"/>
    <col min="6147" max="6147" width="2.375" style="2" customWidth="1"/>
    <col min="6148" max="6148" width="13.25" style="2" bestFit="1" customWidth="1"/>
    <col min="6149" max="6151" width="11.125" style="2" bestFit="1" customWidth="1"/>
    <col min="6152" max="6152" width="9" style="2"/>
    <col min="6153" max="6154" width="11.125" style="2" bestFit="1" customWidth="1"/>
    <col min="6155" max="6155" width="9.625" style="2" bestFit="1" customWidth="1"/>
    <col min="6156" max="6402" width="9" style="2"/>
    <col min="6403" max="6403" width="2.375" style="2" customWidth="1"/>
    <col min="6404" max="6404" width="13.25" style="2" bestFit="1" customWidth="1"/>
    <col min="6405" max="6407" width="11.125" style="2" bestFit="1" customWidth="1"/>
    <col min="6408" max="6408" width="9" style="2"/>
    <col min="6409" max="6410" width="11.125" style="2" bestFit="1" customWidth="1"/>
    <col min="6411" max="6411" width="9.625" style="2" bestFit="1" customWidth="1"/>
    <col min="6412" max="6658" width="9" style="2"/>
    <col min="6659" max="6659" width="2.375" style="2" customWidth="1"/>
    <col min="6660" max="6660" width="13.25" style="2" bestFit="1" customWidth="1"/>
    <col min="6661" max="6663" width="11.125" style="2" bestFit="1" customWidth="1"/>
    <col min="6664" max="6664" width="9" style="2"/>
    <col min="6665" max="6666" width="11.125" style="2" bestFit="1" customWidth="1"/>
    <col min="6667" max="6667" width="9.625" style="2" bestFit="1" customWidth="1"/>
    <col min="6668" max="6914" width="9" style="2"/>
    <col min="6915" max="6915" width="2.375" style="2" customWidth="1"/>
    <col min="6916" max="6916" width="13.25" style="2" bestFit="1" customWidth="1"/>
    <col min="6917" max="6919" width="11.125" style="2" bestFit="1" customWidth="1"/>
    <col min="6920" max="6920" width="9" style="2"/>
    <col min="6921" max="6922" width="11.125" style="2" bestFit="1" customWidth="1"/>
    <col min="6923" max="6923" width="9.625" style="2" bestFit="1" customWidth="1"/>
    <col min="6924" max="7170" width="9" style="2"/>
    <col min="7171" max="7171" width="2.375" style="2" customWidth="1"/>
    <col min="7172" max="7172" width="13.25" style="2" bestFit="1" customWidth="1"/>
    <col min="7173" max="7175" width="11.125" style="2" bestFit="1" customWidth="1"/>
    <col min="7176" max="7176" width="9" style="2"/>
    <col min="7177" max="7178" width="11.125" style="2" bestFit="1" customWidth="1"/>
    <col min="7179" max="7179" width="9.625" style="2" bestFit="1" customWidth="1"/>
    <col min="7180" max="7426" width="9" style="2"/>
    <col min="7427" max="7427" width="2.375" style="2" customWidth="1"/>
    <col min="7428" max="7428" width="13.25" style="2" bestFit="1" customWidth="1"/>
    <col min="7429" max="7431" width="11.125" style="2" bestFit="1" customWidth="1"/>
    <col min="7432" max="7432" width="9" style="2"/>
    <col min="7433" max="7434" width="11.125" style="2" bestFit="1" customWidth="1"/>
    <col min="7435" max="7435" width="9.625" style="2" bestFit="1" customWidth="1"/>
    <col min="7436" max="7682" width="9" style="2"/>
    <col min="7683" max="7683" width="2.375" style="2" customWidth="1"/>
    <col min="7684" max="7684" width="13.25" style="2" bestFit="1" customWidth="1"/>
    <col min="7685" max="7687" width="11.125" style="2" bestFit="1" customWidth="1"/>
    <col min="7688" max="7688" width="9" style="2"/>
    <col min="7689" max="7690" width="11.125" style="2" bestFit="1" customWidth="1"/>
    <col min="7691" max="7691" width="9.625" style="2" bestFit="1" customWidth="1"/>
    <col min="7692" max="7938" width="9" style="2"/>
    <col min="7939" max="7939" width="2.375" style="2" customWidth="1"/>
    <col min="7940" max="7940" width="13.25" style="2" bestFit="1" customWidth="1"/>
    <col min="7941" max="7943" width="11.125" style="2" bestFit="1" customWidth="1"/>
    <col min="7944" max="7944" width="9" style="2"/>
    <col min="7945" max="7946" width="11.125" style="2" bestFit="1" customWidth="1"/>
    <col min="7947" max="7947" width="9.625" style="2" bestFit="1" customWidth="1"/>
    <col min="7948" max="8194" width="9" style="2"/>
    <col min="8195" max="8195" width="2.375" style="2" customWidth="1"/>
    <col min="8196" max="8196" width="13.25" style="2" bestFit="1" customWidth="1"/>
    <col min="8197" max="8199" width="11.125" style="2" bestFit="1" customWidth="1"/>
    <col min="8200" max="8200" width="9" style="2"/>
    <col min="8201" max="8202" width="11.125" style="2" bestFit="1" customWidth="1"/>
    <col min="8203" max="8203" width="9.625" style="2" bestFit="1" customWidth="1"/>
    <col min="8204" max="8450" width="9" style="2"/>
    <col min="8451" max="8451" width="2.375" style="2" customWidth="1"/>
    <col min="8452" max="8452" width="13.25" style="2" bestFit="1" customWidth="1"/>
    <col min="8453" max="8455" width="11.125" style="2" bestFit="1" customWidth="1"/>
    <col min="8456" max="8456" width="9" style="2"/>
    <col min="8457" max="8458" width="11.125" style="2" bestFit="1" customWidth="1"/>
    <col min="8459" max="8459" width="9.625" style="2" bestFit="1" customWidth="1"/>
    <col min="8460" max="8706" width="9" style="2"/>
    <col min="8707" max="8707" width="2.375" style="2" customWidth="1"/>
    <col min="8708" max="8708" width="13.25" style="2" bestFit="1" customWidth="1"/>
    <col min="8709" max="8711" width="11.125" style="2" bestFit="1" customWidth="1"/>
    <col min="8712" max="8712" width="9" style="2"/>
    <col min="8713" max="8714" width="11.125" style="2" bestFit="1" customWidth="1"/>
    <col min="8715" max="8715" width="9.625" style="2" bestFit="1" customWidth="1"/>
    <col min="8716" max="8962" width="9" style="2"/>
    <col min="8963" max="8963" width="2.375" style="2" customWidth="1"/>
    <col min="8964" max="8964" width="13.25" style="2" bestFit="1" customWidth="1"/>
    <col min="8965" max="8967" width="11.125" style="2" bestFit="1" customWidth="1"/>
    <col min="8968" max="8968" width="9" style="2"/>
    <col min="8969" max="8970" width="11.125" style="2" bestFit="1" customWidth="1"/>
    <col min="8971" max="8971" width="9.625" style="2" bestFit="1" customWidth="1"/>
    <col min="8972" max="9218" width="9" style="2"/>
    <col min="9219" max="9219" width="2.375" style="2" customWidth="1"/>
    <col min="9220" max="9220" width="13.25" style="2" bestFit="1" customWidth="1"/>
    <col min="9221" max="9223" width="11.125" style="2" bestFit="1" customWidth="1"/>
    <col min="9224" max="9224" width="9" style="2"/>
    <col min="9225" max="9226" width="11.125" style="2" bestFit="1" customWidth="1"/>
    <col min="9227" max="9227" width="9.625" style="2" bestFit="1" customWidth="1"/>
    <col min="9228" max="9474" width="9" style="2"/>
    <col min="9475" max="9475" width="2.375" style="2" customWidth="1"/>
    <col min="9476" max="9476" width="13.25" style="2" bestFit="1" customWidth="1"/>
    <col min="9477" max="9479" width="11.125" style="2" bestFit="1" customWidth="1"/>
    <col min="9480" max="9480" width="9" style="2"/>
    <col min="9481" max="9482" width="11.125" style="2" bestFit="1" customWidth="1"/>
    <col min="9483" max="9483" width="9.625" style="2" bestFit="1" customWidth="1"/>
    <col min="9484" max="9730" width="9" style="2"/>
    <col min="9731" max="9731" width="2.375" style="2" customWidth="1"/>
    <col min="9732" max="9732" width="13.25" style="2" bestFit="1" customWidth="1"/>
    <col min="9733" max="9735" width="11.125" style="2" bestFit="1" customWidth="1"/>
    <col min="9736" max="9736" width="9" style="2"/>
    <col min="9737" max="9738" width="11.125" style="2" bestFit="1" customWidth="1"/>
    <col min="9739" max="9739" width="9.625" style="2" bestFit="1" customWidth="1"/>
    <col min="9740" max="9986" width="9" style="2"/>
    <col min="9987" max="9987" width="2.375" style="2" customWidth="1"/>
    <col min="9988" max="9988" width="13.25" style="2" bestFit="1" customWidth="1"/>
    <col min="9989" max="9991" width="11.125" style="2" bestFit="1" customWidth="1"/>
    <col min="9992" max="9992" width="9" style="2"/>
    <col min="9993" max="9994" width="11.125" style="2" bestFit="1" customWidth="1"/>
    <col min="9995" max="9995" width="9.625" style="2" bestFit="1" customWidth="1"/>
    <col min="9996" max="10242" width="9" style="2"/>
    <col min="10243" max="10243" width="2.375" style="2" customWidth="1"/>
    <col min="10244" max="10244" width="13.25" style="2" bestFit="1" customWidth="1"/>
    <col min="10245" max="10247" width="11.125" style="2" bestFit="1" customWidth="1"/>
    <col min="10248" max="10248" width="9" style="2"/>
    <col min="10249" max="10250" width="11.125" style="2" bestFit="1" customWidth="1"/>
    <col min="10251" max="10251" width="9.625" style="2" bestFit="1" customWidth="1"/>
    <col min="10252" max="10498" width="9" style="2"/>
    <col min="10499" max="10499" width="2.375" style="2" customWidth="1"/>
    <col min="10500" max="10500" width="13.25" style="2" bestFit="1" customWidth="1"/>
    <col min="10501" max="10503" width="11.125" style="2" bestFit="1" customWidth="1"/>
    <col min="10504" max="10504" width="9" style="2"/>
    <col min="10505" max="10506" width="11.125" style="2" bestFit="1" customWidth="1"/>
    <col min="10507" max="10507" width="9.625" style="2" bestFit="1" customWidth="1"/>
    <col min="10508" max="10754" width="9" style="2"/>
    <col min="10755" max="10755" width="2.375" style="2" customWidth="1"/>
    <col min="10756" max="10756" width="13.25" style="2" bestFit="1" customWidth="1"/>
    <col min="10757" max="10759" width="11.125" style="2" bestFit="1" customWidth="1"/>
    <col min="10760" max="10760" width="9" style="2"/>
    <col min="10761" max="10762" width="11.125" style="2" bestFit="1" customWidth="1"/>
    <col min="10763" max="10763" width="9.625" style="2" bestFit="1" customWidth="1"/>
    <col min="10764" max="11010" width="9" style="2"/>
    <col min="11011" max="11011" width="2.375" style="2" customWidth="1"/>
    <col min="11012" max="11012" width="13.25" style="2" bestFit="1" customWidth="1"/>
    <col min="11013" max="11015" width="11.125" style="2" bestFit="1" customWidth="1"/>
    <col min="11016" max="11016" width="9" style="2"/>
    <col min="11017" max="11018" width="11.125" style="2" bestFit="1" customWidth="1"/>
    <col min="11019" max="11019" width="9.625" style="2" bestFit="1" customWidth="1"/>
    <col min="11020" max="11266" width="9" style="2"/>
    <col min="11267" max="11267" width="2.375" style="2" customWidth="1"/>
    <col min="11268" max="11268" width="13.25" style="2" bestFit="1" customWidth="1"/>
    <col min="11269" max="11271" width="11.125" style="2" bestFit="1" customWidth="1"/>
    <col min="11272" max="11272" width="9" style="2"/>
    <col min="11273" max="11274" width="11.125" style="2" bestFit="1" customWidth="1"/>
    <col min="11275" max="11275" width="9.625" style="2" bestFit="1" customWidth="1"/>
    <col min="11276" max="11522" width="9" style="2"/>
    <col min="11523" max="11523" width="2.375" style="2" customWidth="1"/>
    <col min="11524" max="11524" width="13.25" style="2" bestFit="1" customWidth="1"/>
    <col min="11525" max="11527" width="11.125" style="2" bestFit="1" customWidth="1"/>
    <col min="11528" max="11528" width="9" style="2"/>
    <col min="11529" max="11530" width="11.125" style="2" bestFit="1" customWidth="1"/>
    <col min="11531" max="11531" width="9.625" style="2" bestFit="1" customWidth="1"/>
    <col min="11532" max="11778" width="9" style="2"/>
    <col min="11779" max="11779" width="2.375" style="2" customWidth="1"/>
    <col min="11780" max="11780" width="13.25" style="2" bestFit="1" customWidth="1"/>
    <col min="11781" max="11783" width="11.125" style="2" bestFit="1" customWidth="1"/>
    <col min="11784" max="11784" width="9" style="2"/>
    <col min="11785" max="11786" width="11.125" style="2" bestFit="1" customWidth="1"/>
    <col min="11787" max="11787" width="9.625" style="2" bestFit="1" customWidth="1"/>
    <col min="11788" max="12034" width="9" style="2"/>
    <col min="12035" max="12035" width="2.375" style="2" customWidth="1"/>
    <col min="12036" max="12036" width="13.25" style="2" bestFit="1" customWidth="1"/>
    <col min="12037" max="12039" width="11.125" style="2" bestFit="1" customWidth="1"/>
    <col min="12040" max="12040" width="9" style="2"/>
    <col min="12041" max="12042" width="11.125" style="2" bestFit="1" customWidth="1"/>
    <col min="12043" max="12043" width="9.625" style="2" bestFit="1" customWidth="1"/>
    <col min="12044" max="12290" width="9" style="2"/>
    <col min="12291" max="12291" width="2.375" style="2" customWidth="1"/>
    <col min="12292" max="12292" width="13.25" style="2" bestFit="1" customWidth="1"/>
    <col min="12293" max="12295" width="11.125" style="2" bestFit="1" customWidth="1"/>
    <col min="12296" max="12296" width="9" style="2"/>
    <col min="12297" max="12298" width="11.125" style="2" bestFit="1" customWidth="1"/>
    <col min="12299" max="12299" width="9.625" style="2" bestFit="1" customWidth="1"/>
    <col min="12300" max="12546" width="9" style="2"/>
    <col min="12547" max="12547" width="2.375" style="2" customWidth="1"/>
    <col min="12548" max="12548" width="13.25" style="2" bestFit="1" customWidth="1"/>
    <col min="12549" max="12551" width="11.125" style="2" bestFit="1" customWidth="1"/>
    <col min="12552" max="12552" width="9" style="2"/>
    <col min="12553" max="12554" width="11.125" style="2" bestFit="1" customWidth="1"/>
    <col min="12555" max="12555" width="9.625" style="2" bestFit="1" customWidth="1"/>
    <col min="12556" max="12802" width="9" style="2"/>
    <col min="12803" max="12803" width="2.375" style="2" customWidth="1"/>
    <col min="12804" max="12804" width="13.25" style="2" bestFit="1" customWidth="1"/>
    <col min="12805" max="12807" width="11.125" style="2" bestFit="1" customWidth="1"/>
    <col min="12808" max="12808" width="9" style="2"/>
    <col min="12809" max="12810" width="11.125" style="2" bestFit="1" customWidth="1"/>
    <col min="12811" max="12811" width="9.625" style="2" bestFit="1" customWidth="1"/>
    <col min="12812" max="13058" width="9" style="2"/>
    <col min="13059" max="13059" width="2.375" style="2" customWidth="1"/>
    <col min="13060" max="13060" width="13.25" style="2" bestFit="1" customWidth="1"/>
    <col min="13061" max="13063" width="11.125" style="2" bestFit="1" customWidth="1"/>
    <col min="13064" max="13064" width="9" style="2"/>
    <col min="13065" max="13066" width="11.125" style="2" bestFit="1" customWidth="1"/>
    <col min="13067" max="13067" width="9.625" style="2" bestFit="1" customWidth="1"/>
    <col min="13068" max="13314" width="9" style="2"/>
    <col min="13315" max="13315" width="2.375" style="2" customWidth="1"/>
    <col min="13316" max="13316" width="13.25" style="2" bestFit="1" customWidth="1"/>
    <col min="13317" max="13319" width="11.125" style="2" bestFit="1" customWidth="1"/>
    <col min="13320" max="13320" width="9" style="2"/>
    <col min="13321" max="13322" width="11.125" style="2" bestFit="1" customWidth="1"/>
    <col min="13323" max="13323" width="9.625" style="2" bestFit="1" customWidth="1"/>
    <col min="13324" max="13570" width="9" style="2"/>
    <col min="13571" max="13571" width="2.375" style="2" customWidth="1"/>
    <col min="13572" max="13572" width="13.25" style="2" bestFit="1" customWidth="1"/>
    <col min="13573" max="13575" width="11.125" style="2" bestFit="1" customWidth="1"/>
    <col min="13576" max="13576" width="9" style="2"/>
    <col min="13577" max="13578" width="11.125" style="2" bestFit="1" customWidth="1"/>
    <col min="13579" max="13579" width="9.625" style="2" bestFit="1" customWidth="1"/>
    <col min="13580" max="13826" width="9" style="2"/>
    <col min="13827" max="13827" width="2.375" style="2" customWidth="1"/>
    <col min="13828" max="13828" width="13.25" style="2" bestFit="1" customWidth="1"/>
    <col min="13829" max="13831" width="11.125" style="2" bestFit="1" customWidth="1"/>
    <col min="13832" max="13832" width="9" style="2"/>
    <col min="13833" max="13834" width="11.125" style="2" bestFit="1" customWidth="1"/>
    <col min="13835" max="13835" width="9.625" style="2" bestFit="1" customWidth="1"/>
    <col min="13836" max="14082" width="9" style="2"/>
    <col min="14083" max="14083" width="2.375" style="2" customWidth="1"/>
    <col min="14084" max="14084" width="13.25" style="2" bestFit="1" customWidth="1"/>
    <col min="14085" max="14087" width="11.125" style="2" bestFit="1" customWidth="1"/>
    <col min="14088" max="14088" width="9" style="2"/>
    <col min="14089" max="14090" width="11.125" style="2" bestFit="1" customWidth="1"/>
    <col min="14091" max="14091" width="9.625" style="2" bestFit="1" customWidth="1"/>
    <col min="14092" max="14338" width="9" style="2"/>
    <col min="14339" max="14339" width="2.375" style="2" customWidth="1"/>
    <col min="14340" max="14340" width="13.25" style="2" bestFit="1" customWidth="1"/>
    <col min="14341" max="14343" width="11.125" style="2" bestFit="1" customWidth="1"/>
    <col min="14344" max="14344" width="9" style="2"/>
    <col min="14345" max="14346" width="11.125" style="2" bestFit="1" customWidth="1"/>
    <col min="14347" max="14347" width="9.625" style="2" bestFit="1" customWidth="1"/>
    <col min="14348" max="14594" width="9" style="2"/>
    <col min="14595" max="14595" width="2.375" style="2" customWidth="1"/>
    <col min="14596" max="14596" width="13.25" style="2" bestFit="1" customWidth="1"/>
    <col min="14597" max="14599" width="11.125" style="2" bestFit="1" customWidth="1"/>
    <col min="14600" max="14600" width="9" style="2"/>
    <col min="14601" max="14602" width="11.125" style="2" bestFit="1" customWidth="1"/>
    <col min="14603" max="14603" width="9.625" style="2" bestFit="1" customWidth="1"/>
    <col min="14604" max="14850" width="9" style="2"/>
    <col min="14851" max="14851" width="2.375" style="2" customWidth="1"/>
    <col min="14852" max="14852" width="13.25" style="2" bestFit="1" customWidth="1"/>
    <col min="14853" max="14855" width="11.125" style="2" bestFit="1" customWidth="1"/>
    <col min="14856" max="14856" width="9" style="2"/>
    <col min="14857" max="14858" width="11.125" style="2" bestFit="1" customWidth="1"/>
    <col min="14859" max="14859" width="9.625" style="2" bestFit="1" customWidth="1"/>
    <col min="14860" max="15106" width="9" style="2"/>
    <col min="15107" max="15107" width="2.375" style="2" customWidth="1"/>
    <col min="15108" max="15108" width="13.25" style="2" bestFit="1" customWidth="1"/>
    <col min="15109" max="15111" width="11.125" style="2" bestFit="1" customWidth="1"/>
    <col min="15112" max="15112" width="9" style="2"/>
    <col min="15113" max="15114" width="11.125" style="2" bestFit="1" customWidth="1"/>
    <col min="15115" max="15115" width="9.625" style="2" bestFit="1" customWidth="1"/>
    <col min="15116" max="15362" width="9" style="2"/>
    <col min="15363" max="15363" width="2.375" style="2" customWidth="1"/>
    <col min="15364" max="15364" width="13.25" style="2" bestFit="1" customWidth="1"/>
    <col min="15365" max="15367" width="11.125" style="2" bestFit="1" customWidth="1"/>
    <col min="15368" max="15368" width="9" style="2"/>
    <col min="15369" max="15370" width="11.125" style="2" bestFit="1" customWidth="1"/>
    <col min="15371" max="15371" width="9.625" style="2" bestFit="1" customWidth="1"/>
    <col min="15372" max="15618" width="9" style="2"/>
    <col min="15619" max="15619" width="2.375" style="2" customWidth="1"/>
    <col min="15620" max="15620" width="13.25" style="2" bestFit="1" customWidth="1"/>
    <col min="15621" max="15623" width="11.125" style="2" bestFit="1" customWidth="1"/>
    <col min="15624" max="15624" width="9" style="2"/>
    <col min="15625" max="15626" width="11.125" style="2" bestFit="1" customWidth="1"/>
    <col min="15627" max="15627" width="9.625" style="2" bestFit="1" customWidth="1"/>
    <col min="15628" max="15874" width="9" style="2"/>
    <col min="15875" max="15875" width="2.375" style="2" customWidth="1"/>
    <col min="15876" max="15876" width="13.25" style="2" bestFit="1" customWidth="1"/>
    <col min="15877" max="15879" width="11.125" style="2" bestFit="1" customWidth="1"/>
    <col min="15880" max="15880" width="9" style="2"/>
    <col min="15881" max="15882" width="11.125" style="2" bestFit="1" customWidth="1"/>
    <col min="15883" max="15883" width="9.625" style="2" bestFit="1" customWidth="1"/>
    <col min="15884" max="16130" width="9" style="2"/>
    <col min="16131" max="16131" width="2.375" style="2" customWidth="1"/>
    <col min="16132" max="16132" width="13.25" style="2" bestFit="1" customWidth="1"/>
    <col min="16133" max="16135" width="11.125" style="2" bestFit="1" customWidth="1"/>
    <col min="16136" max="16136" width="9" style="2"/>
    <col min="16137" max="16138" width="11.125" style="2" bestFit="1" customWidth="1"/>
    <col min="16139" max="16139" width="9.625" style="2" bestFit="1" customWidth="1"/>
    <col min="16140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 ht="19.5" thickBot="1">
      <c r="A3" s="1" t="s">
        <v>75</v>
      </c>
    </row>
    <row r="4" spans="1:13">
      <c r="B4" s="3"/>
      <c r="C4" s="7" t="s">
        <v>6</v>
      </c>
      <c r="D4" s="8" t="s">
        <v>8</v>
      </c>
      <c r="E4" s="49" t="s">
        <v>76</v>
      </c>
      <c r="F4" s="6" t="s">
        <v>3</v>
      </c>
      <c r="G4" s="7" t="s">
        <v>4</v>
      </c>
      <c r="H4" s="7" t="s">
        <v>5</v>
      </c>
      <c r="I4" s="51" t="s">
        <v>7</v>
      </c>
      <c r="J4" s="62" t="s">
        <v>76</v>
      </c>
      <c r="K4" s="63" t="s">
        <v>16</v>
      </c>
    </row>
    <row r="5" spans="1:13" ht="19.5" thickBot="1">
      <c r="A5" s="75"/>
      <c r="B5" s="25" t="s">
        <v>9</v>
      </c>
      <c r="C5" s="27" t="s">
        <v>13</v>
      </c>
      <c r="D5" s="28" t="s">
        <v>15</v>
      </c>
      <c r="E5" s="50" t="s">
        <v>77</v>
      </c>
      <c r="F5" s="26" t="s">
        <v>10</v>
      </c>
      <c r="G5" s="27" t="s">
        <v>11</v>
      </c>
      <c r="H5" s="27" t="s">
        <v>12</v>
      </c>
      <c r="I5" s="52" t="s">
        <v>14</v>
      </c>
      <c r="J5" s="64" t="s">
        <v>78</v>
      </c>
      <c r="K5" s="65" t="s">
        <v>79</v>
      </c>
    </row>
    <row r="6" spans="1:13">
      <c r="A6" s="1" t="s">
        <v>2</v>
      </c>
      <c r="B6" s="21" t="s">
        <v>17</v>
      </c>
      <c r="C6" s="23">
        <v>19</v>
      </c>
      <c r="D6" s="24">
        <v>19</v>
      </c>
      <c r="E6" s="43">
        <f>SUM(C6:D6)</f>
        <v>38</v>
      </c>
      <c r="F6" s="22">
        <v>18</v>
      </c>
      <c r="G6" s="23">
        <v>17</v>
      </c>
      <c r="H6" s="23">
        <v>13</v>
      </c>
      <c r="I6" s="53">
        <v>18</v>
      </c>
      <c r="J6" s="66">
        <f>SUM(F6:I6)</f>
        <v>66</v>
      </c>
      <c r="K6" s="66">
        <f>SUM(J6,E6)</f>
        <v>104</v>
      </c>
      <c r="M6"/>
    </row>
    <row r="7" spans="1:13">
      <c r="A7" s="1" t="s">
        <v>2</v>
      </c>
      <c r="B7" s="4" t="s">
        <v>18</v>
      </c>
      <c r="C7" s="10">
        <v>0</v>
      </c>
      <c r="D7" s="11">
        <v>0</v>
      </c>
      <c r="E7" s="44"/>
      <c r="F7" s="9">
        <v>0</v>
      </c>
      <c r="G7" s="10">
        <v>1</v>
      </c>
      <c r="H7" s="10">
        <v>1</v>
      </c>
      <c r="I7" s="54">
        <v>1</v>
      </c>
      <c r="J7" s="67">
        <f>SUM(F7:I7)</f>
        <v>3</v>
      </c>
      <c r="K7" s="67">
        <f>SUM(E7+J7)</f>
        <v>3</v>
      </c>
      <c r="M7"/>
    </row>
    <row r="8" spans="1:13">
      <c r="A8" s="1" t="s">
        <v>2</v>
      </c>
      <c r="B8" s="4" t="s">
        <v>19</v>
      </c>
      <c r="C8" s="10">
        <v>0</v>
      </c>
      <c r="D8" s="11">
        <v>0</v>
      </c>
      <c r="E8" s="44"/>
      <c r="F8" s="9">
        <v>0</v>
      </c>
      <c r="G8" s="10">
        <v>0</v>
      </c>
      <c r="H8" s="10">
        <v>0</v>
      </c>
      <c r="I8" s="54">
        <v>0</v>
      </c>
      <c r="J8" s="67"/>
      <c r="K8" s="67">
        <f t="shared" ref="K8:K56" si="0">SUM(E8+J8)</f>
        <v>0</v>
      </c>
      <c r="M8"/>
    </row>
    <row r="9" spans="1:13">
      <c r="A9" s="1" t="s">
        <v>2</v>
      </c>
      <c r="B9" s="4" t="s">
        <v>20</v>
      </c>
      <c r="C9" s="10">
        <v>0</v>
      </c>
      <c r="D9" s="11">
        <v>0</v>
      </c>
      <c r="E9" s="44"/>
      <c r="F9" s="9">
        <v>0</v>
      </c>
      <c r="G9" s="10">
        <v>0</v>
      </c>
      <c r="H9" s="10">
        <v>0</v>
      </c>
      <c r="I9" s="54">
        <v>0</v>
      </c>
      <c r="J9" s="67"/>
      <c r="K9" s="67">
        <f t="shared" si="0"/>
        <v>0</v>
      </c>
      <c r="M9"/>
    </row>
    <row r="10" spans="1:13">
      <c r="A10" s="1" t="s">
        <v>2</v>
      </c>
      <c r="B10" s="4" t="s">
        <v>21</v>
      </c>
      <c r="C10" s="10">
        <v>0</v>
      </c>
      <c r="D10" s="11">
        <v>0</v>
      </c>
      <c r="E10" s="44"/>
      <c r="F10" s="9">
        <v>1</v>
      </c>
      <c r="G10" s="10">
        <v>2</v>
      </c>
      <c r="H10" s="10">
        <v>6</v>
      </c>
      <c r="I10" s="54">
        <v>1</v>
      </c>
      <c r="J10" s="67">
        <f>SUM(F10:I10)</f>
        <v>10</v>
      </c>
      <c r="K10" s="67">
        <f t="shared" si="0"/>
        <v>10</v>
      </c>
      <c r="M10"/>
    </row>
    <row r="11" spans="1:13">
      <c r="A11" s="1" t="s">
        <v>2</v>
      </c>
      <c r="B11" s="4" t="s">
        <v>22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54">
        <v>0</v>
      </c>
      <c r="J11" s="67"/>
      <c r="K11" s="67">
        <f t="shared" si="0"/>
        <v>0</v>
      </c>
      <c r="M11"/>
    </row>
    <row r="12" spans="1:13">
      <c r="A12" s="1" t="s">
        <v>2</v>
      </c>
      <c r="B12" s="4" t="s">
        <v>23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54">
        <v>0</v>
      </c>
      <c r="J12" s="67"/>
      <c r="K12" s="67">
        <f t="shared" si="0"/>
        <v>0</v>
      </c>
      <c r="M12"/>
    </row>
    <row r="13" spans="1:13">
      <c r="A13" s="1" t="s">
        <v>2</v>
      </c>
      <c r="B13" s="4" t="s">
        <v>24</v>
      </c>
      <c r="C13" s="10">
        <v>0</v>
      </c>
      <c r="D13" s="11">
        <v>0</v>
      </c>
      <c r="E13" s="44"/>
      <c r="F13" s="9">
        <v>0</v>
      </c>
      <c r="G13" s="10">
        <v>0</v>
      </c>
      <c r="H13" s="10">
        <v>0</v>
      </c>
      <c r="I13" s="54">
        <v>0</v>
      </c>
      <c r="J13" s="67"/>
      <c r="K13" s="67">
        <f t="shared" si="0"/>
        <v>0</v>
      </c>
      <c r="M13"/>
    </row>
    <row r="14" spans="1:13">
      <c r="A14" s="1" t="s">
        <v>2</v>
      </c>
      <c r="B14" s="4" t="s">
        <v>25</v>
      </c>
      <c r="C14" s="13">
        <v>0</v>
      </c>
      <c r="D14" s="14">
        <v>2.4166666666666665</v>
      </c>
      <c r="E14" s="45">
        <f>SUM(C14:D14)</f>
        <v>2.4166666666666665</v>
      </c>
      <c r="F14" s="12">
        <v>0</v>
      </c>
      <c r="G14" s="13">
        <v>0</v>
      </c>
      <c r="H14" s="13">
        <v>0</v>
      </c>
      <c r="I14" s="55">
        <v>0</v>
      </c>
      <c r="J14" s="68"/>
      <c r="K14" s="68">
        <f t="shared" si="0"/>
        <v>2.4166666666666665</v>
      </c>
      <c r="M14"/>
    </row>
    <row r="15" spans="1:13">
      <c r="A15" s="1" t="s">
        <v>2</v>
      </c>
      <c r="B15" s="4" t="s">
        <v>26</v>
      </c>
      <c r="C15" s="13">
        <v>0</v>
      </c>
      <c r="D15" s="14">
        <v>0</v>
      </c>
      <c r="E15" s="45"/>
      <c r="F15" s="12">
        <v>1.75</v>
      </c>
      <c r="G15" s="13">
        <v>2.25</v>
      </c>
      <c r="H15" s="13">
        <v>0.95833333333333337</v>
      </c>
      <c r="I15" s="55">
        <v>1.625</v>
      </c>
      <c r="J15" s="68">
        <f>SUM(F15:I15)</f>
        <v>6.583333333333333</v>
      </c>
      <c r="K15" s="68">
        <f t="shared" si="0"/>
        <v>6.583333333333333</v>
      </c>
      <c r="M15"/>
    </row>
    <row r="16" spans="1:13">
      <c r="A16" s="1" t="s">
        <v>2</v>
      </c>
      <c r="B16" s="4" t="s">
        <v>27</v>
      </c>
      <c r="C16" s="13">
        <v>0</v>
      </c>
      <c r="D16" s="14">
        <v>0</v>
      </c>
      <c r="E16" s="45"/>
      <c r="F16" s="12">
        <v>0</v>
      </c>
      <c r="G16" s="13">
        <v>0.16666666666666666</v>
      </c>
      <c r="H16" s="13">
        <v>0.41666666666666669</v>
      </c>
      <c r="I16" s="55">
        <v>0.29166666666666669</v>
      </c>
      <c r="J16" s="68">
        <f>SUM(F16:I16)</f>
        <v>0.875</v>
      </c>
      <c r="K16" s="68">
        <f t="shared" si="0"/>
        <v>0.875</v>
      </c>
      <c r="M16"/>
    </row>
    <row r="17" spans="1:13">
      <c r="A17" s="1" t="s">
        <v>2</v>
      </c>
      <c r="B17" s="4" t="s">
        <v>28</v>
      </c>
      <c r="C17" s="13">
        <v>0</v>
      </c>
      <c r="D17" s="14">
        <v>0</v>
      </c>
      <c r="E17" s="45"/>
      <c r="F17" s="12">
        <v>0</v>
      </c>
      <c r="G17" s="13">
        <v>0</v>
      </c>
      <c r="H17" s="13">
        <v>0</v>
      </c>
      <c r="I17" s="55">
        <v>0</v>
      </c>
      <c r="J17" s="68"/>
      <c r="K17" s="68">
        <f t="shared" si="0"/>
        <v>0</v>
      </c>
      <c r="M17"/>
    </row>
    <row r="18" spans="1:13">
      <c r="A18" s="1" t="s">
        <v>2</v>
      </c>
      <c r="B18" s="4" t="s">
        <v>29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55">
        <v>0</v>
      </c>
      <c r="J18" s="68"/>
      <c r="K18" s="68">
        <f t="shared" si="0"/>
        <v>0</v>
      </c>
      <c r="M18"/>
    </row>
    <row r="19" spans="1:13">
      <c r="A19" s="1" t="s">
        <v>2</v>
      </c>
      <c r="B19" s="4" t="s">
        <v>30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55">
        <v>0</v>
      </c>
      <c r="J19" s="68"/>
      <c r="K19" s="68">
        <f t="shared" si="0"/>
        <v>0</v>
      </c>
      <c r="M19"/>
    </row>
    <row r="20" spans="1:13">
      <c r="A20" s="1" t="s">
        <v>2</v>
      </c>
      <c r="B20" s="4" t="s">
        <v>31</v>
      </c>
      <c r="C20" s="13">
        <v>0</v>
      </c>
      <c r="D20" s="14">
        <v>0</v>
      </c>
      <c r="E20" s="45"/>
      <c r="F20" s="12">
        <v>0</v>
      </c>
      <c r="G20" s="13">
        <v>0</v>
      </c>
      <c r="H20" s="13">
        <v>0</v>
      </c>
      <c r="I20" s="55">
        <v>0</v>
      </c>
      <c r="J20" s="68"/>
      <c r="K20" s="68">
        <f t="shared" si="0"/>
        <v>0</v>
      </c>
      <c r="M20"/>
    </row>
    <row r="21" spans="1:13">
      <c r="A21" s="1" t="s">
        <v>2</v>
      </c>
      <c r="B21" s="4" t="s">
        <v>32</v>
      </c>
      <c r="C21" s="13">
        <v>0</v>
      </c>
      <c r="D21" s="14">
        <v>0</v>
      </c>
      <c r="E21" s="45"/>
      <c r="F21" s="12">
        <v>0</v>
      </c>
      <c r="G21" s="13">
        <v>0</v>
      </c>
      <c r="H21" s="13">
        <v>0</v>
      </c>
      <c r="I21" s="55">
        <v>0</v>
      </c>
      <c r="J21" s="68"/>
      <c r="K21" s="68">
        <f t="shared" si="0"/>
        <v>0</v>
      </c>
      <c r="M21"/>
    </row>
    <row r="22" spans="1:13">
      <c r="A22" s="1" t="s">
        <v>2</v>
      </c>
      <c r="B22" s="4" t="s">
        <v>33</v>
      </c>
      <c r="C22" s="13">
        <v>8.3333333333333329E-2</v>
      </c>
      <c r="D22" s="14">
        <v>0</v>
      </c>
      <c r="E22" s="45">
        <f>SUM(C22:D22)</f>
        <v>8.3333333333333329E-2</v>
      </c>
      <c r="F22" s="12">
        <v>0.125</v>
      </c>
      <c r="G22" s="13">
        <v>0.375</v>
      </c>
      <c r="H22" s="13">
        <v>0.125</v>
      </c>
      <c r="I22" s="55">
        <v>0.375</v>
      </c>
      <c r="J22" s="68">
        <f>SUM(F22:I22)</f>
        <v>1</v>
      </c>
      <c r="K22" s="68">
        <f t="shared" si="0"/>
        <v>1.0833333333333333</v>
      </c>
      <c r="M22"/>
    </row>
    <row r="23" spans="1:13" ht="19.5" thickBot="1">
      <c r="A23" s="1" t="s">
        <v>2</v>
      </c>
      <c r="B23" s="5" t="s">
        <v>34</v>
      </c>
      <c r="C23" s="33">
        <v>23</v>
      </c>
      <c r="D23" s="34">
        <v>3</v>
      </c>
      <c r="E23" s="46">
        <f>SUM(C23:D23)</f>
        <v>26</v>
      </c>
      <c r="F23" s="32">
        <v>19</v>
      </c>
      <c r="G23" s="33">
        <v>25</v>
      </c>
      <c r="H23" s="33">
        <v>18</v>
      </c>
      <c r="I23" s="56">
        <v>7</v>
      </c>
      <c r="J23" s="69">
        <f>SUM(F23:I23)</f>
        <v>69</v>
      </c>
      <c r="K23" s="69">
        <f t="shared" si="0"/>
        <v>95</v>
      </c>
      <c r="M23"/>
    </row>
    <row r="24" spans="1:13">
      <c r="A24" s="1" t="s">
        <v>2</v>
      </c>
      <c r="B24" s="21" t="s">
        <v>35</v>
      </c>
      <c r="C24" s="30">
        <v>355000</v>
      </c>
      <c r="D24" s="31">
        <v>0</v>
      </c>
      <c r="E24" s="31">
        <f>SUM(C24:D24)</f>
        <v>355000</v>
      </c>
      <c r="F24" s="29">
        <v>182000</v>
      </c>
      <c r="G24" s="30">
        <v>192000</v>
      </c>
      <c r="H24" s="30">
        <v>177000</v>
      </c>
      <c r="I24" s="57">
        <v>182000</v>
      </c>
      <c r="J24" s="70">
        <f>SUM(F24:I24)</f>
        <v>733000</v>
      </c>
      <c r="K24" s="70">
        <f t="shared" si="0"/>
        <v>1088000</v>
      </c>
      <c r="M24"/>
    </row>
    <row r="25" spans="1:13">
      <c r="A25" s="1" t="s">
        <v>2</v>
      </c>
      <c r="B25" s="4" t="s">
        <v>36</v>
      </c>
      <c r="C25" s="16">
        <v>0</v>
      </c>
      <c r="D25" s="17">
        <v>0</v>
      </c>
      <c r="E25" s="17">
        <f t="shared" ref="E25:E63" si="1">SUM(C25:D25)</f>
        <v>0</v>
      </c>
      <c r="F25" s="15">
        <v>5000</v>
      </c>
      <c r="G25" s="16">
        <v>0</v>
      </c>
      <c r="H25" s="16">
        <v>0</v>
      </c>
      <c r="I25" s="58">
        <v>0</v>
      </c>
      <c r="J25" s="71">
        <f t="shared" ref="J25:J63" si="2">SUM(F25:I25)</f>
        <v>5000</v>
      </c>
      <c r="K25" s="71">
        <f t="shared" si="0"/>
        <v>5000</v>
      </c>
      <c r="M25"/>
    </row>
    <row r="26" spans="1:13">
      <c r="A26" s="1" t="s">
        <v>2</v>
      </c>
      <c r="B26" s="4" t="s">
        <v>37</v>
      </c>
      <c r="C26" s="16">
        <v>0</v>
      </c>
      <c r="D26" s="17">
        <v>0</v>
      </c>
      <c r="E26" s="17">
        <f t="shared" si="1"/>
        <v>0</v>
      </c>
      <c r="F26" s="15">
        <v>3000</v>
      </c>
      <c r="G26" s="16">
        <v>3000</v>
      </c>
      <c r="H26" s="16">
        <v>0</v>
      </c>
      <c r="I26" s="58">
        <v>0</v>
      </c>
      <c r="J26" s="71">
        <f t="shared" si="2"/>
        <v>6000</v>
      </c>
      <c r="K26" s="71">
        <f t="shared" si="0"/>
        <v>6000</v>
      </c>
      <c r="M26"/>
    </row>
    <row r="27" spans="1:13">
      <c r="A27" s="1" t="s">
        <v>2</v>
      </c>
      <c r="B27" s="4" t="s">
        <v>38</v>
      </c>
      <c r="C27" s="16">
        <v>50000</v>
      </c>
      <c r="D27" s="17">
        <v>0</v>
      </c>
      <c r="E27" s="17">
        <f t="shared" si="1"/>
        <v>50000</v>
      </c>
      <c r="F27" s="15">
        <v>50000</v>
      </c>
      <c r="G27" s="16">
        <v>50000</v>
      </c>
      <c r="H27" s="16">
        <v>50000</v>
      </c>
      <c r="I27" s="58">
        <v>50000</v>
      </c>
      <c r="J27" s="71">
        <f t="shared" si="2"/>
        <v>200000</v>
      </c>
      <c r="K27" s="71">
        <f t="shared" si="0"/>
        <v>250000</v>
      </c>
      <c r="M27"/>
    </row>
    <row r="28" spans="1:13">
      <c r="A28" s="1" t="s">
        <v>2</v>
      </c>
      <c r="B28" s="4" t="s">
        <v>39</v>
      </c>
      <c r="C28" s="16">
        <v>0</v>
      </c>
      <c r="D28" s="17">
        <v>0</v>
      </c>
      <c r="E28" s="17">
        <f t="shared" si="1"/>
        <v>0</v>
      </c>
      <c r="F28" s="15">
        <v>0</v>
      </c>
      <c r="G28" s="16">
        <v>0</v>
      </c>
      <c r="H28" s="16">
        <v>0</v>
      </c>
      <c r="I28" s="58">
        <v>0</v>
      </c>
      <c r="J28" s="71">
        <f t="shared" si="2"/>
        <v>0</v>
      </c>
      <c r="K28" s="71">
        <f t="shared" si="0"/>
        <v>0</v>
      </c>
      <c r="M28"/>
    </row>
    <row r="29" spans="1:13">
      <c r="A29" s="1" t="s">
        <v>2</v>
      </c>
      <c r="B29" s="4" t="s">
        <v>40</v>
      </c>
      <c r="C29" s="16">
        <v>0</v>
      </c>
      <c r="D29" s="17">
        <v>64090</v>
      </c>
      <c r="E29" s="17">
        <f t="shared" si="1"/>
        <v>64090</v>
      </c>
      <c r="F29" s="15">
        <v>0</v>
      </c>
      <c r="G29" s="16">
        <v>0</v>
      </c>
      <c r="H29" s="16">
        <v>0</v>
      </c>
      <c r="I29" s="58">
        <v>0</v>
      </c>
      <c r="J29" s="71">
        <f t="shared" si="2"/>
        <v>0</v>
      </c>
      <c r="K29" s="71">
        <f t="shared" si="0"/>
        <v>64090</v>
      </c>
      <c r="M29"/>
    </row>
    <row r="30" spans="1:13">
      <c r="A30" s="1" t="s">
        <v>2</v>
      </c>
      <c r="B30" s="4" t="s">
        <v>41</v>
      </c>
      <c r="C30" s="16">
        <v>0</v>
      </c>
      <c r="D30" s="17">
        <v>0</v>
      </c>
      <c r="E30" s="17">
        <f t="shared" si="1"/>
        <v>0</v>
      </c>
      <c r="F30" s="15">
        <v>0</v>
      </c>
      <c r="G30" s="16">
        <v>0</v>
      </c>
      <c r="H30" s="16">
        <v>0</v>
      </c>
      <c r="I30" s="58">
        <v>0</v>
      </c>
      <c r="J30" s="71">
        <f t="shared" si="2"/>
        <v>0</v>
      </c>
      <c r="K30" s="71">
        <f t="shared" si="0"/>
        <v>0</v>
      </c>
      <c r="M30"/>
    </row>
    <row r="31" spans="1:13">
      <c r="A31" s="1" t="s">
        <v>2</v>
      </c>
      <c r="B31" s="4" t="s">
        <v>42</v>
      </c>
      <c r="C31" s="16">
        <v>0</v>
      </c>
      <c r="D31" s="17">
        <v>0</v>
      </c>
      <c r="E31" s="17">
        <f t="shared" si="1"/>
        <v>0</v>
      </c>
      <c r="F31" s="15">
        <v>0</v>
      </c>
      <c r="G31" s="16">
        <v>0</v>
      </c>
      <c r="H31" s="16">
        <v>0</v>
      </c>
      <c r="I31" s="58">
        <v>0</v>
      </c>
      <c r="J31" s="71">
        <f t="shared" si="2"/>
        <v>0</v>
      </c>
      <c r="K31" s="71">
        <f t="shared" si="0"/>
        <v>0</v>
      </c>
      <c r="M31"/>
    </row>
    <row r="32" spans="1:13">
      <c r="A32" s="1" t="s">
        <v>2</v>
      </c>
      <c r="B32" s="4" t="s">
        <v>43</v>
      </c>
      <c r="C32" s="16">
        <v>0</v>
      </c>
      <c r="D32" s="17">
        <v>0</v>
      </c>
      <c r="E32" s="17">
        <f t="shared" si="1"/>
        <v>0</v>
      </c>
      <c r="F32" s="15">
        <v>1000</v>
      </c>
      <c r="G32" s="16">
        <v>1000</v>
      </c>
      <c r="H32" s="16">
        <v>0</v>
      </c>
      <c r="I32" s="58">
        <v>0</v>
      </c>
      <c r="J32" s="71">
        <f t="shared" si="2"/>
        <v>2000</v>
      </c>
      <c r="K32" s="71">
        <f t="shared" si="0"/>
        <v>2000</v>
      </c>
      <c r="M32"/>
    </row>
    <row r="33" spans="1:13">
      <c r="A33" s="1" t="s">
        <v>2</v>
      </c>
      <c r="B33" s="4" t="s">
        <v>44</v>
      </c>
      <c r="C33" s="16">
        <v>0</v>
      </c>
      <c r="D33" s="17">
        <v>0</v>
      </c>
      <c r="E33" s="17">
        <f t="shared" si="1"/>
        <v>0</v>
      </c>
      <c r="F33" s="15">
        <v>0</v>
      </c>
      <c r="G33" s="16">
        <v>0</v>
      </c>
      <c r="H33" s="16">
        <v>0</v>
      </c>
      <c r="I33" s="58">
        <v>0</v>
      </c>
      <c r="J33" s="71">
        <f t="shared" si="2"/>
        <v>0</v>
      </c>
      <c r="K33" s="71">
        <f t="shared" si="0"/>
        <v>0</v>
      </c>
      <c r="M33"/>
    </row>
    <row r="34" spans="1:13">
      <c r="A34" s="1" t="s">
        <v>2</v>
      </c>
      <c r="B34" s="4" t="s">
        <v>45</v>
      </c>
      <c r="C34" s="16">
        <v>0</v>
      </c>
      <c r="D34" s="17">
        <v>0</v>
      </c>
      <c r="E34" s="17">
        <f t="shared" si="1"/>
        <v>0</v>
      </c>
      <c r="F34" s="15">
        <v>0</v>
      </c>
      <c r="G34" s="16">
        <v>13000</v>
      </c>
      <c r="H34" s="16">
        <v>0</v>
      </c>
      <c r="I34" s="58">
        <v>13000</v>
      </c>
      <c r="J34" s="71">
        <f t="shared" si="2"/>
        <v>26000</v>
      </c>
      <c r="K34" s="71">
        <f t="shared" si="0"/>
        <v>26000</v>
      </c>
      <c r="M34"/>
    </row>
    <row r="35" spans="1:13">
      <c r="A35" s="1" t="s">
        <v>2</v>
      </c>
      <c r="B35" s="4" t="s">
        <v>46</v>
      </c>
      <c r="C35" s="16">
        <v>0</v>
      </c>
      <c r="D35" s="17">
        <v>0</v>
      </c>
      <c r="E35" s="17">
        <f t="shared" si="1"/>
        <v>0</v>
      </c>
      <c r="F35" s="15">
        <v>0</v>
      </c>
      <c r="G35" s="16">
        <v>0</v>
      </c>
      <c r="H35" s="16">
        <v>0</v>
      </c>
      <c r="I35" s="58">
        <v>0</v>
      </c>
      <c r="J35" s="71">
        <f t="shared" si="2"/>
        <v>0</v>
      </c>
      <c r="K35" s="71">
        <f t="shared" si="0"/>
        <v>0</v>
      </c>
      <c r="M35"/>
    </row>
    <row r="36" spans="1:13">
      <c r="A36" s="1" t="s">
        <v>2</v>
      </c>
      <c r="B36" s="4" t="s">
        <v>47</v>
      </c>
      <c r="C36" s="16">
        <v>0</v>
      </c>
      <c r="D36" s="17">
        <v>0</v>
      </c>
      <c r="E36" s="17">
        <f t="shared" si="1"/>
        <v>0</v>
      </c>
      <c r="F36" s="15">
        <v>0</v>
      </c>
      <c r="G36" s="16">
        <v>0</v>
      </c>
      <c r="H36" s="16">
        <v>0</v>
      </c>
      <c r="I36" s="58">
        <v>0</v>
      </c>
      <c r="J36" s="71">
        <f t="shared" si="2"/>
        <v>0</v>
      </c>
      <c r="K36" s="71">
        <f t="shared" si="0"/>
        <v>0</v>
      </c>
      <c r="M36"/>
    </row>
    <row r="37" spans="1:13">
      <c r="A37" s="1" t="s">
        <v>2</v>
      </c>
      <c r="B37" s="4" t="s">
        <v>48</v>
      </c>
      <c r="C37" s="16">
        <v>0</v>
      </c>
      <c r="D37" s="17">
        <v>0</v>
      </c>
      <c r="E37" s="17">
        <f t="shared" si="1"/>
        <v>0</v>
      </c>
      <c r="F37" s="15">
        <v>0</v>
      </c>
      <c r="G37" s="16">
        <v>0</v>
      </c>
      <c r="H37" s="16">
        <v>0</v>
      </c>
      <c r="I37" s="58">
        <v>0</v>
      </c>
      <c r="J37" s="71">
        <f t="shared" si="2"/>
        <v>0</v>
      </c>
      <c r="K37" s="71">
        <f t="shared" si="0"/>
        <v>0</v>
      </c>
      <c r="M37"/>
    </row>
    <row r="38" spans="1:13">
      <c r="A38" s="1" t="s">
        <v>2</v>
      </c>
      <c r="B38" s="4" t="s">
        <v>26</v>
      </c>
      <c r="C38" s="16">
        <v>0</v>
      </c>
      <c r="D38" s="17">
        <v>0</v>
      </c>
      <c r="E38" s="17">
        <f t="shared" si="1"/>
        <v>0</v>
      </c>
      <c r="F38" s="15">
        <v>75768</v>
      </c>
      <c r="G38" s="16">
        <v>104706</v>
      </c>
      <c r="H38" s="16">
        <v>39077</v>
      </c>
      <c r="I38" s="58">
        <v>71526</v>
      </c>
      <c r="J38" s="71">
        <f t="shared" si="2"/>
        <v>291077</v>
      </c>
      <c r="K38" s="71">
        <f t="shared" si="0"/>
        <v>291077</v>
      </c>
      <c r="M38"/>
    </row>
    <row r="39" spans="1:13">
      <c r="A39" s="1" t="s">
        <v>2</v>
      </c>
      <c r="B39" s="4" t="s">
        <v>49</v>
      </c>
      <c r="C39" s="16">
        <v>0</v>
      </c>
      <c r="D39" s="17">
        <v>0</v>
      </c>
      <c r="E39" s="17">
        <f t="shared" si="1"/>
        <v>0</v>
      </c>
      <c r="F39" s="15">
        <v>0</v>
      </c>
      <c r="G39" s="16">
        <v>8376</v>
      </c>
      <c r="H39" s="16">
        <v>18350</v>
      </c>
      <c r="I39" s="58">
        <v>13860</v>
      </c>
      <c r="J39" s="71">
        <f t="shared" si="2"/>
        <v>40586</v>
      </c>
      <c r="K39" s="71">
        <f t="shared" si="0"/>
        <v>40586</v>
      </c>
      <c r="M39"/>
    </row>
    <row r="40" spans="1:13">
      <c r="A40" s="1" t="s">
        <v>2</v>
      </c>
      <c r="B40" s="4" t="s">
        <v>50</v>
      </c>
      <c r="C40" s="16">
        <v>0</v>
      </c>
      <c r="D40" s="17">
        <v>0</v>
      </c>
      <c r="E40" s="17">
        <f t="shared" si="1"/>
        <v>0</v>
      </c>
      <c r="F40" s="15">
        <v>0</v>
      </c>
      <c r="G40" s="16">
        <v>0</v>
      </c>
      <c r="H40" s="16">
        <v>0</v>
      </c>
      <c r="I40" s="58">
        <v>0</v>
      </c>
      <c r="J40" s="71">
        <f t="shared" si="2"/>
        <v>0</v>
      </c>
      <c r="K40" s="71">
        <f t="shared" si="0"/>
        <v>0</v>
      </c>
      <c r="M40"/>
    </row>
    <row r="41" spans="1:13">
      <c r="A41" s="1" t="s">
        <v>2</v>
      </c>
      <c r="B41" s="4" t="s">
        <v>51</v>
      </c>
      <c r="C41" s="16">
        <v>0</v>
      </c>
      <c r="D41" s="17">
        <v>0</v>
      </c>
      <c r="E41" s="17">
        <f t="shared" si="1"/>
        <v>0</v>
      </c>
      <c r="F41" s="15">
        <v>0</v>
      </c>
      <c r="G41" s="16">
        <v>0</v>
      </c>
      <c r="H41" s="16">
        <v>0</v>
      </c>
      <c r="I41" s="58">
        <v>0</v>
      </c>
      <c r="J41" s="71">
        <f t="shared" si="2"/>
        <v>0</v>
      </c>
      <c r="K41" s="71">
        <f t="shared" si="0"/>
        <v>0</v>
      </c>
      <c r="M41"/>
    </row>
    <row r="42" spans="1:13">
      <c r="A42" s="1" t="s">
        <v>2</v>
      </c>
      <c r="B42" s="4" t="s">
        <v>52</v>
      </c>
      <c r="C42" s="16">
        <v>0</v>
      </c>
      <c r="D42" s="17">
        <v>0</v>
      </c>
      <c r="E42" s="17">
        <f t="shared" si="1"/>
        <v>0</v>
      </c>
      <c r="F42" s="15">
        <v>0</v>
      </c>
      <c r="G42" s="16">
        <v>0</v>
      </c>
      <c r="H42" s="16">
        <v>0</v>
      </c>
      <c r="I42" s="58">
        <v>0</v>
      </c>
      <c r="J42" s="71">
        <f t="shared" si="2"/>
        <v>0</v>
      </c>
      <c r="K42" s="71">
        <f t="shared" si="0"/>
        <v>0</v>
      </c>
      <c r="M42"/>
    </row>
    <row r="43" spans="1:13">
      <c r="A43" s="1" t="s">
        <v>2</v>
      </c>
      <c r="B43" s="4" t="s">
        <v>53</v>
      </c>
      <c r="C43" s="16">
        <v>0</v>
      </c>
      <c r="D43" s="17">
        <v>0</v>
      </c>
      <c r="E43" s="17">
        <f t="shared" si="1"/>
        <v>0</v>
      </c>
      <c r="F43" s="15">
        <v>0</v>
      </c>
      <c r="G43" s="16">
        <v>0</v>
      </c>
      <c r="H43" s="16">
        <v>0</v>
      </c>
      <c r="I43" s="58">
        <v>0</v>
      </c>
      <c r="J43" s="71">
        <f t="shared" si="2"/>
        <v>0</v>
      </c>
      <c r="K43" s="71">
        <f t="shared" si="0"/>
        <v>0</v>
      </c>
      <c r="M43"/>
    </row>
    <row r="44" spans="1:13">
      <c r="A44" s="1" t="s">
        <v>2</v>
      </c>
      <c r="B44" s="4" t="s">
        <v>31</v>
      </c>
      <c r="C44" s="16">
        <v>0</v>
      </c>
      <c r="D44" s="17">
        <v>0</v>
      </c>
      <c r="E44" s="17">
        <f t="shared" si="1"/>
        <v>0</v>
      </c>
      <c r="F44" s="15">
        <v>0</v>
      </c>
      <c r="G44" s="16">
        <v>0</v>
      </c>
      <c r="H44" s="16">
        <v>0</v>
      </c>
      <c r="I44" s="58">
        <v>0</v>
      </c>
      <c r="J44" s="71">
        <f t="shared" si="2"/>
        <v>0</v>
      </c>
      <c r="K44" s="71">
        <f t="shared" si="0"/>
        <v>0</v>
      </c>
      <c r="M44"/>
    </row>
    <row r="45" spans="1:13" ht="19.5" thickBot="1">
      <c r="A45" s="1" t="s">
        <v>2</v>
      </c>
      <c r="B45" s="35" t="s">
        <v>33</v>
      </c>
      <c r="C45" s="37">
        <v>1212</v>
      </c>
      <c r="D45" s="38">
        <v>0</v>
      </c>
      <c r="E45" s="38">
        <f t="shared" si="1"/>
        <v>1212</v>
      </c>
      <c r="F45" s="36">
        <v>1083</v>
      </c>
      <c r="G45" s="37">
        <v>3492</v>
      </c>
      <c r="H45" s="37">
        <v>1020</v>
      </c>
      <c r="I45" s="59">
        <v>3303</v>
      </c>
      <c r="J45" s="72">
        <f t="shared" si="2"/>
        <v>8898</v>
      </c>
      <c r="K45" s="72">
        <f t="shared" si="0"/>
        <v>10110</v>
      </c>
      <c r="M45"/>
    </row>
    <row r="46" spans="1:13" ht="19.5" thickBot="1">
      <c r="A46" s="1" t="s">
        <v>2</v>
      </c>
      <c r="B46" s="39" t="s">
        <v>54</v>
      </c>
      <c r="C46" s="41">
        <v>406212</v>
      </c>
      <c r="D46" s="42">
        <v>64090</v>
      </c>
      <c r="E46" s="42">
        <f t="shared" si="1"/>
        <v>470302</v>
      </c>
      <c r="F46" s="40">
        <v>317851</v>
      </c>
      <c r="G46" s="41">
        <v>375574</v>
      </c>
      <c r="H46" s="41">
        <v>285447</v>
      </c>
      <c r="I46" s="60">
        <v>333689</v>
      </c>
      <c r="J46" s="73">
        <f t="shared" si="2"/>
        <v>1312561</v>
      </c>
      <c r="K46" s="73">
        <f t="shared" si="0"/>
        <v>1782863</v>
      </c>
      <c r="M46"/>
    </row>
    <row r="47" spans="1:13" ht="19.5" thickBot="1">
      <c r="A47" s="1" t="s">
        <v>2</v>
      </c>
      <c r="B47" s="21" t="s">
        <v>55</v>
      </c>
      <c r="C47" s="30">
        <v>8659</v>
      </c>
      <c r="D47" s="31">
        <v>0</v>
      </c>
      <c r="E47" s="31">
        <f t="shared" si="1"/>
        <v>8659</v>
      </c>
      <c r="F47" s="29">
        <v>5151</v>
      </c>
      <c r="G47" s="30">
        <v>1296</v>
      </c>
      <c r="H47" s="30">
        <v>10443</v>
      </c>
      <c r="I47" s="57">
        <v>0</v>
      </c>
      <c r="J47" s="70">
        <f t="shared" si="2"/>
        <v>16890</v>
      </c>
      <c r="K47" s="70">
        <f t="shared" si="0"/>
        <v>25549</v>
      </c>
      <c r="M47"/>
    </row>
    <row r="48" spans="1:13" ht="19.5" thickBot="1">
      <c r="A48" s="1" t="s">
        <v>2</v>
      </c>
      <c r="B48" s="39" t="s">
        <v>56</v>
      </c>
      <c r="C48" s="41">
        <v>8659</v>
      </c>
      <c r="D48" s="42">
        <v>0</v>
      </c>
      <c r="E48" s="42">
        <f t="shared" si="1"/>
        <v>8659</v>
      </c>
      <c r="F48" s="40">
        <v>5151</v>
      </c>
      <c r="G48" s="41">
        <v>1296</v>
      </c>
      <c r="H48" s="41">
        <v>10443</v>
      </c>
      <c r="I48" s="60">
        <v>0</v>
      </c>
      <c r="J48" s="73">
        <f t="shared" si="2"/>
        <v>16890</v>
      </c>
      <c r="K48" s="73">
        <f t="shared" si="0"/>
        <v>25549</v>
      </c>
      <c r="M48"/>
    </row>
    <row r="49" spans="1:13" ht="19.5" thickBot="1">
      <c r="A49" s="1" t="s">
        <v>2</v>
      </c>
      <c r="B49" s="39" t="s">
        <v>57</v>
      </c>
      <c r="C49" s="41">
        <v>414871</v>
      </c>
      <c r="D49" s="42">
        <v>64090</v>
      </c>
      <c r="E49" s="42">
        <f t="shared" si="1"/>
        <v>478961</v>
      </c>
      <c r="F49" s="40">
        <v>323002</v>
      </c>
      <c r="G49" s="41">
        <v>376870</v>
      </c>
      <c r="H49" s="41">
        <v>295890</v>
      </c>
      <c r="I49" s="60">
        <v>333689</v>
      </c>
      <c r="J49" s="73">
        <f t="shared" si="2"/>
        <v>1329451</v>
      </c>
      <c r="K49" s="73">
        <f t="shared" si="0"/>
        <v>1808412</v>
      </c>
      <c r="M49"/>
    </row>
    <row r="50" spans="1:13">
      <c r="A50" s="1" t="s">
        <v>2</v>
      </c>
      <c r="B50" s="21" t="s">
        <v>58</v>
      </c>
      <c r="C50" s="30">
        <v>20910</v>
      </c>
      <c r="D50" s="31">
        <v>0</v>
      </c>
      <c r="E50" s="31">
        <f t="shared" si="1"/>
        <v>20910</v>
      </c>
      <c r="F50" s="29">
        <v>17340</v>
      </c>
      <c r="G50" s="30">
        <v>19380</v>
      </c>
      <c r="H50" s="30">
        <v>18360</v>
      </c>
      <c r="I50" s="57">
        <v>18360</v>
      </c>
      <c r="J50" s="70">
        <f t="shared" si="2"/>
        <v>73440</v>
      </c>
      <c r="K50" s="70">
        <f t="shared" si="0"/>
        <v>94350</v>
      </c>
      <c r="M50"/>
    </row>
    <row r="51" spans="1:13">
      <c r="A51" s="1" t="s">
        <v>2</v>
      </c>
      <c r="B51" s="4" t="s">
        <v>59</v>
      </c>
      <c r="C51" s="16">
        <v>3690</v>
      </c>
      <c r="D51" s="17">
        <v>0</v>
      </c>
      <c r="E51" s="17">
        <f t="shared" si="1"/>
        <v>3690</v>
      </c>
      <c r="F51" s="15">
        <v>3060</v>
      </c>
      <c r="G51" s="16">
        <v>3420</v>
      </c>
      <c r="H51" s="16">
        <v>3240</v>
      </c>
      <c r="I51" s="58">
        <v>3240</v>
      </c>
      <c r="J51" s="71">
        <f t="shared" si="2"/>
        <v>12960</v>
      </c>
      <c r="K51" s="71">
        <f t="shared" si="0"/>
        <v>16650</v>
      </c>
      <c r="M51"/>
    </row>
    <row r="52" spans="1:13">
      <c r="A52" s="1" t="s">
        <v>2</v>
      </c>
      <c r="B52" s="4" t="s">
        <v>60</v>
      </c>
      <c r="C52" s="16">
        <v>37515</v>
      </c>
      <c r="D52" s="17">
        <v>0</v>
      </c>
      <c r="E52" s="17">
        <f t="shared" si="1"/>
        <v>37515</v>
      </c>
      <c r="F52" s="15">
        <v>31110</v>
      </c>
      <c r="G52" s="16">
        <v>34770</v>
      </c>
      <c r="H52" s="16">
        <v>32940</v>
      </c>
      <c r="I52" s="58">
        <v>32940</v>
      </c>
      <c r="J52" s="71">
        <f t="shared" si="2"/>
        <v>131760</v>
      </c>
      <c r="K52" s="71">
        <f t="shared" si="0"/>
        <v>169275</v>
      </c>
      <c r="M52"/>
    </row>
    <row r="53" spans="1:13" ht="19.5" thickBot="1">
      <c r="A53" s="1" t="s">
        <v>2</v>
      </c>
      <c r="B53" s="4" t="s">
        <v>61</v>
      </c>
      <c r="C53" s="16">
        <v>1245</v>
      </c>
      <c r="D53" s="17">
        <v>0</v>
      </c>
      <c r="E53" s="17">
        <f t="shared" si="1"/>
        <v>1245</v>
      </c>
      <c r="F53" s="15">
        <v>969</v>
      </c>
      <c r="G53" s="16">
        <v>1131</v>
      </c>
      <c r="H53" s="16">
        <v>888</v>
      </c>
      <c r="I53" s="58">
        <v>1001</v>
      </c>
      <c r="J53" s="71">
        <f t="shared" si="2"/>
        <v>3989</v>
      </c>
      <c r="K53" s="71">
        <f t="shared" si="0"/>
        <v>5234</v>
      </c>
      <c r="M53"/>
    </row>
    <row r="54" spans="1:13" ht="19.5" thickBot="1">
      <c r="A54" s="1" t="s">
        <v>2</v>
      </c>
      <c r="B54" s="39" t="s">
        <v>62</v>
      </c>
      <c r="C54" s="41">
        <v>63360</v>
      </c>
      <c r="D54" s="42">
        <v>0</v>
      </c>
      <c r="E54" s="42">
        <f t="shared" si="1"/>
        <v>63360</v>
      </c>
      <c r="F54" s="40">
        <v>52479</v>
      </c>
      <c r="G54" s="41">
        <v>58701</v>
      </c>
      <c r="H54" s="41">
        <v>55428</v>
      </c>
      <c r="I54" s="60">
        <v>55541</v>
      </c>
      <c r="J54" s="73">
        <f t="shared" si="2"/>
        <v>222149</v>
      </c>
      <c r="K54" s="73">
        <f t="shared" si="0"/>
        <v>285509</v>
      </c>
      <c r="M54"/>
    </row>
    <row r="55" spans="1:13">
      <c r="A55" s="1" t="s">
        <v>2</v>
      </c>
      <c r="B55" s="21" t="s">
        <v>63</v>
      </c>
      <c r="C55" s="30">
        <v>8650</v>
      </c>
      <c r="D55" s="31">
        <v>0</v>
      </c>
      <c r="E55" s="31">
        <f t="shared" si="1"/>
        <v>8650</v>
      </c>
      <c r="F55" s="29">
        <v>7100</v>
      </c>
      <c r="G55" s="30">
        <v>9760</v>
      </c>
      <c r="H55" s="30">
        <v>5840</v>
      </c>
      <c r="I55" s="57">
        <v>4320</v>
      </c>
      <c r="J55" s="70">
        <f t="shared" si="2"/>
        <v>27020</v>
      </c>
      <c r="K55" s="70">
        <f t="shared" si="0"/>
        <v>35670</v>
      </c>
      <c r="M55"/>
    </row>
    <row r="56" spans="1:13">
      <c r="A56" s="1" t="s">
        <v>2</v>
      </c>
      <c r="B56" s="4" t="s">
        <v>64</v>
      </c>
      <c r="C56" s="16">
        <v>0</v>
      </c>
      <c r="D56" s="17">
        <v>0</v>
      </c>
      <c r="E56" s="17">
        <f t="shared" si="1"/>
        <v>0</v>
      </c>
      <c r="F56" s="15">
        <v>0</v>
      </c>
      <c r="G56" s="16">
        <v>0</v>
      </c>
      <c r="H56" s="16">
        <v>0</v>
      </c>
      <c r="I56" s="58">
        <v>0</v>
      </c>
      <c r="J56" s="71">
        <f t="shared" si="2"/>
        <v>0</v>
      </c>
      <c r="K56" s="71">
        <f t="shared" si="0"/>
        <v>0</v>
      </c>
      <c r="M56"/>
    </row>
    <row r="57" spans="1:13">
      <c r="A57" s="1" t="s">
        <v>2</v>
      </c>
      <c r="B57" s="4" t="s">
        <v>65</v>
      </c>
      <c r="C57" s="16">
        <v>16300</v>
      </c>
      <c r="D57" s="17">
        <v>0</v>
      </c>
      <c r="E57" s="17">
        <f t="shared" si="1"/>
        <v>16300</v>
      </c>
      <c r="F57" s="15">
        <v>14800</v>
      </c>
      <c r="G57" s="16">
        <v>17000</v>
      </c>
      <c r="H57" s="16">
        <v>12100</v>
      </c>
      <c r="I57" s="58">
        <v>5000</v>
      </c>
      <c r="J57" s="71">
        <f t="shared" si="2"/>
        <v>48900</v>
      </c>
      <c r="K57" s="71">
        <f t="shared" ref="K57:K63" si="3">SUM(E57+J57)</f>
        <v>65200</v>
      </c>
      <c r="M57"/>
    </row>
    <row r="58" spans="1:13" ht="19.5" thickBot="1">
      <c r="A58" s="1" t="s">
        <v>2</v>
      </c>
      <c r="B58" s="4" t="s">
        <v>66</v>
      </c>
      <c r="C58" s="16">
        <v>0</v>
      </c>
      <c r="D58" s="17">
        <v>0</v>
      </c>
      <c r="E58" s="17">
        <f t="shared" si="1"/>
        <v>0</v>
      </c>
      <c r="F58" s="15">
        <v>0</v>
      </c>
      <c r="G58" s="16">
        <v>0</v>
      </c>
      <c r="H58" s="16">
        <v>0</v>
      </c>
      <c r="I58" s="58">
        <v>0</v>
      </c>
      <c r="J58" s="71">
        <f t="shared" si="2"/>
        <v>0</v>
      </c>
      <c r="K58" s="71">
        <f t="shared" si="3"/>
        <v>0</v>
      </c>
      <c r="M58"/>
    </row>
    <row r="59" spans="1:13" ht="19.5" thickBot="1">
      <c r="A59" s="1" t="s">
        <v>2</v>
      </c>
      <c r="B59" s="39" t="s">
        <v>67</v>
      </c>
      <c r="C59" s="41">
        <v>88310</v>
      </c>
      <c r="D59" s="42">
        <v>0</v>
      </c>
      <c r="E59" s="42">
        <f t="shared" si="1"/>
        <v>88310</v>
      </c>
      <c r="F59" s="40">
        <v>74379</v>
      </c>
      <c r="G59" s="41">
        <v>85461</v>
      </c>
      <c r="H59" s="41">
        <v>73368</v>
      </c>
      <c r="I59" s="60">
        <v>64861</v>
      </c>
      <c r="J59" s="73">
        <f t="shared" si="2"/>
        <v>298069</v>
      </c>
      <c r="K59" s="73">
        <f t="shared" si="3"/>
        <v>386379</v>
      </c>
      <c r="M59"/>
    </row>
    <row r="60" spans="1:13" ht="19.5" thickBot="1">
      <c r="A60" s="1" t="s">
        <v>2</v>
      </c>
      <c r="B60" s="39" t="s">
        <v>68</v>
      </c>
      <c r="C60" s="41">
        <v>342852</v>
      </c>
      <c r="D60" s="42">
        <v>64090</v>
      </c>
      <c r="E60" s="42">
        <f t="shared" si="1"/>
        <v>406942</v>
      </c>
      <c r="F60" s="40">
        <v>265372</v>
      </c>
      <c r="G60" s="41">
        <v>316873</v>
      </c>
      <c r="H60" s="41">
        <v>230019</v>
      </c>
      <c r="I60" s="60">
        <v>278148</v>
      </c>
      <c r="J60" s="73">
        <f t="shared" si="2"/>
        <v>1090412</v>
      </c>
      <c r="K60" s="73">
        <f t="shared" si="3"/>
        <v>1497354</v>
      </c>
      <c r="M60"/>
    </row>
    <row r="61" spans="1:13" ht="19.5" thickBot="1">
      <c r="A61" s="1" t="s">
        <v>2</v>
      </c>
      <c r="B61" s="39" t="s">
        <v>69</v>
      </c>
      <c r="C61" s="41">
        <v>326561</v>
      </c>
      <c r="D61" s="42">
        <v>64090</v>
      </c>
      <c r="E61" s="42">
        <f t="shared" si="1"/>
        <v>390651</v>
      </c>
      <c r="F61" s="40">
        <v>248623</v>
      </c>
      <c r="G61" s="41">
        <v>291409</v>
      </c>
      <c r="H61" s="41">
        <v>222522</v>
      </c>
      <c r="I61" s="60">
        <v>268828</v>
      </c>
      <c r="J61" s="73">
        <f t="shared" si="2"/>
        <v>1031382</v>
      </c>
      <c r="K61" s="73">
        <f t="shared" si="3"/>
        <v>1422033</v>
      </c>
      <c r="M61"/>
    </row>
    <row r="62" spans="1:13">
      <c r="A62" s="1" t="s">
        <v>2</v>
      </c>
      <c r="B62" s="21" t="s">
        <v>70</v>
      </c>
      <c r="C62" s="30">
        <v>0</v>
      </c>
      <c r="D62" s="31">
        <v>0</v>
      </c>
      <c r="E62" s="31">
        <f t="shared" si="1"/>
        <v>0</v>
      </c>
      <c r="F62" s="29">
        <v>0</v>
      </c>
      <c r="G62" s="30">
        <v>0</v>
      </c>
      <c r="H62" s="30">
        <v>0</v>
      </c>
      <c r="I62" s="57">
        <v>0</v>
      </c>
      <c r="J62" s="70">
        <f t="shared" si="2"/>
        <v>0</v>
      </c>
      <c r="K62" s="70">
        <f t="shared" si="3"/>
        <v>0</v>
      </c>
      <c r="M62"/>
    </row>
    <row r="63" spans="1:13">
      <c r="A63" s="1" t="s">
        <v>2</v>
      </c>
      <c r="B63" s="4" t="s">
        <v>71</v>
      </c>
      <c r="C63" s="16">
        <v>326561</v>
      </c>
      <c r="D63" s="17">
        <v>64090</v>
      </c>
      <c r="E63" s="17">
        <f t="shared" si="1"/>
        <v>390651</v>
      </c>
      <c r="F63" s="15">
        <v>248623</v>
      </c>
      <c r="G63" s="16">
        <v>291409</v>
      </c>
      <c r="H63" s="16">
        <v>222522</v>
      </c>
      <c r="I63" s="58">
        <v>268828</v>
      </c>
      <c r="J63" s="71">
        <f t="shared" si="2"/>
        <v>1031382</v>
      </c>
      <c r="K63" s="71">
        <f t="shared" si="3"/>
        <v>1422033</v>
      </c>
      <c r="M63"/>
    </row>
    <row r="64" spans="1:13">
      <c r="A64" s="1" t="s">
        <v>2</v>
      </c>
      <c r="B64" s="4" t="s">
        <v>72</v>
      </c>
      <c r="C64" s="16">
        <v>1</v>
      </c>
      <c r="D64" s="17">
        <v>0</v>
      </c>
      <c r="E64" s="47"/>
      <c r="F64" s="15">
        <v>0</v>
      </c>
      <c r="G64" s="16">
        <v>0</v>
      </c>
      <c r="H64" s="16">
        <v>0</v>
      </c>
      <c r="I64" s="58">
        <v>2</v>
      </c>
      <c r="J64" s="71"/>
      <c r="K64" s="71"/>
      <c r="M64"/>
    </row>
    <row r="65" spans="1:11" ht="19.5" thickBot="1">
      <c r="A65" s="1" t="s">
        <v>2</v>
      </c>
      <c r="B65" s="5" t="s">
        <v>73</v>
      </c>
      <c r="C65" s="19" t="s">
        <v>74</v>
      </c>
      <c r="D65" s="20" t="s">
        <v>74</v>
      </c>
      <c r="E65" s="48"/>
      <c r="F65" s="18" t="s">
        <v>74</v>
      </c>
      <c r="G65" s="19" t="s">
        <v>74</v>
      </c>
      <c r="H65" s="19" t="s">
        <v>74</v>
      </c>
      <c r="I65" s="61" t="s">
        <v>74</v>
      </c>
      <c r="J65" s="74"/>
      <c r="K65" s="74"/>
    </row>
  </sheetData>
  <phoneticPr fontId="3"/>
  <pageMargins left="0.11811023622047245" right="0.11811023622047245" top="0.15748031496062992" bottom="0.15748031496062992" header="0.11811023622047245" footer="0.11811023622047245"/>
  <pageSetup paperSize="12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1月度給与 (2)</vt:lpstr>
      <vt:lpstr>'2022年 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2022-02-10T08:31:27Z</cp:lastPrinted>
  <dcterms:created xsi:type="dcterms:W3CDTF">2022-02-09T06:41:58Z</dcterms:created>
  <dcterms:modified xsi:type="dcterms:W3CDTF">2022-02-12T01:25:35Z</dcterms:modified>
</cp:coreProperties>
</file>