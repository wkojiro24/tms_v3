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1\"/>
    </mc:Choice>
  </mc:AlternateContent>
  <xr:revisionPtr revIDLastSave="0" documentId="13_ncr:1_{0F770776-7629-4482-8A8F-67F1A1C6FC0E}" xr6:coauthVersionLast="47" xr6:coauthVersionMax="47" xr10:uidLastSave="{00000000-0000-0000-0000-000000000000}"/>
  <bookViews>
    <workbookView xWindow="-120" yWindow="-120" windowWidth="20730" windowHeight="11160" xr2:uid="{6111C96E-CDAC-4772-946C-84593A28867C}"/>
  </bookViews>
  <sheets>
    <sheet name="2022年 1月度給与 (2)" sheetId="3" r:id="rId1"/>
  </sheets>
  <definedNames>
    <definedName name="_xlnm.Print_Area" localSheetId="0">'2022年 1月度給与 (2)'!$A$1:$N$62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3" l="1"/>
  <c r="N13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22" i="3"/>
  <c r="M21" i="3"/>
  <c r="M20" i="3"/>
  <c r="M15" i="3"/>
  <c r="N15" i="3" s="1"/>
  <c r="M16" i="3"/>
  <c r="M17" i="3"/>
  <c r="N17" i="3" s="1"/>
  <c r="M18" i="3"/>
  <c r="M19" i="3"/>
  <c r="M14" i="3"/>
  <c r="M8" i="3"/>
  <c r="M9" i="3"/>
  <c r="M10" i="3"/>
  <c r="M11" i="3"/>
  <c r="N11" i="3" s="1"/>
  <c r="M7" i="3"/>
  <c r="N7" i="3" s="1"/>
  <c r="M6" i="3"/>
  <c r="F23" i="3"/>
  <c r="F24" i="3"/>
  <c r="F25" i="3"/>
  <c r="F26" i="3"/>
  <c r="N26" i="3" s="1"/>
  <c r="F27" i="3"/>
  <c r="F28" i="3"/>
  <c r="F29" i="3"/>
  <c r="F30" i="3"/>
  <c r="N30" i="3" s="1"/>
  <c r="F31" i="3"/>
  <c r="N31" i="3" s="1"/>
  <c r="F32" i="3"/>
  <c r="F33" i="3"/>
  <c r="F34" i="3"/>
  <c r="F35" i="3"/>
  <c r="N35" i="3" s="1"/>
  <c r="F36" i="3"/>
  <c r="F37" i="3"/>
  <c r="F38" i="3"/>
  <c r="N38" i="3" s="1"/>
  <c r="F39" i="3"/>
  <c r="F40" i="3"/>
  <c r="F41" i="3"/>
  <c r="F42" i="3"/>
  <c r="N42" i="3" s="1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22" i="3"/>
  <c r="F21" i="3"/>
  <c r="F20" i="3"/>
  <c r="F19" i="3"/>
  <c r="F18" i="3"/>
  <c r="N18" i="3" s="1"/>
  <c r="F16" i="3"/>
  <c r="F14" i="3"/>
  <c r="F9" i="3"/>
  <c r="F10" i="3"/>
  <c r="F8" i="3"/>
  <c r="F6" i="3"/>
  <c r="N49" i="3" l="1"/>
  <c r="N33" i="3"/>
  <c r="N10" i="3"/>
  <c r="N19" i="3"/>
  <c r="N60" i="3"/>
  <c r="N56" i="3"/>
  <c r="N52" i="3"/>
  <c r="N21" i="3"/>
  <c r="N58" i="3"/>
  <c r="N54" i="3"/>
  <c r="N51" i="3"/>
  <c r="N47" i="3"/>
  <c r="N44" i="3"/>
  <c r="N40" i="3"/>
  <c r="N36" i="3"/>
  <c r="N8" i="3"/>
  <c r="N20" i="3"/>
  <c r="N55" i="3"/>
  <c r="N48" i="3"/>
  <c r="N45" i="3"/>
  <c r="N41" i="3"/>
  <c r="N37" i="3"/>
  <c r="N34" i="3"/>
  <c r="N28" i="3"/>
  <c r="N24" i="3"/>
  <c r="N59" i="3"/>
  <c r="N57" i="3"/>
  <c r="N53" i="3"/>
  <c r="N43" i="3"/>
  <c r="N39" i="3"/>
  <c r="N32" i="3"/>
  <c r="N27" i="3"/>
  <c r="N23" i="3"/>
  <c r="N22" i="3"/>
  <c r="N50" i="3"/>
  <c r="N46" i="3"/>
  <c r="N29" i="3"/>
  <c r="N25" i="3"/>
  <c r="N14" i="3"/>
  <c r="N6" i="3"/>
  <c r="N16" i="3"/>
  <c r="N9" i="3"/>
</calcChain>
</file>

<file path=xl/sharedStrings.xml><?xml version="1.0" encoding="utf-8"?>
<sst xmlns="http://schemas.openxmlformats.org/spreadsheetml/2006/main" count="151" uniqueCount="83">
  <si>
    <t>支給控除一覧表</t>
    <phoneticPr fontId="4"/>
  </si>
  <si>
    <t>若林運送株式会社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</si>
  <si>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</si>
  <si>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</si>
  <si>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</si>
  <si>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</si>
  <si>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</si>
  <si>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</si>
  <si>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</si>
  <si>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</si>
  <si>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</si>
  <si>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</si>
  <si>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</si>
  <si>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</si>
  <si>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</si>
  <si>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</si>
  <si>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</si>
  <si>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</si>
  <si>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ゆうこ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</si>
  <si>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</si>
  <si>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</si>
  <si>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</si>
  <si>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</si>
  <si>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</si>
  <si>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</si>
  <si>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</si>
  <si>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</si>
  <si>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</si>
  <si>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</si>
  <si>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</si>
  <si>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</si>
  <si>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</si>
  <si>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</si>
  <si>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</si>
  <si>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</si>
  <si>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</si>
  <si>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</si>
  <si>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</si>
  <si>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</si>
  <si>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</si>
  <si>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</si>
  <si>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</si>
  <si>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</si>
  <si>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</si>
  <si>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</si>
  <si>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</si>
  <si>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</si>
  <si>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</si>
  <si>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</si>
  <si>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</si>
  <si>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</si>
  <si>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</si>
  <si>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</si>
  <si>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</si>
  <si>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</si>
  <si>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</si>
  <si>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</si>
  <si>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</si>
  <si>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</si>
  <si>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</si>
  <si>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</si>
  <si>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</si>
  <si>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</si>
  <si>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</si>
  <si>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</si>
  <si>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</si>
  <si>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</si>
  <si>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</si>
  <si>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</si>
  <si>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</si>
  <si>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</si>
  <si>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</si>
  <si>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</si>
  <si>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</si>
  <si>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</si>
  <si>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</si>
  <si>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</si>
  <si>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</si>
  <si>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1月度給与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</si>
  <si>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</si>
  <si>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</si>
  <si>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6名</t>
    <rPh sb="1" eb="2">
      <t>メイ</t>
    </rPh>
    <phoneticPr fontId="3"/>
  </si>
  <si>
    <t>９名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</si>
</sst>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49" fontId="2" fillId="0" borderId="32" xfId="1" applyNumberFormat="1" applyFont="1" applyBorder="1" applyAlignment="1">
      <alignment horizontal="left"/>
    </xf>
    <xf numFmtId="49" fontId="2" fillId="0" borderId="33" xfId="1" applyNumberFormat="1" applyFont="1" applyBorder="1" applyAlignment="1">
      <alignment horizontal="right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25" xfId="1" applyNumberFormat="1" applyFont="1" applyBorder="1"/>
    <xf numFmtId="49" fontId="2" fillId="0" borderId="33" xfId="1" applyNumberFormat="1" applyFont="1" applyBorder="1"/>
    <xf numFmtId="0" fontId="2" fillId="0" borderId="32" xfId="1" applyFont="1" applyBorder="1"/>
    <xf numFmtId="0" fontId="2" fillId="0" borderId="33" xfId="1" applyFont="1" applyBorder="1" applyAlignment="1">
      <alignment horizontal="right"/>
    </xf>
    <xf numFmtId="0" fontId="2" fillId="0" borderId="37" xfId="1" applyFont="1" applyBorder="1"/>
  </cellXfs>
  <cellStyles count="2">
    <cellStyle name="標準" xfId="0" builtinId="0"/>
    <cellStyle name="標準 2" xfId="1" xr:uid="{FDB93EFD-CA78-4D3B-AEDC-3D645D179F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317E-06F7-4CCB-ADDE-B248D3259D23}">
  <sheetPr>
    <pageSetUpPr fitToPage="1"/>
  </sheetPr>
  <dimension ref="A1:P62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4" width="10.125" style="2" customWidth="1"/>
    <col min="15" max="258" width="9" style="2"/>
    <col min="259" max="259" width="2.375" style="2" customWidth="1"/>
    <col min="260" max="260" width="13.25" style="2" bestFit="1" customWidth="1"/>
    <col min="261" max="262" width="9" style="2"/>
    <col min="263" max="265" width="11.125" style="2" bestFit="1" customWidth="1"/>
    <col min="266" max="266" width="13.25" style="2" bestFit="1" customWidth="1"/>
    <col min="267" max="268" width="11.125" style="2" bestFit="1" customWidth="1"/>
    <col min="269" max="269" width="9" style="2"/>
    <col min="270" max="270" width="9.625" style="2" bestFit="1" customWidth="1"/>
    <col min="271" max="514" width="9" style="2"/>
    <col min="515" max="515" width="2.375" style="2" customWidth="1"/>
    <col min="516" max="516" width="13.25" style="2" bestFit="1" customWidth="1"/>
    <col min="517" max="518" width="9" style="2"/>
    <col min="519" max="521" width="11.125" style="2" bestFit="1" customWidth="1"/>
    <col min="522" max="522" width="13.25" style="2" bestFit="1" customWidth="1"/>
    <col min="523" max="524" width="11.125" style="2" bestFit="1" customWidth="1"/>
    <col min="525" max="525" width="9" style="2"/>
    <col min="526" max="526" width="9.625" style="2" bestFit="1" customWidth="1"/>
    <col min="527" max="770" width="9" style="2"/>
    <col min="771" max="771" width="2.375" style="2" customWidth="1"/>
    <col min="772" max="772" width="13.25" style="2" bestFit="1" customWidth="1"/>
    <col min="773" max="774" width="9" style="2"/>
    <col min="775" max="777" width="11.125" style="2" bestFit="1" customWidth="1"/>
    <col min="778" max="778" width="13.25" style="2" bestFit="1" customWidth="1"/>
    <col min="779" max="780" width="11.125" style="2" bestFit="1" customWidth="1"/>
    <col min="781" max="781" width="9" style="2"/>
    <col min="782" max="782" width="9.625" style="2" bestFit="1" customWidth="1"/>
    <col min="783" max="1026" width="9" style="2"/>
    <col min="1027" max="1027" width="2.375" style="2" customWidth="1"/>
    <col min="1028" max="1028" width="13.25" style="2" bestFit="1" customWidth="1"/>
    <col min="1029" max="1030" width="9" style="2"/>
    <col min="1031" max="1033" width="11.125" style="2" bestFit="1" customWidth="1"/>
    <col min="1034" max="1034" width="13.25" style="2" bestFit="1" customWidth="1"/>
    <col min="1035" max="1036" width="11.125" style="2" bestFit="1" customWidth="1"/>
    <col min="1037" max="1037" width="9" style="2"/>
    <col min="1038" max="1038" width="9.625" style="2" bestFit="1" customWidth="1"/>
    <col min="1039" max="1282" width="9" style="2"/>
    <col min="1283" max="1283" width="2.375" style="2" customWidth="1"/>
    <col min="1284" max="1284" width="13.25" style="2" bestFit="1" customWidth="1"/>
    <col min="1285" max="1286" width="9" style="2"/>
    <col min="1287" max="1289" width="11.125" style="2" bestFit="1" customWidth="1"/>
    <col min="1290" max="1290" width="13.25" style="2" bestFit="1" customWidth="1"/>
    <col min="1291" max="1292" width="11.125" style="2" bestFit="1" customWidth="1"/>
    <col min="1293" max="1293" width="9" style="2"/>
    <col min="1294" max="1294" width="9.625" style="2" bestFit="1" customWidth="1"/>
    <col min="1295" max="1538" width="9" style="2"/>
    <col min="1539" max="1539" width="2.375" style="2" customWidth="1"/>
    <col min="1540" max="1540" width="13.25" style="2" bestFit="1" customWidth="1"/>
    <col min="1541" max="1542" width="9" style="2"/>
    <col min="1543" max="1545" width="11.125" style="2" bestFit="1" customWidth="1"/>
    <col min="1546" max="1546" width="13.25" style="2" bestFit="1" customWidth="1"/>
    <col min="1547" max="1548" width="11.125" style="2" bestFit="1" customWidth="1"/>
    <col min="1549" max="1549" width="9" style="2"/>
    <col min="1550" max="1550" width="9.625" style="2" bestFit="1" customWidth="1"/>
    <col min="1551" max="1794" width="9" style="2"/>
    <col min="1795" max="1795" width="2.375" style="2" customWidth="1"/>
    <col min="1796" max="1796" width="13.25" style="2" bestFit="1" customWidth="1"/>
    <col min="1797" max="1798" width="9" style="2"/>
    <col min="1799" max="1801" width="11.125" style="2" bestFit="1" customWidth="1"/>
    <col min="1802" max="1802" width="13.25" style="2" bestFit="1" customWidth="1"/>
    <col min="1803" max="1804" width="11.125" style="2" bestFit="1" customWidth="1"/>
    <col min="1805" max="1805" width="9" style="2"/>
    <col min="1806" max="1806" width="9.625" style="2" bestFit="1" customWidth="1"/>
    <col min="1807" max="2050" width="9" style="2"/>
    <col min="2051" max="2051" width="2.375" style="2" customWidth="1"/>
    <col min="2052" max="2052" width="13.25" style="2" bestFit="1" customWidth="1"/>
    <col min="2053" max="2054" width="9" style="2"/>
    <col min="2055" max="2057" width="11.125" style="2" bestFit="1" customWidth="1"/>
    <col min="2058" max="2058" width="13.25" style="2" bestFit="1" customWidth="1"/>
    <col min="2059" max="2060" width="11.125" style="2" bestFit="1" customWidth="1"/>
    <col min="2061" max="2061" width="9" style="2"/>
    <col min="2062" max="2062" width="9.625" style="2" bestFit="1" customWidth="1"/>
    <col min="2063" max="2306" width="9" style="2"/>
    <col min="2307" max="2307" width="2.375" style="2" customWidth="1"/>
    <col min="2308" max="2308" width="13.25" style="2" bestFit="1" customWidth="1"/>
    <col min="2309" max="2310" width="9" style="2"/>
    <col min="2311" max="2313" width="11.125" style="2" bestFit="1" customWidth="1"/>
    <col min="2314" max="2314" width="13.25" style="2" bestFit="1" customWidth="1"/>
    <col min="2315" max="2316" width="11.125" style="2" bestFit="1" customWidth="1"/>
    <col min="2317" max="2317" width="9" style="2"/>
    <col min="2318" max="2318" width="9.625" style="2" bestFit="1" customWidth="1"/>
    <col min="2319" max="2562" width="9" style="2"/>
    <col min="2563" max="2563" width="2.375" style="2" customWidth="1"/>
    <col min="2564" max="2564" width="13.25" style="2" bestFit="1" customWidth="1"/>
    <col min="2565" max="2566" width="9" style="2"/>
    <col min="2567" max="2569" width="11.125" style="2" bestFit="1" customWidth="1"/>
    <col min="2570" max="2570" width="13.25" style="2" bestFit="1" customWidth="1"/>
    <col min="2571" max="2572" width="11.125" style="2" bestFit="1" customWidth="1"/>
    <col min="2573" max="2573" width="9" style="2"/>
    <col min="2574" max="2574" width="9.625" style="2" bestFit="1" customWidth="1"/>
    <col min="2575" max="2818" width="9" style="2"/>
    <col min="2819" max="2819" width="2.375" style="2" customWidth="1"/>
    <col min="2820" max="2820" width="13.25" style="2" bestFit="1" customWidth="1"/>
    <col min="2821" max="2822" width="9" style="2"/>
    <col min="2823" max="2825" width="11.125" style="2" bestFit="1" customWidth="1"/>
    <col min="2826" max="2826" width="13.25" style="2" bestFit="1" customWidth="1"/>
    <col min="2827" max="2828" width="11.125" style="2" bestFit="1" customWidth="1"/>
    <col min="2829" max="2829" width="9" style="2"/>
    <col min="2830" max="2830" width="9.625" style="2" bestFit="1" customWidth="1"/>
    <col min="2831" max="3074" width="9" style="2"/>
    <col min="3075" max="3075" width="2.375" style="2" customWidth="1"/>
    <col min="3076" max="3076" width="13.25" style="2" bestFit="1" customWidth="1"/>
    <col min="3077" max="3078" width="9" style="2"/>
    <col min="3079" max="3081" width="11.125" style="2" bestFit="1" customWidth="1"/>
    <col min="3082" max="3082" width="13.25" style="2" bestFit="1" customWidth="1"/>
    <col min="3083" max="3084" width="11.125" style="2" bestFit="1" customWidth="1"/>
    <col min="3085" max="3085" width="9" style="2"/>
    <col min="3086" max="3086" width="9.625" style="2" bestFit="1" customWidth="1"/>
    <col min="3087" max="3330" width="9" style="2"/>
    <col min="3331" max="3331" width="2.375" style="2" customWidth="1"/>
    <col min="3332" max="3332" width="13.25" style="2" bestFit="1" customWidth="1"/>
    <col min="3333" max="3334" width="9" style="2"/>
    <col min="3335" max="3337" width="11.125" style="2" bestFit="1" customWidth="1"/>
    <col min="3338" max="3338" width="13.25" style="2" bestFit="1" customWidth="1"/>
    <col min="3339" max="3340" width="11.125" style="2" bestFit="1" customWidth="1"/>
    <col min="3341" max="3341" width="9" style="2"/>
    <col min="3342" max="3342" width="9.625" style="2" bestFit="1" customWidth="1"/>
    <col min="3343" max="3586" width="9" style="2"/>
    <col min="3587" max="3587" width="2.375" style="2" customWidth="1"/>
    <col min="3588" max="3588" width="13.25" style="2" bestFit="1" customWidth="1"/>
    <col min="3589" max="3590" width="9" style="2"/>
    <col min="3591" max="3593" width="11.125" style="2" bestFit="1" customWidth="1"/>
    <col min="3594" max="3594" width="13.25" style="2" bestFit="1" customWidth="1"/>
    <col min="3595" max="3596" width="11.125" style="2" bestFit="1" customWidth="1"/>
    <col min="3597" max="3597" width="9" style="2"/>
    <col min="3598" max="3598" width="9.625" style="2" bestFit="1" customWidth="1"/>
    <col min="3599" max="3842" width="9" style="2"/>
    <col min="3843" max="3843" width="2.375" style="2" customWidth="1"/>
    <col min="3844" max="3844" width="13.25" style="2" bestFit="1" customWidth="1"/>
    <col min="3845" max="3846" width="9" style="2"/>
    <col min="3847" max="3849" width="11.125" style="2" bestFit="1" customWidth="1"/>
    <col min="3850" max="3850" width="13.25" style="2" bestFit="1" customWidth="1"/>
    <col min="3851" max="3852" width="11.125" style="2" bestFit="1" customWidth="1"/>
    <col min="3853" max="3853" width="9" style="2"/>
    <col min="3854" max="3854" width="9.625" style="2" bestFit="1" customWidth="1"/>
    <col min="3855" max="4098" width="9" style="2"/>
    <col min="4099" max="4099" width="2.375" style="2" customWidth="1"/>
    <col min="4100" max="4100" width="13.25" style="2" bestFit="1" customWidth="1"/>
    <col min="4101" max="4102" width="9" style="2"/>
    <col min="4103" max="4105" width="11.125" style="2" bestFit="1" customWidth="1"/>
    <col min="4106" max="4106" width="13.25" style="2" bestFit="1" customWidth="1"/>
    <col min="4107" max="4108" width="11.125" style="2" bestFit="1" customWidth="1"/>
    <col min="4109" max="4109" width="9" style="2"/>
    <col min="4110" max="4110" width="9.625" style="2" bestFit="1" customWidth="1"/>
    <col min="4111" max="4354" width="9" style="2"/>
    <col min="4355" max="4355" width="2.375" style="2" customWidth="1"/>
    <col min="4356" max="4356" width="13.25" style="2" bestFit="1" customWidth="1"/>
    <col min="4357" max="4358" width="9" style="2"/>
    <col min="4359" max="4361" width="11.125" style="2" bestFit="1" customWidth="1"/>
    <col min="4362" max="4362" width="13.25" style="2" bestFit="1" customWidth="1"/>
    <col min="4363" max="4364" width="11.125" style="2" bestFit="1" customWidth="1"/>
    <col min="4365" max="4365" width="9" style="2"/>
    <col min="4366" max="4366" width="9.625" style="2" bestFit="1" customWidth="1"/>
    <col min="4367" max="4610" width="9" style="2"/>
    <col min="4611" max="4611" width="2.375" style="2" customWidth="1"/>
    <col min="4612" max="4612" width="13.25" style="2" bestFit="1" customWidth="1"/>
    <col min="4613" max="4614" width="9" style="2"/>
    <col min="4615" max="4617" width="11.125" style="2" bestFit="1" customWidth="1"/>
    <col min="4618" max="4618" width="13.25" style="2" bestFit="1" customWidth="1"/>
    <col min="4619" max="4620" width="11.125" style="2" bestFit="1" customWidth="1"/>
    <col min="4621" max="4621" width="9" style="2"/>
    <col min="4622" max="4622" width="9.625" style="2" bestFit="1" customWidth="1"/>
    <col min="4623" max="4866" width="9" style="2"/>
    <col min="4867" max="4867" width="2.375" style="2" customWidth="1"/>
    <col min="4868" max="4868" width="13.25" style="2" bestFit="1" customWidth="1"/>
    <col min="4869" max="4870" width="9" style="2"/>
    <col min="4871" max="4873" width="11.125" style="2" bestFit="1" customWidth="1"/>
    <col min="4874" max="4874" width="13.25" style="2" bestFit="1" customWidth="1"/>
    <col min="4875" max="4876" width="11.125" style="2" bestFit="1" customWidth="1"/>
    <col min="4877" max="4877" width="9" style="2"/>
    <col min="4878" max="4878" width="9.625" style="2" bestFit="1" customWidth="1"/>
    <col min="4879" max="5122" width="9" style="2"/>
    <col min="5123" max="5123" width="2.375" style="2" customWidth="1"/>
    <col min="5124" max="5124" width="13.25" style="2" bestFit="1" customWidth="1"/>
    <col min="5125" max="5126" width="9" style="2"/>
    <col min="5127" max="5129" width="11.125" style="2" bestFit="1" customWidth="1"/>
    <col min="5130" max="5130" width="13.25" style="2" bestFit="1" customWidth="1"/>
    <col min="5131" max="5132" width="11.125" style="2" bestFit="1" customWidth="1"/>
    <col min="5133" max="5133" width="9" style="2"/>
    <col min="5134" max="5134" width="9.625" style="2" bestFit="1" customWidth="1"/>
    <col min="5135" max="5378" width="9" style="2"/>
    <col min="5379" max="5379" width="2.375" style="2" customWidth="1"/>
    <col min="5380" max="5380" width="13.25" style="2" bestFit="1" customWidth="1"/>
    <col min="5381" max="5382" width="9" style="2"/>
    <col min="5383" max="5385" width="11.125" style="2" bestFit="1" customWidth="1"/>
    <col min="5386" max="5386" width="13.25" style="2" bestFit="1" customWidth="1"/>
    <col min="5387" max="5388" width="11.125" style="2" bestFit="1" customWidth="1"/>
    <col min="5389" max="5389" width="9" style="2"/>
    <col min="5390" max="5390" width="9.625" style="2" bestFit="1" customWidth="1"/>
    <col min="5391" max="5634" width="9" style="2"/>
    <col min="5635" max="5635" width="2.375" style="2" customWidth="1"/>
    <col min="5636" max="5636" width="13.25" style="2" bestFit="1" customWidth="1"/>
    <col min="5637" max="5638" width="9" style="2"/>
    <col min="5639" max="5641" width="11.125" style="2" bestFit="1" customWidth="1"/>
    <col min="5642" max="5642" width="13.25" style="2" bestFit="1" customWidth="1"/>
    <col min="5643" max="5644" width="11.125" style="2" bestFit="1" customWidth="1"/>
    <col min="5645" max="5645" width="9" style="2"/>
    <col min="5646" max="5646" width="9.625" style="2" bestFit="1" customWidth="1"/>
    <col min="5647" max="5890" width="9" style="2"/>
    <col min="5891" max="5891" width="2.375" style="2" customWidth="1"/>
    <col min="5892" max="5892" width="13.25" style="2" bestFit="1" customWidth="1"/>
    <col min="5893" max="5894" width="9" style="2"/>
    <col min="5895" max="5897" width="11.125" style="2" bestFit="1" customWidth="1"/>
    <col min="5898" max="5898" width="13.25" style="2" bestFit="1" customWidth="1"/>
    <col min="5899" max="5900" width="11.125" style="2" bestFit="1" customWidth="1"/>
    <col min="5901" max="5901" width="9" style="2"/>
    <col min="5902" max="5902" width="9.625" style="2" bestFit="1" customWidth="1"/>
    <col min="5903" max="6146" width="9" style="2"/>
    <col min="6147" max="6147" width="2.375" style="2" customWidth="1"/>
    <col min="6148" max="6148" width="13.25" style="2" bestFit="1" customWidth="1"/>
    <col min="6149" max="6150" width="9" style="2"/>
    <col min="6151" max="6153" width="11.125" style="2" bestFit="1" customWidth="1"/>
    <col min="6154" max="6154" width="13.25" style="2" bestFit="1" customWidth="1"/>
    <col min="6155" max="6156" width="11.125" style="2" bestFit="1" customWidth="1"/>
    <col min="6157" max="6157" width="9" style="2"/>
    <col min="6158" max="6158" width="9.625" style="2" bestFit="1" customWidth="1"/>
    <col min="6159" max="6402" width="9" style="2"/>
    <col min="6403" max="6403" width="2.375" style="2" customWidth="1"/>
    <col min="6404" max="6404" width="13.25" style="2" bestFit="1" customWidth="1"/>
    <col min="6405" max="6406" width="9" style="2"/>
    <col min="6407" max="6409" width="11.125" style="2" bestFit="1" customWidth="1"/>
    <col min="6410" max="6410" width="13.25" style="2" bestFit="1" customWidth="1"/>
    <col min="6411" max="6412" width="11.125" style="2" bestFit="1" customWidth="1"/>
    <col min="6413" max="6413" width="9" style="2"/>
    <col min="6414" max="6414" width="9.625" style="2" bestFit="1" customWidth="1"/>
    <col min="6415" max="6658" width="9" style="2"/>
    <col min="6659" max="6659" width="2.375" style="2" customWidth="1"/>
    <col min="6660" max="6660" width="13.25" style="2" bestFit="1" customWidth="1"/>
    <col min="6661" max="6662" width="9" style="2"/>
    <col min="6663" max="6665" width="11.125" style="2" bestFit="1" customWidth="1"/>
    <col min="6666" max="6666" width="13.25" style="2" bestFit="1" customWidth="1"/>
    <col min="6667" max="6668" width="11.125" style="2" bestFit="1" customWidth="1"/>
    <col min="6669" max="6669" width="9" style="2"/>
    <col min="6670" max="6670" width="9.625" style="2" bestFit="1" customWidth="1"/>
    <col min="6671" max="6914" width="9" style="2"/>
    <col min="6915" max="6915" width="2.375" style="2" customWidth="1"/>
    <col min="6916" max="6916" width="13.25" style="2" bestFit="1" customWidth="1"/>
    <col min="6917" max="6918" width="9" style="2"/>
    <col min="6919" max="6921" width="11.125" style="2" bestFit="1" customWidth="1"/>
    <col min="6922" max="6922" width="13.25" style="2" bestFit="1" customWidth="1"/>
    <col min="6923" max="6924" width="11.125" style="2" bestFit="1" customWidth="1"/>
    <col min="6925" max="6925" width="9" style="2"/>
    <col min="6926" max="6926" width="9.625" style="2" bestFit="1" customWidth="1"/>
    <col min="6927" max="7170" width="9" style="2"/>
    <col min="7171" max="7171" width="2.375" style="2" customWidth="1"/>
    <col min="7172" max="7172" width="13.25" style="2" bestFit="1" customWidth="1"/>
    <col min="7173" max="7174" width="9" style="2"/>
    <col min="7175" max="7177" width="11.125" style="2" bestFit="1" customWidth="1"/>
    <col min="7178" max="7178" width="13.25" style="2" bestFit="1" customWidth="1"/>
    <col min="7179" max="7180" width="11.125" style="2" bestFit="1" customWidth="1"/>
    <col min="7181" max="7181" width="9" style="2"/>
    <col min="7182" max="7182" width="9.625" style="2" bestFit="1" customWidth="1"/>
    <col min="7183" max="7426" width="9" style="2"/>
    <col min="7427" max="7427" width="2.375" style="2" customWidth="1"/>
    <col min="7428" max="7428" width="13.25" style="2" bestFit="1" customWidth="1"/>
    <col min="7429" max="7430" width="9" style="2"/>
    <col min="7431" max="7433" width="11.125" style="2" bestFit="1" customWidth="1"/>
    <col min="7434" max="7434" width="13.25" style="2" bestFit="1" customWidth="1"/>
    <col min="7435" max="7436" width="11.125" style="2" bestFit="1" customWidth="1"/>
    <col min="7437" max="7437" width="9" style="2"/>
    <col min="7438" max="7438" width="9.625" style="2" bestFit="1" customWidth="1"/>
    <col min="7439" max="7682" width="9" style="2"/>
    <col min="7683" max="7683" width="2.375" style="2" customWidth="1"/>
    <col min="7684" max="7684" width="13.25" style="2" bestFit="1" customWidth="1"/>
    <col min="7685" max="7686" width="9" style="2"/>
    <col min="7687" max="7689" width="11.125" style="2" bestFit="1" customWidth="1"/>
    <col min="7690" max="7690" width="13.25" style="2" bestFit="1" customWidth="1"/>
    <col min="7691" max="7692" width="11.125" style="2" bestFit="1" customWidth="1"/>
    <col min="7693" max="7693" width="9" style="2"/>
    <col min="7694" max="7694" width="9.625" style="2" bestFit="1" customWidth="1"/>
    <col min="7695" max="7938" width="9" style="2"/>
    <col min="7939" max="7939" width="2.375" style="2" customWidth="1"/>
    <col min="7940" max="7940" width="13.25" style="2" bestFit="1" customWidth="1"/>
    <col min="7941" max="7942" width="9" style="2"/>
    <col min="7943" max="7945" width="11.125" style="2" bestFit="1" customWidth="1"/>
    <col min="7946" max="7946" width="13.25" style="2" bestFit="1" customWidth="1"/>
    <col min="7947" max="7948" width="11.125" style="2" bestFit="1" customWidth="1"/>
    <col min="7949" max="7949" width="9" style="2"/>
    <col min="7950" max="7950" width="9.625" style="2" bestFit="1" customWidth="1"/>
    <col min="7951" max="8194" width="9" style="2"/>
    <col min="8195" max="8195" width="2.375" style="2" customWidth="1"/>
    <col min="8196" max="8196" width="13.25" style="2" bestFit="1" customWidth="1"/>
    <col min="8197" max="8198" width="9" style="2"/>
    <col min="8199" max="8201" width="11.125" style="2" bestFit="1" customWidth="1"/>
    <col min="8202" max="8202" width="13.25" style="2" bestFit="1" customWidth="1"/>
    <col min="8203" max="8204" width="11.125" style="2" bestFit="1" customWidth="1"/>
    <col min="8205" max="8205" width="9" style="2"/>
    <col min="8206" max="8206" width="9.625" style="2" bestFit="1" customWidth="1"/>
    <col min="8207" max="8450" width="9" style="2"/>
    <col min="8451" max="8451" width="2.375" style="2" customWidth="1"/>
    <col min="8452" max="8452" width="13.25" style="2" bestFit="1" customWidth="1"/>
    <col min="8453" max="8454" width="9" style="2"/>
    <col min="8455" max="8457" width="11.125" style="2" bestFit="1" customWidth="1"/>
    <col min="8458" max="8458" width="13.25" style="2" bestFit="1" customWidth="1"/>
    <col min="8459" max="8460" width="11.125" style="2" bestFit="1" customWidth="1"/>
    <col min="8461" max="8461" width="9" style="2"/>
    <col min="8462" max="8462" width="9.625" style="2" bestFit="1" customWidth="1"/>
    <col min="8463" max="8706" width="9" style="2"/>
    <col min="8707" max="8707" width="2.375" style="2" customWidth="1"/>
    <col min="8708" max="8708" width="13.25" style="2" bestFit="1" customWidth="1"/>
    <col min="8709" max="8710" width="9" style="2"/>
    <col min="8711" max="8713" width="11.125" style="2" bestFit="1" customWidth="1"/>
    <col min="8714" max="8714" width="13.25" style="2" bestFit="1" customWidth="1"/>
    <col min="8715" max="8716" width="11.125" style="2" bestFit="1" customWidth="1"/>
    <col min="8717" max="8717" width="9" style="2"/>
    <col min="8718" max="8718" width="9.625" style="2" bestFit="1" customWidth="1"/>
    <col min="8719" max="8962" width="9" style="2"/>
    <col min="8963" max="8963" width="2.375" style="2" customWidth="1"/>
    <col min="8964" max="8964" width="13.25" style="2" bestFit="1" customWidth="1"/>
    <col min="8965" max="8966" width="9" style="2"/>
    <col min="8967" max="8969" width="11.125" style="2" bestFit="1" customWidth="1"/>
    <col min="8970" max="8970" width="13.25" style="2" bestFit="1" customWidth="1"/>
    <col min="8971" max="8972" width="11.125" style="2" bestFit="1" customWidth="1"/>
    <col min="8973" max="8973" width="9" style="2"/>
    <col min="8974" max="8974" width="9.625" style="2" bestFit="1" customWidth="1"/>
    <col min="8975" max="9218" width="9" style="2"/>
    <col min="9219" max="9219" width="2.375" style="2" customWidth="1"/>
    <col min="9220" max="9220" width="13.25" style="2" bestFit="1" customWidth="1"/>
    <col min="9221" max="9222" width="9" style="2"/>
    <col min="9223" max="9225" width="11.125" style="2" bestFit="1" customWidth="1"/>
    <col min="9226" max="9226" width="13.25" style="2" bestFit="1" customWidth="1"/>
    <col min="9227" max="9228" width="11.125" style="2" bestFit="1" customWidth="1"/>
    <col min="9229" max="9229" width="9" style="2"/>
    <col min="9230" max="9230" width="9.625" style="2" bestFit="1" customWidth="1"/>
    <col min="9231" max="9474" width="9" style="2"/>
    <col min="9475" max="9475" width="2.375" style="2" customWidth="1"/>
    <col min="9476" max="9476" width="13.25" style="2" bestFit="1" customWidth="1"/>
    <col min="9477" max="9478" width="9" style="2"/>
    <col min="9479" max="9481" width="11.125" style="2" bestFit="1" customWidth="1"/>
    <col min="9482" max="9482" width="13.25" style="2" bestFit="1" customWidth="1"/>
    <col min="9483" max="9484" width="11.125" style="2" bestFit="1" customWidth="1"/>
    <col min="9485" max="9485" width="9" style="2"/>
    <col min="9486" max="9486" width="9.625" style="2" bestFit="1" customWidth="1"/>
    <col min="9487" max="9730" width="9" style="2"/>
    <col min="9731" max="9731" width="2.375" style="2" customWidth="1"/>
    <col min="9732" max="9732" width="13.25" style="2" bestFit="1" customWidth="1"/>
    <col min="9733" max="9734" width="9" style="2"/>
    <col min="9735" max="9737" width="11.125" style="2" bestFit="1" customWidth="1"/>
    <col min="9738" max="9738" width="13.25" style="2" bestFit="1" customWidth="1"/>
    <col min="9739" max="9740" width="11.125" style="2" bestFit="1" customWidth="1"/>
    <col min="9741" max="9741" width="9" style="2"/>
    <col min="9742" max="9742" width="9.625" style="2" bestFit="1" customWidth="1"/>
    <col min="9743" max="9986" width="9" style="2"/>
    <col min="9987" max="9987" width="2.375" style="2" customWidth="1"/>
    <col min="9988" max="9988" width="13.25" style="2" bestFit="1" customWidth="1"/>
    <col min="9989" max="9990" width="9" style="2"/>
    <col min="9991" max="9993" width="11.125" style="2" bestFit="1" customWidth="1"/>
    <col min="9994" max="9994" width="13.25" style="2" bestFit="1" customWidth="1"/>
    <col min="9995" max="9996" width="11.125" style="2" bestFit="1" customWidth="1"/>
    <col min="9997" max="9997" width="9" style="2"/>
    <col min="9998" max="9998" width="9.625" style="2" bestFit="1" customWidth="1"/>
    <col min="9999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9" width="11.125" style="2" bestFit="1" customWidth="1"/>
    <col min="10250" max="10250" width="13.25" style="2" bestFit="1" customWidth="1"/>
    <col min="10251" max="10252" width="11.125" style="2" bestFit="1" customWidth="1"/>
    <col min="10253" max="10253" width="9" style="2"/>
    <col min="10254" max="10254" width="9.625" style="2" bestFit="1" customWidth="1"/>
    <col min="10255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5" width="11.125" style="2" bestFit="1" customWidth="1"/>
    <col min="10506" max="10506" width="13.25" style="2" bestFit="1" customWidth="1"/>
    <col min="10507" max="10508" width="11.125" style="2" bestFit="1" customWidth="1"/>
    <col min="10509" max="10509" width="9" style="2"/>
    <col min="10510" max="10510" width="9.625" style="2" bestFit="1" customWidth="1"/>
    <col min="10511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1" width="11.125" style="2" bestFit="1" customWidth="1"/>
    <col min="10762" max="10762" width="13.25" style="2" bestFit="1" customWidth="1"/>
    <col min="10763" max="10764" width="11.125" style="2" bestFit="1" customWidth="1"/>
    <col min="10765" max="10765" width="9" style="2"/>
    <col min="10766" max="10766" width="9.625" style="2" bestFit="1" customWidth="1"/>
    <col min="10767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7" width="11.125" style="2" bestFit="1" customWidth="1"/>
    <col min="11018" max="11018" width="13.25" style="2" bestFit="1" customWidth="1"/>
    <col min="11019" max="11020" width="11.125" style="2" bestFit="1" customWidth="1"/>
    <col min="11021" max="11021" width="9" style="2"/>
    <col min="11022" max="11022" width="9.625" style="2" bestFit="1" customWidth="1"/>
    <col min="11023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3" width="11.125" style="2" bestFit="1" customWidth="1"/>
    <col min="11274" max="11274" width="13.25" style="2" bestFit="1" customWidth="1"/>
    <col min="11275" max="11276" width="11.125" style="2" bestFit="1" customWidth="1"/>
    <col min="11277" max="11277" width="9" style="2"/>
    <col min="11278" max="11278" width="9.625" style="2" bestFit="1" customWidth="1"/>
    <col min="11279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9" width="11.125" style="2" bestFit="1" customWidth="1"/>
    <col min="11530" max="11530" width="13.25" style="2" bestFit="1" customWidth="1"/>
    <col min="11531" max="11532" width="11.125" style="2" bestFit="1" customWidth="1"/>
    <col min="11533" max="11533" width="9" style="2"/>
    <col min="11534" max="11534" width="9.625" style="2" bestFit="1" customWidth="1"/>
    <col min="11535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5" width="11.125" style="2" bestFit="1" customWidth="1"/>
    <col min="11786" max="11786" width="13.25" style="2" bestFit="1" customWidth="1"/>
    <col min="11787" max="11788" width="11.125" style="2" bestFit="1" customWidth="1"/>
    <col min="11789" max="11789" width="9" style="2"/>
    <col min="11790" max="11790" width="9.625" style="2" bestFit="1" customWidth="1"/>
    <col min="11791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1" width="11.125" style="2" bestFit="1" customWidth="1"/>
    <col min="12042" max="12042" width="13.25" style="2" bestFit="1" customWidth="1"/>
    <col min="12043" max="12044" width="11.125" style="2" bestFit="1" customWidth="1"/>
    <col min="12045" max="12045" width="9" style="2"/>
    <col min="12046" max="12046" width="9.625" style="2" bestFit="1" customWidth="1"/>
    <col min="12047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7" width="11.125" style="2" bestFit="1" customWidth="1"/>
    <col min="12298" max="12298" width="13.25" style="2" bestFit="1" customWidth="1"/>
    <col min="12299" max="12300" width="11.125" style="2" bestFit="1" customWidth="1"/>
    <col min="12301" max="12301" width="9" style="2"/>
    <col min="12302" max="12302" width="9.625" style="2" bestFit="1" customWidth="1"/>
    <col min="12303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3" width="11.125" style="2" bestFit="1" customWidth="1"/>
    <col min="12554" max="12554" width="13.25" style="2" bestFit="1" customWidth="1"/>
    <col min="12555" max="12556" width="11.125" style="2" bestFit="1" customWidth="1"/>
    <col min="12557" max="12557" width="9" style="2"/>
    <col min="12558" max="12558" width="9.625" style="2" bestFit="1" customWidth="1"/>
    <col min="12559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9" width="11.125" style="2" bestFit="1" customWidth="1"/>
    <col min="12810" max="12810" width="13.25" style="2" bestFit="1" customWidth="1"/>
    <col min="12811" max="12812" width="11.125" style="2" bestFit="1" customWidth="1"/>
    <col min="12813" max="12813" width="9" style="2"/>
    <col min="12814" max="12814" width="9.625" style="2" bestFit="1" customWidth="1"/>
    <col min="12815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5" width="11.125" style="2" bestFit="1" customWidth="1"/>
    <col min="13066" max="13066" width="13.25" style="2" bestFit="1" customWidth="1"/>
    <col min="13067" max="13068" width="11.125" style="2" bestFit="1" customWidth="1"/>
    <col min="13069" max="13069" width="9" style="2"/>
    <col min="13070" max="13070" width="9.625" style="2" bestFit="1" customWidth="1"/>
    <col min="13071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1" width="11.125" style="2" bestFit="1" customWidth="1"/>
    <col min="13322" max="13322" width="13.25" style="2" bestFit="1" customWidth="1"/>
    <col min="13323" max="13324" width="11.125" style="2" bestFit="1" customWidth="1"/>
    <col min="13325" max="13325" width="9" style="2"/>
    <col min="13326" max="13326" width="9.625" style="2" bestFit="1" customWidth="1"/>
    <col min="13327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7" width="11.125" style="2" bestFit="1" customWidth="1"/>
    <col min="13578" max="13578" width="13.25" style="2" bestFit="1" customWidth="1"/>
    <col min="13579" max="13580" width="11.125" style="2" bestFit="1" customWidth="1"/>
    <col min="13581" max="13581" width="9" style="2"/>
    <col min="13582" max="13582" width="9.625" style="2" bestFit="1" customWidth="1"/>
    <col min="13583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3" width="11.125" style="2" bestFit="1" customWidth="1"/>
    <col min="13834" max="13834" width="13.25" style="2" bestFit="1" customWidth="1"/>
    <col min="13835" max="13836" width="11.125" style="2" bestFit="1" customWidth="1"/>
    <col min="13837" max="13837" width="9" style="2"/>
    <col min="13838" max="13838" width="9.625" style="2" bestFit="1" customWidth="1"/>
    <col min="13839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9" width="11.125" style="2" bestFit="1" customWidth="1"/>
    <col min="14090" max="14090" width="13.25" style="2" bestFit="1" customWidth="1"/>
    <col min="14091" max="14092" width="11.125" style="2" bestFit="1" customWidth="1"/>
    <col min="14093" max="14093" width="9" style="2"/>
    <col min="14094" max="14094" width="9.625" style="2" bestFit="1" customWidth="1"/>
    <col min="14095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5" width="11.125" style="2" bestFit="1" customWidth="1"/>
    <col min="14346" max="14346" width="13.25" style="2" bestFit="1" customWidth="1"/>
    <col min="14347" max="14348" width="11.125" style="2" bestFit="1" customWidth="1"/>
    <col min="14349" max="14349" width="9" style="2"/>
    <col min="14350" max="14350" width="9.625" style="2" bestFit="1" customWidth="1"/>
    <col min="14351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1" width="11.125" style="2" bestFit="1" customWidth="1"/>
    <col min="14602" max="14602" width="13.25" style="2" bestFit="1" customWidth="1"/>
    <col min="14603" max="14604" width="11.125" style="2" bestFit="1" customWidth="1"/>
    <col min="14605" max="14605" width="9" style="2"/>
    <col min="14606" max="14606" width="9.625" style="2" bestFit="1" customWidth="1"/>
    <col min="14607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7" width="11.125" style="2" bestFit="1" customWidth="1"/>
    <col min="14858" max="14858" width="13.25" style="2" bestFit="1" customWidth="1"/>
    <col min="14859" max="14860" width="11.125" style="2" bestFit="1" customWidth="1"/>
    <col min="14861" max="14861" width="9" style="2"/>
    <col min="14862" max="14862" width="9.625" style="2" bestFit="1" customWidth="1"/>
    <col min="14863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3" width="11.125" style="2" bestFit="1" customWidth="1"/>
    <col min="15114" max="15114" width="13.25" style="2" bestFit="1" customWidth="1"/>
    <col min="15115" max="15116" width="11.125" style="2" bestFit="1" customWidth="1"/>
    <col min="15117" max="15117" width="9" style="2"/>
    <col min="15118" max="15118" width="9.625" style="2" bestFit="1" customWidth="1"/>
    <col min="15119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9" width="11.125" style="2" bestFit="1" customWidth="1"/>
    <col min="15370" max="15370" width="13.25" style="2" bestFit="1" customWidth="1"/>
    <col min="15371" max="15372" width="11.125" style="2" bestFit="1" customWidth="1"/>
    <col min="15373" max="15373" width="9" style="2"/>
    <col min="15374" max="15374" width="9.625" style="2" bestFit="1" customWidth="1"/>
    <col min="15375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5" width="11.125" style="2" bestFit="1" customWidth="1"/>
    <col min="15626" max="15626" width="13.25" style="2" bestFit="1" customWidth="1"/>
    <col min="15627" max="15628" width="11.125" style="2" bestFit="1" customWidth="1"/>
    <col min="15629" max="15629" width="9" style="2"/>
    <col min="15630" max="15630" width="9.625" style="2" bestFit="1" customWidth="1"/>
    <col min="15631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1" width="11.125" style="2" bestFit="1" customWidth="1"/>
    <col min="15882" max="15882" width="13.25" style="2" bestFit="1" customWidth="1"/>
    <col min="15883" max="15884" width="11.125" style="2" bestFit="1" customWidth="1"/>
    <col min="15885" max="15885" width="9" style="2"/>
    <col min="15886" max="15886" width="9.625" style="2" bestFit="1" customWidth="1"/>
    <col min="15887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7" width="11.125" style="2" bestFit="1" customWidth="1"/>
    <col min="16138" max="16138" width="13.25" style="2" bestFit="1" customWidth="1"/>
    <col min="16139" max="16140" width="11.125" style="2" bestFit="1" customWidth="1"/>
    <col min="16141" max="16141" width="9" style="2"/>
    <col min="16142" max="16142" width="9.625" style="2" bestFit="1" customWidth="1"/>
    <col min="16143" max="16384" width="9" style="2"/>
  </cols>
  <sheetData>
    <row r="1" spans="1:16">
      <c r="A1" s="1" t="s">
        <v>0</v>
      </c>
    </row>
    <row r="2" spans="1:16">
      <c r="A2" s="1" t="s">
        <v>1</v>
      </c>
    </row>
    <row r="3" spans="1:16" ht="19.5" thickBot="1">
      <c r="A3" s="1" t="s">
        <v>78</v>
      </c>
    </row>
    <row r="4" spans="1:16">
      <c r="B4" s="3"/>
      <c r="C4" s="7" t="s">
        <v>6</v>
      </c>
      <c r="D4" s="7" t="s">
        <v>10</v>
      </c>
      <c r="E4" s="43" t="s">
        <v>8</v>
      </c>
      <c r="F4" s="54" t="s">
        <v>79</v>
      </c>
      <c r="G4" s="6" t="s">
        <v>3</v>
      </c>
      <c r="H4" s="7" t="s">
        <v>4</v>
      </c>
      <c r="I4" s="7" t="s">
        <v>5</v>
      </c>
      <c r="J4" s="7" t="s">
        <v>7</v>
      </c>
      <c r="K4" s="7" t="s">
        <v>9</v>
      </c>
      <c r="L4" s="8" t="s">
        <v>11</v>
      </c>
      <c r="M4" s="54" t="s">
        <v>79</v>
      </c>
      <c r="N4" s="65" t="s">
        <v>22</v>
      </c>
    </row>
    <row r="5" spans="1:16" ht="19.5" thickBot="1">
      <c r="A5" s="67"/>
      <c r="B5" s="25" t="s">
        <v>12</v>
      </c>
      <c r="C5" s="27" t="s">
        <v>16</v>
      </c>
      <c r="D5" s="27" t="s">
        <v>20</v>
      </c>
      <c r="E5" s="44" t="s">
        <v>18</v>
      </c>
      <c r="F5" s="55" t="s">
        <v>80</v>
      </c>
      <c r="G5" s="26" t="s">
        <v>13</v>
      </c>
      <c r="H5" s="27" t="s">
        <v>14</v>
      </c>
      <c r="I5" s="27" t="s">
        <v>15</v>
      </c>
      <c r="J5" s="27" t="s">
        <v>17</v>
      </c>
      <c r="K5" s="27" t="s">
        <v>19</v>
      </c>
      <c r="L5" s="28" t="s">
        <v>21</v>
      </c>
      <c r="M5" s="55" t="s">
        <v>81</v>
      </c>
      <c r="N5" s="66" t="s">
        <v>82</v>
      </c>
    </row>
    <row r="6" spans="1:16">
      <c r="A6" s="1" t="s">
        <v>2</v>
      </c>
      <c r="B6" s="21" t="s">
        <v>23</v>
      </c>
      <c r="C6" s="23">
        <v>18</v>
      </c>
      <c r="D6" s="23">
        <v>18</v>
      </c>
      <c r="E6" s="45">
        <v>18</v>
      </c>
      <c r="F6" s="56">
        <f>SUM(C6:E6)</f>
        <v>54</v>
      </c>
      <c r="G6" s="22">
        <v>18</v>
      </c>
      <c r="H6" s="23">
        <v>18</v>
      </c>
      <c r="I6" s="23">
        <v>17</v>
      </c>
      <c r="J6" s="23">
        <v>16</v>
      </c>
      <c r="K6" s="23">
        <v>13</v>
      </c>
      <c r="L6" s="24">
        <v>18</v>
      </c>
      <c r="M6" s="56">
        <f>SUM(G6:L6)</f>
        <v>100</v>
      </c>
      <c r="N6" s="56">
        <f>SUM(M6,F6)</f>
        <v>154</v>
      </c>
      <c r="P6"/>
    </row>
    <row r="7" spans="1:16">
      <c r="A7" s="1" t="s">
        <v>2</v>
      </c>
      <c r="B7" s="4" t="s">
        <v>24</v>
      </c>
      <c r="C7" s="10">
        <v>0</v>
      </c>
      <c r="D7" s="10">
        <v>0</v>
      </c>
      <c r="E7" s="46">
        <v>0</v>
      </c>
      <c r="F7" s="57"/>
      <c r="G7" s="9">
        <v>1</v>
      </c>
      <c r="H7" s="10">
        <v>1</v>
      </c>
      <c r="I7" s="10">
        <v>3</v>
      </c>
      <c r="J7" s="10">
        <v>4</v>
      </c>
      <c r="K7" s="10">
        <v>1</v>
      </c>
      <c r="L7" s="11">
        <v>2</v>
      </c>
      <c r="M7" s="57">
        <f>SUM(G7:L7)</f>
        <v>12</v>
      </c>
      <c r="N7" s="57">
        <f>SUM(F7+M7)</f>
        <v>12</v>
      </c>
      <c r="P7"/>
    </row>
    <row r="8" spans="1:16">
      <c r="A8" s="1" t="s">
        <v>2</v>
      </c>
      <c r="B8" s="4" t="s">
        <v>25</v>
      </c>
      <c r="C8" s="10">
        <v>0</v>
      </c>
      <c r="D8" s="10">
        <v>0</v>
      </c>
      <c r="E8" s="46">
        <v>5</v>
      </c>
      <c r="F8" s="57">
        <f>SUM(C8:E8)</f>
        <v>5</v>
      </c>
      <c r="G8" s="9">
        <v>5</v>
      </c>
      <c r="H8" s="10">
        <v>2</v>
      </c>
      <c r="I8" s="10">
        <v>5</v>
      </c>
      <c r="J8" s="10">
        <v>1</v>
      </c>
      <c r="K8" s="10">
        <v>2</v>
      </c>
      <c r="L8" s="11">
        <v>2</v>
      </c>
      <c r="M8" s="57">
        <f t="shared" ref="M8:M11" si="0">SUM(G8:L8)</f>
        <v>17</v>
      </c>
      <c r="N8" s="57">
        <f t="shared" ref="N8:N54" si="1">SUM(F8+M8)</f>
        <v>22</v>
      </c>
      <c r="P8"/>
    </row>
    <row r="9" spans="1:16">
      <c r="A9" s="1" t="s">
        <v>2</v>
      </c>
      <c r="B9" s="4" t="s">
        <v>26</v>
      </c>
      <c r="C9" s="10">
        <v>0</v>
      </c>
      <c r="D9" s="10">
        <v>0</v>
      </c>
      <c r="E9" s="46">
        <v>1</v>
      </c>
      <c r="F9" s="57">
        <f t="shared" ref="F9:F10" si="2">SUM(C9:E9)</f>
        <v>1</v>
      </c>
      <c r="G9" s="9">
        <v>1</v>
      </c>
      <c r="H9" s="10">
        <v>1</v>
      </c>
      <c r="I9" s="10">
        <v>1</v>
      </c>
      <c r="J9" s="10">
        <v>0</v>
      </c>
      <c r="K9" s="10">
        <v>0</v>
      </c>
      <c r="L9" s="11">
        <v>1</v>
      </c>
      <c r="M9" s="57">
        <f t="shared" si="0"/>
        <v>4</v>
      </c>
      <c r="N9" s="57">
        <f t="shared" si="1"/>
        <v>5</v>
      </c>
      <c r="P9"/>
    </row>
    <row r="10" spans="1:16">
      <c r="A10" s="1" t="s">
        <v>2</v>
      </c>
      <c r="B10" s="4" t="s">
        <v>27</v>
      </c>
      <c r="C10" s="10">
        <v>0</v>
      </c>
      <c r="D10" s="10">
        <v>1</v>
      </c>
      <c r="E10" s="46">
        <v>0</v>
      </c>
      <c r="F10" s="57">
        <f t="shared" si="2"/>
        <v>1</v>
      </c>
      <c r="G10" s="9">
        <v>0</v>
      </c>
      <c r="H10" s="10">
        <v>0</v>
      </c>
      <c r="I10" s="10">
        <v>1</v>
      </c>
      <c r="J10" s="10">
        <v>3</v>
      </c>
      <c r="K10" s="10">
        <v>1</v>
      </c>
      <c r="L10" s="11">
        <v>0</v>
      </c>
      <c r="M10" s="57">
        <f t="shared" si="0"/>
        <v>5</v>
      </c>
      <c r="N10" s="57">
        <f t="shared" si="1"/>
        <v>6</v>
      </c>
      <c r="P10"/>
    </row>
    <row r="11" spans="1:16">
      <c r="A11" s="1" t="s">
        <v>2</v>
      </c>
      <c r="B11" s="4" t="s">
        <v>28</v>
      </c>
      <c r="C11" s="10">
        <v>0</v>
      </c>
      <c r="D11" s="10">
        <v>0</v>
      </c>
      <c r="E11" s="46">
        <v>0</v>
      </c>
      <c r="F11" s="57"/>
      <c r="G11" s="9">
        <v>0</v>
      </c>
      <c r="H11" s="10">
        <v>0</v>
      </c>
      <c r="I11" s="10">
        <v>0</v>
      </c>
      <c r="J11" s="10">
        <v>0</v>
      </c>
      <c r="K11" s="10">
        <v>5</v>
      </c>
      <c r="L11" s="11">
        <v>0</v>
      </c>
      <c r="M11" s="57">
        <f t="shared" si="0"/>
        <v>5</v>
      </c>
      <c r="N11" s="57">
        <f t="shared" si="1"/>
        <v>5</v>
      </c>
      <c r="P11"/>
    </row>
    <row r="12" spans="1:16">
      <c r="A12" s="1" t="s">
        <v>2</v>
      </c>
      <c r="B12" s="4" t="s">
        <v>29</v>
      </c>
      <c r="C12" s="10">
        <v>0</v>
      </c>
      <c r="D12" s="10">
        <v>0</v>
      </c>
      <c r="E12" s="46">
        <v>0</v>
      </c>
      <c r="F12" s="57"/>
      <c r="G12" s="9">
        <v>0</v>
      </c>
      <c r="H12" s="10">
        <v>0</v>
      </c>
      <c r="I12" s="10">
        <v>0</v>
      </c>
      <c r="J12" s="10">
        <v>0</v>
      </c>
      <c r="K12" s="10">
        <v>0</v>
      </c>
      <c r="L12" s="11">
        <v>0</v>
      </c>
      <c r="M12" s="57"/>
      <c r="N12" s="57">
        <f t="shared" si="1"/>
        <v>0</v>
      </c>
      <c r="P12"/>
    </row>
    <row r="13" spans="1:16">
      <c r="A13" s="1" t="s">
        <v>2</v>
      </c>
      <c r="B13" s="4" t="s">
        <v>30</v>
      </c>
      <c r="C13" s="10">
        <v>0</v>
      </c>
      <c r="D13" s="10">
        <v>0</v>
      </c>
      <c r="E13" s="46">
        <v>0</v>
      </c>
      <c r="F13" s="57"/>
      <c r="G13" s="9">
        <v>0</v>
      </c>
      <c r="H13" s="10">
        <v>0</v>
      </c>
      <c r="I13" s="10">
        <v>0</v>
      </c>
      <c r="J13" s="10">
        <v>0</v>
      </c>
      <c r="K13" s="10">
        <v>0</v>
      </c>
      <c r="L13" s="11">
        <v>0</v>
      </c>
      <c r="M13" s="57"/>
      <c r="N13" s="57">
        <f t="shared" si="1"/>
        <v>0</v>
      </c>
      <c r="P13"/>
    </row>
    <row r="14" spans="1:16">
      <c r="A14" s="1" t="s">
        <v>2</v>
      </c>
      <c r="B14" s="4" t="s">
        <v>31</v>
      </c>
      <c r="C14" s="13">
        <v>0</v>
      </c>
      <c r="D14" s="13">
        <v>0</v>
      </c>
      <c r="E14" s="47">
        <v>4.1666666666666664E-2</v>
      </c>
      <c r="F14" s="58">
        <f>SUM(C14:E14)</f>
        <v>4.1666666666666664E-2</v>
      </c>
      <c r="G14" s="12">
        <v>2.8333333333333335</v>
      </c>
      <c r="H14" s="13">
        <v>2.0833333333333335</v>
      </c>
      <c r="I14" s="13">
        <v>1.625</v>
      </c>
      <c r="J14" s="13">
        <v>2.3333333333333335</v>
      </c>
      <c r="K14" s="13">
        <v>2.5416666666666665</v>
      </c>
      <c r="L14" s="14">
        <v>3.9166666666666665</v>
      </c>
      <c r="M14" s="58">
        <f>SUM(G14:L14)</f>
        <v>15.333333333333332</v>
      </c>
      <c r="N14" s="58">
        <f t="shared" si="1"/>
        <v>15.374999999999998</v>
      </c>
      <c r="P14"/>
    </row>
    <row r="15" spans="1:16">
      <c r="A15" s="1" t="s">
        <v>2</v>
      </c>
      <c r="B15" s="4" t="s">
        <v>32</v>
      </c>
      <c r="C15" s="13">
        <v>0</v>
      </c>
      <c r="D15" s="13">
        <v>0</v>
      </c>
      <c r="E15" s="47">
        <v>0</v>
      </c>
      <c r="F15" s="58"/>
      <c r="G15" s="12">
        <v>0.54166666666666663</v>
      </c>
      <c r="H15" s="13">
        <v>0</v>
      </c>
      <c r="I15" s="13">
        <v>1.3333333333333333</v>
      </c>
      <c r="J15" s="13">
        <v>1.9166666666666665</v>
      </c>
      <c r="K15" s="13">
        <v>0.16666666666666666</v>
      </c>
      <c r="L15" s="14">
        <v>0.70833333333333337</v>
      </c>
      <c r="M15" s="58">
        <f t="shared" ref="M15:M19" si="3">SUM(G15:L15)</f>
        <v>4.6666666666666661</v>
      </c>
      <c r="N15" s="58">
        <f t="shared" si="1"/>
        <v>4.6666666666666661</v>
      </c>
      <c r="P15"/>
    </row>
    <row r="16" spans="1:16">
      <c r="A16" s="1" t="s">
        <v>2</v>
      </c>
      <c r="B16" s="4" t="s">
        <v>33</v>
      </c>
      <c r="C16" s="13">
        <v>0</v>
      </c>
      <c r="D16" s="13">
        <v>0</v>
      </c>
      <c r="E16" s="47">
        <v>1.1666666666666667</v>
      </c>
      <c r="F16" s="58">
        <f>SUM(C16:E16)</f>
        <v>1.1666666666666667</v>
      </c>
      <c r="G16" s="12">
        <v>1.875</v>
      </c>
      <c r="H16" s="13">
        <v>0.625</v>
      </c>
      <c r="I16" s="13">
        <v>1.5416666666666665</v>
      </c>
      <c r="J16" s="13">
        <v>0.54166666666666663</v>
      </c>
      <c r="K16" s="13">
        <v>0.83333333333333337</v>
      </c>
      <c r="L16" s="14">
        <v>0.54166666666666663</v>
      </c>
      <c r="M16" s="58">
        <f t="shared" si="3"/>
        <v>5.958333333333333</v>
      </c>
      <c r="N16" s="58">
        <f t="shared" si="1"/>
        <v>7.125</v>
      </c>
      <c r="P16"/>
    </row>
    <row r="17" spans="1:16">
      <c r="A17" s="1" t="s">
        <v>2</v>
      </c>
      <c r="B17" s="4" t="s">
        <v>34</v>
      </c>
      <c r="C17" s="13">
        <v>0</v>
      </c>
      <c r="D17" s="13">
        <v>0</v>
      </c>
      <c r="E17" s="47">
        <v>0</v>
      </c>
      <c r="F17" s="58"/>
      <c r="G17" s="12">
        <v>0</v>
      </c>
      <c r="H17" s="13">
        <v>0.29166666666666669</v>
      </c>
      <c r="I17" s="13">
        <v>0</v>
      </c>
      <c r="J17" s="13">
        <v>0</v>
      </c>
      <c r="K17" s="13">
        <v>0</v>
      </c>
      <c r="L17" s="14">
        <v>0</v>
      </c>
      <c r="M17" s="58">
        <f t="shared" si="3"/>
        <v>0.29166666666666669</v>
      </c>
      <c r="N17" s="58">
        <f t="shared" si="1"/>
        <v>0.29166666666666669</v>
      </c>
      <c r="P17"/>
    </row>
    <row r="18" spans="1:16">
      <c r="A18" s="1" t="s">
        <v>2</v>
      </c>
      <c r="B18" s="4" t="s">
        <v>35</v>
      </c>
      <c r="C18" s="13">
        <v>0</v>
      </c>
      <c r="D18" s="13">
        <v>0</v>
      </c>
      <c r="E18" s="47">
        <v>0.125</v>
      </c>
      <c r="F18" s="58">
        <f>SUM(C18:E18)</f>
        <v>0.125</v>
      </c>
      <c r="G18" s="12">
        <v>0.45833333333333331</v>
      </c>
      <c r="H18" s="13">
        <v>0</v>
      </c>
      <c r="I18" s="13">
        <v>0.33333333333333331</v>
      </c>
      <c r="J18" s="13">
        <v>0</v>
      </c>
      <c r="K18" s="13">
        <v>0</v>
      </c>
      <c r="L18" s="14">
        <v>0.54166666666666663</v>
      </c>
      <c r="M18" s="58">
        <f t="shared" si="3"/>
        <v>1.3333333333333333</v>
      </c>
      <c r="N18" s="58">
        <f t="shared" si="1"/>
        <v>1.4583333333333333</v>
      </c>
      <c r="P18"/>
    </row>
    <row r="19" spans="1:16">
      <c r="A19" s="1" t="s">
        <v>2</v>
      </c>
      <c r="B19" s="4" t="s">
        <v>36</v>
      </c>
      <c r="C19" s="13">
        <v>0</v>
      </c>
      <c r="D19" s="13">
        <v>0</v>
      </c>
      <c r="E19" s="47">
        <v>0.125</v>
      </c>
      <c r="F19" s="58">
        <f>SUM(C19:E19)</f>
        <v>0.125</v>
      </c>
      <c r="G19" s="12">
        <v>0</v>
      </c>
      <c r="H19" s="13">
        <v>0</v>
      </c>
      <c r="I19" s="13">
        <v>0</v>
      </c>
      <c r="J19" s="13">
        <v>0</v>
      </c>
      <c r="K19" s="13">
        <v>0</v>
      </c>
      <c r="L19" s="14">
        <v>0</v>
      </c>
      <c r="M19" s="58">
        <f t="shared" si="3"/>
        <v>0</v>
      </c>
      <c r="N19" s="58">
        <f t="shared" si="1"/>
        <v>0.125</v>
      </c>
      <c r="P19"/>
    </row>
    <row r="20" spans="1:16">
      <c r="A20" s="1" t="s">
        <v>2</v>
      </c>
      <c r="B20" s="4" t="s">
        <v>37</v>
      </c>
      <c r="C20" s="13">
        <v>0.625</v>
      </c>
      <c r="D20" s="13">
        <v>0</v>
      </c>
      <c r="E20" s="47">
        <v>0</v>
      </c>
      <c r="F20" s="58">
        <f>SUM(C20:E20)</f>
        <v>0.625</v>
      </c>
      <c r="G20" s="12">
        <v>1.0416666666666667</v>
      </c>
      <c r="H20" s="13">
        <v>1.625</v>
      </c>
      <c r="I20" s="13">
        <v>2.1666666666666665</v>
      </c>
      <c r="J20" s="13">
        <v>1.2916666666666667</v>
      </c>
      <c r="K20" s="13">
        <v>0.79166666666666663</v>
      </c>
      <c r="L20" s="14">
        <v>1</v>
      </c>
      <c r="M20" s="58">
        <f>SUM(G20:L20)</f>
        <v>7.9166666666666679</v>
      </c>
      <c r="N20" s="58">
        <f t="shared" si="1"/>
        <v>8.5416666666666679</v>
      </c>
      <c r="P20"/>
    </row>
    <row r="21" spans="1:16" ht="19.5" thickBot="1">
      <c r="A21" s="1" t="s">
        <v>2</v>
      </c>
      <c r="B21" s="5" t="s">
        <v>38</v>
      </c>
      <c r="C21" s="33">
        <v>32.5</v>
      </c>
      <c r="D21" s="33">
        <v>10.5</v>
      </c>
      <c r="E21" s="48">
        <v>8.5</v>
      </c>
      <c r="F21" s="59">
        <f>SUM(C21:E21)</f>
        <v>51.5</v>
      </c>
      <c r="G21" s="32">
        <v>23</v>
      </c>
      <c r="H21" s="33">
        <v>18</v>
      </c>
      <c r="I21" s="33">
        <v>25</v>
      </c>
      <c r="J21" s="33">
        <v>28</v>
      </c>
      <c r="K21" s="33">
        <v>13</v>
      </c>
      <c r="L21" s="34">
        <v>0</v>
      </c>
      <c r="M21" s="59">
        <f>SUM(G21:L21)</f>
        <v>107</v>
      </c>
      <c r="N21" s="59">
        <f t="shared" si="1"/>
        <v>158.5</v>
      </c>
      <c r="P21"/>
    </row>
    <row r="22" spans="1:16">
      <c r="A22" s="1" t="s">
        <v>2</v>
      </c>
      <c r="B22" s="21" t="s">
        <v>39</v>
      </c>
      <c r="C22" s="30">
        <v>335000</v>
      </c>
      <c r="D22" s="30">
        <v>335000</v>
      </c>
      <c r="E22" s="49">
        <v>170000</v>
      </c>
      <c r="F22" s="60">
        <f>SUM(C22:E22)</f>
        <v>840000</v>
      </c>
      <c r="G22" s="29">
        <v>177000</v>
      </c>
      <c r="H22" s="30">
        <v>177000</v>
      </c>
      <c r="I22" s="30">
        <v>177000</v>
      </c>
      <c r="J22" s="30">
        <v>187000</v>
      </c>
      <c r="K22" s="30">
        <v>177000</v>
      </c>
      <c r="L22" s="31">
        <v>170000</v>
      </c>
      <c r="M22" s="60">
        <f>SUM(G22:L22)</f>
        <v>1065000</v>
      </c>
      <c r="N22" s="60">
        <f t="shared" si="1"/>
        <v>1905000</v>
      </c>
      <c r="P22"/>
    </row>
    <row r="23" spans="1:16">
      <c r="A23" s="1" t="s">
        <v>2</v>
      </c>
      <c r="B23" s="4" t="s">
        <v>40</v>
      </c>
      <c r="C23" s="16">
        <v>0</v>
      </c>
      <c r="D23" s="16">
        <v>0</v>
      </c>
      <c r="E23" s="50">
        <v>0</v>
      </c>
      <c r="F23" s="61">
        <f t="shared" ref="F23:F60" si="4">SUM(C23:E23)</f>
        <v>0</v>
      </c>
      <c r="G23" s="15">
        <v>5000</v>
      </c>
      <c r="H23" s="16">
        <v>0</v>
      </c>
      <c r="I23" s="16">
        <v>0</v>
      </c>
      <c r="J23" s="16">
        <v>0</v>
      </c>
      <c r="K23" s="16">
        <v>0</v>
      </c>
      <c r="L23" s="17">
        <v>0</v>
      </c>
      <c r="M23" s="61">
        <f t="shared" ref="M23:M60" si="5">SUM(G23:L23)</f>
        <v>5000</v>
      </c>
      <c r="N23" s="61">
        <f t="shared" si="1"/>
        <v>5000</v>
      </c>
      <c r="P23"/>
    </row>
    <row r="24" spans="1:16">
      <c r="A24" s="1" t="s">
        <v>2</v>
      </c>
      <c r="B24" s="4" t="s">
        <v>41</v>
      </c>
      <c r="C24" s="16">
        <v>0</v>
      </c>
      <c r="D24" s="16">
        <v>0</v>
      </c>
      <c r="E24" s="50">
        <v>3000</v>
      </c>
      <c r="F24" s="61">
        <f t="shared" si="4"/>
        <v>3000</v>
      </c>
      <c r="G24" s="15">
        <v>3000</v>
      </c>
      <c r="H24" s="16">
        <v>10000</v>
      </c>
      <c r="I24" s="16">
        <v>0</v>
      </c>
      <c r="J24" s="16">
        <v>0</v>
      </c>
      <c r="K24" s="16">
        <v>0</v>
      </c>
      <c r="L24" s="17">
        <v>0</v>
      </c>
      <c r="M24" s="61">
        <f t="shared" si="5"/>
        <v>13000</v>
      </c>
      <c r="N24" s="61">
        <f t="shared" si="1"/>
        <v>16000</v>
      </c>
      <c r="P24"/>
    </row>
    <row r="25" spans="1:16">
      <c r="A25" s="1" t="s">
        <v>2</v>
      </c>
      <c r="B25" s="4" t="s">
        <v>42</v>
      </c>
      <c r="C25" s="16">
        <v>0</v>
      </c>
      <c r="D25" s="16">
        <v>0</v>
      </c>
      <c r="E25" s="50">
        <v>0</v>
      </c>
      <c r="F25" s="61">
        <f t="shared" si="4"/>
        <v>0</v>
      </c>
      <c r="G25" s="15">
        <v>0</v>
      </c>
      <c r="H25" s="16">
        <v>0</v>
      </c>
      <c r="I25" s="16">
        <v>0</v>
      </c>
      <c r="J25" s="16">
        <v>0</v>
      </c>
      <c r="K25" s="16">
        <v>0</v>
      </c>
      <c r="L25" s="17">
        <v>0</v>
      </c>
      <c r="M25" s="61">
        <f t="shared" si="5"/>
        <v>0</v>
      </c>
      <c r="N25" s="61">
        <f t="shared" si="1"/>
        <v>0</v>
      </c>
      <c r="P25"/>
    </row>
    <row r="26" spans="1:16">
      <c r="A26" s="1" t="s">
        <v>2</v>
      </c>
      <c r="B26" s="4" t="s">
        <v>43</v>
      </c>
      <c r="C26" s="16">
        <v>0</v>
      </c>
      <c r="D26" s="16">
        <v>0</v>
      </c>
      <c r="E26" s="50">
        <v>0</v>
      </c>
      <c r="F26" s="61">
        <f t="shared" si="4"/>
        <v>0</v>
      </c>
      <c r="G26" s="15">
        <v>0</v>
      </c>
      <c r="H26" s="16">
        <v>0</v>
      </c>
      <c r="I26" s="16">
        <v>0</v>
      </c>
      <c r="J26" s="16">
        <v>0</v>
      </c>
      <c r="K26" s="16">
        <v>0</v>
      </c>
      <c r="L26" s="17">
        <v>0</v>
      </c>
      <c r="M26" s="61">
        <f t="shared" si="5"/>
        <v>0</v>
      </c>
      <c r="N26" s="61">
        <f t="shared" si="1"/>
        <v>0</v>
      </c>
      <c r="P26"/>
    </row>
    <row r="27" spans="1:16">
      <c r="A27" s="1" t="s">
        <v>2</v>
      </c>
      <c r="B27" s="4" t="s">
        <v>44</v>
      </c>
      <c r="C27" s="16">
        <v>0</v>
      </c>
      <c r="D27" s="16">
        <v>0</v>
      </c>
      <c r="E27" s="50">
        <v>0</v>
      </c>
      <c r="F27" s="61">
        <f t="shared" si="4"/>
        <v>0</v>
      </c>
      <c r="G27" s="15">
        <v>0</v>
      </c>
      <c r="H27" s="16">
        <v>0</v>
      </c>
      <c r="I27" s="16">
        <v>0</v>
      </c>
      <c r="J27" s="16">
        <v>0</v>
      </c>
      <c r="K27" s="16">
        <v>0</v>
      </c>
      <c r="L27" s="17">
        <v>0</v>
      </c>
      <c r="M27" s="61">
        <f t="shared" si="5"/>
        <v>0</v>
      </c>
      <c r="N27" s="61">
        <f t="shared" si="1"/>
        <v>0</v>
      </c>
      <c r="P27"/>
    </row>
    <row r="28" spans="1:16">
      <c r="A28" s="1" t="s">
        <v>2</v>
      </c>
      <c r="B28" s="4" t="s">
        <v>45</v>
      </c>
      <c r="C28" s="16">
        <v>0</v>
      </c>
      <c r="D28" s="16">
        <v>0</v>
      </c>
      <c r="E28" s="50">
        <v>0</v>
      </c>
      <c r="F28" s="61">
        <f t="shared" si="4"/>
        <v>0</v>
      </c>
      <c r="G28" s="15">
        <v>0</v>
      </c>
      <c r="H28" s="16">
        <v>0</v>
      </c>
      <c r="I28" s="16">
        <v>0</v>
      </c>
      <c r="J28" s="16">
        <v>0</v>
      </c>
      <c r="K28" s="16">
        <v>0</v>
      </c>
      <c r="L28" s="17">
        <v>0</v>
      </c>
      <c r="M28" s="61">
        <f t="shared" si="5"/>
        <v>0</v>
      </c>
      <c r="N28" s="61">
        <f t="shared" si="1"/>
        <v>0</v>
      </c>
      <c r="P28"/>
    </row>
    <row r="29" spans="1:16">
      <c r="A29" s="1" t="s">
        <v>2</v>
      </c>
      <c r="B29" s="4" t="s">
        <v>46</v>
      </c>
      <c r="C29" s="16">
        <v>0</v>
      </c>
      <c r="D29" s="16">
        <v>0</v>
      </c>
      <c r="E29" s="50">
        <v>0</v>
      </c>
      <c r="F29" s="61">
        <f t="shared" si="4"/>
        <v>0</v>
      </c>
      <c r="G29" s="15">
        <v>0</v>
      </c>
      <c r="H29" s="16">
        <v>1000</v>
      </c>
      <c r="I29" s="16">
        <v>1000</v>
      </c>
      <c r="J29" s="16">
        <v>1000</v>
      </c>
      <c r="K29" s="16">
        <v>1000</v>
      </c>
      <c r="L29" s="17">
        <v>0</v>
      </c>
      <c r="M29" s="61">
        <f t="shared" si="5"/>
        <v>4000</v>
      </c>
      <c r="N29" s="61">
        <f t="shared" si="1"/>
        <v>4000</v>
      </c>
      <c r="P29"/>
    </row>
    <row r="30" spans="1:16">
      <c r="A30" s="1" t="s">
        <v>2</v>
      </c>
      <c r="B30" s="4" t="s">
        <v>47</v>
      </c>
      <c r="C30" s="16">
        <v>0</v>
      </c>
      <c r="D30" s="16">
        <v>0</v>
      </c>
      <c r="E30" s="50">
        <v>0</v>
      </c>
      <c r="F30" s="61">
        <f t="shared" si="4"/>
        <v>0</v>
      </c>
      <c r="G30" s="15">
        <v>0</v>
      </c>
      <c r="H30" s="16">
        <v>0</v>
      </c>
      <c r="I30" s="16">
        <v>0</v>
      </c>
      <c r="J30" s="16">
        <v>0</v>
      </c>
      <c r="K30" s="16">
        <v>0</v>
      </c>
      <c r="L30" s="17">
        <v>0</v>
      </c>
      <c r="M30" s="61">
        <f t="shared" si="5"/>
        <v>0</v>
      </c>
      <c r="N30" s="61">
        <f t="shared" si="1"/>
        <v>0</v>
      </c>
      <c r="P30"/>
    </row>
    <row r="31" spans="1:16">
      <c r="A31" s="1" t="s">
        <v>2</v>
      </c>
      <c r="B31" s="4" t="s">
        <v>48</v>
      </c>
      <c r="C31" s="16">
        <v>0</v>
      </c>
      <c r="D31" s="16">
        <v>0</v>
      </c>
      <c r="E31" s="50">
        <v>0</v>
      </c>
      <c r="F31" s="61">
        <f t="shared" si="4"/>
        <v>0</v>
      </c>
      <c r="G31" s="15">
        <v>0</v>
      </c>
      <c r="H31" s="16">
        <v>0</v>
      </c>
      <c r="I31" s="16">
        <v>0</v>
      </c>
      <c r="J31" s="16">
        <v>0</v>
      </c>
      <c r="K31" s="16">
        <v>0</v>
      </c>
      <c r="L31" s="17">
        <v>0</v>
      </c>
      <c r="M31" s="61">
        <f t="shared" si="5"/>
        <v>0</v>
      </c>
      <c r="N31" s="61">
        <f t="shared" si="1"/>
        <v>0</v>
      </c>
      <c r="P31"/>
    </row>
    <row r="32" spans="1:16">
      <c r="A32" s="1" t="s">
        <v>2</v>
      </c>
      <c r="B32" s="4" t="s">
        <v>49</v>
      </c>
      <c r="C32" s="16">
        <v>0</v>
      </c>
      <c r="D32" s="16">
        <v>0</v>
      </c>
      <c r="E32" s="50">
        <v>0</v>
      </c>
      <c r="F32" s="61">
        <f t="shared" si="4"/>
        <v>0</v>
      </c>
      <c r="G32" s="15">
        <v>0</v>
      </c>
      <c r="H32" s="16">
        <v>12600</v>
      </c>
      <c r="I32" s="16">
        <v>0</v>
      </c>
      <c r="J32" s="16">
        <v>0</v>
      </c>
      <c r="K32" s="16">
        <v>0</v>
      </c>
      <c r="L32" s="17">
        <v>0</v>
      </c>
      <c r="M32" s="61">
        <f t="shared" si="5"/>
        <v>12600</v>
      </c>
      <c r="N32" s="61">
        <f t="shared" si="1"/>
        <v>12600</v>
      </c>
      <c r="P32"/>
    </row>
    <row r="33" spans="1:16">
      <c r="A33" s="1" t="s">
        <v>2</v>
      </c>
      <c r="B33" s="4" t="s">
        <v>50</v>
      </c>
      <c r="C33" s="16">
        <v>0</v>
      </c>
      <c r="D33" s="16">
        <v>0</v>
      </c>
      <c r="E33" s="50">
        <v>3000</v>
      </c>
      <c r="F33" s="61">
        <f t="shared" si="4"/>
        <v>3000</v>
      </c>
      <c r="G33" s="15">
        <v>3000</v>
      </c>
      <c r="H33" s="16">
        <v>0</v>
      </c>
      <c r="I33" s="16">
        <v>0</v>
      </c>
      <c r="J33" s="16">
        <v>3000</v>
      </c>
      <c r="K33" s="16">
        <v>3000</v>
      </c>
      <c r="L33" s="17">
        <v>3000</v>
      </c>
      <c r="M33" s="61">
        <f t="shared" si="5"/>
        <v>12000</v>
      </c>
      <c r="N33" s="61">
        <f t="shared" si="1"/>
        <v>15000</v>
      </c>
      <c r="P33"/>
    </row>
    <row r="34" spans="1:16">
      <c r="A34" s="1" t="s">
        <v>2</v>
      </c>
      <c r="B34" s="4" t="s">
        <v>51</v>
      </c>
      <c r="C34" s="16">
        <v>0</v>
      </c>
      <c r="D34" s="16">
        <v>0</v>
      </c>
      <c r="E34" s="50">
        <v>0</v>
      </c>
      <c r="F34" s="61">
        <f t="shared" si="4"/>
        <v>0</v>
      </c>
      <c r="G34" s="15">
        <v>0</v>
      </c>
      <c r="H34" s="16">
        <v>0</v>
      </c>
      <c r="I34" s="16">
        <v>0</v>
      </c>
      <c r="J34" s="16">
        <v>0</v>
      </c>
      <c r="K34" s="16">
        <v>0</v>
      </c>
      <c r="L34" s="17">
        <v>0</v>
      </c>
      <c r="M34" s="61">
        <f t="shared" si="5"/>
        <v>0</v>
      </c>
      <c r="N34" s="61">
        <f t="shared" si="1"/>
        <v>0</v>
      </c>
      <c r="P34"/>
    </row>
    <row r="35" spans="1:16">
      <c r="A35" s="1" t="s">
        <v>2</v>
      </c>
      <c r="B35" s="4" t="s">
        <v>52</v>
      </c>
      <c r="C35" s="16">
        <v>0</v>
      </c>
      <c r="D35" s="16">
        <v>0</v>
      </c>
      <c r="E35" s="50">
        <v>0</v>
      </c>
      <c r="F35" s="61">
        <f t="shared" si="4"/>
        <v>0</v>
      </c>
      <c r="G35" s="15">
        <v>0</v>
      </c>
      <c r="H35" s="16">
        <v>0</v>
      </c>
      <c r="I35" s="16">
        <v>0</v>
      </c>
      <c r="J35" s="16">
        <v>0</v>
      </c>
      <c r="K35" s="16">
        <v>0</v>
      </c>
      <c r="L35" s="17">
        <v>0</v>
      </c>
      <c r="M35" s="61">
        <f t="shared" si="5"/>
        <v>0</v>
      </c>
      <c r="N35" s="61">
        <f t="shared" si="1"/>
        <v>0</v>
      </c>
      <c r="P35"/>
    </row>
    <row r="36" spans="1:16">
      <c r="A36" s="1" t="s">
        <v>2</v>
      </c>
      <c r="B36" s="4" t="s">
        <v>31</v>
      </c>
      <c r="C36" s="16">
        <v>0</v>
      </c>
      <c r="D36" s="16">
        <v>0</v>
      </c>
      <c r="E36" s="50">
        <v>1481</v>
      </c>
      <c r="F36" s="61">
        <f t="shared" si="4"/>
        <v>1481</v>
      </c>
      <c r="G36" s="15">
        <v>94180</v>
      </c>
      <c r="H36" s="16">
        <v>75050</v>
      </c>
      <c r="I36" s="16">
        <v>51987</v>
      </c>
      <c r="J36" s="16">
        <v>78848</v>
      </c>
      <c r="K36" s="16">
        <v>81313</v>
      </c>
      <c r="L36" s="17">
        <v>119662</v>
      </c>
      <c r="M36" s="61">
        <f t="shared" si="5"/>
        <v>501040</v>
      </c>
      <c r="N36" s="61">
        <f t="shared" si="1"/>
        <v>502521</v>
      </c>
      <c r="P36"/>
    </row>
    <row r="37" spans="1:16">
      <c r="A37" s="1" t="s">
        <v>2</v>
      </c>
      <c r="B37" s="4" t="s">
        <v>53</v>
      </c>
      <c r="C37" s="16">
        <v>0</v>
      </c>
      <c r="D37" s="16">
        <v>0</v>
      </c>
      <c r="E37" s="50">
        <v>0</v>
      </c>
      <c r="F37" s="61">
        <f t="shared" si="4"/>
        <v>0</v>
      </c>
      <c r="G37" s="15">
        <v>19448</v>
      </c>
      <c r="H37" s="16">
        <v>0</v>
      </c>
      <c r="I37" s="16">
        <v>46048</v>
      </c>
      <c r="J37" s="16">
        <v>69920</v>
      </c>
      <c r="K37" s="16">
        <v>5756</v>
      </c>
      <c r="L37" s="17">
        <v>23358</v>
      </c>
      <c r="M37" s="61">
        <f t="shared" si="5"/>
        <v>164530</v>
      </c>
      <c r="N37" s="61">
        <f t="shared" si="1"/>
        <v>164530</v>
      </c>
      <c r="P37"/>
    </row>
    <row r="38" spans="1:16">
      <c r="A38" s="1" t="s">
        <v>2</v>
      </c>
      <c r="B38" s="4" t="s">
        <v>54</v>
      </c>
      <c r="C38" s="16">
        <v>0</v>
      </c>
      <c r="D38" s="16">
        <v>0</v>
      </c>
      <c r="E38" s="50">
        <v>44800</v>
      </c>
      <c r="F38" s="61">
        <f t="shared" si="4"/>
        <v>44800</v>
      </c>
      <c r="G38" s="15">
        <v>67320</v>
      </c>
      <c r="H38" s="16">
        <v>24315</v>
      </c>
      <c r="I38" s="16">
        <v>53243</v>
      </c>
      <c r="J38" s="16">
        <v>19760</v>
      </c>
      <c r="K38" s="16">
        <v>28780</v>
      </c>
      <c r="L38" s="17">
        <v>17862</v>
      </c>
      <c r="M38" s="61">
        <f t="shared" si="5"/>
        <v>211280</v>
      </c>
      <c r="N38" s="61">
        <f t="shared" si="1"/>
        <v>256080</v>
      </c>
      <c r="P38"/>
    </row>
    <row r="39" spans="1:16">
      <c r="A39" s="1" t="s">
        <v>2</v>
      </c>
      <c r="B39" s="4" t="s">
        <v>55</v>
      </c>
      <c r="C39" s="16">
        <v>0</v>
      </c>
      <c r="D39" s="16">
        <v>0</v>
      </c>
      <c r="E39" s="50">
        <v>0</v>
      </c>
      <c r="F39" s="61">
        <f t="shared" si="4"/>
        <v>0</v>
      </c>
      <c r="G39" s="15">
        <v>0</v>
      </c>
      <c r="H39" s="16">
        <v>2940</v>
      </c>
      <c r="I39" s="16">
        <v>0</v>
      </c>
      <c r="J39" s="16">
        <v>0</v>
      </c>
      <c r="K39" s="16">
        <v>0</v>
      </c>
      <c r="L39" s="17">
        <v>0</v>
      </c>
      <c r="M39" s="61">
        <f t="shared" si="5"/>
        <v>2940</v>
      </c>
      <c r="N39" s="61">
        <f t="shared" si="1"/>
        <v>2940</v>
      </c>
      <c r="P39"/>
    </row>
    <row r="40" spans="1:16">
      <c r="A40" s="1" t="s">
        <v>2</v>
      </c>
      <c r="B40" s="4" t="s">
        <v>56</v>
      </c>
      <c r="C40" s="16">
        <v>0</v>
      </c>
      <c r="D40" s="16">
        <v>0</v>
      </c>
      <c r="E40" s="50">
        <v>1245</v>
      </c>
      <c r="F40" s="61">
        <f t="shared" si="4"/>
        <v>1245</v>
      </c>
      <c r="G40" s="15">
        <v>4268</v>
      </c>
      <c r="H40" s="16">
        <v>0</v>
      </c>
      <c r="I40" s="16">
        <v>2984</v>
      </c>
      <c r="J40" s="16">
        <v>0</v>
      </c>
      <c r="K40" s="16">
        <v>0</v>
      </c>
      <c r="L40" s="17">
        <v>4628</v>
      </c>
      <c r="M40" s="61">
        <f t="shared" si="5"/>
        <v>11880</v>
      </c>
      <c r="N40" s="61">
        <f t="shared" si="1"/>
        <v>13125</v>
      </c>
      <c r="P40"/>
    </row>
    <row r="41" spans="1:16">
      <c r="A41" s="1" t="s">
        <v>2</v>
      </c>
      <c r="B41" s="4" t="s">
        <v>57</v>
      </c>
      <c r="C41" s="16">
        <v>0</v>
      </c>
      <c r="D41" s="16">
        <v>0</v>
      </c>
      <c r="E41" s="50">
        <v>0</v>
      </c>
      <c r="F41" s="61">
        <f t="shared" si="4"/>
        <v>0</v>
      </c>
      <c r="G41" s="15">
        <v>0</v>
      </c>
      <c r="H41" s="16">
        <v>0</v>
      </c>
      <c r="I41" s="16">
        <v>0</v>
      </c>
      <c r="J41" s="16">
        <v>0</v>
      </c>
      <c r="K41" s="16">
        <v>0</v>
      </c>
      <c r="L41" s="17">
        <v>0</v>
      </c>
      <c r="M41" s="61">
        <f t="shared" si="5"/>
        <v>0</v>
      </c>
      <c r="N41" s="61">
        <f t="shared" si="1"/>
        <v>0</v>
      </c>
      <c r="P41"/>
    </row>
    <row r="42" spans="1:16">
      <c r="A42" s="1" t="s">
        <v>2</v>
      </c>
      <c r="B42" s="4" t="s">
        <v>36</v>
      </c>
      <c r="C42" s="16">
        <v>0</v>
      </c>
      <c r="D42" s="16">
        <v>0</v>
      </c>
      <c r="E42" s="50">
        <v>3555</v>
      </c>
      <c r="F42" s="61">
        <f t="shared" si="4"/>
        <v>3555</v>
      </c>
      <c r="G42" s="15">
        <v>0</v>
      </c>
      <c r="H42" s="16">
        <v>0</v>
      </c>
      <c r="I42" s="16">
        <v>0</v>
      </c>
      <c r="J42" s="16">
        <v>0</v>
      </c>
      <c r="K42" s="16">
        <v>0</v>
      </c>
      <c r="L42" s="17">
        <v>0</v>
      </c>
      <c r="M42" s="61">
        <f t="shared" si="5"/>
        <v>0</v>
      </c>
      <c r="N42" s="61">
        <f t="shared" si="1"/>
        <v>3555</v>
      </c>
      <c r="P42"/>
    </row>
    <row r="43" spans="1:16" ht="19.5" thickBot="1">
      <c r="A43" s="1" t="s">
        <v>2</v>
      </c>
      <c r="B43" s="35" t="s">
        <v>37</v>
      </c>
      <c r="C43" s="37">
        <v>7530</v>
      </c>
      <c r="D43" s="37">
        <v>0</v>
      </c>
      <c r="E43" s="51">
        <v>0</v>
      </c>
      <c r="F43" s="62">
        <f t="shared" si="4"/>
        <v>7530</v>
      </c>
      <c r="G43" s="36">
        <v>6925</v>
      </c>
      <c r="H43" s="37">
        <v>11700</v>
      </c>
      <c r="I43" s="37">
        <v>13884</v>
      </c>
      <c r="J43" s="37">
        <v>8742</v>
      </c>
      <c r="K43" s="37">
        <v>5073</v>
      </c>
      <c r="L43" s="38">
        <v>6120</v>
      </c>
      <c r="M43" s="62">
        <f t="shared" si="5"/>
        <v>52444</v>
      </c>
      <c r="N43" s="62">
        <f t="shared" si="1"/>
        <v>59974</v>
      </c>
      <c r="P43"/>
    </row>
    <row r="44" spans="1:16" ht="19.5" thickBot="1">
      <c r="A44" s="1" t="s">
        <v>2</v>
      </c>
      <c r="B44" s="39" t="s">
        <v>58</v>
      </c>
      <c r="C44" s="41">
        <v>342530</v>
      </c>
      <c r="D44" s="41">
        <v>335000</v>
      </c>
      <c r="E44" s="52">
        <v>227081</v>
      </c>
      <c r="F44" s="63">
        <f t="shared" si="4"/>
        <v>904611</v>
      </c>
      <c r="G44" s="40">
        <v>380141</v>
      </c>
      <c r="H44" s="41">
        <v>314605</v>
      </c>
      <c r="I44" s="41">
        <v>346146</v>
      </c>
      <c r="J44" s="41">
        <v>368270</v>
      </c>
      <c r="K44" s="41">
        <v>301922</v>
      </c>
      <c r="L44" s="42">
        <v>344630</v>
      </c>
      <c r="M44" s="63">
        <f t="shared" si="5"/>
        <v>2055714</v>
      </c>
      <c r="N44" s="63">
        <f t="shared" si="1"/>
        <v>2960325</v>
      </c>
      <c r="P44"/>
    </row>
    <row r="45" spans="1:16" ht="19.5" thickBot="1">
      <c r="A45" s="1" t="s">
        <v>2</v>
      </c>
      <c r="B45" s="21" t="s">
        <v>59</v>
      </c>
      <c r="C45" s="30">
        <v>6653</v>
      </c>
      <c r="D45" s="30">
        <v>17121</v>
      </c>
      <c r="E45" s="49">
        <v>536</v>
      </c>
      <c r="F45" s="60">
        <f t="shared" si="4"/>
        <v>24310</v>
      </c>
      <c r="G45" s="29">
        <v>8375</v>
      </c>
      <c r="H45" s="30">
        <v>1954</v>
      </c>
      <c r="I45" s="30">
        <v>2327</v>
      </c>
      <c r="J45" s="30">
        <v>9282</v>
      </c>
      <c r="K45" s="30">
        <v>3350</v>
      </c>
      <c r="L45" s="31">
        <v>6142</v>
      </c>
      <c r="M45" s="60">
        <f t="shared" si="5"/>
        <v>31430</v>
      </c>
      <c r="N45" s="60">
        <f t="shared" si="1"/>
        <v>55740</v>
      </c>
      <c r="P45"/>
    </row>
    <row r="46" spans="1:16" ht="19.5" thickBot="1">
      <c r="A46" s="1" t="s">
        <v>2</v>
      </c>
      <c r="B46" s="39" t="s">
        <v>60</v>
      </c>
      <c r="C46" s="41">
        <v>6653</v>
      </c>
      <c r="D46" s="41">
        <v>17121</v>
      </c>
      <c r="E46" s="52">
        <v>536</v>
      </c>
      <c r="F46" s="63">
        <f t="shared" si="4"/>
        <v>24310</v>
      </c>
      <c r="G46" s="40">
        <v>8375</v>
      </c>
      <c r="H46" s="41">
        <v>1954</v>
      </c>
      <c r="I46" s="41">
        <v>2327</v>
      </c>
      <c r="J46" s="41">
        <v>9282</v>
      </c>
      <c r="K46" s="41">
        <v>3350</v>
      </c>
      <c r="L46" s="42">
        <v>6142</v>
      </c>
      <c r="M46" s="63">
        <f t="shared" si="5"/>
        <v>31430</v>
      </c>
      <c r="N46" s="63">
        <f t="shared" si="1"/>
        <v>55740</v>
      </c>
      <c r="P46"/>
    </row>
    <row r="47" spans="1:16" ht="19.5" thickBot="1">
      <c r="A47" s="1" t="s">
        <v>2</v>
      </c>
      <c r="B47" s="39" t="s">
        <v>61</v>
      </c>
      <c r="C47" s="41">
        <v>349183</v>
      </c>
      <c r="D47" s="41">
        <v>352121</v>
      </c>
      <c r="E47" s="52">
        <v>227617</v>
      </c>
      <c r="F47" s="63">
        <f t="shared" si="4"/>
        <v>928921</v>
      </c>
      <c r="G47" s="40">
        <v>388516</v>
      </c>
      <c r="H47" s="41">
        <v>316559</v>
      </c>
      <c r="I47" s="41">
        <v>348473</v>
      </c>
      <c r="J47" s="41">
        <v>377552</v>
      </c>
      <c r="K47" s="41">
        <v>305272</v>
      </c>
      <c r="L47" s="42">
        <v>350772</v>
      </c>
      <c r="M47" s="63">
        <f t="shared" si="5"/>
        <v>2087144</v>
      </c>
      <c r="N47" s="63">
        <f t="shared" si="1"/>
        <v>3016065</v>
      </c>
      <c r="P47"/>
    </row>
    <row r="48" spans="1:16">
      <c r="A48" s="1" t="s">
        <v>2</v>
      </c>
      <c r="B48" s="21" t="s">
        <v>62</v>
      </c>
      <c r="C48" s="30">
        <v>17340</v>
      </c>
      <c r="D48" s="30">
        <v>17340</v>
      </c>
      <c r="E48" s="49">
        <v>10200</v>
      </c>
      <c r="F48" s="60">
        <f t="shared" si="4"/>
        <v>44880</v>
      </c>
      <c r="G48" s="29">
        <v>17340</v>
      </c>
      <c r="H48" s="30">
        <v>17340</v>
      </c>
      <c r="I48" s="30">
        <v>16320</v>
      </c>
      <c r="J48" s="30">
        <v>17340</v>
      </c>
      <c r="K48" s="30">
        <v>14280</v>
      </c>
      <c r="L48" s="31">
        <v>13260</v>
      </c>
      <c r="M48" s="60">
        <f t="shared" si="5"/>
        <v>95880</v>
      </c>
      <c r="N48" s="60">
        <f t="shared" si="1"/>
        <v>140760</v>
      </c>
      <c r="P48"/>
    </row>
    <row r="49" spans="1:16">
      <c r="A49" s="1" t="s">
        <v>2</v>
      </c>
      <c r="B49" s="4" t="s">
        <v>63</v>
      </c>
      <c r="C49" s="16">
        <v>3060</v>
      </c>
      <c r="D49" s="16">
        <v>3060</v>
      </c>
      <c r="E49" s="50">
        <v>0</v>
      </c>
      <c r="F49" s="61">
        <f t="shared" si="4"/>
        <v>6120</v>
      </c>
      <c r="G49" s="15">
        <v>3060</v>
      </c>
      <c r="H49" s="16">
        <v>3060</v>
      </c>
      <c r="I49" s="16">
        <v>2880</v>
      </c>
      <c r="J49" s="16">
        <v>3060</v>
      </c>
      <c r="K49" s="16">
        <v>2520</v>
      </c>
      <c r="L49" s="17">
        <v>2340</v>
      </c>
      <c r="M49" s="61">
        <f t="shared" si="5"/>
        <v>16920</v>
      </c>
      <c r="N49" s="61">
        <f t="shared" si="1"/>
        <v>23040</v>
      </c>
      <c r="P49"/>
    </row>
    <row r="50" spans="1:16">
      <c r="A50" s="1" t="s">
        <v>2</v>
      </c>
      <c r="B50" s="4" t="s">
        <v>64</v>
      </c>
      <c r="C50" s="16">
        <v>31110</v>
      </c>
      <c r="D50" s="16">
        <v>31110</v>
      </c>
      <c r="E50" s="50">
        <v>18300</v>
      </c>
      <c r="F50" s="61">
        <f t="shared" si="4"/>
        <v>80520</v>
      </c>
      <c r="G50" s="15">
        <v>31110</v>
      </c>
      <c r="H50" s="16">
        <v>31110</v>
      </c>
      <c r="I50" s="16">
        <v>29280</v>
      </c>
      <c r="J50" s="16">
        <v>31110</v>
      </c>
      <c r="K50" s="16">
        <v>25620</v>
      </c>
      <c r="L50" s="17">
        <v>23790</v>
      </c>
      <c r="M50" s="61">
        <f t="shared" si="5"/>
        <v>172020</v>
      </c>
      <c r="N50" s="61">
        <f t="shared" si="1"/>
        <v>252540</v>
      </c>
      <c r="P50"/>
    </row>
    <row r="51" spans="1:16" ht="19.5" thickBot="1">
      <c r="A51" s="1" t="s">
        <v>2</v>
      </c>
      <c r="B51" s="4" t="s">
        <v>65</v>
      </c>
      <c r="C51" s="16">
        <v>1048</v>
      </c>
      <c r="D51" s="16">
        <v>1056</v>
      </c>
      <c r="E51" s="50">
        <v>683</v>
      </c>
      <c r="F51" s="61">
        <f t="shared" si="4"/>
        <v>2787</v>
      </c>
      <c r="G51" s="15">
        <v>1166</v>
      </c>
      <c r="H51" s="16">
        <v>950</v>
      </c>
      <c r="I51" s="16">
        <v>1045</v>
      </c>
      <c r="J51" s="16">
        <v>1133</v>
      </c>
      <c r="K51" s="16">
        <v>916</v>
      </c>
      <c r="L51" s="17">
        <v>1052</v>
      </c>
      <c r="M51" s="61">
        <f t="shared" si="5"/>
        <v>6262</v>
      </c>
      <c r="N51" s="61">
        <f t="shared" si="1"/>
        <v>9049</v>
      </c>
      <c r="P51"/>
    </row>
    <row r="52" spans="1:16" ht="19.5" thickBot="1">
      <c r="A52" s="1" t="s">
        <v>2</v>
      </c>
      <c r="B52" s="39" t="s">
        <v>66</v>
      </c>
      <c r="C52" s="41">
        <v>52558</v>
      </c>
      <c r="D52" s="41">
        <v>52566</v>
      </c>
      <c r="E52" s="52">
        <v>29183</v>
      </c>
      <c r="F52" s="63">
        <f t="shared" si="4"/>
        <v>134307</v>
      </c>
      <c r="G52" s="40">
        <v>52676</v>
      </c>
      <c r="H52" s="41">
        <v>52460</v>
      </c>
      <c r="I52" s="41">
        <v>49525</v>
      </c>
      <c r="J52" s="41">
        <v>52643</v>
      </c>
      <c r="K52" s="41">
        <v>43336</v>
      </c>
      <c r="L52" s="42">
        <v>40442</v>
      </c>
      <c r="M52" s="63">
        <f t="shared" si="5"/>
        <v>291082</v>
      </c>
      <c r="N52" s="63">
        <f t="shared" si="1"/>
        <v>425389</v>
      </c>
      <c r="P52"/>
    </row>
    <row r="53" spans="1:16">
      <c r="A53" s="1" t="s">
        <v>2</v>
      </c>
      <c r="B53" s="21" t="s">
        <v>67</v>
      </c>
      <c r="C53" s="30">
        <v>7980</v>
      </c>
      <c r="D53" s="30">
        <v>7710</v>
      </c>
      <c r="E53" s="49">
        <v>4690</v>
      </c>
      <c r="F53" s="60">
        <f t="shared" si="4"/>
        <v>20380</v>
      </c>
      <c r="G53" s="29">
        <v>6230</v>
      </c>
      <c r="H53" s="30">
        <v>3750</v>
      </c>
      <c r="I53" s="30">
        <v>8220</v>
      </c>
      <c r="J53" s="30">
        <v>9660</v>
      </c>
      <c r="K53" s="30">
        <v>3630</v>
      </c>
      <c r="L53" s="31">
        <v>8720</v>
      </c>
      <c r="M53" s="60">
        <f t="shared" si="5"/>
        <v>40210</v>
      </c>
      <c r="N53" s="60">
        <f t="shared" si="1"/>
        <v>60590</v>
      </c>
      <c r="P53"/>
    </row>
    <row r="54" spans="1:16">
      <c r="A54" s="1" t="s">
        <v>2</v>
      </c>
      <c r="B54" s="4" t="s">
        <v>68</v>
      </c>
      <c r="C54" s="16">
        <v>0</v>
      </c>
      <c r="D54" s="16">
        <v>0</v>
      </c>
      <c r="E54" s="50">
        <v>0</v>
      </c>
      <c r="F54" s="61">
        <f t="shared" si="4"/>
        <v>0</v>
      </c>
      <c r="G54" s="15">
        <v>0</v>
      </c>
      <c r="H54" s="16">
        <v>0</v>
      </c>
      <c r="I54" s="16">
        <v>0</v>
      </c>
      <c r="J54" s="16">
        <v>0</v>
      </c>
      <c r="K54" s="16">
        <v>0</v>
      </c>
      <c r="L54" s="17">
        <v>0</v>
      </c>
      <c r="M54" s="61">
        <f t="shared" si="5"/>
        <v>0</v>
      </c>
      <c r="N54" s="61">
        <f t="shared" si="1"/>
        <v>0</v>
      </c>
      <c r="P54"/>
    </row>
    <row r="55" spans="1:16" ht="19.5" thickBot="1">
      <c r="A55" s="1" t="s">
        <v>2</v>
      </c>
      <c r="B55" s="4" t="s">
        <v>69</v>
      </c>
      <c r="C55" s="16">
        <v>6900</v>
      </c>
      <c r="D55" s="16">
        <v>7600</v>
      </c>
      <c r="E55" s="50">
        <v>1100</v>
      </c>
      <c r="F55" s="61">
        <f t="shared" si="4"/>
        <v>15600</v>
      </c>
      <c r="G55" s="15">
        <v>11100</v>
      </c>
      <c r="H55" s="16">
        <v>8000</v>
      </c>
      <c r="I55" s="16">
        <v>13100</v>
      </c>
      <c r="J55" s="16">
        <v>14100</v>
      </c>
      <c r="K55" s="16">
        <v>10300</v>
      </c>
      <c r="L55" s="17">
        <v>12100</v>
      </c>
      <c r="M55" s="61">
        <f t="shared" si="5"/>
        <v>68700</v>
      </c>
      <c r="N55" s="61">
        <f t="shared" ref="N55:N60" si="6">SUM(F55+M55)</f>
        <v>84300</v>
      </c>
      <c r="P55"/>
    </row>
    <row r="56" spans="1:16" ht="19.5" thickBot="1">
      <c r="A56" s="1" t="s">
        <v>2</v>
      </c>
      <c r="B56" s="39" t="s">
        <v>70</v>
      </c>
      <c r="C56" s="41">
        <v>67438</v>
      </c>
      <c r="D56" s="41">
        <v>67876</v>
      </c>
      <c r="E56" s="52">
        <v>34973</v>
      </c>
      <c r="F56" s="63">
        <f t="shared" si="4"/>
        <v>170287</v>
      </c>
      <c r="G56" s="40">
        <v>70006</v>
      </c>
      <c r="H56" s="41">
        <v>64210</v>
      </c>
      <c r="I56" s="41">
        <v>70845</v>
      </c>
      <c r="J56" s="41">
        <v>76403</v>
      </c>
      <c r="K56" s="41">
        <v>57266</v>
      </c>
      <c r="L56" s="42">
        <v>61262</v>
      </c>
      <c r="M56" s="63">
        <f t="shared" si="5"/>
        <v>399992</v>
      </c>
      <c r="N56" s="63">
        <f t="shared" si="6"/>
        <v>570279</v>
      </c>
      <c r="P56"/>
    </row>
    <row r="57" spans="1:16" ht="19.5" thickBot="1">
      <c r="A57" s="1" t="s">
        <v>2</v>
      </c>
      <c r="B57" s="39" t="s">
        <v>71</v>
      </c>
      <c r="C57" s="41">
        <v>289972</v>
      </c>
      <c r="D57" s="41">
        <v>282434</v>
      </c>
      <c r="E57" s="52">
        <v>197898</v>
      </c>
      <c r="F57" s="63">
        <f t="shared" si="4"/>
        <v>770304</v>
      </c>
      <c r="G57" s="40">
        <v>327465</v>
      </c>
      <c r="H57" s="41">
        <v>262145</v>
      </c>
      <c r="I57" s="41">
        <v>296621</v>
      </c>
      <c r="J57" s="41">
        <v>315627</v>
      </c>
      <c r="K57" s="41">
        <v>258586</v>
      </c>
      <c r="L57" s="42">
        <v>304188</v>
      </c>
      <c r="M57" s="63">
        <f t="shared" si="5"/>
        <v>1764632</v>
      </c>
      <c r="N57" s="63">
        <f t="shared" si="6"/>
        <v>2534936</v>
      </c>
      <c r="P57"/>
    </row>
    <row r="58" spans="1:16" ht="19.5" thickBot="1">
      <c r="A58" s="1" t="s">
        <v>2</v>
      </c>
      <c r="B58" s="39" t="s">
        <v>72</v>
      </c>
      <c r="C58" s="41">
        <v>281745</v>
      </c>
      <c r="D58" s="41">
        <v>284245</v>
      </c>
      <c r="E58" s="52">
        <v>192644</v>
      </c>
      <c r="F58" s="63">
        <f t="shared" si="4"/>
        <v>758634</v>
      </c>
      <c r="G58" s="40">
        <v>318510</v>
      </c>
      <c r="H58" s="41">
        <v>252349</v>
      </c>
      <c r="I58" s="41">
        <v>277628</v>
      </c>
      <c r="J58" s="41">
        <v>301149</v>
      </c>
      <c r="K58" s="41">
        <v>248006</v>
      </c>
      <c r="L58" s="42">
        <v>289510</v>
      </c>
      <c r="M58" s="63">
        <f t="shared" si="5"/>
        <v>1687152</v>
      </c>
      <c r="N58" s="63">
        <f t="shared" si="6"/>
        <v>2445786</v>
      </c>
      <c r="P58"/>
    </row>
    <row r="59" spans="1:16">
      <c r="A59" s="1" t="s">
        <v>2</v>
      </c>
      <c r="B59" s="21" t="s">
        <v>73</v>
      </c>
      <c r="C59" s="30">
        <v>0</v>
      </c>
      <c r="D59" s="30">
        <v>0</v>
      </c>
      <c r="E59" s="49">
        <v>0</v>
      </c>
      <c r="F59" s="60">
        <f t="shared" si="4"/>
        <v>0</v>
      </c>
      <c r="G59" s="29">
        <v>0</v>
      </c>
      <c r="H59" s="30">
        <v>0</v>
      </c>
      <c r="I59" s="30">
        <v>0</v>
      </c>
      <c r="J59" s="30">
        <v>0</v>
      </c>
      <c r="K59" s="30">
        <v>0</v>
      </c>
      <c r="L59" s="31">
        <v>0</v>
      </c>
      <c r="M59" s="60">
        <f t="shared" si="5"/>
        <v>0</v>
      </c>
      <c r="N59" s="60">
        <f t="shared" si="6"/>
        <v>0</v>
      </c>
      <c r="P59"/>
    </row>
    <row r="60" spans="1:16">
      <c r="A60" s="1" t="s">
        <v>2</v>
      </c>
      <c r="B60" s="4" t="s">
        <v>74</v>
      </c>
      <c r="C60" s="16">
        <v>281745</v>
      </c>
      <c r="D60" s="16">
        <v>284245</v>
      </c>
      <c r="E60" s="50">
        <v>192644</v>
      </c>
      <c r="F60" s="61">
        <f t="shared" si="4"/>
        <v>758634</v>
      </c>
      <c r="G60" s="15">
        <v>318510</v>
      </c>
      <c r="H60" s="16">
        <v>252349</v>
      </c>
      <c r="I60" s="16">
        <v>277628</v>
      </c>
      <c r="J60" s="16">
        <v>301149</v>
      </c>
      <c r="K60" s="16">
        <v>248006</v>
      </c>
      <c r="L60" s="17">
        <v>289510</v>
      </c>
      <c r="M60" s="61">
        <f t="shared" si="5"/>
        <v>1687152</v>
      </c>
      <c r="N60" s="61">
        <f t="shared" si="6"/>
        <v>2445786</v>
      </c>
      <c r="P60"/>
    </row>
    <row r="61" spans="1:16">
      <c r="A61" s="1" t="s">
        <v>2</v>
      </c>
      <c r="B61" s="4" t="s">
        <v>75</v>
      </c>
      <c r="C61" s="16">
        <v>0</v>
      </c>
      <c r="D61" s="16">
        <v>0</v>
      </c>
      <c r="E61" s="50">
        <v>0</v>
      </c>
      <c r="F61" s="61"/>
      <c r="G61" s="15">
        <v>2</v>
      </c>
      <c r="H61" s="16">
        <v>2</v>
      </c>
      <c r="I61" s="16">
        <v>0</v>
      </c>
      <c r="J61" s="16">
        <v>0</v>
      </c>
      <c r="K61" s="16">
        <v>2</v>
      </c>
      <c r="L61" s="17">
        <v>0</v>
      </c>
      <c r="M61" s="61"/>
      <c r="N61" s="61"/>
    </row>
    <row r="62" spans="1:16" ht="19.5" thickBot="1">
      <c r="A62" s="1" t="s">
        <v>2</v>
      </c>
      <c r="B62" s="5" t="s">
        <v>76</v>
      </c>
      <c r="C62" s="19" t="s">
        <v>77</v>
      </c>
      <c r="D62" s="19" t="s">
        <v>77</v>
      </c>
      <c r="E62" s="53" t="s">
        <v>77</v>
      </c>
      <c r="F62" s="64"/>
      <c r="G62" s="18" t="s">
        <v>77</v>
      </c>
      <c r="H62" s="19" t="s">
        <v>77</v>
      </c>
      <c r="I62" s="19" t="s">
        <v>77</v>
      </c>
      <c r="J62" s="19" t="s">
        <v>77</v>
      </c>
      <c r="K62" s="19" t="s">
        <v>77</v>
      </c>
      <c r="L62" s="20" t="s">
        <v>77</v>
      </c>
      <c r="M62" s="64"/>
      <c r="N62" s="64"/>
    </row>
  </sheetData>
  <phoneticPr fontId="3"/>
  <pageMargins left="0.31496062992125984" right="0.31496062992125984" top="0.15748031496062992" bottom="0.15748031496062992" header="0.11811023622047245" footer="0.11811023622047245"/>
  <pageSetup paperSize="12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1月度給与 (2)</vt:lpstr>
      <vt:lpstr>'2022年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2022-02-10T08:29:22Z</cp:lastPrinted>
  <dcterms:created xsi:type="dcterms:W3CDTF">2022-02-09T06:34:20Z</dcterms:created>
  <dcterms:modified xsi:type="dcterms:W3CDTF">2022-02-12T01:25:20Z</dcterms:modified>
</cp:coreProperties>
</file>