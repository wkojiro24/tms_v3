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03\"/>
    </mc:Choice>
  </mc:AlternateContent>
  <xr:revisionPtr revIDLastSave="0" documentId="13_ncr:1_{43320DCB-A7FB-4ECE-B5C9-7B0F44BB9E05}" xr6:coauthVersionLast="47" xr6:coauthVersionMax="47" xr10:uidLastSave="{00000000-0000-0000-0000-000000000000}"/>
  <bookViews>
    <workbookView xWindow="-120" yWindow="-120" windowWidth="20730" windowHeight="11160" xr2:uid="{D9668421-7AA7-4E1C-AE11-7EABEDFB8E52}"/>
  </bookViews>
  <sheets>
    <sheet name="2022年 3月度給与 (2)" sheetId="3" r:id="rId1"/>
    <sheet name="2022年 3月度給与 (3)" sheetId="4" r:id="rId2"/>
    <sheet name="2022年 3月度給与 (4)" sheetId="5" r:id="rId3"/>
  </sheets>
  <definedNames>
    <definedName name="_xlnm.Print_Area" localSheetId="1">'2022年 3月度給与 (3)'!$A$1:$O$67</definedName>
    <definedName name="_xlnm.Print_Area" localSheetId="2">'2022年 3月度給与 (4)'!$A$1:$T$67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65" i="5" l="1"/>
  <c r="T64" i="5"/>
  <c r="T63" i="5"/>
  <c r="T62" i="5"/>
  <c r="T61" i="5"/>
  <c r="T60" i="5"/>
  <c r="T59" i="5"/>
  <c r="T58" i="5"/>
  <c r="T57" i="5"/>
  <c r="T56" i="5"/>
  <c r="T55" i="5"/>
  <c r="T54" i="5"/>
  <c r="T53" i="5"/>
  <c r="T52" i="5"/>
  <c r="T51" i="5"/>
  <c r="T50" i="5"/>
  <c r="T49" i="5"/>
  <c r="T48" i="5"/>
  <c r="T47" i="5"/>
  <c r="T46" i="5"/>
  <c r="T45" i="5"/>
  <c r="T44" i="5"/>
  <c r="T43" i="5"/>
  <c r="T42" i="5"/>
  <c r="T41" i="5"/>
  <c r="T40" i="5"/>
  <c r="T3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23" i="5"/>
  <c r="T19" i="5"/>
  <c r="T18" i="5"/>
  <c r="T17" i="5"/>
  <c r="T16" i="5"/>
  <c r="T15" i="5"/>
  <c r="T12" i="5"/>
  <c r="T11" i="5"/>
  <c r="T10" i="5"/>
  <c r="T9" i="5"/>
  <c r="T8" i="5"/>
  <c r="T7" i="5"/>
  <c r="T6" i="5"/>
  <c r="N65" i="4"/>
  <c r="L65" i="4"/>
  <c r="N64" i="4"/>
  <c r="L64" i="4"/>
  <c r="N63" i="4"/>
  <c r="L63" i="4"/>
  <c r="N62" i="4"/>
  <c r="L62" i="4"/>
  <c r="N61" i="4"/>
  <c r="L61" i="4"/>
  <c r="N60" i="4"/>
  <c r="L60" i="4"/>
  <c r="N59" i="4"/>
  <c r="L59" i="4"/>
  <c r="N58" i="4"/>
  <c r="L58" i="4"/>
  <c r="N57" i="4"/>
  <c r="L57" i="4"/>
  <c r="N56" i="4"/>
  <c r="L56" i="4"/>
  <c r="N55" i="4"/>
  <c r="L55" i="4"/>
  <c r="N54" i="4"/>
  <c r="L54" i="4"/>
  <c r="N53" i="4"/>
  <c r="L53" i="4"/>
  <c r="N52" i="4"/>
  <c r="L52" i="4"/>
  <c r="N51" i="4"/>
  <c r="L51" i="4"/>
  <c r="N50" i="4"/>
  <c r="L50" i="4"/>
  <c r="N49" i="4"/>
  <c r="L49" i="4"/>
  <c r="N48" i="4"/>
  <c r="L48" i="4"/>
  <c r="N47" i="4"/>
  <c r="L47" i="4"/>
  <c r="N46" i="4"/>
  <c r="N45" i="4"/>
  <c r="N44" i="4"/>
  <c r="N43" i="4"/>
  <c r="N42" i="4"/>
  <c r="N41" i="4"/>
  <c r="L41" i="4"/>
  <c r="N40" i="4"/>
  <c r="L40" i="4"/>
  <c r="N39" i="4"/>
  <c r="N38" i="4"/>
  <c r="N37" i="4"/>
  <c r="N36" i="4"/>
  <c r="L36" i="4"/>
  <c r="N35" i="4"/>
  <c r="N34" i="4"/>
  <c r="N33" i="4"/>
  <c r="N32" i="4"/>
  <c r="L32" i="4"/>
  <c r="N31" i="4"/>
  <c r="N30" i="4"/>
  <c r="N29" i="4"/>
  <c r="N28" i="4"/>
  <c r="N27" i="4"/>
  <c r="L27" i="4"/>
  <c r="N26" i="4"/>
  <c r="N25" i="4"/>
  <c r="L25" i="4"/>
  <c r="N24" i="4"/>
  <c r="L24" i="4"/>
  <c r="L23" i="4"/>
  <c r="L21" i="4"/>
  <c r="L16" i="4"/>
  <c r="L15" i="4"/>
  <c r="L14" i="4"/>
  <c r="N10" i="4"/>
  <c r="L10" i="4"/>
  <c r="L7" i="4"/>
  <c r="N6" i="4"/>
  <c r="L6" i="4"/>
  <c r="AG13" i="3"/>
  <c r="AG20" i="3"/>
  <c r="AG22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25" i="3"/>
  <c r="AF24" i="3"/>
  <c r="AF10" i="3"/>
  <c r="AF6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48" i="3"/>
  <c r="AD47" i="3"/>
  <c r="AD41" i="3"/>
  <c r="AD40" i="3"/>
  <c r="AD36" i="3"/>
  <c r="AD32" i="3"/>
  <c r="AD27" i="3"/>
  <c r="AD25" i="3"/>
  <c r="AD24" i="3"/>
  <c r="AD23" i="3"/>
  <c r="AD21" i="3"/>
  <c r="AG21" i="3" s="1"/>
  <c r="AD16" i="3"/>
  <c r="AD15" i="3"/>
  <c r="AD14" i="3"/>
  <c r="AG14" i="3" s="1"/>
  <c r="AD10" i="3"/>
  <c r="AD7" i="3"/>
  <c r="AD6" i="3"/>
  <c r="T26" i="3"/>
  <c r="T27" i="3"/>
  <c r="AG27" i="3" s="1"/>
  <c r="T28" i="3"/>
  <c r="T29" i="3"/>
  <c r="T30" i="3"/>
  <c r="T31" i="3"/>
  <c r="AG31" i="3" s="1"/>
  <c r="T32" i="3"/>
  <c r="T33" i="3"/>
  <c r="T34" i="3"/>
  <c r="T35" i="3"/>
  <c r="AG35" i="3" s="1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25" i="3"/>
  <c r="T24" i="3"/>
  <c r="T23" i="3"/>
  <c r="T16" i="3"/>
  <c r="T17" i="3"/>
  <c r="AG17" i="3" s="1"/>
  <c r="T18" i="3"/>
  <c r="AG18" i="3" s="1"/>
  <c r="T19" i="3"/>
  <c r="AG19" i="3" s="1"/>
  <c r="T15" i="3"/>
  <c r="T12" i="3"/>
  <c r="AG12" i="3" s="1"/>
  <c r="T8" i="3"/>
  <c r="AG8" i="3" s="1"/>
  <c r="T9" i="3"/>
  <c r="AG9" i="3" s="1"/>
  <c r="T10" i="3"/>
  <c r="T11" i="3"/>
  <c r="AG11" i="3" s="1"/>
  <c r="T7" i="3"/>
  <c r="T6" i="3"/>
  <c r="AG45" i="3" l="1"/>
  <c r="AG38" i="3"/>
  <c r="AG28" i="3"/>
  <c r="AG7" i="3"/>
  <c r="AG34" i="3"/>
  <c r="AG44" i="3"/>
  <c r="AG40" i="3"/>
  <c r="AG37" i="3"/>
  <c r="AG43" i="3"/>
  <c r="AG30" i="3"/>
  <c r="AG46" i="3"/>
  <c r="AG42" i="3"/>
  <c r="AG39" i="3"/>
  <c r="AG29" i="3"/>
  <c r="AG33" i="3"/>
  <c r="AG26" i="3"/>
  <c r="AG64" i="3"/>
  <c r="AG59" i="3"/>
  <c r="AG52" i="3"/>
  <c r="AG49" i="3"/>
  <c r="AG41" i="3"/>
  <c r="AG23" i="3"/>
  <c r="AG32" i="3"/>
  <c r="AG6" i="3"/>
  <c r="AG63" i="3"/>
  <c r="AG58" i="3"/>
  <c r="AG55" i="3"/>
  <c r="AG51" i="3"/>
  <c r="AG47" i="3"/>
  <c r="AG24" i="3"/>
  <c r="AG48" i="3"/>
  <c r="AG62" i="3"/>
  <c r="AG57" i="3"/>
  <c r="AG54" i="3"/>
  <c r="AG50" i="3"/>
  <c r="AG10" i="3"/>
  <c r="AG15" i="3"/>
  <c r="AG36" i="3"/>
  <c r="AG25" i="3"/>
  <c r="AG16" i="3"/>
  <c r="AG65" i="3"/>
  <c r="AG61" i="3"/>
  <c r="AG60" i="3"/>
  <c r="AG56" i="3"/>
  <c r="AG53" i="3"/>
</calcChain>
</file>

<file path=xl/sharedStrings.xml><?xml version="1.0" encoding="utf-8"?>
<sst xmlns="http://schemas.openxmlformats.org/spreadsheetml/2006/main" count="562" uniqueCount="128">
  <si>
    <t>支給控除一覧表</t>
    <phoneticPr fontId="4"/>
  </si>
  <si>
    <t>若林運送株式会社</t>
    <phoneticPr fontId="4"/>
  </si>
  <si>
    <t/>
  </si>
  <si>
    <t>1006</t>
    <phoneticPr fontId="4"/>
  </si>
  <si>
    <t>1007</t>
    <phoneticPr fontId="4"/>
  </si>
  <si>
    <t>1009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</si>
  <si>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</si>
  <si>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</si>
  <si>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</si>
  <si>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</si>
  <si>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1021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</si>
  <si>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</si>
  <si>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</si>
  <si>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</si>
  <si>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</si>
  <si>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</si>
  <si>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1058</t>
    <phoneticPr fontId="4"/>
  </si>
  <si>
    <t>1065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</si>
  <si>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</si>
  <si>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</si>
  <si>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</si>
  <si>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</si>
  <si>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1098</t>
    <phoneticPr fontId="4"/>
  </si>
  <si>
    <t>1002</t>
    <phoneticPr fontId="4"/>
  </si>
  <si>
    <t>1003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</si>
  <si>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</si>
  <si>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</si>
  <si>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</si>
  <si>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</si>
  <si>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1100</t>
    <phoneticPr fontId="4"/>
  </si>
  <si>
    <t>項目名</t>
    <phoneticPr fontId="4"/>
  </si>
  <si>
    <t>小林　啓一</t>
    <phoneticPr fontId="4"/>
  </si>
  <si>
    <t>鈴木　富雄</t>
    <phoneticPr fontId="4"/>
  </si>
  <si>
    <t>小野　宏美</t>
    <phoneticPr fontId="4"/>
  </si>
  <si>
    <t>金山　岳夫</t>
    <phoneticPr fontId="4"/>
  </si>
  <si>
    <t>雲藤　順</t>
    <phoneticPr fontId="4"/>
  </si>
  <si>
    <t>鈴木　浩明</t>
    <phoneticPr fontId="4"/>
  </si>
  <si>
    <t>小沼　康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</si>
  <si>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</si>
  <si>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</si>
  <si>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</si>
  <si>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</si>
  <si>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</si>
  <si>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神永　香織</t>
    <phoneticPr fontId="4"/>
  </si>
  <si>
    <t>齋藤　秀行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</si>
  <si>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</si>
  <si>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</si>
  <si>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</si>
  <si>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</si>
  <si>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圷　健佑</t>
    <phoneticPr fontId="4"/>
  </si>
  <si>
    <t>瀬野尾　勉</t>
    <phoneticPr fontId="4"/>
  </si>
  <si>
    <t>佐原　三夫</t>
    <phoneticPr fontId="4"/>
  </si>
  <si>
    <t>松本　正己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</si>
  <si>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</si>
  <si>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</si>
  <si>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</si>
  <si>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</si>
  <si>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</si>
  <si>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</si>
  <si>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</si>
  <si>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</si>
  <si>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</si>
  <si>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</si>
  <si>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</si>
  <si>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</si>
  <si>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</si>
  <si>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</si>
  <si>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</si>
  <si>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</si>
  <si>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</si>
  <si>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</si>
  <si>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</si>
  <si>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</si>
  <si>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</si>
  <si>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</si>
  <si>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</si>
  <si>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</si>
  <si>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</si>
  <si>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呼出手当</t>
    <phoneticPr fontId="4"/>
  </si>
  <si>
    <t>宿泊手当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</si>
  <si>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</si>
  <si>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</si>
  <si>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</si>
  <si>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</si>
  <si>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</si>
  <si>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</si>
  <si>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</si>
  <si>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</si>
  <si>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</si>
  <si>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</si>
  <si>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</si>
  <si>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</si>
  <si>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</si>
  <si>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</si>
  <si>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</si>
  <si>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</si>
  <si>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</si>
  <si>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</si>
  <si>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</si>
  <si>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</si>
  <si>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</si>
  <si>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</si>
  <si>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</si>
  <si>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</si>
  <si>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</si>
  <si>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</si>
  <si>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</si>
  <si>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</si>
  <si>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</si>
  <si>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</si>
  <si>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</si>
  <si>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</si>
  <si>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</si>
  <si>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</si>
  <si>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 3月度給与</t>
    <phoneticPr fontId="4"/>
  </si>
  <si>
    <t>小計</t>
    <rPh sb="0" eb="2">
      <t>ショウケイ</t>
    </rPh>
    <phoneticPr fontId="3"/>
  </si>
  <si>
    <t>17名</t>
    <rPh sb="2" eb="3">
      <t>メイ</t>
    </rPh>
    <phoneticPr fontId="3"/>
  </si>
  <si>
    <t>下山田英治</t>
    <phoneticPr fontId="4"/>
  </si>
  <si>
    <t>蛭田孝子</t>
    <phoneticPr fontId="4"/>
  </si>
  <si>
    <t>鈴木紀子</t>
    <phoneticPr fontId="4"/>
  </si>
  <si>
    <t>鈴木重夫</t>
    <phoneticPr fontId="4"/>
  </si>
  <si>
    <t>渡辺敏男</t>
    <phoneticPr fontId="4"/>
  </si>
  <si>
    <t>1名</t>
    <rPh sb="1" eb="2">
      <t>メイ</t>
    </rPh>
    <phoneticPr fontId="3"/>
  </si>
  <si>
    <t>9名</t>
    <rPh sb="1" eb="2">
      <t>メイ</t>
    </rPh>
    <phoneticPr fontId="3"/>
  </si>
  <si>
    <t>27名</t>
    <rPh sb="2" eb="3">
      <t>メイ</t>
    </rPh>
    <phoneticPr fontId="4"/>
  </si>
  <si>
    <t>佐原三夫</t>
    <phoneticPr fontId="4"/>
  </si>
  <si>
    <t>金山岳夫</t>
    <phoneticPr fontId="4"/>
  </si>
  <si>
    <t>小野宏美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</si>
</sst>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h]:mm"/>
    <numFmt numFmtId="177" formatCode="#,##0;&quot;△ &quot;#,##0"/>
    <numFmt numFmtId="178" formatCode="0;&quot;△ &quot;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02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2" xfId="1" applyFont="1" applyBorder="1"/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left"/>
    </xf>
    <xf numFmtId="3" fontId="2" fillId="0" borderId="5" xfId="1" applyNumberFormat="1" applyFont="1" applyBorder="1"/>
    <xf numFmtId="49" fontId="2" fillId="0" borderId="6" xfId="1" applyNumberFormat="1" applyFont="1" applyBorder="1"/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176" fontId="2" fillId="0" borderId="10" xfId="1" applyNumberFormat="1" applyFont="1" applyBorder="1"/>
    <xf numFmtId="176" fontId="2" fillId="0" borderId="11" xfId="1" applyNumberFormat="1" applyFont="1" applyBorder="1"/>
    <xf numFmtId="176" fontId="2" fillId="0" borderId="12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49" fontId="2" fillId="0" borderId="13" xfId="1" applyNumberFormat="1" applyFont="1" applyBorder="1"/>
    <xf numFmtId="49" fontId="2" fillId="0" borderId="14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 applyAlignment="1">
      <alignment horizontal="left"/>
    </xf>
    <xf numFmtId="2" fontId="2" fillId="0" borderId="17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2" fontId="2" fillId="0" borderId="13" xfId="1" applyNumberFormat="1" applyFont="1" applyBorder="1"/>
    <xf numFmtId="2" fontId="2" fillId="0" borderId="14" xfId="1" applyNumberFormat="1" applyFont="1" applyBorder="1"/>
    <xf numFmtId="2" fontId="2" fillId="0" borderId="15" xfId="1" applyNumberFormat="1" applyFont="1" applyBorder="1"/>
    <xf numFmtId="49" fontId="2" fillId="0" borderId="20" xfId="1" applyNumberFormat="1" applyFont="1" applyBorder="1" applyAlignment="1">
      <alignment horizontal="left"/>
    </xf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49" fontId="2" fillId="0" borderId="24" xfId="1" applyNumberFormat="1" applyFont="1" applyBorder="1" applyAlignment="1">
      <alignment horizontal="left"/>
    </xf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0" fontId="2" fillId="0" borderId="28" xfId="1" applyFont="1" applyBorder="1"/>
    <xf numFmtId="177" fontId="2" fillId="0" borderId="11" xfId="1" applyNumberFormat="1" applyFont="1" applyBorder="1"/>
    <xf numFmtId="178" fontId="2" fillId="0" borderId="0" xfId="1" applyNumberFormat="1" applyFont="1"/>
    <xf numFmtId="49" fontId="2" fillId="0" borderId="29" xfId="1" applyNumberFormat="1" applyFont="1" applyBorder="1" applyAlignment="1">
      <alignment horizontal="center"/>
    </xf>
    <xf numFmtId="49" fontId="2" fillId="0" borderId="30" xfId="1" applyNumberFormat="1" applyFont="1" applyBorder="1" applyAlignment="1">
      <alignment horizontal="center"/>
    </xf>
    <xf numFmtId="2" fontId="2" fillId="0" borderId="31" xfId="1" applyNumberFormat="1" applyFont="1" applyBorder="1"/>
    <xf numFmtId="2" fontId="2" fillId="0" borderId="32" xfId="1" applyNumberFormat="1" applyFont="1" applyBorder="1"/>
    <xf numFmtId="176" fontId="2" fillId="0" borderId="32" xfId="1" applyNumberFormat="1" applyFont="1" applyBorder="1"/>
    <xf numFmtId="2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49" fontId="2" fillId="0" borderId="30" xfId="1" applyNumberFormat="1" applyFont="1" applyBorder="1"/>
    <xf numFmtId="0" fontId="2" fillId="0" borderId="6" xfId="1" applyFont="1" applyBorder="1" applyAlignment="1">
      <alignment horizontal="right"/>
    </xf>
    <xf numFmtId="49" fontId="2" fillId="0" borderId="36" xfId="1" applyNumberFormat="1" applyFont="1" applyBorder="1" applyAlignment="1">
      <alignment horizontal="center"/>
    </xf>
    <xf numFmtId="49" fontId="2" fillId="0" borderId="37" xfId="1" applyNumberFormat="1" applyFont="1" applyBorder="1" applyAlignment="1">
      <alignment horizontal="center"/>
    </xf>
    <xf numFmtId="2" fontId="2" fillId="0" borderId="38" xfId="1" applyNumberFormat="1" applyFont="1" applyBorder="1"/>
    <xf numFmtId="2" fontId="2" fillId="0" borderId="39" xfId="1" applyNumberFormat="1" applyFont="1" applyBorder="1"/>
    <xf numFmtId="176" fontId="2" fillId="0" borderId="39" xfId="1" applyNumberFormat="1" applyFont="1" applyBorder="1"/>
    <xf numFmtId="2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49" fontId="2" fillId="0" borderId="37" xfId="1" applyNumberFormat="1" applyFont="1" applyBorder="1"/>
    <xf numFmtId="49" fontId="2" fillId="0" borderId="42" xfId="1" applyNumberFormat="1" applyFont="1" applyBorder="1" applyAlignment="1">
      <alignment horizontal="left"/>
    </xf>
    <xf numFmtId="49" fontId="2" fillId="0" borderId="43" xfId="1" applyNumberFormat="1" applyFont="1" applyBorder="1" applyAlignment="1">
      <alignment horizontal="right"/>
    </xf>
    <xf numFmtId="2" fontId="2" fillId="0" borderId="44" xfId="1" applyNumberFormat="1" applyFont="1" applyBorder="1"/>
    <xf numFmtId="2" fontId="2" fillId="0" borderId="45" xfId="1" applyNumberFormat="1" applyFont="1" applyBorder="1"/>
    <xf numFmtId="176" fontId="2" fillId="0" borderId="45" xfId="1" applyNumberFormat="1" applyFont="1" applyBorder="1"/>
    <xf numFmtId="2" fontId="2" fillId="0" borderId="43" xfId="1" applyNumberFormat="1" applyFont="1" applyBorder="1"/>
    <xf numFmtId="3" fontId="2" fillId="0" borderId="44" xfId="1" applyNumberFormat="1" applyFont="1" applyBorder="1"/>
    <xf numFmtId="3" fontId="2" fillId="0" borderId="45" xfId="1" applyNumberFormat="1" applyFont="1" applyBorder="1"/>
    <xf numFmtId="3" fontId="2" fillId="0" borderId="46" xfId="1" applyNumberFormat="1" applyFont="1" applyBorder="1"/>
    <xf numFmtId="3" fontId="2" fillId="0" borderId="35" xfId="1" applyNumberFormat="1" applyFont="1" applyBorder="1"/>
    <xf numFmtId="177" fontId="2" fillId="0" borderId="45" xfId="1" applyNumberFormat="1" applyFont="1" applyBorder="1"/>
    <xf numFmtId="49" fontId="2" fillId="0" borderId="43" xfId="1" applyNumberFormat="1" applyFont="1" applyBorder="1"/>
    <xf numFmtId="49" fontId="2" fillId="0" borderId="47" xfId="1" applyNumberFormat="1" applyFont="1" applyBorder="1" applyAlignment="1">
      <alignment horizontal="center"/>
    </xf>
    <xf numFmtId="49" fontId="2" fillId="0" borderId="48" xfId="1" applyNumberFormat="1" applyFont="1" applyBorder="1" applyAlignment="1">
      <alignment horizontal="center"/>
    </xf>
    <xf numFmtId="2" fontId="2" fillId="0" borderId="49" xfId="1" applyNumberFormat="1" applyFont="1" applyBorder="1"/>
    <xf numFmtId="2" fontId="2" fillId="0" borderId="50" xfId="1" applyNumberFormat="1" applyFont="1" applyBorder="1"/>
    <xf numFmtId="176" fontId="2" fillId="0" borderId="50" xfId="1" applyNumberFormat="1" applyFont="1" applyBorder="1"/>
    <xf numFmtId="2" fontId="2" fillId="0" borderId="48" xfId="1" applyNumberFormat="1" applyFont="1" applyBorder="1"/>
    <xf numFmtId="3" fontId="2" fillId="0" borderId="49" xfId="1" applyNumberFormat="1" applyFont="1" applyBorder="1"/>
    <xf numFmtId="3" fontId="2" fillId="0" borderId="50" xfId="1" applyNumberFormat="1" applyFont="1" applyBorder="1"/>
    <xf numFmtId="3" fontId="2" fillId="0" borderId="51" xfId="1" applyNumberFormat="1" applyFont="1" applyBorder="1"/>
    <xf numFmtId="3" fontId="2" fillId="0" borderId="52" xfId="1" applyNumberFormat="1" applyFont="1" applyBorder="1"/>
    <xf numFmtId="49" fontId="2" fillId="0" borderId="48" xfId="1" applyNumberFormat="1" applyFont="1" applyBorder="1"/>
    <xf numFmtId="0" fontId="2" fillId="0" borderId="7" xfId="1" applyFont="1" applyBorder="1" applyAlignment="1">
      <alignment horizontal="center"/>
    </xf>
    <xf numFmtId="0" fontId="2" fillId="0" borderId="13" xfId="1" applyFont="1" applyBorder="1" applyAlignment="1">
      <alignment horizontal="center"/>
    </xf>
    <xf numFmtId="49" fontId="2" fillId="0" borderId="17" xfId="1" applyNumberFormat="1" applyFont="1" applyBorder="1" applyAlignment="1">
      <alignment horizontal="left"/>
    </xf>
    <xf numFmtId="49" fontId="2" fillId="0" borderId="10" xfId="1" applyNumberFormat="1" applyFont="1" applyBorder="1" applyAlignment="1">
      <alignment horizontal="left"/>
    </xf>
    <xf numFmtId="49" fontId="2" fillId="0" borderId="13" xfId="1" applyNumberFormat="1" applyFont="1" applyBorder="1" applyAlignment="1">
      <alignment horizontal="left"/>
    </xf>
    <xf numFmtId="49" fontId="2" fillId="0" borderId="21" xfId="1" applyNumberFormat="1" applyFont="1" applyBorder="1" applyAlignment="1">
      <alignment horizontal="left"/>
    </xf>
    <xf numFmtId="49" fontId="2" fillId="0" borderId="25" xfId="1" applyNumberFormat="1" applyFont="1" applyBorder="1" applyAlignment="1">
      <alignment horizontal="left"/>
    </xf>
  </cellXfs>
  <cellStyles count="2">
    <cellStyle name="標準" xfId="0" builtinId="0"/>
    <cellStyle name="標準 2" xfId="1" xr:uid="{2613974B-2FBC-4FAC-A989-1D7BE975E2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CE723-0600-4E2D-9553-FBB5E52D6236}">
  <dimension ref="A1:AH67"/>
  <sheetViews>
    <sheetView showZeros="0" tabSelected="1" workbookViewId="0"/>
  </sheetViews>
  <sheetFormatPr defaultRowHeight="18.75"/>
  <cols>
    <col min="1" max="1" width="2.375" style="2" customWidth="1"/>
    <col min="2" max="2" width="13.25" style="2" bestFit="1" customWidth="1"/>
    <col min="3" max="4" width="11.125" style="2" bestFit="1" customWidth="1"/>
    <col min="5" max="5" width="9" style="2" bestFit="1" customWidth="1"/>
    <col min="6" max="6" width="11.125" style="2" bestFit="1" customWidth="1"/>
    <col min="7" max="7" width="9" style="2" bestFit="1" customWidth="1"/>
    <col min="8" max="18" width="11.125" style="2" bestFit="1" customWidth="1"/>
    <col min="19" max="19" width="9" style="2" bestFit="1" customWidth="1"/>
    <col min="20" max="24" width="9" style="2" customWidth="1"/>
    <col min="25" max="28" width="11.125" style="2" bestFit="1" customWidth="1"/>
    <col min="29" max="32" width="11.125" style="2" customWidth="1"/>
    <col min="33" max="33" width="9.625" style="2" bestFit="1" customWidth="1"/>
    <col min="34" max="258" width="9" style="2"/>
    <col min="259" max="259" width="2.375" style="2" customWidth="1"/>
    <col min="260" max="260" width="13.25" style="2" bestFit="1" customWidth="1"/>
    <col min="261" max="263" width="11.125" style="2" bestFit="1" customWidth="1"/>
    <col min="264" max="264" width="13.25" style="2" bestFit="1" customWidth="1"/>
    <col min="265" max="265" width="11.125" style="2" bestFit="1" customWidth="1"/>
    <col min="266" max="266" width="9" style="2"/>
    <col min="267" max="267" width="11.125" style="2" bestFit="1" customWidth="1"/>
    <col min="268" max="268" width="9" style="2"/>
    <col min="269" max="279" width="11.125" style="2" bestFit="1" customWidth="1"/>
    <col min="280" max="280" width="9" style="2"/>
    <col min="281" max="287" width="11.125" style="2" bestFit="1" customWidth="1"/>
    <col min="288" max="288" width="9.625" style="2" bestFit="1" customWidth="1"/>
    <col min="289" max="514" width="9" style="2"/>
    <col min="515" max="515" width="2.375" style="2" customWidth="1"/>
    <col min="516" max="516" width="13.25" style="2" bestFit="1" customWidth="1"/>
    <col min="517" max="519" width="11.125" style="2" bestFit="1" customWidth="1"/>
    <col min="520" max="520" width="13.25" style="2" bestFit="1" customWidth="1"/>
    <col min="521" max="521" width="11.125" style="2" bestFit="1" customWidth="1"/>
    <col min="522" max="522" width="9" style="2"/>
    <col min="523" max="523" width="11.125" style="2" bestFit="1" customWidth="1"/>
    <col min="524" max="524" width="9" style="2"/>
    <col min="525" max="535" width="11.125" style="2" bestFit="1" customWidth="1"/>
    <col min="536" max="536" width="9" style="2"/>
    <col min="537" max="543" width="11.125" style="2" bestFit="1" customWidth="1"/>
    <col min="544" max="544" width="9.625" style="2" bestFit="1" customWidth="1"/>
    <col min="545" max="770" width="9" style="2"/>
    <col min="771" max="771" width="2.375" style="2" customWidth="1"/>
    <col min="772" max="772" width="13.25" style="2" bestFit="1" customWidth="1"/>
    <col min="773" max="775" width="11.125" style="2" bestFit="1" customWidth="1"/>
    <col min="776" max="776" width="13.25" style="2" bestFit="1" customWidth="1"/>
    <col min="777" max="777" width="11.125" style="2" bestFit="1" customWidth="1"/>
    <col min="778" max="778" width="9" style="2"/>
    <col min="779" max="779" width="11.125" style="2" bestFit="1" customWidth="1"/>
    <col min="780" max="780" width="9" style="2"/>
    <col min="781" max="791" width="11.125" style="2" bestFit="1" customWidth="1"/>
    <col min="792" max="792" width="9" style="2"/>
    <col min="793" max="799" width="11.125" style="2" bestFit="1" customWidth="1"/>
    <col min="800" max="800" width="9.625" style="2" bestFit="1" customWidth="1"/>
    <col min="801" max="1026" width="9" style="2"/>
    <col min="1027" max="1027" width="2.375" style="2" customWidth="1"/>
    <col min="1028" max="1028" width="13.25" style="2" bestFit="1" customWidth="1"/>
    <col min="1029" max="1031" width="11.125" style="2" bestFit="1" customWidth="1"/>
    <col min="1032" max="1032" width="13.25" style="2" bestFit="1" customWidth="1"/>
    <col min="1033" max="1033" width="11.125" style="2" bestFit="1" customWidth="1"/>
    <col min="1034" max="1034" width="9" style="2"/>
    <col min="1035" max="1035" width="11.125" style="2" bestFit="1" customWidth="1"/>
    <col min="1036" max="1036" width="9" style="2"/>
    <col min="1037" max="1047" width="11.125" style="2" bestFit="1" customWidth="1"/>
    <col min="1048" max="1048" width="9" style="2"/>
    <col min="1049" max="1055" width="11.125" style="2" bestFit="1" customWidth="1"/>
    <col min="1056" max="1056" width="9.625" style="2" bestFit="1" customWidth="1"/>
    <col min="1057" max="1282" width="9" style="2"/>
    <col min="1283" max="1283" width="2.375" style="2" customWidth="1"/>
    <col min="1284" max="1284" width="13.25" style="2" bestFit="1" customWidth="1"/>
    <col min="1285" max="1287" width="11.125" style="2" bestFit="1" customWidth="1"/>
    <col min="1288" max="1288" width="13.25" style="2" bestFit="1" customWidth="1"/>
    <col min="1289" max="1289" width="11.125" style="2" bestFit="1" customWidth="1"/>
    <col min="1290" max="1290" width="9" style="2"/>
    <col min="1291" max="1291" width="11.125" style="2" bestFit="1" customWidth="1"/>
    <col min="1292" max="1292" width="9" style="2"/>
    <col min="1293" max="1303" width="11.125" style="2" bestFit="1" customWidth="1"/>
    <col min="1304" max="1304" width="9" style="2"/>
    <col min="1305" max="1311" width="11.125" style="2" bestFit="1" customWidth="1"/>
    <col min="1312" max="1312" width="9.625" style="2" bestFit="1" customWidth="1"/>
    <col min="1313" max="1538" width="9" style="2"/>
    <col min="1539" max="1539" width="2.375" style="2" customWidth="1"/>
    <col min="1540" max="1540" width="13.25" style="2" bestFit="1" customWidth="1"/>
    <col min="1541" max="1543" width="11.125" style="2" bestFit="1" customWidth="1"/>
    <col min="1544" max="1544" width="13.25" style="2" bestFit="1" customWidth="1"/>
    <col min="1545" max="1545" width="11.125" style="2" bestFit="1" customWidth="1"/>
    <col min="1546" max="1546" width="9" style="2"/>
    <col min="1547" max="1547" width="11.125" style="2" bestFit="1" customWidth="1"/>
    <col min="1548" max="1548" width="9" style="2"/>
    <col min="1549" max="1559" width="11.125" style="2" bestFit="1" customWidth="1"/>
    <col min="1560" max="1560" width="9" style="2"/>
    <col min="1561" max="1567" width="11.125" style="2" bestFit="1" customWidth="1"/>
    <col min="1568" max="1568" width="9.625" style="2" bestFit="1" customWidth="1"/>
    <col min="1569" max="1794" width="9" style="2"/>
    <col min="1795" max="1795" width="2.375" style="2" customWidth="1"/>
    <col min="1796" max="1796" width="13.25" style="2" bestFit="1" customWidth="1"/>
    <col min="1797" max="1799" width="11.125" style="2" bestFit="1" customWidth="1"/>
    <col min="1800" max="1800" width="13.25" style="2" bestFit="1" customWidth="1"/>
    <col min="1801" max="1801" width="11.125" style="2" bestFit="1" customWidth="1"/>
    <col min="1802" max="1802" width="9" style="2"/>
    <col min="1803" max="1803" width="11.125" style="2" bestFit="1" customWidth="1"/>
    <col min="1804" max="1804" width="9" style="2"/>
    <col min="1805" max="1815" width="11.125" style="2" bestFit="1" customWidth="1"/>
    <col min="1816" max="1816" width="9" style="2"/>
    <col min="1817" max="1823" width="11.125" style="2" bestFit="1" customWidth="1"/>
    <col min="1824" max="1824" width="9.625" style="2" bestFit="1" customWidth="1"/>
    <col min="1825" max="2050" width="9" style="2"/>
    <col min="2051" max="2051" width="2.375" style="2" customWidth="1"/>
    <col min="2052" max="2052" width="13.25" style="2" bestFit="1" customWidth="1"/>
    <col min="2053" max="2055" width="11.125" style="2" bestFit="1" customWidth="1"/>
    <col min="2056" max="2056" width="13.25" style="2" bestFit="1" customWidth="1"/>
    <col min="2057" max="2057" width="11.125" style="2" bestFit="1" customWidth="1"/>
    <col min="2058" max="2058" width="9" style="2"/>
    <col min="2059" max="2059" width="11.125" style="2" bestFit="1" customWidth="1"/>
    <col min="2060" max="2060" width="9" style="2"/>
    <col min="2061" max="2071" width="11.125" style="2" bestFit="1" customWidth="1"/>
    <col min="2072" max="2072" width="9" style="2"/>
    <col min="2073" max="2079" width="11.125" style="2" bestFit="1" customWidth="1"/>
    <col min="2080" max="2080" width="9.625" style="2" bestFit="1" customWidth="1"/>
    <col min="2081" max="2306" width="9" style="2"/>
    <col min="2307" max="2307" width="2.375" style="2" customWidth="1"/>
    <col min="2308" max="2308" width="13.25" style="2" bestFit="1" customWidth="1"/>
    <col min="2309" max="2311" width="11.125" style="2" bestFit="1" customWidth="1"/>
    <col min="2312" max="2312" width="13.25" style="2" bestFit="1" customWidth="1"/>
    <col min="2313" max="2313" width="11.125" style="2" bestFit="1" customWidth="1"/>
    <col min="2314" max="2314" width="9" style="2"/>
    <col min="2315" max="2315" width="11.125" style="2" bestFit="1" customWidth="1"/>
    <col min="2316" max="2316" width="9" style="2"/>
    <col min="2317" max="2327" width="11.125" style="2" bestFit="1" customWidth="1"/>
    <col min="2328" max="2328" width="9" style="2"/>
    <col min="2329" max="2335" width="11.125" style="2" bestFit="1" customWidth="1"/>
    <col min="2336" max="2336" width="9.625" style="2" bestFit="1" customWidth="1"/>
    <col min="2337" max="2562" width="9" style="2"/>
    <col min="2563" max="2563" width="2.375" style="2" customWidth="1"/>
    <col min="2564" max="2564" width="13.25" style="2" bestFit="1" customWidth="1"/>
    <col min="2565" max="2567" width="11.125" style="2" bestFit="1" customWidth="1"/>
    <col min="2568" max="2568" width="13.25" style="2" bestFit="1" customWidth="1"/>
    <col min="2569" max="2569" width="11.125" style="2" bestFit="1" customWidth="1"/>
    <col min="2570" max="2570" width="9" style="2"/>
    <col min="2571" max="2571" width="11.125" style="2" bestFit="1" customWidth="1"/>
    <col min="2572" max="2572" width="9" style="2"/>
    <col min="2573" max="2583" width="11.125" style="2" bestFit="1" customWidth="1"/>
    <col min="2584" max="2584" width="9" style="2"/>
    <col min="2585" max="2591" width="11.125" style="2" bestFit="1" customWidth="1"/>
    <col min="2592" max="2592" width="9.625" style="2" bestFit="1" customWidth="1"/>
    <col min="2593" max="2818" width="9" style="2"/>
    <col min="2819" max="2819" width="2.375" style="2" customWidth="1"/>
    <col min="2820" max="2820" width="13.25" style="2" bestFit="1" customWidth="1"/>
    <col min="2821" max="2823" width="11.125" style="2" bestFit="1" customWidth="1"/>
    <col min="2824" max="2824" width="13.25" style="2" bestFit="1" customWidth="1"/>
    <col min="2825" max="2825" width="11.125" style="2" bestFit="1" customWidth="1"/>
    <col min="2826" max="2826" width="9" style="2"/>
    <col min="2827" max="2827" width="11.125" style="2" bestFit="1" customWidth="1"/>
    <col min="2828" max="2828" width="9" style="2"/>
    <col min="2829" max="2839" width="11.125" style="2" bestFit="1" customWidth="1"/>
    <col min="2840" max="2840" width="9" style="2"/>
    <col min="2841" max="2847" width="11.125" style="2" bestFit="1" customWidth="1"/>
    <col min="2848" max="2848" width="9.625" style="2" bestFit="1" customWidth="1"/>
    <col min="2849" max="3074" width="9" style="2"/>
    <col min="3075" max="3075" width="2.375" style="2" customWidth="1"/>
    <col min="3076" max="3076" width="13.25" style="2" bestFit="1" customWidth="1"/>
    <col min="3077" max="3079" width="11.125" style="2" bestFit="1" customWidth="1"/>
    <col min="3080" max="3080" width="13.25" style="2" bestFit="1" customWidth="1"/>
    <col min="3081" max="3081" width="11.125" style="2" bestFit="1" customWidth="1"/>
    <col min="3082" max="3082" width="9" style="2"/>
    <col min="3083" max="3083" width="11.125" style="2" bestFit="1" customWidth="1"/>
    <col min="3084" max="3084" width="9" style="2"/>
    <col min="3085" max="3095" width="11.125" style="2" bestFit="1" customWidth="1"/>
    <col min="3096" max="3096" width="9" style="2"/>
    <col min="3097" max="3103" width="11.125" style="2" bestFit="1" customWidth="1"/>
    <col min="3104" max="3104" width="9.625" style="2" bestFit="1" customWidth="1"/>
    <col min="3105" max="3330" width="9" style="2"/>
    <col min="3331" max="3331" width="2.375" style="2" customWidth="1"/>
    <col min="3332" max="3332" width="13.25" style="2" bestFit="1" customWidth="1"/>
    <col min="3333" max="3335" width="11.125" style="2" bestFit="1" customWidth="1"/>
    <col min="3336" max="3336" width="13.25" style="2" bestFit="1" customWidth="1"/>
    <col min="3337" max="3337" width="11.125" style="2" bestFit="1" customWidth="1"/>
    <col min="3338" max="3338" width="9" style="2"/>
    <col min="3339" max="3339" width="11.125" style="2" bestFit="1" customWidth="1"/>
    <col min="3340" max="3340" width="9" style="2"/>
    <col min="3341" max="3351" width="11.125" style="2" bestFit="1" customWidth="1"/>
    <col min="3352" max="3352" width="9" style="2"/>
    <col min="3353" max="3359" width="11.125" style="2" bestFit="1" customWidth="1"/>
    <col min="3360" max="3360" width="9.625" style="2" bestFit="1" customWidth="1"/>
    <col min="3361" max="3586" width="9" style="2"/>
    <col min="3587" max="3587" width="2.375" style="2" customWidth="1"/>
    <col min="3588" max="3588" width="13.25" style="2" bestFit="1" customWidth="1"/>
    <col min="3589" max="3591" width="11.125" style="2" bestFit="1" customWidth="1"/>
    <col min="3592" max="3592" width="13.25" style="2" bestFit="1" customWidth="1"/>
    <col min="3593" max="3593" width="11.125" style="2" bestFit="1" customWidth="1"/>
    <col min="3594" max="3594" width="9" style="2"/>
    <col min="3595" max="3595" width="11.125" style="2" bestFit="1" customWidth="1"/>
    <col min="3596" max="3596" width="9" style="2"/>
    <col min="3597" max="3607" width="11.125" style="2" bestFit="1" customWidth="1"/>
    <col min="3608" max="3608" width="9" style="2"/>
    <col min="3609" max="3615" width="11.125" style="2" bestFit="1" customWidth="1"/>
    <col min="3616" max="3616" width="9.625" style="2" bestFit="1" customWidth="1"/>
    <col min="3617" max="3842" width="9" style="2"/>
    <col min="3843" max="3843" width="2.375" style="2" customWidth="1"/>
    <col min="3844" max="3844" width="13.25" style="2" bestFit="1" customWidth="1"/>
    <col min="3845" max="3847" width="11.125" style="2" bestFit="1" customWidth="1"/>
    <col min="3848" max="3848" width="13.25" style="2" bestFit="1" customWidth="1"/>
    <col min="3849" max="3849" width="11.125" style="2" bestFit="1" customWidth="1"/>
    <col min="3850" max="3850" width="9" style="2"/>
    <col min="3851" max="3851" width="11.125" style="2" bestFit="1" customWidth="1"/>
    <col min="3852" max="3852" width="9" style="2"/>
    <col min="3853" max="3863" width="11.125" style="2" bestFit="1" customWidth="1"/>
    <col min="3864" max="3864" width="9" style="2"/>
    <col min="3865" max="3871" width="11.125" style="2" bestFit="1" customWidth="1"/>
    <col min="3872" max="3872" width="9.625" style="2" bestFit="1" customWidth="1"/>
    <col min="3873" max="4098" width="9" style="2"/>
    <col min="4099" max="4099" width="2.375" style="2" customWidth="1"/>
    <col min="4100" max="4100" width="13.25" style="2" bestFit="1" customWidth="1"/>
    <col min="4101" max="4103" width="11.125" style="2" bestFit="1" customWidth="1"/>
    <col min="4104" max="4104" width="13.25" style="2" bestFit="1" customWidth="1"/>
    <col min="4105" max="4105" width="11.125" style="2" bestFit="1" customWidth="1"/>
    <col min="4106" max="4106" width="9" style="2"/>
    <col min="4107" max="4107" width="11.125" style="2" bestFit="1" customWidth="1"/>
    <col min="4108" max="4108" width="9" style="2"/>
    <col min="4109" max="4119" width="11.125" style="2" bestFit="1" customWidth="1"/>
    <col min="4120" max="4120" width="9" style="2"/>
    <col min="4121" max="4127" width="11.125" style="2" bestFit="1" customWidth="1"/>
    <col min="4128" max="4128" width="9.625" style="2" bestFit="1" customWidth="1"/>
    <col min="4129" max="4354" width="9" style="2"/>
    <col min="4355" max="4355" width="2.375" style="2" customWidth="1"/>
    <col min="4356" max="4356" width="13.25" style="2" bestFit="1" customWidth="1"/>
    <col min="4357" max="4359" width="11.125" style="2" bestFit="1" customWidth="1"/>
    <col min="4360" max="4360" width="13.25" style="2" bestFit="1" customWidth="1"/>
    <col min="4361" max="4361" width="11.125" style="2" bestFit="1" customWidth="1"/>
    <col min="4362" max="4362" width="9" style="2"/>
    <col min="4363" max="4363" width="11.125" style="2" bestFit="1" customWidth="1"/>
    <col min="4364" max="4364" width="9" style="2"/>
    <col min="4365" max="4375" width="11.125" style="2" bestFit="1" customWidth="1"/>
    <col min="4376" max="4376" width="9" style="2"/>
    <col min="4377" max="4383" width="11.125" style="2" bestFit="1" customWidth="1"/>
    <col min="4384" max="4384" width="9.625" style="2" bestFit="1" customWidth="1"/>
    <col min="4385" max="4610" width="9" style="2"/>
    <col min="4611" max="4611" width="2.375" style="2" customWidth="1"/>
    <col min="4612" max="4612" width="13.25" style="2" bestFit="1" customWidth="1"/>
    <col min="4613" max="4615" width="11.125" style="2" bestFit="1" customWidth="1"/>
    <col min="4616" max="4616" width="13.25" style="2" bestFit="1" customWidth="1"/>
    <col min="4617" max="4617" width="11.125" style="2" bestFit="1" customWidth="1"/>
    <col min="4618" max="4618" width="9" style="2"/>
    <col min="4619" max="4619" width="11.125" style="2" bestFit="1" customWidth="1"/>
    <col min="4620" max="4620" width="9" style="2"/>
    <col min="4621" max="4631" width="11.125" style="2" bestFit="1" customWidth="1"/>
    <col min="4632" max="4632" width="9" style="2"/>
    <col min="4633" max="4639" width="11.125" style="2" bestFit="1" customWidth="1"/>
    <col min="4640" max="4640" width="9.625" style="2" bestFit="1" customWidth="1"/>
    <col min="4641" max="4866" width="9" style="2"/>
    <col min="4867" max="4867" width="2.375" style="2" customWidth="1"/>
    <col min="4868" max="4868" width="13.25" style="2" bestFit="1" customWidth="1"/>
    <col min="4869" max="4871" width="11.125" style="2" bestFit="1" customWidth="1"/>
    <col min="4872" max="4872" width="13.25" style="2" bestFit="1" customWidth="1"/>
    <col min="4873" max="4873" width="11.125" style="2" bestFit="1" customWidth="1"/>
    <col min="4874" max="4874" width="9" style="2"/>
    <col min="4875" max="4875" width="11.125" style="2" bestFit="1" customWidth="1"/>
    <col min="4876" max="4876" width="9" style="2"/>
    <col min="4877" max="4887" width="11.125" style="2" bestFit="1" customWidth="1"/>
    <col min="4888" max="4888" width="9" style="2"/>
    <col min="4889" max="4895" width="11.125" style="2" bestFit="1" customWidth="1"/>
    <col min="4896" max="4896" width="9.625" style="2" bestFit="1" customWidth="1"/>
    <col min="4897" max="5122" width="9" style="2"/>
    <col min="5123" max="5123" width="2.375" style="2" customWidth="1"/>
    <col min="5124" max="5124" width="13.25" style="2" bestFit="1" customWidth="1"/>
    <col min="5125" max="5127" width="11.125" style="2" bestFit="1" customWidth="1"/>
    <col min="5128" max="5128" width="13.25" style="2" bestFit="1" customWidth="1"/>
    <col min="5129" max="5129" width="11.125" style="2" bestFit="1" customWidth="1"/>
    <col min="5130" max="5130" width="9" style="2"/>
    <col min="5131" max="5131" width="11.125" style="2" bestFit="1" customWidth="1"/>
    <col min="5132" max="5132" width="9" style="2"/>
    <col min="5133" max="5143" width="11.125" style="2" bestFit="1" customWidth="1"/>
    <col min="5144" max="5144" width="9" style="2"/>
    <col min="5145" max="5151" width="11.125" style="2" bestFit="1" customWidth="1"/>
    <col min="5152" max="5152" width="9.625" style="2" bestFit="1" customWidth="1"/>
    <col min="5153" max="5378" width="9" style="2"/>
    <col min="5379" max="5379" width="2.375" style="2" customWidth="1"/>
    <col min="5380" max="5380" width="13.25" style="2" bestFit="1" customWidth="1"/>
    <col min="5381" max="5383" width="11.125" style="2" bestFit="1" customWidth="1"/>
    <col min="5384" max="5384" width="13.25" style="2" bestFit="1" customWidth="1"/>
    <col min="5385" max="5385" width="11.125" style="2" bestFit="1" customWidth="1"/>
    <col min="5386" max="5386" width="9" style="2"/>
    <col min="5387" max="5387" width="11.125" style="2" bestFit="1" customWidth="1"/>
    <col min="5388" max="5388" width="9" style="2"/>
    <col min="5389" max="5399" width="11.125" style="2" bestFit="1" customWidth="1"/>
    <col min="5400" max="5400" width="9" style="2"/>
    <col min="5401" max="5407" width="11.125" style="2" bestFit="1" customWidth="1"/>
    <col min="5408" max="5408" width="9.625" style="2" bestFit="1" customWidth="1"/>
    <col min="5409" max="5634" width="9" style="2"/>
    <col min="5635" max="5635" width="2.375" style="2" customWidth="1"/>
    <col min="5636" max="5636" width="13.25" style="2" bestFit="1" customWidth="1"/>
    <col min="5637" max="5639" width="11.125" style="2" bestFit="1" customWidth="1"/>
    <col min="5640" max="5640" width="13.25" style="2" bestFit="1" customWidth="1"/>
    <col min="5641" max="5641" width="11.125" style="2" bestFit="1" customWidth="1"/>
    <col min="5642" max="5642" width="9" style="2"/>
    <col min="5643" max="5643" width="11.125" style="2" bestFit="1" customWidth="1"/>
    <col min="5644" max="5644" width="9" style="2"/>
    <col min="5645" max="5655" width="11.125" style="2" bestFit="1" customWidth="1"/>
    <col min="5656" max="5656" width="9" style="2"/>
    <col min="5657" max="5663" width="11.125" style="2" bestFit="1" customWidth="1"/>
    <col min="5664" max="5664" width="9.625" style="2" bestFit="1" customWidth="1"/>
    <col min="5665" max="5890" width="9" style="2"/>
    <col min="5891" max="5891" width="2.375" style="2" customWidth="1"/>
    <col min="5892" max="5892" width="13.25" style="2" bestFit="1" customWidth="1"/>
    <col min="5893" max="5895" width="11.125" style="2" bestFit="1" customWidth="1"/>
    <col min="5896" max="5896" width="13.25" style="2" bestFit="1" customWidth="1"/>
    <col min="5897" max="5897" width="11.125" style="2" bestFit="1" customWidth="1"/>
    <col min="5898" max="5898" width="9" style="2"/>
    <col min="5899" max="5899" width="11.125" style="2" bestFit="1" customWidth="1"/>
    <col min="5900" max="5900" width="9" style="2"/>
    <col min="5901" max="5911" width="11.125" style="2" bestFit="1" customWidth="1"/>
    <col min="5912" max="5912" width="9" style="2"/>
    <col min="5913" max="5919" width="11.125" style="2" bestFit="1" customWidth="1"/>
    <col min="5920" max="5920" width="9.625" style="2" bestFit="1" customWidth="1"/>
    <col min="5921" max="6146" width="9" style="2"/>
    <col min="6147" max="6147" width="2.375" style="2" customWidth="1"/>
    <col min="6148" max="6148" width="13.25" style="2" bestFit="1" customWidth="1"/>
    <col min="6149" max="6151" width="11.125" style="2" bestFit="1" customWidth="1"/>
    <col min="6152" max="6152" width="13.25" style="2" bestFit="1" customWidth="1"/>
    <col min="6153" max="6153" width="11.125" style="2" bestFit="1" customWidth="1"/>
    <col min="6154" max="6154" width="9" style="2"/>
    <col min="6155" max="6155" width="11.125" style="2" bestFit="1" customWidth="1"/>
    <col min="6156" max="6156" width="9" style="2"/>
    <col min="6157" max="6167" width="11.125" style="2" bestFit="1" customWidth="1"/>
    <col min="6168" max="6168" width="9" style="2"/>
    <col min="6169" max="6175" width="11.125" style="2" bestFit="1" customWidth="1"/>
    <col min="6176" max="6176" width="9.625" style="2" bestFit="1" customWidth="1"/>
    <col min="6177" max="6402" width="9" style="2"/>
    <col min="6403" max="6403" width="2.375" style="2" customWidth="1"/>
    <col min="6404" max="6404" width="13.25" style="2" bestFit="1" customWidth="1"/>
    <col min="6405" max="6407" width="11.125" style="2" bestFit="1" customWidth="1"/>
    <col min="6408" max="6408" width="13.25" style="2" bestFit="1" customWidth="1"/>
    <col min="6409" max="6409" width="11.125" style="2" bestFit="1" customWidth="1"/>
    <col min="6410" max="6410" width="9" style="2"/>
    <col min="6411" max="6411" width="11.125" style="2" bestFit="1" customWidth="1"/>
    <col min="6412" max="6412" width="9" style="2"/>
    <col min="6413" max="6423" width="11.125" style="2" bestFit="1" customWidth="1"/>
    <col min="6424" max="6424" width="9" style="2"/>
    <col min="6425" max="6431" width="11.125" style="2" bestFit="1" customWidth="1"/>
    <col min="6432" max="6432" width="9.625" style="2" bestFit="1" customWidth="1"/>
    <col min="6433" max="6658" width="9" style="2"/>
    <col min="6659" max="6659" width="2.375" style="2" customWidth="1"/>
    <col min="6660" max="6660" width="13.25" style="2" bestFit="1" customWidth="1"/>
    <col min="6661" max="6663" width="11.125" style="2" bestFit="1" customWidth="1"/>
    <col min="6664" max="6664" width="13.25" style="2" bestFit="1" customWidth="1"/>
    <col min="6665" max="6665" width="11.125" style="2" bestFit="1" customWidth="1"/>
    <col min="6666" max="6666" width="9" style="2"/>
    <col min="6667" max="6667" width="11.125" style="2" bestFit="1" customWidth="1"/>
    <col min="6668" max="6668" width="9" style="2"/>
    <col min="6669" max="6679" width="11.125" style="2" bestFit="1" customWidth="1"/>
    <col min="6680" max="6680" width="9" style="2"/>
    <col min="6681" max="6687" width="11.125" style="2" bestFit="1" customWidth="1"/>
    <col min="6688" max="6688" width="9.625" style="2" bestFit="1" customWidth="1"/>
    <col min="6689" max="6914" width="9" style="2"/>
    <col min="6915" max="6915" width="2.375" style="2" customWidth="1"/>
    <col min="6916" max="6916" width="13.25" style="2" bestFit="1" customWidth="1"/>
    <col min="6917" max="6919" width="11.125" style="2" bestFit="1" customWidth="1"/>
    <col min="6920" max="6920" width="13.25" style="2" bestFit="1" customWidth="1"/>
    <col min="6921" max="6921" width="11.125" style="2" bestFit="1" customWidth="1"/>
    <col min="6922" max="6922" width="9" style="2"/>
    <col min="6923" max="6923" width="11.125" style="2" bestFit="1" customWidth="1"/>
    <col min="6924" max="6924" width="9" style="2"/>
    <col min="6925" max="6935" width="11.125" style="2" bestFit="1" customWidth="1"/>
    <col min="6936" max="6936" width="9" style="2"/>
    <col min="6937" max="6943" width="11.125" style="2" bestFit="1" customWidth="1"/>
    <col min="6944" max="6944" width="9.625" style="2" bestFit="1" customWidth="1"/>
    <col min="6945" max="7170" width="9" style="2"/>
    <col min="7171" max="7171" width="2.375" style="2" customWidth="1"/>
    <col min="7172" max="7172" width="13.25" style="2" bestFit="1" customWidth="1"/>
    <col min="7173" max="7175" width="11.125" style="2" bestFit="1" customWidth="1"/>
    <col min="7176" max="7176" width="13.25" style="2" bestFit="1" customWidth="1"/>
    <col min="7177" max="7177" width="11.125" style="2" bestFit="1" customWidth="1"/>
    <col min="7178" max="7178" width="9" style="2"/>
    <col min="7179" max="7179" width="11.125" style="2" bestFit="1" customWidth="1"/>
    <col min="7180" max="7180" width="9" style="2"/>
    <col min="7181" max="7191" width="11.125" style="2" bestFit="1" customWidth="1"/>
    <col min="7192" max="7192" width="9" style="2"/>
    <col min="7193" max="7199" width="11.125" style="2" bestFit="1" customWidth="1"/>
    <col min="7200" max="7200" width="9.625" style="2" bestFit="1" customWidth="1"/>
    <col min="7201" max="7426" width="9" style="2"/>
    <col min="7427" max="7427" width="2.375" style="2" customWidth="1"/>
    <col min="7428" max="7428" width="13.25" style="2" bestFit="1" customWidth="1"/>
    <col min="7429" max="7431" width="11.125" style="2" bestFit="1" customWidth="1"/>
    <col min="7432" max="7432" width="13.25" style="2" bestFit="1" customWidth="1"/>
    <col min="7433" max="7433" width="11.125" style="2" bestFit="1" customWidth="1"/>
    <col min="7434" max="7434" width="9" style="2"/>
    <col min="7435" max="7435" width="11.125" style="2" bestFit="1" customWidth="1"/>
    <col min="7436" max="7436" width="9" style="2"/>
    <col min="7437" max="7447" width="11.125" style="2" bestFit="1" customWidth="1"/>
    <col min="7448" max="7448" width="9" style="2"/>
    <col min="7449" max="7455" width="11.125" style="2" bestFit="1" customWidth="1"/>
    <col min="7456" max="7456" width="9.625" style="2" bestFit="1" customWidth="1"/>
    <col min="7457" max="7682" width="9" style="2"/>
    <col min="7683" max="7683" width="2.375" style="2" customWidth="1"/>
    <col min="7684" max="7684" width="13.25" style="2" bestFit="1" customWidth="1"/>
    <col min="7685" max="7687" width="11.125" style="2" bestFit="1" customWidth="1"/>
    <col min="7688" max="7688" width="13.25" style="2" bestFit="1" customWidth="1"/>
    <col min="7689" max="7689" width="11.125" style="2" bestFit="1" customWidth="1"/>
    <col min="7690" max="7690" width="9" style="2"/>
    <col min="7691" max="7691" width="11.125" style="2" bestFit="1" customWidth="1"/>
    <col min="7692" max="7692" width="9" style="2"/>
    <col min="7693" max="7703" width="11.125" style="2" bestFit="1" customWidth="1"/>
    <col min="7704" max="7704" width="9" style="2"/>
    <col min="7705" max="7711" width="11.125" style="2" bestFit="1" customWidth="1"/>
    <col min="7712" max="7712" width="9.625" style="2" bestFit="1" customWidth="1"/>
    <col min="7713" max="7938" width="9" style="2"/>
    <col min="7939" max="7939" width="2.375" style="2" customWidth="1"/>
    <col min="7940" max="7940" width="13.25" style="2" bestFit="1" customWidth="1"/>
    <col min="7941" max="7943" width="11.125" style="2" bestFit="1" customWidth="1"/>
    <col min="7944" max="7944" width="13.25" style="2" bestFit="1" customWidth="1"/>
    <col min="7945" max="7945" width="11.125" style="2" bestFit="1" customWidth="1"/>
    <col min="7946" max="7946" width="9" style="2"/>
    <col min="7947" max="7947" width="11.125" style="2" bestFit="1" customWidth="1"/>
    <col min="7948" max="7948" width="9" style="2"/>
    <col min="7949" max="7959" width="11.125" style="2" bestFit="1" customWidth="1"/>
    <col min="7960" max="7960" width="9" style="2"/>
    <col min="7961" max="7967" width="11.125" style="2" bestFit="1" customWidth="1"/>
    <col min="7968" max="7968" width="9.625" style="2" bestFit="1" customWidth="1"/>
    <col min="7969" max="8194" width="9" style="2"/>
    <col min="8195" max="8195" width="2.375" style="2" customWidth="1"/>
    <col min="8196" max="8196" width="13.25" style="2" bestFit="1" customWidth="1"/>
    <col min="8197" max="8199" width="11.125" style="2" bestFit="1" customWidth="1"/>
    <col min="8200" max="8200" width="13.25" style="2" bestFit="1" customWidth="1"/>
    <col min="8201" max="8201" width="11.125" style="2" bestFit="1" customWidth="1"/>
    <col min="8202" max="8202" width="9" style="2"/>
    <col min="8203" max="8203" width="11.125" style="2" bestFit="1" customWidth="1"/>
    <col min="8204" max="8204" width="9" style="2"/>
    <col min="8205" max="8215" width="11.125" style="2" bestFit="1" customWidth="1"/>
    <col min="8216" max="8216" width="9" style="2"/>
    <col min="8217" max="8223" width="11.125" style="2" bestFit="1" customWidth="1"/>
    <col min="8224" max="8224" width="9.625" style="2" bestFit="1" customWidth="1"/>
    <col min="8225" max="8450" width="9" style="2"/>
    <col min="8451" max="8451" width="2.375" style="2" customWidth="1"/>
    <col min="8452" max="8452" width="13.25" style="2" bestFit="1" customWidth="1"/>
    <col min="8453" max="8455" width="11.125" style="2" bestFit="1" customWidth="1"/>
    <col min="8456" max="8456" width="13.25" style="2" bestFit="1" customWidth="1"/>
    <col min="8457" max="8457" width="11.125" style="2" bestFit="1" customWidth="1"/>
    <col min="8458" max="8458" width="9" style="2"/>
    <col min="8459" max="8459" width="11.125" style="2" bestFit="1" customWidth="1"/>
    <col min="8460" max="8460" width="9" style="2"/>
    <col min="8461" max="8471" width="11.125" style="2" bestFit="1" customWidth="1"/>
    <col min="8472" max="8472" width="9" style="2"/>
    <col min="8473" max="8479" width="11.125" style="2" bestFit="1" customWidth="1"/>
    <col min="8480" max="8480" width="9.625" style="2" bestFit="1" customWidth="1"/>
    <col min="8481" max="8706" width="9" style="2"/>
    <col min="8707" max="8707" width="2.375" style="2" customWidth="1"/>
    <col min="8708" max="8708" width="13.25" style="2" bestFit="1" customWidth="1"/>
    <col min="8709" max="8711" width="11.125" style="2" bestFit="1" customWidth="1"/>
    <col min="8712" max="8712" width="13.25" style="2" bestFit="1" customWidth="1"/>
    <col min="8713" max="8713" width="11.125" style="2" bestFit="1" customWidth="1"/>
    <col min="8714" max="8714" width="9" style="2"/>
    <col min="8715" max="8715" width="11.125" style="2" bestFit="1" customWidth="1"/>
    <col min="8716" max="8716" width="9" style="2"/>
    <col min="8717" max="8727" width="11.125" style="2" bestFit="1" customWidth="1"/>
    <col min="8728" max="8728" width="9" style="2"/>
    <col min="8729" max="8735" width="11.125" style="2" bestFit="1" customWidth="1"/>
    <col min="8736" max="8736" width="9.625" style="2" bestFit="1" customWidth="1"/>
    <col min="8737" max="8962" width="9" style="2"/>
    <col min="8963" max="8963" width="2.375" style="2" customWidth="1"/>
    <col min="8964" max="8964" width="13.25" style="2" bestFit="1" customWidth="1"/>
    <col min="8965" max="8967" width="11.125" style="2" bestFit="1" customWidth="1"/>
    <col min="8968" max="8968" width="13.25" style="2" bestFit="1" customWidth="1"/>
    <col min="8969" max="8969" width="11.125" style="2" bestFit="1" customWidth="1"/>
    <col min="8970" max="8970" width="9" style="2"/>
    <col min="8971" max="8971" width="11.125" style="2" bestFit="1" customWidth="1"/>
    <col min="8972" max="8972" width="9" style="2"/>
    <col min="8973" max="8983" width="11.125" style="2" bestFit="1" customWidth="1"/>
    <col min="8984" max="8984" width="9" style="2"/>
    <col min="8985" max="8991" width="11.125" style="2" bestFit="1" customWidth="1"/>
    <col min="8992" max="8992" width="9.625" style="2" bestFit="1" customWidth="1"/>
    <col min="8993" max="9218" width="9" style="2"/>
    <col min="9219" max="9219" width="2.375" style="2" customWidth="1"/>
    <col min="9220" max="9220" width="13.25" style="2" bestFit="1" customWidth="1"/>
    <col min="9221" max="9223" width="11.125" style="2" bestFit="1" customWidth="1"/>
    <col min="9224" max="9224" width="13.25" style="2" bestFit="1" customWidth="1"/>
    <col min="9225" max="9225" width="11.125" style="2" bestFit="1" customWidth="1"/>
    <col min="9226" max="9226" width="9" style="2"/>
    <col min="9227" max="9227" width="11.125" style="2" bestFit="1" customWidth="1"/>
    <col min="9228" max="9228" width="9" style="2"/>
    <col min="9229" max="9239" width="11.125" style="2" bestFit="1" customWidth="1"/>
    <col min="9240" max="9240" width="9" style="2"/>
    <col min="9241" max="9247" width="11.125" style="2" bestFit="1" customWidth="1"/>
    <col min="9248" max="9248" width="9.625" style="2" bestFit="1" customWidth="1"/>
    <col min="9249" max="9474" width="9" style="2"/>
    <col min="9475" max="9475" width="2.375" style="2" customWidth="1"/>
    <col min="9476" max="9476" width="13.25" style="2" bestFit="1" customWidth="1"/>
    <col min="9477" max="9479" width="11.125" style="2" bestFit="1" customWidth="1"/>
    <col min="9480" max="9480" width="13.25" style="2" bestFit="1" customWidth="1"/>
    <col min="9481" max="9481" width="11.125" style="2" bestFit="1" customWidth="1"/>
    <col min="9482" max="9482" width="9" style="2"/>
    <col min="9483" max="9483" width="11.125" style="2" bestFit="1" customWidth="1"/>
    <col min="9484" max="9484" width="9" style="2"/>
    <col min="9485" max="9495" width="11.125" style="2" bestFit="1" customWidth="1"/>
    <col min="9496" max="9496" width="9" style="2"/>
    <col min="9497" max="9503" width="11.125" style="2" bestFit="1" customWidth="1"/>
    <col min="9504" max="9504" width="9.625" style="2" bestFit="1" customWidth="1"/>
    <col min="9505" max="9730" width="9" style="2"/>
    <col min="9731" max="9731" width="2.375" style="2" customWidth="1"/>
    <col min="9732" max="9732" width="13.25" style="2" bestFit="1" customWidth="1"/>
    <col min="9733" max="9735" width="11.125" style="2" bestFit="1" customWidth="1"/>
    <col min="9736" max="9736" width="13.25" style="2" bestFit="1" customWidth="1"/>
    <col min="9737" max="9737" width="11.125" style="2" bestFit="1" customWidth="1"/>
    <col min="9738" max="9738" width="9" style="2"/>
    <col min="9739" max="9739" width="11.125" style="2" bestFit="1" customWidth="1"/>
    <col min="9740" max="9740" width="9" style="2"/>
    <col min="9741" max="9751" width="11.125" style="2" bestFit="1" customWidth="1"/>
    <col min="9752" max="9752" width="9" style="2"/>
    <col min="9753" max="9759" width="11.125" style="2" bestFit="1" customWidth="1"/>
    <col min="9760" max="9760" width="9.625" style="2" bestFit="1" customWidth="1"/>
    <col min="9761" max="9986" width="9" style="2"/>
    <col min="9987" max="9987" width="2.375" style="2" customWidth="1"/>
    <col min="9988" max="9988" width="13.25" style="2" bestFit="1" customWidth="1"/>
    <col min="9989" max="9991" width="11.125" style="2" bestFit="1" customWidth="1"/>
    <col min="9992" max="9992" width="13.25" style="2" bestFit="1" customWidth="1"/>
    <col min="9993" max="9993" width="11.125" style="2" bestFit="1" customWidth="1"/>
    <col min="9994" max="9994" width="9" style="2"/>
    <col min="9995" max="9995" width="11.125" style="2" bestFit="1" customWidth="1"/>
    <col min="9996" max="9996" width="9" style="2"/>
    <col min="9997" max="10007" width="11.125" style="2" bestFit="1" customWidth="1"/>
    <col min="10008" max="10008" width="9" style="2"/>
    <col min="10009" max="10015" width="11.125" style="2" bestFit="1" customWidth="1"/>
    <col min="10016" max="10016" width="9.625" style="2" bestFit="1" customWidth="1"/>
    <col min="10017" max="10242" width="9" style="2"/>
    <col min="10243" max="10243" width="2.375" style="2" customWidth="1"/>
    <col min="10244" max="10244" width="13.25" style="2" bestFit="1" customWidth="1"/>
    <col min="10245" max="10247" width="11.125" style="2" bestFit="1" customWidth="1"/>
    <col min="10248" max="10248" width="13.25" style="2" bestFit="1" customWidth="1"/>
    <col min="10249" max="10249" width="11.125" style="2" bestFit="1" customWidth="1"/>
    <col min="10250" max="10250" width="9" style="2"/>
    <col min="10251" max="10251" width="11.125" style="2" bestFit="1" customWidth="1"/>
    <col min="10252" max="10252" width="9" style="2"/>
    <col min="10253" max="10263" width="11.125" style="2" bestFit="1" customWidth="1"/>
    <col min="10264" max="10264" width="9" style="2"/>
    <col min="10265" max="10271" width="11.125" style="2" bestFit="1" customWidth="1"/>
    <col min="10272" max="10272" width="9.625" style="2" bestFit="1" customWidth="1"/>
    <col min="10273" max="10498" width="9" style="2"/>
    <col min="10499" max="10499" width="2.375" style="2" customWidth="1"/>
    <col min="10500" max="10500" width="13.25" style="2" bestFit="1" customWidth="1"/>
    <col min="10501" max="10503" width="11.125" style="2" bestFit="1" customWidth="1"/>
    <col min="10504" max="10504" width="13.25" style="2" bestFit="1" customWidth="1"/>
    <col min="10505" max="10505" width="11.125" style="2" bestFit="1" customWidth="1"/>
    <col min="10506" max="10506" width="9" style="2"/>
    <col min="10507" max="10507" width="11.125" style="2" bestFit="1" customWidth="1"/>
    <col min="10508" max="10508" width="9" style="2"/>
    <col min="10509" max="10519" width="11.125" style="2" bestFit="1" customWidth="1"/>
    <col min="10520" max="10520" width="9" style="2"/>
    <col min="10521" max="10527" width="11.125" style="2" bestFit="1" customWidth="1"/>
    <col min="10528" max="10528" width="9.625" style="2" bestFit="1" customWidth="1"/>
    <col min="10529" max="10754" width="9" style="2"/>
    <col min="10755" max="10755" width="2.375" style="2" customWidth="1"/>
    <col min="10756" max="10756" width="13.25" style="2" bestFit="1" customWidth="1"/>
    <col min="10757" max="10759" width="11.125" style="2" bestFit="1" customWidth="1"/>
    <col min="10760" max="10760" width="13.25" style="2" bestFit="1" customWidth="1"/>
    <col min="10761" max="10761" width="11.125" style="2" bestFit="1" customWidth="1"/>
    <col min="10762" max="10762" width="9" style="2"/>
    <col min="10763" max="10763" width="11.125" style="2" bestFit="1" customWidth="1"/>
    <col min="10764" max="10764" width="9" style="2"/>
    <col min="10765" max="10775" width="11.125" style="2" bestFit="1" customWidth="1"/>
    <col min="10776" max="10776" width="9" style="2"/>
    <col min="10777" max="10783" width="11.125" style="2" bestFit="1" customWidth="1"/>
    <col min="10784" max="10784" width="9.625" style="2" bestFit="1" customWidth="1"/>
    <col min="10785" max="11010" width="9" style="2"/>
    <col min="11011" max="11011" width="2.375" style="2" customWidth="1"/>
    <col min="11012" max="11012" width="13.25" style="2" bestFit="1" customWidth="1"/>
    <col min="11013" max="11015" width="11.125" style="2" bestFit="1" customWidth="1"/>
    <col min="11016" max="11016" width="13.25" style="2" bestFit="1" customWidth="1"/>
    <col min="11017" max="11017" width="11.125" style="2" bestFit="1" customWidth="1"/>
    <col min="11018" max="11018" width="9" style="2"/>
    <col min="11019" max="11019" width="11.125" style="2" bestFit="1" customWidth="1"/>
    <col min="11020" max="11020" width="9" style="2"/>
    <col min="11021" max="11031" width="11.125" style="2" bestFit="1" customWidth="1"/>
    <col min="11032" max="11032" width="9" style="2"/>
    <col min="11033" max="11039" width="11.125" style="2" bestFit="1" customWidth="1"/>
    <col min="11040" max="11040" width="9.625" style="2" bestFit="1" customWidth="1"/>
    <col min="11041" max="11266" width="9" style="2"/>
    <col min="11267" max="11267" width="2.375" style="2" customWidth="1"/>
    <col min="11268" max="11268" width="13.25" style="2" bestFit="1" customWidth="1"/>
    <col min="11269" max="11271" width="11.125" style="2" bestFit="1" customWidth="1"/>
    <col min="11272" max="11272" width="13.25" style="2" bestFit="1" customWidth="1"/>
    <col min="11273" max="11273" width="11.125" style="2" bestFit="1" customWidth="1"/>
    <col min="11274" max="11274" width="9" style="2"/>
    <col min="11275" max="11275" width="11.125" style="2" bestFit="1" customWidth="1"/>
    <col min="11276" max="11276" width="9" style="2"/>
    <col min="11277" max="11287" width="11.125" style="2" bestFit="1" customWidth="1"/>
    <col min="11288" max="11288" width="9" style="2"/>
    <col min="11289" max="11295" width="11.125" style="2" bestFit="1" customWidth="1"/>
    <col min="11296" max="11296" width="9.625" style="2" bestFit="1" customWidth="1"/>
    <col min="11297" max="11522" width="9" style="2"/>
    <col min="11523" max="11523" width="2.375" style="2" customWidth="1"/>
    <col min="11524" max="11524" width="13.25" style="2" bestFit="1" customWidth="1"/>
    <col min="11525" max="11527" width="11.125" style="2" bestFit="1" customWidth="1"/>
    <col min="11528" max="11528" width="13.25" style="2" bestFit="1" customWidth="1"/>
    <col min="11529" max="11529" width="11.125" style="2" bestFit="1" customWidth="1"/>
    <col min="11530" max="11530" width="9" style="2"/>
    <col min="11531" max="11531" width="11.125" style="2" bestFit="1" customWidth="1"/>
    <col min="11532" max="11532" width="9" style="2"/>
    <col min="11533" max="11543" width="11.125" style="2" bestFit="1" customWidth="1"/>
    <col min="11544" max="11544" width="9" style="2"/>
    <col min="11545" max="11551" width="11.125" style="2" bestFit="1" customWidth="1"/>
    <col min="11552" max="11552" width="9.625" style="2" bestFit="1" customWidth="1"/>
    <col min="11553" max="11778" width="9" style="2"/>
    <col min="11779" max="11779" width="2.375" style="2" customWidth="1"/>
    <col min="11780" max="11780" width="13.25" style="2" bestFit="1" customWidth="1"/>
    <col min="11781" max="11783" width="11.125" style="2" bestFit="1" customWidth="1"/>
    <col min="11784" max="11784" width="13.25" style="2" bestFit="1" customWidth="1"/>
    <col min="11785" max="11785" width="11.125" style="2" bestFit="1" customWidth="1"/>
    <col min="11786" max="11786" width="9" style="2"/>
    <col min="11787" max="11787" width="11.125" style="2" bestFit="1" customWidth="1"/>
    <col min="11788" max="11788" width="9" style="2"/>
    <col min="11789" max="11799" width="11.125" style="2" bestFit="1" customWidth="1"/>
    <col min="11800" max="11800" width="9" style="2"/>
    <col min="11801" max="11807" width="11.125" style="2" bestFit="1" customWidth="1"/>
    <col min="11808" max="11808" width="9.625" style="2" bestFit="1" customWidth="1"/>
    <col min="11809" max="12034" width="9" style="2"/>
    <col min="12035" max="12035" width="2.375" style="2" customWidth="1"/>
    <col min="12036" max="12036" width="13.25" style="2" bestFit="1" customWidth="1"/>
    <col min="12037" max="12039" width="11.125" style="2" bestFit="1" customWidth="1"/>
    <col min="12040" max="12040" width="13.25" style="2" bestFit="1" customWidth="1"/>
    <col min="12041" max="12041" width="11.125" style="2" bestFit="1" customWidth="1"/>
    <col min="12042" max="12042" width="9" style="2"/>
    <col min="12043" max="12043" width="11.125" style="2" bestFit="1" customWidth="1"/>
    <col min="12044" max="12044" width="9" style="2"/>
    <col min="12045" max="12055" width="11.125" style="2" bestFit="1" customWidth="1"/>
    <col min="12056" max="12056" width="9" style="2"/>
    <col min="12057" max="12063" width="11.125" style="2" bestFit="1" customWidth="1"/>
    <col min="12064" max="12064" width="9.625" style="2" bestFit="1" customWidth="1"/>
    <col min="12065" max="12290" width="9" style="2"/>
    <col min="12291" max="12291" width="2.375" style="2" customWidth="1"/>
    <col min="12292" max="12292" width="13.25" style="2" bestFit="1" customWidth="1"/>
    <col min="12293" max="12295" width="11.125" style="2" bestFit="1" customWidth="1"/>
    <col min="12296" max="12296" width="13.25" style="2" bestFit="1" customWidth="1"/>
    <col min="12297" max="12297" width="11.125" style="2" bestFit="1" customWidth="1"/>
    <col min="12298" max="12298" width="9" style="2"/>
    <col min="12299" max="12299" width="11.125" style="2" bestFit="1" customWidth="1"/>
    <col min="12300" max="12300" width="9" style="2"/>
    <col min="12301" max="12311" width="11.125" style="2" bestFit="1" customWidth="1"/>
    <col min="12312" max="12312" width="9" style="2"/>
    <col min="12313" max="12319" width="11.125" style="2" bestFit="1" customWidth="1"/>
    <col min="12320" max="12320" width="9.625" style="2" bestFit="1" customWidth="1"/>
    <col min="12321" max="12546" width="9" style="2"/>
    <col min="12547" max="12547" width="2.375" style="2" customWidth="1"/>
    <col min="12548" max="12548" width="13.25" style="2" bestFit="1" customWidth="1"/>
    <col min="12549" max="12551" width="11.125" style="2" bestFit="1" customWidth="1"/>
    <col min="12552" max="12552" width="13.25" style="2" bestFit="1" customWidth="1"/>
    <col min="12553" max="12553" width="11.125" style="2" bestFit="1" customWidth="1"/>
    <col min="12554" max="12554" width="9" style="2"/>
    <col min="12555" max="12555" width="11.125" style="2" bestFit="1" customWidth="1"/>
    <col min="12556" max="12556" width="9" style="2"/>
    <col min="12557" max="12567" width="11.125" style="2" bestFit="1" customWidth="1"/>
    <col min="12568" max="12568" width="9" style="2"/>
    <col min="12569" max="12575" width="11.125" style="2" bestFit="1" customWidth="1"/>
    <col min="12576" max="12576" width="9.625" style="2" bestFit="1" customWidth="1"/>
    <col min="12577" max="12802" width="9" style="2"/>
    <col min="12803" max="12803" width="2.375" style="2" customWidth="1"/>
    <col min="12804" max="12804" width="13.25" style="2" bestFit="1" customWidth="1"/>
    <col min="12805" max="12807" width="11.125" style="2" bestFit="1" customWidth="1"/>
    <col min="12808" max="12808" width="13.25" style="2" bestFit="1" customWidth="1"/>
    <col min="12809" max="12809" width="11.125" style="2" bestFit="1" customWidth="1"/>
    <col min="12810" max="12810" width="9" style="2"/>
    <col min="12811" max="12811" width="11.125" style="2" bestFit="1" customWidth="1"/>
    <col min="12812" max="12812" width="9" style="2"/>
    <col min="12813" max="12823" width="11.125" style="2" bestFit="1" customWidth="1"/>
    <col min="12824" max="12824" width="9" style="2"/>
    <col min="12825" max="12831" width="11.125" style="2" bestFit="1" customWidth="1"/>
    <col min="12832" max="12832" width="9.625" style="2" bestFit="1" customWidth="1"/>
    <col min="12833" max="13058" width="9" style="2"/>
    <col min="13059" max="13059" width="2.375" style="2" customWidth="1"/>
    <col min="13060" max="13060" width="13.25" style="2" bestFit="1" customWidth="1"/>
    <col min="13061" max="13063" width="11.125" style="2" bestFit="1" customWidth="1"/>
    <col min="13064" max="13064" width="13.25" style="2" bestFit="1" customWidth="1"/>
    <col min="13065" max="13065" width="11.125" style="2" bestFit="1" customWidth="1"/>
    <col min="13066" max="13066" width="9" style="2"/>
    <col min="13067" max="13067" width="11.125" style="2" bestFit="1" customWidth="1"/>
    <col min="13068" max="13068" width="9" style="2"/>
    <col min="13069" max="13079" width="11.125" style="2" bestFit="1" customWidth="1"/>
    <col min="13080" max="13080" width="9" style="2"/>
    <col min="13081" max="13087" width="11.125" style="2" bestFit="1" customWidth="1"/>
    <col min="13088" max="13088" width="9.625" style="2" bestFit="1" customWidth="1"/>
    <col min="13089" max="13314" width="9" style="2"/>
    <col min="13315" max="13315" width="2.375" style="2" customWidth="1"/>
    <col min="13316" max="13316" width="13.25" style="2" bestFit="1" customWidth="1"/>
    <col min="13317" max="13319" width="11.125" style="2" bestFit="1" customWidth="1"/>
    <col min="13320" max="13320" width="13.25" style="2" bestFit="1" customWidth="1"/>
    <col min="13321" max="13321" width="11.125" style="2" bestFit="1" customWidth="1"/>
    <col min="13322" max="13322" width="9" style="2"/>
    <col min="13323" max="13323" width="11.125" style="2" bestFit="1" customWidth="1"/>
    <col min="13324" max="13324" width="9" style="2"/>
    <col min="13325" max="13335" width="11.125" style="2" bestFit="1" customWidth="1"/>
    <col min="13336" max="13336" width="9" style="2"/>
    <col min="13337" max="13343" width="11.125" style="2" bestFit="1" customWidth="1"/>
    <col min="13344" max="13344" width="9.625" style="2" bestFit="1" customWidth="1"/>
    <col min="13345" max="13570" width="9" style="2"/>
    <col min="13571" max="13571" width="2.375" style="2" customWidth="1"/>
    <col min="13572" max="13572" width="13.25" style="2" bestFit="1" customWidth="1"/>
    <col min="13573" max="13575" width="11.125" style="2" bestFit="1" customWidth="1"/>
    <col min="13576" max="13576" width="13.25" style="2" bestFit="1" customWidth="1"/>
    <col min="13577" max="13577" width="11.125" style="2" bestFit="1" customWidth="1"/>
    <col min="13578" max="13578" width="9" style="2"/>
    <col min="13579" max="13579" width="11.125" style="2" bestFit="1" customWidth="1"/>
    <col min="13580" max="13580" width="9" style="2"/>
    <col min="13581" max="13591" width="11.125" style="2" bestFit="1" customWidth="1"/>
    <col min="13592" max="13592" width="9" style="2"/>
    <col min="13593" max="13599" width="11.125" style="2" bestFit="1" customWidth="1"/>
    <col min="13600" max="13600" width="9.625" style="2" bestFit="1" customWidth="1"/>
    <col min="13601" max="13826" width="9" style="2"/>
    <col min="13827" max="13827" width="2.375" style="2" customWidth="1"/>
    <col min="13828" max="13828" width="13.25" style="2" bestFit="1" customWidth="1"/>
    <col min="13829" max="13831" width="11.125" style="2" bestFit="1" customWidth="1"/>
    <col min="13832" max="13832" width="13.25" style="2" bestFit="1" customWidth="1"/>
    <col min="13833" max="13833" width="11.125" style="2" bestFit="1" customWidth="1"/>
    <col min="13834" max="13834" width="9" style="2"/>
    <col min="13835" max="13835" width="11.125" style="2" bestFit="1" customWidth="1"/>
    <col min="13836" max="13836" width="9" style="2"/>
    <col min="13837" max="13847" width="11.125" style="2" bestFit="1" customWidth="1"/>
    <col min="13848" max="13848" width="9" style="2"/>
    <col min="13849" max="13855" width="11.125" style="2" bestFit="1" customWidth="1"/>
    <col min="13856" max="13856" width="9.625" style="2" bestFit="1" customWidth="1"/>
    <col min="13857" max="14082" width="9" style="2"/>
    <col min="14083" max="14083" width="2.375" style="2" customWidth="1"/>
    <col min="14084" max="14084" width="13.25" style="2" bestFit="1" customWidth="1"/>
    <col min="14085" max="14087" width="11.125" style="2" bestFit="1" customWidth="1"/>
    <col min="14088" max="14088" width="13.25" style="2" bestFit="1" customWidth="1"/>
    <col min="14089" max="14089" width="11.125" style="2" bestFit="1" customWidth="1"/>
    <col min="14090" max="14090" width="9" style="2"/>
    <col min="14091" max="14091" width="11.125" style="2" bestFit="1" customWidth="1"/>
    <col min="14092" max="14092" width="9" style="2"/>
    <col min="14093" max="14103" width="11.125" style="2" bestFit="1" customWidth="1"/>
    <col min="14104" max="14104" width="9" style="2"/>
    <col min="14105" max="14111" width="11.125" style="2" bestFit="1" customWidth="1"/>
    <col min="14112" max="14112" width="9.625" style="2" bestFit="1" customWidth="1"/>
    <col min="14113" max="14338" width="9" style="2"/>
    <col min="14339" max="14339" width="2.375" style="2" customWidth="1"/>
    <col min="14340" max="14340" width="13.25" style="2" bestFit="1" customWidth="1"/>
    <col min="14341" max="14343" width="11.125" style="2" bestFit="1" customWidth="1"/>
    <col min="14344" max="14344" width="13.25" style="2" bestFit="1" customWidth="1"/>
    <col min="14345" max="14345" width="11.125" style="2" bestFit="1" customWidth="1"/>
    <col min="14346" max="14346" width="9" style="2"/>
    <col min="14347" max="14347" width="11.125" style="2" bestFit="1" customWidth="1"/>
    <col min="14348" max="14348" width="9" style="2"/>
    <col min="14349" max="14359" width="11.125" style="2" bestFit="1" customWidth="1"/>
    <col min="14360" max="14360" width="9" style="2"/>
    <col min="14361" max="14367" width="11.125" style="2" bestFit="1" customWidth="1"/>
    <col min="14368" max="14368" width="9.625" style="2" bestFit="1" customWidth="1"/>
    <col min="14369" max="14594" width="9" style="2"/>
    <col min="14595" max="14595" width="2.375" style="2" customWidth="1"/>
    <col min="14596" max="14596" width="13.25" style="2" bestFit="1" customWidth="1"/>
    <col min="14597" max="14599" width="11.125" style="2" bestFit="1" customWidth="1"/>
    <col min="14600" max="14600" width="13.25" style="2" bestFit="1" customWidth="1"/>
    <col min="14601" max="14601" width="11.125" style="2" bestFit="1" customWidth="1"/>
    <col min="14602" max="14602" width="9" style="2"/>
    <col min="14603" max="14603" width="11.125" style="2" bestFit="1" customWidth="1"/>
    <col min="14604" max="14604" width="9" style="2"/>
    <col min="14605" max="14615" width="11.125" style="2" bestFit="1" customWidth="1"/>
    <col min="14616" max="14616" width="9" style="2"/>
    <col min="14617" max="14623" width="11.125" style="2" bestFit="1" customWidth="1"/>
    <col min="14624" max="14624" width="9.625" style="2" bestFit="1" customWidth="1"/>
    <col min="14625" max="14850" width="9" style="2"/>
    <col min="14851" max="14851" width="2.375" style="2" customWidth="1"/>
    <col min="14852" max="14852" width="13.25" style="2" bestFit="1" customWidth="1"/>
    <col min="14853" max="14855" width="11.125" style="2" bestFit="1" customWidth="1"/>
    <col min="14856" max="14856" width="13.25" style="2" bestFit="1" customWidth="1"/>
    <col min="14857" max="14857" width="11.125" style="2" bestFit="1" customWidth="1"/>
    <col min="14858" max="14858" width="9" style="2"/>
    <col min="14859" max="14859" width="11.125" style="2" bestFit="1" customWidth="1"/>
    <col min="14860" max="14860" width="9" style="2"/>
    <col min="14861" max="14871" width="11.125" style="2" bestFit="1" customWidth="1"/>
    <col min="14872" max="14872" width="9" style="2"/>
    <col min="14873" max="14879" width="11.125" style="2" bestFit="1" customWidth="1"/>
    <col min="14880" max="14880" width="9.625" style="2" bestFit="1" customWidth="1"/>
    <col min="14881" max="15106" width="9" style="2"/>
    <col min="15107" max="15107" width="2.375" style="2" customWidth="1"/>
    <col min="15108" max="15108" width="13.25" style="2" bestFit="1" customWidth="1"/>
    <col min="15109" max="15111" width="11.125" style="2" bestFit="1" customWidth="1"/>
    <col min="15112" max="15112" width="13.25" style="2" bestFit="1" customWidth="1"/>
    <col min="15113" max="15113" width="11.125" style="2" bestFit="1" customWidth="1"/>
    <col min="15114" max="15114" width="9" style="2"/>
    <col min="15115" max="15115" width="11.125" style="2" bestFit="1" customWidth="1"/>
    <col min="15116" max="15116" width="9" style="2"/>
    <col min="15117" max="15127" width="11.125" style="2" bestFit="1" customWidth="1"/>
    <col min="15128" max="15128" width="9" style="2"/>
    <col min="15129" max="15135" width="11.125" style="2" bestFit="1" customWidth="1"/>
    <col min="15136" max="15136" width="9.625" style="2" bestFit="1" customWidth="1"/>
    <col min="15137" max="15362" width="9" style="2"/>
    <col min="15363" max="15363" width="2.375" style="2" customWidth="1"/>
    <col min="15364" max="15364" width="13.25" style="2" bestFit="1" customWidth="1"/>
    <col min="15365" max="15367" width="11.125" style="2" bestFit="1" customWidth="1"/>
    <col min="15368" max="15368" width="13.25" style="2" bestFit="1" customWidth="1"/>
    <col min="15369" max="15369" width="11.125" style="2" bestFit="1" customWidth="1"/>
    <col min="15370" max="15370" width="9" style="2"/>
    <col min="15371" max="15371" width="11.125" style="2" bestFit="1" customWidth="1"/>
    <col min="15372" max="15372" width="9" style="2"/>
    <col min="15373" max="15383" width="11.125" style="2" bestFit="1" customWidth="1"/>
    <col min="15384" max="15384" width="9" style="2"/>
    <col min="15385" max="15391" width="11.125" style="2" bestFit="1" customWidth="1"/>
    <col min="15392" max="15392" width="9.625" style="2" bestFit="1" customWidth="1"/>
    <col min="15393" max="15618" width="9" style="2"/>
    <col min="15619" max="15619" width="2.375" style="2" customWidth="1"/>
    <col min="15620" max="15620" width="13.25" style="2" bestFit="1" customWidth="1"/>
    <col min="15621" max="15623" width="11.125" style="2" bestFit="1" customWidth="1"/>
    <col min="15624" max="15624" width="13.25" style="2" bestFit="1" customWidth="1"/>
    <col min="15625" max="15625" width="11.125" style="2" bestFit="1" customWidth="1"/>
    <col min="15626" max="15626" width="9" style="2"/>
    <col min="15627" max="15627" width="11.125" style="2" bestFit="1" customWidth="1"/>
    <col min="15628" max="15628" width="9" style="2"/>
    <col min="15629" max="15639" width="11.125" style="2" bestFit="1" customWidth="1"/>
    <col min="15640" max="15640" width="9" style="2"/>
    <col min="15641" max="15647" width="11.125" style="2" bestFit="1" customWidth="1"/>
    <col min="15648" max="15648" width="9.625" style="2" bestFit="1" customWidth="1"/>
    <col min="15649" max="15874" width="9" style="2"/>
    <col min="15875" max="15875" width="2.375" style="2" customWidth="1"/>
    <col min="15876" max="15876" width="13.25" style="2" bestFit="1" customWidth="1"/>
    <col min="15877" max="15879" width="11.125" style="2" bestFit="1" customWidth="1"/>
    <col min="15880" max="15880" width="13.25" style="2" bestFit="1" customWidth="1"/>
    <col min="15881" max="15881" width="11.125" style="2" bestFit="1" customWidth="1"/>
    <col min="15882" max="15882" width="9" style="2"/>
    <col min="15883" max="15883" width="11.125" style="2" bestFit="1" customWidth="1"/>
    <col min="15884" max="15884" width="9" style="2"/>
    <col min="15885" max="15895" width="11.125" style="2" bestFit="1" customWidth="1"/>
    <col min="15896" max="15896" width="9" style="2"/>
    <col min="15897" max="15903" width="11.125" style="2" bestFit="1" customWidth="1"/>
    <col min="15904" max="15904" width="9.625" style="2" bestFit="1" customWidth="1"/>
    <col min="15905" max="16130" width="9" style="2"/>
    <col min="16131" max="16131" width="2.375" style="2" customWidth="1"/>
    <col min="16132" max="16132" width="13.25" style="2" bestFit="1" customWidth="1"/>
    <col min="16133" max="16135" width="11.125" style="2" bestFit="1" customWidth="1"/>
    <col min="16136" max="16136" width="13.25" style="2" bestFit="1" customWidth="1"/>
    <col min="16137" max="16137" width="11.125" style="2" bestFit="1" customWidth="1"/>
    <col min="16138" max="16138" width="9" style="2"/>
    <col min="16139" max="16139" width="11.125" style="2" bestFit="1" customWidth="1"/>
    <col min="16140" max="16140" width="9" style="2"/>
    <col min="16141" max="16151" width="11.125" style="2" bestFit="1" customWidth="1"/>
    <col min="16152" max="16152" width="9" style="2"/>
    <col min="16153" max="16159" width="11.125" style="2" bestFit="1" customWidth="1"/>
    <col min="16160" max="16160" width="9.625" style="2" bestFit="1" customWidth="1"/>
    <col min="16161" max="16384" width="9" style="2"/>
  </cols>
  <sheetData>
    <row r="1" spans="1:33">
      <c r="A1" s="1" t="s">
        <v>0</v>
      </c>
    </row>
    <row r="2" spans="1:33">
      <c r="A2" s="1" t="s">
        <v>1</v>
      </c>
    </row>
    <row r="3" spans="1:33" ht="19.5" thickBot="1">
      <c r="A3" s="1" t="s">
        <v>114</v>
      </c>
    </row>
    <row r="4" spans="1:33">
      <c r="B4" s="3"/>
      <c r="C4" s="9" t="s">
        <v>3</v>
      </c>
      <c r="D4" s="10" t="s">
        <v>4</v>
      </c>
      <c r="E4" s="10" t="s">
        <v>8</v>
      </c>
      <c r="F4" s="10" t="s">
        <v>9</v>
      </c>
      <c r="G4" s="10" t="s">
        <v>10</v>
      </c>
      <c r="H4" s="10" t="s">
        <v>11</v>
      </c>
      <c r="I4" s="10" t="s">
        <v>12</v>
      </c>
      <c r="J4" s="10" t="s">
        <v>13</v>
      </c>
      <c r="K4" s="10" t="s">
        <v>14</v>
      </c>
      <c r="L4" s="10" t="s">
        <v>15</v>
      </c>
      <c r="M4" s="10" t="s">
        <v>16</v>
      </c>
      <c r="N4" s="10" t="s">
        <v>17</v>
      </c>
      <c r="O4" s="10" t="s">
        <v>18</v>
      </c>
      <c r="P4" s="10" t="s">
        <v>19</v>
      </c>
      <c r="Q4" s="10" t="s">
        <v>20</v>
      </c>
      <c r="R4" s="10" t="s">
        <v>21</v>
      </c>
      <c r="S4" s="49" t="s">
        <v>22</v>
      </c>
      <c r="T4" s="72" t="s">
        <v>115</v>
      </c>
      <c r="U4" s="61" t="s">
        <v>5</v>
      </c>
      <c r="V4" s="10" t="s">
        <v>6</v>
      </c>
      <c r="W4" s="10" t="s">
        <v>26</v>
      </c>
      <c r="X4" s="10" t="s">
        <v>27</v>
      </c>
      <c r="Y4" s="10" t="s">
        <v>23</v>
      </c>
      <c r="Z4" s="10" t="s">
        <v>24</v>
      </c>
      <c r="AA4" s="10" t="s">
        <v>25</v>
      </c>
      <c r="AB4" s="10" t="s">
        <v>28</v>
      </c>
      <c r="AC4" s="11" t="s">
        <v>29</v>
      </c>
      <c r="AD4" s="72" t="s">
        <v>115</v>
      </c>
      <c r="AE4" s="84" t="s">
        <v>7</v>
      </c>
      <c r="AF4" s="72" t="s">
        <v>115</v>
      </c>
      <c r="AG4" s="4" t="s">
        <v>53</v>
      </c>
    </row>
    <row r="5" spans="1:33" ht="19.5" thickBot="1">
      <c r="A5" s="46"/>
      <c r="B5" s="28" t="s">
        <v>30</v>
      </c>
      <c r="C5" s="29" t="s">
        <v>31</v>
      </c>
      <c r="D5" s="30" t="s">
        <v>32</v>
      </c>
      <c r="E5" s="30" t="s">
        <v>35</v>
      </c>
      <c r="F5" s="30" t="s">
        <v>36</v>
      </c>
      <c r="G5" s="30" t="s">
        <v>37</v>
      </c>
      <c r="H5" s="30" t="s">
        <v>38</v>
      </c>
      <c r="I5" s="30" t="s">
        <v>39</v>
      </c>
      <c r="J5" s="30" t="s">
        <v>40</v>
      </c>
      <c r="K5" s="30" t="s">
        <v>41</v>
      </c>
      <c r="L5" s="30" t="s">
        <v>42</v>
      </c>
      <c r="M5" s="30" t="s">
        <v>43</v>
      </c>
      <c r="N5" s="30" t="s">
        <v>44</v>
      </c>
      <c r="O5" s="30" t="s">
        <v>45</v>
      </c>
      <c r="P5" s="30" t="s">
        <v>46</v>
      </c>
      <c r="Q5" s="30" t="s">
        <v>47</v>
      </c>
      <c r="R5" s="30" t="s">
        <v>48</v>
      </c>
      <c r="S5" s="50" t="s">
        <v>49</v>
      </c>
      <c r="T5" s="73" t="s">
        <v>116</v>
      </c>
      <c r="U5" s="62" t="s">
        <v>33</v>
      </c>
      <c r="V5" s="30" t="s">
        <v>117</v>
      </c>
      <c r="W5" s="30" t="s">
        <v>118</v>
      </c>
      <c r="X5" s="30" t="s">
        <v>119</v>
      </c>
      <c r="Y5" s="30" t="s">
        <v>50</v>
      </c>
      <c r="Z5" s="30" t="s">
        <v>120</v>
      </c>
      <c r="AA5" s="30" t="s">
        <v>121</v>
      </c>
      <c r="AB5" s="30" t="s">
        <v>51</v>
      </c>
      <c r="AC5" s="31" t="s">
        <v>52</v>
      </c>
      <c r="AD5" s="73" t="s">
        <v>123</v>
      </c>
      <c r="AE5" s="85" t="s">
        <v>34</v>
      </c>
      <c r="AF5" s="73" t="s">
        <v>122</v>
      </c>
      <c r="AG5" s="60" t="s">
        <v>124</v>
      </c>
    </row>
    <row r="6" spans="1:33">
      <c r="A6" s="1" t="s">
        <v>2</v>
      </c>
      <c r="B6" s="24" t="s">
        <v>54</v>
      </c>
      <c r="C6" s="25">
        <v>20</v>
      </c>
      <c r="D6" s="26">
        <v>0</v>
      </c>
      <c r="E6" s="26">
        <v>18</v>
      </c>
      <c r="F6" s="26">
        <v>21</v>
      </c>
      <c r="G6" s="26">
        <v>17</v>
      </c>
      <c r="H6" s="26">
        <v>22</v>
      </c>
      <c r="I6" s="26">
        <v>22</v>
      </c>
      <c r="J6" s="26">
        <v>19</v>
      </c>
      <c r="K6" s="26">
        <v>22</v>
      </c>
      <c r="L6" s="26">
        <v>22</v>
      </c>
      <c r="M6" s="26">
        <v>19</v>
      </c>
      <c r="N6" s="26">
        <v>19</v>
      </c>
      <c r="O6" s="26">
        <v>21</v>
      </c>
      <c r="P6" s="26">
        <v>20</v>
      </c>
      <c r="Q6" s="26">
        <v>20</v>
      </c>
      <c r="R6" s="26">
        <v>21</v>
      </c>
      <c r="S6" s="51">
        <v>19</v>
      </c>
      <c r="T6" s="74">
        <f>SUM(C6:S6)</f>
        <v>322</v>
      </c>
      <c r="U6" s="63">
        <v>22</v>
      </c>
      <c r="V6" s="26">
        <v>20</v>
      </c>
      <c r="W6" s="26">
        <v>14</v>
      </c>
      <c r="X6" s="26">
        <v>15</v>
      </c>
      <c r="Y6" s="26">
        <v>10</v>
      </c>
      <c r="Z6" s="26">
        <v>6</v>
      </c>
      <c r="AA6" s="26">
        <v>10</v>
      </c>
      <c r="AB6" s="26">
        <v>9</v>
      </c>
      <c r="AC6" s="27">
        <v>22</v>
      </c>
      <c r="AD6" s="74">
        <f>SUM(U6:AC6)</f>
        <v>128</v>
      </c>
      <c r="AE6" s="86">
        <v>19</v>
      </c>
      <c r="AF6" s="74">
        <f>SUM(AE6)</f>
        <v>19</v>
      </c>
      <c r="AG6" s="74">
        <f>T6+AD6+AF6</f>
        <v>469</v>
      </c>
    </row>
    <row r="7" spans="1:33">
      <c r="A7" s="1" t="s">
        <v>2</v>
      </c>
      <c r="B7" s="5" t="s">
        <v>55</v>
      </c>
      <c r="C7" s="12">
        <v>3</v>
      </c>
      <c r="D7" s="13">
        <v>0</v>
      </c>
      <c r="E7" s="13">
        <v>4</v>
      </c>
      <c r="F7" s="13">
        <v>3</v>
      </c>
      <c r="G7" s="13">
        <v>3</v>
      </c>
      <c r="H7" s="13">
        <v>2</v>
      </c>
      <c r="I7" s="13">
        <v>2</v>
      </c>
      <c r="J7" s="13">
        <v>3</v>
      </c>
      <c r="K7" s="13">
        <v>2</v>
      </c>
      <c r="L7" s="13">
        <v>2</v>
      </c>
      <c r="M7" s="13">
        <v>3</v>
      </c>
      <c r="N7" s="13">
        <v>2</v>
      </c>
      <c r="O7" s="13">
        <v>2</v>
      </c>
      <c r="P7" s="13">
        <v>2</v>
      </c>
      <c r="Q7" s="13">
        <v>2</v>
      </c>
      <c r="R7" s="13">
        <v>1</v>
      </c>
      <c r="S7" s="52">
        <v>2</v>
      </c>
      <c r="T7" s="75">
        <f>SUM(C7:S7)</f>
        <v>38</v>
      </c>
      <c r="U7" s="64">
        <v>0</v>
      </c>
      <c r="V7" s="13">
        <v>2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4">
        <v>0</v>
      </c>
      <c r="AD7" s="75">
        <f>SUM(U7:AC7)</f>
        <v>2</v>
      </c>
      <c r="AE7" s="87">
        <v>0</v>
      </c>
      <c r="AF7" s="75"/>
      <c r="AG7" s="75">
        <f t="shared" ref="AG7:AG57" si="0">T7+AD7+AF7</f>
        <v>40</v>
      </c>
    </row>
    <row r="8" spans="1:33">
      <c r="A8" s="1" t="s">
        <v>2</v>
      </c>
      <c r="B8" s="5" t="s">
        <v>56</v>
      </c>
      <c r="C8" s="12">
        <v>2</v>
      </c>
      <c r="D8" s="13">
        <v>0</v>
      </c>
      <c r="E8" s="13">
        <v>3</v>
      </c>
      <c r="F8" s="13">
        <v>1</v>
      </c>
      <c r="G8" s="13">
        <v>1</v>
      </c>
      <c r="H8" s="13">
        <v>2</v>
      </c>
      <c r="I8" s="13">
        <v>3</v>
      </c>
      <c r="J8" s="13">
        <v>1</v>
      </c>
      <c r="K8" s="13">
        <v>3</v>
      </c>
      <c r="L8" s="13">
        <v>2</v>
      </c>
      <c r="M8" s="13">
        <v>3</v>
      </c>
      <c r="N8" s="13">
        <v>5</v>
      </c>
      <c r="O8" s="13">
        <v>3</v>
      </c>
      <c r="P8" s="13">
        <v>2</v>
      </c>
      <c r="Q8" s="13">
        <v>3</v>
      </c>
      <c r="R8" s="13">
        <v>1</v>
      </c>
      <c r="S8" s="52">
        <v>4</v>
      </c>
      <c r="T8" s="75">
        <f t="shared" ref="T8:T12" si="1">SUM(C8:S8)</f>
        <v>39</v>
      </c>
      <c r="U8" s="64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4">
        <v>0</v>
      </c>
      <c r="AD8" s="75"/>
      <c r="AE8" s="87">
        <v>0</v>
      </c>
      <c r="AF8" s="75"/>
      <c r="AG8" s="75">
        <f t="shared" si="0"/>
        <v>39</v>
      </c>
    </row>
    <row r="9" spans="1:33">
      <c r="A9" s="1" t="s">
        <v>2</v>
      </c>
      <c r="B9" s="5" t="s">
        <v>57</v>
      </c>
      <c r="C9" s="12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2</v>
      </c>
      <c r="O9" s="13">
        <v>0</v>
      </c>
      <c r="P9" s="13">
        <v>0</v>
      </c>
      <c r="Q9" s="13">
        <v>0</v>
      </c>
      <c r="R9" s="13">
        <v>1</v>
      </c>
      <c r="S9" s="52">
        <v>1</v>
      </c>
      <c r="T9" s="75">
        <f t="shared" si="1"/>
        <v>4</v>
      </c>
      <c r="U9" s="64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4">
        <v>0</v>
      </c>
      <c r="AD9" s="75"/>
      <c r="AE9" s="87">
        <v>0</v>
      </c>
      <c r="AF9" s="75"/>
      <c r="AG9" s="75">
        <f t="shared" si="0"/>
        <v>4</v>
      </c>
    </row>
    <row r="10" spans="1:33">
      <c r="A10" s="1" t="s">
        <v>2</v>
      </c>
      <c r="B10" s="5" t="s">
        <v>58</v>
      </c>
      <c r="C10" s="12">
        <v>2</v>
      </c>
      <c r="D10" s="13">
        <v>0</v>
      </c>
      <c r="E10" s="13">
        <v>2</v>
      </c>
      <c r="F10" s="13">
        <v>1</v>
      </c>
      <c r="G10" s="13">
        <v>3</v>
      </c>
      <c r="H10" s="13">
        <v>0</v>
      </c>
      <c r="I10" s="13">
        <v>0</v>
      </c>
      <c r="J10" s="13">
        <v>1</v>
      </c>
      <c r="K10" s="13">
        <v>0</v>
      </c>
      <c r="L10" s="13">
        <v>0</v>
      </c>
      <c r="M10" s="13">
        <v>3</v>
      </c>
      <c r="N10" s="13">
        <v>1</v>
      </c>
      <c r="O10" s="13">
        <v>1</v>
      </c>
      <c r="P10" s="13">
        <v>2</v>
      </c>
      <c r="Q10" s="13">
        <v>0</v>
      </c>
      <c r="R10" s="13">
        <v>0</v>
      </c>
      <c r="S10" s="52">
        <v>2</v>
      </c>
      <c r="T10" s="75">
        <f t="shared" si="1"/>
        <v>18</v>
      </c>
      <c r="U10" s="64">
        <v>0</v>
      </c>
      <c r="V10" s="13">
        <v>2</v>
      </c>
      <c r="W10" s="13">
        <v>0</v>
      </c>
      <c r="X10" s="13">
        <v>0</v>
      </c>
      <c r="Y10" s="13">
        <v>1</v>
      </c>
      <c r="Z10" s="13">
        <v>1</v>
      </c>
      <c r="AA10" s="13">
        <v>0</v>
      </c>
      <c r="AB10" s="13">
        <v>0</v>
      </c>
      <c r="AC10" s="14">
        <v>0</v>
      </c>
      <c r="AD10" s="75">
        <f>SUM(U10:AC10)</f>
        <v>4</v>
      </c>
      <c r="AE10" s="87">
        <v>3</v>
      </c>
      <c r="AF10" s="75">
        <f>SUM(AE10)</f>
        <v>3</v>
      </c>
      <c r="AG10" s="75">
        <f t="shared" si="0"/>
        <v>25</v>
      </c>
    </row>
    <row r="11" spans="1:33">
      <c r="A11" s="1" t="s">
        <v>2</v>
      </c>
      <c r="B11" s="5" t="s">
        <v>59</v>
      </c>
      <c r="C11" s="12">
        <v>0</v>
      </c>
      <c r="D11" s="13">
        <v>0</v>
      </c>
      <c r="E11" s="13">
        <v>2</v>
      </c>
      <c r="F11" s="13">
        <v>0</v>
      </c>
      <c r="G11" s="13">
        <v>2</v>
      </c>
      <c r="H11" s="13">
        <v>0</v>
      </c>
      <c r="I11" s="13">
        <v>0</v>
      </c>
      <c r="J11" s="13">
        <v>2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2</v>
      </c>
      <c r="R11" s="13">
        <v>0</v>
      </c>
      <c r="S11" s="52">
        <v>0</v>
      </c>
      <c r="T11" s="75">
        <f t="shared" si="1"/>
        <v>8</v>
      </c>
      <c r="U11" s="64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4">
        <v>0</v>
      </c>
      <c r="AD11" s="75"/>
      <c r="AE11" s="87">
        <v>0</v>
      </c>
      <c r="AF11" s="75"/>
      <c r="AG11" s="75">
        <f t="shared" si="0"/>
        <v>8</v>
      </c>
    </row>
    <row r="12" spans="1:33">
      <c r="A12" s="1" t="s">
        <v>2</v>
      </c>
      <c r="B12" s="5" t="s">
        <v>60</v>
      </c>
      <c r="C12" s="12">
        <v>0</v>
      </c>
      <c r="D12" s="13">
        <v>22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52">
        <v>0</v>
      </c>
      <c r="T12" s="75">
        <f t="shared" si="1"/>
        <v>22</v>
      </c>
      <c r="U12" s="64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4">
        <v>0</v>
      </c>
      <c r="AD12" s="75"/>
      <c r="AE12" s="87">
        <v>0</v>
      </c>
      <c r="AF12" s="75"/>
      <c r="AG12" s="75">
        <f t="shared" si="0"/>
        <v>22</v>
      </c>
    </row>
    <row r="13" spans="1:33">
      <c r="A13" s="1" t="s">
        <v>2</v>
      </c>
      <c r="B13" s="5" t="s">
        <v>61</v>
      </c>
      <c r="C13" s="12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52">
        <v>0</v>
      </c>
      <c r="T13" s="75"/>
      <c r="U13" s="64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4">
        <v>0</v>
      </c>
      <c r="AD13" s="75"/>
      <c r="AE13" s="87">
        <v>0</v>
      </c>
      <c r="AF13" s="75"/>
      <c r="AG13" s="75">
        <f t="shared" si="0"/>
        <v>0</v>
      </c>
    </row>
    <row r="14" spans="1:33">
      <c r="A14" s="1" t="s">
        <v>2</v>
      </c>
      <c r="B14" s="5" t="s">
        <v>62</v>
      </c>
      <c r="C14" s="15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53">
        <v>0</v>
      </c>
      <c r="T14" s="76"/>
      <c r="U14" s="65">
        <v>0</v>
      </c>
      <c r="V14" s="16">
        <v>0</v>
      </c>
      <c r="W14" s="16">
        <v>3.7083333333333335</v>
      </c>
      <c r="X14" s="16">
        <v>3.9166666666666665</v>
      </c>
      <c r="Y14" s="16">
        <v>2.9583333333333335</v>
      </c>
      <c r="Z14" s="16">
        <v>1.75</v>
      </c>
      <c r="AA14" s="16">
        <v>2.9583333333333335</v>
      </c>
      <c r="AB14" s="16">
        <v>2.7916666666666665</v>
      </c>
      <c r="AC14" s="17">
        <v>4.041666666666667</v>
      </c>
      <c r="AD14" s="76">
        <f>SUM(U14:AC14)</f>
        <v>22.125000000000004</v>
      </c>
      <c r="AE14" s="88">
        <v>0</v>
      </c>
      <c r="AF14" s="76"/>
      <c r="AG14" s="76">
        <f t="shared" si="0"/>
        <v>22.125000000000004</v>
      </c>
    </row>
    <row r="15" spans="1:33">
      <c r="A15" s="1" t="s">
        <v>2</v>
      </c>
      <c r="B15" s="5" t="s">
        <v>63</v>
      </c>
      <c r="C15" s="15">
        <v>1.2083333333333333</v>
      </c>
      <c r="D15" s="16">
        <v>0</v>
      </c>
      <c r="E15" s="16">
        <v>1</v>
      </c>
      <c r="F15" s="16">
        <v>2.25</v>
      </c>
      <c r="G15" s="16">
        <v>0.75</v>
      </c>
      <c r="H15" s="16">
        <v>3.375</v>
      </c>
      <c r="I15" s="16">
        <v>2.6666666666666665</v>
      </c>
      <c r="J15" s="16">
        <v>2.2083333333333335</v>
      </c>
      <c r="K15" s="16">
        <v>2.0833333333333335</v>
      </c>
      <c r="L15" s="16">
        <v>1.3333333333333333</v>
      </c>
      <c r="M15" s="16">
        <v>0.83333333333333337</v>
      </c>
      <c r="N15" s="16">
        <v>2.5833333333333335</v>
      </c>
      <c r="O15" s="16">
        <v>1.875</v>
      </c>
      <c r="P15" s="16">
        <v>2.7916666666666665</v>
      </c>
      <c r="Q15" s="16">
        <v>2.4166666666666665</v>
      </c>
      <c r="R15" s="16">
        <v>1.4166666666666667</v>
      </c>
      <c r="S15" s="53">
        <v>2.125</v>
      </c>
      <c r="T15" s="76">
        <f>SUM(C15:S15)</f>
        <v>30.916666666666668</v>
      </c>
      <c r="U15" s="65">
        <v>0</v>
      </c>
      <c r="V15" s="16">
        <v>1.4583333333333333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8.3333333333333329E-2</v>
      </c>
      <c r="AC15" s="17">
        <v>0</v>
      </c>
      <c r="AD15" s="76">
        <f>SUM(U15:AC15)</f>
        <v>1.5416666666666665</v>
      </c>
      <c r="AE15" s="88">
        <v>0</v>
      </c>
      <c r="AF15" s="76"/>
      <c r="AG15" s="76">
        <f t="shared" si="0"/>
        <v>32.458333333333336</v>
      </c>
    </row>
    <row r="16" spans="1:33">
      <c r="A16" s="1" t="s">
        <v>2</v>
      </c>
      <c r="B16" s="5" t="s">
        <v>64</v>
      </c>
      <c r="C16" s="15">
        <v>1.125</v>
      </c>
      <c r="D16" s="16">
        <v>0</v>
      </c>
      <c r="E16" s="16">
        <v>1.5833333333333335</v>
      </c>
      <c r="F16" s="16">
        <v>1.0416666666666667</v>
      </c>
      <c r="G16" s="16">
        <v>1.1666666666666667</v>
      </c>
      <c r="H16" s="16">
        <v>0.91666666666666663</v>
      </c>
      <c r="I16" s="16">
        <v>0.91666666666666663</v>
      </c>
      <c r="J16" s="16">
        <v>1.2916666666666667</v>
      </c>
      <c r="K16" s="16">
        <v>0.83333333333333337</v>
      </c>
      <c r="L16" s="16">
        <v>0.79166666666666663</v>
      </c>
      <c r="M16" s="16">
        <v>1.375</v>
      </c>
      <c r="N16" s="16">
        <v>0.41666666666666669</v>
      </c>
      <c r="O16" s="16">
        <v>0.625</v>
      </c>
      <c r="P16" s="16">
        <v>0.875</v>
      </c>
      <c r="Q16" s="16">
        <v>0.91666666666666663</v>
      </c>
      <c r="R16" s="16">
        <v>0</v>
      </c>
      <c r="S16" s="53">
        <v>0.375</v>
      </c>
      <c r="T16" s="76">
        <f t="shared" ref="T16:T19" si="2">SUM(C16:S16)</f>
        <v>14.25</v>
      </c>
      <c r="U16" s="65">
        <v>0</v>
      </c>
      <c r="V16" s="16">
        <v>0.54166666666666663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7">
        <v>0</v>
      </c>
      <c r="AD16" s="76">
        <f>SUM(U16:AC16)</f>
        <v>0.54166666666666663</v>
      </c>
      <c r="AE16" s="88">
        <v>0</v>
      </c>
      <c r="AF16" s="76"/>
      <c r="AG16" s="76">
        <f t="shared" si="0"/>
        <v>14.791666666666666</v>
      </c>
    </row>
    <row r="17" spans="1:33">
      <c r="A17" s="1" t="s">
        <v>2</v>
      </c>
      <c r="B17" s="5" t="s">
        <v>65</v>
      </c>
      <c r="C17" s="15">
        <v>0.58333333333333337</v>
      </c>
      <c r="D17" s="16">
        <v>0</v>
      </c>
      <c r="E17" s="16">
        <v>1.2083333333333333</v>
      </c>
      <c r="F17" s="16">
        <v>0.33333333333333331</v>
      </c>
      <c r="G17" s="16">
        <v>0.16666666666666666</v>
      </c>
      <c r="H17" s="16">
        <v>0.875</v>
      </c>
      <c r="I17" s="16">
        <v>0.91666666666666663</v>
      </c>
      <c r="J17" s="16">
        <v>0.33333333333333331</v>
      </c>
      <c r="K17" s="16">
        <v>1.2083333333333333</v>
      </c>
      <c r="L17" s="16">
        <v>0.66666666666666663</v>
      </c>
      <c r="M17" s="16">
        <v>1.375</v>
      </c>
      <c r="N17" s="16">
        <v>1.75</v>
      </c>
      <c r="O17" s="16">
        <v>0.91666666666666663</v>
      </c>
      <c r="P17" s="16">
        <v>0.91666666666666663</v>
      </c>
      <c r="Q17" s="16">
        <v>0.66666666666666663</v>
      </c>
      <c r="R17" s="16">
        <v>0.54166666666666663</v>
      </c>
      <c r="S17" s="53">
        <v>1.1666666666666667</v>
      </c>
      <c r="T17" s="76">
        <f t="shared" si="2"/>
        <v>13.624999999999996</v>
      </c>
      <c r="U17" s="65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7">
        <v>0</v>
      </c>
      <c r="AD17" s="76"/>
      <c r="AE17" s="88">
        <v>0</v>
      </c>
      <c r="AF17" s="76"/>
      <c r="AG17" s="76">
        <f t="shared" si="0"/>
        <v>13.624999999999996</v>
      </c>
    </row>
    <row r="18" spans="1:33">
      <c r="A18" s="1" t="s">
        <v>2</v>
      </c>
      <c r="B18" s="5" t="s">
        <v>66</v>
      </c>
      <c r="C18" s="15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0.41666666666666669</v>
      </c>
      <c r="O18" s="16">
        <v>0</v>
      </c>
      <c r="P18" s="16">
        <v>0</v>
      </c>
      <c r="Q18" s="16">
        <v>0</v>
      </c>
      <c r="R18" s="16">
        <v>0.41666666666666669</v>
      </c>
      <c r="S18" s="53">
        <v>0.29166666666666669</v>
      </c>
      <c r="T18" s="76">
        <f t="shared" si="2"/>
        <v>1.125</v>
      </c>
      <c r="U18" s="65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7">
        <v>0</v>
      </c>
      <c r="AD18" s="76"/>
      <c r="AE18" s="88">
        <v>0</v>
      </c>
      <c r="AF18" s="76"/>
      <c r="AG18" s="76">
        <f t="shared" si="0"/>
        <v>1.125</v>
      </c>
    </row>
    <row r="19" spans="1:33">
      <c r="A19" s="1" t="s">
        <v>2</v>
      </c>
      <c r="B19" s="5" t="s">
        <v>67</v>
      </c>
      <c r="C19" s="15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0.375</v>
      </c>
      <c r="O19" s="16">
        <v>0</v>
      </c>
      <c r="P19" s="16">
        <v>0</v>
      </c>
      <c r="Q19" s="16">
        <v>0</v>
      </c>
      <c r="R19" s="16">
        <v>0</v>
      </c>
      <c r="S19" s="53">
        <v>0</v>
      </c>
      <c r="T19" s="76">
        <f t="shared" si="2"/>
        <v>0.375</v>
      </c>
      <c r="U19" s="65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7">
        <v>0</v>
      </c>
      <c r="AD19" s="76"/>
      <c r="AE19" s="88">
        <v>0</v>
      </c>
      <c r="AF19" s="76"/>
      <c r="AG19" s="76">
        <f t="shared" si="0"/>
        <v>0.375</v>
      </c>
    </row>
    <row r="20" spans="1:33">
      <c r="A20" s="1" t="s">
        <v>2</v>
      </c>
      <c r="B20" s="5" t="s">
        <v>68</v>
      </c>
      <c r="C20" s="15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53">
        <v>0</v>
      </c>
      <c r="T20" s="76"/>
      <c r="U20" s="65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7">
        <v>0</v>
      </c>
      <c r="AD20" s="76"/>
      <c r="AE20" s="88">
        <v>0</v>
      </c>
      <c r="AF20" s="76"/>
      <c r="AG20" s="76">
        <f t="shared" si="0"/>
        <v>0</v>
      </c>
    </row>
    <row r="21" spans="1:33">
      <c r="A21" s="1" t="s">
        <v>2</v>
      </c>
      <c r="B21" s="5" t="s">
        <v>69</v>
      </c>
      <c r="C21" s="15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53">
        <v>0</v>
      </c>
      <c r="T21" s="76"/>
      <c r="U21" s="65">
        <v>0</v>
      </c>
      <c r="V21" s="16">
        <v>0</v>
      </c>
      <c r="W21" s="16">
        <v>0</v>
      </c>
      <c r="X21" s="16">
        <v>0</v>
      </c>
      <c r="Y21" s="16">
        <v>0.29166666666666669</v>
      </c>
      <c r="Z21" s="16">
        <v>0.29166666666666669</v>
      </c>
      <c r="AA21" s="16">
        <v>0</v>
      </c>
      <c r="AB21" s="16">
        <v>0</v>
      </c>
      <c r="AC21" s="17">
        <v>0</v>
      </c>
      <c r="AD21" s="76">
        <f>SUM(U21:AC21)</f>
        <v>0.58333333333333337</v>
      </c>
      <c r="AE21" s="88">
        <v>0</v>
      </c>
      <c r="AF21" s="76"/>
      <c r="AG21" s="76">
        <f t="shared" si="0"/>
        <v>0.58333333333333337</v>
      </c>
    </row>
    <row r="22" spans="1:33">
      <c r="A22" s="1" t="s">
        <v>2</v>
      </c>
      <c r="B22" s="5" t="s">
        <v>70</v>
      </c>
      <c r="C22" s="15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53">
        <v>0</v>
      </c>
      <c r="T22" s="76"/>
      <c r="U22" s="65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7">
        <v>0</v>
      </c>
      <c r="AD22" s="76"/>
      <c r="AE22" s="88">
        <v>0</v>
      </c>
      <c r="AF22" s="76"/>
      <c r="AG22" s="76">
        <f t="shared" si="0"/>
        <v>0</v>
      </c>
    </row>
    <row r="23" spans="1:33">
      <c r="A23" s="1" t="s">
        <v>2</v>
      </c>
      <c r="B23" s="5" t="s">
        <v>71</v>
      </c>
      <c r="C23" s="15">
        <v>0.125</v>
      </c>
      <c r="D23" s="16">
        <v>0</v>
      </c>
      <c r="E23" s="16">
        <v>0</v>
      </c>
      <c r="F23" s="16">
        <v>0.75</v>
      </c>
      <c r="G23" s="16">
        <v>1.4166666666666667</v>
      </c>
      <c r="H23" s="16">
        <v>1.5</v>
      </c>
      <c r="I23" s="16">
        <v>0.25</v>
      </c>
      <c r="J23" s="16">
        <v>0.16666666666666666</v>
      </c>
      <c r="K23" s="16">
        <v>0</v>
      </c>
      <c r="L23" s="16">
        <v>8.3333333333333329E-2</v>
      </c>
      <c r="M23" s="16">
        <v>0.16666666666666666</v>
      </c>
      <c r="N23" s="16">
        <v>1.1666666666666667</v>
      </c>
      <c r="O23" s="16">
        <v>0.125</v>
      </c>
      <c r="P23" s="16">
        <v>1.375</v>
      </c>
      <c r="Q23" s="16">
        <v>0.95833333333333337</v>
      </c>
      <c r="R23" s="16">
        <v>0.79166666666666663</v>
      </c>
      <c r="S23" s="53">
        <v>8.3333333333333329E-2</v>
      </c>
      <c r="T23" s="76">
        <f>SUM(C23:S23)</f>
        <v>8.9583333333333339</v>
      </c>
      <c r="U23" s="65">
        <v>0.20833333333333334</v>
      </c>
      <c r="V23" s="16">
        <v>0</v>
      </c>
      <c r="W23" s="16">
        <v>0</v>
      </c>
      <c r="X23" s="16">
        <v>0</v>
      </c>
      <c r="Y23" s="16">
        <v>2.0833333333333335</v>
      </c>
      <c r="Z23" s="16">
        <v>1.25</v>
      </c>
      <c r="AA23" s="16">
        <v>2.0833333333333335</v>
      </c>
      <c r="AB23" s="16">
        <v>1.0416666666666667</v>
      </c>
      <c r="AC23" s="17">
        <v>0</v>
      </c>
      <c r="AD23" s="76">
        <f>SUM(U23:AC23)</f>
        <v>6.666666666666667</v>
      </c>
      <c r="AE23" s="88">
        <v>0</v>
      </c>
      <c r="AF23" s="76"/>
      <c r="AG23" s="76">
        <f t="shared" si="0"/>
        <v>15.625</v>
      </c>
    </row>
    <row r="24" spans="1:33" ht="19.5" thickBot="1">
      <c r="A24" s="1" t="s">
        <v>2</v>
      </c>
      <c r="B24" s="6" t="s">
        <v>72</v>
      </c>
      <c r="C24" s="35">
        <v>8</v>
      </c>
      <c r="D24" s="36">
        <v>15</v>
      </c>
      <c r="E24" s="36">
        <v>27</v>
      </c>
      <c r="F24" s="36">
        <v>32</v>
      </c>
      <c r="G24" s="36">
        <v>14</v>
      </c>
      <c r="H24" s="36">
        <v>26</v>
      </c>
      <c r="I24" s="36">
        <v>23</v>
      </c>
      <c r="J24" s="36">
        <v>9</v>
      </c>
      <c r="K24" s="36">
        <v>17</v>
      </c>
      <c r="L24" s="36">
        <v>28</v>
      </c>
      <c r="M24" s="36">
        <v>0</v>
      </c>
      <c r="N24" s="36">
        <v>2</v>
      </c>
      <c r="O24" s="36">
        <v>18</v>
      </c>
      <c r="P24" s="36">
        <v>9</v>
      </c>
      <c r="Q24" s="36">
        <v>9</v>
      </c>
      <c r="R24" s="36">
        <v>7</v>
      </c>
      <c r="S24" s="54">
        <v>1</v>
      </c>
      <c r="T24" s="77">
        <f>SUM(C24:S24)</f>
        <v>245</v>
      </c>
      <c r="U24" s="66">
        <v>37</v>
      </c>
      <c r="V24" s="36">
        <v>35</v>
      </c>
      <c r="W24" s="36">
        <v>15</v>
      </c>
      <c r="X24" s="36">
        <v>15</v>
      </c>
      <c r="Y24" s="36">
        <v>2</v>
      </c>
      <c r="Z24" s="36">
        <v>1</v>
      </c>
      <c r="AA24" s="36">
        <v>0</v>
      </c>
      <c r="AB24" s="36">
        <v>2</v>
      </c>
      <c r="AC24" s="37">
        <v>5</v>
      </c>
      <c r="AD24" s="77">
        <f>SUM(U24:AC24)</f>
        <v>112</v>
      </c>
      <c r="AE24" s="89">
        <v>36</v>
      </c>
      <c r="AF24" s="77">
        <f>SUM(AE24)</f>
        <v>36</v>
      </c>
      <c r="AG24" s="77">
        <f t="shared" si="0"/>
        <v>393</v>
      </c>
    </row>
    <row r="25" spans="1:33">
      <c r="A25" s="1" t="s">
        <v>2</v>
      </c>
      <c r="B25" s="24" t="s">
        <v>73</v>
      </c>
      <c r="C25" s="32">
        <v>177000</v>
      </c>
      <c r="D25" s="33">
        <v>0</v>
      </c>
      <c r="E25" s="33">
        <v>187000</v>
      </c>
      <c r="F25" s="33">
        <v>192000</v>
      </c>
      <c r="G25" s="33">
        <v>182000</v>
      </c>
      <c r="H25" s="33">
        <v>187000</v>
      </c>
      <c r="I25" s="33">
        <v>177000</v>
      </c>
      <c r="J25" s="33">
        <v>177000</v>
      </c>
      <c r="K25" s="33">
        <v>172000</v>
      </c>
      <c r="L25" s="33">
        <v>187000</v>
      </c>
      <c r="M25" s="33">
        <v>177000</v>
      </c>
      <c r="N25" s="33">
        <v>177000</v>
      </c>
      <c r="O25" s="33">
        <v>170000</v>
      </c>
      <c r="P25" s="33">
        <v>177000</v>
      </c>
      <c r="Q25" s="33">
        <v>175000</v>
      </c>
      <c r="R25" s="33">
        <v>175000</v>
      </c>
      <c r="S25" s="55">
        <v>170000</v>
      </c>
      <c r="T25" s="78">
        <f>SUM(C25:S25)</f>
        <v>2859000</v>
      </c>
      <c r="U25" s="67">
        <v>485000</v>
      </c>
      <c r="V25" s="33">
        <v>280000</v>
      </c>
      <c r="W25" s="33">
        <v>0</v>
      </c>
      <c r="X25" s="33">
        <v>0</v>
      </c>
      <c r="Y25" s="33">
        <v>0</v>
      </c>
      <c r="Z25" s="33">
        <v>0</v>
      </c>
      <c r="AA25" s="33">
        <v>0</v>
      </c>
      <c r="AB25" s="33">
        <v>0</v>
      </c>
      <c r="AC25" s="34">
        <v>0</v>
      </c>
      <c r="AD25" s="78">
        <f>SUM(U25:AC25)</f>
        <v>765000</v>
      </c>
      <c r="AE25" s="90">
        <v>375000</v>
      </c>
      <c r="AF25" s="78">
        <f>SUM(AE25)</f>
        <v>375000</v>
      </c>
      <c r="AG25" s="78">
        <f t="shared" si="0"/>
        <v>3999000</v>
      </c>
    </row>
    <row r="26" spans="1:33">
      <c r="A26" s="1" t="s">
        <v>2</v>
      </c>
      <c r="B26" s="5" t="s">
        <v>74</v>
      </c>
      <c r="C26" s="18">
        <v>0</v>
      </c>
      <c r="D26" s="19">
        <v>0</v>
      </c>
      <c r="E26" s="19">
        <v>20000</v>
      </c>
      <c r="F26" s="19">
        <v>5000</v>
      </c>
      <c r="G26" s="19">
        <v>5000</v>
      </c>
      <c r="H26" s="19">
        <v>5000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56">
        <v>0</v>
      </c>
      <c r="T26" s="79">
        <f t="shared" ref="T26:T65" si="3">SUM(C26:S26)</f>
        <v>35000</v>
      </c>
      <c r="U26" s="68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20">
        <v>0</v>
      </c>
      <c r="AD26" s="79"/>
      <c r="AE26" s="91">
        <v>0</v>
      </c>
      <c r="AF26" s="79">
        <f t="shared" ref="AF26:AF65" si="4">SUM(AE26)</f>
        <v>0</v>
      </c>
      <c r="AG26" s="79">
        <f t="shared" si="0"/>
        <v>35000</v>
      </c>
    </row>
    <row r="27" spans="1:33">
      <c r="A27" s="1" t="s">
        <v>2</v>
      </c>
      <c r="B27" s="5" t="s">
        <v>75</v>
      </c>
      <c r="C27" s="18">
        <v>0</v>
      </c>
      <c r="D27" s="19">
        <v>0</v>
      </c>
      <c r="E27" s="19">
        <v>3000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56">
        <v>0</v>
      </c>
      <c r="T27" s="79">
        <f t="shared" si="3"/>
        <v>3000</v>
      </c>
      <c r="U27" s="68">
        <v>0</v>
      </c>
      <c r="V27" s="19">
        <v>3000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20">
        <v>0</v>
      </c>
      <c r="AD27" s="79">
        <f>SUM(U27:AC27)</f>
        <v>3000</v>
      </c>
      <c r="AE27" s="91">
        <v>0</v>
      </c>
      <c r="AF27" s="79">
        <f t="shared" si="4"/>
        <v>0</v>
      </c>
      <c r="AG27" s="79">
        <f t="shared" si="0"/>
        <v>6000</v>
      </c>
    </row>
    <row r="28" spans="1:33">
      <c r="A28" s="1" t="s">
        <v>2</v>
      </c>
      <c r="B28" s="5" t="s">
        <v>76</v>
      </c>
      <c r="C28" s="18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56">
        <v>0</v>
      </c>
      <c r="T28" s="79">
        <f t="shared" si="3"/>
        <v>0</v>
      </c>
      <c r="U28" s="68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20">
        <v>0</v>
      </c>
      <c r="AD28" s="79"/>
      <c r="AE28" s="91">
        <v>0</v>
      </c>
      <c r="AF28" s="79">
        <f t="shared" si="4"/>
        <v>0</v>
      </c>
      <c r="AG28" s="79">
        <f t="shared" si="0"/>
        <v>0</v>
      </c>
    </row>
    <row r="29" spans="1:33">
      <c r="A29" s="1" t="s">
        <v>2</v>
      </c>
      <c r="B29" s="5" t="s">
        <v>77</v>
      </c>
      <c r="C29" s="18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52432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56">
        <v>0</v>
      </c>
      <c r="T29" s="79">
        <f t="shared" si="3"/>
        <v>52432</v>
      </c>
      <c r="U29" s="68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20">
        <v>0</v>
      </c>
      <c r="AD29" s="79"/>
      <c r="AE29" s="91">
        <v>0</v>
      </c>
      <c r="AF29" s="79">
        <f t="shared" si="4"/>
        <v>0</v>
      </c>
      <c r="AG29" s="79">
        <f t="shared" si="0"/>
        <v>52432</v>
      </c>
    </row>
    <row r="30" spans="1:33">
      <c r="A30" s="1" t="s">
        <v>2</v>
      </c>
      <c r="B30" s="5" t="s">
        <v>78</v>
      </c>
      <c r="C30" s="18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56">
        <v>0</v>
      </c>
      <c r="T30" s="79">
        <f t="shared" si="3"/>
        <v>0</v>
      </c>
      <c r="U30" s="68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20">
        <v>0</v>
      </c>
      <c r="AD30" s="79"/>
      <c r="AE30" s="91">
        <v>0</v>
      </c>
      <c r="AF30" s="79">
        <f t="shared" si="4"/>
        <v>0</v>
      </c>
      <c r="AG30" s="79">
        <f t="shared" si="0"/>
        <v>0</v>
      </c>
    </row>
    <row r="31" spans="1:33">
      <c r="A31" s="1" t="s">
        <v>2</v>
      </c>
      <c r="B31" s="5" t="s">
        <v>79</v>
      </c>
      <c r="C31" s="18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56">
        <v>0</v>
      </c>
      <c r="T31" s="79">
        <f t="shared" si="3"/>
        <v>0</v>
      </c>
      <c r="U31" s="68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20">
        <v>0</v>
      </c>
      <c r="AD31" s="79"/>
      <c r="AE31" s="91">
        <v>0</v>
      </c>
      <c r="AF31" s="79">
        <f t="shared" si="4"/>
        <v>0</v>
      </c>
      <c r="AG31" s="79">
        <f t="shared" si="0"/>
        <v>0</v>
      </c>
    </row>
    <row r="32" spans="1:33">
      <c r="A32" s="1" t="s">
        <v>2</v>
      </c>
      <c r="B32" s="5" t="s">
        <v>80</v>
      </c>
      <c r="C32" s="18">
        <v>0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56">
        <v>0</v>
      </c>
      <c r="T32" s="79">
        <f t="shared" si="3"/>
        <v>0</v>
      </c>
      <c r="U32" s="68">
        <v>0</v>
      </c>
      <c r="V32" s="19">
        <v>0</v>
      </c>
      <c r="W32" s="19">
        <v>81880</v>
      </c>
      <c r="X32" s="19">
        <v>86480</v>
      </c>
      <c r="Y32" s="19">
        <v>59640</v>
      </c>
      <c r="Z32" s="19">
        <v>35280</v>
      </c>
      <c r="AA32" s="19">
        <v>59640</v>
      </c>
      <c r="AB32" s="19">
        <v>55610</v>
      </c>
      <c r="AC32" s="20">
        <v>81480</v>
      </c>
      <c r="AD32" s="79">
        <f>SUM(U32:AC32)</f>
        <v>460010</v>
      </c>
      <c r="AE32" s="91">
        <v>0</v>
      </c>
      <c r="AF32" s="79">
        <f t="shared" si="4"/>
        <v>0</v>
      </c>
      <c r="AG32" s="79">
        <f t="shared" si="0"/>
        <v>460010</v>
      </c>
    </row>
    <row r="33" spans="1:33">
      <c r="A33" s="1" t="s">
        <v>2</v>
      </c>
      <c r="B33" s="5" t="s">
        <v>81</v>
      </c>
      <c r="C33" s="18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56">
        <v>0</v>
      </c>
      <c r="T33" s="79">
        <f t="shared" si="3"/>
        <v>0</v>
      </c>
      <c r="U33" s="68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20">
        <v>0</v>
      </c>
      <c r="AD33" s="79"/>
      <c r="AE33" s="91">
        <v>0</v>
      </c>
      <c r="AF33" s="79">
        <f t="shared" si="4"/>
        <v>0</v>
      </c>
      <c r="AG33" s="79">
        <f t="shared" si="0"/>
        <v>0</v>
      </c>
    </row>
    <row r="34" spans="1:33">
      <c r="A34" s="1" t="s">
        <v>2</v>
      </c>
      <c r="B34" s="5" t="s">
        <v>82</v>
      </c>
      <c r="C34" s="18">
        <v>0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56">
        <v>0</v>
      </c>
      <c r="T34" s="79">
        <f t="shared" si="3"/>
        <v>0</v>
      </c>
      <c r="U34" s="68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20">
        <v>0</v>
      </c>
      <c r="AD34" s="79"/>
      <c r="AE34" s="91">
        <v>0</v>
      </c>
      <c r="AF34" s="79">
        <f t="shared" si="4"/>
        <v>0</v>
      </c>
      <c r="AG34" s="79">
        <f t="shared" si="0"/>
        <v>0</v>
      </c>
    </row>
    <row r="35" spans="1:33">
      <c r="A35" s="1" t="s">
        <v>2</v>
      </c>
      <c r="B35" s="5" t="s">
        <v>83</v>
      </c>
      <c r="C35" s="18">
        <v>1000</v>
      </c>
      <c r="D35" s="19">
        <v>0</v>
      </c>
      <c r="E35" s="19">
        <v>1000</v>
      </c>
      <c r="F35" s="19">
        <v>1000</v>
      </c>
      <c r="G35" s="19">
        <v>0</v>
      </c>
      <c r="H35" s="19">
        <v>1000</v>
      </c>
      <c r="I35" s="19">
        <v>0</v>
      </c>
      <c r="J35" s="19">
        <v>1000</v>
      </c>
      <c r="K35" s="19">
        <v>0</v>
      </c>
      <c r="L35" s="19">
        <v>1000</v>
      </c>
      <c r="M35" s="19">
        <v>1000</v>
      </c>
      <c r="N35" s="19">
        <v>1000</v>
      </c>
      <c r="O35" s="19">
        <v>1000</v>
      </c>
      <c r="P35" s="19">
        <v>1000</v>
      </c>
      <c r="Q35" s="19">
        <v>1000</v>
      </c>
      <c r="R35" s="19">
        <v>1000</v>
      </c>
      <c r="S35" s="56">
        <v>0</v>
      </c>
      <c r="T35" s="79">
        <f t="shared" si="3"/>
        <v>12000</v>
      </c>
      <c r="U35" s="68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20">
        <v>0</v>
      </c>
      <c r="AD35" s="79"/>
      <c r="AE35" s="91">
        <v>0</v>
      </c>
      <c r="AF35" s="79">
        <f t="shared" si="4"/>
        <v>0</v>
      </c>
      <c r="AG35" s="79">
        <f t="shared" si="0"/>
        <v>12000</v>
      </c>
    </row>
    <row r="36" spans="1:33">
      <c r="A36" s="1" t="s">
        <v>2</v>
      </c>
      <c r="B36" s="5" t="s">
        <v>84</v>
      </c>
      <c r="C36" s="18">
        <v>0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56">
        <v>0</v>
      </c>
      <c r="T36" s="79">
        <f t="shared" si="3"/>
        <v>0</v>
      </c>
      <c r="U36" s="68">
        <v>0</v>
      </c>
      <c r="V36" s="19">
        <v>0</v>
      </c>
      <c r="W36" s="19">
        <v>0</v>
      </c>
      <c r="X36" s="19">
        <v>0</v>
      </c>
      <c r="Y36" s="19">
        <v>5880</v>
      </c>
      <c r="Z36" s="19">
        <v>5880</v>
      </c>
      <c r="AA36" s="19">
        <v>0</v>
      </c>
      <c r="AB36" s="19">
        <v>0</v>
      </c>
      <c r="AC36" s="20">
        <v>0</v>
      </c>
      <c r="AD36" s="79">
        <f>SUM(U36:AC36)</f>
        <v>11760</v>
      </c>
      <c r="AE36" s="91">
        <v>0</v>
      </c>
      <c r="AF36" s="79">
        <f t="shared" si="4"/>
        <v>0</v>
      </c>
      <c r="AG36" s="79">
        <f t="shared" si="0"/>
        <v>11760</v>
      </c>
    </row>
    <row r="37" spans="1:33">
      <c r="A37" s="1" t="s">
        <v>2</v>
      </c>
      <c r="B37" s="5" t="s">
        <v>85</v>
      </c>
      <c r="C37" s="18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56">
        <v>0</v>
      </c>
      <c r="T37" s="79">
        <f t="shared" si="3"/>
        <v>0</v>
      </c>
      <c r="U37" s="68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20">
        <v>0</v>
      </c>
      <c r="AD37" s="79"/>
      <c r="AE37" s="91">
        <v>0</v>
      </c>
      <c r="AF37" s="79">
        <f t="shared" si="4"/>
        <v>0</v>
      </c>
      <c r="AG37" s="79">
        <f t="shared" si="0"/>
        <v>0</v>
      </c>
    </row>
    <row r="38" spans="1:33">
      <c r="A38" s="1" t="s">
        <v>2</v>
      </c>
      <c r="B38" s="5" t="s">
        <v>86</v>
      </c>
      <c r="C38" s="18">
        <v>0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56">
        <v>0</v>
      </c>
      <c r="T38" s="79">
        <f t="shared" si="3"/>
        <v>0</v>
      </c>
      <c r="U38" s="68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20">
        <v>0</v>
      </c>
      <c r="AD38" s="79"/>
      <c r="AE38" s="91">
        <v>0</v>
      </c>
      <c r="AF38" s="79">
        <f t="shared" si="4"/>
        <v>0</v>
      </c>
      <c r="AG38" s="79">
        <f t="shared" si="0"/>
        <v>0</v>
      </c>
    </row>
    <row r="39" spans="1:33">
      <c r="A39" s="1" t="s">
        <v>2</v>
      </c>
      <c r="B39" s="5" t="s">
        <v>87</v>
      </c>
      <c r="C39" s="18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56">
        <v>0</v>
      </c>
      <c r="T39" s="79">
        <f t="shared" si="3"/>
        <v>0</v>
      </c>
      <c r="U39" s="68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20">
        <v>0</v>
      </c>
      <c r="AD39" s="79"/>
      <c r="AE39" s="91">
        <v>0</v>
      </c>
      <c r="AF39" s="79">
        <f t="shared" si="4"/>
        <v>0</v>
      </c>
      <c r="AG39" s="79">
        <f t="shared" si="0"/>
        <v>0</v>
      </c>
    </row>
    <row r="40" spans="1:33">
      <c r="A40" s="1" t="s">
        <v>2</v>
      </c>
      <c r="B40" s="5" t="s">
        <v>63</v>
      </c>
      <c r="C40" s="18">
        <v>38657</v>
      </c>
      <c r="D40" s="19">
        <v>0</v>
      </c>
      <c r="E40" s="19">
        <v>37896</v>
      </c>
      <c r="F40" s="19">
        <v>80082</v>
      </c>
      <c r="G40" s="19">
        <v>25200</v>
      </c>
      <c r="H40" s="19">
        <v>117045</v>
      </c>
      <c r="I40" s="19">
        <v>84800</v>
      </c>
      <c r="J40" s="19">
        <v>70649</v>
      </c>
      <c r="K40" s="19">
        <v>64400</v>
      </c>
      <c r="L40" s="19">
        <v>45056</v>
      </c>
      <c r="M40" s="19">
        <v>26660</v>
      </c>
      <c r="N40" s="19">
        <v>82646</v>
      </c>
      <c r="O40" s="19">
        <v>57600</v>
      </c>
      <c r="P40" s="19">
        <v>89311</v>
      </c>
      <c r="Q40" s="19">
        <v>76444</v>
      </c>
      <c r="R40" s="19">
        <v>44812</v>
      </c>
      <c r="S40" s="56">
        <v>64923</v>
      </c>
      <c r="T40" s="79">
        <f t="shared" si="3"/>
        <v>1006181</v>
      </c>
      <c r="U40" s="68">
        <v>0</v>
      </c>
      <c r="V40" s="19">
        <v>74165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2076</v>
      </c>
      <c r="AC40" s="20">
        <v>0</v>
      </c>
      <c r="AD40" s="79">
        <f>SUM(U40:AC40)</f>
        <v>76241</v>
      </c>
      <c r="AE40" s="91">
        <v>0</v>
      </c>
      <c r="AF40" s="79">
        <f t="shared" si="4"/>
        <v>0</v>
      </c>
      <c r="AG40" s="79">
        <f t="shared" si="0"/>
        <v>1082422</v>
      </c>
    </row>
    <row r="41" spans="1:33">
      <c r="A41" s="1" t="s">
        <v>2</v>
      </c>
      <c r="B41" s="5" t="s">
        <v>88</v>
      </c>
      <c r="C41" s="18">
        <v>38853</v>
      </c>
      <c r="D41" s="19">
        <v>0</v>
      </c>
      <c r="E41" s="19">
        <v>64790</v>
      </c>
      <c r="F41" s="19">
        <v>40025</v>
      </c>
      <c r="G41" s="19">
        <v>42336</v>
      </c>
      <c r="H41" s="19">
        <v>34342</v>
      </c>
      <c r="I41" s="19">
        <v>31482</v>
      </c>
      <c r="J41" s="19">
        <v>44609</v>
      </c>
      <c r="K41" s="19">
        <v>27820</v>
      </c>
      <c r="L41" s="19">
        <v>28880</v>
      </c>
      <c r="M41" s="19">
        <v>47487</v>
      </c>
      <c r="N41" s="19">
        <v>14390</v>
      </c>
      <c r="O41" s="19">
        <v>20730</v>
      </c>
      <c r="P41" s="19">
        <v>30219</v>
      </c>
      <c r="Q41" s="19">
        <v>31306</v>
      </c>
      <c r="R41" s="19">
        <v>0</v>
      </c>
      <c r="S41" s="56">
        <v>12366</v>
      </c>
      <c r="T41" s="79">
        <f t="shared" si="3"/>
        <v>509635</v>
      </c>
      <c r="U41" s="68">
        <v>0</v>
      </c>
      <c r="V41" s="19">
        <v>29744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20">
        <v>0</v>
      </c>
      <c r="AD41" s="79">
        <f>SUM(U41:AC41)</f>
        <v>29744</v>
      </c>
      <c r="AE41" s="91">
        <v>0</v>
      </c>
      <c r="AF41" s="79">
        <f t="shared" si="4"/>
        <v>0</v>
      </c>
      <c r="AG41" s="79">
        <f t="shared" si="0"/>
        <v>539379</v>
      </c>
    </row>
    <row r="42" spans="1:33">
      <c r="A42" s="1" t="s">
        <v>2</v>
      </c>
      <c r="B42" s="5" t="s">
        <v>89</v>
      </c>
      <c r="C42" s="18">
        <v>20146</v>
      </c>
      <c r="D42" s="19">
        <v>0</v>
      </c>
      <c r="E42" s="19">
        <v>49445</v>
      </c>
      <c r="F42" s="19">
        <v>12808</v>
      </c>
      <c r="G42" s="19">
        <v>6048</v>
      </c>
      <c r="H42" s="19">
        <v>32781</v>
      </c>
      <c r="I42" s="19">
        <v>31482</v>
      </c>
      <c r="J42" s="19">
        <v>11512</v>
      </c>
      <c r="K42" s="19">
        <v>40339</v>
      </c>
      <c r="L42" s="19">
        <v>24320</v>
      </c>
      <c r="M42" s="19">
        <v>47487</v>
      </c>
      <c r="N42" s="19">
        <v>60438</v>
      </c>
      <c r="O42" s="19">
        <v>30404</v>
      </c>
      <c r="P42" s="19">
        <v>31658</v>
      </c>
      <c r="Q42" s="19">
        <v>22768</v>
      </c>
      <c r="R42" s="19">
        <v>18499</v>
      </c>
      <c r="S42" s="56">
        <v>38472</v>
      </c>
      <c r="T42" s="79">
        <f t="shared" si="3"/>
        <v>478607</v>
      </c>
      <c r="U42" s="68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20">
        <v>0</v>
      </c>
      <c r="AD42" s="79"/>
      <c r="AE42" s="91">
        <v>0</v>
      </c>
      <c r="AF42" s="79">
        <f t="shared" si="4"/>
        <v>0</v>
      </c>
      <c r="AG42" s="79">
        <f t="shared" si="0"/>
        <v>478607</v>
      </c>
    </row>
    <row r="43" spans="1:33">
      <c r="A43" s="1" t="s">
        <v>2</v>
      </c>
      <c r="B43" s="5" t="s">
        <v>90</v>
      </c>
      <c r="C43" s="18">
        <v>0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3730</v>
      </c>
      <c r="O43" s="19">
        <v>0</v>
      </c>
      <c r="P43" s="19">
        <v>0</v>
      </c>
      <c r="Q43" s="19">
        <v>0</v>
      </c>
      <c r="R43" s="19">
        <v>3690</v>
      </c>
      <c r="S43" s="56">
        <v>2492</v>
      </c>
      <c r="T43" s="79">
        <f t="shared" si="3"/>
        <v>9912</v>
      </c>
      <c r="U43" s="68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20">
        <v>0</v>
      </c>
      <c r="AD43" s="79"/>
      <c r="AE43" s="91">
        <v>0</v>
      </c>
      <c r="AF43" s="79">
        <f t="shared" si="4"/>
        <v>0</v>
      </c>
      <c r="AG43" s="79">
        <f t="shared" si="0"/>
        <v>9912</v>
      </c>
    </row>
    <row r="44" spans="1:33">
      <c r="A44" s="1" t="s">
        <v>2</v>
      </c>
      <c r="B44" s="5" t="s">
        <v>91</v>
      </c>
      <c r="C44" s="18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3357</v>
      </c>
      <c r="O44" s="19">
        <v>0</v>
      </c>
      <c r="P44" s="19">
        <v>0</v>
      </c>
      <c r="Q44" s="19">
        <v>0</v>
      </c>
      <c r="R44" s="19">
        <v>0</v>
      </c>
      <c r="S44" s="56">
        <v>0</v>
      </c>
      <c r="T44" s="79">
        <f t="shared" si="3"/>
        <v>3357</v>
      </c>
      <c r="U44" s="68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20">
        <v>0</v>
      </c>
      <c r="AD44" s="79"/>
      <c r="AE44" s="91">
        <v>0</v>
      </c>
      <c r="AF44" s="79">
        <f t="shared" si="4"/>
        <v>0</v>
      </c>
      <c r="AG44" s="79">
        <f t="shared" si="0"/>
        <v>3357</v>
      </c>
    </row>
    <row r="45" spans="1:33">
      <c r="A45" s="1" t="s">
        <v>2</v>
      </c>
      <c r="B45" s="5" t="s">
        <v>92</v>
      </c>
      <c r="C45" s="18">
        <v>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56">
        <v>0</v>
      </c>
      <c r="T45" s="79">
        <f t="shared" si="3"/>
        <v>0</v>
      </c>
      <c r="U45" s="68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20">
        <v>0</v>
      </c>
      <c r="AD45" s="79"/>
      <c r="AE45" s="91">
        <v>0</v>
      </c>
      <c r="AF45" s="79">
        <f t="shared" si="4"/>
        <v>0</v>
      </c>
      <c r="AG45" s="79">
        <f t="shared" si="0"/>
        <v>0</v>
      </c>
    </row>
    <row r="46" spans="1:33">
      <c r="A46" s="1" t="s">
        <v>2</v>
      </c>
      <c r="B46" s="5" t="s">
        <v>68</v>
      </c>
      <c r="C46" s="18">
        <v>0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56">
        <v>0</v>
      </c>
      <c r="T46" s="79">
        <f t="shared" si="3"/>
        <v>0</v>
      </c>
      <c r="U46" s="68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20">
        <v>0</v>
      </c>
      <c r="AD46" s="79"/>
      <c r="AE46" s="91">
        <v>0</v>
      </c>
      <c r="AF46" s="79">
        <f t="shared" si="4"/>
        <v>0</v>
      </c>
      <c r="AG46" s="79">
        <f t="shared" si="0"/>
        <v>0</v>
      </c>
    </row>
    <row r="47" spans="1:33" ht="19.5" thickBot="1">
      <c r="A47" s="1" t="s">
        <v>2</v>
      </c>
      <c r="B47" s="38" t="s">
        <v>71</v>
      </c>
      <c r="C47" s="39">
        <v>801</v>
      </c>
      <c r="D47" s="40">
        <v>0</v>
      </c>
      <c r="E47" s="40">
        <v>0</v>
      </c>
      <c r="F47" s="40">
        <v>5346</v>
      </c>
      <c r="G47" s="40">
        <v>9520</v>
      </c>
      <c r="H47" s="40">
        <v>10404</v>
      </c>
      <c r="I47" s="40">
        <v>1590</v>
      </c>
      <c r="J47" s="40">
        <v>1068</v>
      </c>
      <c r="K47" s="40">
        <v>0</v>
      </c>
      <c r="L47" s="40">
        <v>564</v>
      </c>
      <c r="M47" s="40">
        <v>1068</v>
      </c>
      <c r="N47" s="40">
        <v>7476</v>
      </c>
      <c r="O47" s="40">
        <v>768</v>
      </c>
      <c r="P47" s="40">
        <v>8811</v>
      </c>
      <c r="Q47" s="40">
        <v>6072</v>
      </c>
      <c r="R47" s="40">
        <v>5016</v>
      </c>
      <c r="S47" s="57">
        <v>510</v>
      </c>
      <c r="T47" s="80">
        <f t="shared" si="3"/>
        <v>59014</v>
      </c>
      <c r="U47" s="69">
        <v>3630</v>
      </c>
      <c r="V47" s="40">
        <v>0</v>
      </c>
      <c r="W47" s="40">
        <v>0</v>
      </c>
      <c r="X47" s="40">
        <v>0</v>
      </c>
      <c r="Y47" s="40">
        <v>10500</v>
      </c>
      <c r="Z47" s="40">
        <v>6300</v>
      </c>
      <c r="AA47" s="40">
        <v>10500</v>
      </c>
      <c r="AB47" s="40">
        <v>5200</v>
      </c>
      <c r="AC47" s="41">
        <v>0</v>
      </c>
      <c r="AD47" s="80">
        <f>SUM(U47:AC47)</f>
        <v>36130</v>
      </c>
      <c r="AE47" s="92">
        <v>0</v>
      </c>
      <c r="AF47" s="80">
        <f t="shared" si="4"/>
        <v>0</v>
      </c>
      <c r="AG47" s="80">
        <f t="shared" si="0"/>
        <v>95144</v>
      </c>
    </row>
    <row r="48" spans="1:33" ht="19.5" thickBot="1">
      <c r="A48" s="1" t="s">
        <v>2</v>
      </c>
      <c r="B48" s="42" t="s">
        <v>93</v>
      </c>
      <c r="C48" s="43">
        <v>276457</v>
      </c>
      <c r="D48" s="44">
        <v>0</v>
      </c>
      <c r="E48" s="44">
        <v>363131</v>
      </c>
      <c r="F48" s="44">
        <v>336261</v>
      </c>
      <c r="G48" s="44">
        <v>270104</v>
      </c>
      <c r="H48" s="44">
        <v>387572</v>
      </c>
      <c r="I48" s="44">
        <v>326354</v>
      </c>
      <c r="J48" s="44">
        <v>305838</v>
      </c>
      <c r="K48" s="44">
        <v>304559</v>
      </c>
      <c r="L48" s="44">
        <v>339252</v>
      </c>
      <c r="M48" s="44">
        <v>300702</v>
      </c>
      <c r="N48" s="44">
        <v>350037</v>
      </c>
      <c r="O48" s="44">
        <v>280502</v>
      </c>
      <c r="P48" s="44">
        <v>337999</v>
      </c>
      <c r="Q48" s="44">
        <v>312590</v>
      </c>
      <c r="R48" s="44">
        <v>248017</v>
      </c>
      <c r="S48" s="58">
        <v>288763</v>
      </c>
      <c r="T48" s="81">
        <f t="shared" si="3"/>
        <v>5028138</v>
      </c>
      <c r="U48" s="70">
        <v>488630</v>
      </c>
      <c r="V48" s="44">
        <v>386909</v>
      </c>
      <c r="W48" s="44">
        <v>81880</v>
      </c>
      <c r="X48" s="44">
        <v>86480</v>
      </c>
      <c r="Y48" s="44">
        <v>76020</v>
      </c>
      <c r="Z48" s="44">
        <v>47460</v>
      </c>
      <c r="AA48" s="44">
        <v>70140</v>
      </c>
      <c r="AB48" s="44">
        <v>62886</v>
      </c>
      <c r="AC48" s="45">
        <v>81480</v>
      </c>
      <c r="AD48" s="81">
        <f>SUM(U48:AC48)</f>
        <v>1381885</v>
      </c>
      <c r="AE48" s="93">
        <v>375000</v>
      </c>
      <c r="AF48" s="81">
        <f t="shared" si="4"/>
        <v>375000</v>
      </c>
      <c r="AG48" s="81">
        <f t="shared" si="0"/>
        <v>6785023</v>
      </c>
    </row>
    <row r="49" spans="1:34" ht="19.5" thickBot="1">
      <c r="A49" s="1" t="s">
        <v>2</v>
      </c>
      <c r="B49" s="24" t="s">
        <v>94</v>
      </c>
      <c r="C49" s="32">
        <v>12077</v>
      </c>
      <c r="D49" s="33">
        <v>0</v>
      </c>
      <c r="E49" s="33">
        <v>5435</v>
      </c>
      <c r="F49" s="33">
        <v>3020</v>
      </c>
      <c r="G49" s="33">
        <v>11667</v>
      </c>
      <c r="H49" s="33">
        <v>2512</v>
      </c>
      <c r="I49" s="33">
        <v>2609</v>
      </c>
      <c r="J49" s="33">
        <v>1112</v>
      </c>
      <c r="K49" s="33">
        <v>3261</v>
      </c>
      <c r="L49" s="33">
        <v>5024</v>
      </c>
      <c r="M49" s="33">
        <v>6039</v>
      </c>
      <c r="N49" s="33">
        <v>4396</v>
      </c>
      <c r="O49" s="33">
        <v>7536</v>
      </c>
      <c r="P49" s="33">
        <v>3479</v>
      </c>
      <c r="Q49" s="33">
        <v>6039</v>
      </c>
      <c r="R49" s="33">
        <v>9445</v>
      </c>
      <c r="S49" s="55">
        <v>4227</v>
      </c>
      <c r="T49" s="78">
        <f t="shared" si="3"/>
        <v>87878</v>
      </c>
      <c r="U49" s="67">
        <v>9420</v>
      </c>
      <c r="V49" s="33">
        <v>4783</v>
      </c>
      <c r="W49" s="33">
        <v>2706</v>
      </c>
      <c r="X49" s="33">
        <v>1812</v>
      </c>
      <c r="Y49" s="33">
        <v>2899</v>
      </c>
      <c r="Z49" s="33">
        <v>2174</v>
      </c>
      <c r="AA49" s="33">
        <v>3865</v>
      </c>
      <c r="AB49" s="33">
        <v>2826</v>
      </c>
      <c r="AC49" s="34">
        <v>7440</v>
      </c>
      <c r="AD49" s="78">
        <f t="shared" ref="AD49:AD65" si="5">SUM(U49:AC49)</f>
        <v>37925</v>
      </c>
      <c r="AE49" s="90">
        <v>6594</v>
      </c>
      <c r="AF49" s="78">
        <f t="shared" si="4"/>
        <v>6594</v>
      </c>
      <c r="AG49" s="78">
        <f t="shared" si="0"/>
        <v>132397</v>
      </c>
    </row>
    <row r="50" spans="1:34" ht="19.5" thickBot="1">
      <c r="A50" s="1" t="s">
        <v>2</v>
      </c>
      <c r="B50" s="42" t="s">
        <v>95</v>
      </c>
      <c r="C50" s="43">
        <v>12077</v>
      </c>
      <c r="D50" s="44">
        <v>0</v>
      </c>
      <c r="E50" s="44">
        <v>5435</v>
      </c>
      <c r="F50" s="44">
        <v>3020</v>
      </c>
      <c r="G50" s="44">
        <v>11667</v>
      </c>
      <c r="H50" s="44">
        <v>2512</v>
      </c>
      <c r="I50" s="44">
        <v>2609</v>
      </c>
      <c r="J50" s="44">
        <v>1112</v>
      </c>
      <c r="K50" s="44">
        <v>3261</v>
      </c>
      <c r="L50" s="44">
        <v>5024</v>
      </c>
      <c r="M50" s="44">
        <v>6039</v>
      </c>
      <c r="N50" s="44">
        <v>4396</v>
      </c>
      <c r="O50" s="44">
        <v>7536</v>
      </c>
      <c r="P50" s="44">
        <v>3479</v>
      </c>
      <c r="Q50" s="44">
        <v>6039</v>
      </c>
      <c r="R50" s="44">
        <v>9445</v>
      </c>
      <c r="S50" s="58">
        <v>4227</v>
      </c>
      <c r="T50" s="81">
        <f t="shared" si="3"/>
        <v>87878</v>
      </c>
      <c r="U50" s="70">
        <v>9420</v>
      </c>
      <c r="V50" s="44">
        <v>4783</v>
      </c>
      <c r="W50" s="44">
        <v>2706</v>
      </c>
      <c r="X50" s="44">
        <v>1812</v>
      </c>
      <c r="Y50" s="44">
        <v>2899</v>
      </c>
      <c r="Z50" s="44">
        <v>2174</v>
      </c>
      <c r="AA50" s="44">
        <v>3865</v>
      </c>
      <c r="AB50" s="44">
        <v>2826</v>
      </c>
      <c r="AC50" s="45">
        <v>7440</v>
      </c>
      <c r="AD50" s="81">
        <f t="shared" si="5"/>
        <v>37925</v>
      </c>
      <c r="AE50" s="93">
        <v>6594</v>
      </c>
      <c r="AF50" s="81">
        <f t="shared" si="4"/>
        <v>6594</v>
      </c>
      <c r="AG50" s="81">
        <f t="shared" si="0"/>
        <v>132397</v>
      </c>
    </row>
    <row r="51" spans="1:34" ht="19.5" thickBot="1">
      <c r="A51" s="1" t="s">
        <v>2</v>
      </c>
      <c r="B51" s="42" t="s">
        <v>96</v>
      </c>
      <c r="C51" s="43">
        <v>288534</v>
      </c>
      <c r="D51" s="44">
        <v>0</v>
      </c>
      <c r="E51" s="44">
        <v>368566</v>
      </c>
      <c r="F51" s="44">
        <v>339281</v>
      </c>
      <c r="G51" s="44">
        <v>281771</v>
      </c>
      <c r="H51" s="44">
        <v>390084</v>
      </c>
      <c r="I51" s="44">
        <v>328963</v>
      </c>
      <c r="J51" s="44">
        <v>306950</v>
      </c>
      <c r="K51" s="44">
        <v>307820</v>
      </c>
      <c r="L51" s="44">
        <v>344276</v>
      </c>
      <c r="M51" s="44">
        <v>306741</v>
      </c>
      <c r="N51" s="44">
        <v>354433</v>
      </c>
      <c r="O51" s="44">
        <v>288038</v>
      </c>
      <c r="P51" s="44">
        <v>341478</v>
      </c>
      <c r="Q51" s="44">
        <v>318629</v>
      </c>
      <c r="R51" s="44">
        <v>257462</v>
      </c>
      <c r="S51" s="58">
        <v>292990</v>
      </c>
      <c r="T51" s="81">
        <f t="shared" si="3"/>
        <v>5116016</v>
      </c>
      <c r="U51" s="70">
        <v>498050</v>
      </c>
      <c r="V51" s="44">
        <v>391692</v>
      </c>
      <c r="W51" s="44">
        <v>84586</v>
      </c>
      <c r="X51" s="44">
        <v>88292</v>
      </c>
      <c r="Y51" s="44">
        <v>78919</v>
      </c>
      <c r="Z51" s="44">
        <v>49634</v>
      </c>
      <c r="AA51" s="44">
        <v>74005</v>
      </c>
      <c r="AB51" s="44">
        <v>65712</v>
      </c>
      <c r="AC51" s="45">
        <v>88920</v>
      </c>
      <c r="AD51" s="81">
        <f t="shared" si="5"/>
        <v>1419810</v>
      </c>
      <c r="AE51" s="93">
        <v>381594</v>
      </c>
      <c r="AF51" s="81">
        <f t="shared" si="4"/>
        <v>381594</v>
      </c>
      <c r="AG51" s="81">
        <f t="shared" si="0"/>
        <v>6917420</v>
      </c>
    </row>
    <row r="52" spans="1:34">
      <c r="A52" s="1" t="s">
        <v>2</v>
      </c>
      <c r="B52" s="24" t="s">
        <v>97</v>
      </c>
      <c r="C52" s="32">
        <v>16320</v>
      </c>
      <c r="D52" s="33">
        <v>19380</v>
      </c>
      <c r="E52" s="33">
        <v>19380</v>
      </c>
      <c r="F52" s="33">
        <v>20910</v>
      </c>
      <c r="G52" s="33">
        <v>19380</v>
      </c>
      <c r="H52" s="33">
        <v>20910</v>
      </c>
      <c r="I52" s="33">
        <v>16320</v>
      </c>
      <c r="J52" s="33">
        <v>15300</v>
      </c>
      <c r="K52" s="33">
        <v>16320</v>
      </c>
      <c r="L52" s="33">
        <v>17340</v>
      </c>
      <c r="M52" s="33">
        <v>16320</v>
      </c>
      <c r="N52" s="33">
        <v>17340</v>
      </c>
      <c r="O52" s="33">
        <v>15300</v>
      </c>
      <c r="P52" s="33">
        <v>19380</v>
      </c>
      <c r="Q52" s="33">
        <v>17340</v>
      </c>
      <c r="R52" s="33">
        <v>15300</v>
      </c>
      <c r="S52" s="55">
        <v>13260</v>
      </c>
      <c r="T52" s="78">
        <f t="shared" si="3"/>
        <v>295800</v>
      </c>
      <c r="U52" s="67">
        <v>23970</v>
      </c>
      <c r="V52" s="33">
        <v>19380</v>
      </c>
      <c r="W52" s="33">
        <v>0</v>
      </c>
      <c r="X52" s="33">
        <v>0</v>
      </c>
      <c r="Y52" s="33">
        <v>0</v>
      </c>
      <c r="Z52" s="33">
        <v>0</v>
      </c>
      <c r="AA52" s="33">
        <v>0</v>
      </c>
      <c r="AB52" s="33">
        <v>0</v>
      </c>
      <c r="AC52" s="34">
        <v>0</v>
      </c>
      <c r="AD52" s="78">
        <f t="shared" si="5"/>
        <v>43350</v>
      </c>
      <c r="AE52" s="90">
        <v>19380</v>
      </c>
      <c r="AF52" s="78">
        <f t="shared" si="4"/>
        <v>19380</v>
      </c>
      <c r="AG52" s="78">
        <f t="shared" si="0"/>
        <v>358530</v>
      </c>
    </row>
    <row r="53" spans="1:34">
      <c r="A53" s="1" t="s">
        <v>2</v>
      </c>
      <c r="B53" s="5" t="s">
        <v>98</v>
      </c>
      <c r="C53" s="18">
        <v>2880</v>
      </c>
      <c r="D53" s="19">
        <v>3420</v>
      </c>
      <c r="E53" s="19">
        <v>3420</v>
      </c>
      <c r="F53" s="19">
        <v>3690</v>
      </c>
      <c r="G53" s="19">
        <v>3420</v>
      </c>
      <c r="H53" s="19">
        <v>3690</v>
      </c>
      <c r="I53" s="19">
        <v>2880</v>
      </c>
      <c r="J53" s="19">
        <v>2700</v>
      </c>
      <c r="K53" s="19">
        <v>2880</v>
      </c>
      <c r="L53" s="19">
        <v>3060</v>
      </c>
      <c r="M53" s="19">
        <v>2880</v>
      </c>
      <c r="N53" s="19">
        <v>0</v>
      </c>
      <c r="O53" s="19">
        <v>2700</v>
      </c>
      <c r="P53" s="19">
        <v>3420</v>
      </c>
      <c r="Q53" s="19">
        <v>3060</v>
      </c>
      <c r="R53" s="19">
        <v>2700</v>
      </c>
      <c r="S53" s="56">
        <v>0</v>
      </c>
      <c r="T53" s="79">
        <f t="shared" si="3"/>
        <v>46800</v>
      </c>
      <c r="U53" s="68">
        <v>0</v>
      </c>
      <c r="V53" s="19">
        <v>3420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20">
        <v>0</v>
      </c>
      <c r="AD53" s="79">
        <f t="shared" si="5"/>
        <v>3420</v>
      </c>
      <c r="AE53" s="91">
        <v>3420</v>
      </c>
      <c r="AF53" s="79">
        <f t="shared" si="4"/>
        <v>3420</v>
      </c>
      <c r="AG53" s="79">
        <f t="shared" si="0"/>
        <v>53640</v>
      </c>
    </row>
    <row r="54" spans="1:34">
      <c r="A54" s="1" t="s">
        <v>2</v>
      </c>
      <c r="B54" s="5" t="s">
        <v>99</v>
      </c>
      <c r="C54" s="18">
        <v>29280</v>
      </c>
      <c r="D54" s="19">
        <v>34770</v>
      </c>
      <c r="E54" s="19">
        <v>34770</v>
      </c>
      <c r="F54" s="19">
        <v>37515</v>
      </c>
      <c r="G54" s="19">
        <v>34770</v>
      </c>
      <c r="H54" s="19">
        <v>37515</v>
      </c>
      <c r="I54" s="19">
        <v>29280</v>
      </c>
      <c r="J54" s="19">
        <v>27450</v>
      </c>
      <c r="K54" s="19">
        <v>29280</v>
      </c>
      <c r="L54" s="19">
        <v>31110</v>
      </c>
      <c r="M54" s="19">
        <v>29280</v>
      </c>
      <c r="N54" s="19">
        <v>31110</v>
      </c>
      <c r="O54" s="19">
        <v>27450</v>
      </c>
      <c r="P54" s="19">
        <v>34770</v>
      </c>
      <c r="Q54" s="19">
        <v>31110</v>
      </c>
      <c r="R54" s="19">
        <v>27450</v>
      </c>
      <c r="S54" s="56">
        <v>23790</v>
      </c>
      <c r="T54" s="79">
        <f t="shared" si="3"/>
        <v>530700</v>
      </c>
      <c r="U54" s="68">
        <v>43005</v>
      </c>
      <c r="V54" s="19">
        <v>34770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20">
        <v>0</v>
      </c>
      <c r="AD54" s="79">
        <f t="shared" si="5"/>
        <v>77775</v>
      </c>
      <c r="AE54" s="91">
        <v>34770</v>
      </c>
      <c r="AF54" s="79">
        <f t="shared" si="4"/>
        <v>34770</v>
      </c>
      <c r="AG54" s="79">
        <f t="shared" si="0"/>
        <v>643245</v>
      </c>
    </row>
    <row r="55" spans="1:34" ht="19.5" thickBot="1">
      <c r="A55" s="1" t="s">
        <v>2</v>
      </c>
      <c r="B55" s="5" t="s">
        <v>100</v>
      </c>
      <c r="C55" s="18">
        <v>866</v>
      </c>
      <c r="D55" s="19">
        <v>0</v>
      </c>
      <c r="E55" s="19">
        <v>1106</v>
      </c>
      <c r="F55" s="19">
        <v>1018</v>
      </c>
      <c r="G55" s="19">
        <v>845</v>
      </c>
      <c r="H55" s="19">
        <v>1170</v>
      </c>
      <c r="I55" s="19">
        <v>987</v>
      </c>
      <c r="J55" s="19">
        <v>921</v>
      </c>
      <c r="K55" s="19">
        <v>923</v>
      </c>
      <c r="L55" s="19">
        <v>1033</v>
      </c>
      <c r="M55" s="19">
        <v>920</v>
      </c>
      <c r="N55" s="19">
        <v>1063</v>
      </c>
      <c r="O55" s="19">
        <v>864</v>
      </c>
      <c r="P55" s="19">
        <v>1024</v>
      </c>
      <c r="Q55" s="19">
        <v>956</v>
      </c>
      <c r="R55" s="19">
        <v>772</v>
      </c>
      <c r="S55" s="56">
        <v>879</v>
      </c>
      <c r="T55" s="79">
        <f t="shared" si="3"/>
        <v>15347</v>
      </c>
      <c r="U55" s="68">
        <v>1494</v>
      </c>
      <c r="V55" s="19">
        <v>1175</v>
      </c>
      <c r="W55" s="19">
        <v>254</v>
      </c>
      <c r="X55" s="19">
        <v>265</v>
      </c>
      <c r="Y55" s="19">
        <v>0</v>
      </c>
      <c r="Z55" s="19">
        <v>0</v>
      </c>
      <c r="AA55" s="19">
        <v>0</v>
      </c>
      <c r="AB55" s="19">
        <v>0</v>
      </c>
      <c r="AC55" s="20">
        <v>267</v>
      </c>
      <c r="AD55" s="79">
        <f t="shared" si="5"/>
        <v>3455</v>
      </c>
      <c r="AE55" s="91">
        <v>1145</v>
      </c>
      <c r="AF55" s="79">
        <f t="shared" si="4"/>
        <v>1145</v>
      </c>
      <c r="AG55" s="79">
        <f t="shared" si="0"/>
        <v>19947</v>
      </c>
    </row>
    <row r="56" spans="1:34" ht="19.5" thickBot="1">
      <c r="A56" s="1" t="s">
        <v>2</v>
      </c>
      <c r="B56" s="42" t="s">
        <v>101</v>
      </c>
      <c r="C56" s="43">
        <v>49346</v>
      </c>
      <c r="D56" s="44">
        <v>57570</v>
      </c>
      <c r="E56" s="44">
        <v>58676</v>
      </c>
      <c r="F56" s="44">
        <v>63133</v>
      </c>
      <c r="G56" s="44">
        <v>58415</v>
      </c>
      <c r="H56" s="44">
        <v>63285</v>
      </c>
      <c r="I56" s="44">
        <v>49467</v>
      </c>
      <c r="J56" s="44">
        <v>46371</v>
      </c>
      <c r="K56" s="44">
        <v>49403</v>
      </c>
      <c r="L56" s="44">
        <v>52543</v>
      </c>
      <c r="M56" s="44">
        <v>49400</v>
      </c>
      <c r="N56" s="44">
        <v>49513</v>
      </c>
      <c r="O56" s="44">
        <v>46314</v>
      </c>
      <c r="P56" s="44">
        <v>58594</v>
      </c>
      <c r="Q56" s="44">
        <v>52466</v>
      </c>
      <c r="R56" s="44">
        <v>46222</v>
      </c>
      <c r="S56" s="58">
        <v>37929</v>
      </c>
      <c r="T56" s="81">
        <f t="shared" si="3"/>
        <v>888647</v>
      </c>
      <c r="U56" s="70">
        <v>68469</v>
      </c>
      <c r="V56" s="44">
        <v>58745</v>
      </c>
      <c r="W56" s="44">
        <v>254</v>
      </c>
      <c r="X56" s="44">
        <v>265</v>
      </c>
      <c r="Y56" s="44">
        <v>0</v>
      </c>
      <c r="Z56" s="44">
        <v>0</v>
      </c>
      <c r="AA56" s="44">
        <v>0</v>
      </c>
      <c r="AB56" s="44">
        <v>0</v>
      </c>
      <c r="AC56" s="45">
        <v>267</v>
      </c>
      <c r="AD56" s="81">
        <f t="shared" si="5"/>
        <v>128000</v>
      </c>
      <c r="AE56" s="93">
        <v>58715</v>
      </c>
      <c r="AF56" s="81">
        <f t="shared" si="4"/>
        <v>58715</v>
      </c>
      <c r="AG56" s="81">
        <f t="shared" si="0"/>
        <v>1075362</v>
      </c>
    </row>
    <row r="57" spans="1:34">
      <c r="A57" s="1" t="s">
        <v>2</v>
      </c>
      <c r="B57" s="24" t="s">
        <v>102</v>
      </c>
      <c r="C57" s="32">
        <v>4120</v>
      </c>
      <c r="D57" s="33">
        <v>0</v>
      </c>
      <c r="E57" s="33">
        <v>6900</v>
      </c>
      <c r="F57" s="33">
        <v>7380</v>
      </c>
      <c r="G57" s="33">
        <v>3570</v>
      </c>
      <c r="H57" s="33">
        <v>10360</v>
      </c>
      <c r="I57" s="33">
        <v>7510</v>
      </c>
      <c r="J57" s="33">
        <v>5270</v>
      </c>
      <c r="K57" s="33">
        <v>6740</v>
      </c>
      <c r="L57" s="33">
        <v>7860</v>
      </c>
      <c r="M57" s="33">
        <v>6600</v>
      </c>
      <c r="N57" s="33">
        <v>8420</v>
      </c>
      <c r="O57" s="33">
        <v>5990</v>
      </c>
      <c r="P57" s="33">
        <v>7600</v>
      </c>
      <c r="Q57" s="33">
        <v>2060</v>
      </c>
      <c r="R57" s="33">
        <v>4830</v>
      </c>
      <c r="S57" s="55">
        <v>6580</v>
      </c>
      <c r="T57" s="78">
        <f t="shared" si="3"/>
        <v>101790</v>
      </c>
      <c r="U57" s="67">
        <v>18190</v>
      </c>
      <c r="V57" s="33">
        <v>7870</v>
      </c>
      <c r="W57" s="33">
        <v>0</v>
      </c>
      <c r="X57" s="33">
        <v>20</v>
      </c>
      <c r="Y57" s="33">
        <v>0</v>
      </c>
      <c r="Z57" s="33">
        <v>0</v>
      </c>
      <c r="AA57" s="33">
        <v>0</v>
      </c>
      <c r="AB57" s="33">
        <v>0</v>
      </c>
      <c r="AC57" s="34">
        <v>0</v>
      </c>
      <c r="AD57" s="78">
        <f t="shared" si="5"/>
        <v>26080</v>
      </c>
      <c r="AE57" s="90">
        <v>9710</v>
      </c>
      <c r="AF57" s="78">
        <f t="shared" si="4"/>
        <v>9710</v>
      </c>
      <c r="AG57" s="78">
        <f t="shared" si="0"/>
        <v>137580</v>
      </c>
    </row>
    <row r="58" spans="1:34">
      <c r="A58" s="1" t="s">
        <v>2</v>
      </c>
      <c r="B58" s="5" t="s">
        <v>103</v>
      </c>
      <c r="C58" s="18">
        <v>1300</v>
      </c>
      <c r="D58" s="19">
        <v>1300</v>
      </c>
      <c r="E58" s="19">
        <v>1300</v>
      </c>
      <c r="F58" s="19">
        <v>0</v>
      </c>
      <c r="G58" s="19">
        <v>1300</v>
      </c>
      <c r="H58" s="19">
        <v>1300</v>
      </c>
      <c r="I58" s="19">
        <v>1300</v>
      </c>
      <c r="J58" s="19">
        <v>1300</v>
      </c>
      <c r="K58" s="19">
        <v>1300</v>
      </c>
      <c r="L58" s="19">
        <v>1300</v>
      </c>
      <c r="M58" s="19">
        <v>0</v>
      </c>
      <c r="N58" s="19">
        <v>0</v>
      </c>
      <c r="O58" s="19">
        <v>1300</v>
      </c>
      <c r="P58" s="19">
        <v>1300</v>
      </c>
      <c r="Q58" s="19">
        <v>1300</v>
      </c>
      <c r="R58" s="19">
        <v>0</v>
      </c>
      <c r="S58" s="56">
        <v>0</v>
      </c>
      <c r="T58" s="79">
        <f t="shared" si="3"/>
        <v>15600</v>
      </c>
      <c r="U58" s="68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20">
        <v>0</v>
      </c>
      <c r="AD58" s="79">
        <f t="shared" si="5"/>
        <v>0</v>
      </c>
      <c r="AE58" s="91">
        <v>0</v>
      </c>
      <c r="AF58" s="79">
        <f t="shared" si="4"/>
        <v>0</v>
      </c>
      <c r="AG58" s="79">
        <f t="shared" ref="AG58:AG65" si="6">T58+AD58+AF58</f>
        <v>15600</v>
      </c>
    </row>
    <row r="59" spans="1:34">
      <c r="A59" s="1" t="s">
        <v>2</v>
      </c>
      <c r="B59" s="5" t="s">
        <v>104</v>
      </c>
      <c r="C59" s="18">
        <v>8600</v>
      </c>
      <c r="D59" s="19">
        <v>14600</v>
      </c>
      <c r="E59" s="19">
        <v>13800</v>
      </c>
      <c r="F59" s="19">
        <v>16700</v>
      </c>
      <c r="G59" s="19">
        <v>15200</v>
      </c>
      <c r="H59" s="19">
        <v>17700</v>
      </c>
      <c r="I59" s="19">
        <v>13500</v>
      </c>
      <c r="J59" s="19">
        <v>9200</v>
      </c>
      <c r="K59" s="19">
        <v>13000</v>
      </c>
      <c r="L59" s="19">
        <v>13800</v>
      </c>
      <c r="M59" s="19">
        <v>10500</v>
      </c>
      <c r="N59" s="19">
        <v>13500</v>
      </c>
      <c r="O59" s="19">
        <v>12100</v>
      </c>
      <c r="P59" s="19">
        <v>14200</v>
      </c>
      <c r="Q59" s="19">
        <v>5600</v>
      </c>
      <c r="R59" s="19">
        <v>0</v>
      </c>
      <c r="S59" s="56">
        <v>0</v>
      </c>
      <c r="T59" s="79">
        <f t="shared" si="3"/>
        <v>192000</v>
      </c>
      <c r="U59" s="68">
        <v>35200</v>
      </c>
      <c r="V59" s="19">
        <v>14500</v>
      </c>
      <c r="W59" s="19">
        <v>600</v>
      </c>
      <c r="X59" s="19">
        <v>500</v>
      </c>
      <c r="Y59" s="19">
        <v>0</v>
      </c>
      <c r="Z59" s="19">
        <v>4100</v>
      </c>
      <c r="AA59" s="19">
        <v>0</v>
      </c>
      <c r="AB59" s="19">
        <v>0</v>
      </c>
      <c r="AC59" s="20">
        <v>0</v>
      </c>
      <c r="AD59" s="79">
        <f t="shared" si="5"/>
        <v>54900</v>
      </c>
      <c r="AE59" s="91">
        <v>16100</v>
      </c>
      <c r="AF59" s="79">
        <f t="shared" si="4"/>
        <v>16100</v>
      </c>
      <c r="AG59" s="79">
        <f t="shared" si="6"/>
        <v>263000</v>
      </c>
    </row>
    <row r="60" spans="1:34" ht="19.5" thickBot="1">
      <c r="A60" s="1" t="s">
        <v>2</v>
      </c>
      <c r="B60" s="5" t="s">
        <v>105</v>
      </c>
      <c r="C60" s="18">
        <v>0</v>
      </c>
      <c r="D60" s="47">
        <v>-73470</v>
      </c>
      <c r="E60" s="19">
        <v>0</v>
      </c>
      <c r="F60" s="19">
        <v>10000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56">
        <v>0</v>
      </c>
      <c r="T60" s="82">
        <f t="shared" si="3"/>
        <v>-63470</v>
      </c>
      <c r="U60" s="68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20">
        <v>0</v>
      </c>
      <c r="AD60" s="79">
        <f t="shared" si="5"/>
        <v>0</v>
      </c>
      <c r="AE60" s="91">
        <v>0</v>
      </c>
      <c r="AF60" s="79">
        <f t="shared" si="4"/>
        <v>0</v>
      </c>
      <c r="AG60" s="82">
        <f t="shared" si="6"/>
        <v>-63470</v>
      </c>
      <c r="AH60" s="48"/>
    </row>
    <row r="61" spans="1:34" ht="19.5" thickBot="1">
      <c r="A61" s="1" t="s">
        <v>2</v>
      </c>
      <c r="B61" s="42" t="s">
        <v>106</v>
      </c>
      <c r="C61" s="43">
        <v>63366</v>
      </c>
      <c r="D61" s="44">
        <v>0</v>
      </c>
      <c r="E61" s="44">
        <v>80676</v>
      </c>
      <c r="F61" s="44">
        <v>97213</v>
      </c>
      <c r="G61" s="44">
        <v>78485</v>
      </c>
      <c r="H61" s="44">
        <v>92645</v>
      </c>
      <c r="I61" s="44">
        <v>71777</v>
      </c>
      <c r="J61" s="44">
        <v>62141</v>
      </c>
      <c r="K61" s="44">
        <v>70443</v>
      </c>
      <c r="L61" s="44">
        <v>75503</v>
      </c>
      <c r="M61" s="44">
        <v>66500</v>
      </c>
      <c r="N61" s="44">
        <v>71433</v>
      </c>
      <c r="O61" s="44">
        <v>65704</v>
      </c>
      <c r="P61" s="44">
        <v>81694</v>
      </c>
      <c r="Q61" s="44">
        <v>61426</v>
      </c>
      <c r="R61" s="44">
        <v>51052</v>
      </c>
      <c r="S61" s="58">
        <v>44509</v>
      </c>
      <c r="T61" s="81">
        <f t="shared" si="3"/>
        <v>1134567</v>
      </c>
      <c r="U61" s="70">
        <v>121859</v>
      </c>
      <c r="V61" s="44">
        <v>81115</v>
      </c>
      <c r="W61" s="44">
        <v>854</v>
      </c>
      <c r="X61" s="44">
        <v>785</v>
      </c>
      <c r="Y61" s="44">
        <v>0</v>
      </c>
      <c r="Z61" s="44">
        <v>4100</v>
      </c>
      <c r="AA61" s="44">
        <v>0</v>
      </c>
      <c r="AB61" s="44">
        <v>0</v>
      </c>
      <c r="AC61" s="45">
        <v>267</v>
      </c>
      <c r="AD61" s="81">
        <f t="shared" si="5"/>
        <v>208980</v>
      </c>
      <c r="AE61" s="93">
        <v>84525</v>
      </c>
      <c r="AF61" s="81">
        <f t="shared" si="4"/>
        <v>84525</v>
      </c>
      <c r="AG61" s="81">
        <f t="shared" si="6"/>
        <v>1428072</v>
      </c>
    </row>
    <row r="62" spans="1:34" ht="19.5" thickBot="1">
      <c r="A62" s="1" t="s">
        <v>2</v>
      </c>
      <c r="B62" s="42" t="s">
        <v>107</v>
      </c>
      <c r="C62" s="43">
        <v>227111</v>
      </c>
      <c r="D62" s="44">
        <v>0</v>
      </c>
      <c r="E62" s="44">
        <v>304455</v>
      </c>
      <c r="F62" s="44">
        <v>273128</v>
      </c>
      <c r="G62" s="44">
        <v>211689</v>
      </c>
      <c r="H62" s="44">
        <v>324287</v>
      </c>
      <c r="I62" s="44">
        <v>276887</v>
      </c>
      <c r="J62" s="44">
        <v>259467</v>
      </c>
      <c r="K62" s="44">
        <v>255156</v>
      </c>
      <c r="L62" s="44">
        <v>286709</v>
      </c>
      <c r="M62" s="44">
        <v>251302</v>
      </c>
      <c r="N62" s="44">
        <v>300524</v>
      </c>
      <c r="O62" s="44">
        <v>234188</v>
      </c>
      <c r="P62" s="44">
        <v>279405</v>
      </c>
      <c r="Q62" s="44">
        <v>260124</v>
      </c>
      <c r="R62" s="44">
        <v>201795</v>
      </c>
      <c r="S62" s="58">
        <v>250834</v>
      </c>
      <c r="T62" s="81">
        <f t="shared" si="3"/>
        <v>4197061</v>
      </c>
      <c r="U62" s="70">
        <v>420161</v>
      </c>
      <c r="V62" s="44">
        <v>328164</v>
      </c>
      <c r="W62" s="44">
        <v>81626</v>
      </c>
      <c r="X62" s="44">
        <v>86215</v>
      </c>
      <c r="Y62" s="44">
        <v>76020</v>
      </c>
      <c r="Z62" s="44">
        <v>47460</v>
      </c>
      <c r="AA62" s="44">
        <v>70140</v>
      </c>
      <c r="AB62" s="44">
        <v>62886</v>
      </c>
      <c r="AC62" s="45">
        <v>81213</v>
      </c>
      <c r="AD62" s="81">
        <f t="shared" si="5"/>
        <v>1253885</v>
      </c>
      <c r="AE62" s="93">
        <v>316285</v>
      </c>
      <c r="AF62" s="81">
        <f t="shared" si="4"/>
        <v>316285</v>
      </c>
      <c r="AG62" s="81">
        <f t="shared" si="6"/>
        <v>5767231</v>
      </c>
    </row>
    <row r="63" spans="1:34" ht="19.5" thickBot="1">
      <c r="A63" s="1" t="s">
        <v>2</v>
      </c>
      <c r="B63" s="42" t="s">
        <v>108</v>
      </c>
      <c r="C63" s="43">
        <v>225168</v>
      </c>
      <c r="D63" s="44">
        <v>0</v>
      </c>
      <c r="E63" s="44">
        <v>287890</v>
      </c>
      <c r="F63" s="44">
        <v>242068</v>
      </c>
      <c r="G63" s="44">
        <v>203286</v>
      </c>
      <c r="H63" s="44">
        <v>297439</v>
      </c>
      <c r="I63" s="44">
        <v>257186</v>
      </c>
      <c r="J63" s="44">
        <v>244809</v>
      </c>
      <c r="K63" s="44">
        <v>237377</v>
      </c>
      <c r="L63" s="44">
        <v>268773</v>
      </c>
      <c r="M63" s="44">
        <v>240241</v>
      </c>
      <c r="N63" s="44">
        <v>283000</v>
      </c>
      <c r="O63" s="44">
        <v>222334</v>
      </c>
      <c r="P63" s="44">
        <v>259784</v>
      </c>
      <c r="Q63" s="44">
        <v>257203</v>
      </c>
      <c r="R63" s="44">
        <v>206410</v>
      </c>
      <c r="S63" s="58">
        <v>248481</v>
      </c>
      <c r="T63" s="81">
        <f t="shared" si="3"/>
        <v>3981449</v>
      </c>
      <c r="U63" s="70">
        <v>376191</v>
      </c>
      <c r="V63" s="44">
        <v>310577</v>
      </c>
      <c r="W63" s="44">
        <v>83732</v>
      </c>
      <c r="X63" s="44">
        <v>87507</v>
      </c>
      <c r="Y63" s="44">
        <v>78919</v>
      </c>
      <c r="Z63" s="44">
        <v>45534</v>
      </c>
      <c r="AA63" s="44">
        <v>74005</v>
      </c>
      <c r="AB63" s="44">
        <v>65712</v>
      </c>
      <c r="AC63" s="45">
        <v>88653</v>
      </c>
      <c r="AD63" s="81">
        <f t="shared" si="5"/>
        <v>1210830</v>
      </c>
      <c r="AE63" s="93">
        <v>297069</v>
      </c>
      <c r="AF63" s="81">
        <f t="shared" si="4"/>
        <v>297069</v>
      </c>
      <c r="AG63" s="81">
        <f t="shared" si="6"/>
        <v>5489348</v>
      </c>
    </row>
    <row r="64" spans="1:34">
      <c r="A64" s="1" t="s">
        <v>2</v>
      </c>
      <c r="B64" s="24" t="s">
        <v>109</v>
      </c>
      <c r="C64" s="32">
        <v>0</v>
      </c>
      <c r="D64" s="33">
        <v>0</v>
      </c>
      <c r="E64" s="33">
        <v>0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0</v>
      </c>
      <c r="L64" s="33">
        <v>0</v>
      </c>
      <c r="M64" s="33">
        <v>0</v>
      </c>
      <c r="N64" s="33">
        <v>0</v>
      </c>
      <c r="O64" s="33">
        <v>0</v>
      </c>
      <c r="P64" s="33">
        <v>0</v>
      </c>
      <c r="Q64" s="33">
        <v>0</v>
      </c>
      <c r="R64" s="33">
        <v>0</v>
      </c>
      <c r="S64" s="55">
        <v>0</v>
      </c>
      <c r="T64" s="78">
        <f t="shared" si="3"/>
        <v>0</v>
      </c>
      <c r="U64" s="67">
        <v>0</v>
      </c>
      <c r="V64" s="33">
        <v>0</v>
      </c>
      <c r="W64" s="33">
        <v>0</v>
      </c>
      <c r="X64" s="33">
        <v>0</v>
      </c>
      <c r="Y64" s="33">
        <v>0</v>
      </c>
      <c r="Z64" s="33">
        <v>0</v>
      </c>
      <c r="AA64" s="33">
        <v>0</v>
      </c>
      <c r="AB64" s="33">
        <v>0</v>
      </c>
      <c r="AC64" s="34">
        <v>0</v>
      </c>
      <c r="AD64" s="78">
        <f t="shared" si="5"/>
        <v>0</v>
      </c>
      <c r="AE64" s="90">
        <v>0</v>
      </c>
      <c r="AF64" s="78">
        <f t="shared" si="4"/>
        <v>0</v>
      </c>
      <c r="AG64" s="78">
        <f t="shared" si="6"/>
        <v>0</v>
      </c>
    </row>
    <row r="65" spans="1:33">
      <c r="A65" s="1" t="s">
        <v>2</v>
      </c>
      <c r="B65" s="5" t="s">
        <v>110</v>
      </c>
      <c r="C65" s="18">
        <v>225168</v>
      </c>
      <c r="D65" s="19">
        <v>0</v>
      </c>
      <c r="E65" s="19">
        <v>287890</v>
      </c>
      <c r="F65" s="19">
        <v>242068</v>
      </c>
      <c r="G65" s="19">
        <v>203286</v>
      </c>
      <c r="H65" s="19">
        <v>297439</v>
      </c>
      <c r="I65" s="19">
        <v>257186</v>
      </c>
      <c r="J65" s="19">
        <v>244809</v>
      </c>
      <c r="K65" s="19">
        <v>237377</v>
      </c>
      <c r="L65" s="19">
        <v>268773</v>
      </c>
      <c r="M65" s="19">
        <v>240241</v>
      </c>
      <c r="N65" s="19">
        <v>283000</v>
      </c>
      <c r="O65" s="19">
        <v>222334</v>
      </c>
      <c r="P65" s="19">
        <v>259784</v>
      </c>
      <c r="Q65" s="19">
        <v>257203</v>
      </c>
      <c r="R65" s="19">
        <v>206410</v>
      </c>
      <c r="S65" s="56">
        <v>248481</v>
      </c>
      <c r="T65" s="79">
        <f t="shared" si="3"/>
        <v>3981449</v>
      </c>
      <c r="U65" s="68">
        <v>376191</v>
      </c>
      <c r="V65" s="19">
        <v>310577</v>
      </c>
      <c r="W65" s="19">
        <v>83732</v>
      </c>
      <c r="X65" s="19">
        <v>87507</v>
      </c>
      <c r="Y65" s="19">
        <v>78919</v>
      </c>
      <c r="Z65" s="19">
        <v>45534</v>
      </c>
      <c r="AA65" s="19">
        <v>74005</v>
      </c>
      <c r="AB65" s="19">
        <v>65712</v>
      </c>
      <c r="AC65" s="20">
        <v>88653</v>
      </c>
      <c r="AD65" s="79">
        <f t="shared" si="5"/>
        <v>1210830</v>
      </c>
      <c r="AE65" s="91">
        <v>297069</v>
      </c>
      <c r="AF65" s="79">
        <f t="shared" si="4"/>
        <v>297069</v>
      </c>
      <c r="AG65" s="79">
        <f t="shared" si="6"/>
        <v>5489348</v>
      </c>
    </row>
    <row r="66" spans="1:33">
      <c r="A66" s="1" t="s">
        <v>2</v>
      </c>
      <c r="B66" s="5" t="s">
        <v>111</v>
      </c>
      <c r="C66" s="18">
        <v>1</v>
      </c>
      <c r="D66" s="19">
        <v>0</v>
      </c>
      <c r="E66" s="19">
        <v>1</v>
      </c>
      <c r="F66" s="19">
        <v>0</v>
      </c>
      <c r="G66" s="19">
        <v>1</v>
      </c>
      <c r="H66" s="19">
        <v>0</v>
      </c>
      <c r="I66" s="19">
        <v>0</v>
      </c>
      <c r="J66" s="19">
        <v>1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9">
        <v>3</v>
      </c>
      <c r="R66" s="19">
        <v>0</v>
      </c>
      <c r="S66" s="56">
        <v>0</v>
      </c>
      <c r="T66" s="79"/>
      <c r="U66" s="68">
        <v>0</v>
      </c>
      <c r="V66" s="19">
        <v>1</v>
      </c>
      <c r="W66" s="19">
        <v>0</v>
      </c>
      <c r="X66" s="19">
        <v>0</v>
      </c>
      <c r="Y66" s="19">
        <v>1</v>
      </c>
      <c r="Z66" s="19">
        <v>1</v>
      </c>
      <c r="AA66" s="19">
        <v>1</v>
      </c>
      <c r="AB66" s="19">
        <v>1</v>
      </c>
      <c r="AC66" s="20">
        <v>1</v>
      </c>
      <c r="AD66" s="79"/>
      <c r="AE66" s="91">
        <v>0</v>
      </c>
      <c r="AF66" s="79"/>
      <c r="AG66" s="7"/>
    </row>
    <row r="67" spans="1:33" ht="19.5" thickBot="1">
      <c r="A67" s="1" t="s">
        <v>2</v>
      </c>
      <c r="B67" s="6" t="s">
        <v>112</v>
      </c>
      <c r="C67" s="21" t="s">
        <v>113</v>
      </c>
      <c r="D67" s="22" t="s">
        <v>113</v>
      </c>
      <c r="E67" s="22" t="s">
        <v>113</v>
      </c>
      <c r="F67" s="22" t="s">
        <v>113</v>
      </c>
      <c r="G67" s="22" t="s">
        <v>113</v>
      </c>
      <c r="H67" s="22" t="s">
        <v>113</v>
      </c>
      <c r="I67" s="22" t="s">
        <v>113</v>
      </c>
      <c r="J67" s="22" t="s">
        <v>113</v>
      </c>
      <c r="K67" s="22" t="s">
        <v>113</v>
      </c>
      <c r="L67" s="22" t="s">
        <v>113</v>
      </c>
      <c r="M67" s="22" t="s">
        <v>113</v>
      </c>
      <c r="N67" s="22" t="s">
        <v>113</v>
      </c>
      <c r="O67" s="22" t="s">
        <v>113</v>
      </c>
      <c r="P67" s="22" t="s">
        <v>113</v>
      </c>
      <c r="Q67" s="22" t="s">
        <v>113</v>
      </c>
      <c r="R67" s="22" t="s">
        <v>113</v>
      </c>
      <c r="S67" s="59" t="s">
        <v>113</v>
      </c>
      <c r="T67" s="83"/>
      <c r="U67" s="71" t="s">
        <v>113</v>
      </c>
      <c r="V67" s="22" t="s">
        <v>113</v>
      </c>
      <c r="W67" s="22" t="s">
        <v>113</v>
      </c>
      <c r="X67" s="22" t="s">
        <v>113</v>
      </c>
      <c r="Y67" s="22" t="s">
        <v>113</v>
      </c>
      <c r="Z67" s="22" t="s">
        <v>113</v>
      </c>
      <c r="AA67" s="22" t="s">
        <v>113</v>
      </c>
      <c r="AB67" s="22" t="s">
        <v>113</v>
      </c>
      <c r="AC67" s="23" t="s">
        <v>113</v>
      </c>
      <c r="AD67" s="83"/>
      <c r="AE67" s="94" t="s">
        <v>113</v>
      </c>
      <c r="AF67" s="83"/>
      <c r="AG67" s="8"/>
    </row>
  </sheetData>
  <phoneticPr fontId="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FB062-CBCF-4EE1-A12B-F3EA27BF7032}">
  <sheetPr>
    <pageSetUpPr fitToPage="1"/>
  </sheetPr>
  <dimension ref="A1:P67"/>
  <sheetViews>
    <sheetView showZeros="0" workbookViewId="0"/>
  </sheetViews>
  <sheetFormatPr defaultRowHeight="18.75"/>
  <cols>
    <col min="1" max="1" width="2.375" style="2" customWidth="1"/>
    <col min="2" max="2" width="13.25" style="2" bestFit="1" customWidth="1"/>
    <col min="3" max="15" width="10.75" style="2" customWidth="1"/>
    <col min="16" max="239" width="9" style="2"/>
    <col min="240" max="240" width="2.375" style="2" customWidth="1"/>
    <col min="241" max="241" width="13.25" style="2" bestFit="1" customWidth="1"/>
    <col min="242" max="244" width="11.125" style="2" bestFit="1" customWidth="1"/>
    <col min="245" max="245" width="13.25" style="2" bestFit="1" customWidth="1"/>
    <col min="246" max="246" width="11.125" style="2" bestFit="1" customWidth="1"/>
    <col min="247" max="247" width="9" style="2"/>
    <col min="248" max="248" width="11.125" style="2" bestFit="1" customWidth="1"/>
    <col min="249" max="249" width="9" style="2"/>
    <col min="250" max="260" width="11.125" style="2" bestFit="1" customWidth="1"/>
    <col min="261" max="261" width="9" style="2"/>
    <col min="262" max="268" width="11.125" style="2" bestFit="1" customWidth="1"/>
    <col min="269" max="269" width="9.625" style="2" bestFit="1" customWidth="1"/>
    <col min="270" max="495" width="9" style="2"/>
    <col min="496" max="496" width="2.375" style="2" customWidth="1"/>
    <col min="497" max="497" width="13.25" style="2" bestFit="1" customWidth="1"/>
    <col min="498" max="500" width="11.125" style="2" bestFit="1" customWidth="1"/>
    <col min="501" max="501" width="13.25" style="2" bestFit="1" customWidth="1"/>
    <col min="502" max="502" width="11.125" style="2" bestFit="1" customWidth="1"/>
    <col min="503" max="503" width="9" style="2"/>
    <col min="504" max="504" width="11.125" style="2" bestFit="1" customWidth="1"/>
    <col min="505" max="505" width="9" style="2"/>
    <col min="506" max="516" width="11.125" style="2" bestFit="1" customWidth="1"/>
    <col min="517" max="517" width="9" style="2"/>
    <col min="518" max="524" width="11.125" style="2" bestFit="1" customWidth="1"/>
    <col min="525" max="525" width="9.625" style="2" bestFit="1" customWidth="1"/>
    <col min="526" max="751" width="9" style="2"/>
    <col min="752" max="752" width="2.375" style="2" customWidth="1"/>
    <col min="753" max="753" width="13.25" style="2" bestFit="1" customWidth="1"/>
    <col min="754" max="756" width="11.125" style="2" bestFit="1" customWidth="1"/>
    <col min="757" max="757" width="13.25" style="2" bestFit="1" customWidth="1"/>
    <col min="758" max="758" width="11.125" style="2" bestFit="1" customWidth="1"/>
    <col min="759" max="759" width="9" style="2"/>
    <col min="760" max="760" width="11.125" style="2" bestFit="1" customWidth="1"/>
    <col min="761" max="761" width="9" style="2"/>
    <col min="762" max="772" width="11.125" style="2" bestFit="1" customWidth="1"/>
    <col min="773" max="773" width="9" style="2"/>
    <col min="774" max="780" width="11.125" style="2" bestFit="1" customWidth="1"/>
    <col min="781" max="781" width="9.625" style="2" bestFit="1" customWidth="1"/>
    <col min="782" max="1007" width="9" style="2"/>
    <col min="1008" max="1008" width="2.375" style="2" customWidth="1"/>
    <col min="1009" max="1009" width="13.25" style="2" bestFit="1" customWidth="1"/>
    <col min="1010" max="1012" width="11.125" style="2" bestFit="1" customWidth="1"/>
    <col min="1013" max="1013" width="13.25" style="2" bestFit="1" customWidth="1"/>
    <col min="1014" max="1014" width="11.125" style="2" bestFit="1" customWidth="1"/>
    <col min="1015" max="1015" width="9" style="2"/>
    <col min="1016" max="1016" width="11.125" style="2" bestFit="1" customWidth="1"/>
    <col min="1017" max="1017" width="9" style="2"/>
    <col min="1018" max="1028" width="11.125" style="2" bestFit="1" customWidth="1"/>
    <col min="1029" max="1029" width="9" style="2"/>
    <col min="1030" max="1036" width="11.125" style="2" bestFit="1" customWidth="1"/>
    <col min="1037" max="1037" width="9.625" style="2" bestFit="1" customWidth="1"/>
    <col min="1038" max="1263" width="9" style="2"/>
    <col min="1264" max="1264" width="2.375" style="2" customWidth="1"/>
    <col min="1265" max="1265" width="13.25" style="2" bestFit="1" customWidth="1"/>
    <col min="1266" max="1268" width="11.125" style="2" bestFit="1" customWidth="1"/>
    <col min="1269" max="1269" width="13.25" style="2" bestFit="1" customWidth="1"/>
    <col min="1270" max="1270" width="11.125" style="2" bestFit="1" customWidth="1"/>
    <col min="1271" max="1271" width="9" style="2"/>
    <col min="1272" max="1272" width="11.125" style="2" bestFit="1" customWidth="1"/>
    <col min="1273" max="1273" width="9" style="2"/>
    <col min="1274" max="1284" width="11.125" style="2" bestFit="1" customWidth="1"/>
    <col min="1285" max="1285" width="9" style="2"/>
    <col min="1286" max="1292" width="11.125" style="2" bestFit="1" customWidth="1"/>
    <col min="1293" max="1293" width="9.625" style="2" bestFit="1" customWidth="1"/>
    <col min="1294" max="1519" width="9" style="2"/>
    <col min="1520" max="1520" width="2.375" style="2" customWidth="1"/>
    <col min="1521" max="1521" width="13.25" style="2" bestFit="1" customWidth="1"/>
    <col min="1522" max="1524" width="11.125" style="2" bestFit="1" customWidth="1"/>
    <col min="1525" max="1525" width="13.25" style="2" bestFit="1" customWidth="1"/>
    <col min="1526" max="1526" width="11.125" style="2" bestFit="1" customWidth="1"/>
    <col min="1527" max="1527" width="9" style="2"/>
    <col min="1528" max="1528" width="11.125" style="2" bestFit="1" customWidth="1"/>
    <col min="1529" max="1529" width="9" style="2"/>
    <col min="1530" max="1540" width="11.125" style="2" bestFit="1" customWidth="1"/>
    <col min="1541" max="1541" width="9" style="2"/>
    <col min="1542" max="1548" width="11.125" style="2" bestFit="1" customWidth="1"/>
    <col min="1549" max="1549" width="9.625" style="2" bestFit="1" customWidth="1"/>
    <col min="1550" max="1775" width="9" style="2"/>
    <col min="1776" max="1776" width="2.375" style="2" customWidth="1"/>
    <col min="1777" max="1777" width="13.25" style="2" bestFit="1" customWidth="1"/>
    <col min="1778" max="1780" width="11.125" style="2" bestFit="1" customWidth="1"/>
    <col min="1781" max="1781" width="13.25" style="2" bestFit="1" customWidth="1"/>
    <col min="1782" max="1782" width="11.125" style="2" bestFit="1" customWidth="1"/>
    <col min="1783" max="1783" width="9" style="2"/>
    <col min="1784" max="1784" width="11.125" style="2" bestFit="1" customWidth="1"/>
    <col min="1785" max="1785" width="9" style="2"/>
    <col min="1786" max="1796" width="11.125" style="2" bestFit="1" customWidth="1"/>
    <col min="1797" max="1797" width="9" style="2"/>
    <col min="1798" max="1804" width="11.125" style="2" bestFit="1" customWidth="1"/>
    <col min="1805" max="1805" width="9.625" style="2" bestFit="1" customWidth="1"/>
    <col min="1806" max="2031" width="9" style="2"/>
    <col min="2032" max="2032" width="2.375" style="2" customWidth="1"/>
    <col min="2033" max="2033" width="13.25" style="2" bestFit="1" customWidth="1"/>
    <col min="2034" max="2036" width="11.125" style="2" bestFit="1" customWidth="1"/>
    <col min="2037" max="2037" width="13.25" style="2" bestFit="1" customWidth="1"/>
    <col min="2038" max="2038" width="11.125" style="2" bestFit="1" customWidth="1"/>
    <col min="2039" max="2039" width="9" style="2"/>
    <col min="2040" max="2040" width="11.125" style="2" bestFit="1" customWidth="1"/>
    <col min="2041" max="2041" width="9" style="2"/>
    <col min="2042" max="2052" width="11.125" style="2" bestFit="1" customWidth="1"/>
    <col min="2053" max="2053" width="9" style="2"/>
    <col min="2054" max="2060" width="11.125" style="2" bestFit="1" customWidth="1"/>
    <col min="2061" max="2061" width="9.625" style="2" bestFit="1" customWidth="1"/>
    <col min="2062" max="2287" width="9" style="2"/>
    <col min="2288" max="2288" width="2.375" style="2" customWidth="1"/>
    <col min="2289" max="2289" width="13.25" style="2" bestFit="1" customWidth="1"/>
    <col min="2290" max="2292" width="11.125" style="2" bestFit="1" customWidth="1"/>
    <col min="2293" max="2293" width="13.25" style="2" bestFit="1" customWidth="1"/>
    <col min="2294" max="2294" width="11.125" style="2" bestFit="1" customWidth="1"/>
    <col min="2295" max="2295" width="9" style="2"/>
    <col min="2296" max="2296" width="11.125" style="2" bestFit="1" customWidth="1"/>
    <col min="2297" max="2297" width="9" style="2"/>
    <col min="2298" max="2308" width="11.125" style="2" bestFit="1" customWidth="1"/>
    <col min="2309" max="2309" width="9" style="2"/>
    <col min="2310" max="2316" width="11.125" style="2" bestFit="1" customWidth="1"/>
    <col min="2317" max="2317" width="9.625" style="2" bestFit="1" customWidth="1"/>
    <col min="2318" max="2543" width="9" style="2"/>
    <col min="2544" max="2544" width="2.375" style="2" customWidth="1"/>
    <col min="2545" max="2545" width="13.25" style="2" bestFit="1" customWidth="1"/>
    <col min="2546" max="2548" width="11.125" style="2" bestFit="1" customWidth="1"/>
    <col min="2549" max="2549" width="13.25" style="2" bestFit="1" customWidth="1"/>
    <col min="2550" max="2550" width="11.125" style="2" bestFit="1" customWidth="1"/>
    <col min="2551" max="2551" width="9" style="2"/>
    <col min="2552" max="2552" width="11.125" style="2" bestFit="1" customWidth="1"/>
    <col min="2553" max="2553" width="9" style="2"/>
    <col min="2554" max="2564" width="11.125" style="2" bestFit="1" customWidth="1"/>
    <col min="2565" max="2565" width="9" style="2"/>
    <col min="2566" max="2572" width="11.125" style="2" bestFit="1" customWidth="1"/>
    <col min="2573" max="2573" width="9.625" style="2" bestFit="1" customWidth="1"/>
    <col min="2574" max="2799" width="9" style="2"/>
    <col min="2800" max="2800" width="2.375" style="2" customWidth="1"/>
    <col min="2801" max="2801" width="13.25" style="2" bestFit="1" customWidth="1"/>
    <col min="2802" max="2804" width="11.125" style="2" bestFit="1" customWidth="1"/>
    <col min="2805" max="2805" width="13.25" style="2" bestFit="1" customWidth="1"/>
    <col min="2806" max="2806" width="11.125" style="2" bestFit="1" customWidth="1"/>
    <col min="2807" max="2807" width="9" style="2"/>
    <col min="2808" max="2808" width="11.125" style="2" bestFit="1" customWidth="1"/>
    <col min="2809" max="2809" width="9" style="2"/>
    <col min="2810" max="2820" width="11.125" style="2" bestFit="1" customWidth="1"/>
    <col min="2821" max="2821" width="9" style="2"/>
    <col min="2822" max="2828" width="11.125" style="2" bestFit="1" customWidth="1"/>
    <col min="2829" max="2829" width="9.625" style="2" bestFit="1" customWidth="1"/>
    <col min="2830" max="3055" width="9" style="2"/>
    <col min="3056" max="3056" width="2.375" style="2" customWidth="1"/>
    <col min="3057" max="3057" width="13.25" style="2" bestFit="1" customWidth="1"/>
    <col min="3058" max="3060" width="11.125" style="2" bestFit="1" customWidth="1"/>
    <col min="3061" max="3061" width="13.25" style="2" bestFit="1" customWidth="1"/>
    <col min="3062" max="3062" width="11.125" style="2" bestFit="1" customWidth="1"/>
    <col min="3063" max="3063" width="9" style="2"/>
    <col min="3064" max="3064" width="11.125" style="2" bestFit="1" customWidth="1"/>
    <col min="3065" max="3065" width="9" style="2"/>
    <col min="3066" max="3076" width="11.125" style="2" bestFit="1" customWidth="1"/>
    <col min="3077" max="3077" width="9" style="2"/>
    <col min="3078" max="3084" width="11.125" style="2" bestFit="1" customWidth="1"/>
    <col min="3085" max="3085" width="9.625" style="2" bestFit="1" customWidth="1"/>
    <col min="3086" max="3311" width="9" style="2"/>
    <col min="3312" max="3312" width="2.375" style="2" customWidth="1"/>
    <col min="3313" max="3313" width="13.25" style="2" bestFit="1" customWidth="1"/>
    <col min="3314" max="3316" width="11.125" style="2" bestFit="1" customWidth="1"/>
    <col min="3317" max="3317" width="13.25" style="2" bestFit="1" customWidth="1"/>
    <col min="3318" max="3318" width="11.125" style="2" bestFit="1" customWidth="1"/>
    <col min="3319" max="3319" width="9" style="2"/>
    <col min="3320" max="3320" width="11.125" style="2" bestFit="1" customWidth="1"/>
    <col min="3321" max="3321" width="9" style="2"/>
    <col min="3322" max="3332" width="11.125" style="2" bestFit="1" customWidth="1"/>
    <col min="3333" max="3333" width="9" style="2"/>
    <col min="3334" max="3340" width="11.125" style="2" bestFit="1" customWidth="1"/>
    <col min="3341" max="3341" width="9.625" style="2" bestFit="1" customWidth="1"/>
    <col min="3342" max="3567" width="9" style="2"/>
    <col min="3568" max="3568" width="2.375" style="2" customWidth="1"/>
    <col min="3569" max="3569" width="13.25" style="2" bestFit="1" customWidth="1"/>
    <col min="3570" max="3572" width="11.125" style="2" bestFit="1" customWidth="1"/>
    <col min="3573" max="3573" width="13.25" style="2" bestFit="1" customWidth="1"/>
    <col min="3574" max="3574" width="11.125" style="2" bestFit="1" customWidth="1"/>
    <col min="3575" max="3575" width="9" style="2"/>
    <col min="3576" max="3576" width="11.125" style="2" bestFit="1" customWidth="1"/>
    <col min="3577" max="3577" width="9" style="2"/>
    <col min="3578" max="3588" width="11.125" style="2" bestFit="1" customWidth="1"/>
    <col min="3589" max="3589" width="9" style="2"/>
    <col min="3590" max="3596" width="11.125" style="2" bestFit="1" customWidth="1"/>
    <col min="3597" max="3597" width="9.625" style="2" bestFit="1" customWidth="1"/>
    <col min="3598" max="3823" width="9" style="2"/>
    <col min="3824" max="3824" width="2.375" style="2" customWidth="1"/>
    <col min="3825" max="3825" width="13.25" style="2" bestFit="1" customWidth="1"/>
    <col min="3826" max="3828" width="11.125" style="2" bestFit="1" customWidth="1"/>
    <col min="3829" max="3829" width="13.25" style="2" bestFit="1" customWidth="1"/>
    <col min="3830" max="3830" width="11.125" style="2" bestFit="1" customWidth="1"/>
    <col min="3831" max="3831" width="9" style="2"/>
    <col min="3832" max="3832" width="11.125" style="2" bestFit="1" customWidth="1"/>
    <col min="3833" max="3833" width="9" style="2"/>
    <col min="3834" max="3844" width="11.125" style="2" bestFit="1" customWidth="1"/>
    <col min="3845" max="3845" width="9" style="2"/>
    <col min="3846" max="3852" width="11.125" style="2" bestFit="1" customWidth="1"/>
    <col min="3853" max="3853" width="9.625" style="2" bestFit="1" customWidth="1"/>
    <col min="3854" max="4079" width="9" style="2"/>
    <col min="4080" max="4080" width="2.375" style="2" customWidth="1"/>
    <col min="4081" max="4081" width="13.25" style="2" bestFit="1" customWidth="1"/>
    <col min="4082" max="4084" width="11.125" style="2" bestFit="1" customWidth="1"/>
    <col min="4085" max="4085" width="13.25" style="2" bestFit="1" customWidth="1"/>
    <col min="4086" max="4086" width="11.125" style="2" bestFit="1" customWidth="1"/>
    <col min="4087" max="4087" width="9" style="2"/>
    <col min="4088" max="4088" width="11.125" style="2" bestFit="1" customWidth="1"/>
    <col min="4089" max="4089" width="9" style="2"/>
    <col min="4090" max="4100" width="11.125" style="2" bestFit="1" customWidth="1"/>
    <col min="4101" max="4101" width="9" style="2"/>
    <col min="4102" max="4108" width="11.125" style="2" bestFit="1" customWidth="1"/>
    <col min="4109" max="4109" width="9.625" style="2" bestFit="1" customWidth="1"/>
    <col min="4110" max="4335" width="9" style="2"/>
    <col min="4336" max="4336" width="2.375" style="2" customWidth="1"/>
    <col min="4337" max="4337" width="13.25" style="2" bestFit="1" customWidth="1"/>
    <col min="4338" max="4340" width="11.125" style="2" bestFit="1" customWidth="1"/>
    <col min="4341" max="4341" width="13.25" style="2" bestFit="1" customWidth="1"/>
    <col min="4342" max="4342" width="11.125" style="2" bestFit="1" customWidth="1"/>
    <col min="4343" max="4343" width="9" style="2"/>
    <col min="4344" max="4344" width="11.125" style="2" bestFit="1" customWidth="1"/>
    <col min="4345" max="4345" width="9" style="2"/>
    <col min="4346" max="4356" width="11.125" style="2" bestFit="1" customWidth="1"/>
    <col min="4357" max="4357" width="9" style="2"/>
    <col min="4358" max="4364" width="11.125" style="2" bestFit="1" customWidth="1"/>
    <col min="4365" max="4365" width="9.625" style="2" bestFit="1" customWidth="1"/>
    <col min="4366" max="4591" width="9" style="2"/>
    <col min="4592" max="4592" width="2.375" style="2" customWidth="1"/>
    <col min="4593" max="4593" width="13.25" style="2" bestFit="1" customWidth="1"/>
    <col min="4594" max="4596" width="11.125" style="2" bestFit="1" customWidth="1"/>
    <col min="4597" max="4597" width="13.25" style="2" bestFit="1" customWidth="1"/>
    <col min="4598" max="4598" width="11.125" style="2" bestFit="1" customWidth="1"/>
    <col min="4599" max="4599" width="9" style="2"/>
    <col min="4600" max="4600" width="11.125" style="2" bestFit="1" customWidth="1"/>
    <col min="4601" max="4601" width="9" style="2"/>
    <col min="4602" max="4612" width="11.125" style="2" bestFit="1" customWidth="1"/>
    <col min="4613" max="4613" width="9" style="2"/>
    <col min="4614" max="4620" width="11.125" style="2" bestFit="1" customWidth="1"/>
    <col min="4621" max="4621" width="9.625" style="2" bestFit="1" customWidth="1"/>
    <col min="4622" max="4847" width="9" style="2"/>
    <col min="4848" max="4848" width="2.375" style="2" customWidth="1"/>
    <col min="4849" max="4849" width="13.25" style="2" bestFit="1" customWidth="1"/>
    <col min="4850" max="4852" width="11.125" style="2" bestFit="1" customWidth="1"/>
    <col min="4853" max="4853" width="13.25" style="2" bestFit="1" customWidth="1"/>
    <col min="4854" max="4854" width="11.125" style="2" bestFit="1" customWidth="1"/>
    <col min="4855" max="4855" width="9" style="2"/>
    <col min="4856" max="4856" width="11.125" style="2" bestFit="1" customWidth="1"/>
    <col min="4857" max="4857" width="9" style="2"/>
    <col min="4858" max="4868" width="11.125" style="2" bestFit="1" customWidth="1"/>
    <col min="4869" max="4869" width="9" style="2"/>
    <col min="4870" max="4876" width="11.125" style="2" bestFit="1" customWidth="1"/>
    <col min="4877" max="4877" width="9.625" style="2" bestFit="1" customWidth="1"/>
    <col min="4878" max="5103" width="9" style="2"/>
    <col min="5104" max="5104" width="2.375" style="2" customWidth="1"/>
    <col min="5105" max="5105" width="13.25" style="2" bestFit="1" customWidth="1"/>
    <col min="5106" max="5108" width="11.125" style="2" bestFit="1" customWidth="1"/>
    <col min="5109" max="5109" width="13.25" style="2" bestFit="1" customWidth="1"/>
    <col min="5110" max="5110" width="11.125" style="2" bestFit="1" customWidth="1"/>
    <col min="5111" max="5111" width="9" style="2"/>
    <col min="5112" max="5112" width="11.125" style="2" bestFit="1" customWidth="1"/>
    <col min="5113" max="5113" width="9" style="2"/>
    <col min="5114" max="5124" width="11.125" style="2" bestFit="1" customWidth="1"/>
    <col min="5125" max="5125" width="9" style="2"/>
    <col min="5126" max="5132" width="11.125" style="2" bestFit="1" customWidth="1"/>
    <col min="5133" max="5133" width="9.625" style="2" bestFit="1" customWidth="1"/>
    <col min="5134" max="5359" width="9" style="2"/>
    <col min="5360" max="5360" width="2.375" style="2" customWidth="1"/>
    <col min="5361" max="5361" width="13.25" style="2" bestFit="1" customWidth="1"/>
    <col min="5362" max="5364" width="11.125" style="2" bestFit="1" customWidth="1"/>
    <col min="5365" max="5365" width="13.25" style="2" bestFit="1" customWidth="1"/>
    <col min="5366" max="5366" width="11.125" style="2" bestFit="1" customWidth="1"/>
    <col min="5367" max="5367" width="9" style="2"/>
    <col min="5368" max="5368" width="11.125" style="2" bestFit="1" customWidth="1"/>
    <col min="5369" max="5369" width="9" style="2"/>
    <col min="5370" max="5380" width="11.125" style="2" bestFit="1" customWidth="1"/>
    <col min="5381" max="5381" width="9" style="2"/>
    <col min="5382" max="5388" width="11.125" style="2" bestFit="1" customWidth="1"/>
    <col min="5389" max="5389" width="9.625" style="2" bestFit="1" customWidth="1"/>
    <col min="5390" max="5615" width="9" style="2"/>
    <col min="5616" max="5616" width="2.375" style="2" customWidth="1"/>
    <col min="5617" max="5617" width="13.25" style="2" bestFit="1" customWidth="1"/>
    <col min="5618" max="5620" width="11.125" style="2" bestFit="1" customWidth="1"/>
    <col min="5621" max="5621" width="13.25" style="2" bestFit="1" customWidth="1"/>
    <col min="5622" max="5622" width="11.125" style="2" bestFit="1" customWidth="1"/>
    <col min="5623" max="5623" width="9" style="2"/>
    <col min="5624" max="5624" width="11.125" style="2" bestFit="1" customWidth="1"/>
    <col min="5625" max="5625" width="9" style="2"/>
    <col min="5626" max="5636" width="11.125" style="2" bestFit="1" customWidth="1"/>
    <col min="5637" max="5637" width="9" style="2"/>
    <col min="5638" max="5644" width="11.125" style="2" bestFit="1" customWidth="1"/>
    <col min="5645" max="5645" width="9.625" style="2" bestFit="1" customWidth="1"/>
    <col min="5646" max="5871" width="9" style="2"/>
    <col min="5872" max="5872" width="2.375" style="2" customWidth="1"/>
    <col min="5873" max="5873" width="13.25" style="2" bestFit="1" customWidth="1"/>
    <col min="5874" max="5876" width="11.125" style="2" bestFit="1" customWidth="1"/>
    <col min="5877" max="5877" width="13.25" style="2" bestFit="1" customWidth="1"/>
    <col min="5878" max="5878" width="11.125" style="2" bestFit="1" customWidth="1"/>
    <col min="5879" max="5879" width="9" style="2"/>
    <col min="5880" max="5880" width="11.125" style="2" bestFit="1" customWidth="1"/>
    <col min="5881" max="5881" width="9" style="2"/>
    <col min="5882" max="5892" width="11.125" style="2" bestFit="1" customWidth="1"/>
    <col min="5893" max="5893" width="9" style="2"/>
    <col min="5894" max="5900" width="11.125" style="2" bestFit="1" customWidth="1"/>
    <col min="5901" max="5901" width="9.625" style="2" bestFit="1" customWidth="1"/>
    <col min="5902" max="6127" width="9" style="2"/>
    <col min="6128" max="6128" width="2.375" style="2" customWidth="1"/>
    <col min="6129" max="6129" width="13.25" style="2" bestFit="1" customWidth="1"/>
    <col min="6130" max="6132" width="11.125" style="2" bestFit="1" customWidth="1"/>
    <col min="6133" max="6133" width="13.25" style="2" bestFit="1" customWidth="1"/>
    <col min="6134" max="6134" width="11.125" style="2" bestFit="1" customWidth="1"/>
    <col min="6135" max="6135" width="9" style="2"/>
    <col min="6136" max="6136" width="11.125" style="2" bestFit="1" customWidth="1"/>
    <col min="6137" max="6137" width="9" style="2"/>
    <col min="6138" max="6148" width="11.125" style="2" bestFit="1" customWidth="1"/>
    <col min="6149" max="6149" width="9" style="2"/>
    <col min="6150" max="6156" width="11.125" style="2" bestFit="1" customWidth="1"/>
    <col min="6157" max="6157" width="9.625" style="2" bestFit="1" customWidth="1"/>
    <col min="6158" max="6383" width="9" style="2"/>
    <col min="6384" max="6384" width="2.375" style="2" customWidth="1"/>
    <col min="6385" max="6385" width="13.25" style="2" bestFit="1" customWidth="1"/>
    <col min="6386" max="6388" width="11.125" style="2" bestFit="1" customWidth="1"/>
    <col min="6389" max="6389" width="13.25" style="2" bestFit="1" customWidth="1"/>
    <col min="6390" max="6390" width="11.125" style="2" bestFit="1" customWidth="1"/>
    <col min="6391" max="6391" width="9" style="2"/>
    <col min="6392" max="6392" width="11.125" style="2" bestFit="1" customWidth="1"/>
    <col min="6393" max="6393" width="9" style="2"/>
    <col min="6394" max="6404" width="11.125" style="2" bestFit="1" customWidth="1"/>
    <col min="6405" max="6405" width="9" style="2"/>
    <col min="6406" max="6412" width="11.125" style="2" bestFit="1" customWidth="1"/>
    <col min="6413" max="6413" width="9.625" style="2" bestFit="1" customWidth="1"/>
    <col min="6414" max="6639" width="9" style="2"/>
    <col min="6640" max="6640" width="2.375" style="2" customWidth="1"/>
    <col min="6641" max="6641" width="13.25" style="2" bestFit="1" customWidth="1"/>
    <col min="6642" max="6644" width="11.125" style="2" bestFit="1" customWidth="1"/>
    <col min="6645" max="6645" width="13.25" style="2" bestFit="1" customWidth="1"/>
    <col min="6646" max="6646" width="11.125" style="2" bestFit="1" customWidth="1"/>
    <col min="6647" max="6647" width="9" style="2"/>
    <col min="6648" max="6648" width="11.125" style="2" bestFit="1" customWidth="1"/>
    <col min="6649" max="6649" width="9" style="2"/>
    <col min="6650" max="6660" width="11.125" style="2" bestFit="1" customWidth="1"/>
    <col min="6661" max="6661" width="9" style="2"/>
    <col min="6662" max="6668" width="11.125" style="2" bestFit="1" customWidth="1"/>
    <col min="6669" max="6669" width="9.625" style="2" bestFit="1" customWidth="1"/>
    <col min="6670" max="6895" width="9" style="2"/>
    <col min="6896" max="6896" width="2.375" style="2" customWidth="1"/>
    <col min="6897" max="6897" width="13.25" style="2" bestFit="1" customWidth="1"/>
    <col min="6898" max="6900" width="11.125" style="2" bestFit="1" customWidth="1"/>
    <col min="6901" max="6901" width="13.25" style="2" bestFit="1" customWidth="1"/>
    <col min="6902" max="6902" width="11.125" style="2" bestFit="1" customWidth="1"/>
    <col min="6903" max="6903" width="9" style="2"/>
    <col min="6904" max="6904" width="11.125" style="2" bestFit="1" customWidth="1"/>
    <col min="6905" max="6905" width="9" style="2"/>
    <col min="6906" max="6916" width="11.125" style="2" bestFit="1" customWidth="1"/>
    <col min="6917" max="6917" width="9" style="2"/>
    <col min="6918" max="6924" width="11.125" style="2" bestFit="1" customWidth="1"/>
    <col min="6925" max="6925" width="9.625" style="2" bestFit="1" customWidth="1"/>
    <col min="6926" max="7151" width="9" style="2"/>
    <col min="7152" max="7152" width="2.375" style="2" customWidth="1"/>
    <col min="7153" max="7153" width="13.25" style="2" bestFit="1" customWidth="1"/>
    <col min="7154" max="7156" width="11.125" style="2" bestFit="1" customWidth="1"/>
    <col min="7157" max="7157" width="13.25" style="2" bestFit="1" customWidth="1"/>
    <col min="7158" max="7158" width="11.125" style="2" bestFit="1" customWidth="1"/>
    <col min="7159" max="7159" width="9" style="2"/>
    <col min="7160" max="7160" width="11.125" style="2" bestFit="1" customWidth="1"/>
    <col min="7161" max="7161" width="9" style="2"/>
    <col min="7162" max="7172" width="11.125" style="2" bestFit="1" customWidth="1"/>
    <col min="7173" max="7173" width="9" style="2"/>
    <col min="7174" max="7180" width="11.125" style="2" bestFit="1" customWidth="1"/>
    <col min="7181" max="7181" width="9.625" style="2" bestFit="1" customWidth="1"/>
    <col min="7182" max="7407" width="9" style="2"/>
    <col min="7408" max="7408" width="2.375" style="2" customWidth="1"/>
    <col min="7409" max="7409" width="13.25" style="2" bestFit="1" customWidth="1"/>
    <col min="7410" max="7412" width="11.125" style="2" bestFit="1" customWidth="1"/>
    <col min="7413" max="7413" width="13.25" style="2" bestFit="1" customWidth="1"/>
    <col min="7414" max="7414" width="11.125" style="2" bestFit="1" customWidth="1"/>
    <col min="7415" max="7415" width="9" style="2"/>
    <col min="7416" max="7416" width="11.125" style="2" bestFit="1" customWidth="1"/>
    <col min="7417" max="7417" width="9" style="2"/>
    <col min="7418" max="7428" width="11.125" style="2" bestFit="1" customWidth="1"/>
    <col min="7429" max="7429" width="9" style="2"/>
    <col min="7430" max="7436" width="11.125" style="2" bestFit="1" customWidth="1"/>
    <col min="7437" max="7437" width="9.625" style="2" bestFit="1" customWidth="1"/>
    <col min="7438" max="7663" width="9" style="2"/>
    <col min="7664" max="7664" width="2.375" style="2" customWidth="1"/>
    <col min="7665" max="7665" width="13.25" style="2" bestFit="1" customWidth="1"/>
    <col min="7666" max="7668" width="11.125" style="2" bestFit="1" customWidth="1"/>
    <col min="7669" max="7669" width="13.25" style="2" bestFit="1" customWidth="1"/>
    <col min="7670" max="7670" width="11.125" style="2" bestFit="1" customWidth="1"/>
    <col min="7671" max="7671" width="9" style="2"/>
    <col min="7672" max="7672" width="11.125" style="2" bestFit="1" customWidth="1"/>
    <col min="7673" max="7673" width="9" style="2"/>
    <col min="7674" max="7684" width="11.125" style="2" bestFit="1" customWidth="1"/>
    <col min="7685" max="7685" width="9" style="2"/>
    <col min="7686" max="7692" width="11.125" style="2" bestFit="1" customWidth="1"/>
    <col min="7693" max="7693" width="9.625" style="2" bestFit="1" customWidth="1"/>
    <col min="7694" max="7919" width="9" style="2"/>
    <col min="7920" max="7920" width="2.375" style="2" customWidth="1"/>
    <col min="7921" max="7921" width="13.25" style="2" bestFit="1" customWidth="1"/>
    <col min="7922" max="7924" width="11.125" style="2" bestFit="1" customWidth="1"/>
    <col min="7925" max="7925" width="13.25" style="2" bestFit="1" customWidth="1"/>
    <col min="7926" max="7926" width="11.125" style="2" bestFit="1" customWidth="1"/>
    <col min="7927" max="7927" width="9" style="2"/>
    <col min="7928" max="7928" width="11.125" style="2" bestFit="1" customWidth="1"/>
    <col min="7929" max="7929" width="9" style="2"/>
    <col min="7930" max="7940" width="11.125" style="2" bestFit="1" customWidth="1"/>
    <col min="7941" max="7941" width="9" style="2"/>
    <col min="7942" max="7948" width="11.125" style="2" bestFit="1" customWidth="1"/>
    <col min="7949" max="7949" width="9.625" style="2" bestFit="1" customWidth="1"/>
    <col min="7950" max="8175" width="9" style="2"/>
    <col min="8176" max="8176" width="2.375" style="2" customWidth="1"/>
    <col min="8177" max="8177" width="13.25" style="2" bestFit="1" customWidth="1"/>
    <col min="8178" max="8180" width="11.125" style="2" bestFit="1" customWidth="1"/>
    <col min="8181" max="8181" width="13.25" style="2" bestFit="1" customWidth="1"/>
    <col min="8182" max="8182" width="11.125" style="2" bestFit="1" customWidth="1"/>
    <col min="8183" max="8183" width="9" style="2"/>
    <col min="8184" max="8184" width="11.125" style="2" bestFit="1" customWidth="1"/>
    <col min="8185" max="8185" width="9" style="2"/>
    <col min="8186" max="8196" width="11.125" style="2" bestFit="1" customWidth="1"/>
    <col min="8197" max="8197" width="9" style="2"/>
    <col min="8198" max="8204" width="11.125" style="2" bestFit="1" customWidth="1"/>
    <col min="8205" max="8205" width="9.625" style="2" bestFit="1" customWidth="1"/>
    <col min="8206" max="8431" width="9" style="2"/>
    <col min="8432" max="8432" width="2.375" style="2" customWidth="1"/>
    <col min="8433" max="8433" width="13.25" style="2" bestFit="1" customWidth="1"/>
    <col min="8434" max="8436" width="11.125" style="2" bestFit="1" customWidth="1"/>
    <col min="8437" max="8437" width="13.25" style="2" bestFit="1" customWidth="1"/>
    <col min="8438" max="8438" width="11.125" style="2" bestFit="1" customWidth="1"/>
    <col min="8439" max="8439" width="9" style="2"/>
    <col min="8440" max="8440" width="11.125" style="2" bestFit="1" customWidth="1"/>
    <col min="8441" max="8441" width="9" style="2"/>
    <col min="8442" max="8452" width="11.125" style="2" bestFit="1" customWidth="1"/>
    <col min="8453" max="8453" width="9" style="2"/>
    <col min="8454" max="8460" width="11.125" style="2" bestFit="1" customWidth="1"/>
    <col min="8461" max="8461" width="9.625" style="2" bestFit="1" customWidth="1"/>
    <col min="8462" max="8687" width="9" style="2"/>
    <col min="8688" max="8688" width="2.375" style="2" customWidth="1"/>
    <col min="8689" max="8689" width="13.25" style="2" bestFit="1" customWidth="1"/>
    <col min="8690" max="8692" width="11.125" style="2" bestFit="1" customWidth="1"/>
    <col min="8693" max="8693" width="13.25" style="2" bestFit="1" customWidth="1"/>
    <col min="8694" max="8694" width="11.125" style="2" bestFit="1" customWidth="1"/>
    <col min="8695" max="8695" width="9" style="2"/>
    <col min="8696" max="8696" width="11.125" style="2" bestFit="1" customWidth="1"/>
    <col min="8697" max="8697" width="9" style="2"/>
    <col min="8698" max="8708" width="11.125" style="2" bestFit="1" customWidth="1"/>
    <col min="8709" max="8709" width="9" style="2"/>
    <col min="8710" max="8716" width="11.125" style="2" bestFit="1" customWidth="1"/>
    <col min="8717" max="8717" width="9.625" style="2" bestFit="1" customWidth="1"/>
    <col min="8718" max="8943" width="9" style="2"/>
    <col min="8944" max="8944" width="2.375" style="2" customWidth="1"/>
    <col min="8945" max="8945" width="13.25" style="2" bestFit="1" customWidth="1"/>
    <col min="8946" max="8948" width="11.125" style="2" bestFit="1" customWidth="1"/>
    <col min="8949" max="8949" width="13.25" style="2" bestFit="1" customWidth="1"/>
    <col min="8950" max="8950" width="11.125" style="2" bestFit="1" customWidth="1"/>
    <col min="8951" max="8951" width="9" style="2"/>
    <col min="8952" max="8952" width="11.125" style="2" bestFit="1" customWidth="1"/>
    <col min="8953" max="8953" width="9" style="2"/>
    <col min="8954" max="8964" width="11.125" style="2" bestFit="1" customWidth="1"/>
    <col min="8965" max="8965" width="9" style="2"/>
    <col min="8966" max="8972" width="11.125" style="2" bestFit="1" customWidth="1"/>
    <col min="8973" max="8973" width="9.625" style="2" bestFit="1" customWidth="1"/>
    <col min="8974" max="9199" width="9" style="2"/>
    <col min="9200" max="9200" width="2.375" style="2" customWidth="1"/>
    <col min="9201" max="9201" width="13.25" style="2" bestFit="1" customWidth="1"/>
    <col min="9202" max="9204" width="11.125" style="2" bestFit="1" customWidth="1"/>
    <col min="9205" max="9205" width="13.25" style="2" bestFit="1" customWidth="1"/>
    <col min="9206" max="9206" width="11.125" style="2" bestFit="1" customWidth="1"/>
    <col min="9207" max="9207" width="9" style="2"/>
    <col min="9208" max="9208" width="11.125" style="2" bestFit="1" customWidth="1"/>
    <col min="9209" max="9209" width="9" style="2"/>
    <col min="9210" max="9220" width="11.125" style="2" bestFit="1" customWidth="1"/>
    <col min="9221" max="9221" width="9" style="2"/>
    <col min="9222" max="9228" width="11.125" style="2" bestFit="1" customWidth="1"/>
    <col min="9229" max="9229" width="9.625" style="2" bestFit="1" customWidth="1"/>
    <col min="9230" max="9455" width="9" style="2"/>
    <col min="9456" max="9456" width="2.375" style="2" customWidth="1"/>
    <col min="9457" max="9457" width="13.25" style="2" bestFit="1" customWidth="1"/>
    <col min="9458" max="9460" width="11.125" style="2" bestFit="1" customWidth="1"/>
    <col min="9461" max="9461" width="13.25" style="2" bestFit="1" customWidth="1"/>
    <col min="9462" max="9462" width="11.125" style="2" bestFit="1" customWidth="1"/>
    <col min="9463" max="9463" width="9" style="2"/>
    <col min="9464" max="9464" width="11.125" style="2" bestFit="1" customWidth="1"/>
    <col min="9465" max="9465" width="9" style="2"/>
    <col min="9466" max="9476" width="11.125" style="2" bestFit="1" customWidth="1"/>
    <col min="9477" max="9477" width="9" style="2"/>
    <col min="9478" max="9484" width="11.125" style="2" bestFit="1" customWidth="1"/>
    <col min="9485" max="9485" width="9.625" style="2" bestFit="1" customWidth="1"/>
    <col min="9486" max="9711" width="9" style="2"/>
    <col min="9712" max="9712" width="2.375" style="2" customWidth="1"/>
    <col min="9713" max="9713" width="13.25" style="2" bestFit="1" customWidth="1"/>
    <col min="9714" max="9716" width="11.125" style="2" bestFit="1" customWidth="1"/>
    <col min="9717" max="9717" width="13.25" style="2" bestFit="1" customWidth="1"/>
    <col min="9718" max="9718" width="11.125" style="2" bestFit="1" customWidth="1"/>
    <col min="9719" max="9719" width="9" style="2"/>
    <col min="9720" max="9720" width="11.125" style="2" bestFit="1" customWidth="1"/>
    <col min="9721" max="9721" width="9" style="2"/>
    <col min="9722" max="9732" width="11.125" style="2" bestFit="1" customWidth="1"/>
    <col min="9733" max="9733" width="9" style="2"/>
    <col min="9734" max="9740" width="11.125" style="2" bestFit="1" customWidth="1"/>
    <col min="9741" max="9741" width="9.625" style="2" bestFit="1" customWidth="1"/>
    <col min="9742" max="9967" width="9" style="2"/>
    <col min="9968" max="9968" width="2.375" style="2" customWidth="1"/>
    <col min="9969" max="9969" width="13.25" style="2" bestFit="1" customWidth="1"/>
    <col min="9970" max="9972" width="11.125" style="2" bestFit="1" customWidth="1"/>
    <col min="9973" max="9973" width="13.25" style="2" bestFit="1" customWidth="1"/>
    <col min="9974" max="9974" width="11.125" style="2" bestFit="1" customWidth="1"/>
    <col min="9975" max="9975" width="9" style="2"/>
    <col min="9976" max="9976" width="11.125" style="2" bestFit="1" customWidth="1"/>
    <col min="9977" max="9977" width="9" style="2"/>
    <col min="9978" max="9988" width="11.125" style="2" bestFit="1" customWidth="1"/>
    <col min="9989" max="9989" width="9" style="2"/>
    <col min="9990" max="9996" width="11.125" style="2" bestFit="1" customWidth="1"/>
    <col min="9997" max="9997" width="9.625" style="2" bestFit="1" customWidth="1"/>
    <col min="9998" max="10223" width="9" style="2"/>
    <col min="10224" max="10224" width="2.375" style="2" customWidth="1"/>
    <col min="10225" max="10225" width="13.25" style="2" bestFit="1" customWidth="1"/>
    <col min="10226" max="10228" width="11.125" style="2" bestFit="1" customWidth="1"/>
    <col min="10229" max="10229" width="13.25" style="2" bestFit="1" customWidth="1"/>
    <col min="10230" max="10230" width="11.125" style="2" bestFit="1" customWidth="1"/>
    <col min="10231" max="10231" width="9" style="2"/>
    <col min="10232" max="10232" width="11.125" style="2" bestFit="1" customWidth="1"/>
    <col min="10233" max="10233" width="9" style="2"/>
    <col min="10234" max="10244" width="11.125" style="2" bestFit="1" customWidth="1"/>
    <col min="10245" max="10245" width="9" style="2"/>
    <col min="10246" max="10252" width="11.125" style="2" bestFit="1" customWidth="1"/>
    <col min="10253" max="10253" width="9.625" style="2" bestFit="1" customWidth="1"/>
    <col min="10254" max="10479" width="9" style="2"/>
    <col min="10480" max="10480" width="2.375" style="2" customWidth="1"/>
    <col min="10481" max="10481" width="13.25" style="2" bestFit="1" customWidth="1"/>
    <col min="10482" max="10484" width="11.125" style="2" bestFit="1" customWidth="1"/>
    <col min="10485" max="10485" width="13.25" style="2" bestFit="1" customWidth="1"/>
    <col min="10486" max="10486" width="11.125" style="2" bestFit="1" customWidth="1"/>
    <col min="10487" max="10487" width="9" style="2"/>
    <col min="10488" max="10488" width="11.125" style="2" bestFit="1" customWidth="1"/>
    <col min="10489" max="10489" width="9" style="2"/>
    <col min="10490" max="10500" width="11.125" style="2" bestFit="1" customWidth="1"/>
    <col min="10501" max="10501" width="9" style="2"/>
    <col min="10502" max="10508" width="11.125" style="2" bestFit="1" customWidth="1"/>
    <col min="10509" max="10509" width="9.625" style="2" bestFit="1" customWidth="1"/>
    <col min="10510" max="10735" width="9" style="2"/>
    <col min="10736" max="10736" width="2.375" style="2" customWidth="1"/>
    <col min="10737" max="10737" width="13.25" style="2" bestFit="1" customWidth="1"/>
    <col min="10738" max="10740" width="11.125" style="2" bestFit="1" customWidth="1"/>
    <col min="10741" max="10741" width="13.25" style="2" bestFit="1" customWidth="1"/>
    <col min="10742" max="10742" width="11.125" style="2" bestFit="1" customWidth="1"/>
    <col min="10743" max="10743" width="9" style="2"/>
    <col min="10744" max="10744" width="11.125" style="2" bestFit="1" customWidth="1"/>
    <col min="10745" max="10745" width="9" style="2"/>
    <col min="10746" max="10756" width="11.125" style="2" bestFit="1" customWidth="1"/>
    <col min="10757" max="10757" width="9" style="2"/>
    <col min="10758" max="10764" width="11.125" style="2" bestFit="1" customWidth="1"/>
    <col min="10765" max="10765" width="9.625" style="2" bestFit="1" customWidth="1"/>
    <col min="10766" max="10991" width="9" style="2"/>
    <col min="10992" max="10992" width="2.375" style="2" customWidth="1"/>
    <col min="10993" max="10993" width="13.25" style="2" bestFit="1" customWidth="1"/>
    <col min="10994" max="10996" width="11.125" style="2" bestFit="1" customWidth="1"/>
    <col min="10997" max="10997" width="13.25" style="2" bestFit="1" customWidth="1"/>
    <col min="10998" max="10998" width="11.125" style="2" bestFit="1" customWidth="1"/>
    <col min="10999" max="10999" width="9" style="2"/>
    <col min="11000" max="11000" width="11.125" style="2" bestFit="1" customWidth="1"/>
    <col min="11001" max="11001" width="9" style="2"/>
    <col min="11002" max="11012" width="11.125" style="2" bestFit="1" customWidth="1"/>
    <col min="11013" max="11013" width="9" style="2"/>
    <col min="11014" max="11020" width="11.125" style="2" bestFit="1" customWidth="1"/>
    <col min="11021" max="11021" width="9.625" style="2" bestFit="1" customWidth="1"/>
    <col min="11022" max="11247" width="9" style="2"/>
    <col min="11248" max="11248" width="2.375" style="2" customWidth="1"/>
    <col min="11249" max="11249" width="13.25" style="2" bestFit="1" customWidth="1"/>
    <col min="11250" max="11252" width="11.125" style="2" bestFit="1" customWidth="1"/>
    <col min="11253" max="11253" width="13.25" style="2" bestFit="1" customWidth="1"/>
    <col min="11254" max="11254" width="11.125" style="2" bestFit="1" customWidth="1"/>
    <col min="11255" max="11255" width="9" style="2"/>
    <col min="11256" max="11256" width="11.125" style="2" bestFit="1" customWidth="1"/>
    <col min="11257" max="11257" width="9" style="2"/>
    <col min="11258" max="11268" width="11.125" style="2" bestFit="1" customWidth="1"/>
    <col min="11269" max="11269" width="9" style="2"/>
    <col min="11270" max="11276" width="11.125" style="2" bestFit="1" customWidth="1"/>
    <col min="11277" max="11277" width="9.625" style="2" bestFit="1" customWidth="1"/>
    <col min="11278" max="11503" width="9" style="2"/>
    <col min="11504" max="11504" width="2.375" style="2" customWidth="1"/>
    <col min="11505" max="11505" width="13.25" style="2" bestFit="1" customWidth="1"/>
    <col min="11506" max="11508" width="11.125" style="2" bestFit="1" customWidth="1"/>
    <col min="11509" max="11509" width="13.25" style="2" bestFit="1" customWidth="1"/>
    <col min="11510" max="11510" width="11.125" style="2" bestFit="1" customWidth="1"/>
    <col min="11511" max="11511" width="9" style="2"/>
    <col min="11512" max="11512" width="11.125" style="2" bestFit="1" customWidth="1"/>
    <col min="11513" max="11513" width="9" style="2"/>
    <col min="11514" max="11524" width="11.125" style="2" bestFit="1" customWidth="1"/>
    <col min="11525" max="11525" width="9" style="2"/>
    <col min="11526" max="11532" width="11.125" style="2" bestFit="1" customWidth="1"/>
    <col min="11533" max="11533" width="9.625" style="2" bestFit="1" customWidth="1"/>
    <col min="11534" max="11759" width="9" style="2"/>
    <col min="11760" max="11760" width="2.375" style="2" customWidth="1"/>
    <col min="11761" max="11761" width="13.25" style="2" bestFit="1" customWidth="1"/>
    <col min="11762" max="11764" width="11.125" style="2" bestFit="1" customWidth="1"/>
    <col min="11765" max="11765" width="13.25" style="2" bestFit="1" customWidth="1"/>
    <col min="11766" max="11766" width="11.125" style="2" bestFit="1" customWidth="1"/>
    <col min="11767" max="11767" width="9" style="2"/>
    <col min="11768" max="11768" width="11.125" style="2" bestFit="1" customWidth="1"/>
    <col min="11769" max="11769" width="9" style="2"/>
    <col min="11770" max="11780" width="11.125" style="2" bestFit="1" customWidth="1"/>
    <col min="11781" max="11781" width="9" style="2"/>
    <col min="11782" max="11788" width="11.125" style="2" bestFit="1" customWidth="1"/>
    <col min="11789" max="11789" width="9.625" style="2" bestFit="1" customWidth="1"/>
    <col min="11790" max="12015" width="9" style="2"/>
    <col min="12016" max="12016" width="2.375" style="2" customWidth="1"/>
    <col min="12017" max="12017" width="13.25" style="2" bestFit="1" customWidth="1"/>
    <col min="12018" max="12020" width="11.125" style="2" bestFit="1" customWidth="1"/>
    <col min="12021" max="12021" width="13.25" style="2" bestFit="1" customWidth="1"/>
    <col min="12022" max="12022" width="11.125" style="2" bestFit="1" customWidth="1"/>
    <col min="12023" max="12023" width="9" style="2"/>
    <col min="12024" max="12024" width="11.125" style="2" bestFit="1" customWidth="1"/>
    <col min="12025" max="12025" width="9" style="2"/>
    <col min="12026" max="12036" width="11.125" style="2" bestFit="1" customWidth="1"/>
    <col min="12037" max="12037" width="9" style="2"/>
    <col min="12038" max="12044" width="11.125" style="2" bestFit="1" customWidth="1"/>
    <col min="12045" max="12045" width="9.625" style="2" bestFit="1" customWidth="1"/>
    <col min="12046" max="12271" width="9" style="2"/>
    <col min="12272" max="12272" width="2.375" style="2" customWidth="1"/>
    <col min="12273" max="12273" width="13.25" style="2" bestFit="1" customWidth="1"/>
    <col min="12274" max="12276" width="11.125" style="2" bestFit="1" customWidth="1"/>
    <col min="12277" max="12277" width="13.25" style="2" bestFit="1" customWidth="1"/>
    <col min="12278" max="12278" width="11.125" style="2" bestFit="1" customWidth="1"/>
    <col min="12279" max="12279" width="9" style="2"/>
    <col min="12280" max="12280" width="11.125" style="2" bestFit="1" customWidth="1"/>
    <col min="12281" max="12281" width="9" style="2"/>
    <col min="12282" max="12292" width="11.125" style="2" bestFit="1" customWidth="1"/>
    <col min="12293" max="12293" width="9" style="2"/>
    <col min="12294" max="12300" width="11.125" style="2" bestFit="1" customWidth="1"/>
    <col min="12301" max="12301" width="9.625" style="2" bestFit="1" customWidth="1"/>
    <col min="12302" max="12527" width="9" style="2"/>
    <col min="12528" max="12528" width="2.375" style="2" customWidth="1"/>
    <col min="12529" max="12529" width="13.25" style="2" bestFit="1" customWidth="1"/>
    <col min="12530" max="12532" width="11.125" style="2" bestFit="1" customWidth="1"/>
    <col min="12533" max="12533" width="13.25" style="2" bestFit="1" customWidth="1"/>
    <col min="12534" max="12534" width="11.125" style="2" bestFit="1" customWidth="1"/>
    <col min="12535" max="12535" width="9" style="2"/>
    <col min="12536" max="12536" width="11.125" style="2" bestFit="1" customWidth="1"/>
    <col min="12537" max="12537" width="9" style="2"/>
    <col min="12538" max="12548" width="11.125" style="2" bestFit="1" customWidth="1"/>
    <col min="12549" max="12549" width="9" style="2"/>
    <col min="12550" max="12556" width="11.125" style="2" bestFit="1" customWidth="1"/>
    <col min="12557" max="12557" width="9.625" style="2" bestFit="1" customWidth="1"/>
    <col min="12558" max="12783" width="9" style="2"/>
    <col min="12784" max="12784" width="2.375" style="2" customWidth="1"/>
    <col min="12785" max="12785" width="13.25" style="2" bestFit="1" customWidth="1"/>
    <col min="12786" max="12788" width="11.125" style="2" bestFit="1" customWidth="1"/>
    <col min="12789" max="12789" width="13.25" style="2" bestFit="1" customWidth="1"/>
    <col min="12790" max="12790" width="11.125" style="2" bestFit="1" customWidth="1"/>
    <col min="12791" max="12791" width="9" style="2"/>
    <col min="12792" max="12792" width="11.125" style="2" bestFit="1" customWidth="1"/>
    <col min="12793" max="12793" width="9" style="2"/>
    <col min="12794" max="12804" width="11.125" style="2" bestFit="1" customWidth="1"/>
    <col min="12805" max="12805" width="9" style="2"/>
    <col min="12806" max="12812" width="11.125" style="2" bestFit="1" customWidth="1"/>
    <col min="12813" max="12813" width="9.625" style="2" bestFit="1" customWidth="1"/>
    <col min="12814" max="13039" width="9" style="2"/>
    <col min="13040" max="13040" width="2.375" style="2" customWidth="1"/>
    <col min="13041" max="13041" width="13.25" style="2" bestFit="1" customWidth="1"/>
    <col min="13042" max="13044" width="11.125" style="2" bestFit="1" customWidth="1"/>
    <col min="13045" max="13045" width="13.25" style="2" bestFit="1" customWidth="1"/>
    <col min="13046" max="13046" width="11.125" style="2" bestFit="1" customWidth="1"/>
    <col min="13047" max="13047" width="9" style="2"/>
    <col min="13048" max="13048" width="11.125" style="2" bestFit="1" customWidth="1"/>
    <col min="13049" max="13049" width="9" style="2"/>
    <col min="13050" max="13060" width="11.125" style="2" bestFit="1" customWidth="1"/>
    <col min="13061" max="13061" width="9" style="2"/>
    <col min="13062" max="13068" width="11.125" style="2" bestFit="1" customWidth="1"/>
    <col min="13069" max="13069" width="9.625" style="2" bestFit="1" customWidth="1"/>
    <col min="13070" max="13295" width="9" style="2"/>
    <col min="13296" max="13296" width="2.375" style="2" customWidth="1"/>
    <col min="13297" max="13297" width="13.25" style="2" bestFit="1" customWidth="1"/>
    <col min="13298" max="13300" width="11.125" style="2" bestFit="1" customWidth="1"/>
    <col min="13301" max="13301" width="13.25" style="2" bestFit="1" customWidth="1"/>
    <col min="13302" max="13302" width="11.125" style="2" bestFit="1" customWidth="1"/>
    <col min="13303" max="13303" width="9" style="2"/>
    <col min="13304" max="13304" width="11.125" style="2" bestFit="1" customWidth="1"/>
    <col min="13305" max="13305" width="9" style="2"/>
    <col min="13306" max="13316" width="11.125" style="2" bestFit="1" customWidth="1"/>
    <col min="13317" max="13317" width="9" style="2"/>
    <col min="13318" max="13324" width="11.125" style="2" bestFit="1" customWidth="1"/>
    <col min="13325" max="13325" width="9.625" style="2" bestFit="1" customWidth="1"/>
    <col min="13326" max="13551" width="9" style="2"/>
    <col min="13552" max="13552" width="2.375" style="2" customWidth="1"/>
    <col min="13553" max="13553" width="13.25" style="2" bestFit="1" customWidth="1"/>
    <col min="13554" max="13556" width="11.125" style="2" bestFit="1" customWidth="1"/>
    <col min="13557" max="13557" width="13.25" style="2" bestFit="1" customWidth="1"/>
    <col min="13558" max="13558" width="11.125" style="2" bestFit="1" customWidth="1"/>
    <col min="13559" max="13559" width="9" style="2"/>
    <col min="13560" max="13560" width="11.125" style="2" bestFit="1" customWidth="1"/>
    <col min="13561" max="13561" width="9" style="2"/>
    <col min="13562" max="13572" width="11.125" style="2" bestFit="1" customWidth="1"/>
    <col min="13573" max="13573" width="9" style="2"/>
    <col min="13574" max="13580" width="11.125" style="2" bestFit="1" customWidth="1"/>
    <col min="13581" max="13581" width="9.625" style="2" bestFit="1" customWidth="1"/>
    <col min="13582" max="13807" width="9" style="2"/>
    <col min="13808" max="13808" width="2.375" style="2" customWidth="1"/>
    <col min="13809" max="13809" width="13.25" style="2" bestFit="1" customWidth="1"/>
    <col min="13810" max="13812" width="11.125" style="2" bestFit="1" customWidth="1"/>
    <col min="13813" max="13813" width="13.25" style="2" bestFit="1" customWidth="1"/>
    <col min="13814" max="13814" width="11.125" style="2" bestFit="1" customWidth="1"/>
    <col min="13815" max="13815" width="9" style="2"/>
    <col min="13816" max="13816" width="11.125" style="2" bestFit="1" customWidth="1"/>
    <col min="13817" max="13817" width="9" style="2"/>
    <col min="13818" max="13828" width="11.125" style="2" bestFit="1" customWidth="1"/>
    <col min="13829" max="13829" width="9" style="2"/>
    <col min="13830" max="13836" width="11.125" style="2" bestFit="1" customWidth="1"/>
    <col min="13837" max="13837" width="9.625" style="2" bestFit="1" customWidth="1"/>
    <col min="13838" max="14063" width="9" style="2"/>
    <col min="14064" max="14064" width="2.375" style="2" customWidth="1"/>
    <col min="14065" max="14065" width="13.25" style="2" bestFit="1" customWidth="1"/>
    <col min="14066" max="14068" width="11.125" style="2" bestFit="1" customWidth="1"/>
    <col min="14069" max="14069" width="13.25" style="2" bestFit="1" customWidth="1"/>
    <col min="14070" max="14070" width="11.125" style="2" bestFit="1" customWidth="1"/>
    <col min="14071" max="14071" width="9" style="2"/>
    <col min="14072" max="14072" width="11.125" style="2" bestFit="1" customWidth="1"/>
    <col min="14073" max="14073" width="9" style="2"/>
    <col min="14074" max="14084" width="11.125" style="2" bestFit="1" customWidth="1"/>
    <col min="14085" max="14085" width="9" style="2"/>
    <col min="14086" max="14092" width="11.125" style="2" bestFit="1" customWidth="1"/>
    <col min="14093" max="14093" width="9.625" style="2" bestFit="1" customWidth="1"/>
    <col min="14094" max="14319" width="9" style="2"/>
    <col min="14320" max="14320" width="2.375" style="2" customWidth="1"/>
    <col min="14321" max="14321" width="13.25" style="2" bestFit="1" customWidth="1"/>
    <col min="14322" max="14324" width="11.125" style="2" bestFit="1" customWidth="1"/>
    <col min="14325" max="14325" width="13.25" style="2" bestFit="1" customWidth="1"/>
    <col min="14326" max="14326" width="11.125" style="2" bestFit="1" customWidth="1"/>
    <col min="14327" max="14327" width="9" style="2"/>
    <col min="14328" max="14328" width="11.125" style="2" bestFit="1" customWidth="1"/>
    <col min="14329" max="14329" width="9" style="2"/>
    <col min="14330" max="14340" width="11.125" style="2" bestFit="1" customWidth="1"/>
    <col min="14341" max="14341" width="9" style="2"/>
    <col min="14342" max="14348" width="11.125" style="2" bestFit="1" customWidth="1"/>
    <col min="14349" max="14349" width="9.625" style="2" bestFit="1" customWidth="1"/>
    <col min="14350" max="14575" width="9" style="2"/>
    <col min="14576" max="14576" width="2.375" style="2" customWidth="1"/>
    <col min="14577" max="14577" width="13.25" style="2" bestFit="1" customWidth="1"/>
    <col min="14578" max="14580" width="11.125" style="2" bestFit="1" customWidth="1"/>
    <col min="14581" max="14581" width="13.25" style="2" bestFit="1" customWidth="1"/>
    <col min="14582" max="14582" width="11.125" style="2" bestFit="1" customWidth="1"/>
    <col min="14583" max="14583" width="9" style="2"/>
    <col min="14584" max="14584" width="11.125" style="2" bestFit="1" customWidth="1"/>
    <col min="14585" max="14585" width="9" style="2"/>
    <col min="14586" max="14596" width="11.125" style="2" bestFit="1" customWidth="1"/>
    <col min="14597" max="14597" width="9" style="2"/>
    <col min="14598" max="14604" width="11.125" style="2" bestFit="1" customWidth="1"/>
    <col min="14605" max="14605" width="9.625" style="2" bestFit="1" customWidth="1"/>
    <col min="14606" max="14831" width="9" style="2"/>
    <col min="14832" max="14832" width="2.375" style="2" customWidth="1"/>
    <col min="14833" max="14833" width="13.25" style="2" bestFit="1" customWidth="1"/>
    <col min="14834" max="14836" width="11.125" style="2" bestFit="1" customWidth="1"/>
    <col min="14837" max="14837" width="13.25" style="2" bestFit="1" customWidth="1"/>
    <col min="14838" max="14838" width="11.125" style="2" bestFit="1" customWidth="1"/>
    <col min="14839" max="14839" width="9" style="2"/>
    <col min="14840" max="14840" width="11.125" style="2" bestFit="1" customWidth="1"/>
    <col min="14841" max="14841" width="9" style="2"/>
    <col min="14842" max="14852" width="11.125" style="2" bestFit="1" customWidth="1"/>
    <col min="14853" max="14853" width="9" style="2"/>
    <col min="14854" max="14860" width="11.125" style="2" bestFit="1" customWidth="1"/>
    <col min="14861" max="14861" width="9.625" style="2" bestFit="1" customWidth="1"/>
    <col min="14862" max="15087" width="9" style="2"/>
    <col min="15088" max="15088" width="2.375" style="2" customWidth="1"/>
    <col min="15089" max="15089" width="13.25" style="2" bestFit="1" customWidth="1"/>
    <col min="15090" max="15092" width="11.125" style="2" bestFit="1" customWidth="1"/>
    <col min="15093" max="15093" width="13.25" style="2" bestFit="1" customWidth="1"/>
    <col min="15094" max="15094" width="11.125" style="2" bestFit="1" customWidth="1"/>
    <col min="15095" max="15095" width="9" style="2"/>
    <col min="15096" max="15096" width="11.125" style="2" bestFit="1" customWidth="1"/>
    <col min="15097" max="15097" width="9" style="2"/>
    <col min="15098" max="15108" width="11.125" style="2" bestFit="1" customWidth="1"/>
    <col min="15109" max="15109" width="9" style="2"/>
    <col min="15110" max="15116" width="11.125" style="2" bestFit="1" customWidth="1"/>
    <col min="15117" max="15117" width="9.625" style="2" bestFit="1" customWidth="1"/>
    <col min="15118" max="15343" width="9" style="2"/>
    <col min="15344" max="15344" width="2.375" style="2" customWidth="1"/>
    <col min="15345" max="15345" width="13.25" style="2" bestFit="1" customWidth="1"/>
    <col min="15346" max="15348" width="11.125" style="2" bestFit="1" customWidth="1"/>
    <col min="15349" max="15349" width="13.25" style="2" bestFit="1" customWidth="1"/>
    <col min="15350" max="15350" width="11.125" style="2" bestFit="1" customWidth="1"/>
    <col min="15351" max="15351" width="9" style="2"/>
    <col min="15352" max="15352" width="11.125" style="2" bestFit="1" customWidth="1"/>
    <col min="15353" max="15353" width="9" style="2"/>
    <col min="15354" max="15364" width="11.125" style="2" bestFit="1" customWidth="1"/>
    <col min="15365" max="15365" width="9" style="2"/>
    <col min="15366" max="15372" width="11.125" style="2" bestFit="1" customWidth="1"/>
    <col min="15373" max="15373" width="9.625" style="2" bestFit="1" customWidth="1"/>
    <col min="15374" max="15599" width="9" style="2"/>
    <col min="15600" max="15600" width="2.375" style="2" customWidth="1"/>
    <col min="15601" max="15601" width="13.25" style="2" bestFit="1" customWidth="1"/>
    <col min="15602" max="15604" width="11.125" style="2" bestFit="1" customWidth="1"/>
    <col min="15605" max="15605" width="13.25" style="2" bestFit="1" customWidth="1"/>
    <col min="15606" max="15606" width="11.125" style="2" bestFit="1" customWidth="1"/>
    <col min="15607" max="15607" width="9" style="2"/>
    <col min="15608" max="15608" width="11.125" style="2" bestFit="1" customWidth="1"/>
    <col min="15609" max="15609" width="9" style="2"/>
    <col min="15610" max="15620" width="11.125" style="2" bestFit="1" customWidth="1"/>
    <col min="15621" max="15621" width="9" style="2"/>
    <col min="15622" max="15628" width="11.125" style="2" bestFit="1" customWidth="1"/>
    <col min="15629" max="15629" width="9.625" style="2" bestFit="1" customWidth="1"/>
    <col min="15630" max="15855" width="9" style="2"/>
    <col min="15856" max="15856" width="2.375" style="2" customWidth="1"/>
    <col min="15857" max="15857" width="13.25" style="2" bestFit="1" customWidth="1"/>
    <col min="15858" max="15860" width="11.125" style="2" bestFit="1" customWidth="1"/>
    <col min="15861" max="15861" width="13.25" style="2" bestFit="1" customWidth="1"/>
    <col min="15862" max="15862" width="11.125" style="2" bestFit="1" customWidth="1"/>
    <col min="15863" max="15863" width="9" style="2"/>
    <col min="15864" max="15864" width="11.125" style="2" bestFit="1" customWidth="1"/>
    <col min="15865" max="15865" width="9" style="2"/>
    <col min="15866" max="15876" width="11.125" style="2" bestFit="1" customWidth="1"/>
    <col min="15877" max="15877" width="9" style="2"/>
    <col min="15878" max="15884" width="11.125" style="2" bestFit="1" customWidth="1"/>
    <col min="15885" max="15885" width="9.625" style="2" bestFit="1" customWidth="1"/>
    <col min="15886" max="16111" width="9" style="2"/>
    <col min="16112" max="16112" width="2.375" style="2" customWidth="1"/>
    <col min="16113" max="16113" width="13.25" style="2" bestFit="1" customWidth="1"/>
    <col min="16114" max="16116" width="11.125" style="2" bestFit="1" customWidth="1"/>
    <col min="16117" max="16117" width="13.25" style="2" bestFit="1" customWidth="1"/>
    <col min="16118" max="16118" width="11.125" style="2" bestFit="1" customWidth="1"/>
    <col min="16119" max="16119" width="9" style="2"/>
    <col min="16120" max="16120" width="11.125" style="2" bestFit="1" customWidth="1"/>
    <col min="16121" max="16121" width="9" style="2"/>
    <col min="16122" max="16132" width="11.125" style="2" bestFit="1" customWidth="1"/>
    <col min="16133" max="16133" width="9" style="2"/>
    <col min="16134" max="16140" width="11.125" style="2" bestFit="1" customWidth="1"/>
    <col min="16141" max="16141" width="9.625" style="2" bestFit="1" customWidth="1"/>
    <col min="16142" max="16384" width="9" style="2"/>
  </cols>
  <sheetData>
    <row r="1" spans="1:15">
      <c r="A1" s="1" t="s">
        <v>0</v>
      </c>
    </row>
    <row r="2" spans="1:15">
      <c r="A2" s="1" t="s">
        <v>1</v>
      </c>
    </row>
    <row r="3" spans="1:15" ht="19.5" thickBot="1">
      <c r="A3" s="1" t="s">
        <v>114</v>
      </c>
    </row>
    <row r="4" spans="1:15">
      <c r="B4" s="95"/>
      <c r="C4" s="61" t="s">
        <v>5</v>
      </c>
      <c r="D4" s="10" t="s">
        <v>6</v>
      </c>
      <c r="E4" s="10" t="s">
        <v>26</v>
      </c>
      <c r="F4" s="10" t="s">
        <v>27</v>
      </c>
      <c r="G4" s="10" t="s">
        <v>23</v>
      </c>
      <c r="H4" s="10" t="s">
        <v>24</v>
      </c>
      <c r="I4" s="10" t="s">
        <v>25</v>
      </c>
      <c r="J4" s="10" t="s">
        <v>28</v>
      </c>
      <c r="K4" s="11" t="s">
        <v>29</v>
      </c>
      <c r="L4" s="72" t="s">
        <v>115</v>
      </c>
      <c r="M4" s="84" t="s">
        <v>7</v>
      </c>
      <c r="N4" s="72" t="s">
        <v>115</v>
      </c>
      <c r="O4" s="4" t="s">
        <v>53</v>
      </c>
    </row>
    <row r="5" spans="1:15" ht="19.5" thickBot="1">
      <c r="A5" s="46"/>
      <c r="B5" s="96" t="s">
        <v>30</v>
      </c>
      <c r="C5" s="62" t="s">
        <v>127</v>
      </c>
      <c r="D5" s="30" t="s">
        <v>117</v>
      </c>
      <c r="E5" s="30" t="s">
        <v>118</v>
      </c>
      <c r="F5" s="30" t="s">
        <v>119</v>
      </c>
      <c r="G5" s="30" t="s">
        <v>50</v>
      </c>
      <c r="H5" s="30" t="s">
        <v>120</v>
      </c>
      <c r="I5" s="30" t="s">
        <v>121</v>
      </c>
      <c r="J5" s="30" t="s">
        <v>125</v>
      </c>
      <c r="K5" s="31" t="s">
        <v>52</v>
      </c>
      <c r="L5" s="73" t="s">
        <v>123</v>
      </c>
      <c r="M5" s="85" t="s">
        <v>126</v>
      </c>
      <c r="N5" s="73" t="s">
        <v>122</v>
      </c>
      <c r="O5" s="60" t="s">
        <v>124</v>
      </c>
    </row>
    <row r="6" spans="1:15">
      <c r="A6" s="1" t="s">
        <v>2</v>
      </c>
      <c r="B6" s="97" t="s">
        <v>54</v>
      </c>
      <c r="C6" s="63">
        <v>22</v>
      </c>
      <c r="D6" s="26">
        <v>20</v>
      </c>
      <c r="E6" s="26">
        <v>14</v>
      </c>
      <c r="F6" s="26">
        <v>15</v>
      </c>
      <c r="G6" s="26">
        <v>10</v>
      </c>
      <c r="H6" s="26">
        <v>6</v>
      </c>
      <c r="I6" s="26">
        <v>10</v>
      </c>
      <c r="J6" s="26">
        <v>9</v>
      </c>
      <c r="K6" s="27">
        <v>22</v>
      </c>
      <c r="L6" s="74">
        <f>SUM(C6:K6)</f>
        <v>128</v>
      </c>
      <c r="M6" s="86">
        <v>19</v>
      </c>
      <c r="N6" s="74">
        <f>SUM(M6)</f>
        <v>19</v>
      </c>
      <c r="O6" s="74">
        <v>469</v>
      </c>
    </row>
    <row r="7" spans="1:15">
      <c r="A7" s="1" t="s">
        <v>2</v>
      </c>
      <c r="B7" s="98" t="s">
        <v>55</v>
      </c>
      <c r="C7" s="64">
        <v>0</v>
      </c>
      <c r="D7" s="13">
        <v>2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4">
        <v>0</v>
      </c>
      <c r="L7" s="75">
        <f>SUM(C7:K7)</f>
        <v>2</v>
      </c>
      <c r="M7" s="87">
        <v>0</v>
      </c>
      <c r="N7" s="75"/>
      <c r="O7" s="75">
        <v>40</v>
      </c>
    </row>
    <row r="8" spans="1:15">
      <c r="A8" s="1" t="s">
        <v>2</v>
      </c>
      <c r="B8" s="98" t="s">
        <v>56</v>
      </c>
      <c r="C8" s="64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0</v>
      </c>
      <c r="L8" s="75"/>
      <c r="M8" s="87">
        <v>0</v>
      </c>
      <c r="N8" s="75"/>
      <c r="O8" s="75">
        <v>39</v>
      </c>
    </row>
    <row r="9" spans="1:15">
      <c r="A9" s="1" t="s">
        <v>2</v>
      </c>
      <c r="B9" s="98" t="s">
        <v>57</v>
      </c>
      <c r="C9" s="64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4">
        <v>0</v>
      </c>
      <c r="L9" s="75"/>
      <c r="M9" s="87">
        <v>0</v>
      </c>
      <c r="N9" s="75"/>
      <c r="O9" s="75">
        <v>4</v>
      </c>
    </row>
    <row r="10" spans="1:15">
      <c r="A10" s="1" t="s">
        <v>2</v>
      </c>
      <c r="B10" s="98" t="s">
        <v>58</v>
      </c>
      <c r="C10" s="64">
        <v>0</v>
      </c>
      <c r="D10" s="13">
        <v>2</v>
      </c>
      <c r="E10" s="13">
        <v>0</v>
      </c>
      <c r="F10" s="13">
        <v>0</v>
      </c>
      <c r="G10" s="13">
        <v>1</v>
      </c>
      <c r="H10" s="13">
        <v>1</v>
      </c>
      <c r="I10" s="13">
        <v>0</v>
      </c>
      <c r="J10" s="13">
        <v>0</v>
      </c>
      <c r="K10" s="14">
        <v>0</v>
      </c>
      <c r="L10" s="75">
        <f>SUM(C10:K10)</f>
        <v>4</v>
      </c>
      <c r="M10" s="87">
        <v>3</v>
      </c>
      <c r="N10" s="75">
        <f>SUM(M10)</f>
        <v>3</v>
      </c>
      <c r="O10" s="75">
        <v>25</v>
      </c>
    </row>
    <row r="11" spans="1:15">
      <c r="A11" s="1" t="s">
        <v>2</v>
      </c>
      <c r="B11" s="98" t="s">
        <v>59</v>
      </c>
      <c r="C11" s="64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4">
        <v>0</v>
      </c>
      <c r="L11" s="75"/>
      <c r="M11" s="87">
        <v>0</v>
      </c>
      <c r="N11" s="75"/>
      <c r="O11" s="75">
        <v>8</v>
      </c>
    </row>
    <row r="12" spans="1:15">
      <c r="A12" s="1" t="s">
        <v>2</v>
      </c>
      <c r="B12" s="98" t="s">
        <v>60</v>
      </c>
      <c r="C12" s="64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0</v>
      </c>
      <c r="L12" s="75"/>
      <c r="M12" s="87">
        <v>0</v>
      </c>
      <c r="N12" s="75"/>
      <c r="O12" s="75">
        <v>22</v>
      </c>
    </row>
    <row r="13" spans="1:15">
      <c r="A13" s="1" t="s">
        <v>2</v>
      </c>
      <c r="B13" s="98" t="s">
        <v>61</v>
      </c>
      <c r="C13" s="64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4">
        <v>0</v>
      </c>
      <c r="L13" s="75"/>
      <c r="M13" s="87">
        <v>0</v>
      </c>
      <c r="N13" s="75"/>
      <c r="O13" s="75">
        <v>0</v>
      </c>
    </row>
    <row r="14" spans="1:15">
      <c r="A14" s="1" t="s">
        <v>2</v>
      </c>
      <c r="B14" s="98" t="s">
        <v>62</v>
      </c>
      <c r="C14" s="65">
        <v>0</v>
      </c>
      <c r="D14" s="16">
        <v>0</v>
      </c>
      <c r="E14" s="16">
        <v>3.7083333333333335</v>
      </c>
      <c r="F14" s="16">
        <v>3.9166666666666665</v>
      </c>
      <c r="G14" s="16">
        <v>2.9583333333333335</v>
      </c>
      <c r="H14" s="16">
        <v>1.75</v>
      </c>
      <c r="I14" s="16">
        <v>2.9583333333333335</v>
      </c>
      <c r="J14" s="16">
        <v>2.7916666666666665</v>
      </c>
      <c r="K14" s="17">
        <v>4.041666666666667</v>
      </c>
      <c r="L14" s="76">
        <f>SUM(C14:K14)</f>
        <v>22.125000000000004</v>
      </c>
      <c r="M14" s="88">
        <v>0</v>
      </c>
      <c r="N14" s="76"/>
      <c r="O14" s="76">
        <v>22.125000000000004</v>
      </c>
    </row>
    <row r="15" spans="1:15">
      <c r="A15" s="1" t="s">
        <v>2</v>
      </c>
      <c r="B15" s="98" t="s">
        <v>63</v>
      </c>
      <c r="C15" s="65">
        <v>0</v>
      </c>
      <c r="D15" s="16">
        <v>1.4583333333333333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8.3333333333333329E-2</v>
      </c>
      <c r="K15" s="17">
        <v>0</v>
      </c>
      <c r="L15" s="76">
        <f>SUM(C15:K15)</f>
        <v>1.5416666666666665</v>
      </c>
      <c r="M15" s="88">
        <v>0</v>
      </c>
      <c r="N15" s="76"/>
      <c r="O15" s="76">
        <v>32.458333333333336</v>
      </c>
    </row>
    <row r="16" spans="1:15">
      <c r="A16" s="1" t="s">
        <v>2</v>
      </c>
      <c r="B16" s="98" t="s">
        <v>64</v>
      </c>
      <c r="C16" s="65">
        <v>0</v>
      </c>
      <c r="D16" s="16">
        <v>0.54166666666666663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7">
        <v>0</v>
      </c>
      <c r="L16" s="76">
        <f>SUM(C16:K16)</f>
        <v>0.54166666666666663</v>
      </c>
      <c r="M16" s="88">
        <v>0</v>
      </c>
      <c r="N16" s="76"/>
      <c r="O16" s="76">
        <v>14.791666666666666</v>
      </c>
    </row>
    <row r="17" spans="1:15">
      <c r="A17" s="1" t="s">
        <v>2</v>
      </c>
      <c r="B17" s="98" t="s">
        <v>65</v>
      </c>
      <c r="C17" s="65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7">
        <v>0</v>
      </c>
      <c r="L17" s="76"/>
      <c r="M17" s="88">
        <v>0</v>
      </c>
      <c r="N17" s="76"/>
      <c r="O17" s="76">
        <v>13.624999999999996</v>
      </c>
    </row>
    <row r="18" spans="1:15">
      <c r="A18" s="1" t="s">
        <v>2</v>
      </c>
      <c r="B18" s="98" t="s">
        <v>66</v>
      </c>
      <c r="C18" s="65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7">
        <v>0</v>
      </c>
      <c r="L18" s="76"/>
      <c r="M18" s="88">
        <v>0</v>
      </c>
      <c r="N18" s="76"/>
      <c r="O18" s="76">
        <v>1.125</v>
      </c>
    </row>
    <row r="19" spans="1:15">
      <c r="A19" s="1" t="s">
        <v>2</v>
      </c>
      <c r="B19" s="98" t="s">
        <v>67</v>
      </c>
      <c r="C19" s="65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7">
        <v>0</v>
      </c>
      <c r="L19" s="76"/>
      <c r="M19" s="88">
        <v>0</v>
      </c>
      <c r="N19" s="76"/>
      <c r="O19" s="76">
        <v>0.375</v>
      </c>
    </row>
    <row r="20" spans="1:15">
      <c r="A20" s="1" t="s">
        <v>2</v>
      </c>
      <c r="B20" s="98" t="s">
        <v>68</v>
      </c>
      <c r="C20" s="65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7">
        <v>0</v>
      </c>
      <c r="L20" s="76"/>
      <c r="M20" s="88">
        <v>0</v>
      </c>
      <c r="N20" s="76"/>
      <c r="O20" s="76">
        <v>0</v>
      </c>
    </row>
    <row r="21" spans="1:15">
      <c r="A21" s="1" t="s">
        <v>2</v>
      </c>
      <c r="B21" s="98" t="s">
        <v>69</v>
      </c>
      <c r="C21" s="65">
        <v>0</v>
      </c>
      <c r="D21" s="16">
        <v>0</v>
      </c>
      <c r="E21" s="16">
        <v>0</v>
      </c>
      <c r="F21" s="16">
        <v>0</v>
      </c>
      <c r="G21" s="16">
        <v>0.29166666666666669</v>
      </c>
      <c r="H21" s="16">
        <v>0.29166666666666669</v>
      </c>
      <c r="I21" s="16">
        <v>0</v>
      </c>
      <c r="J21" s="16">
        <v>0</v>
      </c>
      <c r="K21" s="17">
        <v>0</v>
      </c>
      <c r="L21" s="76">
        <f>SUM(C21:K21)</f>
        <v>0.58333333333333337</v>
      </c>
      <c r="M21" s="88">
        <v>0</v>
      </c>
      <c r="N21" s="76"/>
      <c r="O21" s="76">
        <v>0.58333333333333337</v>
      </c>
    </row>
    <row r="22" spans="1:15">
      <c r="A22" s="1" t="s">
        <v>2</v>
      </c>
      <c r="B22" s="98" t="s">
        <v>70</v>
      </c>
      <c r="C22" s="65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7">
        <v>0</v>
      </c>
      <c r="L22" s="76"/>
      <c r="M22" s="88">
        <v>0</v>
      </c>
      <c r="N22" s="76"/>
      <c r="O22" s="76">
        <v>0</v>
      </c>
    </row>
    <row r="23" spans="1:15">
      <c r="A23" s="1" t="s">
        <v>2</v>
      </c>
      <c r="B23" s="98" t="s">
        <v>71</v>
      </c>
      <c r="C23" s="65">
        <v>0.20833333333333334</v>
      </c>
      <c r="D23" s="16">
        <v>0</v>
      </c>
      <c r="E23" s="16">
        <v>0</v>
      </c>
      <c r="F23" s="16">
        <v>0</v>
      </c>
      <c r="G23" s="16">
        <v>2.0833333333333335</v>
      </c>
      <c r="H23" s="16">
        <v>1.25</v>
      </c>
      <c r="I23" s="16">
        <v>2.0833333333333335</v>
      </c>
      <c r="J23" s="16">
        <v>1.0416666666666667</v>
      </c>
      <c r="K23" s="17">
        <v>0</v>
      </c>
      <c r="L23" s="76">
        <f>SUM(C23:K23)</f>
        <v>6.666666666666667</v>
      </c>
      <c r="M23" s="88">
        <v>0</v>
      </c>
      <c r="N23" s="76"/>
      <c r="O23" s="76">
        <v>15.625</v>
      </c>
    </row>
    <row r="24" spans="1:15" ht="19.5" thickBot="1">
      <c r="A24" s="1" t="s">
        <v>2</v>
      </c>
      <c r="B24" s="99" t="s">
        <v>72</v>
      </c>
      <c r="C24" s="66">
        <v>37</v>
      </c>
      <c r="D24" s="36">
        <v>35</v>
      </c>
      <c r="E24" s="36">
        <v>15</v>
      </c>
      <c r="F24" s="36">
        <v>15</v>
      </c>
      <c r="G24" s="36">
        <v>2</v>
      </c>
      <c r="H24" s="36">
        <v>1</v>
      </c>
      <c r="I24" s="36">
        <v>0</v>
      </c>
      <c r="J24" s="36">
        <v>2</v>
      </c>
      <c r="K24" s="37">
        <v>5</v>
      </c>
      <c r="L24" s="77">
        <f>SUM(C24:K24)</f>
        <v>112</v>
      </c>
      <c r="M24" s="89">
        <v>36</v>
      </c>
      <c r="N24" s="77">
        <f>SUM(M24)</f>
        <v>36</v>
      </c>
      <c r="O24" s="77">
        <v>393</v>
      </c>
    </row>
    <row r="25" spans="1:15">
      <c r="A25" s="1" t="s">
        <v>2</v>
      </c>
      <c r="B25" s="97" t="s">
        <v>73</v>
      </c>
      <c r="C25" s="67">
        <v>485000</v>
      </c>
      <c r="D25" s="33">
        <v>280000</v>
      </c>
      <c r="E25" s="33">
        <v>0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4">
        <v>0</v>
      </c>
      <c r="L25" s="78">
        <f>SUM(C25:K25)</f>
        <v>765000</v>
      </c>
      <c r="M25" s="90">
        <v>375000</v>
      </c>
      <c r="N25" s="78">
        <f>SUM(M25)</f>
        <v>375000</v>
      </c>
      <c r="O25" s="78">
        <v>3999000</v>
      </c>
    </row>
    <row r="26" spans="1:15">
      <c r="A26" s="1" t="s">
        <v>2</v>
      </c>
      <c r="B26" s="98" t="s">
        <v>74</v>
      </c>
      <c r="C26" s="68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20">
        <v>0</v>
      </c>
      <c r="L26" s="79"/>
      <c r="M26" s="91">
        <v>0</v>
      </c>
      <c r="N26" s="79">
        <f t="shared" ref="N26:N65" si="0">SUM(M26)</f>
        <v>0</v>
      </c>
      <c r="O26" s="79">
        <v>35000</v>
      </c>
    </row>
    <row r="27" spans="1:15">
      <c r="A27" s="1" t="s">
        <v>2</v>
      </c>
      <c r="B27" s="98" t="s">
        <v>75</v>
      </c>
      <c r="C27" s="68">
        <v>0</v>
      </c>
      <c r="D27" s="19">
        <v>3000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20">
        <v>0</v>
      </c>
      <c r="L27" s="79">
        <f>SUM(C27:K27)</f>
        <v>3000</v>
      </c>
      <c r="M27" s="91">
        <v>0</v>
      </c>
      <c r="N27" s="79">
        <f t="shared" si="0"/>
        <v>0</v>
      </c>
      <c r="O27" s="79">
        <v>6000</v>
      </c>
    </row>
    <row r="28" spans="1:15">
      <c r="A28" s="1" t="s">
        <v>2</v>
      </c>
      <c r="B28" s="98" t="s">
        <v>76</v>
      </c>
      <c r="C28" s="68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20">
        <v>0</v>
      </c>
      <c r="L28" s="79"/>
      <c r="M28" s="91">
        <v>0</v>
      </c>
      <c r="N28" s="79">
        <f t="shared" si="0"/>
        <v>0</v>
      </c>
      <c r="O28" s="79">
        <v>0</v>
      </c>
    </row>
    <row r="29" spans="1:15">
      <c r="A29" s="1" t="s">
        <v>2</v>
      </c>
      <c r="B29" s="98" t="s">
        <v>77</v>
      </c>
      <c r="C29" s="68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20">
        <v>0</v>
      </c>
      <c r="L29" s="79"/>
      <c r="M29" s="91">
        <v>0</v>
      </c>
      <c r="N29" s="79">
        <f t="shared" si="0"/>
        <v>0</v>
      </c>
      <c r="O29" s="79">
        <v>52432</v>
      </c>
    </row>
    <row r="30" spans="1:15">
      <c r="A30" s="1" t="s">
        <v>2</v>
      </c>
      <c r="B30" s="98" t="s">
        <v>78</v>
      </c>
      <c r="C30" s="68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20">
        <v>0</v>
      </c>
      <c r="L30" s="79"/>
      <c r="M30" s="91">
        <v>0</v>
      </c>
      <c r="N30" s="79">
        <f t="shared" si="0"/>
        <v>0</v>
      </c>
      <c r="O30" s="79">
        <v>0</v>
      </c>
    </row>
    <row r="31" spans="1:15">
      <c r="A31" s="1" t="s">
        <v>2</v>
      </c>
      <c r="B31" s="98" t="s">
        <v>79</v>
      </c>
      <c r="C31" s="68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20">
        <v>0</v>
      </c>
      <c r="L31" s="79"/>
      <c r="M31" s="91">
        <v>0</v>
      </c>
      <c r="N31" s="79">
        <f t="shared" si="0"/>
        <v>0</v>
      </c>
      <c r="O31" s="79">
        <v>0</v>
      </c>
    </row>
    <row r="32" spans="1:15">
      <c r="A32" s="1" t="s">
        <v>2</v>
      </c>
      <c r="B32" s="98" t="s">
        <v>80</v>
      </c>
      <c r="C32" s="68">
        <v>0</v>
      </c>
      <c r="D32" s="19">
        <v>0</v>
      </c>
      <c r="E32" s="19">
        <v>81880</v>
      </c>
      <c r="F32" s="19">
        <v>86480</v>
      </c>
      <c r="G32" s="19">
        <v>59640</v>
      </c>
      <c r="H32" s="19">
        <v>35280</v>
      </c>
      <c r="I32" s="19">
        <v>59640</v>
      </c>
      <c r="J32" s="19">
        <v>55610</v>
      </c>
      <c r="K32" s="20">
        <v>81480</v>
      </c>
      <c r="L32" s="79">
        <f>SUM(C32:K32)</f>
        <v>460010</v>
      </c>
      <c r="M32" s="91">
        <v>0</v>
      </c>
      <c r="N32" s="79">
        <f t="shared" si="0"/>
        <v>0</v>
      </c>
      <c r="O32" s="79">
        <v>460010</v>
      </c>
    </row>
    <row r="33" spans="1:15">
      <c r="A33" s="1" t="s">
        <v>2</v>
      </c>
      <c r="B33" s="98" t="s">
        <v>81</v>
      </c>
      <c r="C33" s="68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20">
        <v>0</v>
      </c>
      <c r="L33" s="79"/>
      <c r="M33" s="91">
        <v>0</v>
      </c>
      <c r="N33" s="79">
        <f t="shared" si="0"/>
        <v>0</v>
      </c>
      <c r="O33" s="79">
        <v>0</v>
      </c>
    </row>
    <row r="34" spans="1:15">
      <c r="A34" s="1" t="s">
        <v>2</v>
      </c>
      <c r="B34" s="98" t="s">
        <v>82</v>
      </c>
      <c r="C34" s="68">
        <v>0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20">
        <v>0</v>
      </c>
      <c r="L34" s="79"/>
      <c r="M34" s="91">
        <v>0</v>
      </c>
      <c r="N34" s="79">
        <f t="shared" si="0"/>
        <v>0</v>
      </c>
      <c r="O34" s="79">
        <v>0</v>
      </c>
    </row>
    <row r="35" spans="1:15">
      <c r="A35" s="1" t="s">
        <v>2</v>
      </c>
      <c r="B35" s="98" t="s">
        <v>83</v>
      </c>
      <c r="C35" s="68">
        <v>0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20">
        <v>0</v>
      </c>
      <c r="L35" s="79"/>
      <c r="M35" s="91">
        <v>0</v>
      </c>
      <c r="N35" s="79">
        <f t="shared" si="0"/>
        <v>0</v>
      </c>
      <c r="O35" s="79">
        <v>12000</v>
      </c>
    </row>
    <row r="36" spans="1:15">
      <c r="A36" s="1" t="s">
        <v>2</v>
      </c>
      <c r="B36" s="98" t="s">
        <v>84</v>
      </c>
      <c r="C36" s="68">
        <v>0</v>
      </c>
      <c r="D36" s="19">
        <v>0</v>
      </c>
      <c r="E36" s="19">
        <v>0</v>
      </c>
      <c r="F36" s="19">
        <v>0</v>
      </c>
      <c r="G36" s="19">
        <v>5880</v>
      </c>
      <c r="H36" s="19">
        <v>5880</v>
      </c>
      <c r="I36" s="19">
        <v>0</v>
      </c>
      <c r="J36" s="19">
        <v>0</v>
      </c>
      <c r="K36" s="20">
        <v>0</v>
      </c>
      <c r="L36" s="79">
        <f>SUM(C36:K36)</f>
        <v>11760</v>
      </c>
      <c r="M36" s="91">
        <v>0</v>
      </c>
      <c r="N36" s="79">
        <f t="shared" si="0"/>
        <v>0</v>
      </c>
      <c r="O36" s="79">
        <v>11760</v>
      </c>
    </row>
    <row r="37" spans="1:15">
      <c r="A37" s="1" t="s">
        <v>2</v>
      </c>
      <c r="B37" s="98" t="s">
        <v>85</v>
      </c>
      <c r="C37" s="68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20">
        <v>0</v>
      </c>
      <c r="L37" s="79"/>
      <c r="M37" s="91">
        <v>0</v>
      </c>
      <c r="N37" s="79">
        <f t="shared" si="0"/>
        <v>0</v>
      </c>
      <c r="O37" s="79">
        <v>0</v>
      </c>
    </row>
    <row r="38" spans="1:15">
      <c r="A38" s="1" t="s">
        <v>2</v>
      </c>
      <c r="B38" s="98" t="s">
        <v>86</v>
      </c>
      <c r="C38" s="68">
        <v>0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20">
        <v>0</v>
      </c>
      <c r="L38" s="79"/>
      <c r="M38" s="91">
        <v>0</v>
      </c>
      <c r="N38" s="79">
        <f t="shared" si="0"/>
        <v>0</v>
      </c>
      <c r="O38" s="79">
        <v>0</v>
      </c>
    </row>
    <row r="39" spans="1:15">
      <c r="A39" s="1" t="s">
        <v>2</v>
      </c>
      <c r="B39" s="98" t="s">
        <v>87</v>
      </c>
      <c r="C39" s="68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20">
        <v>0</v>
      </c>
      <c r="L39" s="79"/>
      <c r="M39" s="91">
        <v>0</v>
      </c>
      <c r="N39" s="79">
        <f t="shared" si="0"/>
        <v>0</v>
      </c>
      <c r="O39" s="79">
        <v>0</v>
      </c>
    </row>
    <row r="40" spans="1:15">
      <c r="A40" s="1" t="s">
        <v>2</v>
      </c>
      <c r="B40" s="98" t="s">
        <v>63</v>
      </c>
      <c r="C40" s="68">
        <v>0</v>
      </c>
      <c r="D40" s="19">
        <v>74165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2076</v>
      </c>
      <c r="K40" s="20">
        <v>0</v>
      </c>
      <c r="L40" s="79">
        <f>SUM(C40:K40)</f>
        <v>76241</v>
      </c>
      <c r="M40" s="91">
        <v>0</v>
      </c>
      <c r="N40" s="79">
        <f t="shared" si="0"/>
        <v>0</v>
      </c>
      <c r="O40" s="79">
        <v>1082422</v>
      </c>
    </row>
    <row r="41" spans="1:15">
      <c r="A41" s="1" t="s">
        <v>2</v>
      </c>
      <c r="B41" s="98" t="s">
        <v>88</v>
      </c>
      <c r="C41" s="68">
        <v>0</v>
      </c>
      <c r="D41" s="19">
        <v>29744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20">
        <v>0</v>
      </c>
      <c r="L41" s="79">
        <f>SUM(C41:K41)</f>
        <v>29744</v>
      </c>
      <c r="M41" s="91">
        <v>0</v>
      </c>
      <c r="N41" s="79">
        <f t="shared" si="0"/>
        <v>0</v>
      </c>
      <c r="O41" s="79">
        <v>539379</v>
      </c>
    </row>
    <row r="42" spans="1:15">
      <c r="A42" s="1" t="s">
        <v>2</v>
      </c>
      <c r="B42" s="98" t="s">
        <v>89</v>
      </c>
      <c r="C42" s="68">
        <v>0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20">
        <v>0</v>
      </c>
      <c r="L42" s="79"/>
      <c r="M42" s="91">
        <v>0</v>
      </c>
      <c r="N42" s="79">
        <f t="shared" si="0"/>
        <v>0</v>
      </c>
      <c r="O42" s="79">
        <v>478607</v>
      </c>
    </row>
    <row r="43" spans="1:15">
      <c r="A43" s="1" t="s">
        <v>2</v>
      </c>
      <c r="B43" s="98" t="s">
        <v>90</v>
      </c>
      <c r="C43" s="68">
        <v>0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20">
        <v>0</v>
      </c>
      <c r="L43" s="79"/>
      <c r="M43" s="91">
        <v>0</v>
      </c>
      <c r="N43" s="79">
        <f t="shared" si="0"/>
        <v>0</v>
      </c>
      <c r="O43" s="79">
        <v>9912</v>
      </c>
    </row>
    <row r="44" spans="1:15">
      <c r="A44" s="1" t="s">
        <v>2</v>
      </c>
      <c r="B44" s="98" t="s">
        <v>91</v>
      </c>
      <c r="C44" s="68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20">
        <v>0</v>
      </c>
      <c r="L44" s="79"/>
      <c r="M44" s="91">
        <v>0</v>
      </c>
      <c r="N44" s="79">
        <f t="shared" si="0"/>
        <v>0</v>
      </c>
      <c r="O44" s="79">
        <v>3357</v>
      </c>
    </row>
    <row r="45" spans="1:15">
      <c r="A45" s="1" t="s">
        <v>2</v>
      </c>
      <c r="B45" s="98" t="s">
        <v>92</v>
      </c>
      <c r="C45" s="68">
        <v>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20">
        <v>0</v>
      </c>
      <c r="L45" s="79"/>
      <c r="M45" s="91">
        <v>0</v>
      </c>
      <c r="N45" s="79">
        <f t="shared" si="0"/>
        <v>0</v>
      </c>
      <c r="O45" s="79">
        <v>0</v>
      </c>
    </row>
    <row r="46" spans="1:15">
      <c r="A46" s="1" t="s">
        <v>2</v>
      </c>
      <c r="B46" s="98" t="s">
        <v>68</v>
      </c>
      <c r="C46" s="68">
        <v>0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20">
        <v>0</v>
      </c>
      <c r="L46" s="79"/>
      <c r="M46" s="91">
        <v>0</v>
      </c>
      <c r="N46" s="79">
        <f t="shared" si="0"/>
        <v>0</v>
      </c>
      <c r="O46" s="79">
        <v>0</v>
      </c>
    </row>
    <row r="47" spans="1:15" ht="19.5" thickBot="1">
      <c r="A47" s="1" t="s">
        <v>2</v>
      </c>
      <c r="B47" s="100" t="s">
        <v>71</v>
      </c>
      <c r="C47" s="69">
        <v>3630</v>
      </c>
      <c r="D47" s="40">
        <v>0</v>
      </c>
      <c r="E47" s="40">
        <v>0</v>
      </c>
      <c r="F47" s="40">
        <v>0</v>
      </c>
      <c r="G47" s="40">
        <v>10500</v>
      </c>
      <c r="H47" s="40">
        <v>6300</v>
      </c>
      <c r="I47" s="40">
        <v>10500</v>
      </c>
      <c r="J47" s="40">
        <v>5200</v>
      </c>
      <c r="K47" s="41">
        <v>0</v>
      </c>
      <c r="L47" s="80">
        <f>SUM(C47:K47)</f>
        <v>36130</v>
      </c>
      <c r="M47" s="92">
        <v>0</v>
      </c>
      <c r="N47" s="80">
        <f t="shared" si="0"/>
        <v>0</v>
      </c>
      <c r="O47" s="80">
        <v>95144</v>
      </c>
    </row>
    <row r="48" spans="1:15" ht="19.5" thickBot="1">
      <c r="A48" s="1" t="s">
        <v>2</v>
      </c>
      <c r="B48" s="101" t="s">
        <v>93</v>
      </c>
      <c r="C48" s="70">
        <v>488630</v>
      </c>
      <c r="D48" s="44">
        <v>386909</v>
      </c>
      <c r="E48" s="44">
        <v>81880</v>
      </c>
      <c r="F48" s="44">
        <v>86480</v>
      </c>
      <c r="G48" s="44">
        <v>76020</v>
      </c>
      <c r="H48" s="44">
        <v>47460</v>
      </c>
      <c r="I48" s="44">
        <v>70140</v>
      </c>
      <c r="J48" s="44">
        <v>62886</v>
      </c>
      <c r="K48" s="45">
        <v>81480</v>
      </c>
      <c r="L48" s="81">
        <f>SUM(C48:K48)</f>
        <v>1381885</v>
      </c>
      <c r="M48" s="93">
        <v>375000</v>
      </c>
      <c r="N48" s="81">
        <f t="shared" si="0"/>
        <v>375000</v>
      </c>
      <c r="O48" s="81">
        <v>6785023</v>
      </c>
    </row>
    <row r="49" spans="1:16" ht="19.5" thickBot="1">
      <c r="A49" s="1" t="s">
        <v>2</v>
      </c>
      <c r="B49" s="97" t="s">
        <v>94</v>
      </c>
      <c r="C49" s="67">
        <v>9420</v>
      </c>
      <c r="D49" s="33">
        <v>4783</v>
      </c>
      <c r="E49" s="33">
        <v>2706</v>
      </c>
      <c r="F49" s="33">
        <v>1812</v>
      </c>
      <c r="G49" s="33">
        <v>2899</v>
      </c>
      <c r="H49" s="33">
        <v>2174</v>
      </c>
      <c r="I49" s="33">
        <v>3865</v>
      </c>
      <c r="J49" s="33">
        <v>2826</v>
      </c>
      <c r="K49" s="34">
        <v>7440</v>
      </c>
      <c r="L49" s="78">
        <f t="shared" ref="L49:L65" si="1">SUM(C49:K49)</f>
        <v>37925</v>
      </c>
      <c r="M49" s="90">
        <v>6594</v>
      </c>
      <c r="N49" s="78">
        <f t="shared" si="0"/>
        <v>6594</v>
      </c>
      <c r="O49" s="78">
        <v>132397</v>
      </c>
    </row>
    <row r="50" spans="1:16" ht="19.5" thickBot="1">
      <c r="A50" s="1" t="s">
        <v>2</v>
      </c>
      <c r="B50" s="101" t="s">
        <v>95</v>
      </c>
      <c r="C50" s="70">
        <v>9420</v>
      </c>
      <c r="D50" s="44">
        <v>4783</v>
      </c>
      <c r="E50" s="44">
        <v>2706</v>
      </c>
      <c r="F50" s="44">
        <v>1812</v>
      </c>
      <c r="G50" s="44">
        <v>2899</v>
      </c>
      <c r="H50" s="44">
        <v>2174</v>
      </c>
      <c r="I50" s="44">
        <v>3865</v>
      </c>
      <c r="J50" s="44">
        <v>2826</v>
      </c>
      <c r="K50" s="45">
        <v>7440</v>
      </c>
      <c r="L50" s="81">
        <f t="shared" si="1"/>
        <v>37925</v>
      </c>
      <c r="M50" s="93">
        <v>6594</v>
      </c>
      <c r="N50" s="81">
        <f t="shared" si="0"/>
        <v>6594</v>
      </c>
      <c r="O50" s="81">
        <v>132397</v>
      </c>
    </row>
    <row r="51" spans="1:16" ht="19.5" thickBot="1">
      <c r="A51" s="1" t="s">
        <v>2</v>
      </c>
      <c r="B51" s="101" t="s">
        <v>96</v>
      </c>
      <c r="C51" s="70">
        <v>498050</v>
      </c>
      <c r="D51" s="44">
        <v>391692</v>
      </c>
      <c r="E51" s="44">
        <v>84586</v>
      </c>
      <c r="F51" s="44">
        <v>88292</v>
      </c>
      <c r="G51" s="44">
        <v>78919</v>
      </c>
      <c r="H51" s="44">
        <v>49634</v>
      </c>
      <c r="I51" s="44">
        <v>74005</v>
      </c>
      <c r="J51" s="44">
        <v>65712</v>
      </c>
      <c r="K51" s="45">
        <v>88920</v>
      </c>
      <c r="L51" s="81">
        <f t="shared" si="1"/>
        <v>1419810</v>
      </c>
      <c r="M51" s="93">
        <v>381594</v>
      </c>
      <c r="N51" s="81">
        <f t="shared" si="0"/>
        <v>381594</v>
      </c>
      <c r="O51" s="81">
        <v>6917420</v>
      </c>
    </row>
    <row r="52" spans="1:16">
      <c r="A52" s="1" t="s">
        <v>2</v>
      </c>
      <c r="B52" s="97" t="s">
        <v>97</v>
      </c>
      <c r="C52" s="67">
        <v>23970</v>
      </c>
      <c r="D52" s="33">
        <v>19380</v>
      </c>
      <c r="E52" s="33">
        <v>0</v>
      </c>
      <c r="F52" s="33">
        <v>0</v>
      </c>
      <c r="G52" s="33">
        <v>0</v>
      </c>
      <c r="H52" s="33">
        <v>0</v>
      </c>
      <c r="I52" s="33">
        <v>0</v>
      </c>
      <c r="J52" s="33">
        <v>0</v>
      </c>
      <c r="K52" s="34">
        <v>0</v>
      </c>
      <c r="L52" s="78">
        <f t="shared" si="1"/>
        <v>43350</v>
      </c>
      <c r="M52" s="90">
        <v>19380</v>
      </c>
      <c r="N52" s="78">
        <f t="shared" si="0"/>
        <v>19380</v>
      </c>
      <c r="O52" s="78">
        <v>358530</v>
      </c>
    </row>
    <row r="53" spans="1:16">
      <c r="A53" s="1" t="s">
        <v>2</v>
      </c>
      <c r="B53" s="98" t="s">
        <v>98</v>
      </c>
      <c r="C53" s="68">
        <v>0</v>
      </c>
      <c r="D53" s="19">
        <v>3420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20">
        <v>0</v>
      </c>
      <c r="L53" s="79">
        <f t="shared" si="1"/>
        <v>3420</v>
      </c>
      <c r="M53" s="91">
        <v>3420</v>
      </c>
      <c r="N53" s="79">
        <f t="shared" si="0"/>
        <v>3420</v>
      </c>
      <c r="O53" s="79">
        <v>53640</v>
      </c>
    </row>
    <row r="54" spans="1:16">
      <c r="A54" s="1" t="s">
        <v>2</v>
      </c>
      <c r="B54" s="98" t="s">
        <v>99</v>
      </c>
      <c r="C54" s="68">
        <v>43005</v>
      </c>
      <c r="D54" s="19">
        <v>34770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20">
        <v>0</v>
      </c>
      <c r="L54" s="79">
        <f t="shared" si="1"/>
        <v>77775</v>
      </c>
      <c r="M54" s="91">
        <v>34770</v>
      </c>
      <c r="N54" s="79">
        <f t="shared" si="0"/>
        <v>34770</v>
      </c>
      <c r="O54" s="79">
        <v>643245</v>
      </c>
    </row>
    <row r="55" spans="1:16" ht="19.5" thickBot="1">
      <c r="A55" s="1" t="s">
        <v>2</v>
      </c>
      <c r="B55" s="98" t="s">
        <v>100</v>
      </c>
      <c r="C55" s="68">
        <v>1494</v>
      </c>
      <c r="D55" s="19">
        <v>1175</v>
      </c>
      <c r="E55" s="19">
        <v>254</v>
      </c>
      <c r="F55" s="19">
        <v>265</v>
      </c>
      <c r="G55" s="19">
        <v>0</v>
      </c>
      <c r="H55" s="19">
        <v>0</v>
      </c>
      <c r="I55" s="19">
        <v>0</v>
      </c>
      <c r="J55" s="19">
        <v>0</v>
      </c>
      <c r="K55" s="20">
        <v>267</v>
      </c>
      <c r="L55" s="79">
        <f t="shared" si="1"/>
        <v>3455</v>
      </c>
      <c r="M55" s="91">
        <v>1145</v>
      </c>
      <c r="N55" s="79">
        <f t="shared" si="0"/>
        <v>1145</v>
      </c>
      <c r="O55" s="79">
        <v>19947</v>
      </c>
    </row>
    <row r="56" spans="1:16" ht="19.5" thickBot="1">
      <c r="A56" s="1" t="s">
        <v>2</v>
      </c>
      <c r="B56" s="101" t="s">
        <v>101</v>
      </c>
      <c r="C56" s="70">
        <v>68469</v>
      </c>
      <c r="D56" s="44">
        <v>58745</v>
      </c>
      <c r="E56" s="44">
        <v>254</v>
      </c>
      <c r="F56" s="44">
        <v>265</v>
      </c>
      <c r="G56" s="44">
        <v>0</v>
      </c>
      <c r="H56" s="44">
        <v>0</v>
      </c>
      <c r="I56" s="44">
        <v>0</v>
      </c>
      <c r="J56" s="44">
        <v>0</v>
      </c>
      <c r="K56" s="45">
        <v>267</v>
      </c>
      <c r="L56" s="81">
        <f t="shared" si="1"/>
        <v>128000</v>
      </c>
      <c r="M56" s="93">
        <v>58715</v>
      </c>
      <c r="N56" s="81">
        <f t="shared" si="0"/>
        <v>58715</v>
      </c>
      <c r="O56" s="81">
        <v>1075362</v>
      </c>
    </row>
    <row r="57" spans="1:16">
      <c r="A57" s="1" t="s">
        <v>2</v>
      </c>
      <c r="B57" s="97" t="s">
        <v>102</v>
      </c>
      <c r="C57" s="67">
        <v>18190</v>
      </c>
      <c r="D57" s="33">
        <v>7870</v>
      </c>
      <c r="E57" s="33">
        <v>0</v>
      </c>
      <c r="F57" s="33">
        <v>20</v>
      </c>
      <c r="G57" s="33">
        <v>0</v>
      </c>
      <c r="H57" s="33">
        <v>0</v>
      </c>
      <c r="I57" s="33">
        <v>0</v>
      </c>
      <c r="J57" s="33">
        <v>0</v>
      </c>
      <c r="K57" s="34">
        <v>0</v>
      </c>
      <c r="L57" s="78">
        <f t="shared" si="1"/>
        <v>26080</v>
      </c>
      <c r="M57" s="90">
        <v>9710</v>
      </c>
      <c r="N57" s="78">
        <f t="shared" si="0"/>
        <v>9710</v>
      </c>
      <c r="O57" s="78">
        <v>137580</v>
      </c>
    </row>
    <row r="58" spans="1:16">
      <c r="A58" s="1" t="s">
        <v>2</v>
      </c>
      <c r="B58" s="98" t="s">
        <v>103</v>
      </c>
      <c r="C58" s="68">
        <v>0</v>
      </c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20">
        <v>0</v>
      </c>
      <c r="L58" s="79">
        <f t="shared" si="1"/>
        <v>0</v>
      </c>
      <c r="M58" s="91">
        <v>0</v>
      </c>
      <c r="N58" s="79">
        <f t="shared" si="0"/>
        <v>0</v>
      </c>
      <c r="O58" s="79">
        <v>15600</v>
      </c>
    </row>
    <row r="59" spans="1:16">
      <c r="A59" s="1" t="s">
        <v>2</v>
      </c>
      <c r="B59" s="98" t="s">
        <v>104</v>
      </c>
      <c r="C59" s="68">
        <v>35200</v>
      </c>
      <c r="D59" s="19">
        <v>14500</v>
      </c>
      <c r="E59" s="19">
        <v>600</v>
      </c>
      <c r="F59" s="19">
        <v>500</v>
      </c>
      <c r="G59" s="19">
        <v>0</v>
      </c>
      <c r="H59" s="19">
        <v>4100</v>
      </c>
      <c r="I59" s="19">
        <v>0</v>
      </c>
      <c r="J59" s="19">
        <v>0</v>
      </c>
      <c r="K59" s="20">
        <v>0</v>
      </c>
      <c r="L59" s="79">
        <f t="shared" si="1"/>
        <v>54900</v>
      </c>
      <c r="M59" s="91">
        <v>16100</v>
      </c>
      <c r="N59" s="79">
        <f t="shared" si="0"/>
        <v>16100</v>
      </c>
      <c r="O59" s="79">
        <v>263000</v>
      </c>
    </row>
    <row r="60" spans="1:16" ht="19.5" thickBot="1">
      <c r="A60" s="1" t="s">
        <v>2</v>
      </c>
      <c r="B60" s="98" t="s">
        <v>105</v>
      </c>
      <c r="C60" s="68">
        <v>0</v>
      </c>
      <c r="D60" s="19">
        <v>0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  <c r="J60" s="19">
        <v>0</v>
      </c>
      <c r="K60" s="20">
        <v>0</v>
      </c>
      <c r="L60" s="79">
        <f t="shared" si="1"/>
        <v>0</v>
      </c>
      <c r="M60" s="91">
        <v>0</v>
      </c>
      <c r="N60" s="79">
        <f t="shared" si="0"/>
        <v>0</v>
      </c>
      <c r="O60" s="82">
        <v>-63470</v>
      </c>
      <c r="P60" s="48"/>
    </row>
    <row r="61" spans="1:16" ht="19.5" thickBot="1">
      <c r="A61" s="1" t="s">
        <v>2</v>
      </c>
      <c r="B61" s="101" t="s">
        <v>106</v>
      </c>
      <c r="C61" s="70">
        <v>121859</v>
      </c>
      <c r="D61" s="44">
        <v>81115</v>
      </c>
      <c r="E61" s="44">
        <v>854</v>
      </c>
      <c r="F61" s="44">
        <v>785</v>
      </c>
      <c r="G61" s="44">
        <v>0</v>
      </c>
      <c r="H61" s="44">
        <v>4100</v>
      </c>
      <c r="I61" s="44">
        <v>0</v>
      </c>
      <c r="J61" s="44">
        <v>0</v>
      </c>
      <c r="K61" s="45">
        <v>267</v>
      </c>
      <c r="L61" s="81">
        <f t="shared" si="1"/>
        <v>208980</v>
      </c>
      <c r="M61" s="93">
        <v>84525</v>
      </c>
      <c r="N61" s="81">
        <f t="shared" si="0"/>
        <v>84525</v>
      </c>
      <c r="O61" s="81">
        <v>1428072</v>
      </c>
    </row>
    <row r="62" spans="1:16" ht="19.5" thickBot="1">
      <c r="A62" s="1" t="s">
        <v>2</v>
      </c>
      <c r="B62" s="101" t="s">
        <v>107</v>
      </c>
      <c r="C62" s="70">
        <v>420161</v>
      </c>
      <c r="D62" s="44">
        <v>328164</v>
      </c>
      <c r="E62" s="44">
        <v>81626</v>
      </c>
      <c r="F62" s="44">
        <v>86215</v>
      </c>
      <c r="G62" s="44">
        <v>76020</v>
      </c>
      <c r="H62" s="44">
        <v>47460</v>
      </c>
      <c r="I62" s="44">
        <v>70140</v>
      </c>
      <c r="J62" s="44">
        <v>62886</v>
      </c>
      <c r="K62" s="45">
        <v>81213</v>
      </c>
      <c r="L62" s="81">
        <f t="shared" si="1"/>
        <v>1253885</v>
      </c>
      <c r="M62" s="93">
        <v>316285</v>
      </c>
      <c r="N62" s="81">
        <f t="shared" si="0"/>
        <v>316285</v>
      </c>
      <c r="O62" s="81">
        <v>5767231</v>
      </c>
    </row>
    <row r="63" spans="1:16" ht="19.5" thickBot="1">
      <c r="A63" s="1" t="s">
        <v>2</v>
      </c>
      <c r="B63" s="101" t="s">
        <v>108</v>
      </c>
      <c r="C63" s="70">
        <v>376191</v>
      </c>
      <c r="D63" s="44">
        <v>310577</v>
      </c>
      <c r="E63" s="44">
        <v>83732</v>
      </c>
      <c r="F63" s="44">
        <v>87507</v>
      </c>
      <c r="G63" s="44">
        <v>78919</v>
      </c>
      <c r="H63" s="44">
        <v>45534</v>
      </c>
      <c r="I63" s="44">
        <v>74005</v>
      </c>
      <c r="J63" s="44">
        <v>65712</v>
      </c>
      <c r="K63" s="45">
        <v>88653</v>
      </c>
      <c r="L63" s="81">
        <f t="shared" si="1"/>
        <v>1210830</v>
      </c>
      <c r="M63" s="93">
        <v>297069</v>
      </c>
      <c r="N63" s="81">
        <f t="shared" si="0"/>
        <v>297069</v>
      </c>
      <c r="O63" s="81">
        <v>5489348</v>
      </c>
    </row>
    <row r="64" spans="1:16">
      <c r="A64" s="1" t="s">
        <v>2</v>
      </c>
      <c r="B64" s="97" t="s">
        <v>109</v>
      </c>
      <c r="C64" s="67">
        <v>0</v>
      </c>
      <c r="D64" s="33">
        <v>0</v>
      </c>
      <c r="E64" s="33">
        <v>0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4">
        <v>0</v>
      </c>
      <c r="L64" s="78">
        <f t="shared" si="1"/>
        <v>0</v>
      </c>
      <c r="M64" s="90">
        <v>0</v>
      </c>
      <c r="N64" s="78">
        <f t="shared" si="0"/>
        <v>0</v>
      </c>
      <c r="O64" s="78">
        <v>0</v>
      </c>
    </row>
    <row r="65" spans="1:15">
      <c r="A65" s="1" t="s">
        <v>2</v>
      </c>
      <c r="B65" s="98" t="s">
        <v>110</v>
      </c>
      <c r="C65" s="68">
        <v>376191</v>
      </c>
      <c r="D65" s="19">
        <v>310577</v>
      </c>
      <c r="E65" s="19">
        <v>83732</v>
      </c>
      <c r="F65" s="19">
        <v>87507</v>
      </c>
      <c r="G65" s="19">
        <v>78919</v>
      </c>
      <c r="H65" s="19">
        <v>45534</v>
      </c>
      <c r="I65" s="19">
        <v>74005</v>
      </c>
      <c r="J65" s="19">
        <v>65712</v>
      </c>
      <c r="K65" s="20">
        <v>88653</v>
      </c>
      <c r="L65" s="79">
        <f t="shared" si="1"/>
        <v>1210830</v>
      </c>
      <c r="M65" s="91">
        <v>297069</v>
      </c>
      <c r="N65" s="79">
        <f t="shared" si="0"/>
        <v>297069</v>
      </c>
      <c r="O65" s="79">
        <v>5489348</v>
      </c>
    </row>
    <row r="66" spans="1:15">
      <c r="A66" s="1" t="s">
        <v>2</v>
      </c>
      <c r="B66" s="98" t="s">
        <v>111</v>
      </c>
      <c r="C66" s="68">
        <v>0</v>
      </c>
      <c r="D66" s="19">
        <v>1</v>
      </c>
      <c r="E66" s="19">
        <v>0</v>
      </c>
      <c r="F66" s="19">
        <v>0</v>
      </c>
      <c r="G66" s="19">
        <v>1</v>
      </c>
      <c r="H66" s="19">
        <v>1</v>
      </c>
      <c r="I66" s="19">
        <v>1</v>
      </c>
      <c r="J66" s="19">
        <v>1</v>
      </c>
      <c r="K66" s="20">
        <v>1</v>
      </c>
      <c r="L66" s="79"/>
      <c r="M66" s="91">
        <v>0</v>
      </c>
      <c r="N66" s="79"/>
      <c r="O66" s="7"/>
    </row>
    <row r="67" spans="1:15" ht="19.5" thickBot="1">
      <c r="A67" s="1" t="s">
        <v>2</v>
      </c>
      <c r="B67" s="99" t="s">
        <v>112</v>
      </c>
      <c r="C67" s="71" t="s">
        <v>113</v>
      </c>
      <c r="D67" s="22" t="s">
        <v>113</v>
      </c>
      <c r="E67" s="22" t="s">
        <v>113</v>
      </c>
      <c r="F67" s="22" t="s">
        <v>113</v>
      </c>
      <c r="G67" s="22" t="s">
        <v>113</v>
      </c>
      <c r="H67" s="22" t="s">
        <v>113</v>
      </c>
      <c r="I67" s="22" t="s">
        <v>113</v>
      </c>
      <c r="J67" s="22" t="s">
        <v>113</v>
      </c>
      <c r="K67" s="23" t="s">
        <v>113</v>
      </c>
      <c r="L67" s="83"/>
      <c r="M67" s="94" t="s">
        <v>113</v>
      </c>
      <c r="N67" s="83"/>
      <c r="O67" s="8"/>
    </row>
  </sheetData>
  <phoneticPr fontId="3"/>
  <pageMargins left="0.31496062992125984" right="0.31496062992125984" top="0.35433070866141736" bottom="0.35433070866141736" header="0.19685039370078741" footer="0.11811023622047245"/>
  <pageSetup paperSize="12" scale="5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8DEEA-ECD8-42AC-A6A7-4451A10AA608}">
  <sheetPr>
    <pageSetUpPr fitToPage="1"/>
  </sheetPr>
  <dimension ref="A1:U67"/>
  <sheetViews>
    <sheetView showZeros="0" workbookViewId="0"/>
  </sheetViews>
  <sheetFormatPr defaultRowHeight="18.75"/>
  <cols>
    <col min="1" max="1" width="2.375" style="2" customWidth="1"/>
    <col min="2" max="2" width="13.25" style="2" bestFit="1" customWidth="1"/>
    <col min="3" max="20" width="11.125" style="2" customWidth="1"/>
    <col min="21" max="245" width="9" style="2"/>
    <col min="246" max="246" width="2.375" style="2" customWidth="1"/>
    <col min="247" max="247" width="13.25" style="2" bestFit="1" customWidth="1"/>
    <col min="248" max="250" width="11.125" style="2" bestFit="1" customWidth="1"/>
    <col min="251" max="251" width="13.25" style="2" bestFit="1" customWidth="1"/>
    <col min="252" max="252" width="11.125" style="2" bestFit="1" customWidth="1"/>
    <col min="253" max="253" width="9" style="2"/>
    <col min="254" max="254" width="11.125" style="2" bestFit="1" customWidth="1"/>
    <col min="255" max="255" width="9" style="2"/>
    <col min="256" max="266" width="11.125" style="2" bestFit="1" customWidth="1"/>
    <col min="267" max="267" width="9" style="2"/>
    <col min="268" max="274" width="11.125" style="2" bestFit="1" customWidth="1"/>
    <col min="275" max="275" width="9.625" style="2" bestFit="1" customWidth="1"/>
    <col min="276" max="501" width="9" style="2"/>
    <col min="502" max="502" width="2.375" style="2" customWidth="1"/>
    <col min="503" max="503" width="13.25" style="2" bestFit="1" customWidth="1"/>
    <col min="504" max="506" width="11.125" style="2" bestFit="1" customWidth="1"/>
    <col min="507" max="507" width="13.25" style="2" bestFit="1" customWidth="1"/>
    <col min="508" max="508" width="11.125" style="2" bestFit="1" customWidth="1"/>
    <col min="509" max="509" width="9" style="2"/>
    <col min="510" max="510" width="11.125" style="2" bestFit="1" customWidth="1"/>
    <col min="511" max="511" width="9" style="2"/>
    <col min="512" max="522" width="11.125" style="2" bestFit="1" customWidth="1"/>
    <col min="523" max="523" width="9" style="2"/>
    <col min="524" max="530" width="11.125" style="2" bestFit="1" customWidth="1"/>
    <col min="531" max="531" width="9.625" style="2" bestFit="1" customWidth="1"/>
    <col min="532" max="757" width="9" style="2"/>
    <col min="758" max="758" width="2.375" style="2" customWidth="1"/>
    <col min="759" max="759" width="13.25" style="2" bestFit="1" customWidth="1"/>
    <col min="760" max="762" width="11.125" style="2" bestFit="1" customWidth="1"/>
    <col min="763" max="763" width="13.25" style="2" bestFit="1" customWidth="1"/>
    <col min="764" max="764" width="11.125" style="2" bestFit="1" customWidth="1"/>
    <col min="765" max="765" width="9" style="2"/>
    <col min="766" max="766" width="11.125" style="2" bestFit="1" customWidth="1"/>
    <col min="767" max="767" width="9" style="2"/>
    <col min="768" max="778" width="11.125" style="2" bestFit="1" customWidth="1"/>
    <col min="779" max="779" width="9" style="2"/>
    <col min="780" max="786" width="11.125" style="2" bestFit="1" customWidth="1"/>
    <col min="787" max="787" width="9.625" style="2" bestFit="1" customWidth="1"/>
    <col min="788" max="1013" width="9" style="2"/>
    <col min="1014" max="1014" width="2.375" style="2" customWidth="1"/>
    <col min="1015" max="1015" width="13.25" style="2" bestFit="1" customWidth="1"/>
    <col min="1016" max="1018" width="11.125" style="2" bestFit="1" customWidth="1"/>
    <col min="1019" max="1019" width="13.25" style="2" bestFit="1" customWidth="1"/>
    <col min="1020" max="1020" width="11.125" style="2" bestFit="1" customWidth="1"/>
    <col min="1021" max="1021" width="9" style="2"/>
    <col min="1022" max="1022" width="11.125" style="2" bestFit="1" customWidth="1"/>
    <col min="1023" max="1023" width="9" style="2"/>
    <col min="1024" max="1034" width="11.125" style="2" bestFit="1" customWidth="1"/>
    <col min="1035" max="1035" width="9" style="2"/>
    <col min="1036" max="1042" width="11.125" style="2" bestFit="1" customWidth="1"/>
    <col min="1043" max="1043" width="9.625" style="2" bestFit="1" customWidth="1"/>
    <col min="1044" max="1269" width="9" style="2"/>
    <col min="1270" max="1270" width="2.375" style="2" customWidth="1"/>
    <col min="1271" max="1271" width="13.25" style="2" bestFit="1" customWidth="1"/>
    <col min="1272" max="1274" width="11.125" style="2" bestFit="1" customWidth="1"/>
    <col min="1275" max="1275" width="13.25" style="2" bestFit="1" customWidth="1"/>
    <col min="1276" max="1276" width="11.125" style="2" bestFit="1" customWidth="1"/>
    <col min="1277" max="1277" width="9" style="2"/>
    <col min="1278" max="1278" width="11.125" style="2" bestFit="1" customWidth="1"/>
    <col min="1279" max="1279" width="9" style="2"/>
    <col min="1280" max="1290" width="11.125" style="2" bestFit="1" customWidth="1"/>
    <col min="1291" max="1291" width="9" style="2"/>
    <col min="1292" max="1298" width="11.125" style="2" bestFit="1" customWidth="1"/>
    <col min="1299" max="1299" width="9.625" style="2" bestFit="1" customWidth="1"/>
    <col min="1300" max="1525" width="9" style="2"/>
    <col min="1526" max="1526" width="2.375" style="2" customWidth="1"/>
    <col min="1527" max="1527" width="13.25" style="2" bestFit="1" customWidth="1"/>
    <col min="1528" max="1530" width="11.125" style="2" bestFit="1" customWidth="1"/>
    <col min="1531" max="1531" width="13.25" style="2" bestFit="1" customWidth="1"/>
    <col min="1532" max="1532" width="11.125" style="2" bestFit="1" customWidth="1"/>
    <col min="1533" max="1533" width="9" style="2"/>
    <col min="1534" max="1534" width="11.125" style="2" bestFit="1" customWidth="1"/>
    <col min="1535" max="1535" width="9" style="2"/>
    <col min="1536" max="1546" width="11.125" style="2" bestFit="1" customWidth="1"/>
    <col min="1547" max="1547" width="9" style="2"/>
    <col min="1548" max="1554" width="11.125" style="2" bestFit="1" customWidth="1"/>
    <col min="1555" max="1555" width="9.625" style="2" bestFit="1" customWidth="1"/>
    <col min="1556" max="1781" width="9" style="2"/>
    <col min="1782" max="1782" width="2.375" style="2" customWidth="1"/>
    <col min="1783" max="1783" width="13.25" style="2" bestFit="1" customWidth="1"/>
    <col min="1784" max="1786" width="11.125" style="2" bestFit="1" customWidth="1"/>
    <col min="1787" max="1787" width="13.25" style="2" bestFit="1" customWidth="1"/>
    <col min="1788" max="1788" width="11.125" style="2" bestFit="1" customWidth="1"/>
    <col min="1789" max="1789" width="9" style="2"/>
    <col min="1790" max="1790" width="11.125" style="2" bestFit="1" customWidth="1"/>
    <col min="1791" max="1791" width="9" style="2"/>
    <col min="1792" max="1802" width="11.125" style="2" bestFit="1" customWidth="1"/>
    <col min="1803" max="1803" width="9" style="2"/>
    <col min="1804" max="1810" width="11.125" style="2" bestFit="1" customWidth="1"/>
    <col min="1811" max="1811" width="9.625" style="2" bestFit="1" customWidth="1"/>
    <col min="1812" max="2037" width="9" style="2"/>
    <col min="2038" max="2038" width="2.375" style="2" customWidth="1"/>
    <col min="2039" max="2039" width="13.25" style="2" bestFit="1" customWidth="1"/>
    <col min="2040" max="2042" width="11.125" style="2" bestFit="1" customWidth="1"/>
    <col min="2043" max="2043" width="13.25" style="2" bestFit="1" customWidth="1"/>
    <col min="2044" max="2044" width="11.125" style="2" bestFit="1" customWidth="1"/>
    <col min="2045" max="2045" width="9" style="2"/>
    <col min="2046" max="2046" width="11.125" style="2" bestFit="1" customWidth="1"/>
    <col min="2047" max="2047" width="9" style="2"/>
    <col min="2048" max="2058" width="11.125" style="2" bestFit="1" customWidth="1"/>
    <col min="2059" max="2059" width="9" style="2"/>
    <col min="2060" max="2066" width="11.125" style="2" bestFit="1" customWidth="1"/>
    <col min="2067" max="2067" width="9.625" style="2" bestFit="1" customWidth="1"/>
    <col min="2068" max="2293" width="9" style="2"/>
    <col min="2294" max="2294" width="2.375" style="2" customWidth="1"/>
    <col min="2295" max="2295" width="13.25" style="2" bestFit="1" customWidth="1"/>
    <col min="2296" max="2298" width="11.125" style="2" bestFit="1" customWidth="1"/>
    <col min="2299" max="2299" width="13.25" style="2" bestFit="1" customWidth="1"/>
    <col min="2300" max="2300" width="11.125" style="2" bestFit="1" customWidth="1"/>
    <col min="2301" max="2301" width="9" style="2"/>
    <col min="2302" max="2302" width="11.125" style="2" bestFit="1" customWidth="1"/>
    <col min="2303" max="2303" width="9" style="2"/>
    <col min="2304" max="2314" width="11.125" style="2" bestFit="1" customWidth="1"/>
    <col min="2315" max="2315" width="9" style="2"/>
    <col min="2316" max="2322" width="11.125" style="2" bestFit="1" customWidth="1"/>
    <col min="2323" max="2323" width="9.625" style="2" bestFit="1" customWidth="1"/>
    <col min="2324" max="2549" width="9" style="2"/>
    <col min="2550" max="2550" width="2.375" style="2" customWidth="1"/>
    <col min="2551" max="2551" width="13.25" style="2" bestFit="1" customWidth="1"/>
    <col min="2552" max="2554" width="11.125" style="2" bestFit="1" customWidth="1"/>
    <col min="2555" max="2555" width="13.25" style="2" bestFit="1" customWidth="1"/>
    <col min="2556" max="2556" width="11.125" style="2" bestFit="1" customWidth="1"/>
    <col min="2557" max="2557" width="9" style="2"/>
    <col min="2558" max="2558" width="11.125" style="2" bestFit="1" customWidth="1"/>
    <col min="2559" max="2559" width="9" style="2"/>
    <col min="2560" max="2570" width="11.125" style="2" bestFit="1" customWidth="1"/>
    <col min="2571" max="2571" width="9" style="2"/>
    <col min="2572" max="2578" width="11.125" style="2" bestFit="1" customWidth="1"/>
    <col min="2579" max="2579" width="9.625" style="2" bestFit="1" customWidth="1"/>
    <col min="2580" max="2805" width="9" style="2"/>
    <col min="2806" max="2806" width="2.375" style="2" customWidth="1"/>
    <col min="2807" max="2807" width="13.25" style="2" bestFit="1" customWidth="1"/>
    <col min="2808" max="2810" width="11.125" style="2" bestFit="1" customWidth="1"/>
    <col min="2811" max="2811" width="13.25" style="2" bestFit="1" customWidth="1"/>
    <col min="2812" max="2812" width="11.125" style="2" bestFit="1" customWidth="1"/>
    <col min="2813" max="2813" width="9" style="2"/>
    <col min="2814" max="2814" width="11.125" style="2" bestFit="1" customWidth="1"/>
    <col min="2815" max="2815" width="9" style="2"/>
    <col min="2816" max="2826" width="11.125" style="2" bestFit="1" customWidth="1"/>
    <col min="2827" max="2827" width="9" style="2"/>
    <col min="2828" max="2834" width="11.125" style="2" bestFit="1" customWidth="1"/>
    <col min="2835" max="2835" width="9.625" style="2" bestFit="1" customWidth="1"/>
    <col min="2836" max="3061" width="9" style="2"/>
    <col min="3062" max="3062" width="2.375" style="2" customWidth="1"/>
    <col min="3063" max="3063" width="13.25" style="2" bestFit="1" customWidth="1"/>
    <col min="3064" max="3066" width="11.125" style="2" bestFit="1" customWidth="1"/>
    <col min="3067" max="3067" width="13.25" style="2" bestFit="1" customWidth="1"/>
    <col min="3068" max="3068" width="11.125" style="2" bestFit="1" customWidth="1"/>
    <col min="3069" max="3069" width="9" style="2"/>
    <col min="3070" max="3070" width="11.125" style="2" bestFit="1" customWidth="1"/>
    <col min="3071" max="3071" width="9" style="2"/>
    <col min="3072" max="3082" width="11.125" style="2" bestFit="1" customWidth="1"/>
    <col min="3083" max="3083" width="9" style="2"/>
    <col min="3084" max="3090" width="11.125" style="2" bestFit="1" customWidth="1"/>
    <col min="3091" max="3091" width="9.625" style="2" bestFit="1" customWidth="1"/>
    <col min="3092" max="3317" width="9" style="2"/>
    <col min="3318" max="3318" width="2.375" style="2" customWidth="1"/>
    <col min="3319" max="3319" width="13.25" style="2" bestFit="1" customWidth="1"/>
    <col min="3320" max="3322" width="11.125" style="2" bestFit="1" customWidth="1"/>
    <col min="3323" max="3323" width="13.25" style="2" bestFit="1" customWidth="1"/>
    <col min="3324" max="3324" width="11.125" style="2" bestFit="1" customWidth="1"/>
    <col min="3325" max="3325" width="9" style="2"/>
    <col min="3326" max="3326" width="11.125" style="2" bestFit="1" customWidth="1"/>
    <col min="3327" max="3327" width="9" style="2"/>
    <col min="3328" max="3338" width="11.125" style="2" bestFit="1" customWidth="1"/>
    <col min="3339" max="3339" width="9" style="2"/>
    <col min="3340" max="3346" width="11.125" style="2" bestFit="1" customWidth="1"/>
    <col min="3347" max="3347" width="9.625" style="2" bestFit="1" customWidth="1"/>
    <col min="3348" max="3573" width="9" style="2"/>
    <col min="3574" max="3574" width="2.375" style="2" customWidth="1"/>
    <col min="3575" max="3575" width="13.25" style="2" bestFit="1" customWidth="1"/>
    <col min="3576" max="3578" width="11.125" style="2" bestFit="1" customWidth="1"/>
    <col min="3579" max="3579" width="13.25" style="2" bestFit="1" customWidth="1"/>
    <col min="3580" max="3580" width="11.125" style="2" bestFit="1" customWidth="1"/>
    <col min="3581" max="3581" width="9" style="2"/>
    <col min="3582" max="3582" width="11.125" style="2" bestFit="1" customWidth="1"/>
    <col min="3583" max="3583" width="9" style="2"/>
    <col min="3584" max="3594" width="11.125" style="2" bestFit="1" customWidth="1"/>
    <col min="3595" max="3595" width="9" style="2"/>
    <col min="3596" max="3602" width="11.125" style="2" bestFit="1" customWidth="1"/>
    <col min="3603" max="3603" width="9.625" style="2" bestFit="1" customWidth="1"/>
    <col min="3604" max="3829" width="9" style="2"/>
    <col min="3830" max="3830" width="2.375" style="2" customWidth="1"/>
    <col min="3831" max="3831" width="13.25" style="2" bestFit="1" customWidth="1"/>
    <col min="3832" max="3834" width="11.125" style="2" bestFit="1" customWidth="1"/>
    <col min="3835" max="3835" width="13.25" style="2" bestFit="1" customWidth="1"/>
    <col min="3836" max="3836" width="11.125" style="2" bestFit="1" customWidth="1"/>
    <col min="3837" max="3837" width="9" style="2"/>
    <col min="3838" max="3838" width="11.125" style="2" bestFit="1" customWidth="1"/>
    <col min="3839" max="3839" width="9" style="2"/>
    <col min="3840" max="3850" width="11.125" style="2" bestFit="1" customWidth="1"/>
    <col min="3851" max="3851" width="9" style="2"/>
    <col min="3852" max="3858" width="11.125" style="2" bestFit="1" customWidth="1"/>
    <col min="3859" max="3859" width="9.625" style="2" bestFit="1" customWidth="1"/>
    <col min="3860" max="4085" width="9" style="2"/>
    <col min="4086" max="4086" width="2.375" style="2" customWidth="1"/>
    <col min="4087" max="4087" width="13.25" style="2" bestFit="1" customWidth="1"/>
    <col min="4088" max="4090" width="11.125" style="2" bestFit="1" customWidth="1"/>
    <col min="4091" max="4091" width="13.25" style="2" bestFit="1" customWidth="1"/>
    <col min="4092" max="4092" width="11.125" style="2" bestFit="1" customWidth="1"/>
    <col min="4093" max="4093" width="9" style="2"/>
    <col min="4094" max="4094" width="11.125" style="2" bestFit="1" customWidth="1"/>
    <col min="4095" max="4095" width="9" style="2"/>
    <col min="4096" max="4106" width="11.125" style="2" bestFit="1" customWidth="1"/>
    <col min="4107" max="4107" width="9" style="2"/>
    <col min="4108" max="4114" width="11.125" style="2" bestFit="1" customWidth="1"/>
    <col min="4115" max="4115" width="9.625" style="2" bestFit="1" customWidth="1"/>
    <col min="4116" max="4341" width="9" style="2"/>
    <col min="4342" max="4342" width="2.375" style="2" customWidth="1"/>
    <col min="4343" max="4343" width="13.25" style="2" bestFit="1" customWidth="1"/>
    <col min="4344" max="4346" width="11.125" style="2" bestFit="1" customWidth="1"/>
    <col min="4347" max="4347" width="13.25" style="2" bestFit="1" customWidth="1"/>
    <col min="4348" max="4348" width="11.125" style="2" bestFit="1" customWidth="1"/>
    <col min="4349" max="4349" width="9" style="2"/>
    <col min="4350" max="4350" width="11.125" style="2" bestFit="1" customWidth="1"/>
    <col min="4351" max="4351" width="9" style="2"/>
    <col min="4352" max="4362" width="11.125" style="2" bestFit="1" customWidth="1"/>
    <col min="4363" max="4363" width="9" style="2"/>
    <col min="4364" max="4370" width="11.125" style="2" bestFit="1" customWidth="1"/>
    <col min="4371" max="4371" width="9.625" style="2" bestFit="1" customWidth="1"/>
    <col min="4372" max="4597" width="9" style="2"/>
    <col min="4598" max="4598" width="2.375" style="2" customWidth="1"/>
    <col min="4599" max="4599" width="13.25" style="2" bestFit="1" customWidth="1"/>
    <col min="4600" max="4602" width="11.125" style="2" bestFit="1" customWidth="1"/>
    <col min="4603" max="4603" width="13.25" style="2" bestFit="1" customWidth="1"/>
    <col min="4604" max="4604" width="11.125" style="2" bestFit="1" customWidth="1"/>
    <col min="4605" max="4605" width="9" style="2"/>
    <col min="4606" max="4606" width="11.125" style="2" bestFit="1" customWidth="1"/>
    <col min="4607" max="4607" width="9" style="2"/>
    <col min="4608" max="4618" width="11.125" style="2" bestFit="1" customWidth="1"/>
    <col min="4619" max="4619" width="9" style="2"/>
    <col min="4620" max="4626" width="11.125" style="2" bestFit="1" customWidth="1"/>
    <col min="4627" max="4627" width="9.625" style="2" bestFit="1" customWidth="1"/>
    <col min="4628" max="4853" width="9" style="2"/>
    <col min="4854" max="4854" width="2.375" style="2" customWidth="1"/>
    <col min="4855" max="4855" width="13.25" style="2" bestFit="1" customWidth="1"/>
    <col min="4856" max="4858" width="11.125" style="2" bestFit="1" customWidth="1"/>
    <col min="4859" max="4859" width="13.25" style="2" bestFit="1" customWidth="1"/>
    <col min="4860" max="4860" width="11.125" style="2" bestFit="1" customWidth="1"/>
    <col min="4861" max="4861" width="9" style="2"/>
    <col min="4862" max="4862" width="11.125" style="2" bestFit="1" customWidth="1"/>
    <col min="4863" max="4863" width="9" style="2"/>
    <col min="4864" max="4874" width="11.125" style="2" bestFit="1" customWidth="1"/>
    <col min="4875" max="4875" width="9" style="2"/>
    <col min="4876" max="4882" width="11.125" style="2" bestFit="1" customWidth="1"/>
    <col min="4883" max="4883" width="9.625" style="2" bestFit="1" customWidth="1"/>
    <col min="4884" max="5109" width="9" style="2"/>
    <col min="5110" max="5110" width="2.375" style="2" customWidth="1"/>
    <col min="5111" max="5111" width="13.25" style="2" bestFit="1" customWidth="1"/>
    <col min="5112" max="5114" width="11.125" style="2" bestFit="1" customWidth="1"/>
    <col min="5115" max="5115" width="13.25" style="2" bestFit="1" customWidth="1"/>
    <col min="5116" max="5116" width="11.125" style="2" bestFit="1" customWidth="1"/>
    <col min="5117" max="5117" width="9" style="2"/>
    <col min="5118" max="5118" width="11.125" style="2" bestFit="1" customWidth="1"/>
    <col min="5119" max="5119" width="9" style="2"/>
    <col min="5120" max="5130" width="11.125" style="2" bestFit="1" customWidth="1"/>
    <col min="5131" max="5131" width="9" style="2"/>
    <col min="5132" max="5138" width="11.125" style="2" bestFit="1" customWidth="1"/>
    <col min="5139" max="5139" width="9.625" style="2" bestFit="1" customWidth="1"/>
    <col min="5140" max="5365" width="9" style="2"/>
    <col min="5366" max="5366" width="2.375" style="2" customWidth="1"/>
    <col min="5367" max="5367" width="13.25" style="2" bestFit="1" customWidth="1"/>
    <col min="5368" max="5370" width="11.125" style="2" bestFit="1" customWidth="1"/>
    <col min="5371" max="5371" width="13.25" style="2" bestFit="1" customWidth="1"/>
    <col min="5372" max="5372" width="11.125" style="2" bestFit="1" customWidth="1"/>
    <col min="5373" max="5373" width="9" style="2"/>
    <col min="5374" max="5374" width="11.125" style="2" bestFit="1" customWidth="1"/>
    <col min="5375" max="5375" width="9" style="2"/>
    <col min="5376" max="5386" width="11.125" style="2" bestFit="1" customWidth="1"/>
    <col min="5387" max="5387" width="9" style="2"/>
    <col min="5388" max="5394" width="11.125" style="2" bestFit="1" customWidth="1"/>
    <col min="5395" max="5395" width="9.625" style="2" bestFit="1" customWidth="1"/>
    <col min="5396" max="5621" width="9" style="2"/>
    <col min="5622" max="5622" width="2.375" style="2" customWidth="1"/>
    <col min="5623" max="5623" width="13.25" style="2" bestFit="1" customWidth="1"/>
    <col min="5624" max="5626" width="11.125" style="2" bestFit="1" customWidth="1"/>
    <col min="5627" max="5627" width="13.25" style="2" bestFit="1" customWidth="1"/>
    <col min="5628" max="5628" width="11.125" style="2" bestFit="1" customWidth="1"/>
    <col min="5629" max="5629" width="9" style="2"/>
    <col min="5630" max="5630" width="11.125" style="2" bestFit="1" customWidth="1"/>
    <col min="5631" max="5631" width="9" style="2"/>
    <col min="5632" max="5642" width="11.125" style="2" bestFit="1" customWidth="1"/>
    <col min="5643" max="5643" width="9" style="2"/>
    <col min="5644" max="5650" width="11.125" style="2" bestFit="1" customWidth="1"/>
    <col min="5651" max="5651" width="9.625" style="2" bestFit="1" customWidth="1"/>
    <col min="5652" max="5877" width="9" style="2"/>
    <col min="5878" max="5878" width="2.375" style="2" customWidth="1"/>
    <col min="5879" max="5879" width="13.25" style="2" bestFit="1" customWidth="1"/>
    <col min="5880" max="5882" width="11.125" style="2" bestFit="1" customWidth="1"/>
    <col min="5883" max="5883" width="13.25" style="2" bestFit="1" customWidth="1"/>
    <col min="5884" max="5884" width="11.125" style="2" bestFit="1" customWidth="1"/>
    <col min="5885" max="5885" width="9" style="2"/>
    <col min="5886" max="5886" width="11.125" style="2" bestFit="1" customWidth="1"/>
    <col min="5887" max="5887" width="9" style="2"/>
    <col min="5888" max="5898" width="11.125" style="2" bestFit="1" customWidth="1"/>
    <col min="5899" max="5899" width="9" style="2"/>
    <col min="5900" max="5906" width="11.125" style="2" bestFit="1" customWidth="1"/>
    <col min="5907" max="5907" width="9.625" style="2" bestFit="1" customWidth="1"/>
    <col min="5908" max="6133" width="9" style="2"/>
    <col min="6134" max="6134" width="2.375" style="2" customWidth="1"/>
    <col min="6135" max="6135" width="13.25" style="2" bestFit="1" customWidth="1"/>
    <col min="6136" max="6138" width="11.125" style="2" bestFit="1" customWidth="1"/>
    <col min="6139" max="6139" width="13.25" style="2" bestFit="1" customWidth="1"/>
    <col min="6140" max="6140" width="11.125" style="2" bestFit="1" customWidth="1"/>
    <col min="6141" max="6141" width="9" style="2"/>
    <col min="6142" max="6142" width="11.125" style="2" bestFit="1" customWidth="1"/>
    <col min="6143" max="6143" width="9" style="2"/>
    <col min="6144" max="6154" width="11.125" style="2" bestFit="1" customWidth="1"/>
    <col min="6155" max="6155" width="9" style="2"/>
    <col min="6156" max="6162" width="11.125" style="2" bestFit="1" customWidth="1"/>
    <col min="6163" max="6163" width="9.625" style="2" bestFit="1" customWidth="1"/>
    <col min="6164" max="6389" width="9" style="2"/>
    <col min="6390" max="6390" width="2.375" style="2" customWidth="1"/>
    <col min="6391" max="6391" width="13.25" style="2" bestFit="1" customWidth="1"/>
    <col min="6392" max="6394" width="11.125" style="2" bestFit="1" customWidth="1"/>
    <col min="6395" max="6395" width="13.25" style="2" bestFit="1" customWidth="1"/>
    <col min="6396" max="6396" width="11.125" style="2" bestFit="1" customWidth="1"/>
    <col min="6397" max="6397" width="9" style="2"/>
    <col min="6398" max="6398" width="11.125" style="2" bestFit="1" customWidth="1"/>
    <col min="6399" max="6399" width="9" style="2"/>
    <col min="6400" max="6410" width="11.125" style="2" bestFit="1" customWidth="1"/>
    <col min="6411" max="6411" width="9" style="2"/>
    <col min="6412" max="6418" width="11.125" style="2" bestFit="1" customWidth="1"/>
    <col min="6419" max="6419" width="9.625" style="2" bestFit="1" customWidth="1"/>
    <col min="6420" max="6645" width="9" style="2"/>
    <col min="6646" max="6646" width="2.375" style="2" customWidth="1"/>
    <col min="6647" max="6647" width="13.25" style="2" bestFit="1" customWidth="1"/>
    <col min="6648" max="6650" width="11.125" style="2" bestFit="1" customWidth="1"/>
    <col min="6651" max="6651" width="13.25" style="2" bestFit="1" customWidth="1"/>
    <col min="6652" max="6652" width="11.125" style="2" bestFit="1" customWidth="1"/>
    <col min="6653" max="6653" width="9" style="2"/>
    <col min="6654" max="6654" width="11.125" style="2" bestFit="1" customWidth="1"/>
    <col min="6655" max="6655" width="9" style="2"/>
    <col min="6656" max="6666" width="11.125" style="2" bestFit="1" customWidth="1"/>
    <col min="6667" max="6667" width="9" style="2"/>
    <col min="6668" max="6674" width="11.125" style="2" bestFit="1" customWidth="1"/>
    <col min="6675" max="6675" width="9.625" style="2" bestFit="1" customWidth="1"/>
    <col min="6676" max="6901" width="9" style="2"/>
    <col min="6902" max="6902" width="2.375" style="2" customWidth="1"/>
    <col min="6903" max="6903" width="13.25" style="2" bestFit="1" customWidth="1"/>
    <col min="6904" max="6906" width="11.125" style="2" bestFit="1" customWidth="1"/>
    <col min="6907" max="6907" width="13.25" style="2" bestFit="1" customWidth="1"/>
    <col min="6908" max="6908" width="11.125" style="2" bestFit="1" customWidth="1"/>
    <col min="6909" max="6909" width="9" style="2"/>
    <col min="6910" max="6910" width="11.125" style="2" bestFit="1" customWidth="1"/>
    <col min="6911" max="6911" width="9" style="2"/>
    <col min="6912" max="6922" width="11.125" style="2" bestFit="1" customWidth="1"/>
    <col min="6923" max="6923" width="9" style="2"/>
    <col min="6924" max="6930" width="11.125" style="2" bestFit="1" customWidth="1"/>
    <col min="6931" max="6931" width="9.625" style="2" bestFit="1" customWidth="1"/>
    <col min="6932" max="7157" width="9" style="2"/>
    <col min="7158" max="7158" width="2.375" style="2" customWidth="1"/>
    <col min="7159" max="7159" width="13.25" style="2" bestFit="1" customWidth="1"/>
    <col min="7160" max="7162" width="11.125" style="2" bestFit="1" customWidth="1"/>
    <col min="7163" max="7163" width="13.25" style="2" bestFit="1" customWidth="1"/>
    <col min="7164" max="7164" width="11.125" style="2" bestFit="1" customWidth="1"/>
    <col min="7165" max="7165" width="9" style="2"/>
    <col min="7166" max="7166" width="11.125" style="2" bestFit="1" customWidth="1"/>
    <col min="7167" max="7167" width="9" style="2"/>
    <col min="7168" max="7178" width="11.125" style="2" bestFit="1" customWidth="1"/>
    <col min="7179" max="7179" width="9" style="2"/>
    <col min="7180" max="7186" width="11.125" style="2" bestFit="1" customWidth="1"/>
    <col min="7187" max="7187" width="9.625" style="2" bestFit="1" customWidth="1"/>
    <col min="7188" max="7413" width="9" style="2"/>
    <col min="7414" max="7414" width="2.375" style="2" customWidth="1"/>
    <col min="7415" max="7415" width="13.25" style="2" bestFit="1" customWidth="1"/>
    <col min="7416" max="7418" width="11.125" style="2" bestFit="1" customWidth="1"/>
    <col min="7419" max="7419" width="13.25" style="2" bestFit="1" customWidth="1"/>
    <col min="7420" max="7420" width="11.125" style="2" bestFit="1" customWidth="1"/>
    <col min="7421" max="7421" width="9" style="2"/>
    <col min="7422" max="7422" width="11.125" style="2" bestFit="1" customWidth="1"/>
    <col min="7423" max="7423" width="9" style="2"/>
    <col min="7424" max="7434" width="11.125" style="2" bestFit="1" customWidth="1"/>
    <col min="7435" max="7435" width="9" style="2"/>
    <col min="7436" max="7442" width="11.125" style="2" bestFit="1" customWidth="1"/>
    <col min="7443" max="7443" width="9.625" style="2" bestFit="1" customWidth="1"/>
    <col min="7444" max="7669" width="9" style="2"/>
    <col min="7670" max="7670" width="2.375" style="2" customWidth="1"/>
    <col min="7671" max="7671" width="13.25" style="2" bestFit="1" customWidth="1"/>
    <col min="7672" max="7674" width="11.125" style="2" bestFit="1" customWidth="1"/>
    <col min="7675" max="7675" width="13.25" style="2" bestFit="1" customWidth="1"/>
    <col min="7676" max="7676" width="11.125" style="2" bestFit="1" customWidth="1"/>
    <col min="7677" max="7677" width="9" style="2"/>
    <col min="7678" max="7678" width="11.125" style="2" bestFit="1" customWidth="1"/>
    <col min="7679" max="7679" width="9" style="2"/>
    <col min="7680" max="7690" width="11.125" style="2" bestFit="1" customWidth="1"/>
    <col min="7691" max="7691" width="9" style="2"/>
    <col min="7692" max="7698" width="11.125" style="2" bestFit="1" customWidth="1"/>
    <col min="7699" max="7699" width="9.625" style="2" bestFit="1" customWidth="1"/>
    <col min="7700" max="7925" width="9" style="2"/>
    <col min="7926" max="7926" width="2.375" style="2" customWidth="1"/>
    <col min="7927" max="7927" width="13.25" style="2" bestFit="1" customWidth="1"/>
    <col min="7928" max="7930" width="11.125" style="2" bestFit="1" customWidth="1"/>
    <col min="7931" max="7931" width="13.25" style="2" bestFit="1" customWidth="1"/>
    <col min="7932" max="7932" width="11.125" style="2" bestFit="1" customWidth="1"/>
    <col min="7933" max="7933" width="9" style="2"/>
    <col min="7934" max="7934" width="11.125" style="2" bestFit="1" customWidth="1"/>
    <col min="7935" max="7935" width="9" style="2"/>
    <col min="7936" max="7946" width="11.125" style="2" bestFit="1" customWidth="1"/>
    <col min="7947" max="7947" width="9" style="2"/>
    <col min="7948" max="7954" width="11.125" style="2" bestFit="1" customWidth="1"/>
    <col min="7955" max="7955" width="9.625" style="2" bestFit="1" customWidth="1"/>
    <col min="7956" max="8181" width="9" style="2"/>
    <col min="8182" max="8182" width="2.375" style="2" customWidth="1"/>
    <col min="8183" max="8183" width="13.25" style="2" bestFit="1" customWidth="1"/>
    <col min="8184" max="8186" width="11.125" style="2" bestFit="1" customWidth="1"/>
    <col min="8187" max="8187" width="13.25" style="2" bestFit="1" customWidth="1"/>
    <col min="8188" max="8188" width="11.125" style="2" bestFit="1" customWidth="1"/>
    <col min="8189" max="8189" width="9" style="2"/>
    <col min="8190" max="8190" width="11.125" style="2" bestFit="1" customWidth="1"/>
    <col min="8191" max="8191" width="9" style="2"/>
    <col min="8192" max="8202" width="11.125" style="2" bestFit="1" customWidth="1"/>
    <col min="8203" max="8203" width="9" style="2"/>
    <col min="8204" max="8210" width="11.125" style="2" bestFit="1" customWidth="1"/>
    <col min="8211" max="8211" width="9.625" style="2" bestFit="1" customWidth="1"/>
    <col min="8212" max="8437" width="9" style="2"/>
    <col min="8438" max="8438" width="2.375" style="2" customWidth="1"/>
    <col min="8439" max="8439" width="13.25" style="2" bestFit="1" customWidth="1"/>
    <col min="8440" max="8442" width="11.125" style="2" bestFit="1" customWidth="1"/>
    <col min="8443" max="8443" width="13.25" style="2" bestFit="1" customWidth="1"/>
    <col min="8444" max="8444" width="11.125" style="2" bestFit="1" customWidth="1"/>
    <col min="8445" max="8445" width="9" style="2"/>
    <col min="8446" max="8446" width="11.125" style="2" bestFit="1" customWidth="1"/>
    <col min="8447" max="8447" width="9" style="2"/>
    <col min="8448" max="8458" width="11.125" style="2" bestFit="1" customWidth="1"/>
    <col min="8459" max="8459" width="9" style="2"/>
    <col min="8460" max="8466" width="11.125" style="2" bestFit="1" customWidth="1"/>
    <col min="8467" max="8467" width="9.625" style="2" bestFit="1" customWidth="1"/>
    <col min="8468" max="8693" width="9" style="2"/>
    <col min="8694" max="8694" width="2.375" style="2" customWidth="1"/>
    <col min="8695" max="8695" width="13.25" style="2" bestFit="1" customWidth="1"/>
    <col min="8696" max="8698" width="11.125" style="2" bestFit="1" customWidth="1"/>
    <col min="8699" max="8699" width="13.25" style="2" bestFit="1" customWidth="1"/>
    <col min="8700" max="8700" width="11.125" style="2" bestFit="1" customWidth="1"/>
    <col min="8701" max="8701" width="9" style="2"/>
    <col min="8702" max="8702" width="11.125" style="2" bestFit="1" customWidth="1"/>
    <col min="8703" max="8703" width="9" style="2"/>
    <col min="8704" max="8714" width="11.125" style="2" bestFit="1" customWidth="1"/>
    <col min="8715" max="8715" width="9" style="2"/>
    <col min="8716" max="8722" width="11.125" style="2" bestFit="1" customWidth="1"/>
    <col min="8723" max="8723" width="9.625" style="2" bestFit="1" customWidth="1"/>
    <col min="8724" max="8949" width="9" style="2"/>
    <col min="8950" max="8950" width="2.375" style="2" customWidth="1"/>
    <col min="8951" max="8951" width="13.25" style="2" bestFit="1" customWidth="1"/>
    <col min="8952" max="8954" width="11.125" style="2" bestFit="1" customWidth="1"/>
    <col min="8955" max="8955" width="13.25" style="2" bestFit="1" customWidth="1"/>
    <col min="8956" max="8956" width="11.125" style="2" bestFit="1" customWidth="1"/>
    <col min="8957" max="8957" width="9" style="2"/>
    <col min="8958" max="8958" width="11.125" style="2" bestFit="1" customWidth="1"/>
    <col min="8959" max="8959" width="9" style="2"/>
    <col min="8960" max="8970" width="11.125" style="2" bestFit="1" customWidth="1"/>
    <col min="8971" max="8971" width="9" style="2"/>
    <col min="8972" max="8978" width="11.125" style="2" bestFit="1" customWidth="1"/>
    <col min="8979" max="8979" width="9.625" style="2" bestFit="1" customWidth="1"/>
    <col min="8980" max="9205" width="9" style="2"/>
    <col min="9206" max="9206" width="2.375" style="2" customWidth="1"/>
    <col min="9207" max="9207" width="13.25" style="2" bestFit="1" customWidth="1"/>
    <col min="9208" max="9210" width="11.125" style="2" bestFit="1" customWidth="1"/>
    <col min="9211" max="9211" width="13.25" style="2" bestFit="1" customWidth="1"/>
    <col min="9212" max="9212" width="11.125" style="2" bestFit="1" customWidth="1"/>
    <col min="9213" max="9213" width="9" style="2"/>
    <col min="9214" max="9214" width="11.125" style="2" bestFit="1" customWidth="1"/>
    <col min="9215" max="9215" width="9" style="2"/>
    <col min="9216" max="9226" width="11.125" style="2" bestFit="1" customWidth="1"/>
    <col min="9227" max="9227" width="9" style="2"/>
    <col min="9228" max="9234" width="11.125" style="2" bestFit="1" customWidth="1"/>
    <col min="9235" max="9235" width="9.625" style="2" bestFit="1" customWidth="1"/>
    <col min="9236" max="9461" width="9" style="2"/>
    <col min="9462" max="9462" width="2.375" style="2" customWidth="1"/>
    <col min="9463" max="9463" width="13.25" style="2" bestFit="1" customWidth="1"/>
    <col min="9464" max="9466" width="11.125" style="2" bestFit="1" customWidth="1"/>
    <col min="9467" max="9467" width="13.25" style="2" bestFit="1" customWidth="1"/>
    <col min="9468" max="9468" width="11.125" style="2" bestFit="1" customWidth="1"/>
    <col min="9469" max="9469" width="9" style="2"/>
    <col min="9470" max="9470" width="11.125" style="2" bestFit="1" customWidth="1"/>
    <col min="9471" max="9471" width="9" style="2"/>
    <col min="9472" max="9482" width="11.125" style="2" bestFit="1" customWidth="1"/>
    <col min="9483" max="9483" width="9" style="2"/>
    <col min="9484" max="9490" width="11.125" style="2" bestFit="1" customWidth="1"/>
    <col min="9491" max="9491" width="9.625" style="2" bestFit="1" customWidth="1"/>
    <col min="9492" max="9717" width="9" style="2"/>
    <col min="9718" max="9718" width="2.375" style="2" customWidth="1"/>
    <col min="9719" max="9719" width="13.25" style="2" bestFit="1" customWidth="1"/>
    <col min="9720" max="9722" width="11.125" style="2" bestFit="1" customWidth="1"/>
    <col min="9723" max="9723" width="13.25" style="2" bestFit="1" customWidth="1"/>
    <col min="9724" max="9724" width="11.125" style="2" bestFit="1" customWidth="1"/>
    <col min="9725" max="9725" width="9" style="2"/>
    <col min="9726" max="9726" width="11.125" style="2" bestFit="1" customWidth="1"/>
    <col min="9727" max="9727" width="9" style="2"/>
    <col min="9728" max="9738" width="11.125" style="2" bestFit="1" customWidth="1"/>
    <col min="9739" max="9739" width="9" style="2"/>
    <col min="9740" max="9746" width="11.125" style="2" bestFit="1" customWidth="1"/>
    <col min="9747" max="9747" width="9.625" style="2" bestFit="1" customWidth="1"/>
    <col min="9748" max="9973" width="9" style="2"/>
    <col min="9974" max="9974" width="2.375" style="2" customWidth="1"/>
    <col min="9975" max="9975" width="13.25" style="2" bestFit="1" customWidth="1"/>
    <col min="9976" max="9978" width="11.125" style="2" bestFit="1" customWidth="1"/>
    <col min="9979" max="9979" width="13.25" style="2" bestFit="1" customWidth="1"/>
    <col min="9980" max="9980" width="11.125" style="2" bestFit="1" customWidth="1"/>
    <col min="9981" max="9981" width="9" style="2"/>
    <col min="9982" max="9982" width="11.125" style="2" bestFit="1" customWidth="1"/>
    <col min="9983" max="9983" width="9" style="2"/>
    <col min="9984" max="9994" width="11.125" style="2" bestFit="1" customWidth="1"/>
    <col min="9995" max="9995" width="9" style="2"/>
    <col min="9996" max="10002" width="11.125" style="2" bestFit="1" customWidth="1"/>
    <col min="10003" max="10003" width="9.625" style="2" bestFit="1" customWidth="1"/>
    <col min="10004" max="10229" width="9" style="2"/>
    <col min="10230" max="10230" width="2.375" style="2" customWidth="1"/>
    <col min="10231" max="10231" width="13.25" style="2" bestFit="1" customWidth="1"/>
    <col min="10232" max="10234" width="11.125" style="2" bestFit="1" customWidth="1"/>
    <col min="10235" max="10235" width="13.25" style="2" bestFit="1" customWidth="1"/>
    <col min="10236" max="10236" width="11.125" style="2" bestFit="1" customWidth="1"/>
    <col min="10237" max="10237" width="9" style="2"/>
    <col min="10238" max="10238" width="11.125" style="2" bestFit="1" customWidth="1"/>
    <col min="10239" max="10239" width="9" style="2"/>
    <col min="10240" max="10250" width="11.125" style="2" bestFit="1" customWidth="1"/>
    <col min="10251" max="10251" width="9" style="2"/>
    <col min="10252" max="10258" width="11.125" style="2" bestFit="1" customWidth="1"/>
    <col min="10259" max="10259" width="9.625" style="2" bestFit="1" customWidth="1"/>
    <col min="10260" max="10485" width="9" style="2"/>
    <col min="10486" max="10486" width="2.375" style="2" customWidth="1"/>
    <col min="10487" max="10487" width="13.25" style="2" bestFit="1" customWidth="1"/>
    <col min="10488" max="10490" width="11.125" style="2" bestFit="1" customWidth="1"/>
    <col min="10491" max="10491" width="13.25" style="2" bestFit="1" customWidth="1"/>
    <col min="10492" max="10492" width="11.125" style="2" bestFit="1" customWidth="1"/>
    <col min="10493" max="10493" width="9" style="2"/>
    <col min="10494" max="10494" width="11.125" style="2" bestFit="1" customWidth="1"/>
    <col min="10495" max="10495" width="9" style="2"/>
    <col min="10496" max="10506" width="11.125" style="2" bestFit="1" customWidth="1"/>
    <col min="10507" max="10507" width="9" style="2"/>
    <col min="10508" max="10514" width="11.125" style="2" bestFit="1" customWidth="1"/>
    <col min="10515" max="10515" width="9.625" style="2" bestFit="1" customWidth="1"/>
    <col min="10516" max="10741" width="9" style="2"/>
    <col min="10742" max="10742" width="2.375" style="2" customWidth="1"/>
    <col min="10743" max="10743" width="13.25" style="2" bestFit="1" customWidth="1"/>
    <col min="10744" max="10746" width="11.125" style="2" bestFit="1" customWidth="1"/>
    <col min="10747" max="10747" width="13.25" style="2" bestFit="1" customWidth="1"/>
    <col min="10748" max="10748" width="11.125" style="2" bestFit="1" customWidth="1"/>
    <col min="10749" max="10749" width="9" style="2"/>
    <col min="10750" max="10750" width="11.125" style="2" bestFit="1" customWidth="1"/>
    <col min="10751" max="10751" width="9" style="2"/>
    <col min="10752" max="10762" width="11.125" style="2" bestFit="1" customWidth="1"/>
    <col min="10763" max="10763" width="9" style="2"/>
    <col min="10764" max="10770" width="11.125" style="2" bestFit="1" customWidth="1"/>
    <col min="10771" max="10771" width="9.625" style="2" bestFit="1" customWidth="1"/>
    <col min="10772" max="10997" width="9" style="2"/>
    <col min="10998" max="10998" width="2.375" style="2" customWidth="1"/>
    <col min="10999" max="10999" width="13.25" style="2" bestFit="1" customWidth="1"/>
    <col min="11000" max="11002" width="11.125" style="2" bestFit="1" customWidth="1"/>
    <col min="11003" max="11003" width="13.25" style="2" bestFit="1" customWidth="1"/>
    <col min="11004" max="11004" width="11.125" style="2" bestFit="1" customWidth="1"/>
    <col min="11005" max="11005" width="9" style="2"/>
    <col min="11006" max="11006" width="11.125" style="2" bestFit="1" customWidth="1"/>
    <col min="11007" max="11007" width="9" style="2"/>
    <col min="11008" max="11018" width="11.125" style="2" bestFit="1" customWidth="1"/>
    <col min="11019" max="11019" width="9" style="2"/>
    <col min="11020" max="11026" width="11.125" style="2" bestFit="1" customWidth="1"/>
    <col min="11027" max="11027" width="9.625" style="2" bestFit="1" customWidth="1"/>
    <col min="11028" max="11253" width="9" style="2"/>
    <col min="11254" max="11254" width="2.375" style="2" customWidth="1"/>
    <col min="11255" max="11255" width="13.25" style="2" bestFit="1" customWidth="1"/>
    <col min="11256" max="11258" width="11.125" style="2" bestFit="1" customWidth="1"/>
    <col min="11259" max="11259" width="13.25" style="2" bestFit="1" customWidth="1"/>
    <col min="11260" max="11260" width="11.125" style="2" bestFit="1" customWidth="1"/>
    <col min="11261" max="11261" width="9" style="2"/>
    <col min="11262" max="11262" width="11.125" style="2" bestFit="1" customWidth="1"/>
    <col min="11263" max="11263" width="9" style="2"/>
    <col min="11264" max="11274" width="11.125" style="2" bestFit="1" customWidth="1"/>
    <col min="11275" max="11275" width="9" style="2"/>
    <col min="11276" max="11282" width="11.125" style="2" bestFit="1" customWidth="1"/>
    <col min="11283" max="11283" width="9.625" style="2" bestFit="1" customWidth="1"/>
    <col min="11284" max="11509" width="9" style="2"/>
    <col min="11510" max="11510" width="2.375" style="2" customWidth="1"/>
    <col min="11511" max="11511" width="13.25" style="2" bestFit="1" customWidth="1"/>
    <col min="11512" max="11514" width="11.125" style="2" bestFit="1" customWidth="1"/>
    <col min="11515" max="11515" width="13.25" style="2" bestFit="1" customWidth="1"/>
    <col min="11516" max="11516" width="11.125" style="2" bestFit="1" customWidth="1"/>
    <col min="11517" max="11517" width="9" style="2"/>
    <col min="11518" max="11518" width="11.125" style="2" bestFit="1" customWidth="1"/>
    <col min="11519" max="11519" width="9" style="2"/>
    <col min="11520" max="11530" width="11.125" style="2" bestFit="1" customWidth="1"/>
    <col min="11531" max="11531" width="9" style="2"/>
    <col min="11532" max="11538" width="11.125" style="2" bestFit="1" customWidth="1"/>
    <col min="11539" max="11539" width="9.625" style="2" bestFit="1" customWidth="1"/>
    <col min="11540" max="11765" width="9" style="2"/>
    <col min="11766" max="11766" width="2.375" style="2" customWidth="1"/>
    <col min="11767" max="11767" width="13.25" style="2" bestFit="1" customWidth="1"/>
    <col min="11768" max="11770" width="11.125" style="2" bestFit="1" customWidth="1"/>
    <col min="11771" max="11771" width="13.25" style="2" bestFit="1" customWidth="1"/>
    <col min="11772" max="11772" width="11.125" style="2" bestFit="1" customWidth="1"/>
    <col min="11773" max="11773" width="9" style="2"/>
    <col min="11774" max="11774" width="11.125" style="2" bestFit="1" customWidth="1"/>
    <col min="11775" max="11775" width="9" style="2"/>
    <col min="11776" max="11786" width="11.125" style="2" bestFit="1" customWidth="1"/>
    <col min="11787" max="11787" width="9" style="2"/>
    <col min="11788" max="11794" width="11.125" style="2" bestFit="1" customWidth="1"/>
    <col min="11795" max="11795" width="9.625" style="2" bestFit="1" customWidth="1"/>
    <col min="11796" max="12021" width="9" style="2"/>
    <col min="12022" max="12022" width="2.375" style="2" customWidth="1"/>
    <col min="12023" max="12023" width="13.25" style="2" bestFit="1" customWidth="1"/>
    <col min="12024" max="12026" width="11.125" style="2" bestFit="1" customWidth="1"/>
    <col min="12027" max="12027" width="13.25" style="2" bestFit="1" customWidth="1"/>
    <col min="12028" max="12028" width="11.125" style="2" bestFit="1" customWidth="1"/>
    <col min="12029" max="12029" width="9" style="2"/>
    <col min="12030" max="12030" width="11.125" style="2" bestFit="1" customWidth="1"/>
    <col min="12031" max="12031" width="9" style="2"/>
    <col min="12032" max="12042" width="11.125" style="2" bestFit="1" customWidth="1"/>
    <col min="12043" max="12043" width="9" style="2"/>
    <col min="12044" max="12050" width="11.125" style="2" bestFit="1" customWidth="1"/>
    <col min="12051" max="12051" width="9.625" style="2" bestFit="1" customWidth="1"/>
    <col min="12052" max="12277" width="9" style="2"/>
    <col min="12278" max="12278" width="2.375" style="2" customWidth="1"/>
    <col min="12279" max="12279" width="13.25" style="2" bestFit="1" customWidth="1"/>
    <col min="12280" max="12282" width="11.125" style="2" bestFit="1" customWidth="1"/>
    <col min="12283" max="12283" width="13.25" style="2" bestFit="1" customWidth="1"/>
    <col min="12284" max="12284" width="11.125" style="2" bestFit="1" customWidth="1"/>
    <col min="12285" max="12285" width="9" style="2"/>
    <col min="12286" max="12286" width="11.125" style="2" bestFit="1" customWidth="1"/>
    <col min="12287" max="12287" width="9" style="2"/>
    <col min="12288" max="12298" width="11.125" style="2" bestFit="1" customWidth="1"/>
    <col min="12299" max="12299" width="9" style="2"/>
    <col min="12300" max="12306" width="11.125" style="2" bestFit="1" customWidth="1"/>
    <col min="12307" max="12307" width="9.625" style="2" bestFit="1" customWidth="1"/>
    <col min="12308" max="12533" width="9" style="2"/>
    <col min="12534" max="12534" width="2.375" style="2" customWidth="1"/>
    <col min="12535" max="12535" width="13.25" style="2" bestFit="1" customWidth="1"/>
    <col min="12536" max="12538" width="11.125" style="2" bestFit="1" customWidth="1"/>
    <col min="12539" max="12539" width="13.25" style="2" bestFit="1" customWidth="1"/>
    <col min="12540" max="12540" width="11.125" style="2" bestFit="1" customWidth="1"/>
    <col min="12541" max="12541" width="9" style="2"/>
    <col min="12542" max="12542" width="11.125" style="2" bestFit="1" customWidth="1"/>
    <col min="12543" max="12543" width="9" style="2"/>
    <col min="12544" max="12554" width="11.125" style="2" bestFit="1" customWidth="1"/>
    <col min="12555" max="12555" width="9" style="2"/>
    <col min="12556" max="12562" width="11.125" style="2" bestFit="1" customWidth="1"/>
    <col min="12563" max="12563" width="9.625" style="2" bestFit="1" customWidth="1"/>
    <col min="12564" max="12789" width="9" style="2"/>
    <col min="12790" max="12790" width="2.375" style="2" customWidth="1"/>
    <col min="12791" max="12791" width="13.25" style="2" bestFit="1" customWidth="1"/>
    <col min="12792" max="12794" width="11.125" style="2" bestFit="1" customWidth="1"/>
    <col min="12795" max="12795" width="13.25" style="2" bestFit="1" customWidth="1"/>
    <col min="12796" max="12796" width="11.125" style="2" bestFit="1" customWidth="1"/>
    <col min="12797" max="12797" width="9" style="2"/>
    <col min="12798" max="12798" width="11.125" style="2" bestFit="1" customWidth="1"/>
    <col min="12799" max="12799" width="9" style="2"/>
    <col min="12800" max="12810" width="11.125" style="2" bestFit="1" customWidth="1"/>
    <col min="12811" max="12811" width="9" style="2"/>
    <col min="12812" max="12818" width="11.125" style="2" bestFit="1" customWidth="1"/>
    <col min="12819" max="12819" width="9.625" style="2" bestFit="1" customWidth="1"/>
    <col min="12820" max="13045" width="9" style="2"/>
    <col min="13046" max="13046" width="2.375" style="2" customWidth="1"/>
    <col min="13047" max="13047" width="13.25" style="2" bestFit="1" customWidth="1"/>
    <col min="13048" max="13050" width="11.125" style="2" bestFit="1" customWidth="1"/>
    <col min="13051" max="13051" width="13.25" style="2" bestFit="1" customWidth="1"/>
    <col min="13052" max="13052" width="11.125" style="2" bestFit="1" customWidth="1"/>
    <col min="13053" max="13053" width="9" style="2"/>
    <col min="13054" max="13054" width="11.125" style="2" bestFit="1" customWidth="1"/>
    <col min="13055" max="13055" width="9" style="2"/>
    <col min="13056" max="13066" width="11.125" style="2" bestFit="1" customWidth="1"/>
    <col min="13067" max="13067" width="9" style="2"/>
    <col min="13068" max="13074" width="11.125" style="2" bestFit="1" customWidth="1"/>
    <col min="13075" max="13075" width="9.625" style="2" bestFit="1" customWidth="1"/>
    <col min="13076" max="13301" width="9" style="2"/>
    <col min="13302" max="13302" width="2.375" style="2" customWidth="1"/>
    <col min="13303" max="13303" width="13.25" style="2" bestFit="1" customWidth="1"/>
    <col min="13304" max="13306" width="11.125" style="2" bestFit="1" customWidth="1"/>
    <col min="13307" max="13307" width="13.25" style="2" bestFit="1" customWidth="1"/>
    <col min="13308" max="13308" width="11.125" style="2" bestFit="1" customWidth="1"/>
    <col min="13309" max="13309" width="9" style="2"/>
    <col min="13310" max="13310" width="11.125" style="2" bestFit="1" customWidth="1"/>
    <col min="13311" max="13311" width="9" style="2"/>
    <col min="13312" max="13322" width="11.125" style="2" bestFit="1" customWidth="1"/>
    <col min="13323" max="13323" width="9" style="2"/>
    <col min="13324" max="13330" width="11.125" style="2" bestFit="1" customWidth="1"/>
    <col min="13331" max="13331" width="9.625" style="2" bestFit="1" customWidth="1"/>
    <col min="13332" max="13557" width="9" style="2"/>
    <col min="13558" max="13558" width="2.375" style="2" customWidth="1"/>
    <col min="13559" max="13559" width="13.25" style="2" bestFit="1" customWidth="1"/>
    <col min="13560" max="13562" width="11.125" style="2" bestFit="1" customWidth="1"/>
    <col min="13563" max="13563" width="13.25" style="2" bestFit="1" customWidth="1"/>
    <col min="13564" max="13564" width="11.125" style="2" bestFit="1" customWidth="1"/>
    <col min="13565" max="13565" width="9" style="2"/>
    <col min="13566" max="13566" width="11.125" style="2" bestFit="1" customWidth="1"/>
    <col min="13567" max="13567" width="9" style="2"/>
    <col min="13568" max="13578" width="11.125" style="2" bestFit="1" customWidth="1"/>
    <col min="13579" max="13579" width="9" style="2"/>
    <col min="13580" max="13586" width="11.125" style="2" bestFit="1" customWidth="1"/>
    <col min="13587" max="13587" width="9.625" style="2" bestFit="1" customWidth="1"/>
    <col min="13588" max="13813" width="9" style="2"/>
    <col min="13814" max="13814" width="2.375" style="2" customWidth="1"/>
    <col min="13815" max="13815" width="13.25" style="2" bestFit="1" customWidth="1"/>
    <col min="13816" max="13818" width="11.125" style="2" bestFit="1" customWidth="1"/>
    <col min="13819" max="13819" width="13.25" style="2" bestFit="1" customWidth="1"/>
    <col min="13820" max="13820" width="11.125" style="2" bestFit="1" customWidth="1"/>
    <col min="13821" max="13821" width="9" style="2"/>
    <col min="13822" max="13822" width="11.125" style="2" bestFit="1" customWidth="1"/>
    <col min="13823" max="13823" width="9" style="2"/>
    <col min="13824" max="13834" width="11.125" style="2" bestFit="1" customWidth="1"/>
    <col min="13835" max="13835" width="9" style="2"/>
    <col min="13836" max="13842" width="11.125" style="2" bestFit="1" customWidth="1"/>
    <col min="13843" max="13843" width="9.625" style="2" bestFit="1" customWidth="1"/>
    <col min="13844" max="14069" width="9" style="2"/>
    <col min="14070" max="14070" width="2.375" style="2" customWidth="1"/>
    <col min="14071" max="14071" width="13.25" style="2" bestFit="1" customWidth="1"/>
    <col min="14072" max="14074" width="11.125" style="2" bestFit="1" customWidth="1"/>
    <col min="14075" max="14075" width="13.25" style="2" bestFit="1" customWidth="1"/>
    <col min="14076" max="14076" width="11.125" style="2" bestFit="1" customWidth="1"/>
    <col min="14077" max="14077" width="9" style="2"/>
    <col min="14078" max="14078" width="11.125" style="2" bestFit="1" customWidth="1"/>
    <col min="14079" max="14079" width="9" style="2"/>
    <col min="14080" max="14090" width="11.125" style="2" bestFit="1" customWidth="1"/>
    <col min="14091" max="14091" width="9" style="2"/>
    <col min="14092" max="14098" width="11.125" style="2" bestFit="1" customWidth="1"/>
    <col min="14099" max="14099" width="9.625" style="2" bestFit="1" customWidth="1"/>
    <col min="14100" max="14325" width="9" style="2"/>
    <col min="14326" max="14326" width="2.375" style="2" customWidth="1"/>
    <col min="14327" max="14327" width="13.25" style="2" bestFit="1" customWidth="1"/>
    <col min="14328" max="14330" width="11.125" style="2" bestFit="1" customWidth="1"/>
    <col min="14331" max="14331" width="13.25" style="2" bestFit="1" customWidth="1"/>
    <col min="14332" max="14332" width="11.125" style="2" bestFit="1" customWidth="1"/>
    <col min="14333" max="14333" width="9" style="2"/>
    <col min="14334" max="14334" width="11.125" style="2" bestFit="1" customWidth="1"/>
    <col min="14335" max="14335" width="9" style="2"/>
    <col min="14336" max="14346" width="11.125" style="2" bestFit="1" customWidth="1"/>
    <col min="14347" max="14347" width="9" style="2"/>
    <col min="14348" max="14354" width="11.125" style="2" bestFit="1" customWidth="1"/>
    <col min="14355" max="14355" width="9.625" style="2" bestFit="1" customWidth="1"/>
    <col min="14356" max="14581" width="9" style="2"/>
    <col min="14582" max="14582" width="2.375" style="2" customWidth="1"/>
    <col min="14583" max="14583" width="13.25" style="2" bestFit="1" customWidth="1"/>
    <col min="14584" max="14586" width="11.125" style="2" bestFit="1" customWidth="1"/>
    <col min="14587" max="14587" width="13.25" style="2" bestFit="1" customWidth="1"/>
    <col min="14588" max="14588" width="11.125" style="2" bestFit="1" customWidth="1"/>
    <col min="14589" max="14589" width="9" style="2"/>
    <col min="14590" max="14590" width="11.125" style="2" bestFit="1" customWidth="1"/>
    <col min="14591" max="14591" width="9" style="2"/>
    <col min="14592" max="14602" width="11.125" style="2" bestFit="1" customWidth="1"/>
    <col min="14603" max="14603" width="9" style="2"/>
    <col min="14604" max="14610" width="11.125" style="2" bestFit="1" customWidth="1"/>
    <col min="14611" max="14611" width="9.625" style="2" bestFit="1" customWidth="1"/>
    <col min="14612" max="14837" width="9" style="2"/>
    <col min="14838" max="14838" width="2.375" style="2" customWidth="1"/>
    <col min="14839" max="14839" width="13.25" style="2" bestFit="1" customWidth="1"/>
    <col min="14840" max="14842" width="11.125" style="2" bestFit="1" customWidth="1"/>
    <col min="14843" max="14843" width="13.25" style="2" bestFit="1" customWidth="1"/>
    <col min="14844" max="14844" width="11.125" style="2" bestFit="1" customWidth="1"/>
    <col min="14845" max="14845" width="9" style="2"/>
    <col min="14846" max="14846" width="11.125" style="2" bestFit="1" customWidth="1"/>
    <col min="14847" max="14847" width="9" style="2"/>
    <col min="14848" max="14858" width="11.125" style="2" bestFit="1" customWidth="1"/>
    <col min="14859" max="14859" width="9" style="2"/>
    <col min="14860" max="14866" width="11.125" style="2" bestFit="1" customWidth="1"/>
    <col min="14867" max="14867" width="9.625" style="2" bestFit="1" customWidth="1"/>
    <col min="14868" max="15093" width="9" style="2"/>
    <col min="15094" max="15094" width="2.375" style="2" customWidth="1"/>
    <col min="15095" max="15095" width="13.25" style="2" bestFit="1" customWidth="1"/>
    <col min="15096" max="15098" width="11.125" style="2" bestFit="1" customWidth="1"/>
    <col min="15099" max="15099" width="13.25" style="2" bestFit="1" customWidth="1"/>
    <col min="15100" max="15100" width="11.125" style="2" bestFit="1" customWidth="1"/>
    <col min="15101" max="15101" width="9" style="2"/>
    <col min="15102" max="15102" width="11.125" style="2" bestFit="1" customWidth="1"/>
    <col min="15103" max="15103" width="9" style="2"/>
    <col min="15104" max="15114" width="11.125" style="2" bestFit="1" customWidth="1"/>
    <col min="15115" max="15115" width="9" style="2"/>
    <col min="15116" max="15122" width="11.125" style="2" bestFit="1" customWidth="1"/>
    <col min="15123" max="15123" width="9.625" style="2" bestFit="1" customWidth="1"/>
    <col min="15124" max="15349" width="9" style="2"/>
    <col min="15350" max="15350" width="2.375" style="2" customWidth="1"/>
    <col min="15351" max="15351" width="13.25" style="2" bestFit="1" customWidth="1"/>
    <col min="15352" max="15354" width="11.125" style="2" bestFit="1" customWidth="1"/>
    <col min="15355" max="15355" width="13.25" style="2" bestFit="1" customWidth="1"/>
    <col min="15356" max="15356" width="11.125" style="2" bestFit="1" customWidth="1"/>
    <col min="15357" max="15357" width="9" style="2"/>
    <col min="15358" max="15358" width="11.125" style="2" bestFit="1" customWidth="1"/>
    <col min="15359" max="15359" width="9" style="2"/>
    <col min="15360" max="15370" width="11.125" style="2" bestFit="1" customWidth="1"/>
    <col min="15371" max="15371" width="9" style="2"/>
    <col min="15372" max="15378" width="11.125" style="2" bestFit="1" customWidth="1"/>
    <col min="15379" max="15379" width="9.625" style="2" bestFit="1" customWidth="1"/>
    <col min="15380" max="15605" width="9" style="2"/>
    <col min="15606" max="15606" width="2.375" style="2" customWidth="1"/>
    <col min="15607" max="15607" width="13.25" style="2" bestFit="1" customWidth="1"/>
    <col min="15608" max="15610" width="11.125" style="2" bestFit="1" customWidth="1"/>
    <col min="15611" max="15611" width="13.25" style="2" bestFit="1" customWidth="1"/>
    <col min="15612" max="15612" width="11.125" style="2" bestFit="1" customWidth="1"/>
    <col min="15613" max="15613" width="9" style="2"/>
    <col min="15614" max="15614" width="11.125" style="2" bestFit="1" customWidth="1"/>
    <col min="15615" max="15615" width="9" style="2"/>
    <col min="15616" max="15626" width="11.125" style="2" bestFit="1" customWidth="1"/>
    <col min="15627" max="15627" width="9" style="2"/>
    <col min="15628" max="15634" width="11.125" style="2" bestFit="1" customWidth="1"/>
    <col min="15635" max="15635" width="9.625" style="2" bestFit="1" customWidth="1"/>
    <col min="15636" max="15861" width="9" style="2"/>
    <col min="15862" max="15862" width="2.375" style="2" customWidth="1"/>
    <col min="15863" max="15863" width="13.25" style="2" bestFit="1" customWidth="1"/>
    <col min="15864" max="15866" width="11.125" style="2" bestFit="1" customWidth="1"/>
    <col min="15867" max="15867" width="13.25" style="2" bestFit="1" customWidth="1"/>
    <col min="15868" max="15868" width="11.125" style="2" bestFit="1" customWidth="1"/>
    <col min="15869" max="15869" width="9" style="2"/>
    <col min="15870" max="15870" width="11.125" style="2" bestFit="1" customWidth="1"/>
    <col min="15871" max="15871" width="9" style="2"/>
    <col min="15872" max="15882" width="11.125" style="2" bestFit="1" customWidth="1"/>
    <col min="15883" max="15883" width="9" style="2"/>
    <col min="15884" max="15890" width="11.125" style="2" bestFit="1" customWidth="1"/>
    <col min="15891" max="15891" width="9.625" style="2" bestFit="1" customWidth="1"/>
    <col min="15892" max="16117" width="9" style="2"/>
    <col min="16118" max="16118" width="2.375" style="2" customWidth="1"/>
    <col min="16119" max="16119" width="13.25" style="2" bestFit="1" customWidth="1"/>
    <col min="16120" max="16122" width="11.125" style="2" bestFit="1" customWidth="1"/>
    <col min="16123" max="16123" width="13.25" style="2" bestFit="1" customWidth="1"/>
    <col min="16124" max="16124" width="11.125" style="2" bestFit="1" customWidth="1"/>
    <col min="16125" max="16125" width="9" style="2"/>
    <col min="16126" max="16126" width="11.125" style="2" bestFit="1" customWidth="1"/>
    <col min="16127" max="16127" width="9" style="2"/>
    <col min="16128" max="16138" width="11.125" style="2" bestFit="1" customWidth="1"/>
    <col min="16139" max="16139" width="9" style="2"/>
    <col min="16140" max="16146" width="11.125" style="2" bestFit="1" customWidth="1"/>
    <col min="16147" max="16147" width="9.625" style="2" bestFit="1" customWidth="1"/>
    <col min="16148" max="16384" width="9" style="2"/>
  </cols>
  <sheetData>
    <row r="1" spans="1:20">
      <c r="A1" s="1" t="s">
        <v>0</v>
      </c>
    </row>
    <row r="2" spans="1:20">
      <c r="A2" s="1" t="s">
        <v>1</v>
      </c>
    </row>
    <row r="3" spans="1:20" ht="19.5" thickBot="1">
      <c r="A3" s="1" t="s">
        <v>114</v>
      </c>
    </row>
    <row r="4" spans="1:20">
      <c r="B4" s="3"/>
      <c r="C4" s="9" t="s">
        <v>3</v>
      </c>
      <c r="D4" s="10" t="s">
        <v>4</v>
      </c>
      <c r="E4" s="10" t="s">
        <v>8</v>
      </c>
      <c r="F4" s="10" t="s">
        <v>9</v>
      </c>
      <c r="G4" s="10" t="s">
        <v>10</v>
      </c>
      <c r="H4" s="10" t="s">
        <v>11</v>
      </c>
      <c r="I4" s="10" t="s">
        <v>12</v>
      </c>
      <c r="J4" s="10" t="s">
        <v>13</v>
      </c>
      <c r="K4" s="10" t="s">
        <v>14</v>
      </c>
      <c r="L4" s="10" t="s">
        <v>15</v>
      </c>
      <c r="M4" s="10" t="s">
        <v>16</v>
      </c>
      <c r="N4" s="10" t="s">
        <v>17</v>
      </c>
      <c r="O4" s="10" t="s">
        <v>18</v>
      </c>
      <c r="P4" s="10" t="s">
        <v>19</v>
      </c>
      <c r="Q4" s="10" t="s">
        <v>20</v>
      </c>
      <c r="R4" s="10" t="s">
        <v>21</v>
      </c>
      <c r="S4" s="49" t="s">
        <v>22</v>
      </c>
      <c r="T4" s="72" t="s">
        <v>115</v>
      </c>
    </row>
    <row r="5" spans="1:20" ht="19.5" thickBot="1">
      <c r="A5" s="46"/>
      <c r="B5" s="28" t="s">
        <v>30</v>
      </c>
      <c r="C5" s="29" t="s">
        <v>31</v>
      </c>
      <c r="D5" s="30" t="s">
        <v>32</v>
      </c>
      <c r="E5" s="30" t="s">
        <v>35</v>
      </c>
      <c r="F5" s="30" t="s">
        <v>36</v>
      </c>
      <c r="G5" s="30" t="s">
        <v>37</v>
      </c>
      <c r="H5" s="30" t="s">
        <v>38</v>
      </c>
      <c r="I5" s="30" t="s">
        <v>39</v>
      </c>
      <c r="J5" s="30" t="s">
        <v>40</v>
      </c>
      <c r="K5" s="30" t="s">
        <v>41</v>
      </c>
      <c r="L5" s="30" t="s">
        <v>42</v>
      </c>
      <c r="M5" s="30" t="s">
        <v>43</v>
      </c>
      <c r="N5" s="30" t="s">
        <v>44</v>
      </c>
      <c r="O5" s="30" t="s">
        <v>45</v>
      </c>
      <c r="P5" s="30" t="s">
        <v>46</v>
      </c>
      <c r="Q5" s="30" t="s">
        <v>47</v>
      </c>
      <c r="R5" s="30" t="s">
        <v>48</v>
      </c>
      <c r="S5" s="50" t="s">
        <v>49</v>
      </c>
      <c r="T5" s="73" t="s">
        <v>116</v>
      </c>
    </row>
    <row r="6" spans="1:20">
      <c r="A6" s="1" t="s">
        <v>2</v>
      </c>
      <c r="B6" s="24" t="s">
        <v>54</v>
      </c>
      <c r="C6" s="25">
        <v>20</v>
      </c>
      <c r="D6" s="26">
        <v>0</v>
      </c>
      <c r="E6" s="26">
        <v>18</v>
      </c>
      <c r="F6" s="26">
        <v>21</v>
      </c>
      <c r="G6" s="26">
        <v>17</v>
      </c>
      <c r="H6" s="26">
        <v>22</v>
      </c>
      <c r="I6" s="26">
        <v>22</v>
      </c>
      <c r="J6" s="26">
        <v>19</v>
      </c>
      <c r="K6" s="26">
        <v>22</v>
      </c>
      <c r="L6" s="26">
        <v>22</v>
      </c>
      <c r="M6" s="26">
        <v>19</v>
      </c>
      <c r="N6" s="26">
        <v>19</v>
      </c>
      <c r="O6" s="26">
        <v>21</v>
      </c>
      <c r="P6" s="26">
        <v>20</v>
      </c>
      <c r="Q6" s="26">
        <v>20</v>
      </c>
      <c r="R6" s="26">
        <v>21</v>
      </c>
      <c r="S6" s="51">
        <v>19</v>
      </c>
      <c r="T6" s="74">
        <f>SUM(C6:S6)</f>
        <v>322</v>
      </c>
    </row>
    <row r="7" spans="1:20">
      <c r="A7" s="1" t="s">
        <v>2</v>
      </c>
      <c r="B7" s="5" t="s">
        <v>55</v>
      </c>
      <c r="C7" s="12">
        <v>3</v>
      </c>
      <c r="D7" s="13">
        <v>0</v>
      </c>
      <c r="E7" s="13">
        <v>4</v>
      </c>
      <c r="F7" s="13">
        <v>3</v>
      </c>
      <c r="G7" s="13">
        <v>3</v>
      </c>
      <c r="H7" s="13">
        <v>2</v>
      </c>
      <c r="I7" s="13">
        <v>2</v>
      </c>
      <c r="J7" s="13">
        <v>3</v>
      </c>
      <c r="K7" s="13">
        <v>2</v>
      </c>
      <c r="L7" s="13">
        <v>2</v>
      </c>
      <c r="M7" s="13">
        <v>3</v>
      </c>
      <c r="N7" s="13">
        <v>2</v>
      </c>
      <c r="O7" s="13">
        <v>2</v>
      </c>
      <c r="P7" s="13">
        <v>2</v>
      </c>
      <c r="Q7" s="13">
        <v>2</v>
      </c>
      <c r="R7" s="13">
        <v>1</v>
      </c>
      <c r="S7" s="52">
        <v>2</v>
      </c>
      <c r="T7" s="75">
        <f>SUM(C7:S7)</f>
        <v>38</v>
      </c>
    </row>
    <row r="8" spans="1:20">
      <c r="A8" s="1" t="s">
        <v>2</v>
      </c>
      <c r="B8" s="5" t="s">
        <v>56</v>
      </c>
      <c r="C8" s="12">
        <v>2</v>
      </c>
      <c r="D8" s="13">
        <v>0</v>
      </c>
      <c r="E8" s="13">
        <v>3</v>
      </c>
      <c r="F8" s="13">
        <v>1</v>
      </c>
      <c r="G8" s="13">
        <v>1</v>
      </c>
      <c r="H8" s="13">
        <v>2</v>
      </c>
      <c r="I8" s="13">
        <v>3</v>
      </c>
      <c r="J8" s="13">
        <v>1</v>
      </c>
      <c r="K8" s="13">
        <v>3</v>
      </c>
      <c r="L8" s="13">
        <v>2</v>
      </c>
      <c r="M8" s="13">
        <v>3</v>
      </c>
      <c r="N8" s="13">
        <v>5</v>
      </c>
      <c r="O8" s="13">
        <v>3</v>
      </c>
      <c r="P8" s="13">
        <v>2</v>
      </c>
      <c r="Q8" s="13">
        <v>3</v>
      </c>
      <c r="R8" s="13">
        <v>1</v>
      </c>
      <c r="S8" s="52">
        <v>4</v>
      </c>
      <c r="T8" s="75">
        <f t="shared" ref="T8:T12" si="0">SUM(C8:S8)</f>
        <v>39</v>
      </c>
    </row>
    <row r="9" spans="1:20">
      <c r="A9" s="1" t="s">
        <v>2</v>
      </c>
      <c r="B9" s="5" t="s">
        <v>57</v>
      </c>
      <c r="C9" s="12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2</v>
      </c>
      <c r="O9" s="13">
        <v>0</v>
      </c>
      <c r="P9" s="13">
        <v>0</v>
      </c>
      <c r="Q9" s="13">
        <v>0</v>
      </c>
      <c r="R9" s="13">
        <v>1</v>
      </c>
      <c r="S9" s="52">
        <v>1</v>
      </c>
      <c r="T9" s="75">
        <f t="shared" si="0"/>
        <v>4</v>
      </c>
    </row>
    <row r="10" spans="1:20">
      <c r="A10" s="1" t="s">
        <v>2</v>
      </c>
      <c r="B10" s="5" t="s">
        <v>58</v>
      </c>
      <c r="C10" s="12">
        <v>2</v>
      </c>
      <c r="D10" s="13">
        <v>0</v>
      </c>
      <c r="E10" s="13">
        <v>2</v>
      </c>
      <c r="F10" s="13">
        <v>1</v>
      </c>
      <c r="G10" s="13">
        <v>3</v>
      </c>
      <c r="H10" s="13">
        <v>0</v>
      </c>
      <c r="I10" s="13">
        <v>0</v>
      </c>
      <c r="J10" s="13">
        <v>1</v>
      </c>
      <c r="K10" s="13">
        <v>0</v>
      </c>
      <c r="L10" s="13">
        <v>0</v>
      </c>
      <c r="M10" s="13">
        <v>3</v>
      </c>
      <c r="N10" s="13">
        <v>1</v>
      </c>
      <c r="O10" s="13">
        <v>1</v>
      </c>
      <c r="P10" s="13">
        <v>2</v>
      </c>
      <c r="Q10" s="13">
        <v>0</v>
      </c>
      <c r="R10" s="13">
        <v>0</v>
      </c>
      <c r="S10" s="52">
        <v>2</v>
      </c>
      <c r="T10" s="75">
        <f t="shared" si="0"/>
        <v>18</v>
      </c>
    </row>
    <row r="11" spans="1:20">
      <c r="A11" s="1" t="s">
        <v>2</v>
      </c>
      <c r="B11" s="5" t="s">
        <v>59</v>
      </c>
      <c r="C11" s="12">
        <v>0</v>
      </c>
      <c r="D11" s="13">
        <v>0</v>
      </c>
      <c r="E11" s="13">
        <v>2</v>
      </c>
      <c r="F11" s="13">
        <v>0</v>
      </c>
      <c r="G11" s="13">
        <v>2</v>
      </c>
      <c r="H11" s="13">
        <v>0</v>
      </c>
      <c r="I11" s="13">
        <v>0</v>
      </c>
      <c r="J11" s="13">
        <v>2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2</v>
      </c>
      <c r="R11" s="13">
        <v>0</v>
      </c>
      <c r="S11" s="52">
        <v>0</v>
      </c>
      <c r="T11" s="75">
        <f t="shared" si="0"/>
        <v>8</v>
      </c>
    </row>
    <row r="12" spans="1:20">
      <c r="A12" s="1" t="s">
        <v>2</v>
      </c>
      <c r="B12" s="5" t="s">
        <v>60</v>
      </c>
      <c r="C12" s="12">
        <v>0</v>
      </c>
      <c r="D12" s="13">
        <v>22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52">
        <v>0</v>
      </c>
      <c r="T12" s="75">
        <f t="shared" si="0"/>
        <v>22</v>
      </c>
    </row>
    <row r="13" spans="1:20">
      <c r="A13" s="1" t="s">
        <v>2</v>
      </c>
      <c r="B13" s="5" t="s">
        <v>61</v>
      </c>
      <c r="C13" s="12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52">
        <v>0</v>
      </c>
      <c r="T13" s="75"/>
    </row>
    <row r="14" spans="1:20">
      <c r="A14" s="1" t="s">
        <v>2</v>
      </c>
      <c r="B14" s="5" t="s">
        <v>62</v>
      </c>
      <c r="C14" s="15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53">
        <v>0</v>
      </c>
      <c r="T14" s="76"/>
    </row>
    <row r="15" spans="1:20">
      <c r="A15" s="1" t="s">
        <v>2</v>
      </c>
      <c r="B15" s="5" t="s">
        <v>63</v>
      </c>
      <c r="C15" s="15">
        <v>1.2083333333333333</v>
      </c>
      <c r="D15" s="16">
        <v>0</v>
      </c>
      <c r="E15" s="16">
        <v>1</v>
      </c>
      <c r="F15" s="16">
        <v>2.25</v>
      </c>
      <c r="G15" s="16">
        <v>0.75</v>
      </c>
      <c r="H15" s="16">
        <v>3.375</v>
      </c>
      <c r="I15" s="16">
        <v>2.6666666666666665</v>
      </c>
      <c r="J15" s="16">
        <v>2.2083333333333335</v>
      </c>
      <c r="K15" s="16">
        <v>2.0833333333333335</v>
      </c>
      <c r="L15" s="16">
        <v>1.3333333333333333</v>
      </c>
      <c r="M15" s="16">
        <v>0.83333333333333337</v>
      </c>
      <c r="N15" s="16">
        <v>2.5833333333333335</v>
      </c>
      <c r="O15" s="16">
        <v>1.875</v>
      </c>
      <c r="P15" s="16">
        <v>2.7916666666666665</v>
      </c>
      <c r="Q15" s="16">
        <v>2.4166666666666665</v>
      </c>
      <c r="R15" s="16">
        <v>1.4166666666666667</v>
      </c>
      <c r="S15" s="53">
        <v>2.125</v>
      </c>
      <c r="T15" s="76">
        <f>SUM(C15:S15)</f>
        <v>30.916666666666668</v>
      </c>
    </row>
    <row r="16" spans="1:20">
      <c r="A16" s="1" t="s">
        <v>2</v>
      </c>
      <c r="B16" s="5" t="s">
        <v>64</v>
      </c>
      <c r="C16" s="15">
        <v>1.125</v>
      </c>
      <c r="D16" s="16">
        <v>0</v>
      </c>
      <c r="E16" s="16">
        <v>1.5833333333333335</v>
      </c>
      <c r="F16" s="16">
        <v>1.0416666666666667</v>
      </c>
      <c r="G16" s="16">
        <v>1.1666666666666667</v>
      </c>
      <c r="H16" s="16">
        <v>0.91666666666666663</v>
      </c>
      <c r="I16" s="16">
        <v>0.91666666666666663</v>
      </c>
      <c r="J16" s="16">
        <v>1.2916666666666667</v>
      </c>
      <c r="K16" s="16">
        <v>0.83333333333333337</v>
      </c>
      <c r="L16" s="16">
        <v>0.79166666666666663</v>
      </c>
      <c r="M16" s="16">
        <v>1.375</v>
      </c>
      <c r="N16" s="16">
        <v>0.41666666666666669</v>
      </c>
      <c r="O16" s="16">
        <v>0.625</v>
      </c>
      <c r="P16" s="16">
        <v>0.875</v>
      </c>
      <c r="Q16" s="16">
        <v>0.91666666666666663</v>
      </c>
      <c r="R16" s="16">
        <v>0</v>
      </c>
      <c r="S16" s="53">
        <v>0.375</v>
      </c>
      <c r="T16" s="76">
        <f t="shared" ref="T16:T19" si="1">SUM(C16:S16)</f>
        <v>14.25</v>
      </c>
    </row>
    <row r="17" spans="1:20">
      <c r="A17" s="1" t="s">
        <v>2</v>
      </c>
      <c r="B17" s="5" t="s">
        <v>65</v>
      </c>
      <c r="C17" s="15">
        <v>0.58333333333333337</v>
      </c>
      <c r="D17" s="16">
        <v>0</v>
      </c>
      <c r="E17" s="16">
        <v>1.2083333333333333</v>
      </c>
      <c r="F17" s="16">
        <v>0.33333333333333331</v>
      </c>
      <c r="G17" s="16">
        <v>0.16666666666666666</v>
      </c>
      <c r="H17" s="16">
        <v>0.875</v>
      </c>
      <c r="I17" s="16">
        <v>0.91666666666666663</v>
      </c>
      <c r="J17" s="16">
        <v>0.33333333333333331</v>
      </c>
      <c r="K17" s="16">
        <v>1.2083333333333333</v>
      </c>
      <c r="L17" s="16">
        <v>0.66666666666666663</v>
      </c>
      <c r="M17" s="16">
        <v>1.375</v>
      </c>
      <c r="N17" s="16">
        <v>1.75</v>
      </c>
      <c r="O17" s="16">
        <v>0.91666666666666663</v>
      </c>
      <c r="P17" s="16">
        <v>0.91666666666666663</v>
      </c>
      <c r="Q17" s="16">
        <v>0.66666666666666663</v>
      </c>
      <c r="R17" s="16">
        <v>0.54166666666666663</v>
      </c>
      <c r="S17" s="53">
        <v>1.1666666666666667</v>
      </c>
      <c r="T17" s="76">
        <f t="shared" si="1"/>
        <v>13.624999999999996</v>
      </c>
    </row>
    <row r="18" spans="1:20">
      <c r="A18" s="1" t="s">
        <v>2</v>
      </c>
      <c r="B18" s="5" t="s">
        <v>66</v>
      </c>
      <c r="C18" s="15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0.41666666666666669</v>
      </c>
      <c r="O18" s="16">
        <v>0</v>
      </c>
      <c r="P18" s="16">
        <v>0</v>
      </c>
      <c r="Q18" s="16">
        <v>0</v>
      </c>
      <c r="R18" s="16">
        <v>0.41666666666666669</v>
      </c>
      <c r="S18" s="53">
        <v>0.29166666666666669</v>
      </c>
      <c r="T18" s="76">
        <f t="shared" si="1"/>
        <v>1.125</v>
      </c>
    </row>
    <row r="19" spans="1:20">
      <c r="A19" s="1" t="s">
        <v>2</v>
      </c>
      <c r="B19" s="5" t="s">
        <v>67</v>
      </c>
      <c r="C19" s="15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0.375</v>
      </c>
      <c r="O19" s="16">
        <v>0</v>
      </c>
      <c r="P19" s="16">
        <v>0</v>
      </c>
      <c r="Q19" s="16">
        <v>0</v>
      </c>
      <c r="R19" s="16">
        <v>0</v>
      </c>
      <c r="S19" s="53">
        <v>0</v>
      </c>
      <c r="T19" s="76">
        <f t="shared" si="1"/>
        <v>0.375</v>
      </c>
    </row>
    <row r="20" spans="1:20">
      <c r="A20" s="1" t="s">
        <v>2</v>
      </c>
      <c r="B20" s="5" t="s">
        <v>68</v>
      </c>
      <c r="C20" s="15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53">
        <v>0</v>
      </c>
      <c r="T20" s="76"/>
    </row>
    <row r="21" spans="1:20">
      <c r="A21" s="1" t="s">
        <v>2</v>
      </c>
      <c r="B21" s="5" t="s">
        <v>69</v>
      </c>
      <c r="C21" s="15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53">
        <v>0</v>
      </c>
      <c r="T21" s="76"/>
    </row>
    <row r="22" spans="1:20">
      <c r="A22" s="1" t="s">
        <v>2</v>
      </c>
      <c r="B22" s="5" t="s">
        <v>70</v>
      </c>
      <c r="C22" s="15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53">
        <v>0</v>
      </c>
      <c r="T22" s="76"/>
    </row>
    <row r="23" spans="1:20">
      <c r="A23" s="1" t="s">
        <v>2</v>
      </c>
      <c r="B23" s="5" t="s">
        <v>71</v>
      </c>
      <c r="C23" s="15">
        <v>0.125</v>
      </c>
      <c r="D23" s="16">
        <v>0</v>
      </c>
      <c r="E23" s="16">
        <v>0</v>
      </c>
      <c r="F23" s="16">
        <v>0.75</v>
      </c>
      <c r="G23" s="16">
        <v>1.4166666666666667</v>
      </c>
      <c r="H23" s="16">
        <v>1.5</v>
      </c>
      <c r="I23" s="16">
        <v>0.25</v>
      </c>
      <c r="J23" s="16">
        <v>0.16666666666666666</v>
      </c>
      <c r="K23" s="16">
        <v>0</v>
      </c>
      <c r="L23" s="16">
        <v>8.3333333333333329E-2</v>
      </c>
      <c r="M23" s="16">
        <v>0.16666666666666666</v>
      </c>
      <c r="N23" s="16">
        <v>1.1666666666666667</v>
      </c>
      <c r="O23" s="16">
        <v>0.125</v>
      </c>
      <c r="P23" s="16">
        <v>1.375</v>
      </c>
      <c r="Q23" s="16">
        <v>0.95833333333333337</v>
      </c>
      <c r="R23" s="16">
        <v>0.79166666666666663</v>
      </c>
      <c r="S23" s="53">
        <v>8.3333333333333329E-2</v>
      </c>
      <c r="T23" s="76">
        <f>SUM(C23:S23)</f>
        <v>8.9583333333333339</v>
      </c>
    </row>
    <row r="24" spans="1:20" ht="19.5" thickBot="1">
      <c r="A24" s="1" t="s">
        <v>2</v>
      </c>
      <c r="B24" s="6" t="s">
        <v>72</v>
      </c>
      <c r="C24" s="35">
        <v>8</v>
      </c>
      <c r="D24" s="36">
        <v>15</v>
      </c>
      <c r="E24" s="36">
        <v>27</v>
      </c>
      <c r="F24" s="36">
        <v>32</v>
      </c>
      <c r="G24" s="36">
        <v>14</v>
      </c>
      <c r="H24" s="36">
        <v>26</v>
      </c>
      <c r="I24" s="36">
        <v>23</v>
      </c>
      <c r="J24" s="36">
        <v>9</v>
      </c>
      <c r="K24" s="36">
        <v>17</v>
      </c>
      <c r="L24" s="36">
        <v>28</v>
      </c>
      <c r="M24" s="36">
        <v>0</v>
      </c>
      <c r="N24" s="36">
        <v>2</v>
      </c>
      <c r="O24" s="36">
        <v>18</v>
      </c>
      <c r="P24" s="36">
        <v>9</v>
      </c>
      <c r="Q24" s="36">
        <v>9</v>
      </c>
      <c r="R24" s="36">
        <v>7</v>
      </c>
      <c r="S24" s="54">
        <v>1</v>
      </c>
      <c r="T24" s="77">
        <f>SUM(C24:S24)</f>
        <v>245</v>
      </c>
    </row>
    <row r="25" spans="1:20">
      <c r="A25" s="1" t="s">
        <v>2</v>
      </c>
      <c r="B25" s="24" t="s">
        <v>73</v>
      </c>
      <c r="C25" s="32">
        <v>177000</v>
      </c>
      <c r="D25" s="33">
        <v>0</v>
      </c>
      <c r="E25" s="33">
        <v>187000</v>
      </c>
      <c r="F25" s="33">
        <v>192000</v>
      </c>
      <c r="G25" s="33">
        <v>182000</v>
      </c>
      <c r="H25" s="33">
        <v>187000</v>
      </c>
      <c r="I25" s="33">
        <v>177000</v>
      </c>
      <c r="J25" s="33">
        <v>177000</v>
      </c>
      <c r="K25" s="33">
        <v>172000</v>
      </c>
      <c r="L25" s="33">
        <v>187000</v>
      </c>
      <c r="M25" s="33">
        <v>177000</v>
      </c>
      <c r="N25" s="33">
        <v>177000</v>
      </c>
      <c r="O25" s="33">
        <v>170000</v>
      </c>
      <c r="P25" s="33">
        <v>177000</v>
      </c>
      <c r="Q25" s="33">
        <v>175000</v>
      </c>
      <c r="R25" s="33">
        <v>175000</v>
      </c>
      <c r="S25" s="55">
        <v>170000</v>
      </c>
      <c r="T25" s="78">
        <f>SUM(C25:S25)</f>
        <v>2859000</v>
      </c>
    </row>
    <row r="26" spans="1:20">
      <c r="A26" s="1" t="s">
        <v>2</v>
      </c>
      <c r="B26" s="5" t="s">
        <v>74</v>
      </c>
      <c r="C26" s="18">
        <v>0</v>
      </c>
      <c r="D26" s="19">
        <v>0</v>
      </c>
      <c r="E26" s="19">
        <v>20000</v>
      </c>
      <c r="F26" s="19">
        <v>5000</v>
      </c>
      <c r="G26" s="19">
        <v>5000</v>
      </c>
      <c r="H26" s="19">
        <v>5000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56">
        <v>0</v>
      </c>
      <c r="T26" s="79">
        <f t="shared" ref="T26:T65" si="2">SUM(C26:S26)</f>
        <v>35000</v>
      </c>
    </row>
    <row r="27" spans="1:20">
      <c r="A27" s="1" t="s">
        <v>2</v>
      </c>
      <c r="B27" s="5" t="s">
        <v>75</v>
      </c>
      <c r="C27" s="18">
        <v>0</v>
      </c>
      <c r="D27" s="19">
        <v>0</v>
      </c>
      <c r="E27" s="19">
        <v>3000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56">
        <v>0</v>
      </c>
      <c r="T27" s="79">
        <f t="shared" si="2"/>
        <v>3000</v>
      </c>
    </row>
    <row r="28" spans="1:20">
      <c r="A28" s="1" t="s">
        <v>2</v>
      </c>
      <c r="B28" s="5" t="s">
        <v>76</v>
      </c>
      <c r="C28" s="18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56">
        <v>0</v>
      </c>
      <c r="T28" s="79">
        <f t="shared" si="2"/>
        <v>0</v>
      </c>
    </row>
    <row r="29" spans="1:20">
      <c r="A29" s="1" t="s">
        <v>2</v>
      </c>
      <c r="B29" s="5" t="s">
        <v>77</v>
      </c>
      <c r="C29" s="18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52432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56">
        <v>0</v>
      </c>
      <c r="T29" s="79">
        <f t="shared" si="2"/>
        <v>52432</v>
      </c>
    </row>
    <row r="30" spans="1:20">
      <c r="A30" s="1" t="s">
        <v>2</v>
      </c>
      <c r="B30" s="5" t="s">
        <v>78</v>
      </c>
      <c r="C30" s="18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56">
        <v>0</v>
      </c>
      <c r="T30" s="79">
        <f t="shared" si="2"/>
        <v>0</v>
      </c>
    </row>
    <row r="31" spans="1:20">
      <c r="A31" s="1" t="s">
        <v>2</v>
      </c>
      <c r="B31" s="5" t="s">
        <v>79</v>
      </c>
      <c r="C31" s="18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56">
        <v>0</v>
      </c>
      <c r="T31" s="79">
        <f t="shared" si="2"/>
        <v>0</v>
      </c>
    </row>
    <row r="32" spans="1:20">
      <c r="A32" s="1" t="s">
        <v>2</v>
      </c>
      <c r="B32" s="5" t="s">
        <v>80</v>
      </c>
      <c r="C32" s="18">
        <v>0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56">
        <v>0</v>
      </c>
      <c r="T32" s="79">
        <f t="shared" si="2"/>
        <v>0</v>
      </c>
    </row>
    <row r="33" spans="1:20">
      <c r="A33" s="1" t="s">
        <v>2</v>
      </c>
      <c r="B33" s="5" t="s">
        <v>81</v>
      </c>
      <c r="C33" s="18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56">
        <v>0</v>
      </c>
      <c r="T33" s="79">
        <f t="shared" si="2"/>
        <v>0</v>
      </c>
    </row>
    <row r="34" spans="1:20">
      <c r="A34" s="1" t="s">
        <v>2</v>
      </c>
      <c r="B34" s="5" t="s">
        <v>82</v>
      </c>
      <c r="C34" s="18">
        <v>0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56">
        <v>0</v>
      </c>
      <c r="T34" s="79">
        <f t="shared" si="2"/>
        <v>0</v>
      </c>
    </row>
    <row r="35" spans="1:20">
      <c r="A35" s="1" t="s">
        <v>2</v>
      </c>
      <c r="B35" s="5" t="s">
        <v>83</v>
      </c>
      <c r="C35" s="18">
        <v>1000</v>
      </c>
      <c r="D35" s="19">
        <v>0</v>
      </c>
      <c r="E35" s="19">
        <v>1000</v>
      </c>
      <c r="F35" s="19">
        <v>1000</v>
      </c>
      <c r="G35" s="19">
        <v>0</v>
      </c>
      <c r="H35" s="19">
        <v>1000</v>
      </c>
      <c r="I35" s="19">
        <v>0</v>
      </c>
      <c r="J35" s="19">
        <v>1000</v>
      </c>
      <c r="K35" s="19">
        <v>0</v>
      </c>
      <c r="L35" s="19">
        <v>1000</v>
      </c>
      <c r="M35" s="19">
        <v>1000</v>
      </c>
      <c r="N35" s="19">
        <v>1000</v>
      </c>
      <c r="O35" s="19">
        <v>1000</v>
      </c>
      <c r="P35" s="19">
        <v>1000</v>
      </c>
      <c r="Q35" s="19">
        <v>1000</v>
      </c>
      <c r="R35" s="19">
        <v>1000</v>
      </c>
      <c r="S35" s="56">
        <v>0</v>
      </c>
      <c r="T35" s="79">
        <f t="shared" si="2"/>
        <v>12000</v>
      </c>
    </row>
    <row r="36" spans="1:20">
      <c r="A36" s="1" t="s">
        <v>2</v>
      </c>
      <c r="B36" s="5" t="s">
        <v>84</v>
      </c>
      <c r="C36" s="18">
        <v>0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56">
        <v>0</v>
      </c>
      <c r="T36" s="79">
        <f t="shared" si="2"/>
        <v>0</v>
      </c>
    </row>
    <row r="37" spans="1:20">
      <c r="A37" s="1" t="s">
        <v>2</v>
      </c>
      <c r="B37" s="5" t="s">
        <v>85</v>
      </c>
      <c r="C37" s="18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56">
        <v>0</v>
      </c>
      <c r="T37" s="79">
        <f t="shared" si="2"/>
        <v>0</v>
      </c>
    </row>
    <row r="38" spans="1:20">
      <c r="A38" s="1" t="s">
        <v>2</v>
      </c>
      <c r="B38" s="5" t="s">
        <v>86</v>
      </c>
      <c r="C38" s="18">
        <v>0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56">
        <v>0</v>
      </c>
      <c r="T38" s="79">
        <f t="shared" si="2"/>
        <v>0</v>
      </c>
    </row>
    <row r="39" spans="1:20">
      <c r="A39" s="1" t="s">
        <v>2</v>
      </c>
      <c r="B39" s="5" t="s">
        <v>87</v>
      </c>
      <c r="C39" s="18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56">
        <v>0</v>
      </c>
      <c r="T39" s="79">
        <f t="shared" si="2"/>
        <v>0</v>
      </c>
    </row>
    <row r="40" spans="1:20">
      <c r="A40" s="1" t="s">
        <v>2</v>
      </c>
      <c r="B40" s="5" t="s">
        <v>63</v>
      </c>
      <c r="C40" s="18">
        <v>38657</v>
      </c>
      <c r="D40" s="19">
        <v>0</v>
      </c>
      <c r="E40" s="19">
        <v>37896</v>
      </c>
      <c r="F40" s="19">
        <v>80082</v>
      </c>
      <c r="G40" s="19">
        <v>25200</v>
      </c>
      <c r="H40" s="19">
        <v>117045</v>
      </c>
      <c r="I40" s="19">
        <v>84800</v>
      </c>
      <c r="J40" s="19">
        <v>70649</v>
      </c>
      <c r="K40" s="19">
        <v>64400</v>
      </c>
      <c r="L40" s="19">
        <v>45056</v>
      </c>
      <c r="M40" s="19">
        <v>26660</v>
      </c>
      <c r="N40" s="19">
        <v>82646</v>
      </c>
      <c r="O40" s="19">
        <v>57600</v>
      </c>
      <c r="P40" s="19">
        <v>89311</v>
      </c>
      <c r="Q40" s="19">
        <v>76444</v>
      </c>
      <c r="R40" s="19">
        <v>44812</v>
      </c>
      <c r="S40" s="56">
        <v>64923</v>
      </c>
      <c r="T40" s="79">
        <f t="shared" si="2"/>
        <v>1006181</v>
      </c>
    </row>
    <row r="41" spans="1:20">
      <c r="A41" s="1" t="s">
        <v>2</v>
      </c>
      <c r="B41" s="5" t="s">
        <v>88</v>
      </c>
      <c r="C41" s="18">
        <v>38853</v>
      </c>
      <c r="D41" s="19">
        <v>0</v>
      </c>
      <c r="E41" s="19">
        <v>64790</v>
      </c>
      <c r="F41" s="19">
        <v>40025</v>
      </c>
      <c r="G41" s="19">
        <v>42336</v>
      </c>
      <c r="H41" s="19">
        <v>34342</v>
      </c>
      <c r="I41" s="19">
        <v>31482</v>
      </c>
      <c r="J41" s="19">
        <v>44609</v>
      </c>
      <c r="K41" s="19">
        <v>27820</v>
      </c>
      <c r="L41" s="19">
        <v>28880</v>
      </c>
      <c r="M41" s="19">
        <v>47487</v>
      </c>
      <c r="N41" s="19">
        <v>14390</v>
      </c>
      <c r="O41" s="19">
        <v>20730</v>
      </c>
      <c r="P41" s="19">
        <v>30219</v>
      </c>
      <c r="Q41" s="19">
        <v>31306</v>
      </c>
      <c r="R41" s="19">
        <v>0</v>
      </c>
      <c r="S41" s="56">
        <v>12366</v>
      </c>
      <c r="T41" s="79">
        <f t="shared" si="2"/>
        <v>509635</v>
      </c>
    </row>
    <row r="42" spans="1:20">
      <c r="A42" s="1" t="s">
        <v>2</v>
      </c>
      <c r="B42" s="5" t="s">
        <v>89</v>
      </c>
      <c r="C42" s="18">
        <v>20146</v>
      </c>
      <c r="D42" s="19">
        <v>0</v>
      </c>
      <c r="E42" s="19">
        <v>49445</v>
      </c>
      <c r="F42" s="19">
        <v>12808</v>
      </c>
      <c r="G42" s="19">
        <v>6048</v>
      </c>
      <c r="H42" s="19">
        <v>32781</v>
      </c>
      <c r="I42" s="19">
        <v>31482</v>
      </c>
      <c r="J42" s="19">
        <v>11512</v>
      </c>
      <c r="K42" s="19">
        <v>40339</v>
      </c>
      <c r="L42" s="19">
        <v>24320</v>
      </c>
      <c r="M42" s="19">
        <v>47487</v>
      </c>
      <c r="N42" s="19">
        <v>60438</v>
      </c>
      <c r="O42" s="19">
        <v>30404</v>
      </c>
      <c r="P42" s="19">
        <v>31658</v>
      </c>
      <c r="Q42" s="19">
        <v>22768</v>
      </c>
      <c r="R42" s="19">
        <v>18499</v>
      </c>
      <c r="S42" s="56">
        <v>38472</v>
      </c>
      <c r="T42" s="79">
        <f t="shared" si="2"/>
        <v>478607</v>
      </c>
    </row>
    <row r="43" spans="1:20">
      <c r="A43" s="1" t="s">
        <v>2</v>
      </c>
      <c r="B43" s="5" t="s">
        <v>90</v>
      </c>
      <c r="C43" s="18">
        <v>0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3730</v>
      </c>
      <c r="O43" s="19">
        <v>0</v>
      </c>
      <c r="P43" s="19">
        <v>0</v>
      </c>
      <c r="Q43" s="19">
        <v>0</v>
      </c>
      <c r="R43" s="19">
        <v>3690</v>
      </c>
      <c r="S43" s="56">
        <v>2492</v>
      </c>
      <c r="T43" s="79">
        <f t="shared" si="2"/>
        <v>9912</v>
      </c>
    </row>
    <row r="44" spans="1:20">
      <c r="A44" s="1" t="s">
        <v>2</v>
      </c>
      <c r="B44" s="5" t="s">
        <v>91</v>
      </c>
      <c r="C44" s="18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3357</v>
      </c>
      <c r="O44" s="19">
        <v>0</v>
      </c>
      <c r="P44" s="19">
        <v>0</v>
      </c>
      <c r="Q44" s="19">
        <v>0</v>
      </c>
      <c r="R44" s="19">
        <v>0</v>
      </c>
      <c r="S44" s="56">
        <v>0</v>
      </c>
      <c r="T44" s="79">
        <f t="shared" si="2"/>
        <v>3357</v>
      </c>
    </row>
    <row r="45" spans="1:20">
      <c r="A45" s="1" t="s">
        <v>2</v>
      </c>
      <c r="B45" s="5" t="s">
        <v>92</v>
      </c>
      <c r="C45" s="18">
        <v>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56">
        <v>0</v>
      </c>
      <c r="T45" s="79">
        <f t="shared" si="2"/>
        <v>0</v>
      </c>
    </row>
    <row r="46" spans="1:20">
      <c r="A46" s="1" t="s">
        <v>2</v>
      </c>
      <c r="B46" s="5" t="s">
        <v>68</v>
      </c>
      <c r="C46" s="18">
        <v>0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56">
        <v>0</v>
      </c>
      <c r="T46" s="79">
        <f t="shared" si="2"/>
        <v>0</v>
      </c>
    </row>
    <row r="47" spans="1:20" ht="19.5" thickBot="1">
      <c r="A47" s="1" t="s">
        <v>2</v>
      </c>
      <c r="B47" s="38" t="s">
        <v>71</v>
      </c>
      <c r="C47" s="39">
        <v>801</v>
      </c>
      <c r="D47" s="40">
        <v>0</v>
      </c>
      <c r="E47" s="40">
        <v>0</v>
      </c>
      <c r="F47" s="40">
        <v>5346</v>
      </c>
      <c r="G47" s="40">
        <v>9520</v>
      </c>
      <c r="H47" s="40">
        <v>10404</v>
      </c>
      <c r="I47" s="40">
        <v>1590</v>
      </c>
      <c r="J47" s="40">
        <v>1068</v>
      </c>
      <c r="K47" s="40">
        <v>0</v>
      </c>
      <c r="L47" s="40">
        <v>564</v>
      </c>
      <c r="M47" s="40">
        <v>1068</v>
      </c>
      <c r="N47" s="40">
        <v>7476</v>
      </c>
      <c r="O47" s="40">
        <v>768</v>
      </c>
      <c r="P47" s="40">
        <v>8811</v>
      </c>
      <c r="Q47" s="40">
        <v>6072</v>
      </c>
      <c r="R47" s="40">
        <v>5016</v>
      </c>
      <c r="S47" s="57">
        <v>510</v>
      </c>
      <c r="T47" s="80">
        <f t="shared" si="2"/>
        <v>59014</v>
      </c>
    </row>
    <row r="48" spans="1:20" ht="19.5" thickBot="1">
      <c r="A48" s="1" t="s">
        <v>2</v>
      </c>
      <c r="B48" s="42" t="s">
        <v>93</v>
      </c>
      <c r="C48" s="43">
        <v>276457</v>
      </c>
      <c r="D48" s="44">
        <v>0</v>
      </c>
      <c r="E48" s="44">
        <v>363131</v>
      </c>
      <c r="F48" s="44">
        <v>336261</v>
      </c>
      <c r="G48" s="44">
        <v>270104</v>
      </c>
      <c r="H48" s="44">
        <v>387572</v>
      </c>
      <c r="I48" s="44">
        <v>326354</v>
      </c>
      <c r="J48" s="44">
        <v>305838</v>
      </c>
      <c r="K48" s="44">
        <v>304559</v>
      </c>
      <c r="L48" s="44">
        <v>339252</v>
      </c>
      <c r="M48" s="44">
        <v>300702</v>
      </c>
      <c r="N48" s="44">
        <v>350037</v>
      </c>
      <c r="O48" s="44">
        <v>280502</v>
      </c>
      <c r="P48" s="44">
        <v>337999</v>
      </c>
      <c r="Q48" s="44">
        <v>312590</v>
      </c>
      <c r="R48" s="44">
        <v>248017</v>
      </c>
      <c r="S48" s="58">
        <v>288763</v>
      </c>
      <c r="T48" s="81">
        <f t="shared" si="2"/>
        <v>5028138</v>
      </c>
    </row>
    <row r="49" spans="1:21" ht="19.5" thickBot="1">
      <c r="A49" s="1" t="s">
        <v>2</v>
      </c>
      <c r="B49" s="24" t="s">
        <v>94</v>
      </c>
      <c r="C49" s="32">
        <v>12077</v>
      </c>
      <c r="D49" s="33">
        <v>0</v>
      </c>
      <c r="E49" s="33">
        <v>5435</v>
      </c>
      <c r="F49" s="33">
        <v>3020</v>
      </c>
      <c r="G49" s="33">
        <v>11667</v>
      </c>
      <c r="H49" s="33">
        <v>2512</v>
      </c>
      <c r="I49" s="33">
        <v>2609</v>
      </c>
      <c r="J49" s="33">
        <v>1112</v>
      </c>
      <c r="K49" s="33">
        <v>3261</v>
      </c>
      <c r="L49" s="33">
        <v>5024</v>
      </c>
      <c r="M49" s="33">
        <v>6039</v>
      </c>
      <c r="N49" s="33">
        <v>4396</v>
      </c>
      <c r="O49" s="33">
        <v>7536</v>
      </c>
      <c r="P49" s="33">
        <v>3479</v>
      </c>
      <c r="Q49" s="33">
        <v>6039</v>
      </c>
      <c r="R49" s="33">
        <v>9445</v>
      </c>
      <c r="S49" s="55">
        <v>4227</v>
      </c>
      <c r="T49" s="78">
        <f t="shared" si="2"/>
        <v>87878</v>
      </c>
    </row>
    <row r="50" spans="1:21" ht="19.5" thickBot="1">
      <c r="A50" s="1" t="s">
        <v>2</v>
      </c>
      <c r="B50" s="42" t="s">
        <v>95</v>
      </c>
      <c r="C50" s="43">
        <v>12077</v>
      </c>
      <c r="D50" s="44">
        <v>0</v>
      </c>
      <c r="E50" s="44">
        <v>5435</v>
      </c>
      <c r="F50" s="44">
        <v>3020</v>
      </c>
      <c r="G50" s="44">
        <v>11667</v>
      </c>
      <c r="H50" s="44">
        <v>2512</v>
      </c>
      <c r="I50" s="44">
        <v>2609</v>
      </c>
      <c r="J50" s="44">
        <v>1112</v>
      </c>
      <c r="K50" s="44">
        <v>3261</v>
      </c>
      <c r="L50" s="44">
        <v>5024</v>
      </c>
      <c r="M50" s="44">
        <v>6039</v>
      </c>
      <c r="N50" s="44">
        <v>4396</v>
      </c>
      <c r="O50" s="44">
        <v>7536</v>
      </c>
      <c r="P50" s="44">
        <v>3479</v>
      </c>
      <c r="Q50" s="44">
        <v>6039</v>
      </c>
      <c r="R50" s="44">
        <v>9445</v>
      </c>
      <c r="S50" s="58">
        <v>4227</v>
      </c>
      <c r="T50" s="81">
        <f t="shared" si="2"/>
        <v>87878</v>
      </c>
    </row>
    <row r="51" spans="1:21" ht="19.5" thickBot="1">
      <c r="A51" s="1" t="s">
        <v>2</v>
      </c>
      <c r="B51" s="42" t="s">
        <v>96</v>
      </c>
      <c r="C51" s="43">
        <v>288534</v>
      </c>
      <c r="D51" s="44">
        <v>0</v>
      </c>
      <c r="E51" s="44">
        <v>368566</v>
      </c>
      <c r="F51" s="44">
        <v>339281</v>
      </c>
      <c r="G51" s="44">
        <v>281771</v>
      </c>
      <c r="H51" s="44">
        <v>390084</v>
      </c>
      <c r="I51" s="44">
        <v>328963</v>
      </c>
      <c r="J51" s="44">
        <v>306950</v>
      </c>
      <c r="K51" s="44">
        <v>307820</v>
      </c>
      <c r="L51" s="44">
        <v>344276</v>
      </c>
      <c r="M51" s="44">
        <v>306741</v>
      </c>
      <c r="N51" s="44">
        <v>354433</v>
      </c>
      <c r="O51" s="44">
        <v>288038</v>
      </c>
      <c r="P51" s="44">
        <v>341478</v>
      </c>
      <c r="Q51" s="44">
        <v>318629</v>
      </c>
      <c r="R51" s="44">
        <v>257462</v>
      </c>
      <c r="S51" s="58">
        <v>292990</v>
      </c>
      <c r="T51" s="81">
        <f t="shared" si="2"/>
        <v>5116016</v>
      </c>
    </row>
    <row r="52" spans="1:21">
      <c r="A52" s="1" t="s">
        <v>2</v>
      </c>
      <c r="B52" s="24" t="s">
        <v>97</v>
      </c>
      <c r="C52" s="32">
        <v>16320</v>
      </c>
      <c r="D52" s="33">
        <v>19380</v>
      </c>
      <c r="E52" s="33">
        <v>19380</v>
      </c>
      <c r="F52" s="33">
        <v>20910</v>
      </c>
      <c r="G52" s="33">
        <v>19380</v>
      </c>
      <c r="H52" s="33">
        <v>20910</v>
      </c>
      <c r="I52" s="33">
        <v>16320</v>
      </c>
      <c r="J52" s="33">
        <v>15300</v>
      </c>
      <c r="K52" s="33">
        <v>16320</v>
      </c>
      <c r="L52" s="33">
        <v>17340</v>
      </c>
      <c r="M52" s="33">
        <v>16320</v>
      </c>
      <c r="N52" s="33">
        <v>17340</v>
      </c>
      <c r="O52" s="33">
        <v>15300</v>
      </c>
      <c r="P52" s="33">
        <v>19380</v>
      </c>
      <c r="Q52" s="33">
        <v>17340</v>
      </c>
      <c r="R52" s="33">
        <v>15300</v>
      </c>
      <c r="S52" s="55">
        <v>13260</v>
      </c>
      <c r="T52" s="78">
        <f t="shared" si="2"/>
        <v>295800</v>
      </c>
    </row>
    <row r="53" spans="1:21">
      <c r="A53" s="1" t="s">
        <v>2</v>
      </c>
      <c r="B53" s="5" t="s">
        <v>98</v>
      </c>
      <c r="C53" s="18">
        <v>2880</v>
      </c>
      <c r="D53" s="19">
        <v>3420</v>
      </c>
      <c r="E53" s="19">
        <v>3420</v>
      </c>
      <c r="F53" s="19">
        <v>3690</v>
      </c>
      <c r="G53" s="19">
        <v>3420</v>
      </c>
      <c r="H53" s="19">
        <v>3690</v>
      </c>
      <c r="I53" s="19">
        <v>2880</v>
      </c>
      <c r="J53" s="19">
        <v>2700</v>
      </c>
      <c r="K53" s="19">
        <v>2880</v>
      </c>
      <c r="L53" s="19">
        <v>3060</v>
      </c>
      <c r="M53" s="19">
        <v>2880</v>
      </c>
      <c r="N53" s="19">
        <v>0</v>
      </c>
      <c r="O53" s="19">
        <v>2700</v>
      </c>
      <c r="P53" s="19">
        <v>3420</v>
      </c>
      <c r="Q53" s="19">
        <v>3060</v>
      </c>
      <c r="R53" s="19">
        <v>2700</v>
      </c>
      <c r="S53" s="56">
        <v>0</v>
      </c>
      <c r="T53" s="79">
        <f t="shared" si="2"/>
        <v>46800</v>
      </c>
    </row>
    <row r="54" spans="1:21">
      <c r="A54" s="1" t="s">
        <v>2</v>
      </c>
      <c r="B54" s="5" t="s">
        <v>99</v>
      </c>
      <c r="C54" s="18">
        <v>29280</v>
      </c>
      <c r="D54" s="19">
        <v>34770</v>
      </c>
      <c r="E54" s="19">
        <v>34770</v>
      </c>
      <c r="F54" s="19">
        <v>37515</v>
      </c>
      <c r="G54" s="19">
        <v>34770</v>
      </c>
      <c r="H54" s="19">
        <v>37515</v>
      </c>
      <c r="I54" s="19">
        <v>29280</v>
      </c>
      <c r="J54" s="19">
        <v>27450</v>
      </c>
      <c r="K54" s="19">
        <v>29280</v>
      </c>
      <c r="L54" s="19">
        <v>31110</v>
      </c>
      <c r="M54" s="19">
        <v>29280</v>
      </c>
      <c r="N54" s="19">
        <v>31110</v>
      </c>
      <c r="O54" s="19">
        <v>27450</v>
      </c>
      <c r="P54" s="19">
        <v>34770</v>
      </c>
      <c r="Q54" s="19">
        <v>31110</v>
      </c>
      <c r="R54" s="19">
        <v>27450</v>
      </c>
      <c r="S54" s="56">
        <v>23790</v>
      </c>
      <c r="T54" s="79">
        <f t="shared" si="2"/>
        <v>530700</v>
      </c>
    </row>
    <row r="55" spans="1:21" ht="19.5" thickBot="1">
      <c r="A55" s="1" t="s">
        <v>2</v>
      </c>
      <c r="B55" s="5" t="s">
        <v>100</v>
      </c>
      <c r="C55" s="18">
        <v>866</v>
      </c>
      <c r="D55" s="19">
        <v>0</v>
      </c>
      <c r="E55" s="19">
        <v>1106</v>
      </c>
      <c r="F55" s="19">
        <v>1018</v>
      </c>
      <c r="G55" s="19">
        <v>845</v>
      </c>
      <c r="H55" s="19">
        <v>1170</v>
      </c>
      <c r="I55" s="19">
        <v>987</v>
      </c>
      <c r="J55" s="19">
        <v>921</v>
      </c>
      <c r="K55" s="19">
        <v>923</v>
      </c>
      <c r="L55" s="19">
        <v>1033</v>
      </c>
      <c r="M55" s="19">
        <v>920</v>
      </c>
      <c r="N55" s="19">
        <v>1063</v>
      </c>
      <c r="O55" s="19">
        <v>864</v>
      </c>
      <c r="P55" s="19">
        <v>1024</v>
      </c>
      <c r="Q55" s="19">
        <v>956</v>
      </c>
      <c r="R55" s="19">
        <v>772</v>
      </c>
      <c r="S55" s="56">
        <v>879</v>
      </c>
      <c r="T55" s="79">
        <f t="shared" si="2"/>
        <v>15347</v>
      </c>
    </row>
    <row r="56" spans="1:21" ht="19.5" thickBot="1">
      <c r="A56" s="1" t="s">
        <v>2</v>
      </c>
      <c r="B56" s="42" t="s">
        <v>101</v>
      </c>
      <c r="C56" s="43">
        <v>49346</v>
      </c>
      <c r="D56" s="44">
        <v>57570</v>
      </c>
      <c r="E56" s="44">
        <v>58676</v>
      </c>
      <c r="F56" s="44">
        <v>63133</v>
      </c>
      <c r="G56" s="44">
        <v>58415</v>
      </c>
      <c r="H56" s="44">
        <v>63285</v>
      </c>
      <c r="I56" s="44">
        <v>49467</v>
      </c>
      <c r="J56" s="44">
        <v>46371</v>
      </c>
      <c r="K56" s="44">
        <v>49403</v>
      </c>
      <c r="L56" s="44">
        <v>52543</v>
      </c>
      <c r="M56" s="44">
        <v>49400</v>
      </c>
      <c r="N56" s="44">
        <v>49513</v>
      </c>
      <c r="O56" s="44">
        <v>46314</v>
      </c>
      <c r="P56" s="44">
        <v>58594</v>
      </c>
      <c r="Q56" s="44">
        <v>52466</v>
      </c>
      <c r="R56" s="44">
        <v>46222</v>
      </c>
      <c r="S56" s="58">
        <v>37929</v>
      </c>
      <c r="T56" s="81">
        <f t="shared" si="2"/>
        <v>888647</v>
      </c>
    </row>
    <row r="57" spans="1:21">
      <c r="A57" s="1" t="s">
        <v>2</v>
      </c>
      <c r="B57" s="24" t="s">
        <v>102</v>
      </c>
      <c r="C57" s="32">
        <v>4120</v>
      </c>
      <c r="D57" s="33">
        <v>0</v>
      </c>
      <c r="E57" s="33">
        <v>6900</v>
      </c>
      <c r="F57" s="33">
        <v>7380</v>
      </c>
      <c r="G57" s="33">
        <v>3570</v>
      </c>
      <c r="H57" s="33">
        <v>10360</v>
      </c>
      <c r="I57" s="33">
        <v>7510</v>
      </c>
      <c r="J57" s="33">
        <v>5270</v>
      </c>
      <c r="K57" s="33">
        <v>6740</v>
      </c>
      <c r="L57" s="33">
        <v>7860</v>
      </c>
      <c r="M57" s="33">
        <v>6600</v>
      </c>
      <c r="N57" s="33">
        <v>8420</v>
      </c>
      <c r="O57" s="33">
        <v>5990</v>
      </c>
      <c r="P57" s="33">
        <v>7600</v>
      </c>
      <c r="Q57" s="33">
        <v>2060</v>
      </c>
      <c r="R57" s="33">
        <v>4830</v>
      </c>
      <c r="S57" s="55">
        <v>6580</v>
      </c>
      <c r="T57" s="78">
        <f t="shared" si="2"/>
        <v>101790</v>
      </c>
    </row>
    <row r="58" spans="1:21">
      <c r="A58" s="1" t="s">
        <v>2</v>
      </c>
      <c r="B58" s="5" t="s">
        <v>103</v>
      </c>
      <c r="C58" s="18">
        <v>1300</v>
      </c>
      <c r="D58" s="19">
        <v>1300</v>
      </c>
      <c r="E58" s="19">
        <v>1300</v>
      </c>
      <c r="F58" s="19">
        <v>0</v>
      </c>
      <c r="G58" s="19">
        <v>1300</v>
      </c>
      <c r="H58" s="19">
        <v>1300</v>
      </c>
      <c r="I58" s="19">
        <v>1300</v>
      </c>
      <c r="J58" s="19">
        <v>1300</v>
      </c>
      <c r="K58" s="19">
        <v>1300</v>
      </c>
      <c r="L58" s="19">
        <v>1300</v>
      </c>
      <c r="M58" s="19">
        <v>0</v>
      </c>
      <c r="N58" s="19">
        <v>0</v>
      </c>
      <c r="O58" s="19">
        <v>1300</v>
      </c>
      <c r="P58" s="19">
        <v>1300</v>
      </c>
      <c r="Q58" s="19">
        <v>1300</v>
      </c>
      <c r="R58" s="19">
        <v>0</v>
      </c>
      <c r="S58" s="56">
        <v>0</v>
      </c>
      <c r="T58" s="79">
        <f t="shared" si="2"/>
        <v>15600</v>
      </c>
    </row>
    <row r="59" spans="1:21">
      <c r="A59" s="1" t="s">
        <v>2</v>
      </c>
      <c r="B59" s="5" t="s">
        <v>104</v>
      </c>
      <c r="C59" s="18">
        <v>8600</v>
      </c>
      <c r="D59" s="19">
        <v>14600</v>
      </c>
      <c r="E59" s="19">
        <v>13800</v>
      </c>
      <c r="F59" s="19">
        <v>16700</v>
      </c>
      <c r="G59" s="19">
        <v>15200</v>
      </c>
      <c r="H59" s="19">
        <v>17700</v>
      </c>
      <c r="I59" s="19">
        <v>13500</v>
      </c>
      <c r="J59" s="19">
        <v>9200</v>
      </c>
      <c r="K59" s="19">
        <v>13000</v>
      </c>
      <c r="L59" s="19">
        <v>13800</v>
      </c>
      <c r="M59" s="19">
        <v>10500</v>
      </c>
      <c r="N59" s="19">
        <v>13500</v>
      </c>
      <c r="O59" s="19">
        <v>12100</v>
      </c>
      <c r="P59" s="19">
        <v>14200</v>
      </c>
      <c r="Q59" s="19">
        <v>5600</v>
      </c>
      <c r="R59" s="19">
        <v>0</v>
      </c>
      <c r="S59" s="56">
        <v>0</v>
      </c>
      <c r="T59" s="79">
        <f t="shared" si="2"/>
        <v>192000</v>
      </c>
    </row>
    <row r="60" spans="1:21" ht="19.5" thickBot="1">
      <c r="A60" s="1" t="s">
        <v>2</v>
      </c>
      <c r="B60" s="5" t="s">
        <v>105</v>
      </c>
      <c r="C60" s="18">
        <v>0</v>
      </c>
      <c r="D60" s="47">
        <v>-73470</v>
      </c>
      <c r="E60" s="19">
        <v>0</v>
      </c>
      <c r="F60" s="19">
        <v>10000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56">
        <v>0</v>
      </c>
      <c r="T60" s="82">
        <f t="shared" si="2"/>
        <v>-63470</v>
      </c>
      <c r="U60" s="48"/>
    </row>
    <row r="61" spans="1:21" ht="19.5" thickBot="1">
      <c r="A61" s="1" t="s">
        <v>2</v>
      </c>
      <c r="B61" s="42" t="s">
        <v>106</v>
      </c>
      <c r="C61" s="43">
        <v>63366</v>
      </c>
      <c r="D61" s="44">
        <v>0</v>
      </c>
      <c r="E61" s="44">
        <v>80676</v>
      </c>
      <c r="F61" s="44">
        <v>97213</v>
      </c>
      <c r="G61" s="44">
        <v>78485</v>
      </c>
      <c r="H61" s="44">
        <v>92645</v>
      </c>
      <c r="I61" s="44">
        <v>71777</v>
      </c>
      <c r="J61" s="44">
        <v>62141</v>
      </c>
      <c r="K61" s="44">
        <v>70443</v>
      </c>
      <c r="L61" s="44">
        <v>75503</v>
      </c>
      <c r="M61" s="44">
        <v>66500</v>
      </c>
      <c r="N61" s="44">
        <v>71433</v>
      </c>
      <c r="O61" s="44">
        <v>65704</v>
      </c>
      <c r="P61" s="44">
        <v>81694</v>
      </c>
      <c r="Q61" s="44">
        <v>61426</v>
      </c>
      <c r="R61" s="44">
        <v>51052</v>
      </c>
      <c r="S61" s="58">
        <v>44509</v>
      </c>
      <c r="T61" s="81">
        <f t="shared" si="2"/>
        <v>1134567</v>
      </c>
    </row>
    <row r="62" spans="1:21" ht="19.5" thickBot="1">
      <c r="A62" s="1" t="s">
        <v>2</v>
      </c>
      <c r="B62" s="42" t="s">
        <v>107</v>
      </c>
      <c r="C62" s="43">
        <v>227111</v>
      </c>
      <c r="D62" s="44">
        <v>0</v>
      </c>
      <c r="E62" s="44">
        <v>304455</v>
      </c>
      <c r="F62" s="44">
        <v>273128</v>
      </c>
      <c r="G62" s="44">
        <v>211689</v>
      </c>
      <c r="H62" s="44">
        <v>324287</v>
      </c>
      <c r="I62" s="44">
        <v>276887</v>
      </c>
      <c r="J62" s="44">
        <v>259467</v>
      </c>
      <c r="K62" s="44">
        <v>255156</v>
      </c>
      <c r="L62" s="44">
        <v>286709</v>
      </c>
      <c r="M62" s="44">
        <v>251302</v>
      </c>
      <c r="N62" s="44">
        <v>300524</v>
      </c>
      <c r="O62" s="44">
        <v>234188</v>
      </c>
      <c r="P62" s="44">
        <v>279405</v>
      </c>
      <c r="Q62" s="44">
        <v>260124</v>
      </c>
      <c r="R62" s="44">
        <v>201795</v>
      </c>
      <c r="S62" s="58">
        <v>250834</v>
      </c>
      <c r="T62" s="81">
        <f t="shared" si="2"/>
        <v>4197061</v>
      </c>
    </row>
    <row r="63" spans="1:21" ht="19.5" thickBot="1">
      <c r="A63" s="1" t="s">
        <v>2</v>
      </c>
      <c r="B63" s="42" t="s">
        <v>108</v>
      </c>
      <c r="C63" s="43">
        <v>225168</v>
      </c>
      <c r="D63" s="44">
        <v>0</v>
      </c>
      <c r="E63" s="44">
        <v>287890</v>
      </c>
      <c r="F63" s="44">
        <v>242068</v>
      </c>
      <c r="G63" s="44">
        <v>203286</v>
      </c>
      <c r="H63" s="44">
        <v>297439</v>
      </c>
      <c r="I63" s="44">
        <v>257186</v>
      </c>
      <c r="J63" s="44">
        <v>244809</v>
      </c>
      <c r="K63" s="44">
        <v>237377</v>
      </c>
      <c r="L63" s="44">
        <v>268773</v>
      </c>
      <c r="M63" s="44">
        <v>240241</v>
      </c>
      <c r="N63" s="44">
        <v>283000</v>
      </c>
      <c r="O63" s="44">
        <v>222334</v>
      </c>
      <c r="P63" s="44">
        <v>259784</v>
      </c>
      <c r="Q63" s="44">
        <v>257203</v>
      </c>
      <c r="R63" s="44">
        <v>206410</v>
      </c>
      <c r="S63" s="58">
        <v>248481</v>
      </c>
      <c r="T63" s="81">
        <f t="shared" si="2"/>
        <v>3981449</v>
      </c>
    </row>
    <row r="64" spans="1:21">
      <c r="A64" s="1" t="s">
        <v>2</v>
      </c>
      <c r="B64" s="24" t="s">
        <v>109</v>
      </c>
      <c r="C64" s="32">
        <v>0</v>
      </c>
      <c r="D64" s="33">
        <v>0</v>
      </c>
      <c r="E64" s="33">
        <v>0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0</v>
      </c>
      <c r="L64" s="33">
        <v>0</v>
      </c>
      <c r="M64" s="33">
        <v>0</v>
      </c>
      <c r="N64" s="33">
        <v>0</v>
      </c>
      <c r="O64" s="33">
        <v>0</v>
      </c>
      <c r="P64" s="33">
        <v>0</v>
      </c>
      <c r="Q64" s="33">
        <v>0</v>
      </c>
      <c r="R64" s="33">
        <v>0</v>
      </c>
      <c r="S64" s="55">
        <v>0</v>
      </c>
      <c r="T64" s="78">
        <f t="shared" si="2"/>
        <v>0</v>
      </c>
    </row>
    <row r="65" spans="1:20">
      <c r="A65" s="1" t="s">
        <v>2</v>
      </c>
      <c r="B65" s="5" t="s">
        <v>110</v>
      </c>
      <c r="C65" s="18">
        <v>225168</v>
      </c>
      <c r="D65" s="19">
        <v>0</v>
      </c>
      <c r="E65" s="19">
        <v>287890</v>
      </c>
      <c r="F65" s="19">
        <v>242068</v>
      </c>
      <c r="G65" s="19">
        <v>203286</v>
      </c>
      <c r="H65" s="19">
        <v>297439</v>
      </c>
      <c r="I65" s="19">
        <v>257186</v>
      </c>
      <c r="J65" s="19">
        <v>244809</v>
      </c>
      <c r="K65" s="19">
        <v>237377</v>
      </c>
      <c r="L65" s="19">
        <v>268773</v>
      </c>
      <c r="M65" s="19">
        <v>240241</v>
      </c>
      <c r="N65" s="19">
        <v>283000</v>
      </c>
      <c r="O65" s="19">
        <v>222334</v>
      </c>
      <c r="P65" s="19">
        <v>259784</v>
      </c>
      <c r="Q65" s="19">
        <v>257203</v>
      </c>
      <c r="R65" s="19">
        <v>206410</v>
      </c>
      <c r="S65" s="56">
        <v>248481</v>
      </c>
      <c r="T65" s="79">
        <f t="shared" si="2"/>
        <v>3981449</v>
      </c>
    </row>
    <row r="66" spans="1:20">
      <c r="A66" s="1" t="s">
        <v>2</v>
      </c>
      <c r="B66" s="5" t="s">
        <v>111</v>
      </c>
      <c r="C66" s="18">
        <v>1</v>
      </c>
      <c r="D66" s="19">
        <v>0</v>
      </c>
      <c r="E66" s="19">
        <v>1</v>
      </c>
      <c r="F66" s="19">
        <v>0</v>
      </c>
      <c r="G66" s="19">
        <v>1</v>
      </c>
      <c r="H66" s="19">
        <v>0</v>
      </c>
      <c r="I66" s="19">
        <v>0</v>
      </c>
      <c r="J66" s="19">
        <v>1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9">
        <v>3</v>
      </c>
      <c r="R66" s="19">
        <v>0</v>
      </c>
      <c r="S66" s="56">
        <v>0</v>
      </c>
      <c r="T66" s="79"/>
    </row>
    <row r="67" spans="1:20" ht="19.5" thickBot="1">
      <c r="A67" s="1" t="s">
        <v>2</v>
      </c>
      <c r="B67" s="6" t="s">
        <v>112</v>
      </c>
      <c r="C67" s="21" t="s">
        <v>113</v>
      </c>
      <c r="D67" s="22" t="s">
        <v>113</v>
      </c>
      <c r="E67" s="22" t="s">
        <v>113</v>
      </c>
      <c r="F67" s="22" t="s">
        <v>113</v>
      </c>
      <c r="G67" s="22" t="s">
        <v>113</v>
      </c>
      <c r="H67" s="22" t="s">
        <v>113</v>
      </c>
      <c r="I67" s="22" t="s">
        <v>113</v>
      </c>
      <c r="J67" s="22" t="s">
        <v>113</v>
      </c>
      <c r="K67" s="22" t="s">
        <v>113</v>
      </c>
      <c r="L67" s="22" t="s">
        <v>113</v>
      </c>
      <c r="M67" s="22" t="s">
        <v>113</v>
      </c>
      <c r="N67" s="22" t="s">
        <v>113</v>
      </c>
      <c r="O67" s="22" t="s">
        <v>113</v>
      </c>
      <c r="P67" s="22" t="s">
        <v>113</v>
      </c>
      <c r="Q67" s="22" t="s">
        <v>113</v>
      </c>
      <c r="R67" s="22" t="s">
        <v>113</v>
      </c>
      <c r="S67" s="59" t="s">
        <v>113</v>
      </c>
      <c r="T67" s="83"/>
    </row>
  </sheetData>
  <phoneticPr fontId="3"/>
  <pageMargins left="0.31496062992125984" right="0.31496062992125984" top="0.35433070866141736" bottom="0.35433070866141736" header="0.11811023622047245" footer="0.11811023622047245"/>
  <pageSetup paperSize="12"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2022年 3月度給与 (2)</vt:lpstr>
      <vt:lpstr>2022年 3月度給与 (3)</vt:lpstr>
      <vt:lpstr>2022年 3月度給与 (4)</vt:lpstr>
      <vt:lpstr>'2022年 3月度給与 (3)'!Print_Area</vt:lpstr>
      <vt:lpstr>'2022年 3月度給与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2022-04-14T07:30:14Z</cp:lastPrinted>
  <dcterms:created xsi:type="dcterms:W3CDTF">2022-04-08T07:03:34Z</dcterms:created>
  <dcterms:modified xsi:type="dcterms:W3CDTF">2022-04-14T07:55:11Z</dcterms:modified>
</cp:coreProperties>
</file>