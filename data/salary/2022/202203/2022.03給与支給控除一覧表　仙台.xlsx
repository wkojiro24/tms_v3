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03\"/>
    </mc:Choice>
  </mc:AlternateContent>
  <xr:revisionPtr revIDLastSave="0" documentId="13_ncr:1_{F96D05BB-2BCD-482F-8309-1EAE55C9F15E}" xr6:coauthVersionLast="47" xr6:coauthVersionMax="47" xr10:uidLastSave="{00000000-0000-0000-0000-000000000000}"/>
  <bookViews>
    <workbookView xWindow="-120" yWindow="-120" windowWidth="20730" windowHeight="11160" xr2:uid="{33E3E40A-93ED-40B8-981A-47E1B7EB710E}"/>
  </bookViews>
  <sheets>
    <sheet name="2022年 3月度給与 (2)" sheetId="3" r:id="rId1"/>
  </sheets>
  <definedNames>
    <definedName name="_xlnm.Print_Area" localSheetId="0">'2022年 3月度給与 (2)'!$A$1:$N$64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12" i="3" l="1"/>
  <c r="N13" i="3"/>
  <c r="N20" i="3"/>
  <c r="N21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24" i="3"/>
  <c r="M23" i="3"/>
  <c r="M22" i="3"/>
  <c r="M15" i="3"/>
  <c r="N15" i="3" s="1"/>
  <c r="M16" i="3"/>
  <c r="M17" i="3"/>
  <c r="N17" i="3" s="1"/>
  <c r="M18" i="3"/>
  <c r="M19" i="3"/>
  <c r="M14" i="3"/>
  <c r="M8" i="3"/>
  <c r="M9" i="3"/>
  <c r="M10" i="3"/>
  <c r="M11" i="3"/>
  <c r="M7" i="3"/>
  <c r="N7" i="3" s="1"/>
  <c r="M6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24" i="3"/>
  <c r="F23" i="3"/>
  <c r="F22" i="3"/>
  <c r="F19" i="3"/>
  <c r="F18" i="3"/>
  <c r="F16" i="3"/>
  <c r="F14" i="3"/>
  <c r="F11" i="3"/>
  <c r="F9" i="3"/>
  <c r="F10" i="3"/>
  <c r="F8" i="3"/>
  <c r="F6" i="3"/>
  <c r="N24" i="3" l="1"/>
  <c r="N54" i="3"/>
  <c r="N47" i="3"/>
  <c r="N44" i="3"/>
  <c r="N40" i="3"/>
  <c r="N59" i="3"/>
  <c r="N51" i="3"/>
  <c r="N62" i="3"/>
  <c r="N58" i="3"/>
  <c r="N53" i="3"/>
  <c r="N39" i="3"/>
  <c r="N31" i="3"/>
  <c r="N19" i="3"/>
  <c r="N57" i="3"/>
  <c r="N50" i="3"/>
  <c r="N43" i="3"/>
  <c r="N36" i="3"/>
  <c r="N27" i="3"/>
  <c r="N34" i="3"/>
  <c r="N18" i="3"/>
  <c r="N9" i="3"/>
  <c r="N28" i="3"/>
  <c r="N6" i="3"/>
  <c r="N22" i="3"/>
  <c r="N61" i="3"/>
  <c r="N56" i="3"/>
  <c r="N49" i="3"/>
  <c r="N46" i="3"/>
  <c r="N42" i="3"/>
  <c r="N38" i="3"/>
  <c r="N35" i="3"/>
  <c r="N33" i="3"/>
  <c r="N30" i="3"/>
  <c r="N26" i="3"/>
  <c r="N23" i="3"/>
  <c r="N60" i="3"/>
  <c r="N55" i="3"/>
  <c r="N52" i="3"/>
  <c r="N48" i="3"/>
  <c r="N45" i="3"/>
  <c r="N41" i="3"/>
  <c r="N37" i="3"/>
  <c r="N32" i="3"/>
  <c r="N29" i="3"/>
  <c r="N25" i="3"/>
  <c r="N10" i="3"/>
  <c r="N8" i="3"/>
  <c r="N11" i="3"/>
  <c r="N14" i="3"/>
  <c r="N16" i="3"/>
</calcChain>
</file>

<file path=xl/sharedStrings.xml><?xml version="1.0" encoding="utf-8"?>
<sst xmlns="http://schemas.openxmlformats.org/spreadsheetml/2006/main" count="155" uniqueCount="85">
  <si>
    <t>支給控除一覧表</t>
    <phoneticPr fontId="4"/>
  </si>
  <si>
    <t>若林運送株式会社</t>
    <phoneticPr fontId="4"/>
  </si>
  <si>
    <t/>
  </si>
  <si>
    <t>1037</t>
    <phoneticPr fontId="4"/>
  </si>
  <si>
    <t>1038</t>
    <phoneticPr fontId="4"/>
  </si>
  <si>
    <t>1042</t>
    <phoneticPr fontId="4"/>
  </si>
  <si>
    <t>1043</t>
    <phoneticPr fontId="4"/>
  </si>
  <si>
    <t>1046</t>
    <phoneticPr fontId="4"/>
  </si>
  <si>
    <t>1072</t>
    <phoneticPr fontId="4"/>
  </si>
  <si>
    <t>1084</t>
    <phoneticPr fontId="4"/>
  </si>
  <si>
    <t>1093</t>
    <phoneticPr fontId="4"/>
  </si>
  <si>
    <t>1099</t>
    <phoneticPr fontId="4"/>
  </si>
  <si>
    <t>項目名</t>
    <phoneticPr fontId="4"/>
  </si>
  <si>
    <t>佐藤　守</t>
    <phoneticPr fontId="4"/>
  </si>
  <si>
    <t>高橋　徹</t>
    <phoneticPr fontId="4"/>
  </si>
  <si>
    <t>高橋　英晃</t>
    <phoneticPr fontId="4"/>
  </si>
  <si>
    <t>鈴木　貴雄</t>
    <phoneticPr fontId="4"/>
  </si>
  <si>
    <t>井上　隆良</t>
    <phoneticPr fontId="4"/>
  </si>
  <si>
    <t>大沼　幸夫</t>
    <phoneticPr fontId="4"/>
  </si>
  <si>
    <t>佐藤　禎尚</t>
    <phoneticPr fontId="4"/>
  </si>
  <si>
    <t>土谷　栄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</si>
  <si>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</si>
  <si>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</si>
  <si>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</si>
  <si>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</si>
  <si>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</si>
  <si>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</si>
  <si>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</si>
  <si>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</si>
  <si>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</si>
  <si>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</si>
  <si>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</si>
  <si>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</si>
  <si>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</si>
  <si>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</si>
  <si>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</si>
  <si>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</si>
  <si>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</si>
  <si>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</si>
  <si>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</si>
  <si>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</si>
  <si>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</si>
  <si>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</si>
  <si>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</si>
  <si>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</si>
  <si>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</si>
  <si>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</si>
  <si>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</si>
  <si>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</si>
  <si>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基本給加算</t>
    <phoneticPr fontId="4"/>
  </si>
  <si>
    <t>調整加算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</si>
  <si>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</si>
  <si>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</si>
  <si>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</si>
  <si>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</si>
  <si>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</si>
  <si>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</si>
  <si>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</si>
  <si>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</si>
  <si>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</si>
  <si>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</si>
  <si>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</si>
  <si>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</si>
  <si>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</si>
  <si>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</si>
  <si>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</si>
  <si>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</si>
  <si>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</si>
  <si>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</si>
  <si>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</si>
  <si>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</si>
  <si>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</si>
  <si>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</si>
  <si>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</si>
  <si>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</si>
  <si>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</si>
  <si>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</si>
  <si>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</si>
  <si>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</si>
  <si>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 3月度給与</t>
    <phoneticPr fontId="4"/>
  </si>
  <si>
    <t>小計</t>
    <rPh sb="0" eb="2">
      <t>ショウケイ</t>
    </rPh>
    <phoneticPr fontId="3"/>
  </si>
  <si>
    <t>３名</t>
    <rPh sb="1" eb="2">
      <t>メイ</t>
    </rPh>
    <phoneticPr fontId="3"/>
  </si>
  <si>
    <t>6名</t>
    <rPh sb="1" eb="2">
      <t>メイ</t>
    </rPh>
    <phoneticPr fontId="3"/>
  </si>
  <si>
    <t>９名</t>
    <rPh sb="1" eb="2">
      <t>メイ</t>
    </rPh>
    <phoneticPr fontId="4"/>
  </si>
  <si>
    <t>佐藤ゆうこ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</si>
</sst>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68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0" fontId="2" fillId="0" borderId="25" xfId="1" applyFont="1" applyBorder="1"/>
    <xf numFmtId="49" fontId="2" fillId="0" borderId="27" xfId="1" applyNumberFormat="1" applyFont="1" applyBorder="1" applyAlignment="1">
      <alignment horizontal="left"/>
    </xf>
    <xf numFmtId="0" fontId="2" fillId="0" borderId="27" xfId="1" applyFont="1" applyBorder="1"/>
    <xf numFmtId="49" fontId="2" fillId="0" borderId="28" xfId="1" applyNumberFormat="1" applyFont="1" applyBorder="1" applyAlignment="1">
      <alignment horizontal="right"/>
    </xf>
    <xf numFmtId="0" fontId="2" fillId="0" borderId="28" xfId="1" applyFont="1" applyBorder="1" applyAlignment="1">
      <alignment horizontal="right"/>
    </xf>
    <xf numFmtId="2" fontId="2" fillId="0" borderId="29" xfId="1" applyNumberFormat="1" applyFont="1" applyBorder="1"/>
    <xf numFmtId="2" fontId="2" fillId="0" borderId="30" xfId="1" applyNumberFormat="1" applyFont="1" applyBorder="1"/>
    <xf numFmtId="176" fontId="2" fillId="0" borderId="30" xfId="1" applyNumberFormat="1" applyFont="1" applyBorder="1"/>
    <xf numFmtId="2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26" xfId="1" applyNumberFormat="1" applyFont="1" applyBorder="1"/>
    <xf numFmtId="49" fontId="2" fillId="0" borderId="28" xfId="1" applyNumberFormat="1" applyFont="1" applyBorder="1"/>
    <xf numFmtId="49" fontId="2" fillId="0" borderId="32" xfId="1" applyNumberFormat="1" applyFont="1" applyBorder="1" applyAlignment="1">
      <alignment horizontal="center"/>
    </xf>
    <xf numFmtId="49" fontId="2" fillId="0" borderId="33" xfId="1" applyNumberFormat="1" applyFont="1" applyBorder="1" applyAlignment="1">
      <alignment horizontal="center"/>
    </xf>
    <xf numFmtId="2" fontId="2" fillId="0" borderId="34" xfId="1" applyNumberFormat="1" applyFont="1" applyBorder="1"/>
    <xf numFmtId="2" fontId="2" fillId="0" borderId="35" xfId="1" applyNumberFormat="1" applyFont="1" applyBorder="1"/>
    <xf numFmtId="176" fontId="2" fillId="0" borderId="35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49" fontId="2" fillId="0" borderId="33" xfId="1" applyNumberFormat="1" applyFont="1" applyBorder="1"/>
  </cellXfs>
  <cellStyles count="2">
    <cellStyle name="標準" xfId="0" builtinId="0"/>
    <cellStyle name="標準 2" xfId="1" xr:uid="{C5776DEA-8F01-4D26-ADF8-0139CE6610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CEC30-FE35-498B-81D1-623D84E62971}">
  <sheetPr>
    <pageSetUpPr fitToPage="1"/>
  </sheetPr>
  <dimension ref="A1:N64"/>
  <sheetViews>
    <sheetView showZeros="0" tabSelected="1" workbookViewId="0"/>
  </sheetViews>
  <sheetFormatPr defaultRowHeight="18.75"/>
  <cols>
    <col min="1" max="1" width="2.375" style="2" customWidth="1"/>
    <col min="2" max="2" width="13.25" style="2" bestFit="1" customWidth="1"/>
    <col min="3" max="14" width="10.25" style="2" customWidth="1"/>
    <col min="15" max="257" width="9" style="2"/>
    <col min="258" max="258" width="2.375" style="2" customWidth="1"/>
    <col min="259" max="259" width="13.25" style="2" bestFit="1" customWidth="1"/>
    <col min="260" max="261" width="9" style="2"/>
    <col min="262" max="264" width="11.125" style="2" bestFit="1" customWidth="1"/>
    <col min="265" max="265" width="13.25" style="2" bestFit="1" customWidth="1"/>
    <col min="266" max="267" width="11.125" style="2" bestFit="1" customWidth="1"/>
    <col min="268" max="268" width="9" style="2"/>
    <col min="269" max="269" width="9.625" style="2" bestFit="1" customWidth="1"/>
    <col min="270" max="513" width="9" style="2"/>
    <col min="514" max="514" width="2.375" style="2" customWidth="1"/>
    <col min="515" max="515" width="13.25" style="2" bestFit="1" customWidth="1"/>
    <col min="516" max="517" width="9" style="2"/>
    <col min="518" max="520" width="11.125" style="2" bestFit="1" customWidth="1"/>
    <col min="521" max="521" width="13.25" style="2" bestFit="1" customWidth="1"/>
    <col min="522" max="523" width="11.125" style="2" bestFit="1" customWidth="1"/>
    <col min="524" max="524" width="9" style="2"/>
    <col min="525" max="525" width="9.625" style="2" bestFit="1" customWidth="1"/>
    <col min="526" max="769" width="9" style="2"/>
    <col min="770" max="770" width="2.375" style="2" customWidth="1"/>
    <col min="771" max="771" width="13.25" style="2" bestFit="1" customWidth="1"/>
    <col min="772" max="773" width="9" style="2"/>
    <col min="774" max="776" width="11.125" style="2" bestFit="1" customWidth="1"/>
    <col min="777" max="777" width="13.25" style="2" bestFit="1" customWidth="1"/>
    <col min="778" max="779" width="11.125" style="2" bestFit="1" customWidth="1"/>
    <col min="780" max="780" width="9" style="2"/>
    <col min="781" max="781" width="9.625" style="2" bestFit="1" customWidth="1"/>
    <col min="782" max="1025" width="9" style="2"/>
    <col min="1026" max="1026" width="2.375" style="2" customWidth="1"/>
    <col min="1027" max="1027" width="13.25" style="2" bestFit="1" customWidth="1"/>
    <col min="1028" max="1029" width="9" style="2"/>
    <col min="1030" max="1032" width="11.125" style="2" bestFit="1" customWidth="1"/>
    <col min="1033" max="1033" width="13.25" style="2" bestFit="1" customWidth="1"/>
    <col min="1034" max="1035" width="11.125" style="2" bestFit="1" customWidth="1"/>
    <col min="1036" max="1036" width="9" style="2"/>
    <col min="1037" max="1037" width="9.625" style="2" bestFit="1" customWidth="1"/>
    <col min="1038" max="1281" width="9" style="2"/>
    <col min="1282" max="1282" width="2.375" style="2" customWidth="1"/>
    <col min="1283" max="1283" width="13.25" style="2" bestFit="1" customWidth="1"/>
    <col min="1284" max="1285" width="9" style="2"/>
    <col min="1286" max="1288" width="11.125" style="2" bestFit="1" customWidth="1"/>
    <col min="1289" max="1289" width="13.25" style="2" bestFit="1" customWidth="1"/>
    <col min="1290" max="1291" width="11.125" style="2" bestFit="1" customWidth="1"/>
    <col min="1292" max="1292" width="9" style="2"/>
    <col min="1293" max="1293" width="9.625" style="2" bestFit="1" customWidth="1"/>
    <col min="1294" max="1537" width="9" style="2"/>
    <col min="1538" max="1538" width="2.375" style="2" customWidth="1"/>
    <col min="1539" max="1539" width="13.25" style="2" bestFit="1" customWidth="1"/>
    <col min="1540" max="1541" width="9" style="2"/>
    <col min="1542" max="1544" width="11.125" style="2" bestFit="1" customWidth="1"/>
    <col min="1545" max="1545" width="13.25" style="2" bestFit="1" customWidth="1"/>
    <col min="1546" max="1547" width="11.125" style="2" bestFit="1" customWidth="1"/>
    <col min="1548" max="1548" width="9" style="2"/>
    <col min="1549" max="1549" width="9.625" style="2" bestFit="1" customWidth="1"/>
    <col min="1550" max="1793" width="9" style="2"/>
    <col min="1794" max="1794" width="2.375" style="2" customWidth="1"/>
    <col min="1795" max="1795" width="13.25" style="2" bestFit="1" customWidth="1"/>
    <col min="1796" max="1797" width="9" style="2"/>
    <col min="1798" max="1800" width="11.125" style="2" bestFit="1" customWidth="1"/>
    <col min="1801" max="1801" width="13.25" style="2" bestFit="1" customWidth="1"/>
    <col min="1802" max="1803" width="11.125" style="2" bestFit="1" customWidth="1"/>
    <col min="1804" max="1804" width="9" style="2"/>
    <col min="1805" max="1805" width="9.625" style="2" bestFit="1" customWidth="1"/>
    <col min="1806" max="2049" width="9" style="2"/>
    <col min="2050" max="2050" width="2.375" style="2" customWidth="1"/>
    <col min="2051" max="2051" width="13.25" style="2" bestFit="1" customWidth="1"/>
    <col min="2052" max="2053" width="9" style="2"/>
    <col min="2054" max="2056" width="11.125" style="2" bestFit="1" customWidth="1"/>
    <col min="2057" max="2057" width="13.25" style="2" bestFit="1" customWidth="1"/>
    <col min="2058" max="2059" width="11.125" style="2" bestFit="1" customWidth="1"/>
    <col min="2060" max="2060" width="9" style="2"/>
    <col min="2061" max="2061" width="9.625" style="2" bestFit="1" customWidth="1"/>
    <col min="2062" max="2305" width="9" style="2"/>
    <col min="2306" max="2306" width="2.375" style="2" customWidth="1"/>
    <col min="2307" max="2307" width="13.25" style="2" bestFit="1" customWidth="1"/>
    <col min="2308" max="2309" width="9" style="2"/>
    <col min="2310" max="2312" width="11.125" style="2" bestFit="1" customWidth="1"/>
    <col min="2313" max="2313" width="13.25" style="2" bestFit="1" customWidth="1"/>
    <col min="2314" max="2315" width="11.125" style="2" bestFit="1" customWidth="1"/>
    <col min="2316" max="2316" width="9" style="2"/>
    <col min="2317" max="2317" width="9.625" style="2" bestFit="1" customWidth="1"/>
    <col min="2318" max="2561" width="9" style="2"/>
    <col min="2562" max="2562" width="2.375" style="2" customWidth="1"/>
    <col min="2563" max="2563" width="13.25" style="2" bestFit="1" customWidth="1"/>
    <col min="2564" max="2565" width="9" style="2"/>
    <col min="2566" max="2568" width="11.125" style="2" bestFit="1" customWidth="1"/>
    <col min="2569" max="2569" width="13.25" style="2" bestFit="1" customWidth="1"/>
    <col min="2570" max="2571" width="11.125" style="2" bestFit="1" customWidth="1"/>
    <col min="2572" max="2572" width="9" style="2"/>
    <col min="2573" max="2573" width="9.625" style="2" bestFit="1" customWidth="1"/>
    <col min="2574" max="2817" width="9" style="2"/>
    <col min="2818" max="2818" width="2.375" style="2" customWidth="1"/>
    <col min="2819" max="2819" width="13.25" style="2" bestFit="1" customWidth="1"/>
    <col min="2820" max="2821" width="9" style="2"/>
    <col min="2822" max="2824" width="11.125" style="2" bestFit="1" customWidth="1"/>
    <col min="2825" max="2825" width="13.25" style="2" bestFit="1" customWidth="1"/>
    <col min="2826" max="2827" width="11.125" style="2" bestFit="1" customWidth="1"/>
    <col min="2828" max="2828" width="9" style="2"/>
    <col min="2829" max="2829" width="9.625" style="2" bestFit="1" customWidth="1"/>
    <col min="2830" max="3073" width="9" style="2"/>
    <col min="3074" max="3074" width="2.375" style="2" customWidth="1"/>
    <col min="3075" max="3075" width="13.25" style="2" bestFit="1" customWidth="1"/>
    <col min="3076" max="3077" width="9" style="2"/>
    <col min="3078" max="3080" width="11.125" style="2" bestFit="1" customWidth="1"/>
    <col min="3081" max="3081" width="13.25" style="2" bestFit="1" customWidth="1"/>
    <col min="3082" max="3083" width="11.125" style="2" bestFit="1" customWidth="1"/>
    <col min="3084" max="3084" width="9" style="2"/>
    <col min="3085" max="3085" width="9.625" style="2" bestFit="1" customWidth="1"/>
    <col min="3086" max="3329" width="9" style="2"/>
    <col min="3330" max="3330" width="2.375" style="2" customWidth="1"/>
    <col min="3331" max="3331" width="13.25" style="2" bestFit="1" customWidth="1"/>
    <col min="3332" max="3333" width="9" style="2"/>
    <col min="3334" max="3336" width="11.125" style="2" bestFit="1" customWidth="1"/>
    <col min="3337" max="3337" width="13.25" style="2" bestFit="1" customWidth="1"/>
    <col min="3338" max="3339" width="11.125" style="2" bestFit="1" customWidth="1"/>
    <col min="3340" max="3340" width="9" style="2"/>
    <col min="3341" max="3341" width="9.625" style="2" bestFit="1" customWidth="1"/>
    <col min="3342" max="3585" width="9" style="2"/>
    <col min="3586" max="3586" width="2.375" style="2" customWidth="1"/>
    <col min="3587" max="3587" width="13.25" style="2" bestFit="1" customWidth="1"/>
    <col min="3588" max="3589" width="9" style="2"/>
    <col min="3590" max="3592" width="11.125" style="2" bestFit="1" customWidth="1"/>
    <col min="3593" max="3593" width="13.25" style="2" bestFit="1" customWidth="1"/>
    <col min="3594" max="3595" width="11.125" style="2" bestFit="1" customWidth="1"/>
    <col min="3596" max="3596" width="9" style="2"/>
    <col min="3597" max="3597" width="9.625" style="2" bestFit="1" customWidth="1"/>
    <col min="3598" max="3841" width="9" style="2"/>
    <col min="3842" max="3842" width="2.375" style="2" customWidth="1"/>
    <col min="3843" max="3843" width="13.25" style="2" bestFit="1" customWidth="1"/>
    <col min="3844" max="3845" width="9" style="2"/>
    <col min="3846" max="3848" width="11.125" style="2" bestFit="1" customWidth="1"/>
    <col min="3849" max="3849" width="13.25" style="2" bestFit="1" customWidth="1"/>
    <col min="3850" max="3851" width="11.125" style="2" bestFit="1" customWidth="1"/>
    <col min="3852" max="3852" width="9" style="2"/>
    <col min="3853" max="3853" width="9.625" style="2" bestFit="1" customWidth="1"/>
    <col min="3854" max="4097" width="9" style="2"/>
    <col min="4098" max="4098" width="2.375" style="2" customWidth="1"/>
    <col min="4099" max="4099" width="13.25" style="2" bestFit="1" customWidth="1"/>
    <col min="4100" max="4101" width="9" style="2"/>
    <col min="4102" max="4104" width="11.125" style="2" bestFit="1" customWidth="1"/>
    <col min="4105" max="4105" width="13.25" style="2" bestFit="1" customWidth="1"/>
    <col min="4106" max="4107" width="11.125" style="2" bestFit="1" customWidth="1"/>
    <col min="4108" max="4108" width="9" style="2"/>
    <col min="4109" max="4109" width="9.625" style="2" bestFit="1" customWidth="1"/>
    <col min="4110" max="4353" width="9" style="2"/>
    <col min="4354" max="4354" width="2.375" style="2" customWidth="1"/>
    <col min="4355" max="4355" width="13.25" style="2" bestFit="1" customWidth="1"/>
    <col min="4356" max="4357" width="9" style="2"/>
    <col min="4358" max="4360" width="11.125" style="2" bestFit="1" customWidth="1"/>
    <col min="4361" max="4361" width="13.25" style="2" bestFit="1" customWidth="1"/>
    <col min="4362" max="4363" width="11.125" style="2" bestFit="1" customWidth="1"/>
    <col min="4364" max="4364" width="9" style="2"/>
    <col min="4365" max="4365" width="9.625" style="2" bestFit="1" customWidth="1"/>
    <col min="4366" max="4609" width="9" style="2"/>
    <col min="4610" max="4610" width="2.375" style="2" customWidth="1"/>
    <col min="4611" max="4611" width="13.25" style="2" bestFit="1" customWidth="1"/>
    <col min="4612" max="4613" width="9" style="2"/>
    <col min="4614" max="4616" width="11.125" style="2" bestFit="1" customWidth="1"/>
    <col min="4617" max="4617" width="13.25" style="2" bestFit="1" customWidth="1"/>
    <col min="4618" max="4619" width="11.125" style="2" bestFit="1" customWidth="1"/>
    <col min="4620" max="4620" width="9" style="2"/>
    <col min="4621" max="4621" width="9.625" style="2" bestFit="1" customWidth="1"/>
    <col min="4622" max="4865" width="9" style="2"/>
    <col min="4866" max="4866" width="2.375" style="2" customWidth="1"/>
    <col min="4867" max="4867" width="13.25" style="2" bestFit="1" customWidth="1"/>
    <col min="4868" max="4869" width="9" style="2"/>
    <col min="4870" max="4872" width="11.125" style="2" bestFit="1" customWidth="1"/>
    <col min="4873" max="4873" width="13.25" style="2" bestFit="1" customWidth="1"/>
    <col min="4874" max="4875" width="11.125" style="2" bestFit="1" customWidth="1"/>
    <col min="4876" max="4876" width="9" style="2"/>
    <col min="4877" max="4877" width="9.625" style="2" bestFit="1" customWidth="1"/>
    <col min="4878" max="5121" width="9" style="2"/>
    <col min="5122" max="5122" width="2.375" style="2" customWidth="1"/>
    <col min="5123" max="5123" width="13.25" style="2" bestFit="1" customWidth="1"/>
    <col min="5124" max="5125" width="9" style="2"/>
    <col min="5126" max="5128" width="11.125" style="2" bestFit="1" customWidth="1"/>
    <col min="5129" max="5129" width="13.25" style="2" bestFit="1" customWidth="1"/>
    <col min="5130" max="5131" width="11.125" style="2" bestFit="1" customWidth="1"/>
    <col min="5132" max="5132" width="9" style="2"/>
    <col min="5133" max="5133" width="9.625" style="2" bestFit="1" customWidth="1"/>
    <col min="5134" max="5377" width="9" style="2"/>
    <col min="5378" max="5378" width="2.375" style="2" customWidth="1"/>
    <col min="5379" max="5379" width="13.25" style="2" bestFit="1" customWidth="1"/>
    <col min="5380" max="5381" width="9" style="2"/>
    <col min="5382" max="5384" width="11.125" style="2" bestFit="1" customWidth="1"/>
    <col min="5385" max="5385" width="13.25" style="2" bestFit="1" customWidth="1"/>
    <col min="5386" max="5387" width="11.125" style="2" bestFit="1" customWidth="1"/>
    <col min="5388" max="5388" width="9" style="2"/>
    <col min="5389" max="5389" width="9.625" style="2" bestFit="1" customWidth="1"/>
    <col min="5390" max="5633" width="9" style="2"/>
    <col min="5634" max="5634" width="2.375" style="2" customWidth="1"/>
    <col min="5635" max="5635" width="13.25" style="2" bestFit="1" customWidth="1"/>
    <col min="5636" max="5637" width="9" style="2"/>
    <col min="5638" max="5640" width="11.125" style="2" bestFit="1" customWidth="1"/>
    <col min="5641" max="5641" width="13.25" style="2" bestFit="1" customWidth="1"/>
    <col min="5642" max="5643" width="11.125" style="2" bestFit="1" customWidth="1"/>
    <col min="5644" max="5644" width="9" style="2"/>
    <col min="5645" max="5645" width="9.625" style="2" bestFit="1" customWidth="1"/>
    <col min="5646" max="5889" width="9" style="2"/>
    <col min="5890" max="5890" width="2.375" style="2" customWidth="1"/>
    <col min="5891" max="5891" width="13.25" style="2" bestFit="1" customWidth="1"/>
    <col min="5892" max="5893" width="9" style="2"/>
    <col min="5894" max="5896" width="11.125" style="2" bestFit="1" customWidth="1"/>
    <col min="5897" max="5897" width="13.25" style="2" bestFit="1" customWidth="1"/>
    <col min="5898" max="5899" width="11.125" style="2" bestFit="1" customWidth="1"/>
    <col min="5900" max="5900" width="9" style="2"/>
    <col min="5901" max="5901" width="9.625" style="2" bestFit="1" customWidth="1"/>
    <col min="5902" max="6145" width="9" style="2"/>
    <col min="6146" max="6146" width="2.375" style="2" customWidth="1"/>
    <col min="6147" max="6147" width="13.25" style="2" bestFit="1" customWidth="1"/>
    <col min="6148" max="6149" width="9" style="2"/>
    <col min="6150" max="6152" width="11.125" style="2" bestFit="1" customWidth="1"/>
    <col min="6153" max="6153" width="13.25" style="2" bestFit="1" customWidth="1"/>
    <col min="6154" max="6155" width="11.125" style="2" bestFit="1" customWidth="1"/>
    <col min="6156" max="6156" width="9" style="2"/>
    <col min="6157" max="6157" width="9.625" style="2" bestFit="1" customWidth="1"/>
    <col min="6158" max="6401" width="9" style="2"/>
    <col min="6402" max="6402" width="2.375" style="2" customWidth="1"/>
    <col min="6403" max="6403" width="13.25" style="2" bestFit="1" customWidth="1"/>
    <col min="6404" max="6405" width="9" style="2"/>
    <col min="6406" max="6408" width="11.125" style="2" bestFit="1" customWidth="1"/>
    <col min="6409" max="6409" width="13.25" style="2" bestFit="1" customWidth="1"/>
    <col min="6410" max="6411" width="11.125" style="2" bestFit="1" customWidth="1"/>
    <col min="6412" max="6412" width="9" style="2"/>
    <col min="6413" max="6413" width="9.625" style="2" bestFit="1" customWidth="1"/>
    <col min="6414" max="6657" width="9" style="2"/>
    <col min="6658" max="6658" width="2.375" style="2" customWidth="1"/>
    <col min="6659" max="6659" width="13.25" style="2" bestFit="1" customWidth="1"/>
    <col min="6660" max="6661" width="9" style="2"/>
    <col min="6662" max="6664" width="11.125" style="2" bestFit="1" customWidth="1"/>
    <col min="6665" max="6665" width="13.25" style="2" bestFit="1" customWidth="1"/>
    <col min="6666" max="6667" width="11.125" style="2" bestFit="1" customWidth="1"/>
    <col min="6668" max="6668" width="9" style="2"/>
    <col min="6669" max="6669" width="9.625" style="2" bestFit="1" customWidth="1"/>
    <col min="6670" max="6913" width="9" style="2"/>
    <col min="6914" max="6914" width="2.375" style="2" customWidth="1"/>
    <col min="6915" max="6915" width="13.25" style="2" bestFit="1" customWidth="1"/>
    <col min="6916" max="6917" width="9" style="2"/>
    <col min="6918" max="6920" width="11.125" style="2" bestFit="1" customWidth="1"/>
    <col min="6921" max="6921" width="13.25" style="2" bestFit="1" customWidth="1"/>
    <col min="6922" max="6923" width="11.125" style="2" bestFit="1" customWidth="1"/>
    <col min="6924" max="6924" width="9" style="2"/>
    <col min="6925" max="6925" width="9.625" style="2" bestFit="1" customWidth="1"/>
    <col min="6926" max="7169" width="9" style="2"/>
    <col min="7170" max="7170" width="2.375" style="2" customWidth="1"/>
    <col min="7171" max="7171" width="13.25" style="2" bestFit="1" customWidth="1"/>
    <col min="7172" max="7173" width="9" style="2"/>
    <col min="7174" max="7176" width="11.125" style="2" bestFit="1" customWidth="1"/>
    <col min="7177" max="7177" width="13.25" style="2" bestFit="1" customWidth="1"/>
    <col min="7178" max="7179" width="11.125" style="2" bestFit="1" customWidth="1"/>
    <col min="7180" max="7180" width="9" style="2"/>
    <col min="7181" max="7181" width="9.625" style="2" bestFit="1" customWidth="1"/>
    <col min="7182" max="7425" width="9" style="2"/>
    <col min="7426" max="7426" width="2.375" style="2" customWidth="1"/>
    <col min="7427" max="7427" width="13.25" style="2" bestFit="1" customWidth="1"/>
    <col min="7428" max="7429" width="9" style="2"/>
    <col min="7430" max="7432" width="11.125" style="2" bestFit="1" customWidth="1"/>
    <col min="7433" max="7433" width="13.25" style="2" bestFit="1" customWidth="1"/>
    <col min="7434" max="7435" width="11.125" style="2" bestFit="1" customWidth="1"/>
    <col min="7436" max="7436" width="9" style="2"/>
    <col min="7437" max="7437" width="9.625" style="2" bestFit="1" customWidth="1"/>
    <col min="7438" max="7681" width="9" style="2"/>
    <col min="7682" max="7682" width="2.375" style="2" customWidth="1"/>
    <col min="7683" max="7683" width="13.25" style="2" bestFit="1" customWidth="1"/>
    <col min="7684" max="7685" width="9" style="2"/>
    <col min="7686" max="7688" width="11.125" style="2" bestFit="1" customWidth="1"/>
    <col min="7689" max="7689" width="13.25" style="2" bestFit="1" customWidth="1"/>
    <col min="7690" max="7691" width="11.125" style="2" bestFit="1" customWidth="1"/>
    <col min="7692" max="7692" width="9" style="2"/>
    <col min="7693" max="7693" width="9.625" style="2" bestFit="1" customWidth="1"/>
    <col min="7694" max="7937" width="9" style="2"/>
    <col min="7938" max="7938" width="2.375" style="2" customWidth="1"/>
    <col min="7939" max="7939" width="13.25" style="2" bestFit="1" customWidth="1"/>
    <col min="7940" max="7941" width="9" style="2"/>
    <col min="7942" max="7944" width="11.125" style="2" bestFit="1" customWidth="1"/>
    <col min="7945" max="7945" width="13.25" style="2" bestFit="1" customWidth="1"/>
    <col min="7946" max="7947" width="11.125" style="2" bestFit="1" customWidth="1"/>
    <col min="7948" max="7948" width="9" style="2"/>
    <col min="7949" max="7949" width="9.625" style="2" bestFit="1" customWidth="1"/>
    <col min="7950" max="8193" width="9" style="2"/>
    <col min="8194" max="8194" width="2.375" style="2" customWidth="1"/>
    <col min="8195" max="8195" width="13.25" style="2" bestFit="1" customWidth="1"/>
    <col min="8196" max="8197" width="9" style="2"/>
    <col min="8198" max="8200" width="11.125" style="2" bestFit="1" customWidth="1"/>
    <col min="8201" max="8201" width="13.25" style="2" bestFit="1" customWidth="1"/>
    <col min="8202" max="8203" width="11.125" style="2" bestFit="1" customWidth="1"/>
    <col min="8204" max="8204" width="9" style="2"/>
    <col min="8205" max="8205" width="9.625" style="2" bestFit="1" customWidth="1"/>
    <col min="8206" max="8449" width="9" style="2"/>
    <col min="8450" max="8450" width="2.375" style="2" customWidth="1"/>
    <col min="8451" max="8451" width="13.25" style="2" bestFit="1" customWidth="1"/>
    <col min="8452" max="8453" width="9" style="2"/>
    <col min="8454" max="8456" width="11.125" style="2" bestFit="1" customWidth="1"/>
    <col min="8457" max="8457" width="13.25" style="2" bestFit="1" customWidth="1"/>
    <col min="8458" max="8459" width="11.125" style="2" bestFit="1" customWidth="1"/>
    <col min="8460" max="8460" width="9" style="2"/>
    <col min="8461" max="8461" width="9.625" style="2" bestFit="1" customWidth="1"/>
    <col min="8462" max="8705" width="9" style="2"/>
    <col min="8706" max="8706" width="2.375" style="2" customWidth="1"/>
    <col min="8707" max="8707" width="13.25" style="2" bestFit="1" customWidth="1"/>
    <col min="8708" max="8709" width="9" style="2"/>
    <col min="8710" max="8712" width="11.125" style="2" bestFit="1" customWidth="1"/>
    <col min="8713" max="8713" width="13.25" style="2" bestFit="1" customWidth="1"/>
    <col min="8714" max="8715" width="11.125" style="2" bestFit="1" customWidth="1"/>
    <col min="8716" max="8716" width="9" style="2"/>
    <col min="8717" max="8717" width="9.625" style="2" bestFit="1" customWidth="1"/>
    <col min="8718" max="8961" width="9" style="2"/>
    <col min="8962" max="8962" width="2.375" style="2" customWidth="1"/>
    <col min="8963" max="8963" width="13.25" style="2" bestFit="1" customWidth="1"/>
    <col min="8964" max="8965" width="9" style="2"/>
    <col min="8966" max="8968" width="11.125" style="2" bestFit="1" customWidth="1"/>
    <col min="8969" max="8969" width="13.25" style="2" bestFit="1" customWidth="1"/>
    <col min="8970" max="8971" width="11.125" style="2" bestFit="1" customWidth="1"/>
    <col min="8972" max="8972" width="9" style="2"/>
    <col min="8973" max="8973" width="9.625" style="2" bestFit="1" customWidth="1"/>
    <col min="8974" max="9217" width="9" style="2"/>
    <col min="9218" max="9218" width="2.375" style="2" customWidth="1"/>
    <col min="9219" max="9219" width="13.25" style="2" bestFit="1" customWidth="1"/>
    <col min="9220" max="9221" width="9" style="2"/>
    <col min="9222" max="9224" width="11.125" style="2" bestFit="1" customWidth="1"/>
    <col min="9225" max="9225" width="13.25" style="2" bestFit="1" customWidth="1"/>
    <col min="9226" max="9227" width="11.125" style="2" bestFit="1" customWidth="1"/>
    <col min="9228" max="9228" width="9" style="2"/>
    <col min="9229" max="9229" width="9.625" style="2" bestFit="1" customWidth="1"/>
    <col min="9230" max="9473" width="9" style="2"/>
    <col min="9474" max="9474" width="2.375" style="2" customWidth="1"/>
    <col min="9475" max="9475" width="13.25" style="2" bestFit="1" customWidth="1"/>
    <col min="9476" max="9477" width="9" style="2"/>
    <col min="9478" max="9480" width="11.125" style="2" bestFit="1" customWidth="1"/>
    <col min="9481" max="9481" width="13.25" style="2" bestFit="1" customWidth="1"/>
    <col min="9482" max="9483" width="11.125" style="2" bestFit="1" customWidth="1"/>
    <col min="9484" max="9484" width="9" style="2"/>
    <col min="9485" max="9485" width="9.625" style="2" bestFit="1" customWidth="1"/>
    <col min="9486" max="9729" width="9" style="2"/>
    <col min="9730" max="9730" width="2.375" style="2" customWidth="1"/>
    <col min="9731" max="9731" width="13.25" style="2" bestFit="1" customWidth="1"/>
    <col min="9732" max="9733" width="9" style="2"/>
    <col min="9734" max="9736" width="11.125" style="2" bestFit="1" customWidth="1"/>
    <col min="9737" max="9737" width="13.25" style="2" bestFit="1" customWidth="1"/>
    <col min="9738" max="9739" width="11.125" style="2" bestFit="1" customWidth="1"/>
    <col min="9740" max="9740" width="9" style="2"/>
    <col min="9741" max="9741" width="9.625" style="2" bestFit="1" customWidth="1"/>
    <col min="9742" max="9985" width="9" style="2"/>
    <col min="9986" max="9986" width="2.375" style="2" customWidth="1"/>
    <col min="9987" max="9987" width="13.25" style="2" bestFit="1" customWidth="1"/>
    <col min="9988" max="9989" width="9" style="2"/>
    <col min="9990" max="9992" width="11.125" style="2" bestFit="1" customWidth="1"/>
    <col min="9993" max="9993" width="13.25" style="2" bestFit="1" customWidth="1"/>
    <col min="9994" max="9995" width="11.125" style="2" bestFit="1" customWidth="1"/>
    <col min="9996" max="9996" width="9" style="2"/>
    <col min="9997" max="9997" width="9.625" style="2" bestFit="1" customWidth="1"/>
    <col min="9998" max="10241" width="9" style="2"/>
    <col min="10242" max="10242" width="2.375" style="2" customWidth="1"/>
    <col min="10243" max="10243" width="13.25" style="2" bestFit="1" customWidth="1"/>
    <col min="10244" max="10245" width="9" style="2"/>
    <col min="10246" max="10248" width="11.125" style="2" bestFit="1" customWidth="1"/>
    <col min="10249" max="10249" width="13.25" style="2" bestFit="1" customWidth="1"/>
    <col min="10250" max="10251" width="11.125" style="2" bestFit="1" customWidth="1"/>
    <col min="10252" max="10252" width="9" style="2"/>
    <col min="10253" max="10253" width="9.625" style="2" bestFit="1" customWidth="1"/>
    <col min="10254" max="10497" width="9" style="2"/>
    <col min="10498" max="10498" width="2.375" style="2" customWidth="1"/>
    <col min="10499" max="10499" width="13.25" style="2" bestFit="1" customWidth="1"/>
    <col min="10500" max="10501" width="9" style="2"/>
    <col min="10502" max="10504" width="11.125" style="2" bestFit="1" customWidth="1"/>
    <col min="10505" max="10505" width="13.25" style="2" bestFit="1" customWidth="1"/>
    <col min="10506" max="10507" width="11.125" style="2" bestFit="1" customWidth="1"/>
    <col min="10508" max="10508" width="9" style="2"/>
    <col min="10509" max="10509" width="9.625" style="2" bestFit="1" customWidth="1"/>
    <col min="10510" max="10753" width="9" style="2"/>
    <col min="10754" max="10754" width="2.375" style="2" customWidth="1"/>
    <col min="10755" max="10755" width="13.25" style="2" bestFit="1" customWidth="1"/>
    <col min="10756" max="10757" width="9" style="2"/>
    <col min="10758" max="10760" width="11.125" style="2" bestFit="1" customWidth="1"/>
    <col min="10761" max="10761" width="13.25" style="2" bestFit="1" customWidth="1"/>
    <col min="10762" max="10763" width="11.125" style="2" bestFit="1" customWidth="1"/>
    <col min="10764" max="10764" width="9" style="2"/>
    <col min="10765" max="10765" width="9.625" style="2" bestFit="1" customWidth="1"/>
    <col min="10766" max="11009" width="9" style="2"/>
    <col min="11010" max="11010" width="2.375" style="2" customWidth="1"/>
    <col min="11011" max="11011" width="13.25" style="2" bestFit="1" customWidth="1"/>
    <col min="11012" max="11013" width="9" style="2"/>
    <col min="11014" max="11016" width="11.125" style="2" bestFit="1" customWidth="1"/>
    <col min="11017" max="11017" width="13.25" style="2" bestFit="1" customWidth="1"/>
    <col min="11018" max="11019" width="11.125" style="2" bestFit="1" customWidth="1"/>
    <col min="11020" max="11020" width="9" style="2"/>
    <col min="11021" max="11021" width="9.625" style="2" bestFit="1" customWidth="1"/>
    <col min="11022" max="11265" width="9" style="2"/>
    <col min="11266" max="11266" width="2.375" style="2" customWidth="1"/>
    <col min="11267" max="11267" width="13.25" style="2" bestFit="1" customWidth="1"/>
    <col min="11268" max="11269" width="9" style="2"/>
    <col min="11270" max="11272" width="11.125" style="2" bestFit="1" customWidth="1"/>
    <col min="11273" max="11273" width="13.25" style="2" bestFit="1" customWidth="1"/>
    <col min="11274" max="11275" width="11.125" style="2" bestFit="1" customWidth="1"/>
    <col min="11276" max="11276" width="9" style="2"/>
    <col min="11277" max="11277" width="9.625" style="2" bestFit="1" customWidth="1"/>
    <col min="11278" max="11521" width="9" style="2"/>
    <col min="11522" max="11522" width="2.375" style="2" customWidth="1"/>
    <col min="11523" max="11523" width="13.25" style="2" bestFit="1" customWidth="1"/>
    <col min="11524" max="11525" width="9" style="2"/>
    <col min="11526" max="11528" width="11.125" style="2" bestFit="1" customWidth="1"/>
    <col min="11529" max="11529" width="13.25" style="2" bestFit="1" customWidth="1"/>
    <col min="11530" max="11531" width="11.125" style="2" bestFit="1" customWidth="1"/>
    <col min="11532" max="11532" width="9" style="2"/>
    <col min="11533" max="11533" width="9.625" style="2" bestFit="1" customWidth="1"/>
    <col min="11534" max="11777" width="9" style="2"/>
    <col min="11778" max="11778" width="2.375" style="2" customWidth="1"/>
    <col min="11779" max="11779" width="13.25" style="2" bestFit="1" customWidth="1"/>
    <col min="11780" max="11781" width="9" style="2"/>
    <col min="11782" max="11784" width="11.125" style="2" bestFit="1" customWidth="1"/>
    <col min="11785" max="11785" width="13.25" style="2" bestFit="1" customWidth="1"/>
    <col min="11786" max="11787" width="11.125" style="2" bestFit="1" customWidth="1"/>
    <col min="11788" max="11788" width="9" style="2"/>
    <col min="11789" max="11789" width="9.625" style="2" bestFit="1" customWidth="1"/>
    <col min="11790" max="12033" width="9" style="2"/>
    <col min="12034" max="12034" width="2.375" style="2" customWidth="1"/>
    <col min="12035" max="12035" width="13.25" style="2" bestFit="1" customWidth="1"/>
    <col min="12036" max="12037" width="9" style="2"/>
    <col min="12038" max="12040" width="11.125" style="2" bestFit="1" customWidth="1"/>
    <col min="12041" max="12041" width="13.25" style="2" bestFit="1" customWidth="1"/>
    <col min="12042" max="12043" width="11.125" style="2" bestFit="1" customWidth="1"/>
    <col min="12044" max="12044" width="9" style="2"/>
    <col min="12045" max="12045" width="9.625" style="2" bestFit="1" customWidth="1"/>
    <col min="12046" max="12289" width="9" style="2"/>
    <col min="12290" max="12290" width="2.375" style="2" customWidth="1"/>
    <col min="12291" max="12291" width="13.25" style="2" bestFit="1" customWidth="1"/>
    <col min="12292" max="12293" width="9" style="2"/>
    <col min="12294" max="12296" width="11.125" style="2" bestFit="1" customWidth="1"/>
    <col min="12297" max="12297" width="13.25" style="2" bestFit="1" customWidth="1"/>
    <col min="12298" max="12299" width="11.125" style="2" bestFit="1" customWidth="1"/>
    <col min="12300" max="12300" width="9" style="2"/>
    <col min="12301" max="12301" width="9.625" style="2" bestFit="1" customWidth="1"/>
    <col min="12302" max="12545" width="9" style="2"/>
    <col min="12546" max="12546" width="2.375" style="2" customWidth="1"/>
    <col min="12547" max="12547" width="13.25" style="2" bestFit="1" customWidth="1"/>
    <col min="12548" max="12549" width="9" style="2"/>
    <col min="12550" max="12552" width="11.125" style="2" bestFit="1" customWidth="1"/>
    <col min="12553" max="12553" width="13.25" style="2" bestFit="1" customWidth="1"/>
    <col min="12554" max="12555" width="11.125" style="2" bestFit="1" customWidth="1"/>
    <col min="12556" max="12556" width="9" style="2"/>
    <col min="12557" max="12557" width="9.625" style="2" bestFit="1" customWidth="1"/>
    <col min="12558" max="12801" width="9" style="2"/>
    <col min="12802" max="12802" width="2.375" style="2" customWidth="1"/>
    <col min="12803" max="12803" width="13.25" style="2" bestFit="1" customWidth="1"/>
    <col min="12804" max="12805" width="9" style="2"/>
    <col min="12806" max="12808" width="11.125" style="2" bestFit="1" customWidth="1"/>
    <col min="12809" max="12809" width="13.25" style="2" bestFit="1" customWidth="1"/>
    <col min="12810" max="12811" width="11.125" style="2" bestFit="1" customWidth="1"/>
    <col min="12812" max="12812" width="9" style="2"/>
    <col min="12813" max="12813" width="9.625" style="2" bestFit="1" customWidth="1"/>
    <col min="12814" max="13057" width="9" style="2"/>
    <col min="13058" max="13058" width="2.375" style="2" customWidth="1"/>
    <col min="13059" max="13059" width="13.25" style="2" bestFit="1" customWidth="1"/>
    <col min="13060" max="13061" width="9" style="2"/>
    <col min="13062" max="13064" width="11.125" style="2" bestFit="1" customWidth="1"/>
    <col min="13065" max="13065" width="13.25" style="2" bestFit="1" customWidth="1"/>
    <col min="13066" max="13067" width="11.125" style="2" bestFit="1" customWidth="1"/>
    <col min="13068" max="13068" width="9" style="2"/>
    <col min="13069" max="13069" width="9.625" style="2" bestFit="1" customWidth="1"/>
    <col min="13070" max="13313" width="9" style="2"/>
    <col min="13314" max="13314" width="2.375" style="2" customWidth="1"/>
    <col min="13315" max="13315" width="13.25" style="2" bestFit="1" customWidth="1"/>
    <col min="13316" max="13317" width="9" style="2"/>
    <col min="13318" max="13320" width="11.125" style="2" bestFit="1" customWidth="1"/>
    <col min="13321" max="13321" width="13.25" style="2" bestFit="1" customWidth="1"/>
    <col min="13322" max="13323" width="11.125" style="2" bestFit="1" customWidth="1"/>
    <col min="13324" max="13324" width="9" style="2"/>
    <col min="13325" max="13325" width="9.625" style="2" bestFit="1" customWidth="1"/>
    <col min="13326" max="13569" width="9" style="2"/>
    <col min="13570" max="13570" width="2.375" style="2" customWidth="1"/>
    <col min="13571" max="13571" width="13.25" style="2" bestFit="1" customWidth="1"/>
    <col min="13572" max="13573" width="9" style="2"/>
    <col min="13574" max="13576" width="11.125" style="2" bestFit="1" customWidth="1"/>
    <col min="13577" max="13577" width="13.25" style="2" bestFit="1" customWidth="1"/>
    <col min="13578" max="13579" width="11.125" style="2" bestFit="1" customWidth="1"/>
    <col min="13580" max="13580" width="9" style="2"/>
    <col min="13581" max="13581" width="9.625" style="2" bestFit="1" customWidth="1"/>
    <col min="13582" max="13825" width="9" style="2"/>
    <col min="13826" max="13826" width="2.375" style="2" customWidth="1"/>
    <col min="13827" max="13827" width="13.25" style="2" bestFit="1" customWidth="1"/>
    <col min="13828" max="13829" width="9" style="2"/>
    <col min="13830" max="13832" width="11.125" style="2" bestFit="1" customWidth="1"/>
    <col min="13833" max="13833" width="13.25" style="2" bestFit="1" customWidth="1"/>
    <col min="13834" max="13835" width="11.125" style="2" bestFit="1" customWidth="1"/>
    <col min="13836" max="13836" width="9" style="2"/>
    <col min="13837" max="13837" width="9.625" style="2" bestFit="1" customWidth="1"/>
    <col min="13838" max="14081" width="9" style="2"/>
    <col min="14082" max="14082" width="2.375" style="2" customWidth="1"/>
    <col min="14083" max="14083" width="13.25" style="2" bestFit="1" customWidth="1"/>
    <col min="14084" max="14085" width="9" style="2"/>
    <col min="14086" max="14088" width="11.125" style="2" bestFit="1" customWidth="1"/>
    <col min="14089" max="14089" width="13.25" style="2" bestFit="1" customWidth="1"/>
    <col min="14090" max="14091" width="11.125" style="2" bestFit="1" customWidth="1"/>
    <col min="14092" max="14092" width="9" style="2"/>
    <col min="14093" max="14093" width="9.625" style="2" bestFit="1" customWidth="1"/>
    <col min="14094" max="14337" width="9" style="2"/>
    <col min="14338" max="14338" width="2.375" style="2" customWidth="1"/>
    <col min="14339" max="14339" width="13.25" style="2" bestFit="1" customWidth="1"/>
    <col min="14340" max="14341" width="9" style="2"/>
    <col min="14342" max="14344" width="11.125" style="2" bestFit="1" customWidth="1"/>
    <col min="14345" max="14345" width="13.25" style="2" bestFit="1" customWidth="1"/>
    <col min="14346" max="14347" width="11.125" style="2" bestFit="1" customWidth="1"/>
    <col min="14348" max="14348" width="9" style="2"/>
    <col min="14349" max="14349" width="9.625" style="2" bestFit="1" customWidth="1"/>
    <col min="14350" max="14593" width="9" style="2"/>
    <col min="14594" max="14594" width="2.375" style="2" customWidth="1"/>
    <col min="14595" max="14595" width="13.25" style="2" bestFit="1" customWidth="1"/>
    <col min="14596" max="14597" width="9" style="2"/>
    <col min="14598" max="14600" width="11.125" style="2" bestFit="1" customWidth="1"/>
    <col min="14601" max="14601" width="13.25" style="2" bestFit="1" customWidth="1"/>
    <col min="14602" max="14603" width="11.125" style="2" bestFit="1" customWidth="1"/>
    <col min="14604" max="14604" width="9" style="2"/>
    <col min="14605" max="14605" width="9.625" style="2" bestFit="1" customWidth="1"/>
    <col min="14606" max="14849" width="9" style="2"/>
    <col min="14850" max="14850" width="2.375" style="2" customWidth="1"/>
    <col min="14851" max="14851" width="13.25" style="2" bestFit="1" customWidth="1"/>
    <col min="14852" max="14853" width="9" style="2"/>
    <col min="14854" max="14856" width="11.125" style="2" bestFit="1" customWidth="1"/>
    <col min="14857" max="14857" width="13.25" style="2" bestFit="1" customWidth="1"/>
    <col min="14858" max="14859" width="11.125" style="2" bestFit="1" customWidth="1"/>
    <col min="14860" max="14860" width="9" style="2"/>
    <col min="14861" max="14861" width="9.625" style="2" bestFit="1" customWidth="1"/>
    <col min="14862" max="15105" width="9" style="2"/>
    <col min="15106" max="15106" width="2.375" style="2" customWidth="1"/>
    <col min="15107" max="15107" width="13.25" style="2" bestFit="1" customWidth="1"/>
    <col min="15108" max="15109" width="9" style="2"/>
    <col min="15110" max="15112" width="11.125" style="2" bestFit="1" customWidth="1"/>
    <col min="15113" max="15113" width="13.25" style="2" bestFit="1" customWidth="1"/>
    <col min="15114" max="15115" width="11.125" style="2" bestFit="1" customWidth="1"/>
    <col min="15116" max="15116" width="9" style="2"/>
    <col min="15117" max="15117" width="9.625" style="2" bestFit="1" customWidth="1"/>
    <col min="15118" max="15361" width="9" style="2"/>
    <col min="15362" max="15362" width="2.375" style="2" customWidth="1"/>
    <col min="15363" max="15363" width="13.25" style="2" bestFit="1" customWidth="1"/>
    <col min="15364" max="15365" width="9" style="2"/>
    <col min="15366" max="15368" width="11.125" style="2" bestFit="1" customWidth="1"/>
    <col min="15369" max="15369" width="13.25" style="2" bestFit="1" customWidth="1"/>
    <col min="15370" max="15371" width="11.125" style="2" bestFit="1" customWidth="1"/>
    <col min="15372" max="15372" width="9" style="2"/>
    <col min="15373" max="15373" width="9.625" style="2" bestFit="1" customWidth="1"/>
    <col min="15374" max="15617" width="9" style="2"/>
    <col min="15618" max="15618" width="2.375" style="2" customWidth="1"/>
    <col min="15619" max="15619" width="13.25" style="2" bestFit="1" customWidth="1"/>
    <col min="15620" max="15621" width="9" style="2"/>
    <col min="15622" max="15624" width="11.125" style="2" bestFit="1" customWidth="1"/>
    <col min="15625" max="15625" width="13.25" style="2" bestFit="1" customWidth="1"/>
    <col min="15626" max="15627" width="11.125" style="2" bestFit="1" customWidth="1"/>
    <col min="15628" max="15628" width="9" style="2"/>
    <col min="15629" max="15629" width="9.625" style="2" bestFit="1" customWidth="1"/>
    <col min="15630" max="15873" width="9" style="2"/>
    <col min="15874" max="15874" width="2.375" style="2" customWidth="1"/>
    <col min="15875" max="15875" width="13.25" style="2" bestFit="1" customWidth="1"/>
    <col min="15876" max="15877" width="9" style="2"/>
    <col min="15878" max="15880" width="11.125" style="2" bestFit="1" customWidth="1"/>
    <col min="15881" max="15881" width="13.25" style="2" bestFit="1" customWidth="1"/>
    <col min="15882" max="15883" width="11.125" style="2" bestFit="1" customWidth="1"/>
    <col min="15884" max="15884" width="9" style="2"/>
    <col min="15885" max="15885" width="9.625" style="2" bestFit="1" customWidth="1"/>
    <col min="15886" max="16129" width="9" style="2"/>
    <col min="16130" max="16130" width="2.375" style="2" customWidth="1"/>
    <col min="16131" max="16131" width="13.25" style="2" bestFit="1" customWidth="1"/>
    <col min="16132" max="16133" width="9" style="2"/>
    <col min="16134" max="16136" width="11.125" style="2" bestFit="1" customWidth="1"/>
    <col min="16137" max="16137" width="13.25" style="2" bestFit="1" customWidth="1"/>
    <col min="16138" max="16139" width="11.125" style="2" bestFit="1" customWidth="1"/>
    <col min="16140" max="16140" width="9" style="2"/>
    <col min="16141" max="16141" width="9.625" style="2" bestFit="1" customWidth="1"/>
    <col min="16142" max="16384" width="9" style="2"/>
  </cols>
  <sheetData>
    <row r="1" spans="1:14">
      <c r="A1" s="1" t="s">
        <v>0</v>
      </c>
    </row>
    <row r="2" spans="1:14">
      <c r="A2" s="1" t="s">
        <v>1</v>
      </c>
    </row>
    <row r="3" spans="1:14" ht="19.5" thickBot="1">
      <c r="A3" s="1" t="s">
        <v>79</v>
      </c>
    </row>
    <row r="4" spans="1:14">
      <c r="B4" s="3"/>
      <c r="C4" s="7" t="s">
        <v>6</v>
      </c>
      <c r="D4" s="7" t="s">
        <v>10</v>
      </c>
      <c r="E4" s="57" t="s">
        <v>8</v>
      </c>
      <c r="F4" s="44" t="s">
        <v>80</v>
      </c>
      <c r="G4" s="6" t="s">
        <v>3</v>
      </c>
      <c r="H4" s="7" t="s">
        <v>4</v>
      </c>
      <c r="I4" s="7" t="s">
        <v>5</v>
      </c>
      <c r="J4" s="7" t="s">
        <v>7</v>
      </c>
      <c r="K4" s="7" t="s">
        <v>9</v>
      </c>
      <c r="L4" s="8" t="s">
        <v>11</v>
      </c>
      <c r="M4" s="44" t="s">
        <v>80</v>
      </c>
      <c r="N4" s="45" t="s">
        <v>21</v>
      </c>
    </row>
    <row r="5" spans="1:14" ht="19.5" thickBot="1">
      <c r="A5" s="43"/>
      <c r="B5" s="25" t="s">
        <v>12</v>
      </c>
      <c r="C5" s="27" t="s">
        <v>16</v>
      </c>
      <c r="D5" s="27" t="s">
        <v>19</v>
      </c>
      <c r="E5" s="58" t="s">
        <v>84</v>
      </c>
      <c r="F5" s="46" t="s">
        <v>81</v>
      </c>
      <c r="G5" s="26" t="s">
        <v>13</v>
      </c>
      <c r="H5" s="27" t="s">
        <v>14</v>
      </c>
      <c r="I5" s="27" t="s">
        <v>15</v>
      </c>
      <c r="J5" s="27" t="s">
        <v>17</v>
      </c>
      <c r="K5" s="27" t="s">
        <v>18</v>
      </c>
      <c r="L5" s="28" t="s">
        <v>20</v>
      </c>
      <c r="M5" s="46" t="s">
        <v>82</v>
      </c>
      <c r="N5" s="47" t="s">
        <v>83</v>
      </c>
    </row>
    <row r="6" spans="1:14">
      <c r="A6" s="1" t="s">
        <v>2</v>
      </c>
      <c r="B6" s="21" t="s">
        <v>22</v>
      </c>
      <c r="C6" s="23">
        <v>19</v>
      </c>
      <c r="D6" s="23">
        <v>20</v>
      </c>
      <c r="E6" s="59">
        <v>20</v>
      </c>
      <c r="F6" s="48">
        <f>SUM(C6:E6)</f>
        <v>59</v>
      </c>
      <c r="G6" s="22">
        <v>21</v>
      </c>
      <c r="H6" s="23">
        <v>21</v>
      </c>
      <c r="I6" s="23">
        <v>17</v>
      </c>
      <c r="J6" s="23">
        <v>22</v>
      </c>
      <c r="K6" s="23">
        <v>16</v>
      </c>
      <c r="L6" s="24">
        <v>22</v>
      </c>
      <c r="M6" s="48">
        <f>SUM(G6:L6)</f>
        <v>119</v>
      </c>
      <c r="N6" s="48">
        <f>F6+M6</f>
        <v>178</v>
      </c>
    </row>
    <row r="7" spans="1:14">
      <c r="A7" s="1" t="s">
        <v>2</v>
      </c>
      <c r="B7" s="4" t="s">
        <v>23</v>
      </c>
      <c r="C7" s="10">
        <v>0</v>
      </c>
      <c r="D7" s="10">
        <v>0</v>
      </c>
      <c r="E7" s="60">
        <v>0</v>
      </c>
      <c r="F7" s="49"/>
      <c r="G7" s="9">
        <v>1</v>
      </c>
      <c r="H7" s="10">
        <v>1</v>
      </c>
      <c r="I7" s="10">
        <v>4</v>
      </c>
      <c r="J7" s="10">
        <v>4</v>
      </c>
      <c r="K7" s="10">
        <v>2</v>
      </c>
      <c r="L7" s="11">
        <v>3</v>
      </c>
      <c r="M7" s="49">
        <f>SUM(G7:L7)</f>
        <v>15</v>
      </c>
      <c r="N7" s="49">
        <f t="shared" ref="N7:N54" si="0">F7+M7</f>
        <v>15</v>
      </c>
    </row>
    <row r="8" spans="1:14">
      <c r="A8" s="1" t="s">
        <v>2</v>
      </c>
      <c r="B8" s="4" t="s">
        <v>24</v>
      </c>
      <c r="C8" s="10">
        <v>0</v>
      </c>
      <c r="D8" s="10">
        <v>0</v>
      </c>
      <c r="E8" s="60">
        <v>4</v>
      </c>
      <c r="F8" s="49">
        <f>SUM(C8:E8)</f>
        <v>4</v>
      </c>
      <c r="G8" s="9">
        <v>4</v>
      </c>
      <c r="H8" s="10">
        <v>3</v>
      </c>
      <c r="I8" s="10">
        <v>3</v>
      </c>
      <c r="J8" s="10">
        <v>0</v>
      </c>
      <c r="K8" s="10">
        <v>1</v>
      </c>
      <c r="L8" s="11">
        <v>1</v>
      </c>
      <c r="M8" s="49">
        <f t="shared" ref="M8:M11" si="1">SUM(G8:L8)</f>
        <v>12</v>
      </c>
      <c r="N8" s="49">
        <f t="shared" si="0"/>
        <v>16</v>
      </c>
    </row>
    <row r="9" spans="1:14">
      <c r="A9" s="1" t="s">
        <v>2</v>
      </c>
      <c r="B9" s="4" t="s">
        <v>25</v>
      </c>
      <c r="C9" s="10">
        <v>0</v>
      </c>
      <c r="D9" s="10">
        <v>0</v>
      </c>
      <c r="E9" s="60">
        <v>1</v>
      </c>
      <c r="F9" s="49">
        <f t="shared" ref="F9:F10" si="2">SUM(C9:E9)</f>
        <v>1</v>
      </c>
      <c r="G9" s="9">
        <v>0</v>
      </c>
      <c r="H9" s="10">
        <v>1</v>
      </c>
      <c r="I9" s="10">
        <v>4</v>
      </c>
      <c r="J9" s="10">
        <v>0</v>
      </c>
      <c r="K9" s="10">
        <v>1</v>
      </c>
      <c r="L9" s="11">
        <v>0</v>
      </c>
      <c r="M9" s="49">
        <f t="shared" si="1"/>
        <v>6</v>
      </c>
      <c r="N9" s="49">
        <f t="shared" si="0"/>
        <v>7</v>
      </c>
    </row>
    <row r="10" spans="1:14">
      <c r="A10" s="1" t="s">
        <v>2</v>
      </c>
      <c r="B10" s="4" t="s">
        <v>26</v>
      </c>
      <c r="C10" s="10">
        <v>0</v>
      </c>
      <c r="D10" s="10">
        <v>0</v>
      </c>
      <c r="E10" s="60">
        <v>1.5</v>
      </c>
      <c r="F10" s="49">
        <f t="shared" si="2"/>
        <v>1.5</v>
      </c>
      <c r="G10" s="9">
        <v>1</v>
      </c>
      <c r="H10" s="10">
        <v>0</v>
      </c>
      <c r="I10" s="10">
        <v>1</v>
      </c>
      <c r="J10" s="10">
        <v>0</v>
      </c>
      <c r="K10" s="10">
        <v>5</v>
      </c>
      <c r="L10" s="11">
        <v>0</v>
      </c>
      <c r="M10" s="49">
        <f t="shared" si="1"/>
        <v>7</v>
      </c>
      <c r="N10" s="49">
        <f t="shared" si="0"/>
        <v>8.5</v>
      </c>
    </row>
    <row r="11" spans="1:14">
      <c r="A11" s="1" t="s">
        <v>2</v>
      </c>
      <c r="B11" s="4" t="s">
        <v>27</v>
      </c>
      <c r="C11" s="10">
        <v>2</v>
      </c>
      <c r="D11" s="10">
        <v>2</v>
      </c>
      <c r="E11" s="60">
        <v>0</v>
      </c>
      <c r="F11" s="49">
        <f>SUM(C11:E11)</f>
        <v>4</v>
      </c>
      <c r="G11" s="9">
        <v>0</v>
      </c>
      <c r="H11" s="10">
        <v>0</v>
      </c>
      <c r="I11" s="10">
        <v>0</v>
      </c>
      <c r="J11" s="10">
        <v>0</v>
      </c>
      <c r="K11" s="10">
        <v>0</v>
      </c>
      <c r="L11" s="11">
        <v>0</v>
      </c>
      <c r="M11" s="49">
        <f t="shared" si="1"/>
        <v>0</v>
      </c>
      <c r="N11" s="49">
        <f t="shared" si="0"/>
        <v>4</v>
      </c>
    </row>
    <row r="12" spans="1:14">
      <c r="A12" s="1" t="s">
        <v>2</v>
      </c>
      <c r="B12" s="4" t="s">
        <v>28</v>
      </c>
      <c r="C12" s="10">
        <v>0</v>
      </c>
      <c r="D12" s="10">
        <v>0</v>
      </c>
      <c r="E12" s="60">
        <v>0</v>
      </c>
      <c r="F12" s="49"/>
      <c r="G12" s="9">
        <v>0</v>
      </c>
      <c r="H12" s="10">
        <v>0</v>
      </c>
      <c r="I12" s="10">
        <v>0</v>
      </c>
      <c r="J12" s="10">
        <v>0</v>
      </c>
      <c r="K12" s="10">
        <v>0</v>
      </c>
      <c r="L12" s="11">
        <v>0</v>
      </c>
      <c r="M12" s="49"/>
      <c r="N12" s="49">
        <f t="shared" si="0"/>
        <v>0</v>
      </c>
    </row>
    <row r="13" spans="1:14">
      <c r="A13" s="1" t="s">
        <v>2</v>
      </c>
      <c r="B13" s="4" t="s">
        <v>29</v>
      </c>
      <c r="C13" s="10">
        <v>0</v>
      </c>
      <c r="D13" s="10">
        <v>0</v>
      </c>
      <c r="E13" s="60">
        <v>0</v>
      </c>
      <c r="F13" s="49"/>
      <c r="G13" s="9">
        <v>0</v>
      </c>
      <c r="H13" s="10">
        <v>0</v>
      </c>
      <c r="I13" s="10">
        <v>0</v>
      </c>
      <c r="J13" s="10">
        <v>0</v>
      </c>
      <c r="K13" s="10">
        <v>0</v>
      </c>
      <c r="L13" s="11">
        <v>0</v>
      </c>
      <c r="M13" s="49"/>
      <c r="N13" s="49">
        <f t="shared" si="0"/>
        <v>0</v>
      </c>
    </row>
    <row r="14" spans="1:14">
      <c r="A14" s="1" t="s">
        <v>2</v>
      </c>
      <c r="B14" s="4" t="s">
        <v>30</v>
      </c>
      <c r="C14" s="13">
        <v>0</v>
      </c>
      <c r="D14" s="13">
        <v>0</v>
      </c>
      <c r="E14" s="61">
        <v>0.125</v>
      </c>
      <c r="F14" s="50">
        <f>SUM(C14:E14)</f>
        <v>0.125</v>
      </c>
      <c r="G14" s="12">
        <v>2.875</v>
      </c>
      <c r="H14" s="13">
        <v>2.0833333333333335</v>
      </c>
      <c r="I14" s="13">
        <v>1.7083333333333335</v>
      </c>
      <c r="J14" s="13">
        <v>2.9583333333333335</v>
      </c>
      <c r="K14" s="13">
        <v>2.4166666666666665</v>
      </c>
      <c r="L14" s="14">
        <v>3.0833333333333335</v>
      </c>
      <c r="M14" s="50">
        <f>SUM(G14:L14)</f>
        <v>15.125000000000002</v>
      </c>
      <c r="N14" s="50">
        <f t="shared" si="0"/>
        <v>15.250000000000002</v>
      </c>
    </row>
    <row r="15" spans="1:14">
      <c r="A15" s="1" t="s">
        <v>2</v>
      </c>
      <c r="B15" s="4" t="s">
        <v>31</v>
      </c>
      <c r="C15" s="13">
        <v>0</v>
      </c>
      <c r="D15" s="13">
        <v>0</v>
      </c>
      <c r="E15" s="61">
        <v>0</v>
      </c>
      <c r="F15" s="50"/>
      <c r="G15" s="12">
        <v>0.58333333333333337</v>
      </c>
      <c r="H15" s="13">
        <v>0.33333333333333331</v>
      </c>
      <c r="I15" s="13">
        <v>1.2083333333333333</v>
      </c>
      <c r="J15" s="13">
        <v>1.6666666666666665</v>
      </c>
      <c r="K15" s="13">
        <v>0.95833333333333337</v>
      </c>
      <c r="L15" s="14">
        <v>1.2916666666666667</v>
      </c>
      <c r="M15" s="50">
        <f t="shared" ref="M15:M19" si="3">SUM(G15:L15)</f>
        <v>6.041666666666667</v>
      </c>
      <c r="N15" s="50">
        <f t="shared" si="0"/>
        <v>6.041666666666667</v>
      </c>
    </row>
    <row r="16" spans="1:14">
      <c r="A16" s="1" t="s">
        <v>2</v>
      </c>
      <c r="B16" s="4" t="s">
        <v>32</v>
      </c>
      <c r="C16" s="13">
        <v>0</v>
      </c>
      <c r="D16" s="13">
        <v>0</v>
      </c>
      <c r="E16" s="61">
        <v>0.75</v>
      </c>
      <c r="F16" s="50">
        <f>SUM(C16:E16)</f>
        <v>0.75</v>
      </c>
      <c r="G16" s="12">
        <v>1.875</v>
      </c>
      <c r="H16" s="13">
        <v>0.54166666666666663</v>
      </c>
      <c r="I16" s="13">
        <v>0</v>
      </c>
      <c r="J16" s="13">
        <v>0</v>
      </c>
      <c r="K16" s="13">
        <v>0</v>
      </c>
      <c r="L16" s="14">
        <v>0.45833333333333331</v>
      </c>
      <c r="M16" s="50">
        <f t="shared" si="3"/>
        <v>2.875</v>
      </c>
      <c r="N16" s="50">
        <f t="shared" si="0"/>
        <v>3.625</v>
      </c>
    </row>
    <row r="17" spans="1:14">
      <c r="A17" s="1" t="s">
        <v>2</v>
      </c>
      <c r="B17" s="4" t="s">
        <v>33</v>
      </c>
      <c r="C17" s="13">
        <v>0</v>
      </c>
      <c r="D17" s="13">
        <v>0</v>
      </c>
      <c r="E17" s="61">
        <v>0</v>
      </c>
      <c r="F17" s="50"/>
      <c r="G17" s="12">
        <v>0</v>
      </c>
      <c r="H17" s="13">
        <v>0</v>
      </c>
      <c r="I17" s="13">
        <v>0.41666666666666669</v>
      </c>
      <c r="J17" s="13">
        <v>0</v>
      </c>
      <c r="K17" s="13">
        <v>0</v>
      </c>
      <c r="L17" s="14">
        <v>0</v>
      </c>
      <c r="M17" s="50">
        <f t="shared" si="3"/>
        <v>0.41666666666666669</v>
      </c>
      <c r="N17" s="50">
        <f t="shared" si="0"/>
        <v>0.41666666666666669</v>
      </c>
    </row>
    <row r="18" spans="1:14">
      <c r="A18" s="1" t="s">
        <v>2</v>
      </c>
      <c r="B18" s="4" t="s">
        <v>34</v>
      </c>
      <c r="C18" s="13">
        <v>0</v>
      </c>
      <c r="D18" s="13">
        <v>0</v>
      </c>
      <c r="E18" s="61">
        <v>0.20833333333333334</v>
      </c>
      <c r="F18" s="50">
        <f>SUM(C18:E18)</f>
        <v>0.20833333333333334</v>
      </c>
      <c r="G18" s="12">
        <v>0</v>
      </c>
      <c r="H18" s="13">
        <v>0.29166666666666669</v>
      </c>
      <c r="I18" s="13">
        <v>1.0416666666666667</v>
      </c>
      <c r="J18" s="13">
        <v>0</v>
      </c>
      <c r="K18" s="13">
        <v>0.41666666666666669</v>
      </c>
      <c r="L18" s="14">
        <v>0</v>
      </c>
      <c r="M18" s="50">
        <f t="shared" si="3"/>
        <v>1.7500000000000002</v>
      </c>
      <c r="N18" s="50">
        <f t="shared" si="0"/>
        <v>1.9583333333333335</v>
      </c>
    </row>
    <row r="19" spans="1:14">
      <c r="A19" s="1" t="s">
        <v>2</v>
      </c>
      <c r="B19" s="4" t="s">
        <v>35</v>
      </c>
      <c r="C19" s="13">
        <v>0</v>
      </c>
      <c r="D19" s="13">
        <v>0</v>
      </c>
      <c r="E19" s="61">
        <v>0.20833333333333334</v>
      </c>
      <c r="F19" s="50">
        <f>SUM(C19:E19)</f>
        <v>0.20833333333333334</v>
      </c>
      <c r="G19" s="12">
        <v>0</v>
      </c>
      <c r="H19" s="13">
        <v>0</v>
      </c>
      <c r="I19" s="13">
        <v>0</v>
      </c>
      <c r="J19" s="13">
        <v>0</v>
      </c>
      <c r="K19" s="13">
        <v>0</v>
      </c>
      <c r="L19" s="14">
        <v>0</v>
      </c>
      <c r="M19" s="50">
        <f t="shared" si="3"/>
        <v>0</v>
      </c>
      <c r="N19" s="50">
        <f t="shared" si="0"/>
        <v>0.20833333333333334</v>
      </c>
    </row>
    <row r="20" spans="1:14">
      <c r="A20" s="1" t="s">
        <v>2</v>
      </c>
      <c r="B20" s="4" t="s">
        <v>36</v>
      </c>
      <c r="C20" s="13">
        <v>0</v>
      </c>
      <c r="D20" s="13">
        <v>0</v>
      </c>
      <c r="E20" s="61">
        <v>0</v>
      </c>
      <c r="F20" s="50"/>
      <c r="G20" s="12">
        <v>0</v>
      </c>
      <c r="H20" s="13">
        <v>0</v>
      </c>
      <c r="I20" s="13">
        <v>0</v>
      </c>
      <c r="J20" s="13">
        <v>0</v>
      </c>
      <c r="K20" s="13">
        <v>0</v>
      </c>
      <c r="L20" s="14">
        <v>0</v>
      </c>
      <c r="M20" s="50"/>
      <c r="N20" s="50">
        <f t="shared" si="0"/>
        <v>0</v>
      </c>
    </row>
    <row r="21" spans="1:14">
      <c r="A21" s="1" t="s">
        <v>2</v>
      </c>
      <c r="B21" s="4" t="s">
        <v>37</v>
      </c>
      <c r="C21" s="13">
        <v>0</v>
      </c>
      <c r="D21" s="13">
        <v>0</v>
      </c>
      <c r="E21" s="61">
        <v>0</v>
      </c>
      <c r="F21" s="50"/>
      <c r="G21" s="12">
        <v>0</v>
      </c>
      <c r="H21" s="13">
        <v>0</v>
      </c>
      <c r="I21" s="13">
        <v>0</v>
      </c>
      <c r="J21" s="13">
        <v>0</v>
      </c>
      <c r="K21" s="13">
        <v>0</v>
      </c>
      <c r="L21" s="14">
        <v>0</v>
      </c>
      <c r="M21" s="50"/>
      <c r="N21" s="50">
        <f t="shared" si="0"/>
        <v>0</v>
      </c>
    </row>
    <row r="22" spans="1:14">
      <c r="A22" s="1" t="s">
        <v>2</v>
      </c>
      <c r="B22" s="4" t="s">
        <v>38</v>
      </c>
      <c r="C22" s="13">
        <v>0.41666666666666669</v>
      </c>
      <c r="D22" s="13">
        <v>0</v>
      </c>
      <c r="E22" s="61">
        <v>0</v>
      </c>
      <c r="F22" s="50">
        <f>SUM(C22:E22)</f>
        <v>0.41666666666666669</v>
      </c>
      <c r="G22" s="12">
        <v>1.2083333333333333</v>
      </c>
      <c r="H22" s="13">
        <v>1.3333333333333333</v>
      </c>
      <c r="I22" s="13">
        <v>2.0416666666666665</v>
      </c>
      <c r="J22" s="13">
        <v>1.5833333333333335</v>
      </c>
      <c r="K22" s="13">
        <v>1.0416666666666667</v>
      </c>
      <c r="L22" s="14">
        <v>1.0416666666666667</v>
      </c>
      <c r="M22" s="50">
        <f>SUM(G22:L22)</f>
        <v>8.25</v>
      </c>
      <c r="N22" s="50">
        <f t="shared" si="0"/>
        <v>8.6666666666666661</v>
      </c>
    </row>
    <row r="23" spans="1:14" ht="19.5" thickBot="1">
      <c r="A23" s="1" t="s">
        <v>2</v>
      </c>
      <c r="B23" s="5" t="s">
        <v>39</v>
      </c>
      <c r="C23" s="33">
        <v>32.5</v>
      </c>
      <c r="D23" s="33">
        <v>9.5</v>
      </c>
      <c r="E23" s="62">
        <v>6</v>
      </c>
      <c r="F23" s="51">
        <f>SUM(C23:E23)</f>
        <v>48</v>
      </c>
      <c r="G23" s="32">
        <v>22</v>
      </c>
      <c r="H23" s="33">
        <v>18</v>
      </c>
      <c r="I23" s="33">
        <v>23</v>
      </c>
      <c r="J23" s="33">
        <v>27</v>
      </c>
      <c r="K23" s="33">
        <v>8</v>
      </c>
      <c r="L23" s="34">
        <v>4</v>
      </c>
      <c r="M23" s="51">
        <f>SUM(G23:L23)</f>
        <v>102</v>
      </c>
      <c r="N23" s="51">
        <f t="shared" si="0"/>
        <v>150</v>
      </c>
    </row>
    <row r="24" spans="1:14">
      <c r="A24" s="1" t="s">
        <v>2</v>
      </c>
      <c r="B24" s="21" t="s">
        <v>40</v>
      </c>
      <c r="C24" s="30">
        <v>335000</v>
      </c>
      <c r="D24" s="30">
        <v>335000</v>
      </c>
      <c r="E24" s="63">
        <v>170000</v>
      </c>
      <c r="F24" s="52">
        <f>SUM(C24:E24)</f>
        <v>840000</v>
      </c>
      <c r="G24" s="29">
        <v>177000</v>
      </c>
      <c r="H24" s="30">
        <v>177000</v>
      </c>
      <c r="I24" s="30">
        <v>177000</v>
      </c>
      <c r="J24" s="30">
        <v>187000</v>
      </c>
      <c r="K24" s="30">
        <v>177000</v>
      </c>
      <c r="L24" s="31">
        <v>170000</v>
      </c>
      <c r="M24" s="52">
        <f>SUM(G24:L24)</f>
        <v>1065000</v>
      </c>
      <c r="N24" s="52">
        <f t="shared" si="0"/>
        <v>1905000</v>
      </c>
    </row>
    <row r="25" spans="1:14">
      <c r="A25" s="1" t="s">
        <v>2</v>
      </c>
      <c r="B25" s="4" t="s">
        <v>41</v>
      </c>
      <c r="C25" s="16">
        <v>0</v>
      </c>
      <c r="D25" s="16">
        <v>0</v>
      </c>
      <c r="E25" s="64">
        <v>0</v>
      </c>
      <c r="F25" s="53">
        <f t="shared" ref="F25:F62" si="4">SUM(C25:E25)</f>
        <v>0</v>
      </c>
      <c r="G25" s="15">
        <v>5000</v>
      </c>
      <c r="H25" s="16">
        <v>0</v>
      </c>
      <c r="I25" s="16">
        <v>0</v>
      </c>
      <c r="J25" s="16">
        <v>0</v>
      </c>
      <c r="K25" s="16">
        <v>0</v>
      </c>
      <c r="L25" s="17">
        <v>0</v>
      </c>
      <c r="M25" s="53">
        <f t="shared" ref="M25:M62" si="5">SUM(G25:L25)</f>
        <v>5000</v>
      </c>
      <c r="N25" s="53">
        <f t="shared" si="0"/>
        <v>5000</v>
      </c>
    </row>
    <row r="26" spans="1:14">
      <c r="A26" s="1" t="s">
        <v>2</v>
      </c>
      <c r="B26" s="4" t="s">
        <v>42</v>
      </c>
      <c r="C26" s="16">
        <v>0</v>
      </c>
      <c r="D26" s="16">
        <v>0</v>
      </c>
      <c r="E26" s="64">
        <v>3000</v>
      </c>
      <c r="F26" s="53">
        <f t="shared" si="4"/>
        <v>3000</v>
      </c>
      <c r="G26" s="15">
        <v>3000</v>
      </c>
      <c r="H26" s="16">
        <v>10000</v>
      </c>
      <c r="I26" s="16">
        <v>0</v>
      </c>
      <c r="J26" s="16">
        <v>0</v>
      </c>
      <c r="K26" s="16">
        <v>0</v>
      </c>
      <c r="L26" s="17">
        <v>0</v>
      </c>
      <c r="M26" s="53">
        <f t="shared" si="5"/>
        <v>13000</v>
      </c>
      <c r="N26" s="53">
        <f t="shared" si="0"/>
        <v>16000</v>
      </c>
    </row>
    <row r="27" spans="1:14">
      <c r="A27" s="1" t="s">
        <v>2</v>
      </c>
      <c r="B27" s="4" t="s">
        <v>43</v>
      </c>
      <c r="C27" s="16">
        <v>0</v>
      </c>
      <c r="D27" s="16">
        <v>0</v>
      </c>
      <c r="E27" s="64">
        <v>0</v>
      </c>
      <c r="F27" s="53">
        <f t="shared" si="4"/>
        <v>0</v>
      </c>
      <c r="G27" s="15">
        <v>0</v>
      </c>
      <c r="H27" s="16">
        <v>0</v>
      </c>
      <c r="I27" s="16">
        <v>0</v>
      </c>
      <c r="J27" s="16">
        <v>0</v>
      </c>
      <c r="K27" s="16">
        <v>0</v>
      </c>
      <c r="L27" s="17">
        <v>0</v>
      </c>
      <c r="M27" s="53">
        <f t="shared" si="5"/>
        <v>0</v>
      </c>
      <c r="N27" s="53">
        <f t="shared" si="0"/>
        <v>0</v>
      </c>
    </row>
    <row r="28" spans="1:14">
      <c r="A28" s="1" t="s">
        <v>2</v>
      </c>
      <c r="B28" s="4" t="s">
        <v>44</v>
      </c>
      <c r="C28" s="16">
        <v>0</v>
      </c>
      <c r="D28" s="16">
        <v>0</v>
      </c>
      <c r="E28" s="64">
        <v>0</v>
      </c>
      <c r="F28" s="53">
        <f t="shared" si="4"/>
        <v>0</v>
      </c>
      <c r="G28" s="15">
        <v>0</v>
      </c>
      <c r="H28" s="16">
        <v>0</v>
      </c>
      <c r="I28" s="16">
        <v>0</v>
      </c>
      <c r="J28" s="16">
        <v>0</v>
      </c>
      <c r="K28" s="16">
        <v>0</v>
      </c>
      <c r="L28" s="17">
        <v>0</v>
      </c>
      <c r="M28" s="53">
        <f t="shared" si="5"/>
        <v>0</v>
      </c>
      <c r="N28" s="53">
        <f t="shared" si="0"/>
        <v>0</v>
      </c>
    </row>
    <row r="29" spans="1:14">
      <c r="A29" s="1" t="s">
        <v>2</v>
      </c>
      <c r="B29" s="4" t="s">
        <v>45</v>
      </c>
      <c r="C29" s="16">
        <v>0</v>
      </c>
      <c r="D29" s="16">
        <v>0</v>
      </c>
      <c r="E29" s="64">
        <v>0</v>
      </c>
      <c r="F29" s="53">
        <f t="shared" si="4"/>
        <v>0</v>
      </c>
      <c r="G29" s="15">
        <v>0</v>
      </c>
      <c r="H29" s="16">
        <v>0</v>
      </c>
      <c r="I29" s="16">
        <v>0</v>
      </c>
      <c r="J29" s="16">
        <v>0</v>
      </c>
      <c r="K29" s="16">
        <v>0</v>
      </c>
      <c r="L29" s="17">
        <v>0</v>
      </c>
      <c r="M29" s="53">
        <f t="shared" si="5"/>
        <v>0</v>
      </c>
      <c r="N29" s="53">
        <f t="shared" si="0"/>
        <v>0</v>
      </c>
    </row>
    <row r="30" spans="1:14">
      <c r="A30" s="1" t="s">
        <v>2</v>
      </c>
      <c r="B30" s="4" t="s">
        <v>46</v>
      </c>
      <c r="C30" s="16">
        <v>0</v>
      </c>
      <c r="D30" s="16">
        <v>0</v>
      </c>
      <c r="E30" s="64">
        <v>0</v>
      </c>
      <c r="F30" s="53">
        <f t="shared" si="4"/>
        <v>0</v>
      </c>
      <c r="G30" s="15">
        <v>0</v>
      </c>
      <c r="H30" s="16">
        <v>1000</v>
      </c>
      <c r="I30" s="16">
        <v>1000</v>
      </c>
      <c r="J30" s="16">
        <v>1000</v>
      </c>
      <c r="K30" s="16">
        <v>1000</v>
      </c>
      <c r="L30" s="17">
        <v>0</v>
      </c>
      <c r="M30" s="53">
        <f t="shared" si="5"/>
        <v>4000</v>
      </c>
      <c r="N30" s="53">
        <f t="shared" si="0"/>
        <v>4000</v>
      </c>
    </row>
    <row r="31" spans="1:14">
      <c r="A31" s="1" t="s">
        <v>2</v>
      </c>
      <c r="B31" s="4" t="s">
        <v>47</v>
      </c>
      <c r="C31" s="16">
        <v>0</v>
      </c>
      <c r="D31" s="16">
        <v>0</v>
      </c>
      <c r="E31" s="64">
        <v>0</v>
      </c>
      <c r="F31" s="53">
        <f t="shared" si="4"/>
        <v>0</v>
      </c>
      <c r="G31" s="15">
        <v>0</v>
      </c>
      <c r="H31" s="16">
        <v>0</v>
      </c>
      <c r="I31" s="16">
        <v>0</v>
      </c>
      <c r="J31" s="16">
        <v>0</v>
      </c>
      <c r="K31" s="16">
        <v>0</v>
      </c>
      <c r="L31" s="17">
        <v>0</v>
      </c>
      <c r="M31" s="53">
        <f t="shared" si="5"/>
        <v>0</v>
      </c>
      <c r="N31" s="53">
        <f t="shared" si="0"/>
        <v>0</v>
      </c>
    </row>
    <row r="32" spans="1:14">
      <c r="A32" s="1" t="s">
        <v>2</v>
      </c>
      <c r="B32" s="4" t="s">
        <v>48</v>
      </c>
      <c r="C32" s="16">
        <v>0</v>
      </c>
      <c r="D32" s="16">
        <v>0</v>
      </c>
      <c r="E32" s="64">
        <v>0</v>
      </c>
      <c r="F32" s="53">
        <f t="shared" si="4"/>
        <v>0</v>
      </c>
      <c r="G32" s="15">
        <v>0</v>
      </c>
      <c r="H32" s="16">
        <v>0</v>
      </c>
      <c r="I32" s="16">
        <v>0</v>
      </c>
      <c r="J32" s="16">
        <v>0</v>
      </c>
      <c r="K32" s="16">
        <v>0</v>
      </c>
      <c r="L32" s="17">
        <v>0</v>
      </c>
      <c r="M32" s="53">
        <f t="shared" si="5"/>
        <v>0</v>
      </c>
      <c r="N32" s="53">
        <f t="shared" si="0"/>
        <v>0</v>
      </c>
    </row>
    <row r="33" spans="1:14">
      <c r="A33" s="1" t="s">
        <v>2</v>
      </c>
      <c r="B33" s="4" t="s">
        <v>49</v>
      </c>
      <c r="C33" s="16">
        <v>0</v>
      </c>
      <c r="D33" s="16">
        <v>0</v>
      </c>
      <c r="E33" s="64">
        <v>0</v>
      </c>
      <c r="F33" s="53">
        <f t="shared" si="4"/>
        <v>0</v>
      </c>
      <c r="G33" s="15">
        <v>0</v>
      </c>
      <c r="H33" s="16">
        <v>0</v>
      </c>
      <c r="I33" s="16">
        <v>0</v>
      </c>
      <c r="J33" s="16">
        <v>0</v>
      </c>
      <c r="K33" s="16">
        <v>0</v>
      </c>
      <c r="L33" s="17">
        <v>0</v>
      </c>
      <c r="M33" s="53">
        <f t="shared" si="5"/>
        <v>0</v>
      </c>
      <c r="N33" s="53">
        <f t="shared" si="0"/>
        <v>0</v>
      </c>
    </row>
    <row r="34" spans="1:14">
      <c r="A34" s="1" t="s">
        <v>2</v>
      </c>
      <c r="B34" s="4" t="s">
        <v>50</v>
      </c>
      <c r="C34" s="16">
        <v>0</v>
      </c>
      <c r="D34" s="16">
        <v>0</v>
      </c>
      <c r="E34" s="64">
        <v>0</v>
      </c>
      <c r="F34" s="53">
        <f t="shared" si="4"/>
        <v>0</v>
      </c>
      <c r="G34" s="15">
        <v>0</v>
      </c>
      <c r="H34" s="16">
        <v>12600</v>
      </c>
      <c r="I34" s="16">
        <v>0</v>
      </c>
      <c r="J34" s="16">
        <v>0</v>
      </c>
      <c r="K34" s="16">
        <v>0</v>
      </c>
      <c r="L34" s="17">
        <v>0</v>
      </c>
      <c r="M34" s="53">
        <f t="shared" si="5"/>
        <v>12600</v>
      </c>
      <c r="N34" s="53">
        <f t="shared" si="0"/>
        <v>12600</v>
      </c>
    </row>
    <row r="35" spans="1:14">
      <c r="A35" s="1" t="s">
        <v>2</v>
      </c>
      <c r="B35" s="4" t="s">
        <v>51</v>
      </c>
      <c r="C35" s="16">
        <v>0</v>
      </c>
      <c r="D35" s="16">
        <v>0</v>
      </c>
      <c r="E35" s="64">
        <v>0</v>
      </c>
      <c r="F35" s="53">
        <f t="shared" si="4"/>
        <v>0</v>
      </c>
      <c r="G35" s="15">
        <v>0</v>
      </c>
      <c r="H35" s="16">
        <v>0</v>
      </c>
      <c r="I35" s="16">
        <v>0</v>
      </c>
      <c r="J35" s="16">
        <v>0</v>
      </c>
      <c r="K35" s="16">
        <v>0</v>
      </c>
      <c r="L35" s="17">
        <v>0</v>
      </c>
      <c r="M35" s="53">
        <f t="shared" si="5"/>
        <v>0</v>
      </c>
      <c r="N35" s="53">
        <f t="shared" si="0"/>
        <v>0</v>
      </c>
    </row>
    <row r="36" spans="1:14">
      <c r="A36" s="1" t="s">
        <v>2</v>
      </c>
      <c r="B36" s="4" t="s">
        <v>52</v>
      </c>
      <c r="C36" s="16">
        <v>0</v>
      </c>
      <c r="D36" s="16">
        <v>0</v>
      </c>
      <c r="E36" s="64">
        <v>0</v>
      </c>
      <c r="F36" s="53">
        <f t="shared" si="4"/>
        <v>0</v>
      </c>
      <c r="G36" s="15">
        <v>0</v>
      </c>
      <c r="H36" s="16">
        <v>0</v>
      </c>
      <c r="I36" s="16">
        <v>0</v>
      </c>
      <c r="J36" s="16">
        <v>0</v>
      </c>
      <c r="K36" s="16">
        <v>0</v>
      </c>
      <c r="L36" s="17">
        <v>0</v>
      </c>
      <c r="M36" s="53">
        <f t="shared" si="5"/>
        <v>0</v>
      </c>
      <c r="N36" s="53">
        <f t="shared" si="0"/>
        <v>0</v>
      </c>
    </row>
    <row r="37" spans="1:14">
      <c r="A37" s="1" t="s">
        <v>2</v>
      </c>
      <c r="B37" s="4" t="s">
        <v>30</v>
      </c>
      <c r="C37" s="16">
        <v>0</v>
      </c>
      <c r="D37" s="16">
        <v>0</v>
      </c>
      <c r="E37" s="64">
        <v>4443</v>
      </c>
      <c r="F37" s="53">
        <f t="shared" si="4"/>
        <v>4443</v>
      </c>
      <c r="G37" s="15">
        <v>95565</v>
      </c>
      <c r="H37" s="16">
        <v>75050</v>
      </c>
      <c r="I37" s="16">
        <v>54653</v>
      </c>
      <c r="J37" s="16">
        <v>99968</v>
      </c>
      <c r="K37" s="16">
        <v>77314</v>
      </c>
      <c r="L37" s="17">
        <v>94202</v>
      </c>
      <c r="M37" s="53">
        <f t="shared" si="5"/>
        <v>496752</v>
      </c>
      <c r="N37" s="53">
        <f t="shared" si="0"/>
        <v>501195</v>
      </c>
    </row>
    <row r="38" spans="1:14">
      <c r="A38" s="1" t="s">
        <v>2</v>
      </c>
      <c r="B38" s="4" t="s">
        <v>53</v>
      </c>
      <c r="C38" s="16">
        <v>0</v>
      </c>
      <c r="D38" s="16">
        <v>0</v>
      </c>
      <c r="E38" s="64">
        <v>0</v>
      </c>
      <c r="F38" s="53">
        <f t="shared" si="4"/>
        <v>0</v>
      </c>
      <c r="G38" s="15">
        <v>20944</v>
      </c>
      <c r="H38" s="16">
        <v>12968</v>
      </c>
      <c r="I38" s="16">
        <v>41731</v>
      </c>
      <c r="J38" s="16">
        <v>60800</v>
      </c>
      <c r="K38" s="16">
        <v>33097</v>
      </c>
      <c r="L38" s="17">
        <v>42594</v>
      </c>
      <c r="M38" s="53">
        <f t="shared" si="5"/>
        <v>212134</v>
      </c>
      <c r="N38" s="53">
        <f t="shared" si="0"/>
        <v>212134</v>
      </c>
    </row>
    <row r="39" spans="1:14">
      <c r="A39" s="1" t="s">
        <v>2</v>
      </c>
      <c r="B39" s="4" t="s">
        <v>54</v>
      </c>
      <c r="C39" s="16">
        <v>0</v>
      </c>
      <c r="D39" s="16">
        <v>0</v>
      </c>
      <c r="E39" s="64">
        <v>28800</v>
      </c>
      <c r="F39" s="53">
        <f t="shared" si="4"/>
        <v>28800</v>
      </c>
      <c r="G39" s="15">
        <v>67320</v>
      </c>
      <c r="H39" s="16">
        <v>21073</v>
      </c>
      <c r="I39" s="16">
        <v>0</v>
      </c>
      <c r="J39" s="16">
        <v>0</v>
      </c>
      <c r="K39" s="16">
        <v>0</v>
      </c>
      <c r="L39" s="17">
        <v>15114</v>
      </c>
      <c r="M39" s="53">
        <f t="shared" si="5"/>
        <v>103507</v>
      </c>
      <c r="N39" s="53">
        <f t="shared" si="0"/>
        <v>132307</v>
      </c>
    </row>
    <row r="40" spans="1:14">
      <c r="A40" s="1" t="s">
        <v>2</v>
      </c>
      <c r="B40" s="4" t="s">
        <v>55</v>
      </c>
      <c r="C40" s="16">
        <v>0</v>
      </c>
      <c r="D40" s="16">
        <v>0</v>
      </c>
      <c r="E40" s="64">
        <v>0</v>
      </c>
      <c r="F40" s="53">
        <f t="shared" si="4"/>
        <v>0</v>
      </c>
      <c r="G40" s="15">
        <v>0</v>
      </c>
      <c r="H40" s="16">
        <v>0</v>
      </c>
      <c r="I40" s="16">
        <v>3730</v>
      </c>
      <c r="J40" s="16">
        <v>0</v>
      </c>
      <c r="K40" s="16">
        <v>0</v>
      </c>
      <c r="L40" s="17">
        <v>0</v>
      </c>
      <c r="M40" s="53">
        <f t="shared" si="5"/>
        <v>3730</v>
      </c>
      <c r="N40" s="53">
        <f t="shared" si="0"/>
        <v>3730</v>
      </c>
    </row>
    <row r="41" spans="1:14">
      <c r="A41" s="1" t="s">
        <v>2</v>
      </c>
      <c r="B41" s="4" t="s">
        <v>56</v>
      </c>
      <c r="C41" s="16">
        <v>0</v>
      </c>
      <c r="D41" s="16">
        <v>0</v>
      </c>
      <c r="E41" s="64">
        <v>2075</v>
      </c>
      <c r="F41" s="53">
        <f t="shared" si="4"/>
        <v>2075</v>
      </c>
      <c r="G41" s="15">
        <v>0</v>
      </c>
      <c r="H41" s="16">
        <v>2940</v>
      </c>
      <c r="I41" s="16">
        <v>9325</v>
      </c>
      <c r="J41" s="16">
        <v>0</v>
      </c>
      <c r="K41" s="16">
        <v>3730</v>
      </c>
      <c r="L41" s="17">
        <v>0</v>
      </c>
      <c r="M41" s="53">
        <f t="shared" si="5"/>
        <v>15995</v>
      </c>
      <c r="N41" s="53">
        <f t="shared" si="0"/>
        <v>18070</v>
      </c>
    </row>
    <row r="42" spans="1:14">
      <c r="A42" s="1" t="s">
        <v>2</v>
      </c>
      <c r="B42" s="4" t="s">
        <v>57</v>
      </c>
      <c r="C42" s="16">
        <v>0</v>
      </c>
      <c r="D42" s="16">
        <v>0</v>
      </c>
      <c r="E42" s="64">
        <v>0</v>
      </c>
      <c r="F42" s="53">
        <f t="shared" si="4"/>
        <v>0</v>
      </c>
      <c r="G42" s="15">
        <v>0</v>
      </c>
      <c r="H42" s="16">
        <v>0</v>
      </c>
      <c r="I42" s="16">
        <v>0</v>
      </c>
      <c r="J42" s="16">
        <v>0</v>
      </c>
      <c r="K42" s="16">
        <v>0</v>
      </c>
      <c r="L42" s="17">
        <v>0</v>
      </c>
      <c r="M42" s="53">
        <f t="shared" si="5"/>
        <v>0</v>
      </c>
      <c r="N42" s="53">
        <f t="shared" si="0"/>
        <v>0</v>
      </c>
    </row>
    <row r="43" spans="1:14">
      <c r="A43" s="1" t="s">
        <v>2</v>
      </c>
      <c r="B43" s="4" t="s">
        <v>35</v>
      </c>
      <c r="C43" s="16">
        <v>0</v>
      </c>
      <c r="D43" s="16">
        <v>0</v>
      </c>
      <c r="E43" s="64">
        <v>5925</v>
      </c>
      <c r="F43" s="53">
        <f t="shared" si="4"/>
        <v>5925</v>
      </c>
      <c r="G43" s="15">
        <v>0</v>
      </c>
      <c r="H43" s="16">
        <v>0</v>
      </c>
      <c r="I43" s="16">
        <v>0</v>
      </c>
      <c r="J43" s="16">
        <v>0</v>
      </c>
      <c r="K43" s="16">
        <v>0</v>
      </c>
      <c r="L43" s="17">
        <v>0</v>
      </c>
      <c r="M43" s="53">
        <f t="shared" si="5"/>
        <v>0</v>
      </c>
      <c r="N43" s="53">
        <f t="shared" si="0"/>
        <v>5925</v>
      </c>
    </row>
    <row r="44" spans="1:14" ht="19.5" thickBot="1">
      <c r="A44" s="1" t="s">
        <v>2</v>
      </c>
      <c r="B44" s="35" t="s">
        <v>38</v>
      </c>
      <c r="C44" s="37">
        <v>5020</v>
      </c>
      <c r="D44" s="37">
        <v>0</v>
      </c>
      <c r="E44" s="65">
        <v>0</v>
      </c>
      <c r="F44" s="54">
        <f t="shared" si="4"/>
        <v>5020</v>
      </c>
      <c r="G44" s="36">
        <v>8033</v>
      </c>
      <c r="H44" s="37">
        <v>9600</v>
      </c>
      <c r="I44" s="37">
        <v>13083</v>
      </c>
      <c r="J44" s="37">
        <v>10716</v>
      </c>
      <c r="K44" s="37">
        <v>6675</v>
      </c>
      <c r="L44" s="38">
        <v>6375</v>
      </c>
      <c r="M44" s="54">
        <f t="shared" si="5"/>
        <v>54482</v>
      </c>
      <c r="N44" s="54">
        <f t="shared" si="0"/>
        <v>59502</v>
      </c>
    </row>
    <row r="45" spans="1:14" ht="19.5" thickBot="1">
      <c r="A45" s="1" t="s">
        <v>2</v>
      </c>
      <c r="B45" s="39" t="s">
        <v>58</v>
      </c>
      <c r="C45" s="41">
        <v>340020</v>
      </c>
      <c r="D45" s="41">
        <v>335000</v>
      </c>
      <c r="E45" s="66">
        <v>214243</v>
      </c>
      <c r="F45" s="55">
        <f t="shared" si="4"/>
        <v>889263</v>
      </c>
      <c r="G45" s="40">
        <v>376862</v>
      </c>
      <c r="H45" s="41">
        <v>322231</v>
      </c>
      <c r="I45" s="41">
        <v>300522</v>
      </c>
      <c r="J45" s="41">
        <v>359484</v>
      </c>
      <c r="K45" s="41">
        <v>298816</v>
      </c>
      <c r="L45" s="42">
        <v>328285</v>
      </c>
      <c r="M45" s="55">
        <f t="shared" si="5"/>
        <v>1986200</v>
      </c>
      <c r="N45" s="55">
        <f t="shared" si="0"/>
        <v>2875463</v>
      </c>
    </row>
    <row r="46" spans="1:14" ht="19.5" thickBot="1">
      <c r="A46" s="1" t="s">
        <v>2</v>
      </c>
      <c r="B46" s="21" t="s">
        <v>59</v>
      </c>
      <c r="C46" s="30">
        <v>6956</v>
      </c>
      <c r="D46" s="30">
        <v>17865</v>
      </c>
      <c r="E46" s="63">
        <v>559</v>
      </c>
      <c r="F46" s="52">
        <f t="shared" si="4"/>
        <v>25380</v>
      </c>
      <c r="G46" s="29">
        <v>9072</v>
      </c>
      <c r="H46" s="30">
        <v>2327</v>
      </c>
      <c r="I46" s="30">
        <v>2234</v>
      </c>
      <c r="J46" s="30">
        <v>11492</v>
      </c>
      <c r="K46" s="30">
        <v>3978</v>
      </c>
      <c r="L46" s="31">
        <v>7258</v>
      </c>
      <c r="M46" s="52">
        <f t="shared" si="5"/>
        <v>36361</v>
      </c>
      <c r="N46" s="52">
        <f t="shared" si="0"/>
        <v>61741</v>
      </c>
    </row>
    <row r="47" spans="1:14" ht="19.5" thickBot="1">
      <c r="A47" s="1" t="s">
        <v>2</v>
      </c>
      <c r="B47" s="39" t="s">
        <v>60</v>
      </c>
      <c r="C47" s="41">
        <v>6956</v>
      </c>
      <c r="D47" s="41">
        <v>17865</v>
      </c>
      <c r="E47" s="66">
        <v>559</v>
      </c>
      <c r="F47" s="55">
        <f t="shared" si="4"/>
        <v>25380</v>
      </c>
      <c r="G47" s="40">
        <v>9072</v>
      </c>
      <c r="H47" s="41">
        <v>2327</v>
      </c>
      <c r="I47" s="41">
        <v>2234</v>
      </c>
      <c r="J47" s="41">
        <v>11492</v>
      </c>
      <c r="K47" s="41">
        <v>3978</v>
      </c>
      <c r="L47" s="42">
        <v>7258</v>
      </c>
      <c r="M47" s="55">
        <f t="shared" si="5"/>
        <v>36361</v>
      </c>
      <c r="N47" s="55">
        <f t="shared" si="0"/>
        <v>61741</v>
      </c>
    </row>
    <row r="48" spans="1:14" ht="19.5" thickBot="1">
      <c r="A48" s="1" t="s">
        <v>2</v>
      </c>
      <c r="B48" s="39" t="s">
        <v>61</v>
      </c>
      <c r="C48" s="41">
        <v>346976</v>
      </c>
      <c r="D48" s="41">
        <v>352865</v>
      </c>
      <c r="E48" s="66">
        <v>214802</v>
      </c>
      <c r="F48" s="55">
        <f t="shared" si="4"/>
        <v>914643</v>
      </c>
      <c r="G48" s="40">
        <v>385934</v>
      </c>
      <c r="H48" s="41">
        <v>324558</v>
      </c>
      <c r="I48" s="41">
        <v>302756</v>
      </c>
      <c r="J48" s="41">
        <v>370976</v>
      </c>
      <c r="K48" s="41">
        <v>302794</v>
      </c>
      <c r="L48" s="42">
        <v>335543</v>
      </c>
      <c r="M48" s="55">
        <f t="shared" si="5"/>
        <v>2022561</v>
      </c>
      <c r="N48" s="55">
        <f t="shared" si="0"/>
        <v>2937204</v>
      </c>
    </row>
    <row r="49" spans="1:14">
      <c r="A49" s="1" t="s">
        <v>2</v>
      </c>
      <c r="B49" s="21" t="s">
        <v>62</v>
      </c>
      <c r="C49" s="30">
        <v>17340</v>
      </c>
      <c r="D49" s="30">
        <v>17340</v>
      </c>
      <c r="E49" s="63">
        <v>10200</v>
      </c>
      <c r="F49" s="52">
        <f t="shared" si="4"/>
        <v>44880</v>
      </c>
      <c r="G49" s="29">
        <v>17340</v>
      </c>
      <c r="H49" s="30">
        <v>17340</v>
      </c>
      <c r="I49" s="30">
        <v>16320</v>
      </c>
      <c r="J49" s="30">
        <v>17340</v>
      </c>
      <c r="K49" s="30">
        <v>14280</v>
      </c>
      <c r="L49" s="31">
        <v>13260</v>
      </c>
      <c r="M49" s="52">
        <f t="shared" si="5"/>
        <v>95880</v>
      </c>
      <c r="N49" s="52">
        <f t="shared" si="0"/>
        <v>140760</v>
      </c>
    </row>
    <row r="50" spans="1:14">
      <c r="A50" s="1" t="s">
        <v>2</v>
      </c>
      <c r="B50" s="4" t="s">
        <v>63</v>
      </c>
      <c r="C50" s="16">
        <v>3060</v>
      </c>
      <c r="D50" s="16">
        <v>3060</v>
      </c>
      <c r="E50" s="64">
        <v>0</v>
      </c>
      <c r="F50" s="53">
        <f t="shared" si="4"/>
        <v>6120</v>
      </c>
      <c r="G50" s="15">
        <v>3060</v>
      </c>
      <c r="H50" s="16">
        <v>3060</v>
      </c>
      <c r="I50" s="16">
        <v>2880</v>
      </c>
      <c r="J50" s="16">
        <v>3060</v>
      </c>
      <c r="K50" s="16">
        <v>2520</v>
      </c>
      <c r="L50" s="17">
        <v>2340</v>
      </c>
      <c r="M50" s="53">
        <f t="shared" si="5"/>
        <v>16920</v>
      </c>
      <c r="N50" s="53">
        <f t="shared" si="0"/>
        <v>23040</v>
      </c>
    </row>
    <row r="51" spans="1:14">
      <c r="A51" s="1" t="s">
        <v>2</v>
      </c>
      <c r="B51" s="4" t="s">
        <v>64</v>
      </c>
      <c r="C51" s="16">
        <v>31110</v>
      </c>
      <c r="D51" s="16">
        <v>31110</v>
      </c>
      <c r="E51" s="64">
        <v>18300</v>
      </c>
      <c r="F51" s="53">
        <f t="shared" si="4"/>
        <v>80520</v>
      </c>
      <c r="G51" s="15">
        <v>31110</v>
      </c>
      <c r="H51" s="16">
        <v>31110</v>
      </c>
      <c r="I51" s="16">
        <v>29280</v>
      </c>
      <c r="J51" s="16">
        <v>31110</v>
      </c>
      <c r="K51" s="16">
        <v>25620</v>
      </c>
      <c r="L51" s="17">
        <v>23790</v>
      </c>
      <c r="M51" s="53">
        <f t="shared" si="5"/>
        <v>172020</v>
      </c>
      <c r="N51" s="53">
        <f t="shared" si="0"/>
        <v>252540</v>
      </c>
    </row>
    <row r="52" spans="1:14" ht="19.5" thickBot="1">
      <c r="A52" s="1" t="s">
        <v>2</v>
      </c>
      <c r="B52" s="4" t="s">
        <v>65</v>
      </c>
      <c r="C52" s="16">
        <v>1041</v>
      </c>
      <c r="D52" s="16">
        <v>1059</v>
      </c>
      <c r="E52" s="64">
        <v>644</v>
      </c>
      <c r="F52" s="53">
        <f t="shared" si="4"/>
        <v>2744</v>
      </c>
      <c r="G52" s="15">
        <v>1158</v>
      </c>
      <c r="H52" s="16">
        <v>974</v>
      </c>
      <c r="I52" s="16">
        <v>908</v>
      </c>
      <c r="J52" s="16">
        <v>1113</v>
      </c>
      <c r="K52" s="16">
        <v>908</v>
      </c>
      <c r="L52" s="17">
        <v>1007</v>
      </c>
      <c r="M52" s="53">
        <f t="shared" si="5"/>
        <v>6068</v>
      </c>
      <c r="N52" s="53">
        <f t="shared" si="0"/>
        <v>8812</v>
      </c>
    </row>
    <row r="53" spans="1:14" ht="19.5" thickBot="1">
      <c r="A53" s="1" t="s">
        <v>2</v>
      </c>
      <c r="B53" s="39" t="s">
        <v>66</v>
      </c>
      <c r="C53" s="41">
        <v>52551</v>
      </c>
      <c r="D53" s="41">
        <v>52569</v>
      </c>
      <c r="E53" s="66">
        <v>29144</v>
      </c>
      <c r="F53" s="55">
        <f t="shared" si="4"/>
        <v>134264</v>
      </c>
      <c r="G53" s="40">
        <v>52668</v>
      </c>
      <c r="H53" s="41">
        <v>52484</v>
      </c>
      <c r="I53" s="41">
        <v>49388</v>
      </c>
      <c r="J53" s="41">
        <v>52623</v>
      </c>
      <c r="K53" s="41">
        <v>43328</v>
      </c>
      <c r="L53" s="42">
        <v>40397</v>
      </c>
      <c r="M53" s="55">
        <f t="shared" si="5"/>
        <v>290888</v>
      </c>
      <c r="N53" s="55">
        <f t="shared" si="0"/>
        <v>425152</v>
      </c>
    </row>
    <row r="54" spans="1:14">
      <c r="A54" s="1" t="s">
        <v>2</v>
      </c>
      <c r="B54" s="21" t="s">
        <v>67</v>
      </c>
      <c r="C54" s="30">
        <v>7890</v>
      </c>
      <c r="D54" s="30">
        <v>7710</v>
      </c>
      <c r="E54" s="63">
        <v>4230</v>
      </c>
      <c r="F54" s="52">
        <f t="shared" si="4"/>
        <v>19830</v>
      </c>
      <c r="G54" s="29">
        <v>6090</v>
      </c>
      <c r="H54" s="30">
        <v>4020</v>
      </c>
      <c r="I54" s="30">
        <v>6590</v>
      </c>
      <c r="J54" s="30">
        <v>8940</v>
      </c>
      <c r="K54" s="30">
        <v>3510</v>
      </c>
      <c r="L54" s="31">
        <v>7910</v>
      </c>
      <c r="M54" s="52">
        <f t="shared" si="5"/>
        <v>37060</v>
      </c>
      <c r="N54" s="52">
        <f t="shared" si="0"/>
        <v>56890</v>
      </c>
    </row>
    <row r="55" spans="1:14">
      <c r="A55" s="1" t="s">
        <v>2</v>
      </c>
      <c r="B55" s="4" t="s">
        <v>68</v>
      </c>
      <c r="C55" s="16">
        <v>0</v>
      </c>
      <c r="D55" s="16">
        <v>0</v>
      </c>
      <c r="E55" s="64">
        <v>0</v>
      </c>
      <c r="F55" s="53">
        <f t="shared" si="4"/>
        <v>0</v>
      </c>
      <c r="G55" s="15">
        <v>0</v>
      </c>
      <c r="H55" s="16">
        <v>0</v>
      </c>
      <c r="I55" s="16">
        <v>0</v>
      </c>
      <c r="J55" s="16">
        <v>0</v>
      </c>
      <c r="K55" s="16">
        <v>0</v>
      </c>
      <c r="L55" s="17">
        <v>0</v>
      </c>
      <c r="M55" s="53">
        <f t="shared" si="5"/>
        <v>0</v>
      </c>
      <c r="N55" s="53">
        <f t="shared" ref="N55:N62" si="6">F55+M55</f>
        <v>0</v>
      </c>
    </row>
    <row r="56" spans="1:14">
      <c r="A56" s="1" t="s">
        <v>2</v>
      </c>
      <c r="B56" s="4" t="s">
        <v>69</v>
      </c>
      <c r="C56" s="16">
        <v>6900</v>
      </c>
      <c r="D56" s="16">
        <v>7600</v>
      </c>
      <c r="E56" s="64">
        <v>1100</v>
      </c>
      <c r="F56" s="53">
        <f t="shared" si="4"/>
        <v>15600</v>
      </c>
      <c r="G56" s="15">
        <v>11100</v>
      </c>
      <c r="H56" s="16">
        <v>8000</v>
      </c>
      <c r="I56" s="16">
        <v>13100</v>
      </c>
      <c r="J56" s="16">
        <v>14100</v>
      </c>
      <c r="K56" s="16">
        <v>10300</v>
      </c>
      <c r="L56" s="17">
        <v>12100</v>
      </c>
      <c r="M56" s="53">
        <f t="shared" si="5"/>
        <v>68700</v>
      </c>
      <c r="N56" s="53">
        <f t="shared" si="6"/>
        <v>84300</v>
      </c>
    </row>
    <row r="57" spans="1:14" ht="19.5" thickBot="1">
      <c r="A57" s="1" t="s">
        <v>2</v>
      </c>
      <c r="B57" s="4" t="s">
        <v>70</v>
      </c>
      <c r="C57" s="16">
        <v>0</v>
      </c>
      <c r="D57" s="16">
        <v>0</v>
      </c>
      <c r="E57" s="64">
        <v>0</v>
      </c>
      <c r="F57" s="53">
        <f t="shared" si="4"/>
        <v>0</v>
      </c>
      <c r="G57" s="15">
        <v>0</v>
      </c>
      <c r="H57" s="16">
        <v>0</v>
      </c>
      <c r="I57" s="16">
        <v>0</v>
      </c>
      <c r="J57" s="16">
        <v>0</v>
      </c>
      <c r="K57" s="16">
        <v>0</v>
      </c>
      <c r="L57" s="17">
        <v>0</v>
      </c>
      <c r="M57" s="53">
        <f t="shared" si="5"/>
        <v>0</v>
      </c>
      <c r="N57" s="53">
        <f t="shared" si="6"/>
        <v>0</v>
      </c>
    </row>
    <row r="58" spans="1:14" ht="19.5" thickBot="1">
      <c r="A58" s="1" t="s">
        <v>2</v>
      </c>
      <c r="B58" s="39" t="s">
        <v>71</v>
      </c>
      <c r="C58" s="41">
        <v>67341</v>
      </c>
      <c r="D58" s="41">
        <v>67879</v>
      </c>
      <c r="E58" s="66">
        <v>34474</v>
      </c>
      <c r="F58" s="55">
        <f t="shared" si="4"/>
        <v>169694</v>
      </c>
      <c r="G58" s="40">
        <v>69858</v>
      </c>
      <c r="H58" s="41">
        <v>64504</v>
      </c>
      <c r="I58" s="41">
        <v>69078</v>
      </c>
      <c r="J58" s="41">
        <v>75663</v>
      </c>
      <c r="K58" s="41">
        <v>57138</v>
      </c>
      <c r="L58" s="42">
        <v>60407</v>
      </c>
      <c r="M58" s="55">
        <f t="shared" si="5"/>
        <v>396648</v>
      </c>
      <c r="N58" s="55">
        <f t="shared" si="6"/>
        <v>566342</v>
      </c>
    </row>
    <row r="59" spans="1:14" ht="19.5" thickBot="1">
      <c r="A59" s="1" t="s">
        <v>2</v>
      </c>
      <c r="B59" s="39" t="s">
        <v>72</v>
      </c>
      <c r="C59" s="41">
        <v>287469</v>
      </c>
      <c r="D59" s="41">
        <v>282431</v>
      </c>
      <c r="E59" s="66">
        <v>185099</v>
      </c>
      <c r="F59" s="55">
        <f t="shared" si="4"/>
        <v>754999</v>
      </c>
      <c r="G59" s="40">
        <v>324194</v>
      </c>
      <c r="H59" s="41">
        <v>269747</v>
      </c>
      <c r="I59" s="41">
        <v>251134</v>
      </c>
      <c r="J59" s="41">
        <v>306861</v>
      </c>
      <c r="K59" s="41">
        <v>255488</v>
      </c>
      <c r="L59" s="42">
        <v>287888</v>
      </c>
      <c r="M59" s="55">
        <f t="shared" si="5"/>
        <v>1695312</v>
      </c>
      <c r="N59" s="55">
        <f t="shared" si="6"/>
        <v>2450311</v>
      </c>
    </row>
    <row r="60" spans="1:14" ht="19.5" thickBot="1">
      <c r="A60" s="1" t="s">
        <v>2</v>
      </c>
      <c r="B60" s="39" t="s">
        <v>73</v>
      </c>
      <c r="C60" s="41">
        <v>279635</v>
      </c>
      <c r="D60" s="41">
        <v>284986</v>
      </c>
      <c r="E60" s="66">
        <v>180328</v>
      </c>
      <c r="F60" s="55">
        <f t="shared" si="4"/>
        <v>744949</v>
      </c>
      <c r="G60" s="40">
        <v>316076</v>
      </c>
      <c r="H60" s="41">
        <v>260054</v>
      </c>
      <c r="I60" s="41">
        <v>233678</v>
      </c>
      <c r="J60" s="41">
        <v>295313</v>
      </c>
      <c r="K60" s="41">
        <v>245656</v>
      </c>
      <c r="L60" s="42">
        <v>275136</v>
      </c>
      <c r="M60" s="55">
        <f t="shared" si="5"/>
        <v>1625913</v>
      </c>
      <c r="N60" s="55">
        <f t="shared" si="6"/>
        <v>2370862</v>
      </c>
    </row>
    <row r="61" spans="1:14">
      <c r="A61" s="1" t="s">
        <v>2</v>
      </c>
      <c r="B61" s="21" t="s">
        <v>74</v>
      </c>
      <c r="C61" s="30">
        <v>0</v>
      </c>
      <c r="D61" s="30">
        <v>0</v>
      </c>
      <c r="E61" s="63">
        <v>0</v>
      </c>
      <c r="F61" s="52">
        <f t="shared" si="4"/>
        <v>0</v>
      </c>
      <c r="G61" s="29">
        <v>0</v>
      </c>
      <c r="H61" s="30">
        <v>0</v>
      </c>
      <c r="I61" s="30">
        <v>0</v>
      </c>
      <c r="J61" s="30">
        <v>0</v>
      </c>
      <c r="K61" s="30">
        <v>0</v>
      </c>
      <c r="L61" s="31">
        <v>0</v>
      </c>
      <c r="M61" s="52">
        <f t="shared" si="5"/>
        <v>0</v>
      </c>
      <c r="N61" s="52">
        <f t="shared" si="6"/>
        <v>0</v>
      </c>
    </row>
    <row r="62" spans="1:14">
      <c r="A62" s="1" t="s">
        <v>2</v>
      </c>
      <c r="B62" s="4" t="s">
        <v>75</v>
      </c>
      <c r="C62" s="16">
        <v>279635</v>
      </c>
      <c r="D62" s="16">
        <v>284986</v>
      </c>
      <c r="E62" s="64">
        <v>180328</v>
      </c>
      <c r="F62" s="53">
        <f t="shared" si="4"/>
        <v>744949</v>
      </c>
      <c r="G62" s="15">
        <v>316076</v>
      </c>
      <c r="H62" s="16">
        <v>260054</v>
      </c>
      <c r="I62" s="16">
        <v>233678</v>
      </c>
      <c r="J62" s="16">
        <v>295313</v>
      </c>
      <c r="K62" s="16">
        <v>245656</v>
      </c>
      <c r="L62" s="17">
        <v>275136</v>
      </c>
      <c r="M62" s="53">
        <f t="shared" si="5"/>
        <v>1625913</v>
      </c>
      <c r="N62" s="53">
        <f t="shared" si="6"/>
        <v>2370862</v>
      </c>
    </row>
    <row r="63" spans="1:14">
      <c r="A63" s="1" t="s">
        <v>2</v>
      </c>
      <c r="B63" s="4" t="s">
        <v>76</v>
      </c>
      <c r="C63" s="16">
        <v>0</v>
      </c>
      <c r="D63" s="16">
        <v>0</v>
      </c>
      <c r="E63" s="64">
        <v>0</v>
      </c>
      <c r="F63" s="53"/>
      <c r="G63" s="15">
        <v>2</v>
      </c>
      <c r="H63" s="16">
        <v>2</v>
      </c>
      <c r="I63" s="16">
        <v>0</v>
      </c>
      <c r="J63" s="16">
        <v>0</v>
      </c>
      <c r="K63" s="16">
        <v>2</v>
      </c>
      <c r="L63" s="17">
        <v>0</v>
      </c>
      <c r="M63" s="53"/>
      <c r="N63" s="53"/>
    </row>
    <row r="64" spans="1:14" ht="19.5" thickBot="1">
      <c r="A64" s="1" t="s">
        <v>2</v>
      </c>
      <c r="B64" s="5" t="s">
        <v>77</v>
      </c>
      <c r="C64" s="19" t="s">
        <v>78</v>
      </c>
      <c r="D64" s="19" t="s">
        <v>78</v>
      </c>
      <c r="E64" s="67" t="s">
        <v>78</v>
      </c>
      <c r="F64" s="56"/>
      <c r="G64" s="18" t="s">
        <v>78</v>
      </c>
      <c r="H64" s="19" t="s">
        <v>78</v>
      </c>
      <c r="I64" s="19" t="s">
        <v>78</v>
      </c>
      <c r="J64" s="19" t="s">
        <v>78</v>
      </c>
      <c r="K64" s="19" t="s">
        <v>78</v>
      </c>
      <c r="L64" s="20" t="s">
        <v>78</v>
      </c>
      <c r="M64" s="56"/>
      <c r="N64" s="56"/>
    </row>
  </sheetData>
  <phoneticPr fontId="4"/>
  <pageMargins left="0.31496062992125984" right="0.31496062992125984" top="0.35433070866141736" bottom="0.35433070866141736" header="0.11811023622047245" footer="0.11811023622047245"/>
  <pageSetup paperSize="12"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2022年 3月度給与 (2)</vt:lpstr>
      <vt:lpstr>'2022年 3月度給与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2022-04-14T06:31:32Z</cp:lastPrinted>
  <dcterms:created xsi:type="dcterms:W3CDTF">2022-04-07T00:53:55Z</dcterms:created>
  <dcterms:modified xsi:type="dcterms:W3CDTF">2022-04-14T07:55:25Z</dcterms:modified>
</cp:coreProperties>
</file>