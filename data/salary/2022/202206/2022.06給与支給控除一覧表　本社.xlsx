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6\"/>
    </mc:Choice>
  </mc:AlternateContent>
  <xr:revisionPtr revIDLastSave="0" documentId="13_ncr:1_{0221C024-51C3-4792-A8EA-028588DC7F23}" xr6:coauthVersionLast="47" xr6:coauthVersionMax="47" xr10:uidLastSave="{00000000-0000-0000-0000-000000000000}"/>
  <bookViews>
    <workbookView xWindow="-120" yWindow="-120" windowWidth="20730" windowHeight="11160" xr2:uid="{0C535AB2-9240-49DC-87CB-BE1BC830CADD}"/>
  </bookViews>
  <sheets>
    <sheet name="2022年 6月度給与 (2)" sheetId="3" r:id="rId1"/>
  </sheets>
  <definedNames>
    <definedName name="_xlnm.Print_Area" localSheetId="0">'2022年 6月度給与 (2)'!$A$1:$M$65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9" i="3"/>
  <c r="M11" i="3"/>
  <c r="M12" i="3"/>
  <c r="M13" i="3"/>
  <c r="M16" i="3"/>
  <c r="M17" i="3"/>
  <c r="M18" i="3"/>
  <c r="M19" i="3"/>
  <c r="M22" i="3"/>
  <c r="M64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25" i="3"/>
  <c r="L24" i="3"/>
  <c r="L23" i="3"/>
  <c r="M23" i="3" s="1"/>
  <c r="L20" i="3"/>
  <c r="M20" i="3" s="1"/>
  <c r="L15" i="3"/>
  <c r="M15" i="3" s="1"/>
  <c r="L10" i="3"/>
  <c r="L6" i="3"/>
  <c r="J26" i="3"/>
  <c r="M26" i="3" s="1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25" i="3"/>
  <c r="J24" i="3"/>
  <c r="J21" i="3"/>
  <c r="M21" i="3" s="1"/>
  <c r="J14" i="3"/>
  <c r="M14" i="3" s="1"/>
  <c r="J10" i="3"/>
  <c r="J6" i="3"/>
  <c r="F31" i="3"/>
  <c r="F32" i="3"/>
  <c r="F33" i="3"/>
  <c r="F34" i="3"/>
  <c r="F35" i="3"/>
  <c r="F36" i="3"/>
  <c r="F37" i="3"/>
  <c r="M37" i="3" s="1"/>
  <c r="F38" i="3"/>
  <c r="F39" i="3"/>
  <c r="F40" i="3"/>
  <c r="F41" i="3"/>
  <c r="M41" i="3" s="1"/>
  <c r="F42" i="3"/>
  <c r="F43" i="3"/>
  <c r="F44" i="3"/>
  <c r="F45" i="3"/>
  <c r="M45" i="3" s="1"/>
  <c r="F46" i="3"/>
  <c r="F47" i="3"/>
  <c r="F48" i="3"/>
  <c r="F49" i="3"/>
  <c r="M49" i="3" s="1"/>
  <c r="F50" i="3"/>
  <c r="F51" i="3"/>
  <c r="F52" i="3"/>
  <c r="F53" i="3"/>
  <c r="M53" i="3" s="1"/>
  <c r="F54" i="3"/>
  <c r="F55" i="3"/>
  <c r="F56" i="3"/>
  <c r="F57" i="3"/>
  <c r="F58" i="3"/>
  <c r="F59" i="3"/>
  <c r="F60" i="3"/>
  <c r="F61" i="3"/>
  <c r="F62" i="3"/>
  <c r="F63" i="3"/>
  <c r="F30" i="3"/>
  <c r="M34" i="3" l="1"/>
  <c r="M29" i="3"/>
  <c r="M56" i="3"/>
  <c r="M61" i="3"/>
  <c r="M25" i="3"/>
  <c r="M62" i="3"/>
  <c r="M31" i="3"/>
  <c r="M24" i="3"/>
  <c r="M27" i="3"/>
  <c r="M28" i="3"/>
  <c r="M10" i="3"/>
  <c r="M6" i="3"/>
  <c r="M63" i="3"/>
  <c r="M59" i="3"/>
  <c r="M58" i="3"/>
  <c r="M54" i="3"/>
  <c r="M51" i="3"/>
  <c r="M47" i="3"/>
  <c r="M43" i="3"/>
  <c r="M39" i="3"/>
  <c r="M36" i="3"/>
  <c r="M33" i="3"/>
  <c r="M57" i="3"/>
  <c r="M50" i="3"/>
  <c r="M46" i="3"/>
  <c r="M42" i="3"/>
  <c r="M38" i="3"/>
  <c r="M35" i="3"/>
  <c r="M32" i="3"/>
  <c r="M30" i="3"/>
  <c r="M60" i="3"/>
  <c r="M55" i="3"/>
  <c r="M52" i="3"/>
  <c r="M48" i="3"/>
  <c r="M44" i="3"/>
  <c r="M40" i="3"/>
</calcChain>
</file>

<file path=xl/sharedStrings.xml><?xml version="1.0" encoding="utf-8"?>
<sst xmlns="http://schemas.openxmlformats.org/spreadsheetml/2006/main" count="153" uniqueCount="83">
  <si>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</si>
  <si>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</si>
  <si>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</si>
  <si>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</si>
  <si>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</si>
  <si>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</si>
  <si>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</si>
  <si>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</si>
  <si>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</si>
  <si>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</si>
  <si>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</si>
  <si>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</si>
  <si>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</si>
  <si>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</si>
  <si>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</si>
  <si>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</si>
  <si>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</si>
  <si>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</si>
  <si>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</si>
  <si>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</si>
  <si>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</si>
  <si>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</si>
  <si>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</si>
  <si>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</si>
  <si>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</si>
  <si>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</si>
  <si>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</si>
  <si>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</si>
  <si>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</si>
  <si>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</si>
  <si>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</si>
  <si>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</si>
  <si>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</si>
  <si>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</si>
  <si>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</si>
  <si>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</si>
  <si>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</si>
  <si>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</si>
  <si>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</si>
  <si>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</si>
  <si>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</si>
  <si>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</si>
  <si>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</si>
  <si>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</si>
  <si>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</si>
  <si>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</si>
  <si>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</si>
  <si>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</si>
  <si>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</si>
  <si>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</si>
  <si>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</si>
  <si>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</si>
  <si>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</si>
  <si>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</si>
  <si>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</si>
  <si>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</si>
  <si>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</si>
  <si>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</si>
  <si>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</si>
  <si>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</si>
  <si>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</si>
  <si>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</si>
  <si>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</si>
  <si>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</si>
  <si>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</si>
  <si>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</si>
  <si>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</si>
  <si>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</si>
  <si>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</si>
  <si>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</si>
  <si>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</si>
  <si>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</si>
  <si>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</si>
  <si>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</si>
  <si>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</si>
  <si>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</si>
  <si>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</si>
  <si>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</si>
  <si>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6月度給与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</si>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</sst>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49" fontId="2" fillId="0" borderId="39" xfId="1" applyNumberFormat="1" applyFont="1" applyBorder="1" applyAlignment="1">
      <alignment horizontal="left"/>
    </xf>
    <xf numFmtId="0" fontId="2" fillId="0" borderId="39" xfId="1" applyFont="1" applyBorder="1"/>
    <xf numFmtId="49" fontId="2" fillId="0" borderId="40" xfId="1" applyNumberFormat="1" applyFont="1" applyBorder="1" applyAlignment="1">
      <alignment horizontal="right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8" xfId="1" applyNumberFormat="1" applyFont="1" applyBorder="1"/>
    <xf numFmtId="49" fontId="2" fillId="0" borderId="40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49" fontId="2" fillId="0" borderId="45" xfId="1" applyNumberFormat="1" applyFont="1" applyBorder="1"/>
    <xf numFmtId="0" fontId="2" fillId="0" borderId="40" xfId="1" applyFont="1" applyBorder="1" applyAlignment="1">
      <alignment horizontal="right"/>
    </xf>
  </cellXfs>
  <cellStyles count="2">
    <cellStyle name="標準" xfId="0" builtinId="0"/>
    <cellStyle name="標準 2" xfId="1" xr:uid="{8F21A0BA-EE28-42F3-A727-3F620C13F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233E-4BFB-4D72-9C26-0F974B9D5056}">
  <sheetPr codeName="Sheet2">
    <pageSetUpPr fitToPage="1"/>
  </sheetPr>
  <dimension ref="A1:O65"/>
  <sheetViews>
    <sheetView showZeros="0" tabSelected="1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2.375" style="2" customWidth="1"/>
    <col min="14" max="259" width="9" style="2"/>
    <col min="260" max="260" width="2.375" style="2" customWidth="1"/>
    <col min="261" max="263" width="13.25" style="2" bestFit="1" customWidth="1"/>
    <col min="264" max="265" width="11.125" style="2" bestFit="1" customWidth="1"/>
    <col min="266" max="266" width="13.25" style="2" bestFit="1" customWidth="1"/>
    <col min="267" max="268" width="11.125" style="2" bestFit="1" customWidth="1"/>
    <col min="269" max="269" width="9.625" style="2" bestFit="1" customWidth="1"/>
    <col min="270" max="515" width="9" style="2"/>
    <col min="516" max="516" width="2.375" style="2" customWidth="1"/>
    <col min="517" max="519" width="13.25" style="2" bestFit="1" customWidth="1"/>
    <col min="520" max="521" width="11.125" style="2" bestFit="1" customWidth="1"/>
    <col min="522" max="522" width="13.25" style="2" bestFit="1" customWidth="1"/>
    <col min="523" max="524" width="11.125" style="2" bestFit="1" customWidth="1"/>
    <col min="525" max="525" width="9.625" style="2" bestFit="1" customWidth="1"/>
    <col min="526" max="771" width="9" style="2"/>
    <col min="772" max="772" width="2.375" style="2" customWidth="1"/>
    <col min="773" max="775" width="13.25" style="2" bestFit="1" customWidth="1"/>
    <col min="776" max="777" width="11.125" style="2" bestFit="1" customWidth="1"/>
    <col min="778" max="778" width="13.25" style="2" bestFit="1" customWidth="1"/>
    <col min="779" max="780" width="11.125" style="2" bestFit="1" customWidth="1"/>
    <col min="781" max="781" width="9.625" style="2" bestFit="1" customWidth="1"/>
    <col min="782" max="1027" width="9" style="2"/>
    <col min="1028" max="1028" width="2.375" style="2" customWidth="1"/>
    <col min="1029" max="1031" width="13.25" style="2" bestFit="1" customWidth="1"/>
    <col min="1032" max="1033" width="11.125" style="2" bestFit="1" customWidth="1"/>
    <col min="1034" max="1034" width="13.25" style="2" bestFit="1" customWidth="1"/>
    <col min="1035" max="1036" width="11.125" style="2" bestFit="1" customWidth="1"/>
    <col min="1037" max="1037" width="9.625" style="2" bestFit="1" customWidth="1"/>
    <col min="1038" max="1283" width="9" style="2"/>
    <col min="1284" max="1284" width="2.375" style="2" customWidth="1"/>
    <col min="1285" max="1287" width="13.25" style="2" bestFit="1" customWidth="1"/>
    <col min="1288" max="1289" width="11.125" style="2" bestFit="1" customWidth="1"/>
    <col min="1290" max="1290" width="13.25" style="2" bestFit="1" customWidth="1"/>
    <col min="1291" max="1292" width="11.125" style="2" bestFit="1" customWidth="1"/>
    <col min="1293" max="1293" width="9.625" style="2" bestFit="1" customWidth="1"/>
    <col min="1294" max="1539" width="9" style="2"/>
    <col min="1540" max="1540" width="2.375" style="2" customWidth="1"/>
    <col min="1541" max="1543" width="13.25" style="2" bestFit="1" customWidth="1"/>
    <col min="1544" max="1545" width="11.125" style="2" bestFit="1" customWidth="1"/>
    <col min="1546" max="1546" width="13.25" style="2" bestFit="1" customWidth="1"/>
    <col min="1547" max="1548" width="11.125" style="2" bestFit="1" customWidth="1"/>
    <col min="1549" max="1549" width="9.625" style="2" bestFit="1" customWidth="1"/>
    <col min="1550" max="1795" width="9" style="2"/>
    <col min="1796" max="1796" width="2.375" style="2" customWidth="1"/>
    <col min="1797" max="1799" width="13.25" style="2" bestFit="1" customWidth="1"/>
    <col min="1800" max="1801" width="11.125" style="2" bestFit="1" customWidth="1"/>
    <col min="1802" max="1802" width="13.25" style="2" bestFit="1" customWidth="1"/>
    <col min="1803" max="1804" width="11.125" style="2" bestFit="1" customWidth="1"/>
    <col min="1805" max="1805" width="9.625" style="2" bestFit="1" customWidth="1"/>
    <col min="1806" max="2051" width="9" style="2"/>
    <col min="2052" max="2052" width="2.375" style="2" customWidth="1"/>
    <col min="2053" max="2055" width="13.25" style="2" bestFit="1" customWidth="1"/>
    <col min="2056" max="2057" width="11.125" style="2" bestFit="1" customWidth="1"/>
    <col min="2058" max="2058" width="13.25" style="2" bestFit="1" customWidth="1"/>
    <col min="2059" max="2060" width="11.125" style="2" bestFit="1" customWidth="1"/>
    <col min="2061" max="2061" width="9.625" style="2" bestFit="1" customWidth="1"/>
    <col min="2062" max="2307" width="9" style="2"/>
    <col min="2308" max="2308" width="2.375" style="2" customWidth="1"/>
    <col min="2309" max="2311" width="13.25" style="2" bestFit="1" customWidth="1"/>
    <col min="2312" max="2313" width="11.125" style="2" bestFit="1" customWidth="1"/>
    <col min="2314" max="2314" width="13.25" style="2" bestFit="1" customWidth="1"/>
    <col min="2315" max="2316" width="11.125" style="2" bestFit="1" customWidth="1"/>
    <col min="2317" max="2317" width="9.625" style="2" bestFit="1" customWidth="1"/>
    <col min="2318" max="2563" width="9" style="2"/>
    <col min="2564" max="2564" width="2.375" style="2" customWidth="1"/>
    <col min="2565" max="2567" width="13.25" style="2" bestFit="1" customWidth="1"/>
    <col min="2568" max="2569" width="11.125" style="2" bestFit="1" customWidth="1"/>
    <col min="2570" max="2570" width="13.25" style="2" bestFit="1" customWidth="1"/>
    <col min="2571" max="2572" width="11.125" style="2" bestFit="1" customWidth="1"/>
    <col min="2573" max="2573" width="9.625" style="2" bestFit="1" customWidth="1"/>
    <col min="2574" max="2819" width="9" style="2"/>
    <col min="2820" max="2820" width="2.375" style="2" customWidth="1"/>
    <col min="2821" max="2823" width="13.25" style="2" bestFit="1" customWidth="1"/>
    <col min="2824" max="2825" width="11.125" style="2" bestFit="1" customWidth="1"/>
    <col min="2826" max="2826" width="13.25" style="2" bestFit="1" customWidth="1"/>
    <col min="2827" max="2828" width="11.125" style="2" bestFit="1" customWidth="1"/>
    <col min="2829" max="2829" width="9.625" style="2" bestFit="1" customWidth="1"/>
    <col min="2830" max="3075" width="9" style="2"/>
    <col min="3076" max="3076" width="2.375" style="2" customWidth="1"/>
    <col min="3077" max="3079" width="13.25" style="2" bestFit="1" customWidth="1"/>
    <col min="3080" max="3081" width="11.125" style="2" bestFit="1" customWidth="1"/>
    <col min="3082" max="3082" width="13.25" style="2" bestFit="1" customWidth="1"/>
    <col min="3083" max="3084" width="11.125" style="2" bestFit="1" customWidth="1"/>
    <col min="3085" max="3085" width="9.625" style="2" bestFit="1" customWidth="1"/>
    <col min="3086" max="3331" width="9" style="2"/>
    <col min="3332" max="3332" width="2.375" style="2" customWidth="1"/>
    <col min="3333" max="3335" width="13.25" style="2" bestFit="1" customWidth="1"/>
    <col min="3336" max="3337" width="11.125" style="2" bestFit="1" customWidth="1"/>
    <col min="3338" max="3338" width="13.25" style="2" bestFit="1" customWidth="1"/>
    <col min="3339" max="3340" width="11.125" style="2" bestFit="1" customWidth="1"/>
    <col min="3341" max="3341" width="9.625" style="2" bestFit="1" customWidth="1"/>
    <col min="3342" max="3587" width="9" style="2"/>
    <col min="3588" max="3588" width="2.375" style="2" customWidth="1"/>
    <col min="3589" max="3591" width="13.25" style="2" bestFit="1" customWidth="1"/>
    <col min="3592" max="3593" width="11.125" style="2" bestFit="1" customWidth="1"/>
    <col min="3594" max="3594" width="13.25" style="2" bestFit="1" customWidth="1"/>
    <col min="3595" max="3596" width="11.125" style="2" bestFit="1" customWidth="1"/>
    <col min="3597" max="3597" width="9.625" style="2" bestFit="1" customWidth="1"/>
    <col min="3598" max="3843" width="9" style="2"/>
    <col min="3844" max="3844" width="2.375" style="2" customWidth="1"/>
    <col min="3845" max="3847" width="13.25" style="2" bestFit="1" customWidth="1"/>
    <col min="3848" max="3849" width="11.125" style="2" bestFit="1" customWidth="1"/>
    <col min="3850" max="3850" width="13.25" style="2" bestFit="1" customWidth="1"/>
    <col min="3851" max="3852" width="11.125" style="2" bestFit="1" customWidth="1"/>
    <col min="3853" max="3853" width="9.625" style="2" bestFit="1" customWidth="1"/>
    <col min="3854" max="4099" width="9" style="2"/>
    <col min="4100" max="4100" width="2.375" style="2" customWidth="1"/>
    <col min="4101" max="4103" width="13.25" style="2" bestFit="1" customWidth="1"/>
    <col min="4104" max="4105" width="11.125" style="2" bestFit="1" customWidth="1"/>
    <col min="4106" max="4106" width="13.25" style="2" bestFit="1" customWidth="1"/>
    <col min="4107" max="4108" width="11.125" style="2" bestFit="1" customWidth="1"/>
    <col min="4109" max="4109" width="9.625" style="2" bestFit="1" customWidth="1"/>
    <col min="4110" max="4355" width="9" style="2"/>
    <col min="4356" max="4356" width="2.375" style="2" customWidth="1"/>
    <col min="4357" max="4359" width="13.25" style="2" bestFit="1" customWidth="1"/>
    <col min="4360" max="4361" width="11.125" style="2" bestFit="1" customWidth="1"/>
    <col min="4362" max="4362" width="13.25" style="2" bestFit="1" customWidth="1"/>
    <col min="4363" max="4364" width="11.125" style="2" bestFit="1" customWidth="1"/>
    <col min="4365" max="4365" width="9.625" style="2" bestFit="1" customWidth="1"/>
    <col min="4366" max="4611" width="9" style="2"/>
    <col min="4612" max="4612" width="2.375" style="2" customWidth="1"/>
    <col min="4613" max="4615" width="13.25" style="2" bestFit="1" customWidth="1"/>
    <col min="4616" max="4617" width="11.125" style="2" bestFit="1" customWidth="1"/>
    <col min="4618" max="4618" width="13.25" style="2" bestFit="1" customWidth="1"/>
    <col min="4619" max="4620" width="11.125" style="2" bestFit="1" customWidth="1"/>
    <col min="4621" max="4621" width="9.625" style="2" bestFit="1" customWidth="1"/>
    <col min="4622" max="4867" width="9" style="2"/>
    <col min="4868" max="4868" width="2.375" style="2" customWidth="1"/>
    <col min="4869" max="4871" width="13.25" style="2" bestFit="1" customWidth="1"/>
    <col min="4872" max="4873" width="11.125" style="2" bestFit="1" customWidth="1"/>
    <col min="4874" max="4874" width="13.25" style="2" bestFit="1" customWidth="1"/>
    <col min="4875" max="4876" width="11.125" style="2" bestFit="1" customWidth="1"/>
    <col min="4877" max="4877" width="9.625" style="2" bestFit="1" customWidth="1"/>
    <col min="4878" max="5123" width="9" style="2"/>
    <col min="5124" max="5124" width="2.375" style="2" customWidth="1"/>
    <col min="5125" max="5127" width="13.25" style="2" bestFit="1" customWidth="1"/>
    <col min="5128" max="5129" width="11.125" style="2" bestFit="1" customWidth="1"/>
    <col min="5130" max="5130" width="13.25" style="2" bestFit="1" customWidth="1"/>
    <col min="5131" max="5132" width="11.125" style="2" bestFit="1" customWidth="1"/>
    <col min="5133" max="5133" width="9.625" style="2" bestFit="1" customWidth="1"/>
    <col min="5134" max="5379" width="9" style="2"/>
    <col min="5380" max="5380" width="2.375" style="2" customWidth="1"/>
    <col min="5381" max="5383" width="13.25" style="2" bestFit="1" customWidth="1"/>
    <col min="5384" max="5385" width="11.125" style="2" bestFit="1" customWidth="1"/>
    <col min="5386" max="5386" width="13.25" style="2" bestFit="1" customWidth="1"/>
    <col min="5387" max="5388" width="11.125" style="2" bestFit="1" customWidth="1"/>
    <col min="5389" max="5389" width="9.625" style="2" bestFit="1" customWidth="1"/>
    <col min="5390" max="5635" width="9" style="2"/>
    <col min="5636" max="5636" width="2.375" style="2" customWidth="1"/>
    <col min="5637" max="5639" width="13.25" style="2" bestFit="1" customWidth="1"/>
    <col min="5640" max="5641" width="11.125" style="2" bestFit="1" customWidth="1"/>
    <col min="5642" max="5642" width="13.25" style="2" bestFit="1" customWidth="1"/>
    <col min="5643" max="5644" width="11.125" style="2" bestFit="1" customWidth="1"/>
    <col min="5645" max="5645" width="9.625" style="2" bestFit="1" customWidth="1"/>
    <col min="5646" max="5891" width="9" style="2"/>
    <col min="5892" max="5892" width="2.375" style="2" customWidth="1"/>
    <col min="5893" max="5895" width="13.25" style="2" bestFit="1" customWidth="1"/>
    <col min="5896" max="5897" width="11.125" style="2" bestFit="1" customWidth="1"/>
    <col min="5898" max="5898" width="13.25" style="2" bestFit="1" customWidth="1"/>
    <col min="5899" max="5900" width="11.125" style="2" bestFit="1" customWidth="1"/>
    <col min="5901" max="5901" width="9.625" style="2" bestFit="1" customWidth="1"/>
    <col min="5902" max="6147" width="9" style="2"/>
    <col min="6148" max="6148" width="2.375" style="2" customWidth="1"/>
    <col min="6149" max="6151" width="13.25" style="2" bestFit="1" customWidth="1"/>
    <col min="6152" max="6153" width="11.125" style="2" bestFit="1" customWidth="1"/>
    <col min="6154" max="6154" width="13.25" style="2" bestFit="1" customWidth="1"/>
    <col min="6155" max="6156" width="11.125" style="2" bestFit="1" customWidth="1"/>
    <col min="6157" max="6157" width="9.625" style="2" bestFit="1" customWidth="1"/>
    <col min="6158" max="6403" width="9" style="2"/>
    <col min="6404" max="6404" width="2.375" style="2" customWidth="1"/>
    <col min="6405" max="6407" width="13.25" style="2" bestFit="1" customWidth="1"/>
    <col min="6408" max="6409" width="11.125" style="2" bestFit="1" customWidth="1"/>
    <col min="6410" max="6410" width="13.25" style="2" bestFit="1" customWidth="1"/>
    <col min="6411" max="6412" width="11.125" style="2" bestFit="1" customWidth="1"/>
    <col min="6413" max="6413" width="9.625" style="2" bestFit="1" customWidth="1"/>
    <col min="6414" max="6659" width="9" style="2"/>
    <col min="6660" max="6660" width="2.375" style="2" customWidth="1"/>
    <col min="6661" max="6663" width="13.25" style="2" bestFit="1" customWidth="1"/>
    <col min="6664" max="6665" width="11.125" style="2" bestFit="1" customWidth="1"/>
    <col min="6666" max="6666" width="13.25" style="2" bestFit="1" customWidth="1"/>
    <col min="6667" max="6668" width="11.125" style="2" bestFit="1" customWidth="1"/>
    <col min="6669" max="6669" width="9.625" style="2" bestFit="1" customWidth="1"/>
    <col min="6670" max="6915" width="9" style="2"/>
    <col min="6916" max="6916" width="2.375" style="2" customWidth="1"/>
    <col min="6917" max="6919" width="13.25" style="2" bestFit="1" customWidth="1"/>
    <col min="6920" max="6921" width="11.125" style="2" bestFit="1" customWidth="1"/>
    <col min="6922" max="6922" width="13.25" style="2" bestFit="1" customWidth="1"/>
    <col min="6923" max="6924" width="11.125" style="2" bestFit="1" customWidth="1"/>
    <col min="6925" max="6925" width="9.625" style="2" bestFit="1" customWidth="1"/>
    <col min="6926" max="7171" width="9" style="2"/>
    <col min="7172" max="7172" width="2.375" style="2" customWidth="1"/>
    <col min="7173" max="7175" width="13.25" style="2" bestFit="1" customWidth="1"/>
    <col min="7176" max="7177" width="11.125" style="2" bestFit="1" customWidth="1"/>
    <col min="7178" max="7178" width="13.25" style="2" bestFit="1" customWidth="1"/>
    <col min="7179" max="7180" width="11.125" style="2" bestFit="1" customWidth="1"/>
    <col min="7181" max="7181" width="9.625" style="2" bestFit="1" customWidth="1"/>
    <col min="7182" max="7427" width="9" style="2"/>
    <col min="7428" max="7428" width="2.375" style="2" customWidth="1"/>
    <col min="7429" max="7431" width="13.25" style="2" bestFit="1" customWidth="1"/>
    <col min="7432" max="7433" width="11.125" style="2" bestFit="1" customWidth="1"/>
    <col min="7434" max="7434" width="13.25" style="2" bestFit="1" customWidth="1"/>
    <col min="7435" max="7436" width="11.125" style="2" bestFit="1" customWidth="1"/>
    <col min="7437" max="7437" width="9.625" style="2" bestFit="1" customWidth="1"/>
    <col min="7438" max="7683" width="9" style="2"/>
    <col min="7684" max="7684" width="2.375" style="2" customWidth="1"/>
    <col min="7685" max="7687" width="13.25" style="2" bestFit="1" customWidth="1"/>
    <col min="7688" max="7689" width="11.125" style="2" bestFit="1" customWidth="1"/>
    <col min="7690" max="7690" width="13.25" style="2" bestFit="1" customWidth="1"/>
    <col min="7691" max="7692" width="11.125" style="2" bestFit="1" customWidth="1"/>
    <col min="7693" max="7693" width="9.625" style="2" bestFit="1" customWidth="1"/>
    <col min="7694" max="7939" width="9" style="2"/>
    <col min="7940" max="7940" width="2.375" style="2" customWidth="1"/>
    <col min="7941" max="7943" width="13.25" style="2" bestFit="1" customWidth="1"/>
    <col min="7944" max="7945" width="11.125" style="2" bestFit="1" customWidth="1"/>
    <col min="7946" max="7946" width="13.25" style="2" bestFit="1" customWidth="1"/>
    <col min="7947" max="7948" width="11.125" style="2" bestFit="1" customWidth="1"/>
    <col min="7949" max="7949" width="9.625" style="2" bestFit="1" customWidth="1"/>
    <col min="7950" max="8195" width="9" style="2"/>
    <col min="8196" max="8196" width="2.375" style="2" customWidth="1"/>
    <col min="8197" max="8199" width="13.25" style="2" bestFit="1" customWidth="1"/>
    <col min="8200" max="8201" width="11.125" style="2" bestFit="1" customWidth="1"/>
    <col min="8202" max="8202" width="13.25" style="2" bestFit="1" customWidth="1"/>
    <col min="8203" max="8204" width="11.125" style="2" bestFit="1" customWidth="1"/>
    <col min="8205" max="8205" width="9.625" style="2" bestFit="1" customWidth="1"/>
    <col min="8206" max="8451" width="9" style="2"/>
    <col min="8452" max="8452" width="2.375" style="2" customWidth="1"/>
    <col min="8453" max="8455" width="13.25" style="2" bestFit="1" customWidth="1"/>
    <col min="8456" max="8457" width="11.125" style="2" bestFit="1" customWidth="1"/>
    <col min="8458" max="8458" width="13.25" style="2" bestFit="1" customWidth="1"/>
    <col min="8459" max="8460" width="11.125" style="2" bestFit="1" customWidth="1"/>
    <col min="8461" max="8461" width="9.625" style="2" bestFit="1" customWidth="1"/>
    <col min="8462" max="8707" width="9" style="2"/>
    <col min="8708" max="8708" width="2.375" style="2" customWidth="1"/>
    <col min="8709" max="8711" width="13.25" style="2" bestFit="1" customWidth="1"/>
    <col min="8712" max="8713" width="11.125" style="2" bestFit="1" customWidth="1"/>
    <col min="8714" max="8714" width="13.25" style="2" bestFit="1" customWidth="1"/>
    <col min="8715" max="8716" width="11.125" style="2" bestFit="1" customWidth="1"/>
    <col min="8717" max="8717" width="9.625" style="2" bestFit="1" customWidth="1"/>
    <col min="8718" max="8963" width="9" style="2"/>
    <col min="8964" max="8964" width="2.375" style="2" customWidth="1"/>
    <col min="8965" max="8967" width="13.25" style="2" bestFit="1" customWidth="1"/>
    <col min="8968" max="8969" width="11.125" style="2" bestFit="1" customWidth="1"/>
    <col min="8970" max="8970" width="13.25" style="2" bestFit="1" customWidth="1"/>
    <col min="8971" max="8972" width="11.125" style="2" bestFit="1" customWidth="1"/>
    <col min="8973" max="8973" width="9.625" style="2" bestFit="1" customWidth="1"/>
    <col min="8974" max="9219" width="9" style="2"/>
    <col min="9220" max="9220" width="2.375" style="2" customWidth="1"/>
    <col min="9221" max="9223" width="13.25" style="2" bestFit="1" customWidth="1"/>
    <col min="9224" max="9225" width="11.125" style="2" bestFit="1" customWidth="1"/>
    <col min="9226" max="9226" width="13.25" style="2" bestFit="1" customWidth="1"/>
    <col min="9227" max="9228" width="11.125" style="2" bestFit="1" customWidth="1"/>
    <col min="9229" max="9229" width="9.625" style="2" bestFit="1" customWidth="1"/>
    <col min="9230" max="9475" width="9" style="2"/>
    <col min="9476" max="9476" width="2.375" style="2" customWidth="1"/>
    <col min="9477" max="9479" width="13.25" style="2" bestFit="1" customWidth="1"/>
    <col min="9480" max="9481" width="11.125" style="2" bestFit="1" customWidth="1"/>
    <col min="9482" max="9482" width="13.25" style="2" bestFit="1" customWidth="1"/>
    <col min="9483" max="9484" width="11.125" style="2" bestFit="1" customWidth="1"/>
    <col min="9485" max="9485" width="9.625" style="2" bestFit="1" customWidth="1"/>
    <col min="9486" max="9731" width="9" style="2"/>
    <col min="9732" max="9732" width="2.375" style="2" customWidth="1"/>
    <col min="9733" max="9735" width="13.25" style="2" bestFit="1" customWidth="1"/>
    <col min="9736" max="9737" width="11.125" style="2" bestFit="1" customWidth="1"/>
    <col min="9738" max="9738" width="13.25" style="2" bestFit="1" customWidth="1"/>
    <col min="9739" max="9740" width="11.125" style="2" bestFit="1" customWidth="1"/>
    <col min="9741" max="9741" width="9.625" style="2" bestFit="1" customWidth="1"/>
    <col min="9742" max="9987" width="9" style="2"/>
    <col min="9988" max="9988" width="2.375" style="2" customWidth="1"/>
    <col min="9989" max="9991" width="13.25" style="2" bestFit="1" customWidth="1"/>
    <col min="9992" max="9993" width="11.125" style="2" bestFit="1" customWidth="1"/>
    <col min="9994" max="9994" width="13.25" style="2" bestFit="1" customWidth="1"/>
    <col min="9995" max="9996" width="11.125" style="2" bestFit="1" customWidth="1"/>
    <col min="9997" max="9997" width="9.625" style="2" bestFit="1" customWidth="1"/>
    <col min="9998" max="10243" width="9" style="2"/>
    <col min="10244" max="10244" width="2.375" style="2" customWidth="1"/>
    <col min="10245" max="10247" width="13.25" style="2" bestFit="1" customWidth="1"/>
    <col min="10248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.625" style="2" bestFit="1" customWidth="1"/>
    <col min="10254" max="10499" width="9" style="2"/>
    <col min="10500" max="10500" width="2.375" style="2" customWidth="1"/>
    <col min="10501" max="10503" width="13.25" style="2" bestFit="1" customWidth="1"/>
    <col min="10504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.625" style="2" bestFit="1" customWidth="1"/>
    <col min="10510" max="10755" width="9" style="2"/>
    <col min="10756" max="10756" width="2.375" style="2" customWidth="1"/>
    <col min="10757" max="10759" width="13.25" style="2" bestFit="1" customWidth="1"/>
    <col min="10760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.625" style="2" bestFit="1" customWidth="1"/>
    <col min="10766" max="11011" width="9" style="2"/>
    <col min="11012" max="11012" width="2.375" style="2" customWidth="1"/>
    <col min="11013" max="11015" width="13.25" style="2" bestFit="1" customWidth="1"/>
    <col min="11016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.625" style="2" bestFit="1" customWidth="1"/>
    <col min="11022" max="11267" width="9" style="2"/>
    <col min="11268" max="11268" width="2.375" style="2" customWidth="1"/>
    <col min="11269" max="11271" width="13.25" style="2" bestFit="1" customWidth="1"/>
    <col min="11272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.625" style="2" bestFit="1" customWidth="1"/>
    <col min="11278" max="11523" width="9" style="2"/>
    <col min="11524" max="11524" width="2.375" style="2" customWidth="1"/>
    <col min="11525" max="11527" width="13.25" style="2" bestFit="1" customWidth="1"/>
    <col min="11528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.625" style="2" bestFit="1" customWidth="1"/>
    <col min="11534" max="11779" width="9" style="2"/>
    <col min="11780" max="11780" width="2.375" style="2" customWidth="1"/>
    <col min="11781" max="11783" width="13.25" style="2" bestFit="1" customWidth="1"/>
    <col min="11784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.625" style="2" bestFit="1" customWidth="1"/>
    <col min="11790" max="12035" width="9" style="2"/>
    <col min="12036" max="12036" width="2.375" style="2" customWidth="1"/>
    <col min="12037" max="12039" width="13.25" style="2" bestFit="1" customWidth="1"/>
    <col min="12040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.625" style="2" bestFit="1" customWidth="1"/>
    <col min="12046" max="12291" width="9" style="2"/>
    <col min="12292" max="12292" width="2.375" style="2" customWidth="1"/>
    <col min="12293" max="12295" width="13.25" style="2" bestFit="1" customWidth="1"/>
    <col min="12296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.625" style="2" bestFit="1" customWidth="1"/>
    <col min="12302" max="12547" width="9" style="2"/>
    <col min="12548" max="12548" width="2.375" style="2" customWidth="1"/>
    <col min="12549" max="12551" width="13.25" style="2" bestFit="1" customWidth="1"/>
    <col min="12552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.625" style="2" bestFit="1" customWidth="1"/>
    <col min="12558" max="12803" width="9" style="2"/>
    <col min="12804" max="12804" width="2.375" style="2" customWidth="1"/>
    <col min="12805" max="12807" width="13.25" style="2" bestFit="1" customWidth="1"/>
    <col min="12808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.625" style="2" bestFit="1" customWidth="1"/>
    <col min="12814" max="13059" width="9" style="2"/>
    <col min="13060" max="13060" width="2.375" style="2" customWidth="1"/>
    <col min="13061" max="13063" width="13.25" style="2" bestFit="1" customWidth="1"/>
    <col min="13064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.625" style="2" bestFit="1" customWidth="1"/>
    <col min="13070" max="13315" width="9" style="2"/>
    <col min="13316" max="13316" width="2.375" style="2" customWidth="1"/>
    <col min="13317" max="13319" width="13.25" style="2" bestFit="1" customWidth="1"/>
    <col min="13320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.625" style="2" bestFit="1" customWidth="1"/>
    <col min="13326" max="13571" width="9" style="2"/>
    <col min="13572" max="13572" width="2.375" style="2" customWidth="1"/>
    <col min="13573" max="13575" width="13.25" style="2" bestFit="1" customWidth="1"/>
    <col min="13576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.625" style="2" bestFit="1" customWidth="1"/>
    <col min="13582" max="13827" width="9" style="2"/>
    <col min="13828" max="13828" width="2.375" style="2" customWidth="1"/>
    <col min="13829" max="13831" width="13.25" style="2" bestFit="1" customWidth="1"/>
    <col min="13832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.625" style="2" bestFit="1" customWidth="1"/>
    <col min="13838" max="14083" width="9" style="2"/>
    <col min="14084" max="14084" width="2.375" style="2" customWidth="1"/>
    <col min="14085" max="14087" width="13.25" style="2" bestFit="1" customWidth="1"/>
    <col min="14088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.625" style="2" bestFit="1" customWidth="1"/>
    <col min="14094" max="14339" width="9" style="2"/>
    <col min="14340" max="14340" width="2.375" style="2" customWidth="1"/>
    <col min="14341" max="14343" width="13.25" style="2" bestFit="1" customWidth="1"/>
    <col min="14344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.625" style="2" bestFit="1" customWidth="1"/>
    <col min="14350" max="14595" width="9" style="2"/>
    <col min="14596" max="14596" width="2.375" style="2" customWidth="1"/>
    <col min="14597" max="14599" width="13.25" style="2" bestFit="1" customWidth="1"/>
    <col min="14600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.625" style="2" bestFit="1" customWidth="1"/>
    <col min="14606" max="14851" width="9" style="2"/>
    <col min="14852" max="14852" width="2.375" style="2" customWidth="1"/>
    <col min="14853" max="14855" width="13.25" style="2" bestFit="1" customWidth="1"/>
    <col min="14856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.625" style="2" bestFit="1" customWidth="1"/>
    <col min="14862" max="15107" width="9" style="2"/>
    <col min="15108" max="15108" width="2.375" style="2" customWidth="1"/>
    <col min="15109" max="15111" width="13.25" style="2" bestFit="1" customWidth="1"/>
    <col min="15112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.625" style="2" bestFit="1" customWidth="1"/>
    <col min="15118" max="15363" width="9" style="2"/>
    <col min="15364" max="15364" width="2.375" style="2" customWidth="1"/>
    <col min="15365" max="15367" width="13.25" style="2" bestFit="1" customWidth="1"/>
    <col min="15368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.625" style="2" bestFit="1" customWidth="1"/>
    <col min="15374" max="15619" width="9" style="2"/>
    <col min="15620" max="15620" width="2.375" style="2" customWidth="1"/>
    <col min="15621" max="15623" width="13.25" style="2" bestFit="1" customWidth="1"/>
    <col min="15624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.625" style="2" bestFit="1" customWidth="1"/>
    <col min="15630" max="15875" width="9" style="2"/>
    <col min="15876" max="15876" width="2.375" style="2" customWidth="1"/>
    <col min="15877" max="15879" width="13.25" style="2" bestFit="1" customWidth="1"/>
    <col min="15880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.625" style="2" bestFit="1" customWidth="1"/>
    <col min="15886" max="16131" width="9" style="2"/>
    <col min="16132" max="16132" width="2.375" style="2" customWidth="1"/>
    <col min="16133" max="16135" width="13.25" style="2" bestFit="1" customWidth="1"/>
    <col min="16136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78</v>
      </c>
    </row>
    <row r="4" spans="1:15">
      <c r="B4" s="3"/>
      <c r="C4" s="6" t="s">
        <v>3</v>
      </c>
      <c r="D4" s="7" t="s">
        <v>4</v>
      </c>
      <c r="E4" s="44" t="s">
        <v>5</v>
      </c>
      <c r="F4" s="66" t="s">
        <v>79</v>
      </c>
      <c r="G4" s="78" t="s">
        <v>6</v>
      </c>
      <c r="H4" s="7" t="s">
        <v>7</v>
      </c>
      <c r="I4" s="8" t="s">
        <v>9</v>
      </c>
      <c r="J4" s="66" t="s">
        <v>79</v>
      </c>
      <c r="K4" s="55" t="s">
        <v>8</v>
      </c>
      <c r="L4" s="66" t="s">
        <v>79</v>
      </c>
      <c r="M4" s="67" t="s">
        <v>18</v>
      </c>
    </row>
    <row r="5" spans="1:15" ht="19.5" thickBot="1">
      <c r="A5" s="43"/>
      <c r="B5" s="25" t="s">
        <v>10</v>
      </c>
      <c r="C5" s="26" t="s">
        <v>11</v>
      </c>
      <c r="D5" s="27" t="s">
        <v>12</v>
      </c>
      <c r="E5" s="45" t="s">
        <v>13</v>
      </c>
      <c r="F5" s="68" t="s">
        <v>80</v>
      </c>
      <c r="G5" s="79" t="s">
        <v>14</v>
      </c>
      <c r="H5" s="27" t="s">
        <v>15</v>
      </c>
      <c r="I5" s="28" t="s">
        <v>17</v>
      </c>
      <c r="J5" s="68" t="s">
        <v>80</v>
      </c>
      <c r="K5" s="56" t="s">
        <v>16</v>
      </c>
      <c r="L5" s="68" t="s">
        <v>81</v>
      </c>
      <c r="M5" s="89" t="s">
        <v>82</v>
      </c>
    </row>
    <row r="6" spans="1:15">
      <c r="A6" s="1" t="s">
        <v>2</v>
      </c>
      <c r="B6" s="21" t="s">
        <v>19</v>
      </c>
      <c r="C6" s="22">
        <v>0</v>
      </c>
      <c r="D6" s="23">
        <v>0</v>
      </c>
      <c r="E6" s="46">
        <v>0</v>
      </c>
      <c r="F6" s="69"/>
      <c r="G6" s="80">
        <v>22</v>
      </c>
      <c r="H6" s="23">
        <v>21</v>
      </c>
      <c r="I6" s="24">
        <v>19</v>
      </c>
      <c r="J6" s="69">
        <f>SUM(G6:I6)</f>
        <v>62</v>
      </c>
      <c r="K6" s="57">
        <v>21</v>
      </c>
      <c r="L6" s="69">
        <f>SUM(K6)</f>
        <v>21</v>
      </c>
      <c r="M6" s="69">
        <f>F6+J6+L6</f>
        <v>83</v>
      </c>
      <c r="O6"/>
    </row>
    <row r="7" spans="1:15">
      <c r="A7" s="1" t="s">
        <v>2</v>
      </c>
      <c r="B7" s="4" t="s">
        <v>20</v>
      </c>
      <c r="C7" s="9">
        <v>0</v>
      </c>
      <c r="D7" s="10">
        <v>0</v>
      </c>
      <c r="E7" s="47">
        <v>0</v>
      </c>
      <c r="F7" s="70"/>
      <c r="G7" s="81">
        <v>0</v>
      </c>
      <c r="H7" s="10">
        <v>0</v>
      </c>
      <c r="I7" s="11">
        <v>0</v>
      </c>
      <c r="J7" s="70"/>
      <c r="K7" s="58">
        <v>0</v>
      </c>
      <c r="L7" s="70"/>
      <c r="M7" s="70">
        <f t="shared" ref="M7:M55" si="0">F7+J7+L7</f>
        <v>0</v>
      </c>
      <c r="O7"/>
    </row>
    <row r="8" spans="1:15">
      <c r="A8" s="1" t="s">
        <v>2</v>
      </c>
      <c r="B8" s="4" t="s">
        <v>21</v>
      </c>
      <c r="C8" s="9">
        <v>0</v>
      </c>
      <c r="D8" s="10">
        <v>0</v>
      </c>
      <c r="E8" s="47">
        <v>0</v>
      </c>
      <c r="F8" s="70"/>
      <c r="G8" s="81">
        <v>0</v>
      </c>
      <c r="H8" s="10">
        <v>0</v>
      </c>
      <c r="I8" s="11">
        <v>0</v>
      </c>
      <c r="J8" s="70"/>
      <c r="K8" s="58">
        <v>0</v>
      </c>
      <c r="L8" s="70"/>
      <c r="M8" s="70">
        <f t="shared" si="0"/>
        <v>0</v>
      </c>
      <c r="O8"/>
    </row>
    <row r="9" spans="1:15">
      <c r="A9" s="1" t="s">
        <v>2</v>
      </c>
      <c r="B9" s="4" t="s">
        <v>22</v>
      </c>
      <c r="C9" s="9">
        <v>0</v>
      </c>
      <c r="D9" s="10">
        <v>0</v>
      </c>
      <c r="E9" s="47">
        <v>0</v>
      </c>
      <c r="F9" s="70"/>
      <c r="G9" s="81">
        <v>0</v>
      </c>
      <c r="H9" s="10">
        <v>0</v>
      </c>
      <c r="I9" s="11">
        <v>0</v>
      </c>
      <c r="J9" s="70"/>
      <c r="K9" s="58">
        <v>0</v>
      </c>
      <c r="L9" s="70"/>
      <c r="M9" s="70">
        <f t="shared" si="0"/>
        <v>0</v>
      </c>
      <c r="O9"/>
    </row>
    <row r="10" spans="1:15">
      <c r="A10" s="1" t="s">
        <v>2</v>
      </c>
      <c r="B10" s="4" t="s">
        <v>23</v>
      </c>
      <c r="C10" s="9">
        <v>0</v>
      </c>
      <c r="D10" s="10">
        <v>0</v>
      </c>
      <c r="E10" s="47">
        <v>0</v>
      </c>
      <c r="F10" s="70"/>
      <c r="G10" s="81">
        <v>0</v>
      </c>
      <c r="H10" s="10">
        <v>1</v>
      </c>
      <c r="I10" s="11">
        <v>1</v>
      </c>
      <c r="J10" s="70">
        <f>SUM(G10:I10)</f>
        <v>2</v>
      </c>
      <c r="K10" s="58">
        <v>1.5</v>
      </c>
      <c r="L10" s="70">
        <f>SUM(K10)</f>
        <v>1.5</v>
      </c>
      <c r="M10" s="70">
        <f t="shared" si="0"/>
        <v>3.5</v>
      </c>
      <c r="O10"/>
    </row>
    <row r="11" spans="1:15">
      <c r="A11" s="1" t="s">
        <v>2</v>
      </c>
      <c r="B11" s="4" t="s">
        <v>24</v>
      </c>
      <c r="C11" s="9">
        <v>0</v>
      </c>
      <c r="D11" s="10">
        <v>0</v>
      </c>
      <c r="E11" s="47">
        <v>0</v>
      </c>
      <c r="F11" s="70"/>
      <c r="G11" s="81">
        <v>0</v>
      </c>
      <c r="H11" s="10">
        <v>0</v>
      </c>
      <c r="I11" s="11">
        <v>0</v>
      </c>
      <c r="J11" s="70"/>
      <c r="K11" s="58">
        <v>0</v>
      </c>
      <c r="L11" s="70"/>
      <c r="M11" s="70">
        <f t="shared" si="0"/>
        <v>0</v>
      </c>
      <c r="O11"/>
    </row>
    <row r="12" spans="1:15">
      <c r="A12" s="1" t="s">
        <v>2</v>
      </c>
      <c r="B12" s="4" t="s">
        <v>25</v>
      </c>
      <c r="C12" s="9">
        <v>0</v>
      </c>
      <c r="D12" s="10">
        <v>0</v>
      </c>
      <c r="E12" s="47">
        <v>0</v>
      </c>
      <c r="F12" s="70"/>
      <c r="G12" s="81">
        <v>0</v>
      </c>
      <c r="H12" s="10">
        <v>0</v>
      </c>
      <c r="I12" s="11">
        <v>0</v>
      </c>
      <c r="J12" s="70"/>
      <c r="K12" s="58">
        <v>0</v>
      </c>
      <c r="L12" s="70"/>
      <c r="M12" s="70">
        <f t="shared" si="0"/>
        <v>0</v>
      </c>
      <c r="O12"/>
    </row>
    <row r="13" spans="1:15">
      <c r="A13" s="1" t="s">
        <v>2</v>
      </c>
      <c r="B13" s="4" t="s">
        <v>26</v>
      </c>
      <c r="C13" s="9">
        <v>0</v>
      </c>
      <c r="D13" s="10">
        <v>0</v>
      </c>
      <c r="E13" s="47">
        <v>0</v>
      </c>
      <c r="F13" s="70"/>
      <c r="G13" s="81">
        <v>0</v>
      </c>
      <c r="H13" s="10">
        <v>0</v>
      </c>
      <c r="I13" s="11">
        <v>0</v>
      </c>
      <c r="J13" s="70"/>
      <c r="K13" s="58">
        <v>0</v>
      </c>
      <c r="L13" s="70"/>
      <c r="M13" s="70">
        <f t="shared" si="0"/>
        <v>0</v>
      </c>
      <c r="O13"/>
    </row>
    <row r="14" spans="1:15">
      <c r="A14" s="1" t="s">
        <v>2</v>
      </c>
      <c r="B14" s="4" t="s">
        <v>27</v>
      </c>
      <c r="C14" s="12">
        <v>0</v>
      </c>
      <c r="D14" s="13">
        <v>0</v>
      </c>
      <c r="E14" s="48">
        <v>0</v>
      </c>
      <c r="F14" s="71"/>
      <c r="G14" s="82">
        <v>0</v>
      </c>
      <c r="H14" s="13">
        <v>0</v>
      </c>
      <c r="I14" s="14">
        <v>4.083333333333333</v>
      </c>
      <c r="J14" s="71">
        <f>SUM(G14:I14)</f>
        <v>4.083333333333333</v>
      </c>
      <c r="K14" s="59">
        <v>0</v>
      </c>
      <c r="L14" s="71"/>
      <c r="M14" s="71">
        <f t="shared" si="0"/>
        <v>4.083333333333333</v>
      </c>
      <c r="O14"/>
    </row>
    <row r="15" spans="1:15">
      <c r="A15" s="1" t="s">
        <v>2</v>
      </c>
      <c r="B15" s="4" t="s">
        <v>28</v>
      </c>
      <c r="C15" s="12">
        <v>0</v>
      </c>
      <c r="D15" s="13">
        <v>0</v>
      </c>
      <c r="E15" s="48">
        <v>0</v>
      </c>
      <c r="F15" s="71"/>
      <c r="G15" s="82">
        <v>0</v>
      </c>
      <c r="H15" s="13">
        <v>0</v>
      </c>
      <c r="I15" s="14">
        <v>0</v>
      </c>
      <c r="J15" s="71"/>
      <c r="K15" s="59">
        <v>0.95833333333333337</v>
      </c>
      <c r="L15" s="71">
        <f>SUM(K15)</f>
        <v>0.95833333333333337</v>
      </c>
      <c r="M15" s="71">
        <f t="shared" si="0"/>
        <v>0.95833333333333337</v>
      </c>
      <c r="O15"/>
    </row>
    <row r="16" spans="1:15">
      <c r="A16" s="1" t="s">
        <v>2</v>
      </c>
      <c r="B16" s="4" t="s">
        <v>29</v>
      </c>
      <c r="C16" s="12">
        <v>0</v>
      </c>
      <c r="D16" s="13">
        <v>0</v>
      </c>
      <c r="E16" s="48">
        <v>0</v>
      </c>
      <c r="F16" s="71"/>
      <c r="G16" s="82">
        <v>0</v>
      </c>
      <c r="H16" s="13">
        <v>0</v>
      </c>
      <c r="I16" s="14">
        <v>0</v>
      </c>
      <c r="J16" s="71"/>
      <c r="K16" s="59">
        <v>0</v>
      </c>
      <c r="L16" s="71"/>
      <c r="M16" s="71">
        <f t="shared" si="0"/>
        <v>0</v>
      </c>
      <c r="O16"/>
    </row>
    <row r="17" spans="1:15">
      <c r="A17" s="1" t="s">
        <v>2</v>
      </c>
      <c r="B17" s="4" t="s">
        <v>30</v>
      </c>
      <c r="C17" s="12">
        <v>0</v>
      </c>
      <c r="D17" s="13">
        <v>0</v>
      </c>
      <c r="E17" s="48">
        <v>0</v>
      </c>
      <c r="F17" s="71"/>
      <c r="G17" s="82">
        <v>0</v>
      </c>
      <c r="H17" s="13">
        <v>0</v>
      </c>
      <c r="I17" s="14">
        <v>0</v>
      </c>
      <c r="J17" s="71"/>
      <c r="K17" s="59">
        <v>0</v>
      </c>
      <c r="L17" s="71"/>
      <c r="M17" s="71">
        <f t="shared" si="0"/>
        <v>0</v>
      </c>
      <c r="O17"/>
    </row>
    <row r="18" spans="1:15">
      <c r="A18" s="1" t="s">
        <v>2</v>
      </c>
      <c r="B18" s="4" t="s">
        <v>31</v>
      </c>
      <c r="C18" s="12">
        <v>0</v>
      </c>
      <c r="D18" s="13">
        <v>0</v>
      </c>
      <c r="E18" s="48">
        <v>0</v>
      </c>
      <c r="F18" s="71"/>
      <c r="G18" s="82">
        <v>0</v>
      </c>
      <c r="H18" s="13">
        <v>0</v>
      </c>
      <c r="I18" s="14">
        <v>0</v>
      </c>
      <c r="J18" s="71"/>
      <c r="K18" s="59">
        <v>0</v>
      </c>
      <c r="L18" s="71"/>
      <c r="M18" s="71">
        <f t="shared" si="0"/>
        <v>0</v>
      </c>
      <c r="O18"/>
    </row>
    <row r="19" spans="1:15">
      <c r="A19" s="1" t="s">
        <v>2</v>
      </c>
      <c r="B19" s="4" t="s">
        <v>32</v>
      </c>
      <c r="C19" s="12">
        <v>0</v>
      </c>
      <c r="D19" s="13">
        <v>0</v>
      </c>
      <c r="E19" s="48">
        <v>0</v>
      </c>
      <c r="F19" s="71"/>
      <c r="G19" s="82">
        <v>0</v>
      </c>
      <c r="H19" s="13">
        <v>0</v>
      </c>
      <c r="I19" s="14">
        <v>0</v>
      </c>
      <c r="J19" s="71"/>
      <c r="K19" s="59">
        <v>0</v>
      </c>
      <c r="L19" s="71"/>
      <c r="M19" s="71">
        <f t="shared" si="0"/>
        <v>0</v>
      </c>
      <c r="O19"/>
    </row>
    <row r="20" spans="1:15">
      <c r="A20" s="1" t="s">
        <v>2</v>
      </c>
      <c r="B20" s="4" t="s">
        <v>33</v>
      </c>
      <c r="C20" s="12">
        <v>0</v>
      </c>
      <c r="D20" s="13">
        <v>0</v>
      </c>
      <c r="E20" s="48">
        <v>0</v>
      </c>
      <c r="F20" s="71"/>
      <c r="G20" s="82">
        <v>0</v>
      </c>
      <c r="H20" s="13">
        <v>0</v>
      </c>
      <c r="I20" s="14">
        <v>0</v>
      </c>
      <c r="J20" s="71"/>
      <c r="K20" s="59">
        <v>0.45833333333333331</v>
      </c>
      <c r="L20" s="71">
        <f>SUM(K20)</f>
        <v>0.45833333333333331</v>
      </c>
      <c r="M20" s="71">
        <f t="shared" si="0"/>
        <v>0.45833333333333331</v>
      </c>
      <c r="O20"/>
    </row>
    <row r="21" spans="1:15">
      <c r="A21" s="1" t="s">
        <v>2</v>
      </c>
      <c r="B21" s="4" t="s">
        <v>34</v>
      </c>
      <c r="C21" s="12">
        <v>0</v>
      </c>
      <c r="D21" s="13">
        <v>0</v>
      </c>
      <c r="E21" s="48">
        <v>0</v>
      </c>
      <c r="F21" s="71"/>
      <c r="G21" s="82">
        <v>0</v>
      </c>
      <c r="H21" s="13">
        <v>0</v>
      </c>
      <c r="I21" s="14">
        <v>0.20833333333333334</v>
      </c>
      <c r="J21" s="71">
        <f>SUM(G21:I21)</f>
        <v>0.20833333333333334</v>
      </c>
      <c r="K21" s="59">
        <v>0</v>
      </c>
      <c r="L21" s="71"/>
      <c r="M21" s="71">
        <f t="shared" si="0"/>
        <v>0.20833333333333334</v>
      </c>
      <c r="O21"/>
    </row>
    <row r="22" spans="1:15">
      <c r="A22" s="1" t="s">
        <v>2</v>
      </c>
      <c r="B22" s="4" t="s">
        <v>35</v>
      </c>
      <c r="C22" s="12">
        <v>0</v>
      </c>
      <c r="D22" s="13">
        <v>0</v>
      </c>
      <c r="E22" s="48">
        <v>0</v>
      </c>
      <c r="F22" s="71"/>
      <c r="G22" s="82">
        <v>0</v>
      </c>
      <c r="H22" s="13">
        <v>0</v>
      </c>
      <c r="I22" s="14">
        <v>0</v>
      </c>
      <c r="J22" s="71"/>
      <c r="K22" s="59">
        <v>0</v>
      </c>
      <c r="L22" s="71"/>
      <c r="M22" s="71">
        <f t="shared" si="0"/>
        <v>0</v>
      </c>
      <c r="O22"/>
    </row>
    <row r="23" spans="1:15">
      <c r="A23" s="1" t="s">
        <v>2</v>
      </c>
      <c r="B23" s="4" t="s">
        <v>36</v>
      </c>
      <c r="C23" s="12">
        <v>0</v>
      </c>
      <c r="D23" s="13">
        <v>0</v>
      </c>
      <c r="E23" s="48">
        <v>0</v>
      </c>
      <c r="F23" s="71"/>
      <c r="G23" s="82">
        <v>0</v>
      </c>
      <c r="H23" s="13">
        <v>0</v>
      </c>
      <c r="I23" s="14">
        <v>0</v>
      </c>
      <c r="J23" s="71"/>
      <c r="K23" s="59">
        <v>4.1666666666666664E-2</v>
      </c>
      <c r="L23" s="71">
        <f>SUM(K23)</f>
        <v>4.1666666666666664E-2</v>
      </c>
      <c r="M23" s="71">
        <f t="shared" si="0"/>
        <v>4.1666666666666664E-2</v>
      </c>
      <c r="O23"/>
    </row>
    <row r="24" spans="1:15" ht="19.5" thickBot="1">
      <c r="A24" s="1" t="s">
        <v>2</v>
      </c>
      <c r="B24" s="5" t="s">
        <v>37</v>
      </c>
      <c r="C24" s="32">
        <v>0</v>
      </c>
      <c r="D24" s="33">
        <v>0</v>
      </c>
      <c r="E24" s="49">
        <v>0</v>
      </c>
      <c r="F24" s="72"/>
      <c r="G24" s="83">
        <v>27</v>
      </c>
      <c r="H24" s="33">
        <v>37</v>
      </c>
      <c r="I24" s="34">
        <v>36</v>
      </c>
      <c r="J24" s="72">
        <f>SUM(G24:I24)</f>
        <v>100</v>
      </c>
      <c r="K24" s="60">
        <v>20</v>
      </c>
      <c r="L24" s="72">
        <f>SUM(K24)</f>
        <v>20</v>
      </c>
      <c r="M24" s="72">
        <f t="shared" si="0"/>
        <v>120</v>
      </c>
      <c r="O24"/>
    </row>
    <row r="25" spans="1:15">
      <c r="A25" s="1" t="s">
        <v>2</v>
      </c>
      <c r="B25" s="21" t="s">
        <v>38</v>
      </c>
      <c r="C25" s="29">
        <v>0</v>
      </c>
      <c r="D25" s="30">
        <v>0</v>
      </c>
      <c r="E25" s="50">
        <v>0</v>
      </c>
      <c r="F25" s="73"/>
      <c r="G25" s="84">
        <v>375000</v>
      </c>
      <c r="H25" s="30">
        <v>365000</v>
      </c>
      <c r="I25" s="31">
        <v>0</v>
      </c>
      <c r="J25" s="73">
        <f>SUM(G25:I25)</f>
        <v>740000</v>
      </c>
      <c r="K25" s="61">
        <v>220000</v>
      </c>
      <c r="L25" s="73">
        <f>SUM(K25)</f>
        <v>220000</v>
      </c>
      <c r="M25" s="73">
        <f t="shared" si="0"/>
        <v>960000</v>
      </c>
      <c r="O25"/>
    </row>
    <row r="26" spans="1:15">
      <c r="A26" s="1" t="s">
        <v>2</v>
      </c>
      <c r="B26" s="4" t="s">
        <v>39</v>
      </c>
      <c r="C26" s="15">
        <v>0</v>
      </c>
      <c r="D26" s="16">
        <v>0</v>
      </c>
      <c r="E26" s="51">
        <v>0</v>
      </c>
      <c r="F26" s="74"/>
      <c r="G26" s="85">
        <v>0</v>
      </c>
      <c r="H26" s="16">
        <v>0</v>
      </c>
      <c r="I26" s="17">
        <v>0</v>
      </c>
      <c r="J26" s="74">
        <f t="shared" ref="J26:J63" si="1">SUM(G26:I26)</f>
        <v>0</v>
      </c>
      <c r="K26" s="62">
        <v>5000</v>
      </c>
      <c r="L26" s="74">
        <f t="shared" ref="L26:L63" si="2">SUM(K26)</f>
        <v>5000</v>
      </c>
      <c r="M26" s="74">
        <f t="shared" si="0"/>
        <v>5000</v>
      </c>
      <c r="O26"/>
    </row>
    <row r="27" spans="1:15">
      <c r="A27" s="1" t="s">
        <v>2</v>
      </c>
      <c r="B27" s="4" t="s">
        <v>40</v>
      </c>
      <c r="C27" s="15">
        <v>0</v>
      </c>
      <c r="D27" s="16">
        <v>0</v>
      </c>
      <c r="E27" s="51">
        <v>0</v>
      </c>
      <c r="F27" s="74"/>
      <c r="G27" s="85">
        <v>0</v>
      </c>
      <c r="H27" s="16">
        <v>0</v>
      </c>
      <c r="I27" s="17">
        <v>0</v>
      </c>
      <c r="J27" s="74">
        <f t="shared" si="1"/>
        <v>0</v>
      </c>
      <c r="K27" s="62">
        <v>6000</v>
      </c>
      <c r="L27" s="74">
        <f t="shared" si="2"/>
        <v>6000</v>
      </c>
      <c r="M27" s="74">
        <f t="shared" si="0"/>
        <v>6000</v>
      </c>
      <c r="O27"/>
    </row>
    <row r="28" spans="1:15">
      <c r="A28" s="1" t="s">
        <v>2</v>
      </c>
      <c r="B28" s="4" t="s">
        <v>41</v>
      </c>
      <c r="C28" s="15">
        <v>0</v>
      </c>
      <c r="D28" s="16">
        <v>0</v>
      </c>
      <c r="E28" s="51">
        <v>0</v>
      </c>
      <c r="F28" s="74"/>
      <c r="G28" s="85">
        <v>50000</v>
      </c>
      <c r="H28" s="16">
        <v>50000</v>
      </c>
      <c r="I28" s="17">
        <v>0</v>
      </c>
      <c r="J28" s="74">
        <f t="shared" si="1"/>
        <v>100000</v>
      </c>
      <c r="K28" s="62">
        <v>50000</v>
      </c>
      <c r="L28" s="74">
        <f t="shared" si="2"/>
        <v>50000</v>
      </c>
      <c r="M28" s="74">
        <f t="shared" si="0"/>
        <v>150000</v>
      </c>
      <c r="O28"/>
    </row>
    <row r="29" spans="1:15">
      <c r="A29" s="1" t="s">
        <v>2</v>
      </c>
      <c r="B29" s="4" t="s">
        <v>42</v>
      </c>
      <c r="C29" s="15">
        <v>0</v>
      </c>
      <c r="D29" s="16">
        <v>0</v>
      </c>
      <c r="E29" s="51">
        <v>0</v>
      </c>
      <c r="F29" s="74"/>
      <c r="G29" s="85">
        <v>0</v>
      </c>
      <c r="H29" s="16">
        <v>0</v>
      </c>
      <c r="I29" s="17">
        <v>115150</v>
      </c>
      <c r="J29" s="74">
        <f t="shared" si="1"/>
        <v>115150</v>
      </c>
      <c r="K29" s="62">
        <v>0</v>
      </c>
      <c r="L29" s="74">
        <f t="shared" si="2"/>
        <v>0</v>
      </c>
      <c r="M29" s="74">
        <f t="shared" si="0"/>
        <v>115150</v>
      </c>
      <c r="O29"/>
    </row>
    <row r="30" spans="1:15">
      <c r="A30" s="1" t="s">
        <v>2</v>
      </c>
      <c r="B30" s="4" t="s">
        <v>43</v>
      </c>
      <c r="C30" s="15">
        <v>1315000</v>
      </c>
      <c r="D30" s="16">
        <v>250000</v>
      </c>
      <c r="E30" s="51">
        <v>100000</v>
      </c>
      <c r="F30" s="74">
        <f>SUM(C30:E30)</f>
        <v>1665000</v>
      </c>
      <c r="G30" s="85">
        <v>0</v>
      </c>
      <c r="H30" s="16">
        <v>0</v>
      </c>
      <c r="I30" s="17">
        <v>0</v>
      </c>
      <c r="J30" s="74">
        <f t="shared" si="1"/>
        <v>0</v>
      </c>
      <c r="K30" s="62">
        <v>0</v>
      </c>
      <c r="L30" s="74">
        <f t="shared" si="2"/>
        <v>0</v>
      </c>
      <c r="M30" s="74">
        <f t="shared" si="0"/>
        <v>1665000</v>
      </c>
      <c r="O30"/>
    </row>
    <row r="31" spans="1:15">
      <c r="A31" s="1" t="s">
        <v>2</v>
      </c>
      <c r="B31" s="4" t="s">
        <v>44</v>
      </c>
      <c r="C31" s="15">
        <v>0</v>
      </c>
      <c r="D31" s="16">
        <v>0</v>
      </c>
      <c r="E31" s="51">
        <v>0</v>
      </c>
      <c r="F31" s="74">
        <f t="shared" ref="F31:F63" si="3">SUM(C31:E31)</f>
        <v>0</v>
      </c>
      <c r="G31" s="85">
        <v>0</v>
      </c>
      <c r="H31" s="16">
        <v>0</v>
      </c>
      <c r="I31" s="17">
        <v>0</v>
      </c>
      <c r="J31" s="74">
        <f t="shared" si="1"/>
        <v>0</v>
      </c>
      <c r="K31" s="62">
        <v>0</v>
      </c>
      <c r="L31" s="74">
        <f t="shared" si="2"/>
        <v>0</v>
      </c>
      <c r="M31" s="74">
        <f t="shared" si="0"/>
        <v>0</v>
      </c>
      <c r="O31"/>
    </row>
    <row r="32" spans="1:15">
      <c r="A32" s="1" t="s">
        <v>2</v>
      </c>
      <c r="B32" s="4" t="s">
        <v>45</v>
      </c>
      <c r="C32" s="15">
        <v>0</v>
      </c>
      <c r="D32" s="16">
        <v>0</v>
      </c>
      <c r="E32" s="51">
        <v>0</v>
      </c>
      <c r="F32" s="74">
        <f t="shared" si="3"/>
        <v>0</v>
      </c>
      <c r="G32" s="85">
        <v>0</v>
      </c>
      <c r="H32" s="16">
        <v>0</v>
      </c>
      <c r="I32" s="17">
        <v>0</v>
      </c>
      <c r="J32" s="74">
        <f t="shared" si="1"/>
        <v>0</v>
      </c>
      <c r="K32" s="62">
        <v>0</v>
      </c>
      <c r="L32" s="74">
        <f t="shared" si="2"/>
        <v>0</v>
      </c>
      <c r="M32" s="74">
        <f t="shared" si="0"/>
        <v>0</v>
      </c>
      <c r="O32"/>
    </row>
    <row r="33" spans="1:15">
      <c r="A33" s="1" t="s">
        <v>2</v>
      </c>
      <c r="B33" s="4" t="s">
        <v>46</v>
      </c>
      <c r="C33" s="15">
        <v>0</v>
      </c>
      <c r="D33" s="16">
        <v>0</v>
      </c>
      <c r="E33" s="51">
        <v>0</v>
      </c>
      <c r="F33" s="74">
        <f t="shared" si="3"/>
        <v>0</v>
      </c>
      <c r="G33" s="85">
        <v>0</v>
      </c>
      <c r="H33" s="16">
        <v>0</v>
      </c>
      <c r="I33" s="17">
        <v>5875</v>
      </c>
      <c r="J33" s="74">
        <f t="shared" si="1"/>
        <v>5875</v>
      </c>
      <c r="K33" s="62">
        <v>0</v>
      </c>
      <c r="L33" s="74">
        <f t="shared" si="2"/>
        <v>0</v>
      </c>
      <c r="M33" s="74">
        <f t="shared" si="0"/>
        <v>5875</v>
      </c>
      <c r="O33"/>
    </row>
    <row r="34" spans="1:15">
      <c r="A34" s="1" t="s">
        <v>2</v>
      </c>
      <c r="B34" s="4" t="s">
        <v>47</v>
      </c>
      <c r="C34" s="15">
        <v>0</v>
      </c>
      <c r="D34" s="16">
        <v>0</v>
      </c>
      <c r="E34" s="51">
        <v>0</v>
      </c>
      <c r="F34" s="74">
        <f t="shared" si="3"/>
        <v>0</v>
      </c>
      <c r="G34" s="85">
        <v>0</v>
      </c>
      <c r="H34" s="16">
        <v>0</v>
      </c>
      <c r="I34" s="17">
        <v>0</v>
      </c>
      <c r="J34" s="74">
        <f t="shared" si="1"/>
        <v>0</v>
      </c>
      <c r="K34" s="62">
        <v>0</v>
      </c>
      <c r="L34" s="74">
        <f t="shared" si="2"/>
        <v>0</v>
      </c>
      <c r="M34" s="74">
        <f t="shared" si="0"/>
        <v>0</v>
      </c>
      <c r="O34"/>
    </row>
    <row r="35" spans="1:15">
      <c r="A35" s="1" t="s">
        <v>2</v>
      </c>
      <c r="B35" s="4" t="s">
        <v>48</v>
      </c>
      <c r="C35" s="15">
        <v>0</v>
      </c>
      <c r="D35" s="16">
        <v>0</v>
      </c>
      <c r="E35" s="51">
        <v>0</v>
      </c>
      <c r="F35" s="74">
        <f t="shared" si="3"/>
        <v>0</v>
      </c>
      <c r="G35" s="85">
        <v>0</v>
      </c>
      <c r="H35" s="16">
        <v>0</v>
      </c>
      <c r="I35" s="17">
        <v>0</v>
      </c>
      <c r="J35" s="74">
        <f t="shared" si="1"/>
        <v>0</v>
      </c>
      <c r="K35" s="62">
        <v>0</v>
      </c>
      <c r="L35" s="74">
        <f t="shared" si="2"/>
        <v>0</v>
      </c>
      <c r="M35" s="74">
        <f t="shared" si="0"/>
        <v>0</v>
      </c>
      <c r="O35"/>
    </row>
    <row r="36" spans="1:15">
      <c r="A36" s="1" t="s">
        <v>2</v>
      </c>
      <c r="B36" s="4" t="s">
        <v>49</v>
      </c>
      <c r="C36" s="15">
        <v>0</v>
      </c>
      <c r="D36" s="16">
        <v>0</v>
      </c>
      <c r="E36" s="51">
        <v>0</v>
      </c>
      <c r="F36" s="74">
        <f t="shared" si="3"/>
        <v>0</v>
      </c>
      <c r="G36" s="85">
        <v>0</v>
      </c>
      <c r="H36" s="16">
        <v>0</v>
      </c>
      <c r="I36" s="17">
        <v>0</v>
      </c>
      <c r="J36" s="74">
        <f t="shared" si="1"/>
        <v>0</v>
      </c>
      <c r="K36" s="62">
        <v>0</v>
      </c>
      <c r="L36" s="74">
        <f t="shared" si="2"/>
        <v>0</v>
      </c>
      <c r="M36" s="74">
        <f t="shared" si="0"/>
        <v>0</v>
      </c>
      <c r="O36"/>
    </row>
    <row r="37" spans="1:15">
      <c r="A37" s="1" t="s">
        <v>2</v>
      </c>
      <c r="B37" s="4" t="s">
        <v>28</v>
      </c>
      <c r="C37" s="15">
        <v>0</v>
      </c>
      <c r="D37" s="16">
        <v>0</v>
      </c>
      <c r="E37" s="51">
        <v>0</v>
      </c>
      <c r="F37" s="74">
        <f t="shared" si="3"/>
        <v>0</v>
      </c>
      <c r="G37" s="85">
        <v>0</v>
      </c>
      <c r="H37" s="16">
        <v>0</v>
      </c>
      <c r="I37" s="17">
        <v>0</v>
      </c>
      <c r="J37" s="74">
        <f t="shared" si="1"/>
        <v>0</v>
      </c>
      <c r="K37" s="62">
        <v>56902</v>
      </c>
      <c r="L37" s="74">
        <f t="shared" si="2"/>
        <v>56902</v>
      </c>
      <c r="M37" s="74">
        <f t="shared" si="0"/>
        <v>56902</v>
      </c>
      <c r="O37"/>
    </row>
    <row r="38" spans="1:15">
      <c r="A38" s="1" t="s">
        <v>2</v>
      </c>
      <c r="B38" s="4" t="s">
        <v>50</v>
      </c>
      <c r="C38" s="15">
        <v>0</v>
      </c>
      <c r="D38" s="16">
        <v>0</v>
      </c>
      <c r="E38" s="51">
        <v>0</v>
      </c>
      <c r="F38" s="74">
        <f t="shared" si="3"/>
        <v>0</v>
      </c>
      <c r="G38" s="85">
        <v>0</v>
      </c>
      <c r="H38" s="16">
        <v>0</v>
      </c>
      <c r="I38" s="17">
        <v>0</v>
      </c>
      <c r="J38" s="74">
        <f t="shared" si="1"/>
        <v>0</v>
      </c>
      <c r="K38" s="62">
        <v>0</v>
      </c>
      <c r="L38" s="74">
        <f t="shared" si="2"/>
        <v>0</v>
      </c>
      <c r="M38" s="74">
        <f t="shared" si="0"/>
        <v>0</v>
      </c>
      <c r="O38"/>
    </row>
    <row r="39" spans="1:15">
      <c r="A39" s="1" t="s">
        <v>2</v>
      </c>
      <c r="B39" s="4" t="s">
        <v>51</v>
      </c>
      <c r="C39" s="15">
        <v>0</v>
      </c>
      <c r="D39" s="16">
        <v>0</v>
      </c>
      <c r="E39" s="51">
        <v>0</v>
      </c>
      <c r="F39" s="74">
        <f t="shared" si="3"/>
        <v>0</v>
      </c>
      <c r="G39" s="85">
        <v>0</v>
      </c>
      <c r="H39" s="16">
        <v>0</v>
      </c>
      <c r="I39" s="17">
        <v>0</v>
      </c>
      <c r="J39" s="74">
        <f t="shared" si="1"/>
        <v>0</v>
      </c>
      <c r="K39" s="62">
        <v>0</v>
      </c>
      <c r="L39" s="74">
        <f t="shared" si="2"/>
        <v>0</v>
      </c>
      <c r="M39" s="74">
        <f t="shared" si="0"/>
        <v>0</v>
      </c>
      <c r="O39"/>
    </row>
    <row r="40" spans="1:15">
      <c r="A40" s="1" t="s">
        <v>2</v>
      </c>
      <c r="B40" s="4" t="s">
        <v>52</v>
      </c>
      <c r="C40" s="15">
        <v>0</v>
      </c>
      <c r="D40" s="16">
        <v>0</v>
      </c>
      <c r="E40" s="51">
        <v>0</v>
      </c>
      <c r="F40" s="74">
        <f t="shared" si="3"/>
        <v>0</v>
      </c>
      <c r="G40" s="85">
        <v>0</v>
      </c>
      <c r="H40" s="16">
        <v>0</v>
      </c>
      <c r="I40" s="17">
        <v>0</v>
      </c>
      <c r="J40" s="74">
        <f t="shared" si="1"/>
        <v>0</v>
      </c>
      <c r="K40" s="62">
        <v>0</v>
      </c>
      <c r="L40" s="74">
        <f t="shared" si="2"/>
        <v>0</v>
      </c>
      <c r="M40" s="74">
        <f t="shared" si="0"/>
        <v>0</v>
      </c>
      <c r="O40"/>
    </row>
    <row r="41" spans="1:15">
      <c r="A41" s="1" t="s">
        <v>2</v>
      </c>
      <c r="B41" s="4" t="s">
        <v>53</v>
      </c>
      <c r="C41" s="15">
        <v>0</v>
      </c>
      <c r="D41" s="16">
        <v>0</v>
      </c>
      <c r="E41" s="51">
        <v>0</v>
      </c>
      <c r="F41" s="74">
        <f t="shared" si="3"/>
        <v>0</v>
      </c>
      <c r="G41" s="85">
        <v>0</v>
      </c>
      <c r="H41" s="16">
        <v>0</v>
      </c>
      <c r="I41" s="17">
        <v>0</v>
      </c>
      <c r="J41" s="74">
        <f t="shared" si="1"/>
        <v>0</v>
      </c>
      <c r="K41" s="62">
        <v>0</v>
      </c>
      <c r="L41" s="74">
        <f t="shared" si="2"/>
        <v>0</v>
      </c>
      <c r="M41" s="74">
        <f t="shared" si="0"/>
        <v>0</v>
      </c>
      <c r="O41"/>
    </row>
    <row r="42" spans="1:15">
      <c r="A42" s="1" t="s">
        <v>2</v>
      </c>
      <c r="B42" s="4" t="s">
        <v>54</v>
      </c>
      <c r="C42" s="15">
        <v>0</v>
      </c>
      <c r="D42" s="16">
        <v>0</v>
      </c>
      <c r="E42" s="51">
        <v>0</v>
      </c>
      <c r="F42" s="74">
        <f t="shared" si="3"/>
        <v>0</v>
      </c>
      <c r="G42" s="85">
        <v>0</v>
      </c>
      <c r="H42" s="16">
        <v>0</v>
      </c>
      <c r="I42" s="17">
        <v>0</v>
      </c>
      <c r="J42" s="74">
        <f t="shared" si="1"/>
        <v>0</v>
      </c>
      <c r="K42" s="62">
        <v>0</v>
      </c>
      <c r="L42" s="74">
        <f t="shared" si="2"/>
        <v>0</v>
      </c>
      <c r="M42" s="74">
        <f t="shared" si="0"/>
        <v>0</v>
      </c>
      <c r="O42"/>
    </row>
    <row r="43" spans="1:15">
      <c r="A43" s="1" t="s">
        <v>2</v>
      </c>
      <c r="B43" s="4" t="s">
        <v>33</v>
      </c>
      <c r="C43" s="15">
        <v>0</v>
      </c>
      <c r="D43" s="16">
        <v>0</v>
      </c>
      <c r="E43" s="51">
        <v>0</v>
      </c>
      <c r="F43" s="74">
        <f t="shared" si="3"/>
        <v>0</v>
      </c>
      <c r="G43" s="85">
        <v>0</v>
      </c>
      <c r="H43" s="16">
        <v>0</v>
      </c>
      <c r="I43" s="17">
        <v>0</v>
      </c>
      <c r="J43" s="74">
        <f t="shared" si="1"/>
        <v>0</v>
      </c>
      <c r="K43" s="62">
        <v>21769</v>
      </c>
      <c r="L43" s="74">
        <f t="shared" si="2"/>
        <v>21769</v>
      </c>
      <c r="M43" s="74">
        <f t="shared" si="0"/>
        <v>21769</v>
      </c>
      <c r="O43"/>
    </row>
    <row r="44" spans="1:15" ht="19.5" thickBot="1">
      <c r="A44" s="1" t="s">
        <v>2</v>
      </c>
      <c r="B44" s="35" t="s">
        <v>36</v>
      </c>
      <c r="C44" s="36">
        <v>0</v>
      </c>
      <c r="D44" s="37">
        <v>0</v>
      </c>
      <c r="E44" s="52">
        <v>0</v>
      </c>
      <c r="F44" s="75">
        <f t="shared" si="3"/>
        <v>0</v>
      </c>
      <c r="G44" s="86">
        <v>0</v>
      </c>
      <c r="H44" s="37">
        <v>0</v>
      </c>
      <c r="I44" s="38">
        <v>0</v>
      </c>
      <c r="J44" s="75">
        <f t="shared" si="1"/>
        <v>0</v>
      </c>
      <c r="K44" s="63">
        <v>495</v>
      </c>
      <c r="L44" s="75">
        <f t="shared" si="2"/>
        <v>495</v>
      </c>
      <c r="M44" s="75">
        <f t="shared" si="0"/>
        <v>495</v>
      </c>
      <c r="O44"/>
    </row>
    <row r="45" spans="1:15" ht="19.5" thickBot="1">
      <c r="A45" s="1" t="s">
        <v>2</v>
      </c>
      <c r="B45" s="39" t="s">
        <v>55</v>
      </c>
      <c r="C45" s="40">
        <v>1315000</v>
      </c>
      <c r="D45" s="41">
        <v>250000</v>
      </c>
      <c r="E45" s="53">
        <v>100000</v>
      </c>
      <c r="F45" s="76">
        <f t="shared" si="3"/>
        <v>1665000</v>
      </c>
      <c r="G45" s="87">
        <v>425000</v>
      </c>
      <c r="H45" s="41">
        <v>415000</v>
      </c>
      <c r="I45" s="42">
        <v>121025</v>
      </c>
      <c r="J45" s="76">
        <f t="shared" si="1"/>
        <v>961025</v>
      </c>
      <c r="K45" s="64">
        <v>360166</v>
      </c>
      <c r="L45" s="76">
        <f t="shared" si="2"/>
        <v>360166</v>
      </c>
      <c r="M45" s="76">
        <f t="shared" si="0"/>
        <v>2986191</v>
      </c>
      <c r="O45"/>
    </row>
    <row r="46" spans="1:15">
      <c r="A46" s="1" t="s">
        <v>2</v>
      </c>
      <c r="B46" s="21" t="s">
        <v>56</v>
      </c>
      <c r="C46" s="29">
        <v>0</v>
      </c>
      <c r="D46" s="30">
        <v>0</v>
      </c>
      <c r="E46" s="50">
        <v>0</v>
      </c>
      <c r="F46" s="73">
        <f t="shared" si="3"/>
        <v>0</v>
      </c>
      <c r="G46" s="84">
        <v>1934</v>
      </c>
      <c r="H46" s="30">
        <v>11440</v>
      </c>
      <c r="I46" s="31">
        <v>0</v>
      </c>
      <c r="J46" s="73">
        <f t="shared" si="1"/>
        <v>13374</v>
      </c>
      <c r="K46" s="61">
        <v>5957</v>
      </c>
      <c r="L46" s="73">
        <f t="shared" si="2"/>
        <v>5957</v>
      </c>
      <c r="M46" s="73">
        <f t="shared" si="0"/>
        <v>19331</v>
      </c>
      <c r="O46"/>
    </row>
    <row r="47" spans="1:15" ht="19.5" thickBot="1">
      <c r="A47" s="1" t="s">
        <v>2</v>
      </c>
      <c r="B47" s="35" t="s">
        <v>57</v>
      </c>
      <c r="C47" s="36">
        <v>0</v>
      </c>
      <c r="D47" s="37">
        <v>0</v>
      </c>
      <c r="E47" s="52">
        <v>0</v>
      </c>
      <c r="F47" s="75">
        <f t="shared" si="3"/>
        <v>0</v>
      </c>
      <c r="G47" s="86">
        <v>0</v>
      </c>
      <c r="H47" s="37">
        <v>0</v>
      </c>
      <c r="I47" s="38">
        <v>0</v>
      </c>
      <c r="J47" s="75">
        <f t="shared" si="1"/>
        <v>0</v>
      </c>
      <c r="K47" s="63">
        <v>0</v>
      </c>
      <c r="L47" s="75">
        <f t="shared" si="2"/>
        <v>0</v>
      </c>
      <c r="M47" s="75">
        <f t="shared" si="0"/>
        <v>0</v>
      </c>
      <c r="O47"/>
    </row>
    <row r="48" spans="1:15" ht="19.5" thickBot="1">
      <c r="A48" s="1" t="s">
        <v>2</v>
      </c>
      <c r="B48" s="39" t="s">
        <v>58</v>
      </c>
      <c r="C48" s="40">
        <v>0</v>
      </c>
      <c r="D48" s="41">
        <v>0</v>
      </c>
      <c r="E48" s="53">
        <v>0</v>
      </c>
      <c r="F48" s="76">
        <f t="shared" si="3"/>
        <v>0</v>
      </c>
      <c r="G48" s="87">
        <v>1934</v>
      </c>
      <c r="H48" s="41">
        <v>11440</v>
      </c>
      <c r="I48" s="42">
        <v>0</v>
      </c>
      <c r="J48" s="76">
        <f t="shared" si="1"/>
        <v>13374</v>
      </c>
      <c r="K48" s="64">
        <v>5957</v>
      </c>
      <c r="L48" s="76">
        <f t="shared" si="2"/>
        <v>5957</v>
      </c>
      <c r="M48" s="76">
        <f t="shared" si="0"/>
        <v>19331</v>
      </c>
      <c r="O48"/>
    </row>
    <row r="49" spans="1:15" ht="19.5" thickBot="1">
      <c r="A49" s="1" t="s">
        <v>2</v>
      </c>
      <c r="B49" s="39" t="s">
        <v>59</v>
      </c>
      <c r="C49" s="40">
        <v>1315000</v>
      </c>
      <c r="D49" s="41">
        <v>250000</v>
      </c>
      <c r="E49" s="53">
        <v>100000</v>
      </c>
      <c r="F49" s="76">
        <f t="shared" si="3"/>
        <v>1665000</v>
      </c>
      <c r="G49" s="87">
        <v>426934</v>
      </c>
      <c r="H49" s="41">
        <v>426440</v>
      </c>
      <c r="I49" s="42">
        <v>121025</v>
      </c>
      <c r="J49" s="76">
        <f t="shared" si="1"/>
        <v>974399</v>
      </c>
      <c r="K49" s="64">
        <v>366123</v>
      </c>
      <c r="L49" s="76">
        <f t="shared" si="2"/>
        <v>366123</v>
      </c>
      <c r="M49" s="76">
        <f t="shared" si="0"/>
        <v>3005522</v>
      </c>
      <c r="O49"/>
    </row>
    <row r="50" spans="1:15">
      <c r="A50" s="1" t="s">
        <v>2</v>
      </c>
      <c r="B50" s="21" t="s">
        <v>60</v>
      </c>
      <c r="C50" s="29">
        <v>64770</v>
      </c>
      <c r="D50" s="30">
        <v>0</v>
      </c>
      <c r="E50" s="50">
        <v>0</v>
      </c>
      <c r="F50" s="73">
        <f t="shared" si="3"/>
        <v>64770</v>
      </c>
      <c r="G50" s="84">
        <v>22440</v>
      </c>
      <c r="H50" s="30">
        <v>20910</v>
      </c>
      <c r="I50" s="31">
        <v>0</v>
      </c>
      <c r="J50" s="73">
        <f t="shared" si="1"/>
        <v>43350</v>
      </c>
      <c r="K50" s="61">
        <v>17340</v>
      </c>
      <c r="L50" s="73">
        <f t="shared" si="2"/>
        <v>17340</v>
      </c>
      <c r="M50" s="73">
        <f t="shared" si="0"/>
        <v>125460</v>
      </c>
      <c r="O50"/>
    </row>
    <row r="51" spans="1:15">
      <c r="A51" s="1" t="s">
        <v>2</v>
      </c>
      <c r="B51" s="4" t="s">
        <v>61</v>
      </c>
      <c r="C51" s="15">
        <v>11430</v>
      </c>
      <c r="D51" s="16">
        <v>0</v>
      </c>
      <c r="E51" s="51">
        <v>0</v>
      </c>
      <c r="F51" s="74">
        <f t="shared" si="3"/>
        <v>11430</v>
      </c>
      <c r="G51" s="85">
        <v>3960</v>
      </c>
      <c r="H51" s="16">
        <v>3690</v>
      </c>
      <c r="I51" s="17">
        <v>0</v>
      </c>
      <c r="J51" s="74">
        <f t="shared" si="1"/>
        <v>7650</v>
      </c>
      <c r="K51" s="62">
        <v>3060</v>
      </c>
      <c r="L51" s="74">
        <f t="shared" si="2"/>
        <v>3060</v>
      </c>
      <c r="M51" s="74">
        <f t="shared" si="0"/>
        <v>22140</v>
      </c>
      <c r="O51"/>
    </row>
    <row r="52" spans="1:15">
      <c r="A52" s="1" t="s">
        <v>2</v>
      </c>
      <c r="B52" s="4" t="s">
        <v>62</v>
      </c>
      <c r="C52" s="15">
        <v>59475</v>
      </c>
      <c r="D52" s="16">
        <v>0</v>
      </c>
      <c r="E52" s="51">
        <v>0</v>
      </c>
      <c r="F52" s="74">
        <f t="shared" si="3"/>
        <v>59475</v>
      </c>
      <c r="G52" s="85">
        <v>40260</v>
      </c>
      <c r="H52" s="16">
        <v>37515</v>
      </c>
      <c r="I52" s="17">
        <v>0</v>
      </c>
      <c r="J52" s="74">
        <f t="shared" si="1"/>
        <v>77775</v>
      </c>
      <c r="K52" s="62">
        <v>31110</v>
      </c>
      <c r="L52" s="74">
        <f t="shared" si="2"/>
        <v>31110</v>
      </c>
      <c r="M52" s="74">
        <f t="shared" si="0"/>
        <v>168360</v>
      </c>
      <c r="O52"/>
    </row>
    <row r="53" spans="1:15" ht="19.5" thickBot="1">
      <c r="A53" s="1" t="s">
        <v>2</v>
      </c>
      <c r="B53" s="4" t="s">
        <v>63</v>
      </c>
      <c r="C53" s="15">
        <v>0</v>
      </c>
      <c r="D53" s="16">
        <v>0</v>
      </c>
      <c r="E53" s="51">
        <v>0</v>
      </c>
      <c r="F53" s="74">
        <f t="shared" si="3"/>
        <v>0</v>
      </c>
      <c r="G53" s="85">
        <v>1281</v>
      </c>
      <c r="H53" s="16">
        <v>1279</v>
      </c>
      <c r="I53" s="17">
        <v>363</v>
      </c>
      <c r="J53" s="74">
        <f t="shared" si="1"/>
        <v>2923</v>
      </c>
      <c r="K53" s="62">
        <v>1098</v>
      </c>
      <c r="L53" s="74">
        <f t="shared" si="2"/>
        <v>1098</v>
      </c>
      <c r="M53" s="74">
        <f t="shared" si="0"/>
        <v>4021</v>
      </c>
      <c r="O53"/>
    </row>
    <row r="54" spans="1:15" ht="19.5" thickBot="1">
      <c r="A54" s="1" t="s">
        <v>2</v>
      </c>
      <c r="B54" s="39" t="s">
        <v>64</v>
      </c>
      <c r="C54" s="40">
        <v>135675</v>
      </c>
      <c r="D54" s="41">
        <v>0</v>
      </c>
      <c r="E54" s="53">
        <v>0</v>
      </c>
      <c r="F54" s="76">
        <f t="shared" si="3"/>
        <v>135675</v>
      </c>
      <c r="G54" s="87">
        <v>67941</v>
      </c>
      <c r="H54" s="41">
        <v>63394</v>
      </c>
      <c r="I54" s="42">
        <v>363</v>
      </c>
      <c r="J54" s="76">
        <f t="shared" si="1"/>
        <v>131698</v>
      </c>
      <c r="K54" s="64">
        <v>52608</v>
      </c>
      <c r="L54" s="76">
        <f t="shared" si="2"/>
        <v>52608</v>
      </c>
      <c r="M54" s="76">
        <f t="shared" si="0"/>
        <v>319981</v>
      </c>
      <c r="O54"/>
    </row>
    <row r="55" spans="1:15">
      <c r="A55" s="1" t="s">
        <v>2</v>
      </c>
      <c r="B55" s="21" t="s">
        <v>65</v>
      </c>
      <c r="C55" s="29">
        <v>187760</v>
      </c>
      <c r="D55" s="30">
        <v>36400</v>
      </c>
      <c r="E55" s="50">
        <v>720</v>
      </c>
      <c r="F55" s="73">
        <f t="shared" si="3"/>
        <v>224880</v>
      </c>
      <c r="G55" s="84">
        <v>13040</v>
      </c>
      <c r="H55" s="30">
        <v>12600</v>
      </c>
      <c r="I55" s="31">
        <v>1780</v>
      </c>
      <c r="J55" s="73">
        <f t="shared" si="1"/>
        <v>27420</v>
      </c>
      <c r="K55" s="61">
        <v>7030</v>
      </c>
      <c r="L55" s="73">
        <f t="shared" si="2"/>
        <v>7030</v>
      </c>
      <c r="M55" s="73">
        <f t="shared" si="0"/>
        <v>259330</v>
      </c>
      <c r="O55"/>
    </row>
    <row r="56" spans="1:15">
      <c r="A56" s="1" t="s">
        <v>2</v>
      </c>
      <c r="B56" s="4" t="s">
        <v>66</v>
      </c>
      <c r="C56" s="15">
        <v>0</v>
      </c>
      <c r="D56" s="16">
        <v>0</v>
      </c>
      <c r="E56" s="51">
        <v>0</v>
      </c>
      <c r="F56" s="74">
        <f t="shared" si="3"/>
        <v>0</v>
      </c>
      <c r="G56" s="85">
        <v>0</v>
      </c>
      <c r="H56" s="16">
        <v>0</v>
      </c>
      <c r="I56" s="17">
        <v>0</v>
      </c>
      <c r="J56" s="74">
        <f t="shared" si="1"/>
        <v>0</v>
      </c>
      <c r="K56" s="62">
        <v>0</v>
      </c>
      <c r="L56" s="74">
        <f t="shared" si="2"/>
        <v>0</v>
      </c>
      <c r="M56" s="74">
        <f t="shared" ref="M56:M64" si="4">F56+J56+L56</f>
        <v>0</v>
      </c>
      <c r="O56"/>
    </row>
    <row r="57" spans="1:15">
      <c r="A57" s="1" t="s">
        <v>2</v>
      </c>
      <c r="B57" s="4" t="s">
        <v>67</v>
      </c>
      <c r="C57" s="15">
        <v>91300</v>
      </c>
      <c r="D57" s="16">
        <v>0</v>
      </c>
      <c r="E57" s="51">
        <v>1700</v>
      </c>
      <c r="F57" s="74">
        <f t="shared" si="3"/>
        <v>93000</v>
      </c>
      <c r="G57" s="85">
        <v>23800</v>
      </c>
      <c r="H57" s="16">
        <v>24100</v>
      </c>
      <c r="I57" s="17">
        <v>2500</v>
      </c>
      <c r="J57" s="74">
        <f t="shared" si="1"/>
        <v>50400</v>
      </c>
      <c r="K57" s="62">
        <v>19600</v>
      </c>
      <c r="L57" s="74">
        <f t="shared" si="2"/>
        <v>19600</v>
      </c>
      <c r="M57" s="74">
        <f t="shared" si="4"/>
        <v>163000</v>
      </c>
      <c r="O57"/>
    </row>
    <row r="58" spans="1:15" ht="19.5" thickBot="1">
      <c r="A58" s="1" t="s">
        <v>2</v>
      </c>
      <c r="B58" s="4" t="s">
        <v>68</v>
      </c>
      <c r="C58" s="15">
        <v>32000</v>
      </c>
      <c r="D58" s="16">
        <v>0</v>
      </c>
      <c r="E58" s="51">
        <v>0</v>
      </c>
      <c r="F58" s="74">
        <f t="shared" si="3"/>
        <v>32000</v>
      </c>
      <c r="G58" s="85">
        <v>0</v>
      </c>
      <c r="H58" s="16">
        <v>0</v>
      </c>
      <c r="I58" s="17">
        <v>0</v>
      </c>
      <c r="J58" s="74">
        <f t="shared" si="1"/>
        <v>0</v>
      </c>
      <c r="K58" s="62">
        <v>0</v>
      </c>
      <c r="L58" s="74">
        <f t="shared" si="2"/>
        <v>0</v>
      </c>
      <c r="M58" s="74">
        <f t="shared" si="4"/>
        <v>32000</v>
      </c>
      <c r="O58"/>
    </row>
    <row r="59" spans="1:15" ht="19.5" thickBot="1">
      <c r="A59" s="1" t="s">
        <v>2</v>
      </c>
      <c r="B59" s="39" t="s">
        <v>69</v>
      </c>
      <c r="C59" s="40">
        <v>446735</v>
      </c>
      <c r="D59" s="41">
        <v>36400</v>
      </c>
      <c r="E59" s="53">
        <v>2420</v>
      </c>
      <c r="F59" s="76">
        <f t="shared" si="3"/>
        <v>485555</v>
      </c>
      <c r="G59" s="87">
        <v>104781</v>
      </c>
      <c r="H59" s="41">
        <v>100094</v>
      </c>
      <c r="I59" s="42">
        <v>4643</v>
      </c>
      <c r="J59" s="76">
        <f t="shared" si="1"/>
        <v>209518</v>
      </c>
      <c r="K59" s="64">
        <v>79238</v>
      </c>
      <c r="L59" s="76">
        <f t="shared" si="2"/>
        <v>79238</v>
      </c>
      <c r="M59" s="76">
        <f t="shared" si="4"/>
        <v>774311</v>
      </c>
      <c r="O59"/>
    </row>
    <row r="60" spans="1:15" ht="19.5" thickBot="1">
      <c r="A60" s="1" t="s">
        <v>2</v>
      </c>
      <c r="B60" s="39" t="s">
        <v>70</v>
      </c>
      <c r="C60" s="40">
        <v>1179325</v>
      </c>
      <c r="D60" s="41">
        <v>250000</v>
      </c>
      <c r="E60" s="53">
        <v>100000</v>
      </c>
      <c r="F60" s="76">
        <f t="shared" si="3"/>
        <v>1529325</v>
      </c>
      <c r="G60" s="87">
        <v>357059</v>
      </c>
      <c r="H60" s="41">
        <v>351606</v>
      </c>
      <c r="I60" s="42">
        <v>120662</v>
      </c>
      <c r="J60" s="76">
        <f t="shared" si="1"/>
        <v>829327</v>
      </c>
      <c r="K60" s="64">
        <v>307558</v>
      </c>
      <c r="L60" s="76">
        <f t="shared" si="2"/>
        <v>307558</v>
      </c>
      <c r="M60" s="76">
        <f t="shared" si="4"/>
        <v>2666210</v>
      </c>
      <c r="O60"/>
    </row>
    <row r="61" spans="1:15" ht="19.5" thickBot="1">
      <c r="A61" s="1" t="s">
        <v>2</v>
      </c>
      <c r="B61" s="39" t="s">
        <v>71</v>
      </c>
      <c r="C61" s="40">
        <v>868265</v>
      </c>
      <c r="D61" s="41">
        <v>213600</v>
      </c>
      <c r="E61" s="53">
        <v>97580</v>
      </c>
      <c r="F61" s="76">
        <f t="shared" si="3"/>
        <v>1179445</v>
      </c>
      <c r="G61" s="87">
        <v>322153</v>
      </c>
      <c r="H61" s="41">
        <v>326346</v>
      </c>
      <c r="I61" s="42">
        <v>116382</v>
      </c>
      <c r="J61" s="76">
        <f t="shared" si="1"/>
        <v>764881</v>
      </c>
      <c r="K61" s="64">
        <v>286885</v>
      </c>
      <c r="L61" s="76">
        <f t="shared" si="2"/>
        <v>286885</v>
      </c>
      <c r="M61" s="76">
        <f t="shared" si="4"/>
        <v>2231211</v>
      </c>
      <c r="O61"/>
    </row>
    <row r="62" spans="1:15">
      <c r="A62" s="1" t="s">
        <v>2</v>
      </c>
      <c r="B62" s="21" t="s">
        <v>72</v>
      </c>
      <c r="C62" s="29">
        <v>0</v>
      </c>
      <c r="D62" s="30">
        <v>0</v>
      </c>
      <c r="E62" s="50">
        <v>0</v>
      </c>
      <c r="F62" s="73">
        <f t="shared" si="3"/>
        <v>0</v>
      </c>
      <c r="G62" s="84">
        <v>0</v>
      </c>
      <c r="H62" s="30">
        <v>0</v>
      </c>
      <c r="I62" s="31">
        <v>0</v>
      </c>
      <c r="J62" s="73">
        <f t="shared" si="1"/>
        <v>0</v>
      </c>
      <c r="K62" s="61">
        <v>0</v>
      </c>
      <c r="L62" s="73">
        <f t="shared" si="2"/>
        <v>0</v>
      </c>
      <c r="M62" s="73">
        <f t="shared" si="4"/>
        <v>0</v>
      </c>
      <c r="O62"/>
    </row>
    <row r="63" spans="1:15">
      <c r="A63" s="1" t="s">
        <v>2</v>
      </c>
      <c r="B63" s="4" t="s">
        <v>73</v>
      </c>
      <c r="C63" s="15">
        <v>868265</v>
      </c>
      <c r="D63" s="16">
        <v>213600</v>
      </c>
      <c r="E63" s="51">
        <v>97580</v>
      </c>
      <c r="F63" s="74">
        <f t="shared" si="3"/>
        <v>1179445</v>
      </c>
      <c r="G63" s="85">
        <v>322153</v>
      </c>
      <c r="H63" s="16">
        <v>326346</v>
      </c>
      <c r="I63" s="17">
        <v>116382</v>
      </c>
      <c r="J63" s="74">
        <f t="shared" si="1"/>
        <v>764881</v>
      </c>
      <c r="K63" s="62">
        <v>286885</v>
      </c>
      <c r="L63" s="74">
        <f t="shared" si="2"/>
        <v>286885</v>
      </c>
      <c r="M63" s="74">
        <f t="shared" si="4"/>
        <v>2231211</v>
      </c>
      <c r="O63"/>
    </row>
    <row r="64" spans="1:15">
      <c r="A64" s="1" t="s">
        <v>2</v>
      </c>
      <c r="B64" s="4" t="s">
        <v>74</v>
      </c>
      <c r="C64" s="15">
        <v>1</v>
      </c>
      <c r="D64" s="16">
        <v>0</v>
      </c>
      <c r="E64" s="51">
        <v>0</v>
      </c>
      <c r="F64" s="74"/>
      <c r="G64" s="85">
        <v>0</v>
      </c>
      <c r="H64" s="16">
        <v>0</v>
      </c>
      <c r="I64" s="17">
        <v>0</v>
      </c>
      <c r="J64" s="74"/>
      <c r="K64" s="62">
        <v>1</v>
      </c>
      <c r="L64" s="74"/>
      <c r="M64" s="74">
        <f t="shared" si="4"/>
        <v>0</v>
      </c>
      <c r="O64"/>
    </row>
    <row r="65" spans="1:15" ht="19.5" thickBot="1">
      <c r="A65" s="1" t="s">
        <v>2</v>
      </c>
      <c r="B65" s="5" t="s">
        <v>75</v>
      </c>
      <c r="C65" s="18" t="s">
        <v>76</v>
      </c>
      <c r="D65" s="19" t="s">
        <v>77</v>
      </c>
      <c r="E65" s="54" t="s">
        <v>76</v>
      </c>
      <c r="F65" s="77"/>
      <c r="G65" s="88" t="s">
        <v>76</v>
      </c>
      <c r="H65" s="19" t="s">
        <v>76</v>
      </c>
      <c r="I65" s="20" t="s">
        <v>76</v>
      </c>
      <c r="J65" s="77"/>
      <c r="K65" s="65" t="s">
        <v>76</v>
      </c>
      <c r="L65" s="77"/>
      <c r="M65" s="77"/>
      <c r="O65"/>
    </row>
  </sheetData>
  <phoneticPr fontId="4"/>
  <pageMargins left="0.11811023622047245" right="0.11811023622047245" top="0.15748031496062992" bottom="0.15748031496062992" header="0.31496062992125984" footer="0.31496062992125984"/>
  <pageSetup paperSize="9" scale="4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6月度給与 (2)</vt:lpstr>
      <vt:lpstr>'2022年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2022-07-12T07:09:06Z</cp:lastPrinted>
  <dcterms:created xsi:type="dcterms:W3CDTF">2022-07-06T06:15:37Z</dcterms:created>
  <dcterms:modified xsi:type="dcterms:W3CDTF">2022-07-12T09:23:49Z</dcterms:modified>
</cp:coreProperties>
</file>