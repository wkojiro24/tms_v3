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6\"/>
    </mc:Choice>
  </mc:AlternateContent>
  <xr:revisionPtr revIDLastSave="0" documentId="13_ncr:1_{BCB34BD7-7398-4FE9-B44F-EB926EFFDF28}" xr6:coauthVersionLast="47" xr6:coauthVersionMax="47" xr10:uidLastSave="{00000000-0000-0000-0000-000000000000}"/>
  <bookViews>
    <workbookView xWindow="-120" yWindow="-120" windowWidth="20730" windowHeight="11160" xr2:uid="{395FAE5C-83BC-4326-A4B0-01591F8E868A}"/>
  </bookViews>
  <sheets>
    <sheet name="2022年 6月度給与 (2)" sheetId="3" r:id="rId1"/>
    <sheet name="2022年 6月度給与 (3)" sheetId="6" r:id="rId2"/>
    <sheet name="2022年 6月度給与 (4)" sheetId="7" r:id="rId3"/>
  </sheets>
  <definedNames>
    <definedName name="_xlnm.Print_Area" localSheetId="1">'2022年 6月度給与 (3)'!$A$1:$O$66</definedName>
    <definedName name="_xlnm.Print_Area" localSheetId="2">'2022年 6月度給与 (4)'!$A$1:$T$66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64" i="7" l="1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18" i="7"/>
  <c r="T17" i="7"/>
  <c r="T16" i="7"/>
  <c r="T15" i="7"/>
  <c r="T13" i="7"/>
  <c r="T12" i="7"/>
  <c r="T11" i="7"/>
  <c r="T10" i="7"/>
  <c r="T9" i="7"/>
  <c r="T8" i="7"/>
  <c r="T7" i="7"/>
  <c r="T6" i="7"/>
  <c r="N65" i="6"/>
  <c r="N64" i="6"/>
  <c r="L64" i="6"/>
  <c r="N63" i="6"/>
  <c r="L63" i="6"/>
  <c r="N62" i="6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L23" i="6"/>
  <c r="L21" i="6"/>
  <c r="L16" i="6"/>
  <c r="L15" i="6"/>
  <c r="L14" i="6"/>
  <c r="L10" i="6"/>
  <c r="L7" i="6"/>
  <c r="N6" i="6"/>
  <c r="L6" i="6"/>
  <c r="AG19" i="3"/>
  <c r="AG20" i="3"/>
  <c r="AG22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25" i="3"/>
  <c r="AF24" i="3"/>
  <c r="AF6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25" i="3"/>
  <c r="AD24" i="3"/>
  <c r="AD23" i="3"/>
  <c r="AD21" i="3"/>
  <c r="AG21" i="3" s="1"/>
  <c r="AD16" i="3"/>
  <c r="AD15" i="3"/>
  <c r="AD14" i="3"/>
  <c r="AG14" i="3" s="1"/>
  <c r="AD10" i="3"/>
  <c r="AD7" i="3"/>
  <c r="AD6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25" i="3"/>
  <c r="T24" i="3"/>
  <c r="T23" i="3"/>
  <c r="T16" i="3"/>
  <c r="T17" i="3"/>
  <c r="AG17" i="3" s="1"/>
  <c r="T18" i="3"/>
  <c r="AG18" i="3" s="1"/>
  <c r="T15" i="3"/>
  <c r="T11" i="3"/>
  <c r="AG11" i="3" s="1"/>
  <c r="T12" i="3"/>
  <c r="AG12" i="3" s="1"/>
  <c r="T13" i="3"/>
  <c r="AG13" i="3" s="1"/>
  <c r="T8" i="3"/>
  <c r="AG8" i="3" s="1"/>
  <c r="T9" i="3"/>
  <c r="AG9" i="3" s="1"/>
  <c r="T10" i="3"/>
  <c r="T7" i="3"/>
  <c r="T6" i="3"/>
  <c r="AG10" i="3" l="1"/>
  <c r="AG15" i="3"/>
  <c r="AG7" i="3"/>
  <c r="AG6" i="3"/>
  <c r="AG23" i="3"/>
  <c r="AG63" i="3"/>
  <c r="AG58" i="3"/>
  <c r="AG51" i="3"/>
  <c r="AG48" i="3"/>
  <c r="AG44" i="3"/>
  <c r="AG40" i="3"/>
  <c r="AG37" i="3"/>
  <c r="AG33" i="3"/>
  <c r="AG30" i="3"/>
  <c r="AG62" i="3"/>
  <c r="AG57" i="3"/>
  <c r="AG54" i="3"/>
  <c r="AG50" i="3"/>
  <c r="AG47" i="3"/>
  <c r="AG43" i="3"/>
  <c r="AG39" i="3"/>
  <c r="AG35" i="3"/>
  <c r="AG32" i="3"/>
  <c r="AG28" i="3"/>
  <c r="AG24" i="3"/>
  <c r="AG53" i="3"/>
  <c r="AG46" i="3"/>
  <c r="AG36" i="3"/>
  <c r="AG29" i="3"/>
  <c r="AG64" i="3"/>
  <c r="AG60" i="3"/>
  <c r="AG59" i="3"/>
  <c r="AG55" i="3"/>
  <c r="AG52" i="3"/>
  <c r="AG45" i="3"/>
  <c r="AG41" i="3"/>
  <c r="AG38" i="3"/>
  <c r="AG34" i="3"/>
  <c r="AG26" i="3"/>
  <c r="AG16" i="3"/>
  <c r="AG61" i="3"/>
  <c r="AG56" i="3"/>
  <c r="AG49" i="3"/>
  <c r="AG42" i="3"/>
  <c r="AG31" i="3"/>
  <c r="AG27" i="3"/>
  <c r="AG25" i="3"/>
</calcChain>
</file>

<file path=xl/sharedStrings.xml><?xml version="1.0" encoding="utf-8"?>
<sst xmlns="http://schemas.openxmlformats.org/spreadsheetml/2006/main" count="556" uniqueCount="126">
  <si>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</si>
  <si>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</si>
  <si>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</si>
  <si>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</si>
  <si>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</si>
  <si>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</si>
  <si>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</si>
  <si>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</si>
  <si>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</si>
  <si>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</si>
  <si>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</si>
  <si>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</si>
  <si>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</si>
  <si>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</si>
  <si>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</si>
  <si>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</si>
  <si>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</si>
  <si>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</si>
  <si>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</si>
  <si>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</si>
  <si>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</si>
  <si>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</si>
  <si>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1104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</si>
  <si>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</si>
  <si>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</si>
  <si>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</si>
  <si>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</si>
  <si>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</si>
  <si>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</si>
  <si>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</si>
  <si>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</si>
  <si>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</si>
  <si>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</si>
  <si>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</si>
  <si>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</si>
  <si>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</si>
  <si>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</si>
  <si>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</si>
  <si>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</si>
  <si>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</si>
  <si>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</si>
  <si>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</si>
  <si>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</si>
  <si>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</si>
  <si>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</si>
  <si>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</si>
  <si>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</si>
  <si>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</si>
  <si>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</si>
  <si>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</si>
  <si>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横山　達哉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</si>
  <si>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</si>
  <si>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</si>
  <si>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</si>
  <si>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</si>
  <si>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</si>
  <si>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</si>
  <si>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</si>
  <si>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</si>
  <si>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</si>
  <si>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</si>
  <si>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</si>
  <si>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</si>
  <si>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</si>
  <si>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</si>
  <si>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</si>
  <si>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</si>
  <si>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</si>
  <si>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</si>
  <si>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</si>
  <si>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</si>
  <si>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</si>
  <si>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</si>
  <si>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</si>
  <si>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</si>
  <si>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</si>
  <si>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</si>
  <si>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</si>
  <si>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</si>
  <si>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</si>
  <si>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</si>
  <si>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</si>
  <si>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</si>
  <si>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</si>
  <si>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</si>
  <si>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</si>
  <si>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</si>
  <si>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</si>
  <si>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</si>
  <si>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</si>
  <si>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</si>
  <si>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</si>
  <si>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</si>
  <si>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</si>
  <si>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</si>
  <si>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</si>
  <si>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</si>
  <si>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</si>
  <si>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</si>
  <si>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</si>
  <si>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</si>
  <si>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</si>
  <si>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</si>
  <si>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</si>
  <si>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</si>
  <si>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</si>
  <si>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</si>
  <si>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</si>
  <si>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</si>
  <si>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</si>
  <si>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</si>
  <si>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</si>
  <si>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</si>
  <si>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</si>
  <si>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</si>
  <si>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</si>
  <si>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</si>
  <si>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</si>
  <si>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6月度給与</t>
    <phoneticPr fontId="4"/>
  </si>
  <si>
    <t>小計</t>
    <rPh sb="0" eb="2">
      <t>ショウケイ</t>
    </rPh>
    <phoneticPr fontId="3"/>
  </si>
  <si>
    <t>小計</t>
    <rPh sb="0" eb="2">
      <t>ショウケイ</t>
    </rPh>
    <phoneticPr fontId="4"/>
  </si>
  <si>
    <t>1名</t>
    <rPh sb="1" eb="2">
      <t>メイ</t>
    </rPh>
    <phoneticPr fontId="4"/>
  </si>
  <si>
    <t>27名</t>
    <rPh sb="2" eb="3">
      <t>メイ</t>
    </rPh>
    <phoneticPr fontId="4"/>
  </si>
  <si>
    <t>17名</t>
    <rPh sb="2" eb="3">
      <t>メイ</t>
    </rPh>
    <phoneticPr fontId="3"/>
  </si>
  <si>
    <t>9名</t>
    <rPh sb="1" eb="2">
      <t>メイ</t>
    </rPh>
    <phoneticPr fontId="4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</si>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</sst>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2" fontId="2" fillId="0" borderId="9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177" fontId="2" fillId="0" borderId="10" xfId="1" applyNumberFormat="1" applyFont="1" applyBorder="1"/>
    <xf numFmtId="177" fontId="2" fillId="0" borderId="25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177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177" fontId="2" fillId="0" borderId="39" xfId="1" applyNumberFormat="1" applyFont="1" applyBorder="1"/>
    <xf numFmtId="49" fontId="2" fillId="0" borderId="35" xfId="1" applyNumberFormat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49" fontId="2" fillId="0" borderId="41" xfId="1" applyNumberFormat="1" applyFont="1" applyBorder="1"/>
    <xf numFmtId="49" fontId="2" fillId="0" borderId="46" xfId="1" applyNumberFormat="1" applyFont="1" applyBorder="1" applyAlignment="1">
      <alignment horizontal="left"/>
    </xf>
    <xf numFmtId="49" fontId="2" fillId="0" borderId="47" xfId="1" applyNumberFormat="1" applyFont="1" applyBorder="1" applyAlignment="1">
      <alignment horizontal="right"/>
    </xf>
    <xf numFmtId="2" fontId="2" fillId="0" borderId="48" xfId="1" applyNumberFormat="1" applyFont="1" applyBorder="1"/>
    <xf numFmtId="2" fontId="2" fillId="0" borderId="49" xfId="1" applyNumberFormat="1" applyFont="1" applyBorder="1"/>
    <xf numFmtId="176" fontId="2" fillId="0" borderId="49" xfId="1" applyNumberFormat="1" applyFont="1" applyBorder="1"/>
    <xf numFmtId="2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177" fontId="2" fillId="0" borderId="49" xfId="1" applyNumberFormat="1" applyFont="1" applyBorder="1"/>
    <xf numFmtId="3" fontId="2" fillId="0" borderId="50" xfId="1" applyNumberFormat="1" applyFont="1" applyBorder="1"/>
    <xf numFmtId="3" fontId="2" fillId="0" borderId="33" xfId="1" applyNumberFormat="1" applyFont="1" applyBorder="1"/>
    <xf numFmtId="177" fontId="2" fillId="0" borderId="33" xfId="1" applyNumberFormat="1" applyFont="1" applyBorder="1"/>
    <xf numFmtId="49" fontId="2" fillId="0" borderId="47" xfId="1" applyNumberFormat="1" applyFont="1" applyBorder="1"/>
    <xf numFmtId="0" fontId="2" fillId="0" borderId="5" xfId="1" applyFont="1" applyBorder="1" applyAlignment="1">
      <alignment horizontal="right"/>
    </xf>
    <xf numFmtId="0" fontId="2" fillId="0" borderId="51" xfId="1" applyFont="1" applyBorder="1"/>
  </cellXfs>
  <cellStyles count="2">
    <cellStyle name="標準" xfId="0" builtinId="0"/>
    <cellStyle name="標準 2" xfId="1" xr:uid="{0D8CCC07-E963-4EB1-BE70-E8F3C379BC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FF07-98D1-4829-BEE0-B1B232FD2F6D}">
  <dimension ref="A1:AG66"/>
  <sheetViews>
    <sheetView showZeros="0" tabSelected="1" workbookViewId="0">
      <selection activeCell="T6" sqref="T6"/>
    </sheetView>
  </sheetViews>
  <sheetFormatPr defaultRowHeight="18.75"/>
  <cols>
    <col min="1" max="1" width="2.375" style="2" customWidth="1"/>
    <col min="2" max="2" width="13.25" style="2" bestFit="1" customWidth="1"/>
    <col min="3" max="33" width="12" style="2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8" width="11.125" style="2" bestFit="1" customWidth="1"/>
    <col min="279" max="279" width="9" style="2"/>
    <col min="280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4" width="11.125" style="2" bestFit="1" customWidth="1"/>
    <col min="535" max="535" width="9" style="2"/>
    <col min="536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0" width="11.125" style="2" bestFit="1" customWidth="1"/>
    <col min="791" max="791" width="9" style="2"/>
    <col min="792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6" width="11.125" style="2" bestFit="1" customWidth="1"/>
    <col min="1047" max="1047" width="9" style="2"/>
    <col min="1048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2" width="11.125" style="2" bestFit="1" customWidth="1"/>
    <col min="1303" max="1303" width="9" style="2"/>
    <col min="1304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8" width="11.125" style="2" bestFit="1" customWidth="1"/>
    <col min="1559" max="1559" width="9" style="2"/>
    <col min="1560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4" width="11.125" style="2" bestFit="1" customWidth="1"/>
    <col min="1815" max="1815" width="9" style="2"/>
    <col min="1816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0" width="11.125" style="2" bestFit="1" customWidth="1"/>
    <col min="2071" max="2071" width="9" style="2"/>
    <col min="2072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6" width="11.125" style="2" bestFit="1" customWidth="1"/>
    <col min="2327" max="2327" width="9" style="2"/>
    <col min="2328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2" width="11.125" style="2" bestFit="1" customWidth="1"/>
    <col min="2583" max="2583" width="9" style="2"/>
    <col min="2584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8" width="11.125" style="2" bestFit="1" customWidth="1"/>
    <col min="2839" max="2839" width="9" style="2"/>
    <col min="2840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4" width="11.125" style="2" bestFit="1" customWidth="1"/>
    <col min="3095" max="3095" width="9" style="2"/>
    <col min="3096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0" width="11.125" style="2" bestFit="1" customWidth="1"/>
    <col min="3351" max="3351" width="9" style="2"/>
    <col min="3352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6" width="11.125" style="2" bestFit="1" customWidth="1"/>
    <col min="3607" max="3607" width="9" style="2"/>
    <col min="3608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2" width="11.125" style="2" bestFit="1" customWidth="1"/>
    <col min="3863" max="3863" width="9" style="2"/>
    <col min="3864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8" width="11.125" style="2" bestFit="1" customWidth="1"/>
    <col min="4119" max="4119" width="9" style="2"/>
    <col min="4120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4" width="11.125" style="2" bestFit="1" customWidth="1"/>
    <col min="4375" max="4375" width="9" style="2"/>
    <col min="4376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0" width="11.125" style="2" bestFit="1" customWidth="1"/>
    <col min="4631" max="4631" width="9" style="2"/>
    <col min="4632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6" width="11.125" style="2" bestFit="1" customWidth="1"/>
    <col min="4887" max="4887" width="9" style="2"/>
    <col min="4888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2" width="11.125" style="2" bestFit="1" customWidth="1"/>
    <col min="5143" max="5143" width="9" style="2"/>
    <col min="5144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8" width="11.125" style="2" bestFit="1" customWidth="1"/>
    <col min="5399" max="5399" width="9" style="2"/>
    <col min="5400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4" width="11.125" style="2" bestFit="1" customWidth="1"/>
    <col min="5655" max="5655" width="9" style="2"/>
    <col min="5656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0" width="11.125" style="2" bestFit="1" customWidth="1"/>
    <col min="5911" max="5911" width="9" style="2"/>
    <col min="5912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6" width="11.125" style="2" bestFit="1" customWidth="1"/>
    <col min="6167" max="6167" width="9" style="2"/>
    <col min="6168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2" width="11.125" style="2" bestFit="1" customWidth="1"/>
    <col min="6423" max="6423" width="9" style="2"/>
    <col min="6424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8" width="11.125" style="2" bestFit="1" customWidth="1"/>
    <col min="6679" max="6679" width="9" style="2"/>
    <col min="6680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4" width="11.125" style="2" bestFit="1" customWidth="1"/>
    <col min="6935" max="6935" width="9" style="2"/>
    <col min="6936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0" width="11.125" style="2" bestFit="1" customWidth="1"/>
    <col min="7191" max="7191" width="9" style="2"/>
    <col min="7192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6" width="11.125" style="2" bestFit="1" customWidth="1"/>
    <col min="7447" max="7447" width="9" style="2"/>
    <col min="7448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2" width="11.125" style="2" bestFit="1" customWidth="1"/>
    <col min="7703" max="7703" width="9" style="2"/>
    <col min="7704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8" width="11.125" style="2" bestFit="1" customWidth="1"/>
    <col min="7959" max="7959" width="9" style="2"/>
    <col min="7960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4" width="11.125" style="2" bestFit="1" customWidth="1"/>
    <col min="8215" max="8215" width="9" style="2"/>
    <col min="8216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0" width="11.125" style="2" bestFit="1" customWidth="1"/>
    <col min="8471" max="8471" width="9" style="2"/>
    <col min="8472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6" width="11.125" style="2" bestFit="1" customWidth="1"/>
    <col min="8727" max="8727" width="9" style="2"/>
    <col min="8728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2" width="11.125" style="2" bestFit="1" customWidth="1"/>
    <col min="8983" max="8983" width="9" style="2"/>
    <col min="8984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8" width="11.125" style="2" bestFit="1" customWidth="1"/>
    <col min="9239" max="9239" width="9" style="2"/>
    <col min="9240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4" width="11.125" style="2" bestFit="1" customWidth="1"/>
    <col min="9495" max="9495" width="9" style="2"/>
    <col min="9496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0" width="11.125" style="2" bestFit="1" customWidth="1"/>
    <col min="9751" max="9751" width="9" style="2"/>
    <col min="9752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6" width="11.125" style="2" bestFit="1" customWidth="1"/>
    <col min="10007" max="10007" width="9" style="2"/>
    <col min="10008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2" width="11.125" style="2" bestFit="1" customWidth="1"/>
    <col min="10263" max="10263" width="9" style="2"/>
    <col min="10264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8" width="11.125" style="2" bestFit="1" customWidth="1"/>
    <col min="10519" max="10519" width="9" style="2"/>
    <col min="10520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4" width="11.125" style="2" bestFit="1" customWidth="1"/>
    <col min="10775" max="10775" width="9" style="2"/>
    <col min="10776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0" width="11.125" style="2" bestFit="1" customWidth="1"/>
    <col min="11031" max="11031" width="9" style="2"/>
    <col min="11032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6" width="11.125" style="2" bestFit="1" customWidth="1"/>
    <col min="11287" max="11287" width="9" style="2"/>
    <col min="11288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2" width="11.125" style="2" bestFit="1" customWidth="1"/>
    <col min="11543" max="11543" width="9" style="2"/>
    <col min="11544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8" width="11.125" style="2" bestFit="1" customWidth="1"/>
    <col min="11799" max="11799" width="9" style="2"/>
    <col min="11800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4" width="11.125" style="2" bestFit="1" customWidth="1"/>
    <col min="12055" max="12055" width="9" style="2"/>
    <col min="12056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0" width="11.125" style="2" bestFit="1" customWidth="1"/>
    <col min="12311" max="12311" width="9" style="2"/>
    <col min="12312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6" width="11.125" style="2" bestFit="1" customWidth="1"/>
    <col min="12567" max="12567" width="9" style="2"/>
    <col min="12568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2" width="11.125" style="2" bestFit="1" customWidth="1"/>
    <col min="12823" max="12823" width="9" style="2"/>
    <col min="12824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8" width="11.125" style="2" bestFit="1" customWidth="1"/>
    <col min="13079" max="13079" width="9" style="2"/>
    <col min="13080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4" width="11.125" style="2" bestFit="1" customWidth="1"/>
    <col min="13335" max="13335" width="9" style="2"/>
    <col min="13336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0" width="11.125" style="2" bestFit="1" customWidth="1"/>
    <col min="13591" max="13591" width="9" style="2"/>
    <col min="13592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6" width="11.125" style="2" bestFit="1" customWidth="1"/>
    <col min="13847" max="13847" width="9" style="2"/>
    <col min="13848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2" width="11.125" style="2" bestFit="1" customWidth="1"/>
    <col min="14103" max="14103" width="9" style="2"/>
    <col min="14104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8" width="11.125" style="2" bestFit="1" customWidth="1"/>
    <col min="14359" max="14359" width="9" style="2"/>
    <col min="14360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4" width="11.125" style="2" bestFit="1" customWidth="1"/>
    <col min="14615" max="14615" width="9" style="2"/>
    <col min="14616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0" width="11.125" style="2" bestFit="1" customWidth="1"/>
    <col min="14871" max="14871" width="9" style="2"/>
    <col min="14872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6" width="11.125" style="2" bestFit="1" customWidth="1"/>
    <col min="15127" max="15127" width="9" style="2"/>
    <col min="15128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2" width="11.125" style="2" bestFit="1" customWidth="1"/>
    <col min="15383" max="15383" width="9" style="2"/>
    <col min="15384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8" width="11.125" style="2" bestFit="1" customWidth="1"/>
    <col min="15639" max="15639" width="9" style="2"/>
    <col min="15640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4" width="11.125" style="2" bestFit="1" customWidth="1"/>
    <col min="15895" max="15895" width="9" style="2"/>
    <col min="15896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0" width="11.125" style="2" bestFit="1" customWidth="1"/>
    <col min="16151" max="16151" width="9" style="2"/>
    <col min="16152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>
      <c r="A2" s="1" t="s">
        <v>1</v>
      </c>
    </row>
    <row r="3" spans="1:33" ht="19.5" thickBot="1">
      <c r="A3" s="1" t="s">
        <v>118</v>
      </c>
    </row>
    <row r="4" spans="1:33">
      <c r="B4" s="3"/>
      <c r="C4" s="7" t="s">
        <v>3</v>
      </c>
      <c r="D4" s="8" t="s">
        <v>4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19</v>
      </c>
      <c r="Q4" s="8" t="s">
        <v>20</v>
      </c>
      <c r="R4" s="8" t="s">
        <v>21</v>
      </c>
      <c r="S4" s="57" t="s">
        <v>22</v>
      </c>
      <c r="T4" s="81" t="s">
        <v>119</v>
      </c>
      <c r="U4" s="8" t="s">
        <v>18</v>
      </c>
      <c r="V4" s="70" t="s">
        <v>5</v>
      </c>
      <c r="W4" s="8" t="s">
        <v>26</v>
      </c>
      <c r="X4" s="8" t="s">
        <v>27</v>
      </c>
      <c r="Y4" s="8" t="s">
        <v>23</v>
      </c>
      <c r="Z4" s="8" t="s">
        <v>24</v>
      </c>
      <c r="AA4" s="8" t="s">
        <v>25</v>
      </c>
      <c r="AB4" s="8" t="s">
        <v>28</v>
      </c>
      <c r="AC4" s="9" t="s">
        <v>29</v>
      </c>
      <c r="AD4" s="81" t="s">
        <v>120</v>
      </c>
      <c r="AE4" s="44" t="s">
        <v>6</v>
      </c>
      <c r="AF4" s="81" t="s">
        <v>120</v>
      </c>
      <c r="AG4" s="4" t="s">
        <v>58</v>
      </c>
    </row>
    <row r="5" spans="1:33" ht="19.5" thickBot="1">
      <c r="A5" s="95"/>
      <c r="B5" s="26" t="s">
        <v>30</v>
      </c>
      <c r="C5" s="27" t="s">
        <v>31</v>
      </c>
      <c r="D5" s="28" t="s">
        <v>32</v>
      </c>
      <c r="E5" s="28" t="s">
        <v>35</v>
      </c>
      <c r="F5" s="28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 t="s">
        <v>41</v>
      </c>
      <c r="L5" s="28" t="s">
        <v>42</v>
      </c>
      <c r="M5" s="28" t="s">
        <v>43</v>
      </c>
      <c r="N5" s="28" t="s">
        <v>44</v>
      </c>
      <c r="O5" s="28" t="s">
        <v>45</v>
      </c>
      <c r="P5" s="28" t="s">
        <v>47</v>
      </c>
      <c r="Q5" s="28" t="s">
        <v>48</v>
      </c>
      <c r="R5" s="28" t="s">
        <v>49</v>
      </c>
      <c r="S5" s="58" t="s">
        <v>50</v>
      </c>
      <c r="T5" s="82" t="s">
        <v>123</v>
      </c>
      <c r="U5" s="28" t="s">
        <v>46</v>
      </c>
      <c r="V5" s="71" t="s">
        <v>33</v>
      </c>
      <c r="W5" s="28" t="s">
        <v>54</v>
      </c>
      <c r="X5" s="28" t="s">
        <v>55</v>
      </c>
      <c r="Y5" s="28" t="s">
        <v>51</v>
      </c>
      <c r="Z5" s="28" t="s">
        <v>52</v>
      </c>
      <c r="AA5" s="28" t="s">
        <v>53</v>
      </c>
      <c r="AB5" s="28" t="s">
        <v>56</v>
      </c>
      <c r="AC5" s="29" t="s">
        <v>57</v>
      </c>
      <c r="AD5" s="82" t="s">
        <v>125</v>
      </c>
      <c r="AE5" s="45" t="s">
        <v>34</v>
      </c>
      <c r="AF5" s="82" t="s">
        <v>121</v>
      </c>
      <c r="AG5" s="94" t="s">
        <v>122</v>
      </c>
    </row>
    <row r="6" spans="1:33">
      <c r="A6" s="1" t="s">
        <v>2</v>
      </c>
      <c r="B6" s="22" t="s">
        <v>59</v>
      </c>
      <c r="C6" s="23">
        <v>20</v>
      </c>
      <c r="D6" s="24">
        <v>0</v>
      </c>
      <c r="E6" s="24">
        <v>22</v>
      </c>
      <c r="F6" s="24">
        <v>17</v>
      </c>
      <c r="G6" s="24">
        <v>22</v>
      </c>
      <c r="H6" s="24">
        <v>19</v>
      </c>
      <c r="I6" s="24">
        <v>22</v>
      </c>
      <c r="J6" s="24">
        <v>19</v>
      </c>
      <c r="K6" s="24">
        <v>20</v>
      </c>
      <c r="L6" s="24">
        <v>22</v>
      </c>
      <c r="M6" s="24">
        <v>19</v>
      </c>
      <c r="N6" s="24">
        <v>21</v>
      </c>
      <c r="O6" s="24">
        <v>21</v>
      </c>
      <c r="P6" s="24">
        <v>19</v>
      </c>
      <c r="Q6" s="24">
        <v>20</v>
      </c>
      <c r="R6" s="24">
        <v>20</v>
      </c>
      <c r="S6" s="59">
        <v>1</v>
      </c>
      <c r="T6" s="83">
        <f t="shared" ref="T6:T13" si="0">SUM(C6:S6)</f>
        <v>304</v>
      </c>
      <c r="U6" s="24">
        <v>20</v>
      </c>
      <c r="V6" s="72">
        <v>22</v>
      </c>
      <c r="W6" s="24">
        <v>14</v>
      </c>
      <c r="X6" s="24">
        <v>15</v>
      </c>
      <c r="Y6" s="24">
        <v>10</v>
      </c>
      <c r="Z6" s="24">
        <v>10</v>
      </c>
      <c r="AA6" s="24">
        <v>10</v>
      </c>
      <c r="AB6" s="24">
        <v>4</v>
      </c>
      <c r="AC6" s="25">
        <v>19</v>
      </c>
      <c r="AD6" s="83">
        <f>SUM(U6:AC6)</f>
        <v>124</v>
      </c>
      <c r="AE6" s="46">
        <v>22</v>
      </c>
      <c r="AF6" s="83">
        <f>SUM(AE6)</f>
        <v>22</v>
      </c>
      <c r="AG6" s="83">
        <f t="shared" ref="AG6:AG37" si="1">T6+AD6+AF6</f>
        <v>450</v>
      </c>
    </row>
    <row r="7" spans="1:33">
      <c r="A7" s="1" t="s">
        <v>2</v>
      </c>
      <c r="B7" s="5" t="s">
        <v>60</v>
      </c>
      <c r="C7" s="10">
        <v>3</v>
      </c>
      <c r="D7" s="11">
        <v>0</v>
      </c>
      <c r="E7" s="11">
        <v>2</v>
      </c>
      <c r="F7" s="11">
        <v>1</v>
      </c>
      <c r="G7" s="11">
        <v>3</v>
      </c>
      <c r="H7" s="11">
        <v>3</v>
      </c>
      <c r="I7" s="11">
        <v>3</v>
      </c>
      <c r="J7" s="11">
        <v>1</v>
      </c>
      <c r="K7" s="11">
        <v>3</v>
      </c>
      <c r="L7" s="11">
        <v>3</v>
      </c>
      <c r="M7" s="11">
        <v>4</v>
      </c>
      <c r="N7" s="11">
        <v>3</v>
      </c>
      <c r="O7" s="11">
        <v>2</v>
      </c>
      <c r="P7" s="11">
        <v>4</v>
      </c>
      <c r="Q7" s="11">
        <v>0</v>
      </c>
      <c r="R7" s="11">
        <v>2</v>
      </c>
      <c r="S7" s="60">
        <v>0</v>
      </c>
      <c r="T7" s="84">
        <f t="shared" si="0"/>
        <v>37</v>
      </c>
      <c r="U7" s="11">
        <v>0</v>
      </c>
      <c r="V7" s="73">
        <v>4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2">
        <v>0</v>
      </c>
      <c r="AD7" s="84">
        <f>SUM(U7:AC7)</f>
        <v>4</v>
      </c>
      <c r="AE7" s="47">
        <v>0</v>
      </c>
      <c r="AF7" s="84"/>
      <c r="AG7" s="84">
        <f t="shared" si="1"/>
        <v>41</v>
      </c>
    </row>
    <row r="8" spans="1:33">
      <c r="A8" s="1" t="s">
        <v>2</v>
      </c>
      <c r="B8" s="5" t="s">
        <v>61</v>
      </c>
      <c r="C8" s="10">
        <v>2</v>
      </c>
      <c r="D8" s="11">
        <v>0</v>
      </c>
      <c r="E8" s="11">
        <v>1</v>
      </c>
      <c r="F8" s="11">
        <v>3</v>
      </c>
      <c r="G8" s="11">
        <v>0</v>
      </c>
      <c r="H8" s="11">
        <v>1</v>
      </c>
      <c r="I8" s="11">
        <v>1</v>
      </c>
      <c r="J8" s="11">
        <v>0</v>
      </c>
      <c r="K8" s="11">
        <v>3</v>
      </c>
      <c r="L8" s="11">
        <v>1</v>
      </c>
      <c r="M8" s="11">
        <v>2</v>
      </c>
      <c r="N8" s="11">
        <v>1</v>
      </c>
      <c r="O8" s="11">
        <v>1</v>
      </c>
      <c r="P8" s="11">
        <v>1</v>
      </c>
      <c r="Q8" s="11">
        <v>0</v>
      </c>
      <c r="R8" s="11">
        <v>3</v>
      </c>
      <c r="S8" s="60">
        <v>0</v>
      </c>
      <c r="T8" s="84">
        <f t="shared" si="0"/>
        <v>20</v>
      </c>
      <c r="U8" s="11">
        <v>0</v>
      </c>
      <c r="V8" s="73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2">
        <v>0</v>
      </c>
      <c r="AD8" s="84"/>
      <c r="AE8" s="47">
        <v>0</v>
      </c>
      <c r="AF8" s="84"/>
      <c r="AG8" s="84">
        <f t="shared" si="1"/>
        <v>20</v>
      </c>
    </row>
    <row r="9" spans="1:33">
      <c r="A9" s="1" t="s">
        <v>2</v>
      </c>
      <c r="B9" s="5" t="s">
        <v>62</v>
      </c>
      <c r="C9" s="10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0</v>
      </c>
      <c r="Q9" s="11">
        <v>0</v>
      </c>
      <c r="R9" s="11">
        <v>1</v>
      </c>
      <c r="S9" s="60">
        <v>0</v>
      </c>
      <c r="T9" s="84">
        <f t="shared" si="0"/>
        <v>2</v>
      </c>
      <c r="U9" s="11">
        <v>0</v>
      </c>
      <c r="V9" s="73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2">
        <v>0</v>
      </c>
      <c r="AD9" s="84"/>
      <c r="AE9" s="47">
        <v>0</v>
      </c>
      <c r="AF9" s="84"/>
      <c r="AG9" s="84">
        <f t="shared" si="1"/>
        <v>2</v>
      </c>
    </row>
    <row r="10" spans="1:33">
      <c r="A10" s="1" t="s">
        <v>2</v>
      </c>
      <c r="B10" s="5" t="s">
        <v>63</v>
      </c>
      <c r="C10" s="10">
        <v>2</v>
      </c>
      <c r="D10" s="11">
        <v>0</v>
      </c>
      <c r="E10" s="11">
        <v>0</v>
      </c>
      <c r="F10" s="11">
        <v>0</v>
      </c>
      <c r="G10" s="11">
        <v>0</v>
      </c>
      <c r="H10" s="11">
        <v>3</v>
      </c>
      <c r="I10" s="11">
        <v>0</v>
      </c>
      <c r="J10" s="11">
        <v>3</v>
      </c>
      <c r="K10" s="11">
        <v>2</v>
      </c>
      <c r="L10" s="11">
        <v>0</v>
      </c>
      <c r="M10" s="11">
        <v>0</v>
      </c>
      <c r="N10" s="11">
        <v>1</v>
      </c>
      <c r="O10" s="11">
        <v>1</v>
      </c>
      <c r="P10" s="11">
        <v>3</v>
      </c>
      <c r="Q10" s="11">
        <v>2</v>
      </c>
      <c r="R10" s="11">
        <v>1</v>
      </c>
      <c r="S10" s="60">
        <v>0</v>
      </c>
      <c r="T10" s="84">
        <f t="shared" si="0"/>
        <v>18</v>
      </c>
      <c r="U10" s="11">
        <v>2</v>
      </c>
      <c r="V10" s="73">
        <v>0</v>
      </c>
      <c r="W10" s="11">
        <v>0</v>
      </c>
      <c r="X10" s="11">
        <v>0</v>
      </c>
      <c r="Y10" s="11">
        <v>1</v>
      </c>
      <c r="Z10" s="11">
        <v>1</v>
      </c>
      <c r="AA10" s="11">
        <v>1</v>
      </c>
      <c r="AB10" s="11">
        <v>0</v>
      </c>
      <c r="AC10" s="12">
        <v>3</v>
      </c>
      <c r="AD10" s="84">
        <f>SUM(U10:AC10)</f>
        <v>8</v>
      </c>
      <c r="AE10" s="47">
        <v>0</v>
      </c>
      <c r="AF10" s="84"/>
      <c r="AG10" s="84">
        <f t="shared" si="1"/>
        <v>26</v>
      </c>
    </row>
    <row r="11" spans="1:33">
      <c r="A11" s="1" t="s">
        <v>2</v>
      </c>
      <c r="B11" s="5" t="s">
        <v>64</v>
      </c>
      <c r="C11" s="10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2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60">
        <v>0</v>
      </c>
      <c r="T11" s="84">
        <f t="shared" si="0"/>
        <v>2</v>
      </c>
      <c r="U11" s="11">
        <v>0</v>
      </c>
      <c r="V11" s="73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2">
        <v>0</v>
      </c>
      <c r="AD11" s="84"/>
      <c r="AE11" s="47">
        <v>0</v>
      </c>
      <c r="AF11" s="84"/>
      <c r="AG11" s="84">
        <f t="shared" si="1"/>
        <v>2</v>
      </c>
    </row>
    <row r="12" spans="1:33">
      <c r="A12" s="1" t="s">
        <v>2</v>
      </c>
      <c r="B12" s="5" t="s">
        <v>65</v>
      </c>
      <c r="C12" s="10">
        <v>0</v>
      </c>
      <c r="D12" s="11">
        <v>22</v>
      </c>
      <c r="E12" s="11">
        <v>0</v>
      </c>
      <c r="F12" s="11">
        <v>5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60">
        <v>19.899999999999999</v>
      </c>
      <c r="T12" s="84">
        <f t="shared" si="0"/>
        <v>46.9</v>
      </c>
      <c r="U12" s="11">
        <v>0</v>
      </c>
      <c r="V12" s="73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2">
        <v>0</v>
      </c>
      <c r="AD12" s="84"/>
      <c r="AE12" s="47">
        <v>0</v>
      </c>
      <c r="AF12" s="84"/>
      <c r="AG12" s="84">
        <f t="shared" si="1"/>
        <v>46.9</v>
      </c>
    </row>
    <row r="13" spans="1:33">
      <c r="A13" s="1" t="s">
        <v>2</v>
      </c>
      <c r="B13" s="5" t="s">
        <v>66</v>
      </c>
      <c r="C13" s="10">
        <v>0</v>
      </c>
      <c r="D13" s="11">
        <v>0</v>
      </c>
      <c r="E13" s="11">
        <v>0</v>
      </c>
      <c r="F13" s="11">
        <v>5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60">
        <v>1</v>
      </c>
      <c r="T13" s="84">
        <f t="shared" si="0"/>
        <v>6</v>
      </c>
      <c r="U13" s="11">
        <v>0</v>
      </c>
      <c r="V13" s="73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2">
        <v>0</v>
      </c>
      <c r="AD13" s="84"/>
      <c r="AE13" s="47">
        <v>0</v>
      </c>
      <c r="AF13" s="84"/>
      <c r="AG13" s="84">
        <f t="shared" si="1"/>
        <v>6</v>
      </c>
    </row>
    <row r="14" spans="1:33">
      <c r="A14" s="1" t="s">
        <v>2</v>
      </c>
      <c r="B14" s="5" t="s">
        <v>67</v>
      </c>
      <c r="C14" s="13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61">
        <v>0</v>
      </c>
      <c r="T14" s="85"/>
      <c r="U14" s="14">
        <v>0</v>
      </c>
      <c r="V14" s="74">
        <v>0</v>
      </c>
      <c r="W14" s="14">
        <v>3.875</v>
      </c>
      <c r="X14" s="14">
        <v>3.875</v>
      </c>
      <c r="Y14" s="14">
        <v>2.9583333333333335</v>
      </c>
      <c r="Z14" s="14">
        <v>2.9166666666666665</v>
      </c>
      <c r="AA14" s="14">
        <v>2.9166666666666665</v>
      </c>
      <c r="AB14" s="14">
        <v>1.3333333333333333</v>
      </c>
      <c r="AC14" s="15">
        <v>3.4166666666666665</v>
      </c>
      <c r="AD14" s="85">
        <f>SUM(U14:AC14)</f>
        <v>21.291666666666668</v>
      </c>
      <c r="AE14" s="48">
        <v>0</v>
      </c>
      <c r="AF14" s="85"/>
      <c r="AG14" s="85">
        <f t="shared" si="1"/>
        <v>21.291666666666668</v>
      </c>
    </row>
    <row r="15" spans="1:33">
      <c r="A15" s="1" t="s">
        <v>2</v>
      </c>
      <c r="B15" s="5" t="s">
        <v>68</v>
      </c>
      <c r="C15" s="13">
        <v>1.7083333333333335</v>
      </c>
      <c r="D15" s="14">
        <v>0</v>
      </c>
      <c r="E15" s="14">
        <v>0.45833333333333331</v>
      </c>
      <c r="F15" s="14">
        <v>2.7916666666666665</v>
      </c>
      <c r="G15" s="14">
        <v>1.8333333333333335</v>
      </c>
      <c r="H15" s="14">
        <v>3.0416666666666665</v>
      </c>
      <c r="I15" s="14">
        <v>3</v>
      </c>
      <c r="J15" s="14">
        <v>1.5</v>
      </c>
      <c r="K15" s="14">
        <v>2.3333333333333335</v>
      </c>
      <c r="L15" s="14">
        <v>3.25</v>
      </c>
      <c r="M15" s="14">
        <v>1.9166666666666665</v>
      </c>
      <c r="N15" s="14">
        <v>1.75</v>
      </c>
      <c r="O15" s="14">
        <v>1.3333333333333333</v>
      </c>
      <c r="P15" s="14">
        <v>2.9583333333333335</v>
      </c>
      <c r="Q15" s="14">
        <v>1.2083333333333333</v>
      </c>
      <c r="R15" s="14">
        <v>1.0833333333333333</v>
      </c>
      <c r="S15" s="61">
        <v>0.20833333333333334</v>
      </c>
      <c r="T15" s="85">
        <f>SUM(C15:S15)</f>
        <v>30.374999999999996</v>
      </c>
      <c r="U15" s="14">
        <v>0</v>
      </c>
      <c r="V15" s="74">
        <v>1.625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4.1666666666666664E-2</v>
      </c>
      <c r="AC15" s="15">
        <v>0</v>
      </c>
      <c r="AD15" s="85">
        <f>SUM(U15:AC15)</f>
        <v>1.6666666666666667</v>
      </c>
      <c r="AE15" s="48">
        <v>0</v>
      </c>
      <c r="AF15" s="85"/>
      <c r="AG15" s="85">
        <f t="shared" si="1"/>
        <v>32.041666666666664</v>
      </c>
    </row>
    <row r="16" spans="1:33">
      <c r="A16" s="1" t="s">
        <v>2</v>
      </c>
      <c r="B16" s="5" t="s">
        <v>69</v>
      </c>
      <c r="C16" s="13">
        <v>1.0416666666666667</v>
      </c>
      <c r="D16" s="14">
        <v>0</v>
      </c>
      <c r="E16" s="14">
        <v>0.70833333333333337</v>
      </c>
      <c r="F16" s="14">
        <v>0.54166666666666663</v>
      </c>
      <c r="G16" s="14">
        <v>1.0833333333333333</v>
      </c>
      <c r="H16" s="14">
        <v>1.6666666666666665</v>
      </c>
      <c r="I16" s="14">
        <v>1.25</v>
      </c>
      <c r="J16" s="14">
        <v>0.375</v>
      </c>
      <c r="K16" s="14">
        <v>1.0833333333333333</v>
      </c>
      <c r="L16" s="14">
        <v>1.25</v>
      </c>
      <c r="M16" s="14">
        <v>1.75</v>
      </c>
      <c r="N16" s="14">
        <v>1.5</v>
      </c>
      <c r="O16" s="14">
        <v>0.66666666666666663</v>
      </c>
      <c r="P16" s="14">
        <v>1.5833333333333335</v>
      </c>
      <c r="Q16" s="14">
        <v>0</v>
      </c>
      <c r="R16" s="14">
        <v>0.25</v>
      </c>
      <c r="S16" s="61">
        <v>0</v>
      </c>
      <c r="T16" s="85">
        <f>SUM(C16:S16)</f>
        <v>14.75</v>
      </c>
      <c r="U16" s="14">
        <v>0</v>
      </c>
      <c r="V16" s="74">
        <v>1.0833333333333333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5">
        <v>0</v>
      </c>
      <c r="AD16" s="85">
        <f>SUM(U16:AC16)</f>
        <v>1.0833333333333333</v>
      </c>
      <c r="AE16" s="48">
        <v>0</v>
      </c>
      <c r="AF16" s="85"/>
      <c r="AG16" s="85">
        <f t="shared" si="1"/>
        <v>15.833333333333334</v>
      </c>
    </row>
    <row r="17" spans="1:33">
      <c r="A17" s="1" t="s">
        <v>2</v>
      </c>
      <c r="B17" s="5" t="s">
        <v>70</v>
      </c>
      <c r="C17" s="13">
        <v>0.79166666666666663</v>
      </c>
      <c r="D17" s="14">
        <v>0</v>
      </c>
      <c r="E17" s="14">
        <v>0.25</v>
      </c>
      <c r="F17" s="14">
        <v>0.66666666666666663</v>
      </c>
      <c r="G17" s="14">
        <v>0</v>
      </c>
      <c r="H17" s="14">
        <v>0.54166666666666663</v>
      </c>
      <c r="I17" s="14">
        <v>0.5</v>
      </c>
      <c r="J17" s="14">
        <v>0</v>
      </c>
      <c r="K17" s="14">
        <v>1.3333333333333333</v>
      </c>
      <c r="L17" s="14">
        <v>0.41666666666666669</v>
      </c>
      <c r="M17" s="14">
        <v>0.5</v>
      </c>
      <c r="N17" s="14">
        <v>0.5</v>
      </c>
      <c r="O17" s="14">
        <v>0.25</v>
      </c>
      <c r="P17" s="14">
        <v>0.5</v>
      </c>
      <c r="Q17" s="14">
        <v>0</v>
      </c>
      <c r="R17" s="14">
        <v>1.2916666666666667</v>
      </c>
      <c r="S17" s="61">
        <v>0</v>
      </c>
      <c r="T17" s="85">
        <f>SUM(C17:S17)</f>
        <v>7.541666666666667</v>
      </c>
      <c r="U17" s="14">
        <v>0</v>
      </c>
      <c r="V17" s="7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5">
        <v>0</v>
      </c>
      <c r="AD17" s="85"/>
      <c r="AE17" s="48">
        <v>0</v>
      </c>
      <c r="AF17" s="85"/>
      <c r="AG17" s="85">
        <f t="shared" si="1"/>
        <v>7.541666666666667</v>
      </c>
    </row>
    <row r="18" spans="1:33">
      <c r="A18" s="1" t="s">
        <v>2</v>
      </c>
      <c r="B18" s="5" t="s">
        <v>71</v>
      </c>
      <c r="C18" s="13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0.25</v>
      </c>
      <c r="S18" s="61">
        <v>0</v>
      </c>
      <c r="T18" s="85">
        <f>SUM(C18:S18)</f>
        <v>0.25</v>
      </c>
      <c r="U18" s="14">
        <v>0</v>
      </c>
      <c r="V18" s="7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5">
        <v>0</v>
      </c>
      <c r="AD18" s="85"/>
      <c r="AE18" s="48">
        <v>0</v>
      </c>
      <c r="AF18" s="85"/>
      <c r="AG18" s="85">
        <f t="shared" si="1"/>
        <v>0.25</v>
      </c>
    </row>
    <row r="19" spans="1:33">
      <c r="A19" s="1" t="s">
        <v>2</v>
      </c>
      <c r="B19" s="5" t="s">
        <v>72</v>
      </c>
      <c r="C19" s="13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0.375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61">
        <v>0</v>
      </c>
      <c r="T19" s="85"/>
      <c r="U19" s="14">
        <v>0</v>
      </c>
      <c r="V19" s="7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5">
        <v>0</v>
      </c>
      <c r="AD19" s="85"/>
      <c r="AE19" s="48">
        <v>0</v>
      </c>
      <c r="AF19" s="85"/>
      <c r="AG19" s="85">
        <f t="shared" si="1"/>
        <v>0</v>
      </c>
    </row>
    <row r="20" spans="1:33">
      <c r="A20" s="1" t="s">
        <v>2</v>
      </c>
      <c r="B20" s="5" t="s">
        <v>73</v>
      </c>
      <c r="C20" s="13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61">
        <v>0</v>
      </c>
      <c r="T20" s="85"/>
      <c r="U20" s="14">
        <v>0</v>
      </c>
      <c r="V20" s="7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5">
        <v>0</v>
      </c>
      <c r="AD20" s="85"/>
      <c r="AE20" s="48">
        <v>0</v>
      </c>
      <c r="AF20" s="85"/>
      <c r="AG20" s="85">
        <f t="shared" si="1"/>
        <v>0</v>
      </c>
    </row>
    <row r="21" spans="1:33">
      <c r="A21" s="1" t="s">
        <v>2</v>
      </c>
      <c r="B21" s="5" t="s">
        <v>74</v>
      </c>
      <c r="C21" s="13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61">
        <v>0</v>
      </c>
      <c r="T21" s="85"/>
      <c r="U21" s="14">
        <v>0</v>
      </c>
      <c r="V21" s="74">
        <v>0</v>
      </c>
      <c r="W21" s="14">
        <v>0</v>
      </c>
      <c r="X21" s="14">
        <v>0</v>
      </c>
      <c r="Y21" s="14">
        <v>0.29166666666666669</v>
      </c>
      <c r="Z21" s="14">
        <v>0.29166666666666669</v>
      </c>
      <c r="AA21" s="14">
        <v>0.29166666666666669</v>
      </c>
      <c r="AB21" s="14">
        <v>0</v>
      </c>
      <c r="AC21" s="15">
        <v>0.5</v>
      </c>
      <c r="AD21" s="85">
        <f>SUM(U21:AC21)</f>
        <v>1.375</v>
      </c>
      <c r="AE21" s="48">
        <v>0</v>
      </c>
      <c r="AF21" s="85"/>
      <c r="AG21" s="85">
        <f t="shared" si="1"/>
        <v>1.375</v>
      </c>
    </row>
    <row r="22" spans="1:33">
      <c r="A22" s="1" t="s">
        <v>2</v>
      </c>
      <c r="B22" s="5" t="s">
        <v>75</v>
      </c>
      <c r="C22" s="13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61">
        <v>0</v>
      </c>
      <c r="T22" s="85"/>
      <c r="U22" s="14">
        <v>0</v>
      </c>
      <c r="V22" s="7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5">
        <v>0</v>
      </c>
      <c r="AD22" s="85"/>
      <c r="AE22" s="48">
        <v>0</v>
      </c>
      <c r="AF22" s="85"/>
      <c r="AG22" s="85">
        <f t="shared" si="1"/>
        <v>0</v>
      </c>
    </row>
    <row r="23" spans="1:33">
      <c r="A23" s="1" t="s">
        <v>2</v>
      </c>
      <c r="B23" s="5" t="s">
        <v>76</v>
      </c>
      <c r="C23" s="13">
        <v>0.20833333333333334</v>
      </c>
      <c r="D23" s="14">
        <v>0</v>
      </c>
      <c r="E23" s="14">
        <v>0</v>
      </c>
      <c r="F23" s="14">
        <v>1.0416666666666667</v>
      </c>
      <c r="G23" s="14">
        <v>0.125</v>
      </c>
      <c r="H23" s="14">
        <v>2.125</v>
      </c>
      <c r="I23" s="14">
        <v>0.33333333333333331</v>
      </c>
      <c r="J23" s="14">
        <v>0.125</v>
      </c>
      <c r="K23" s="14">
        <v>8.3333333333333329E-2</v>
      </c>
      <c r="L23" s="14">
        <v>0.45833333333333331</v>
      </c>
      <c r="M23" s="14">
        <v>0.29166666666666669</v>
      </c>
      <c r="N23" s="14">
        <v>1.0416666666666667</v>
      </c>
      <c r="O23" s="14">
        <v>0</v>
      </c>
      <c r="P23" s="14">
        <v>1.625</v>
      </c>
      <c r="Q23" s="14">
        <v>0.79166666666666663</v>
      </c>
      <c r="R23" s="14">
        <v>0.875</v>
      </c>
      <c r="S23" s="61">
        <v>8.3333333333333329E-2</v>
      </c>
      <c r="T23" s="85">
        <f t="shared" ref="T23:T64" si="2">SUM(C23:S23)</f>
        <v>9.2083333333333339</v>
      </c>
      <c r="U23" s="14">
        <v>1.4583333333333333</v>
      </c>
      <c r="V23" s="74">
        <v>0</v>
      </c>
      <c r="W23" s="14">
        <v>0</v>
      </c>
      <c r="X23" s="14">
        <v>0</v>
      </c>
      <c r="Y23" s="14">
        <v>2.0833333333333335</v>
      </c>
      <c r="Z23" s="14">
        <v>2.0833333333333335</v>
      </c>
      <c r="AA23" s="14">
        <v>2.0833333333333335</v>
      </c>
      <c r="AB23" s="14">
        <v>0</v>
      </c>
      <c r="AC23" s="15">
        <v>0</v>
      </c>
      <c r="AD23" s="85">
        <f t="shared" ref="AD23:AD64" si="3">SUM(U23:AC23)</f>
        <v>7.7083333333333339</v>
      </c>
      <c r="AE23" s="48">
        <v>0</v>
      </c>
      <c r="AF23" s="85"/>
      <c r="AG23" s="85">
        <f t="shared" si="1"/>
        <v>16.916666666666668</v>
      </c>
    </row>
    <row r="24" spans="1:33" ht="19.5" thickBot="1">
      <c r="A24" s="1" t="s">
        <v>2</v>
      </c>
      <c r="B24" s="6" t="s">
        <v>77</v>
      </c>
      <c r="C24" s="33">
        <v>22</v>
      </c>
      <c r="D24" s="34">
        <v>35</v>
      </c>
      <c r="E24" s="34">
        <v>36</v>
      </c>
      <c r="F24" s="34">
        <v>39</v>
      </c>
      <c r="G24" s="34">
        <v>33</v>
      </c>
      <c r="H24" s="34">
        <v>36</v>
      </c>
      <c r="I24" s="34">
        <v>38</v>
      </c>
      <c r="J24" s="34">
        <v>22</v>
      </c>
      <c r="K24" s="34">
        <v>32</v>
      </c>
      <c r="L24" s="34">
        <v>37</v>
      </c>
      <c r="M24" s="34">
        <v>0</v>
      </c>
      <c r="N24" s="34">
        <v>15</v>
      </c>
      <c r="O24" s="34">
        <v>29</v>
      </c>
      <c r="P24" s="34">
        <v>19</v>
      </c>
      <c r="Q24" s="34">
        <v>18</v>
      </c>
      <c r="R24" s="34">
        <v>9</v>
      </c>
      <c r="S24" s="62">
        <v>0</v>
      </c>
      <c r="T24" s="86">
        <f t="shared" si="2"/>
        <v>420</v>
      </c>
      <c r="U24" s="34">
        <v>23</v>
      </c>
      <c r="V24" s="75">
        <v>40</v>
      </c>
      <c r="W24" s="34">
        <v>21</v>
      </c>
      <c r="X24" s="34">
        <v>21</v>
      </c>
      <c r="Y24" s="34">
        <v>6</v>
      </c>
      <c r="Z24" s="34">
        <v>5</v>
      </c>
      <c r="AA24" s="34">
        <v>3</v>
      </c>
      <c r="AB24" s="34">
        <v>4</v>
      </c>
      <c r="AC24" s="35">
        <v>13</v>
      </c>
      <c r="AD24" s="86">
        <f t="shared" si="3"/>
        <v>136</v>
      </c>
      <c r="AE24" s="49">
        <v>40</v>
      </c>
      <c r="AF24" s="86">
        <f>SUM(AE24)</f>
        <v>40</v>
      </c>
      <c r="AG24" s="86">
        <f t="shared" si="1"/>
        <v>596</v>
      </c>
    </row>
    <row r="25" spans="1:33">
      <c r="A25" s="1" t="s">
        <v>2</v>
      </c>
      <c r="B25" s="22" t="s">
        <v>78</v>
      </c>
      <c r="C25" s="30">
        <v>177000</v>
      </c>
      <c r="D25" s="31">
        <v>0</v>
      </c>
      <c r="E25" s="31">
        <v>187000</v>
      </c>
      <c r="F25" s="31">
        <v>192000</v>
      </c>
      <c r="G25" s="31">
        <v>182000</v>
      </c>
      <c r="H25" s="31">
        <v>187000</v>
      </c>
      <c r="I25" s="31">
        <v>177000</v>
      </c>
      <c r="J25" s="31">
        <v>177000</v>
      </c>
      <c r="K25" s="31">
        <v>172000</v>
      </c>
      <c r="L25" s="31">
        <v>187000</v>
      </c>
      <c r="M25" s="31">
        <v>177000</v>
      </c>
      <c r="N25" s="31">
        <v>177000</v>
      </c>
      <c r="O25" s="31">
        <v>170000</v>
      </c>
      <c r="P25" s="31">
        <v>175000</v>
      </c>
      <c r="Q25" s="31">
        <v>175000</v>
      </c>
      <c r="R25" s="31">
        <v>170000</v>
      </c>
      <c r="S25" s="63">
        <v>170000</v>
      </c>
      <c r="T25" s="87">
        <f t="shared" si="2"/>
        <v>2852000</v>
      </c>
      <c r="U25" s="31">
        <v>355000</v>
      </c>
      <c r="V25" s="76">
        <v>280000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2">
        <v>0</v>
      </c>
      <c r="AD25" s="87">
        <f t="shared" si="3"/>
        <v>635000</v>
      </c>
      <c r="AE25" s="50">
        <v>375000</v>
      </c>
      <c r="AF25" s="87">
        <f>SUM(AE25)</f>
        <v>375000</v>
      </c>
      <c r="AG25" s="87">
        <f t="shared" si="1"/>
        <v>3862000</v>
      </c>
    </row>
    <row r="26" spans="1:33">
      <c r="A26" s="1" t="s">
        <v>2</v>
      </c>
      <c r="B26" s="5" t="s">
        <v>79</v>
      </c>
      <c r="C26" s="16">
        <v>0</v>
      </c>
      <c r="D26" s="17">
        <v>0</v>
      </c>
      <c r="E26" s="17">
        <v>20000</v>
      </c>
      <c r="F26" s="17">
        <v>5000</v>
      </c>
      <c r="G26" s="17">
        <v>5000</v>
      </c>
      <c r="H26" s="17">
        <v>5000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64">
        <v>0</v>
      </c>
      <c r="T26" s="88">
        <f t="shared" si="2"/>
        <v>35000</v>
      </c>
      <c r="U26" s="17">
        <v>0</v>
      </c>
      <c r="V26" s="7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8">
        <v>0</v>
      </c>
      <c r="AD26" s="88">
        <f t="shared" si="3"/>
        <v>0</v>
      </c>
      <c r="AE26" s="51">
        <v>0</v>
      </c>
      <c r="AF26" s="88">
        <f t="shared" ref="AF26:AF65" si="4">SUM(AE26)</f>
        <v>0</v>
      </c>
      <c r="AG26" s="88">
        <f t="shared" si="1"/>
        <v>35000</v>
      </c>
    </row>
    <row r="27" spans="1:33">
      <c r="A27" s="1" t="s">
        <v>2</v>
      </c>
      <c r="B27" s="5" t="s">
        <v>80</v>
      </c>
      <c r="C27" s="16">
        <v>0</v>
      </c>
      <c r="D27" s="17">
        <v>0</v>
      </c>
      <c r="E27" s="17">
        <v>3000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64">
        <v>0</v>
      </c>
      <c r="T27" s="88">
        <f t="shared" si="2"/>
        <v>3000</v>
      </c>
      <c r="U27" s="17">
        <v>0</v>
      </c>
      <c r="V27" s="77">
        <v>3000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8">
        <v>0</v>
      </c>
      <c r="AD27" s="88">
        <f t="shared" si="3"/>
        <v>3000</v>
      </c>
      <c r="AE27" s="51">
        <v>0</v>
      </c>
      <c r="AF27" s="88">
        <f t="shared" si="4"/>
        <v>0</v>
      </c>
      <c r="AG27" s="88">
        <f t="shared" si="1"/>
        <v>6000</v>
      </c>
    </row>
    <row r="28" spans="1:33">
      <c r="A28" s="1" t="s">
        <v>2</v>
      </c>
      <c r="B28" s="5" t="s">
        <v>81</v>
      </c>
      <c r="C28" s="16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64">
        <v>0</v>
      </c>
      <c r="T28" s="88">
        <f t="shared" si="2"/>
        <v>0</v>
      </c>
      <c r="U28" s="17">
        <v>0</v>
      </c>
      <c r="V28" s="7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8">
        <v>0</v>
      </c>
      <c r="AD28" s="88">
        <f t="shared" si="3"/>
        <v>0</v>
      </c>
      <c r="AE28" s="51">
        <v>0</v>
      </c>
      <c r="AF28" s="88">
        <f t="shared" si="4"/>
        <v>0</v>
      </c>
      <c r="AG28" s="88">
        <f t="shared" si="1"/>
        <v>0</v>
      </c>
    </row>
    <row r="29" spans="1:33">
      <c r="A29" s="1" t="s">
        <v>2</v>
      </c>
      <c r="B29" s="5" t="s">
        <v>82</v>
      </c>
      <c r="C29" s="16">
        <v>0</v>
      </c>
      <c r="D29" s="17">
        <v>0</v>
      </c>
      <c r="E29" s="17">
        <v>88922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7600</v>
      </c>
      <c r="M29" s="17">
        <v>0</v>
      </c>
      <c r="N29" s="17">
        <v>0</v>
      </c>
      <c r="O29" s="17">
        <v>44280</v>
      </c>
      <c r="P29" s="17">
        <v>0</v>
      </c>
      <c r="Q29" s="17">
        <v>0</v>
      </c>
      <c r="R29" s="17">
        <v>0</v>
      </c>
      <c r="S29" s="64">
        <v>0</v>
      </c>
      <c r="T29" s="88">
        <f t="shared" si="2"/>
        <v>140802</v>
      </c>
      <c r="U29" s="17">
        <v>0</v>
      </c>
      <c r="V29" s="7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8">
        <v>0</v>
      </c>
      <c r="AD29" s="88">
        <f t="shared" si="3"/>
        <v>0</v>
      </c>
      <c r="AE29" s="51">
        <v>0</v>
      </c>
      <c r="AF29" s="88">
        <f t="shared" si="4"/>
        <v>0</v>
      </c>
      <c r="AG29" s="88">
        <f t="shared" si="1"/>
        <v>140802</v>
      </c>
    </row>
    <row r="30" spans="1:33">
      <c r="A30" s="1" t="s">
        <v>2</v>
      </c>
      <c r="B30" s="5" t="s">
        <v>83</v>
      </c>
      <c r="C30" s="16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64">
        <v>0</v>
      </c>
      <c r="T30" s="88">
        <f t="shared" si="2"/>
        <v>0</v>
      </c>
      <c r="U30" s="17">
        <v>0</v>
      </c>
      <c r="V30" s="77">
        <v>0</v>
      </c>
      <c r="W30" s="17">
        <v>85560</v>
      </c>
      <c r="X30" s="17">
        <v>85560</v>
      </c>
      <c r="Y30" s="17">
        <v>59640</v>
      </c>
      <c r="Z30" s="17">
        <v>58800</v>
      </c>
      <c r="AA30" s="17">
        <v>58800</v>
      </c>
      <c r="AB30" s="17">
        <v>26560</v>
      </c>
      <c r="AC30" s="18">
        <v>68880</v>
      </c>
      <c r="AD30" s="88">
        <f t="shared" si="3"/>
        <v>443800</v>
      </c>
      <c r="AE30" s="51">
        <v>0</v>
      </c>
      <c r="AF30" s="88">
        <f t="shared" si="4"/>
        <v>0</v>
      </c>
      <c r="AG30" s="88">
        <f t="shared" si="1"/>
        <v>443800</v>
      </c>
    </row>
    <row r="31" spans="1:33">
      <c r="A31" s="1" t="s">
        <v>2</v>
      </c>
      <c r="B31" s="5" t="s">
        <v>84</v>
      </c>
      <c r="C31" s="16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64">
        <v>0</v>
      </c>
      <c r="T31" s="88">
        <f t="shared" si="2"/>
        <v>0</v>
      </c>
      <c r="U31" s="17">
        <v>0</v>
      </c>
      <c r="V31" s="7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8">
        <v>0</v>
      </c>
      <c r="AD31" s="88">
        <f t="shared" si="3"/>
        <v>0</v>
      </c>
      <c r="AE31" s="51">
        <v>0</v>
      </c>
      <c r="AF31" s="88">
        <f t="shared" si="4"/>
        <v>0</v>
      </c>
      <c r="AG31" s="88">
        <f t="shared" si="1"/>
        <v>0</v>
      </c>
    </row>
    <row r="32" spans="1:33">
      <c r="A32" s="1" t="s">
        <v>2</v>
      </c>
      <c r="B32" s="5" t="s">
        <v>85</v>
      </c>
      <c r="C32" s="16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64">
        <v>0</v>
      </c>
      <c r="T32" s="88">
        <f t="shared" si="2"/>
        <v>0</v>
      </c>
      <c r="U32" s="17">
        <v>0</v>
      </c>
      <c r="V32" s="7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8">
        <v>0</v>
      </c>
      <c r="AD32" s="88">
        <f t="shared" si="3"/>
        <v>0</v>
      </c>
      <c r="AE32" s="51">
        <v>0</v>
      </c>
      <c r="AF32" s="88">
        <f t="shared" si="4"/>
        <v>0</v>
      </c>
      <c r="AG32" s="88">
        <f t="shared" si="1"/>
        <v>0</v>
      </c>
    </row>
    <row r="33" spans="1:33">
      <c r="A33" s="1" t="s">
        <v>2</v>
      </c>
      <c r="B33" s="5" t="s">
        <v>86</v>
      </c>
      <c r="C33" s="16">
        <v>1000</v>
      </c>
      <c r="D33" s="17">
        <v>0</v>
      </c>
      <c r="E33" s="17">
        <v>1000</v>
      </c>
      <c r="F33" s="17">
        <v>1000</v>
      </c>
      <c r="G33" s="17">
        <v>0</v>
      </c>
      <c r="H33" s="17">
        <v>1000</v>
      </c>
      <c r="I33" s="17">
        <v>1000</v>
      </c>
      <c r="J33" s="17">
        <v>1000</v>
      </c>
      <c r="K33" s="17">
        <v>1000</v>
      </c>
      <c r="L33" s="17">
        <v>1000</v>
      </c>
      <c r="M33" s="17">
        <v>1000</v>
      </c>
      <c r="N33" s="17">
        <v>1000</v>
      </c>
      <c r="O33" s="17">
        <v>1000</v>
      </c>
      <c r="P33" s="17">
        <v>1000</v>
      </c>
      <c r="Q33" s="17">
        <v>1000</v>
      </c>
      <c r="R33" s="17">
        <v>0</v>
      </c>
      <c r="S33" s="64">
        <v>0</v>
      </c>
      <c r="T33" s="88">
        <f t="shared" si="2"/>
        <v>13000</v>
      </c>
      <c r="U33" s="17">
        <v>0</v>
      </c>
      <c r="V33" s="7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8">
        <v>0</v>
      </c>
      <c r="AD33" s="88">
        <f t="shared" si="3"/>
        <v>0</v>
      </c>
      <c r="AE33" s="51">
        <v>0</v>
      </c>
      <c r="AF33" s="88">
        <f t="shared" si="4"/>
        <v>0</v>
      </c>
      <c r="AG33" s="88">
        <f t="shared" si="1"/>
        <v>13000</v>
      </c>
    </row>
    <row r="34" spans="1:33">
      <c r="A34" s="1" t="s">
        <v>2</v>
      </c>
      <c r="B34" s="5" t="s">
        <v>87</v>
      </c>
      <c r="C34" s="16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64">
        <v>0</v>
      </c>
      <c r="T34" s="88">
        <f t="shared" si="2"/>
        <v>0</v>
      </c>
      <c r="U34" s="17">
        <v>0</v>
      </c>
      <c r="V34" s="77">
        <v>0</v>
      </c>
      <c r="W34" s="17">
        <v>0</v>
      </c>
      <c r="X34" s="17">
        <v>0</v>
      </c>
      <c r="Y34" s="17">
        <v>5880</v>
      </c>
      <c r="Z34" s="17">
        <v>5880</v>
      </c>
      <c r="AA34" s="17">
        <v>5880</v>
      </c>
      <c r="AB34" s="17">
        <v>0</v>
      </c>
      <c r="AC34" s="18">
        <v>10080</v>
      </c>
      <c r="AD34" s="88">
        <f t="shared" si="3"/>
        <v>27720</v>
      </c>
      <c r="AE34" s="51">
        <v>0</v>
      </c>
      <c r="AF34" s="88">
        <f t="shared" si="4"/>
        <v>0</v>
      </c>
      <c r="AG34" s="88">
        <f t="shared" si="1"/>
        <v>27720</v>
      </c>
    </row>
    <row r="35" spans="1:33">
      <c r="A35" s="1" t="s">
        <v>2</v>
      </c>
      <c r="B35" s="5" t="s">
        <v>88</v>
      </c>
      <c r="C35" s="16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64">
        <v>0</v>
      </c>
      <c r="T35" s="88">
        <f t="shared" si="2"/>
        <v>0</v>
      </c>
      <c r="U35" s="17">
        <v>0</v>
      </c>
      <c r="V35" s="7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8">
        <v>0</v>
      </c>
      <c r="AD35" s="88">
        <f t="shared" si="3"/>
        <v>0</v>
      </c>
      <c r="AE35" s="51">
        <v>0</v>
      </c>
      <c r="AF35" s="88">
        <f t="shared" si="4"/>
        <v>0</v>
      </c>
      <c r="AG35" s="88">
        <f t="shared" si="1"/>
        <v>0</v>
      </c>
    </row>
    <row r="36" spans="1:33">
      <c r="A36" s="1" t="s">
        <v>2</v>
      </c>
      <c r="B36" s="5" t="s">
        <v>89</v>
      </c>
      <c r="C36" s="16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64">
        <v>0</v>
      </c>
      <c r="T36" s="88">
        <f t="shared" si="2"/>
        <v>0</v>
      </c>
      <c r="U36" s="17">
        <v>0</v>
      </c>
      <c r="V36" s="7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8">
        <v>0</v>
      </c>
      <c r="AD36" s="88">
        <f t="shared" si="3"/>
        <v>0</v>
      </c>
      <c r="AE36" s="51">
        <v>0</v>
      </c>
      <c r="AF36" s="88">
        <f t="shared" si="4"/>
        <v>0</v>
      </c>
      <c r="AG36" s="88">
        <f t="shared" si="1"/>
        <v>0</v>
      </c>
    </row>
    <row r="37" spans="1:33">
      <c r="A37" s="1" t="s">
        <v>2</v>
      </c>
      <c r="B37" s="5" t="s">
        <v>90</v>
      </c>
      <c r="C37" s="16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64">
        <v>0</v>
      </c>
      <c r="T37" s="88">
        <f t="shared" si="2"/>
        <v>0</v>
      </c>
      <c r="U37" s="17">
        <v>0</v>
      </c>
      <c r="V37" s="7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8">
        <v>0</v>
      </c>
      <c r="AD37" s="88">
        <f t="shared" si="3"/>
        <v>0</v>
      </c>
      <c r="AE37" s="51">
        <v>0</v>
      </c>
      <c r="AF37" s="88">
        <f t="shared" si="4"/>
        <v>0</v>
      </c>
      <c r="AG37" s="88">
        <f t="shared" si="1"/>
        <v>0</v>
      </c>
    </row>
    <row r="38" spans="1:33">
      <c r="A38" s="1" t="s">
        <v>2</v>
      </c>
      <c r="B38" s="5" t="s">
        <v>91</v>
      </c>
      <c r="C38" s="16">
        <v>0</v>
      </c>
      <c r="D38" s="17">
        <v>0</v>
      </c>
      <c r="E38" s="17">
        <v>0</v>
      </c>
      <c r="F38" s="55">
        <v>-47365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65">
        <v>-161846</v>
      </c>
      <c r="T38" s="89">
        <f t="shared" si="2"/>
        <v>-209211</v>
      </c>
      <c r="U38" s="17">
        <v>0</v>
      </c>
      <c r="V38" s="7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8">
        <v>0</v>
      </c>
      <c r="AD38" s="88">
        <f t="shared" si="3"/>
        <v>0</v>
      </c>
      <c r="AE38" s="51">
        <v>0</v>
      </c>
      <c r="AF38" s="88">
        <f t="shared" si="4"/>
        <v>0</v>
      </c>
      <c r="AG38" s="89">
        <f t="shared" ref="AG38:AG64" si="5">T38+AD38+AF38</f>
        <v>-209211</v>
      </c>
    </row>
    <row r="39" spans="1:33">
      <c r="A39" s="1" t="s">
        <v>2</v>
      </c>
      <c r="B39" s="5" t="s">
        <v>68</v>
      </c>
      <c r="C39" s="16">
        <v>54653</v>
      </c>
      <c r="D39" s="17">
        <v>0</v>
      </c>
      <c r="E39" s="17">
        <v>17369</v>
      </c>
      <c r="F39" s="17">
        <v>99361</v>
      </c>
      <c r="G39" s="17">
        <v>61600</v>
      </c>
      <c r="H39" s="17">
        <v>105485</v>
      </c>
      <c r="I39" s="17">
        <v>95976</v>
      </c>
      <c r="J39" s="17">
        <v>47988</v>
      </c>
      <c r="K39" s="17">
        <v>72520</v>
      </c>
      <c r="L39" s="17">
        <v>109824</v>
      </c>
      <c r="M39" s="17">
        <v>61318</v>
      </c>
      <c r="N39" s="17">
        <v>55986</v>
      </c>
      <c r="O39" s="17">
        <v>40960</v>
      </c>
      <c r="P39" s="17">
        <v>93578</v>
      </c>
      <c r="Q39" s="17">
        <v>38222</v>
      </c>
      <c r="R39" s="17">
        <v>33098</v>
      </c>
      <c r="S39" s="64">
        <v>6365</v>
      </c>
      <c r="T39" s="88">
        <f t="shared" si="2"/>
        <v>994303</v>
      </c>
      <c r="U39" s="17">
        <v>0</v>
      </c>
      <c r="V39" s="77">
        <v>82641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1038</v>
      </c>
      <c r="AC39" s="18">
        <v>0</v>
      </c>
      <c r="AD39" s="88">
        <f t="shared" si="3"/>
        <v>83679</v>
      </c>
      <c r="AE39" s="51">
        <v>0</v>
      </c>
      <c r="AF39" s="88">
        <f t="shared" si="4"/>
        <v>0</v>
      </c>
      <c r="AG39" s="88">
        <f t="shared" si="5"/>
        <v>1077982</v>
      </c>
    </row>
    <row r="40" spans="1:33">
      <c r="A40" s="1" t="s">
        <v>2</v>
      </c>
      <c r="B40" s="5" t="s">
        <v>92</v>
      </c>
      <c r="C40" s="16">
        <v>35975</v>
      </c>
      <c r="D40" s="17">
        <v>0</v>
      </c>
      <c r="E40" s="17">
        <v>28985</v>
      </c>
      <c r="F40" s="17">
        <v>20813</v>
      </c>
      <c r="G40" s="17">
        <v>39312</v>
      </c>
      <c r="H40" s="17">
        <v>62440</v>
      </c>
      <c r="I40" s="17">
        <v>43170</v>
      </c>
      <c r="J40" s="17">
        <v>12951</v>
      </c>
      <c r="K40" s="17">
        <v>36374</v>
      </c>
      <c r="L40" s="17">
        <v>45600</v>
      </c>
      <c r="M40" s="17">
        <v>60438</v>
      </c>
      <c r="N40" s="17">
        <v>51804</v>
      </c>
      <c r="O40" s="17">
        <v>22112</v>
      </c>
      <c r="P40" s="17">
        <v>54074</v>
      </c>
      <c r="Q40" s="17">
        <v>0</v>
      </c>
      <c r="R40" s="17">
        <v>8244</v>
      </c>
      <c r="S40" s="64">
        <v>0</v>
      </c>
      <c r="T40" s="88">
        <f t="shared" si="2"/>
        <v>522292</v>
      </c>
      <c r="U40" s="17">
        <v>0</v>
      </c>
      <c r="V40" s="77">
        <v>59488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8">
        <v>0</v>
      </c>
      <c r="AD40" s="88">
        <f t="shared" si="3"/>
        <v>59488</v>
      </c>
      <c r="AE40" s="51">
        <v>0</v>
      </c>
      <c r="AF40" s="88">
        <f t="shared" si="4"/>
        <v>0</v>
      </c>
      <c r="AG40" s="88">
        <f t="shared" si="5"/>
        <v>581780</v>
      </c>
    </row>
    <row r="41" spans="1:33">
      <c r="A41" s="1" t="s">
        <v>2</v>
      </c>
      <c r="B41" s="5" t="s">
        <v>93</v>
      </c>
      <c r="C41" s="16">
        <v>27341</v>
      </c>
      <c r="D41" s="17">
        <v>0</v>
      </c>
      <c r="E41" s="17">
        <v>10230</v>
      </c>
      <c r="F41" s="17">
        <v>25616</v>
      </c>
      <c r="G41" s="17">
        <v>0</v>
      </c>
      <c r="H41" s="17">
        <v>20293</v>
      </c>
      <c r="I41" s="17">
        <v>17268</v>
      </c>
      <c r="J41" s="17">
        <v>0</v>
      </c>
      <c r="K41" s="17">
        <v>44768</v>
      </c>
      <c r="L41" s="17">
        <v>15200</v>
      </c>
      <c r="M41" s="17">
        <v>17268</v>
      </c>
      <c r="N41" s="17">
        <v>17268</v>
      </c>
      <c r="O41" s="17">
        <v>8292</v>
      </c>
      <c r="P41" s="17">
        <v>17076</v>
      </c>
      <c r="Q41" s="17">
        <v>0</v>
      </c>
      <c r="R41" s="17">
        <v>42594</v>
      </c>
      <c r="S41" s="64">
        <v>0</v>
      </c>
      <c r="T41" s="88">
        <f t="shared" si="2"/>
        <v>263214</v>
      </c>
      <c r="U41" s="17">
        <v>0</v>
      </c>
      <c r="V41" s="7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8">
        <v>0</v>
      </c>
      <c r="AD41" s="88">
        <f t="shared" si="3"/>
        <v>0</v>
      </c>
      <c r="AE41" s="51">
        <v>0</v>
      </c>
      <c r="AF41" s="88">
        <f t="shared" si="4"/>
        <v>0</v>
      </c>
      <c r="AG41" s="88">
        <f t="shared" si="5"/>
        <v>263214</v>
      </c>
    </row>
    <row r="42" spans="1:33">
      <c r="A42" s="1" t="s">
        <v>2</v>
      </c>
      <c r="B42" s="5" t="s">
        <v>94</v>
      </c>
      <c r="C42" s="16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2136</v>
      </c>
      <c r="S42" s="64">
        <v>0</v>
      </c>
      <c r="T42" s="88">
        <f t="shared" si="2"/>
        <v>2136</v>
      </c>
      <c r="U42" s="17">
        <v>0</v>
      </c>
      <c r="V42" s="7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8">
        <v>0</v>
      </c>
      <c r="AD42" s="88">
        <f t="shared" si="3"/>
        <v>0</v>
      </c>
      <c r="AE42" s="51">
        <v>0</v>
      </c>
      <c r="AF42" s="88">
        <f t="shared" si="4"/>
        <v>0</v>
      </c>
      <c r="AG42" s="88">
        <f t="shared" si="5"/>
        <v>2136</v>
      </c>
    </row>
    <row r="43" spans="1:33">
      <c r="A43" s="1" t="s">
        <v>2</v>
      </c>
      <c r="B43" s="5" t="s">
        <v>95</v>
      </c>
      <c r="C43" s="16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3357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64">
        <v>0</v>
      </c>
      <c r="T43" s="88">
        <f t="shared" si="2"/>
        <v>3357</v>
      </c>
      <c r="U43" s="17">
        <v>0</v>
      </c>
      <c r="V43" s="7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8">
        <v>0</v>
      </c>
      <c r="AD43" s="88">
        <f t="shared" si="3"/>
        <v>0</v>
      </c>
      <c r="AE43" s="51">
        <v>0</v>
      </c>
      <c r="AF43" s="88">
        <f t="shared" si="4"/>
        <v>0</v>
      </c>
      <c r="AG43" s="88">
        <f t="shared" si="5"/>
        <v>3357</v>
      </c>
    </row>
    <row r="44" spans="1:33">
      <c r="A44" s="1" t="s">
        <v>2</v>
      </c>
      <c r="B44" s="5" t="s">
        <v>96</v>
      </c>
      <c r="C44" s="16">
        <v>0</v>
      </c>
      <c r="D44" s="17">
        <v>0</v>
      </c>
      <c r="E44" s="17">
        <v>0</v>
      </c>
      <c r="F44" s="17">
        <v>47365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64">
        <v>8133</v>
      </c>
      <c r="T44" s="88">
        <f t="shared" si="2"/>
        <v>55498</v>
      </c>
      <c r="U44" s="17">
        <v>0</v>
      </c>
      <c r="V44" s="7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8">
        <v>0</v>
      </c>
      <c r="AD44" s="88">
        <f t="shared" si="3"/>
        <v>0</v>
      </c>
      <c r="AE44" s="51">
        <v>0</v>
      </c>
      <c r="AF44" s="88">
        <f t="shared" si="4"/>
        <v>0</v>
      </c>
      <c r="AG44" s="88">
        <f t="shared" si="5"/>
        <v>55498</v>
      </c>
    </row>
    <row r="45" spans="1:33">
      <c r="A45" s="1" t="s">
        <v>2</v>
      </c>
      <c r="B45" s="5" t="s">
        <v>73</v>
      </c>
      <c r="C45" s="16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64">
        <v>0</v>
      </c>
      <c r="T45" s="88">
        <f t="shared" si="2"/>
        <v>0</v>
      </c>
      <c r="U45" s="17">
        <v>0</v>
      </c>
      <c r="V45" s="7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8">
        <v>0</v>
      </c>
      <c r="AD45" s="88">
        <f t="shared" si="3"/>
        <v>0</v>
      </c>
      <c r="AE45" s="51">
        <v>0</v>
      </c>
      <c r="AF45" s="88">
        <f t="shared" si="4"/>
        <v>0</v>
      </c>
      <c r="AG45" s="88">
        <f t="shared" si="5"/>
        <v>0</v>
      </c>
    </row>
    <row r="46" spans="1:33" ht="19.5" thickBot="1">
      <c r="A46" s="1" t="s">
        <v>2</v>
      </c>
      <c r="B46" s="36" t="s">
        <v>76</v>
      </c>
      <c r="C46" s="37">
        <v>1335</v>
      </c>
      <c r="D46" s="38">
        <v>0</v>
      </c>
      <c r="E46" s="38">
        <v>0</v>
      </c>
      <c r="F46" s="38">
        <v>7425</v>
      </c>
      <c r="G46" s="38">
        <v>840</v>
      </c>
      <c r="H46" s="38">
        <v>14739</v>
      </c>
      <c r="I46" s="38">
        <v>2136</v>
      </c>
      <c r="J46" s="38">
        <v>801</v>
      </c>
      <c r="K46" s="38">
        <v>518</v>
      </c>
      <c r="L46" s="38">
        <v>3102</v>
      </c>
      <c r="M46" s="38">
        <v>1869</v>
      </c>
      <c r="N46" s="38">
        <v>6675</v>
      </c>
      <c r="O46" s="38">
        <v>0</v>
      </c>
      <c r="P46" s="38">
        <v>10296</v>
      </c>
      <c r="Q46" s="38">
        <v>5016</v>
      </c>
      <c r="R46" s="38">
        <v>5355</v>
      </c>
      <c r="S46" s="66">
        <v>510</v>
      </c>
      <c r="T46" s="90">
        <f t="shared" si="2"/>
        <v>60617</v>
      </c>
      <c r="U46" s="38">
        <v>18620</v>
      </c>
      <c r="V46" s="78">
        <v>0</v>
      </c>
      <c r="W46" s="38">
        <v>0</v>
      </c>
      <c r="X46" s="38">
        <v>0</v>
      </c>
      <c r="Y46" s="38">
        <v>10500</v>
      </c>
      <c r="Z46" s="38">
        <v>10500</v>
      </c>
      <c r="AA46" s="38">
        <v>10500</v>
      </c>
      <c r="AB46" s="38">
        <v>0</v>
      </c>
      <c r="AC46" s="39">
        <v>0</v>
      </c>
      <c r="AD46" s="90">
        <f t="shared" si="3"/>
        <v>50120</v>
      </c>
      <c r="AE46" s="52">
        <v>0</v>
      </c>
      <c r="AF46" s="90">
        <f t="shared" si="4"/>
        <v>0</v>
      </c>
      <c r="AG46" s="90">
        <f t="shared" si="5"/>
        <v>110737</v>
      </c>
    </row>
    <row r="47" spans="1:33" ht="19.5" thickBot="1">
      <c r="A47" s="1" t="s">
        <v>2</v>
      </c>
      <c r="B47" s="40" t="s">
        <v>97</v>
      </c>
      <c r="C47" s="41">
        <v>297304</v>
      </c>
      <c r="D47" s="42">
        <v>0</v>
      </c>
      <c r="E47" s="42">
        <v>356506</v>
      </c>
      <c r="F47" s="42">
        <v>351215</v>
      </c>
      <c r="G47" s="42">
        <v>288752</v>
      </c>
      <c r="H47" s="42">
        <v>395957</v>
      </c>
      <c r="I47" s="42">
        <v>336550</v>
      </c>
      <c r="J47" s="42">
        <v>239740</v>
      </c>
      <c r="K47" s="42">
        <v>327180</v>
      </c>
      <c r="L47" s="42">
        <v>369326</v>
      </c>
      <c r="M47" s="42">
        <v>322250</v>
      </c>
      <c r="N47" s="42">
        <v>309733</v>
      </c>
      <c r="O47" s="42">
        <v>286644</v>
      </c>
      <c r="P47" s="42">
        <v>351024</v>
      </c>
      <c r="Q47" s="42">
        <v>219238</v>
      </c>
      <c r="R47" s="42">
        <v>261427</v>
      </c>
      <c r="S47" s="67">
        <v>23162</v>
      </c>
      <c r="T47" s="91">
        <f t="shared" si="2"/>
        <v>4736008</v>
      </c>
      <c r="U47" s="42">
        <v>373620</v>
      </c>
      <c r="V47" s="79">
        <v>425129</v>
      </c>
      <c r="W47" s="42">
        <v>85560</v>
      </c>
      <c r="X47" s="42">
        <v>85560</v>
      </c>
      <c r="Y47" s="42">
        <v>76020</v>
      </c>
      <c r="Z47" s="42">
        <v>75180</v>
      </c>
      <c r="AA47" s="42">
        <v>75180</v>
      </c>
      <c r="AB47" s="42">
        <v>27598</v>
      </c>
      <c r="AC47" s="43">
        <v>78960</v>
      </c>
      <c r="AD47" s="91">
        <f t="shared" si="3"/>
        <v>1302807</v>
      </c>
      <c r="AE47" s="53">
        <v>375000</v>
      </c>
      <c r="AF47" s="91">
        <f t="shared" si="4"/>
        <v>375000</v>
      </c>
      <c r="AG47" s="91">
        <f t="shared" si="5"/>
        <v>6413815</v>
      </c>
    </row>
    <row r="48" spans="1:33" ht="19.5" thickBot="1">
      <c r="A48" s="1" t="s">
        <v>2</v>
      </c>
      <c r="B48" s="22" t="s">
        <v>98</v>
      </c>
      <c r="C48" s="30">
        <v>13047</v>
      </c>
      <c r="D48" s="31">
        <v>0</v>
      </c>
      <c r="E48" s="31">
        <v>5871</v>
      </c>
      <c r="F48" s="31">
        <v>2740</v>
      </c>
      <c r="G48" s="31">
        <v>15004</v>
      </c>
      <c r="H48" s="31">
        <v>2401</v>
      </c>
      <c r="I48" s="31">
        <v>2714</v>
      </c>
      <c r="J48" s="31">
        <v>1044</v>
      </c>
      <c r="K48" s="31">
        <v>3392</v>
      </c>
      <c r="L48" s="31">
        <v>5428</v>
      </c>
      <c r="M48" s="31">
        <v>6524</v>
      </c>
      <c r="N48" s="31">
        <v>4567</v>
      </c>
      <c r="O48" s="31">
        <v>7515</v>
      </c>
      <c r="P48" s="31">
        <v>6263</v>
      </c>
      <c r="Q48" s="31">
        <v>8872</v>
      </c>
      <c r="R48" s="31">
        <v>4567</v>
      </c>
      <c r="S48" s="63">
        <v>418</v>
      </c>
      <c r="T48" s="87">
        <f t="shared" si="2"/>
        <v>90367</v>
      </c>
      <c r="U48" s="31">
        <v>3601</v>
      </c>
      <c r="V48" s="76">
        <v>6106</v>
      </c>
      <c r="W48" s="31">
        <v>2923</v>
      </c>
      <c r="X48" s="31">
        <v>1957</v>
      </c>
      <c r="Y48" s="31">
        <v>3132</v>
      </c>
      <c r="Z48" s="31">
        <v>3914</v>
      </c>
      <c r="AA48" s="31">
        <v>4175</v>
      </c>
      <c r="AB48" s="31">
        <v>1357</v>
      </c>
      <c r="AC48" s="32">
        <v>6941</v>
      </c>
      <c r="AD48" s="87">
        <f t="shared" si="3"/>
        <v>34106</v>
      </c>
      <c r="AE48" s="50">
        <v>8141</v>
      </c>
      <c r="AF48" s="87">
        <f t="shared" si="4"/>
        <v>8141</v>
      </c>
      <c r="AG48" s="87">
        <f t="shared" si="5"/>
        <v>132614</v>
      </c>
    </row>
    <row r="49" spans="1:33" ht="19.5" thickBot="1">
      <c r="A49" s="1" t="s">
        <v>2</v>
      </c>
      <c r="B49" s="40" t="s">
        <v>99</v>
      </c>
      <c r="C49" s="41">
        <v>13047</v>
      </c>
      <c r="D49" s="42">
        <v>0</v>
      </c>
      <c r="E49" s="42">
        <v>5871</v>
      </c>
      <c r="F49" s="42">
        <v>2740</v>
      </c>
      <c r="G49" s="42">
        <v>15004</v>
      </c>
      <c r="H49" s="42">
        <v>2401</v>
      </c>
      <c r="I49" s="42">
        <v>2714</v>
      </c>
      <c r="J49" s="42">
        <v>1044</v>
      </c>
      <c r="K49" s="42">
        <v>3392</v>
      </c>
      <c r="L49" s="42">
        <v>5428</v>
      </c>
      <c r="M49" s="42">
        <v>6524</v>
      </c>
      <c r="N49" s="42">
        <v>4567</v>
      </c>
      <c r="O49" s="42">
        <v>7515</v>
      </c>
      <c r="P49" s="42">
        <v>6263</v>
      </c>
      <c r="Q49" s="42">
        <v>8872</v>
      </c>
      <c r="R49" s="42">
        <v>4567</v>
      </c>
      <c r="S49" s="67">
        <v>418</v>
      </c>
      <c r="T49" s="91">
        <f t="shared" si="2"/>
        <v>90367</v>
      </c>
      <c r="U49" s="42">
        <v>3601</v>
      </c>
      <c r="V49" s="79">
        <v>6106</v>
      </c>
      <c r="W49" s="42">
        <v>2923</v>
      </c>
      <c r="X49" s="42">
        <v>1957</v>
      </c>
      <c r="Y49" s="42">
        <v>3132</v>
      </c>
      <c r="Z49" s="42">
        <v>3914</v>
      </c>
      <c r="AA49" s="42">
        <v>4175</v>
      </c>
      <c r="AB49" s="42">
        <v>1357</v>
      </c>
      <c r="AC49" s="43">
        <v>6941</v>
      </c>
      <c r="AD49" s="91">
        <f t="shared" si="3"/>
        <v>34106</v>
      </c>
      <c r="AE49" s="53">
        <v>8141</v>
      </c>
      <c r="AF49" s="91">
        <f t="shared" si="4"/>
        <v>8141</v>
      </c>
      <c r="AG49" s="91">
        <f t="shared" si="5"/>
        <v>132614</v>
      </c>
    </row>
    <row r="50" spans="1:33" ht="19.5" thickBot="1">
      <c r="A50" s="1" t="s">
        <v>2</v>
      </c>
      <c r="B50" s="40" t="s">
        <v>100</v>
      </c>
      <c r="C50" s="41">
        <v>310351</v>
      </c>
      <c r="D50" s="42">
        <v>0</v>
      </c>
      <c r="E50" s="42">
        <v>362377</v>
      </c>
      <c r="F50" s="42">
        <v>353955</v>
      </c>
      <c r="G50" s="42">
        <v>303756</v>
      </c>
      <c r="H50" s="42">
        <v>398358</v>
      </c>
      <c r="I50" s="42">
        <v>339264</v>
      </c>
      <c r="J50" s="42">
        <v>240784</v>
      </c>
      <c r="K50" s="42">
        <v>330572</v>
      </c>
      <c r="L50" s="42">
        <v>374754</v>
      </c>
      <c r="M50" s="42">
        <v>328774</v>
      </c>
      <c r="N50" s="42">
        <v>314300</v>
      </c>
      <c r="O50" s="42">
        <v>294159</v>
      </c>
      <c r="P50" s="42">
        <v>357287</v>
      </c>
      <c r="Q50" s="42">
        <v>228110</v>
      </c>
      <c r="R50" s="42">
        <v>265994</v>
      </c>
      <c r="S50" s="67">
        <v>23580</v>
      </c>
      <c r="T50" s="91">
        <f t="shared" si="2"/>
        <v>4826375</v>
      </c>
      <c r="U50" s="42">
        <v>377221</v>
      </c>
      <c r="V50" s="79">
        <v>431235</v>
      </c>
      <c r="W50" s="42">
        <v>88483</v>
      </c>
      <c r="X50" s="42">
        <v>87517</v>
      </c>
      <c r="Y50" s="42">
        <v>79152</v>
      </c>
      <c r="Z50" s="42">
        <v>79094</v>
      </c>
      <c r="AA50" s="42">
        <v>79355</v>
      </c>
      <c r="AB50" s="42">
        <v>28955</v>
      </c>
      <c r="AC50" s="43">
        <v>85901</v>
      </c>
      <c r="AD50" s="91">
        <f t="shared" si="3"/>
        <v>1336913</v>
      </c>
      <c r="AE50" s="53">
        <v>383141</v>
      </c>
      <c r="AF50" s="91">
        <f t="shared" si="4"/>
        <v>383141</v>
      </c>
      <c r="AG50" s="91">
        <f t="shared" si="5"/>
        <v>6546429</v>
      </c>
    </row>
    <row r="51" spans="1:33">
      <c r="A51" s="1" t="s">
        <v>2</v>
      </c>
      <c r="B51" s="22" t="s">
        <v>101</v>
      </c>
      <c r="C51" s="30">
        <v>16320</v>
      </c>
      <c r="D51" s="31">
        <v>19380</v>
      </c>
      <c r="E51" s="31">
        <v>19380</v>
      </c>
      <c r="F51" s="31">
        <v>20910</v>
      </c>
      <c r="G51" s="31">
        <v>19380</v>
      </c>
      <c r="H51" s="31">
        <v>20910</v>
      </c>
      <c r="I51" s="31">
        <v>16320</v>
      </c>
      <c r="J51" s="31">
        <v>15300</v>
      </c>
      <c r="K51" s="31">
        <v>16320</v>
      </c>
      <c r="L51" s="31">
        <v>17340</v>
      </c>
      <c r="M51" s="31">
        <v>16320</v>
      </c>
      <c r="N51" s="31">
        <v>17340</v>
      </c>
      <c r="O51" s="31">
        <v>15300</v>
      </c>
      <c r="P51" s="31">
        <v>17340</v>
      </c>
      <c r="Q51" s="31">
        <v>15300</v>
      </c>
      <c r="R51" s="31">
        <v>13260</v>
      </c>
      <c r="S51" s="63">
        <v>13260</v>
      </c>
      <c r="T51" s="87">
        <f t="shared" si="2"/>
        <v>289680</v>
      </c>
      <c r="U51" s="31">
        <v>19380</v>
      </c>
      <c r="V51" s="76">
        <v>19380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2">
        <v>0</v>
      </c>
      <c r="AD51" s="87">
        <f t="shared" si="3"/>
        <v>38760</v>
      </c>
      <c r="AE51" s="50">
        <v>19380</v>
      </c>
      <c r="AF51" s="87">
        <f t="shared" si="4"/>
        <v>19380</v>
      </c>
      <c r="AG51" s="87">
        <f t="shared" si="5"/>
        <v>347820</v>
      </c>
    </row>
    <row r="52" spans="1:33">
      <c r="A52" s="1" t="s">
        <v>2</v>
      </c>
      <c r="B52" s="5" t="s">
        <v>102</v>
      </c>
      <c r="C52" s="16">
        <v>2880</v>
      </c>
      <c r="D52" s="17">
        <v>3420</v>
      </c>
      <c r="E52" s="17">
        <v>3420</v>
      </c>
      <c r="F52" s="17">
        <v>3690</v>
      </c>
      <c r="G52" s="17">
        <v>3420</v>
      </c>
      <c r="H52" s="17">
        <v>3690</v>
      </c>
      <c r="I52" s="17">
        <v>2880</v>
      </c>
      <c r="J52" s="17">
        <v>2700</v>
      </c>
      <c r="K52" s="17">
        <v>2880</v>
      </c>
      <c r="L52" s="17">
        <v>3060</v>
      </c>
      <c r="M52" s="17">
        <v>2880</v>
      </c>
      <c r="N52" s="17">
        <v>0</v>
      </c>
      <c r="O52" s="17">
        <v>2700</v>
      </c>
      <c r="P52" s="17">
        <v>3060</v>
      </c>
      <c r="Q52" s="17">
        <v>2700</v>
      </c>
      <c r="R52" s="17">
        <v>0</v>
      </c>
      <c r="S52" s="64">
        <v>0</v>
      </c>
      <c r="T52" s="88">
        <f t="shared" si="2"/>
        <v>43380</v>
      </c>
      <c r="U52" s="17">
        <v>3420</v>
      </c>
      <c r="V52" s="77">
        <v>3420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8">
        <v>0</v>
      </c>
      <c r="AD52" s="88">
        <f t="shared" si="3"/>
        <v>6840</v>
      </c>
      <c r="AE52" s="51">
        <v>3420</v>
      </c>
      <c r="AF52" s="88">
        <f t="shared" si="4"/>
        <v>3420</v>
      </c>
      <c r="AG52" s="88">
        <f t="shared" si="5"/>
        <v>53640</v>
      </c>
    </row>
    <row r="53" spans="1:33">
      <c r="A53" s="1" t="s">
        <v>2</v>
      </c>
      <c r="B53" s="5" t="s">
        <v>103</v>
      </c>
      <c r="C53" s="16">
        <v>29280</v>
      </c>
      <c r="D53" s="17">
        <v>34770</v>
      </c>
      <c r="E53" s="17">
        <v>34770</v>
      </c>
      <c r="F53" s="17">
        <v>37515</v>
      </c>
      <c r="G53" s="17">
        <v>34770</v>
      </c>
      <c r="H53" s="17">
        <v>37515</v>
      </c>
      <c r="I53" s="17">
        <v>29280</v>
      </c>
      <c r="J53" s="17">
        <v>27450</v>
      </c>
      <c r="K53" s="17">
        <v>29280</v>
      </c>
      <c r="L53" s="17">
        <v>31110</v>
      </c>
      <c r="M53" s="17">
        <v>29280</v>
      </c>
      <c r="N53" s="17">
        <v>31110</v>
      </c>
      <c r="O53" s="17">
        <v>27450</v>
      </c>
      <c r="P53" s="17">
        <v>31110</v>
      </c>
      <c r="Q53" s="17">
        <v>27450</v>
      </c>
      <c r="R53" s="17">
        <v>23790</v>
      </c>
      <c r="S53" s="64">
        <v>23790</v>
      </c>
      <c r="T53" s="88">
        <f t="shared" si="2"/>
        <v>519720</v>
      </c>
      <c r="U53" s="17">
        <v>34770</v>
      </c>
      <c r="V53" s="77">
        <v>34770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8">
        <v>0</v>
      </c>
      <c r="AD53" s="88">
        <f t="shared" si="3"/>
        <v>69540</v>
      </c>
      <c r="AE53" s="51">
        <v>34770</v>
      </c>
      <c r="AF53" s="88">
        <f t="shared" si="4"/>
        <v>34770</v>
      </c>
      <c r="AG53" s="88">
        <f t="shared" si="5"/>
        <v>624030</v>
      </c>
    </row>
    <row r="54" spans="1:33" ht="19.5" thickBot="1">
      <c r="A54" s="1" t="s">
        <v>2</v>
      </c>
      <c r="B54" s="5" t="s">
        <v>104</v>
      </c>
      <c r="C54" s="16">
        <v>931</v>
      </c>
      <c r="D54" s="17">
        <v>0</v>
      </c>
      <c r="E54" s="17">
        <v>1087</v>
      </c>
      <c r="F54" s="17">
        <v>1062</v>
      </c>
      <c r="G54" s="17">
        <v>911</v>
      </c>
      <c r="H54" s="17">
        <v>1195</v>
      </c>
      <c r="I54" s="17">
        <v>1018</v>
      </c>
      <c r="J54" s="17">
        <v>722</v>
      </c>
      <c r="K54" s="17">
        <v>992</v>
      </c>
      <c r="L54" s="17">
        <v>1124</v>
      </c>
      <c r="M54" s="17">
        <v>986</v>
      </c>
      <c r="N54" s="17">
        <v>943</v>
      </c>
      <c r="O54" s="17">
        <v>882</v>
      </c>
      <c r="P54" s="17">
        <v>1072</v>
      </c>
      <c r="Q54" s="17">
        <v>684</v>
      </c>
      <c r="R54" s="17">
        <v>798</v>
      </c>
      <c r="S54" s="64">
        <v>71</v>
      </c>
      <c r="T54" s="88">
        <f t="shared" si="2"/>
        <v>14478</v>
      </c>
      <c r="U54" s="17">
        <v>1132</v>
      </c>
      <c r="V54" s="77">
        <v>1294</v>
      </c>
      <c r="W54" s="17">
        <v>265</v>
      </c>
      <c r="X54" s="17">
        <v>263</v>
      </c>
      <c r="Y54" s="17">
        <v>0</v>
      </c>
      <c r="Z54" s="17">
        <v>0</v>
      </c>
      <c r="AA54" s="17">
        <v>0</v>
      </c>
      <c r="AB54" s="17">
        <v>0</v>
      </c>
      <c r="AC54" s="18">
        <v>258</v>
      </c>
      <c r="AD54" s="88">
        <f t="shared" si="3"/>
        <v>3212</v>
      </c>
      <c r="AE54" s="51">
        <v>1149</v>
      </c>
      <c r="AF54" s="88">
        <f t="shared" si="4"/>
        <v>1149</v>
      </c>
      <c r="AG54" s="88">
        <f t="shared" si="5"/>
        <v>18839</v>
      </c>
    </row>
    <row r="55" spans="1:33" ht="19.5" thickBot="1">
      <c r="A55" s="1" t="s">
        <v>2</v>
      </c>
      <c r="B55" s="40" t="s">
        <v>105</v>
      </c>
      <c r="C55" s="41">
        <v>49411</v>
      </c>
      <c r="D55" s="42">
        <v>57570</v>
      </c>
      <c r="E55" s="42">
        <v>58657</v>
      </c>
      <c r="F55" s="42">
        <v>63177</v>
      </c>
      <c r="G55" s="42">
        <v>58481</v>
      </c>
      <c r="H55" s="42">
        <v>63310</v>
      </c>
      <c r="I55" s="42">
        <v>49498</v>
      </c>
      <c r="J55" s="42">
        <v>46172</v>
      </c>
      <c r="K55" s="42">
        <v>49472</v>
      </c>
      <c r="L55" s="42">
        <v>52634</v>
      </c>
      <c r="M55" s="42">
        <v>49466</v>
      </c>
      <c r="N55" s="42">
        <v>49393</v>
      </c>
      <c r="O55" s="42">
        <v>46332</v>
      </c>
      <c r="P55" s="42">
        <v>52582</v>
      </c>
      <c r="Q55" s="42">
        <v>46134</v>
      </c>
      <c r="R55" s="42">
        <v>37848</v>
      </c>
      <c r="S55" s="67">
        <v>37121</v>
      </c>
      <c r="T55" s="91">
        <f t="shared" si="2"/>
        <v>867258</v>
      </c>
      <c r="U55" s="42">
        <v>58702</v>
      </c>
      <c r="V55" s="79">
        <v>58864</v>
      </c>
      <c r="W55" s="42">
        <v>265</v>
      </c>
      <c r="X55" s="42">
        <v>263</v>
      </c>
      <c r="Y55" s="42">
        <v>0</v>
      </c>
      <c r="Z55" s="42">
        <v>0</v>
      </c>
      <c r="AA55" s="42">
        <v>0</v>
      </c>
      <c r="AB55" s="42">
        <v>0</v>
      </c>
      <c r="AC55" s="43">
        <v>258</v>
      </c>
      <c r="AD55" s="91">
        <f t="shared" si="3"/>
        <v>118352</v>
      </c>
      <c r="AE55" s="53">
        <v>58719</v>
      </c>
      <c r="AF55" s="91">
        <f t="shared" si="4"/>
        <v>58719</v>
      </c>
      <c r="AG55" s="91">
        <f t="shared" si="5"/>
        <v>1044329</v>
      </c>
    </row>
    <row r="56" spans="1:33">
      <c r="A56" s="1" t="s">
        <v>2</v>
      </c>
      <c r="B56" s="22" t="s">
        <v>106</v>
      </c>
      <c r="C56" s="30">
        <v>4860</v>
      </c>
      <c r="D56" s="31">
        <v>0</v>
      </c>
      <c r="E56" s="31">
        <v>6640</v>
      </c>
      <c r="F56" s="31">
        <v>7910</v>
      </c>
      <c r="G56" s="31">
        <v>4230</v>
      </c>
      <c r="H56" s="31">
        <v>11050</v>
      </c>
      <c r="I56" s="31">
        <v>7880</v>
      </c>
      <c r="J56" s="31">
        <v>2920</v>
      </c>
      <c r="K56" s="31">
        <v>7540</v>
      </c>
      <c r="L56" s="31">
        <v>9740</v>
      </c>
      <c r="M56" s="31">
        <v>7370</v>
      </c>
      <c r="N56" s="31">
        <v>6920</v>
      </c>
      <c r="O56" s="31">
        <v>6210</v>
      </c>
      <c r="P56" s="31">
        <v>3430</v>
      </c>
      <c r="Q56" s="31">
        <v>3800</v>
      </c>
      <c r="R56" s="31">
        <v>5610</v>
      </c>
      <c r="S56" s="63">
        <v>0</v>
      </c>
      <c r="T56" s="87">
        <f t="shared" si="2"/>
        <v>96110</v>
      </c>
      <c r="U56" s="31">
        <v>9600</v>
      </c>
      <c r="V56" s="76">
        <v>10560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2">
        <v>0</v>
      </c>
      <c r="AD56" s="87">
        <f t="shared" si="3"/>
        <v>20160</v>
      </c>
      <c r="AE56" s="50">
        <v>9710</v>
      </c>
      <c r="AF56" s="87">
        <f t="shared" si="4"/>
        <v>9710</v>
      </c>
      <c r="AG56" s="87">
        <f t="shared" si="5"/>
        <v>125980</v>
      </c>
    </row>
    <row r="57" spans="1:33">
      <c r="A57" s="1" t="s">
        <v>2</v>
      </c>
      <c r="B57" s="5" t="s">
        <v>107</v>
      </c>
      <c r="C57" s="16">
        <v>1300</v>
      </c>
      <c r="D57" s="17">
        <v>-1300</v>
      </c>
      <c r="E57" s="17">
        <v>1300</v>
      </c>
      <c r="F57" s="17">
        <v>0</v>
      </c>
      <c r="G57" s="17">
        <v>1300</v>
      </c>
      <c r="H57" s="17">
        <v>1300</v>
      </c>
      <c r="I57" s="17">
        <v>1300</v>
      </c>
      <c r="J57" s="17">
        <v>1300</v>
      </c>
      <c r="K57" s="17">
        <v>1300</v>
      </c>
      <c r="L57" s="17">
        <v>1300</v>
      </c>
      <c r="M57" s="17">
        <v>0</v>
      </c>
      <c r="N57" s="17">
        <v>0</v>
      </c>
      <c r="O57" s="17">
        <v>1300</v>
      </c>
      <c r="P57" s="17">
        <v>1300</v>
      </c>
      <c r="Q57" s="17">
        <v>1300</v>
      </c>
      <c r="R57" s="17">
        <v>1300</v>
      </c>
      <c r="S57" s="64">
        <v>0</v>
      </c>
      <c r="T57" s="88">
        <f t="shared" si="2"/>
        <v>14300</v>
      </c>
      <c r="U57" s="17">
        <v>0</v>
      </c>
      <c r="V57" s="7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8">
        <v>0</v>
      </c>
      <c r="AD57" s="88">
        <f t="shared" si="3"/>
        <v>0</v>
      </c>
      <c r="AE57" s="51">
        <v>0</v>
      </c>
      <c r="AF57" s="88">
        <f t="shared" si="4"/>
        <v>0</v>
      </c>
      <c r="AG57" s="88">
        <f t="shared" si="5"/>
        <v>14300</v>
      </c>
    </row>
    <row r="58" spans="1:33">
      <c r="A58" s="1" t="s">
        <v>2</v>
      </c>
      <c r="B58" s="5" t="s">
        <v>108</v>
      </c>
      <c r="C58" s="16">
        <v>10900</v>
      </c>
      <c r="D58" s="17">
        <v>16200</v>
      </c>
      <c r="E58" s="17">
        <v>16400</v>
      </c>
      <c r="F58" s="17">
        <v>19700</v>
      </c>
      <c r="G58" s="17">
        <v>12900</v>
      </c>
      <c r="H58" s="17">
        <v>18600</v>
      </c>
      <c r="I58" s="17">
        <v>15000</v>
      </c>
      <c r="J58" s="17">
        <v>10300</v>
      </c>
      <c r="K58" s="17">
        <v>14100</v>
      </c>
      <c r="L58" s="17">
        <v>14600</v>
      </c>
      <c r="M58" s="17">
        <v>11400</v>
      </c>
      <c r="N58" s="17">
        <v>25400</v>
      </c>
      <c r="O58" s="17">
        <v>12400</v>
      </c>
      <c r="P58" s="17">
        <v>7800</v>
      </c>
      <c r="Q58" s="17">
        <v>0</v>
      </c>
      <c r="R58" s="17">
        <v>0</v>
      </c>
      <c r="S58" s="64">
        <v>0</v>
      </c>
      <c r="T58" s="88">
        <f t="shared" si="2"/>
        <v>205700</v>
      </c>
      <c r="U58" s="17">
        <v>16300</v>
      </c>
      <c r="V58" s="77">
        <v>17200</v>
      </c>
      <c r="W58" s="17">
        <v>700</v>
      </c>
      <c r="X58" s="17">
        <v>700</v>
      </c>
      <c r="Y58" s="17">
        <v>6000</v>
      </c>
      <c r="Z58" s="17">
        <v>6000</v>
      </c>
      <c r="AA58" s="17">
        <v>6000</v>
      </c>
      <c r="AB58" s="17">
        <v>0</v>
      </c>
      <c r="AC58" s="18">
        <v>12600</v>
      </c>
      <c r="AD58" s="88">
        <f t="shared" si="3"/>
        <v>65500</v>
      </c>
      <c r="AE58" s="51">
        <v>18500</v>
      </c>
      <c r="AF58" s="88">
        <f t="shared" si="4"/>
        <v>18500</v>
      </c>
      <c r="AG58" s="88">
        <f t="shared" si="5"/>
        <v>289700</v>
      </c>
    </row>
    <row r="59" spans="1:33" ht="19.5" thickBot="1">
      <c r="A59" s="1" t="s">
        <v>2</v>
      </c>
      <c r="B59" s="5" t="s">
        <v>109</v>
      </c>
      <c r="C59" s="16">
        <v>0</v>
      </c>
      <c r="D59" s="55">
        <v>-72470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65">
        <v>-13541</v>
      </c>
      <c r="T59" s="89">
        <f t="shared" si="2"/>
        <v>-86011</v>
      </c>
      <c r="U59" s="17">
        <v>0</v>
      </c>
      <c r="V59" s="7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8">
        <v>0</v>
      </c>
      <c r="AD59" s="88">
        <f t="shared" si="3"/>
        <v>0</v>
      </c>
      <c r="AE59" s="51">
        <v>0</v>
      </c>
      <c r="AF59" s="88">
        <f t="shared" si="4"/>
        <v>0</v>
      </c>
      <c r="AG59" s="89">
        <f t="shared" si="5"/>
        <v>-86011</v>
      </c>
    </row>
    <row r="60" spans="1:33" ht="19.5" thickBot="1">
      <c r="A60" s="1" t="s">
        <v>2</v>
      </c>
      <c r="B60" s="40" t="s">
        <v>110</v>
      </c>
      <c r="C60" s="41">
        <v>66471</v>
      </c>
      <c r="D60" s="42">
        <v>0</v>
      </c>
      <c r="E60" s="42">
        <v>82997</v>
      </c>
      <c r="F60" s="42">
        <v>90787</v>
      </c>
      <c r="G60" s="42">
        <v>76911</v>
      </c>
      <c r="H60" s="42">
        <v>94260</v>
      </c>
      <c r="I60" s="42">
        <v>73678</v>
      </c>
      <c r="J60" s="42">
        <v>60692</v>
      </c>
      <c r="K60" s="42">
        <v>72412</v>
      </c>
      <c r="L60" s="42">
        <v>78274</v>
      </c>
      <c r="M60" s="42">
        <v>68236</v>
      </c>
      <c r="N60" s="42">
        <v>81713</v>
      </c>
      <c r="O60" s="42">
        <v>66242</v>
      </c>
      <c r="P60" s="42">
        <v>65112</v>
      </c>
      <c r="Q60" s="42">
        <v>51234</v>
      </c>
      <c r="R60" s="42">
        <v>44758</v>
      </c>
      <c r="S60" s="67">
        <v>23580</v>
      </c>
      <c r="T60" s="91">
        <f t="shared" si="2"/>
        <v>1097357</v>
      </c>
      <c r="U60" s="42">
        <v>84602</v>
      </c>
      <c r="V60" s="79">
        <v>86624</v>
      </c>
      <c r="W60" s="42">
        <v>965</v>
      </c>
      <c r="X60" s="42">
        <v>963</v>
      </c>
      <c r="Y60" s="42">
        <v>6000</v>
      </c>
      <c r="Z60" s="42">
        <v>6000</v>
      </c>
      <c r="AA60" s="42">
        <v>6000</v>
      </c>
      <c r="AB60" s="42">
        <v>0</v>
      </c>
      <c r="AC60" s="43">
        <v>12858</v>
      </c>
      <c r="AD60" s="91">
        <f t="shared" si="3"/>
        <v>204012</v>
      </c>
      <c r="AE60" s="53">
        <v>86929</v>
      </c>
      <c r="AF60" s="91">
        <f t="shared" si="4"/>
        <v>86929</v>
      </c>
      <c r="AG60" s="91">
        <f t="shared" si="5"/>
        <v>1388298</v>
      </c>
    </row>
    <row r="61" spans="1:33" ht="19.5" thickBot="1">
      <c r="A61" s="1" t="s">
        <v>2</v>
      </c>
      <c r="B61" s="40" t="s">
        <v>111</v>
      </c>
      <c r="C61" s="41">
        <v>247893</v>
      </c>
      <c r="D61" s="56">
        <v>-57570</v>
      </c>
      <c r="E61" s="42">
        <v>297849</v>
      </c>
      <c r="F61" s="42">
        <v>288038</v>
      </c>
      <c r="G61" s="42">
        <v>230271</v>
      </c>
      <c r="H61" s="42">
        <v>332647</v>
      </c>
      <c r="I61" s="42">
        <v>287052</v>
      </c>
      <c r="J61" s="42">
        <v>193568</v>
      </c>
      <c r="K61" s="42">
        <v>277708</v>
      </c>
      <c r="L61" s="42">
        <v>316692</v>
      </c>
      <c r="M61" s="42">
        <v>272784</v>
      </c>
      <c r="N61" s="42">
        <v>260340</v>
      </c>
      <c r="O61" s="42">
        <v>240312</v>
      </c>
      <c r="P61" s="42">
        <v>298442</v>
      </c>
      <c r="Q61" s="42">
        <v>173104</v>
      </c>
      <c r="R61" s="42">
        <v>223579</v>
      </c>
      <c r="S61" s="68">
        <v>-13959</v>
      </c>
      <c r="T61" s="92">
        <f t="shared" si="2"/>
        <v>3868750</v>
      </c>
      <c r="U61" s="42">
        <v>314918</v>
      </c>
      <c r="V61" s="79">
        <v>366265</v>
      </c>
      <c r="W61" s="42">
        <v>85295</v>
      </c>
      <c r="X61" s="42">
        <v>85297</v>
      </c>
      <c r="Y61" s="42">
        <v>76020</v>
      </c>
      <c r="Z61" s="42">
        <v>75180</v>
      </c>
      <c r="AA61" s="42">
        <v>75180</v>
      </c>
      <c r="AB61" s="42">
        <v>27598</v>
      </c>
      <c r="AC61" s="43">
        <v>78702</v>
      </c>
      <c r="AD61" s="91">
        <f t="shared" si="3"/>
        <v>1184455</v>
      </c>
      <c r="AE61" s="53">
        <v>316281</v>
      </c>
      <c r="AF61" s="91">
        <f t="shared" si="4"/>
        <v>316281</v>
      </c>
      <c r="AG61" s="91">
        <f t="shared" si="5"/>
        <v>5369486</v>
      </c>
    </row>
    <row r="62" spans="1:33" ht="19.5" thickBot="1">
      <c r="A62" s="1" t="s">
        <v>2</v>
      </c>
      <c r="B62" s="40" t="s">
        <v>112</v>
      </c>
      <c r="C62" s="41">
        <v>243880</v>
      </c>
      <c r="D62" s="42">
        <v>0</v>
      </c>
      <c r="E62" s="42">
        <v>279380</v>
      </c>
      <c r="F62" s="42">
        <v>263168</v>
      </c>
      <c r="G62" s="42">
        <v>226845</v>
      </c>
      <c r="H62" s="42">
        <v>304098</v>
      </c>
      <c r="I62" s="42">
        <v>265586</v>
      </c>
      <c r="J62" s="42">
        <v>180092</v>
      </c>
      <c r="K62" s="42">
        <v>258160</v>
      </c>
      <c r="L62" s="42">
        <v>296480</v>
      </c>
      <c r="M62" s="42">
        <v>260538</v>
      </c>
      <c r="N62" s="42">
        <v>232587</v>
      </c>
      <c r="O62" s="42">
        <v>227917</v>
      </c>
      <c r="P62" s="42">
        <v>292175</v>
      </c>
      <c r="Q62" s="42">
        <v>176876</v>
      </c>
      <c r="R62" s="42">
        <v>221236</v>
      </c>
      <c r="S62" s="67">
        <v>0</v>
      </c>
      <c r="T62" s="91">
        <f t="shared" si="2"/>
        <v>3729018</v>
      </c>
      <c r="U62" s="42">
        <v>292619</v>
      </c>
      <c r="V62" s="79">
        <v>344611</v>
      </c>
      <c r="W62" s="42">
        <v>87518</v>
      </c>
      <c r="X62" s="42">
        <v>86554</v>
      </c>
      <c r="Y62" s="42">
        <v>73152</v>
      </c>
      <c r="Z62" s="42">
        <v>73094</v>
      </c>
      <c r="AA62" s="42">
        <v>73355</v>
      </c>
      <c r="AB62" s="42">
        <v>28955</v>
      </c>
      <c r="AC62" s="43">
        <v>73043</v>
      </c>
      <c r="AD62" s="91">
        <f t="shared" si="3"/>
        <v>1132901</v>
      </c>
      <c r="AE62" s="53">
        <v>296212</v>
      </c>
      <c r="AF62" s="91">
        <f t="shared" si="4"/>
        <v>296212</v>
      </c>
      <c r="AG62" s="91">
        <f t="shared" si="5"/>
        <v>5158131</v>
      </c>
    </row>
    <row r="63" spans="1:33">
      <c r="A63" s="1" t="s">
        <v>2</v>
      </c>
      <c r="B63" s="22" t="s">
        <v>113</v>
      </c>
      <c r="C63" s="30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63">
        <v>0</v>
      </c>
      <c r="T63" s="87">
        <f t="shared" si="2"/>
        <v>0</v>
      </c>
      <c r="U63" s="31">
        <v>0</v>
      </c>
      <c r="V63" s="76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2">
        <v>0</v>
      </c>
      <c r="AD63" s="87">
        <f t="shared" si="3"/>
        <v>0</v>
      </c>
      <c r="AE63" s="50">
        <v>0</v>
      </c>
      <c r="AF63" s="87">
        <f t="shared" si="4"/>
        <v>0</v>
      </c>
      <c r="AG63" s="87">
        <f t="shared" si="5"/>
        <v>0</v>
      </c>
    </row>
    <row r="64" spans="1:33">
      <c r="A64" s="1" t="s">
        <v>2</v>
      </c>
      <c r="B64" s="5" t="s">
        <v>114</v>
      </c>
      <c r="C64" s="16">
        <v>243880</v>
      </c>
      <c r="D64" s="17">
        <v>0</v>
      </c>
      <c r="E64" s="17">
        <v>279380</v>
      </c>
      <c r="F64" s="17">
        <v>263168</v>
      </c>
      <c r="G64" s="17">
        <v>226845</v>
      </c>
      <c r="H64" s="17">
        <v>304098</v>
      </c>
      <c r="I64" s="17">
        <v>265586</v>
      </c>
      <c r="J64" s="17">
        <v>180092</v>
      </c>
      <c r="K64" s="17">
        <v>258160</v>
      </c>
      <c r="L64" s="17">
        <v>296480</v>
      </c>
      <c r="M64" s="17">
        <v>260538</v>
      </c>
      <c r="N64" s="17">
        <v>232587</v>
      </c>
      <c r="O64" s="17">
        <v>227917</v>
      </c>
      <c r="P64" s="17">
        <v>292175</v>
      </c>
      <c r="Q64" s="17">
        <v>176876</v>
      </c>
      <c r="R64" s="17">
        <v>221236</v>
      </c>
      <c r="S64" s="64">
        <v>0</v>
      </c>
      <c r="T64" s="88">
        <f t="shared" si="2"/>
        <v>3729018</v>
      </c>
      <c r="U64" s="17">
        <v>292619</v>
      </c>
      <c r="V64" s="77">
        <v>344611</v>
      </c>
      <c r="W64" s="17">
        <v>87518</v>
      </c>
      <c r="X64" s="17">
        <v>86554</v>
      </c>
      <c r="Y64" s="17">
        <v>73152</v>
      </c>
      <c r="Z64" s="17">
        <v>73094</v>
      </c>
      <c r="AA64" s="17">
        <v>73355</v>
      </c>
      <c r="AB64" s="17">
        <v>28955</v>
      </c>
      <c r="AC64" s="18">
        <v>73043</v>
      </c>
      <c r="AD64" s="88">
        <f t="shared" si="3"/>
        <v>1132901</v>
      </c>
      <c r="AE64" s="51">
        <v>296212</v>
      </c>
      <c r="AF64" s="88">
        <f t="shared" si="4"/>
        <v>296212</v>
      </c>
      <c r="AG64" s="88">
        <f t="shared" si="5"/>
        <v>5158131</v>
      </c>
    </row>
    <row r="65" spans="1:33">
      <c r="A65" s="1" t="s">
        <v>2</v>
      </c>
      <c r="B65" s="5" t="s">
        <v>115</v>
      </c>
      <c r="C65" s="16">
        <v>1</v>
      </c>
      <c r="D65" s="17">
        <v>0</v>
      </c>
      <c r="E65" s="17">
        <v>1</v>
      </c>
      <c r="F65" s="17">
        <v>0</v>
      </c>
      <c r="G65" s="17">
        <v>1</v>
      </c>
      <c r="H65" s="17">
        <v>0</v>
      </c>
      <c r="I65" s="17">
        <v>0</v>
      </c>
      <c r="J65" s="17">
        <v>1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3</v>
      </c>
      <c r="Q65" s="17">
        <v>0</v>
      </c>
      <c r="R65" s="17">
        <v>0</v>
      </c>
      <c r="S65" s="64">
        <v>0</v>
      </c>
      <c r="T65" s="88"/>
      <c r="U65" s="17">
        <v>0</v>
      </c>
      <c r="V65" s="77">
        <v>1</v>
      </c>
      <c r="W65" s="17">
        <v>0</v>
      </c>
      <c r="X65" s="17">
        <v>0</v>
      </c>
      <c r="Y65" s="17">
        <v>1</v>
      </c>
      <c r="Z65" s="17">
        <v>1</v>
      </c>
      <c r="AA65" s="17">
        <v>1</v>
      </c>
      <c r="AB65" s="17">
        <v>1</v>
      </c>
      <c r="AC65" s="18">
        <v>1</v>
      </c>
      <c r="AD65" s="88"/>
      <c r="AE65" s="51">
        <v>0</v>
      </c>
      <c r="AF65" s="88">
        <f t="shared" si="4"/>
        <v>0</v>
      </c>
      <c r="AG65" s="88"/>
    </row>
    <row r="66" spans="1:33" ht="19.5" thickBot="1">
      <c r="A66" s="1" t="s">
        <v>2</v>
      </c>
      <c r="B66" s="6" t="s">
        <v>116</v>
      </c>
      <c r="C66" s="19" t="s">
        <v>117</v>
      </c>
      <c r="D66" s="20" t="s">
        <v>117</v>
      </c>
      <c r="E66" s="20" t="s">
        <v>117</v>
      </c>
      <c r="F66" s="20" t="s">
        <v>117</v>
      </c>
      <c r="G66" s="20" t="s">
        <v>117</v>
      </c>
      <c r="H66" s="20" t="s">
        <v>117</v>
      </c>
      <c r="I66" s="20" t="s">
        <v>117</v>
      </c>
      <c r="J66" s="20" t="s">
        <v>117</v>
      </c>
      <c r="K66" s="20" t="s">
        <v>117</v>
      </c>
      <c r="L66" s="20" t="s">
        <v>117</v>
      </c>
      <c r="M66" s="20" t="s">
        <v>117</v>
      </c>
      <c r="N66" s="20" t="s">
        <v>117</v>
      </c>
      <c r="O66" s="20" t="s">
        <v>117</v>
      </c>
      <c r="P66" s="20" t="s">
        <v>117</v>
      </c>
      <c r="Q66" s="20" t="s">
        <v>117</v>
      </c>
      <c r="R66" s="20" t="s">
        <v>117</v>
      </c>
      <c r="S66" s="69" t="s">
        <v>117</v>
      </c>
      <c r="T66" s="93"/>
      <c r="U66" s="20" t="s">
        <v>117</v>
      </c>
      <c r="V66" s="80" t="s">
        <v>117</v>
      </c>
      <c r="W66" s="20" t="s">
        <v>117</v>
      </c>
      <c r="X66" s="20" t="s">
        <v>117</v>
      </c>
      <c r="Y66" s="20" t="s">
        <v>117</v>
      </c>
      <c r="Z66" s="20" t="s">
        <v>117</v>
      </c>
      <c r="AA66" s="20" t="s">
        <v>117</v>
      </c>
      <c r="AB66" s="20" t="s">
        <v>117</v>
      </c>
      <c r="AC66" s="21" t="s">
        <v>117</v>
      </c>
      <c r="AD66" s="93"/>
      <c r="AE66" s="54" t="s">
        <v>117</v>
      </c>
      <c r="AF66" s="93"/>
      <c r="AG66" s="93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32F8-9209-4540-BA90-0D72B0D7A8E3}">
  <sheetPr>
    <pageSetUpPr fitToPage="1"/>
  </sheetPr>
  <dimension ref="A1:Q66"/>
  <sheetViews>
    <sheetView showZeros="0" workbookViewId="0">
      <selection activeCell="L6" sqref="L6"/>
    </sheetView>
  </sheetViews>
  <sheetFormatPr defaultRowHeight="18.75"/>
  <cols>
    <col min="1" max="1" width="2.375" style="2" customWidth="1"/>
    <col min="2" max="2" width="13.25" style="2" bestFit="1" customWidth="1"/>
    <col min="3" max="15" width="12" style="2" customWidth="1"/>
    <col min="16" max="240" width="9" style="2"/>
    <col min="241" max="241" width="2.375" style="2" customWidth="1"/>
    <col min="242" max="242" width="13.25" style="2" bestFit="1" customWidth="1"/>
    <col min="243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9" width="11.125" style="2" bestFit="1" customWidth="1"/>
    <col min="270" max="270" width="9.625" style="2" bestFit="1" customWidth="1"/>
    <col min="271" max="496" width="9" style="2"/>
    <col min="497" max="497" width="2.375" style="2" customWidth="1"/>
    <col min="498" max="498" width="13.25" style="2" bestFit="1" customWidth="1"/>
    <col min="499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25" width="11.125" style="2" bestFit="1" customWidth="1"/>
    <col min="526" max="526" width="9.625" style="2" bestFit="1" customWidth="1"/>
    <col min="527" max="752" width="9" style="2"/>
    <col min="753" max="753" width="2.375" style="2" customWidth="1"/>
    <col min="754" max="754" width="13.25" style="2" bestFit="1" customWidth="1"/>
    <col min="755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81" width="11.125" style="2" bestFit="1" customWidth="1"/>
    <col min="782" max="782" width="9.625" style="2" bestFit="1" customWidth="1"/>
    <col min="783" max="1008" width="9" style="2"/>
    <col min="1009" max="1009" width="2.375" style="2" customWidth="1"/>
    <col min="1010" max="1010" width="13.25" style="2" bestFit="1" customWidth="1"/>
    <col min="1011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7" width="11.125" style="2" bestFit="1" customWidth="1"/>
    <col min="1038" max="1038" width="9.625" style="2" bestFit="1" customWidth="1"/>
    <col min="1039" max="1264" width="9" style="2"/>
    <col min="1265" max="1265" width="2.375" style="2" customWidth="1"/>
    <col min="1266" max="1266" width="13.25" style="2" bestFit="1" customWidth="1"/>
    <col min="1267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93" width="11.125" style="2" bestFit="1" customWidth="1"/>
    <col min="1294" max="1294" width="9.625" style="2" bestFit="1" customWidth="1"/>
    <col min="1295" max="1520" width="9" style="2"/>
    <col min="1521" max="1521" width="2.375" style="2" customWidth="1"/>
    <col min="1522" max="1522" width="13.25" style="2" bestFit="1" customWidth="1"/>
    <col min="1523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9" width="11.125" style="2" bestFit="1" customWidth="1"/>
    <col min="1550" max="1550" width="9.625" style="2" bestFit="1" customWidth="1"/>
    <col min="1551" max="1776" width="9" style="2"/>
    <col min="1777" max="1777" width="2.375" style="2" customWidth="1"/>
    <col min="1778" max="1778" width="13.25" style="2" bestFit="1" customWidth="1"/>
    <col min="1779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805" width="11.125" style="2" bestFit="1" customWidth="1"/>
    <col min="1806" max="1806" width="9.625" style="2" bestFit="1" customWidth="1"/>
    <col min="1807" max="2032" width="9" style="2"/>
    <col min="2033" max="2033" width="2.375" style="2" customWidth="1"/>
    <col min="2034" max="2034" width="13.25" style="2" bestFit="1" customWidth="1"/>
    <col min="2035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61" width="11.125" style="2" bestFit="1" customWidth="1"/>
    <col min="2062" max="2062" width="9.625" style="2" bestFit="1" customWidth="1"/>
    <col min="2063" max="2288" width="9" style="2"/>
    <col min="2289" max="2289" width="2.375" style="2" customWidth="1"/>
    <col min="2290" max="2290" width="13.25" style="2" bestFit="1" customWidth="1"/>
    <col min="2291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7" width="11.125" style="2" bestFit="1" customWidth="1"/>
    <col min="2318" max="2318" width="9.625" style="2" bestFit="1" customWidth="1"/>
    <col min="2319" max="2544" width="9" style="2"/>
    <col min="2545" max="2545" width="2.375" style="2" customWidth="1"/>
    <col min="2546" max="2546" width="13.25" style="2" bestFit="1" customWidth="1"/>
    <col min="2547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73" width="11.125" style="2" bestFit="1" customWidth="1"/>
    <col min="2574" max="2574" width="9.625" style="2" bestFit="1" customWidth="1"/>
    <col min="2575" max="2800" width="9" style="2"/>
    <col min="2801" max="2801" width="2.375" style="2" customWidth="1"/>
    <col min="2802" max="2802" width="13.25" style="2" bestFit="1" customWidth="1"/>
    <col min="2803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9" width="11.125" style="2" bestFit="1" customWidth="1"/>
    <col min="2830" max="2830" width="9.625" style="2" bestFit="1" customWidth="1"/>
    <col min="2831" max="3056" width="9" style="2"/>
    <col min="3057" max="3057" width="2.375" style="2" customWidth="1"/>
    <col min="3058" max="3058" width="13.25" style="2" bestFit="1" customWidth="1"/>
    <col min="3059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85" width="11.125" style="2" bestFit="1" customWidth="1"/>
    <col min="3086" max="3086" width="9.625" style="2" bestFit="1" customWidth="1"/>
    <col min="3087" max="3312" width="9" style="2"/>
    <col min="3313" max="3313" width="2.375" style="2" customWidth="1"/>
    <col min="3314" max="3314" width="13.25" style="2" bestFit="1" customWidth="1"/>
    <col min="3315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41" width="11.125" style="2" bestFit="1" customWidth="1"/>
    <col min="3342" max="3342" width="9.625" style="2" bestFit="1" customWidth="1"/>
    <col min="3343" max="3568" width="9" style="2"/>
    <col min="3569" max="3569" width="2.375" style="2" customWidth="1"/>
    <col min="3570" max="3570" width="13.25" style="2" bestFit="1" customWidth="1"/>
    <col min="3571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7" width="11.125" style="2" bestFit="1" customWidth="1"/>
    <col min="3598" max="3598" width="9.625" style="2" bestFit="1" customWidth="1"/>
    <col min="3599" max="3824" width="9" style="2"/>
    <col min="3825" max="3825" width="2.375" style="2" customWidth="1"/>
    <col min="3826" max="3826" width="13.25" style="2" bestFit="1" customWidth="1"/>
    <col min="3827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53" width="11.125" style="2" bestFit="1" customWidth="1"/>
    <col min="3854" max="3854" width="9.625" style="2" bestFit="1" customWidth="1"/>
    <col min="3855" max="4080" width="9" style="2"/>
    <col min="4081" max="4081" width="2.375" style="2" customWidth="1"/>
    <col min="4082" max="4082" width="13.25" style="2" bestFit="1" customWidth="1"/>
    <col min="4083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9" width="11.125" style="2" bestFit="1" customWidth="1"/>
    <col min="4110" max="4110" width="9.625" style="2" bestFit="1" customWidth="1"/>
    <col min="4111" max="4336" width="9" style="2"/>
    <col min="4337" max="4337" width="2.375" style="2" customWidth="1"/>
    <col min="4338" max="4338" width="13.25" style="2" bestFit="1" customWidth="1"/>
    <col min="4339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65" width="11.125" style="2" bestFit="1" customWidth="1"/>
    <col min="4366" max="4366" width="9.625" style="2" bestFit="1" customWidth="1"/>
    <col min="4367" max="4592" width="9" style="2"/>
    <col min="4593" max="4593" width="2.375" style="2" customWidth="1"/>
    <col min="4594" max="4594" width="13.25" style="2" bestFit="1" customWidth="1"/>
    <col min="4595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21" width="11.125" style="2" bestFit="1" customWidth="1"/>
    <col min="4622" max="4622" width="9.625" style="2" bestFit="1" customWidth="1"/>
    <col min="4623" max="4848" width="9" style="2"/>
    <col min="4849" max="4849" width="2.375" style="2" customWidth="1"/>
    <col min="4850" max="4850" width="13.25" style="2" bestFit="1" customWidth="1"/>
    <col min="4851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7" width="11.125" style="2" bestFit="1" customWidth="1"/>
    <col min="4878" max="4878" width="9.625" style="2" bestFit="1" customWidth="1"/>
    <col min="4879" max="5104" width="9" style="2"/>
    <col min="5105" max="5105" width="2.375" style="2" customWidth="1"/>
    <col min="5106" max="5106" width="13.25" style="2" bestFit="1" customWidth="1"/>
    <col min="5107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33" width="11.125" style="2" bestFit="1" customWidth="1"/>
    <col min="5134" max="5134" width="9.625" style="2" bestFit="1" customWidth="1"/>
    <col min="5135" max="5360" width="9" style="2"/>
    <col min="5361" max="5361" width="2.375" style="2" customWidth="1"/>
    <col min="5362" max="5362" width="13.25" style="2" bestFit="1" customWidth="1"/>
    <col min="5363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9" width="11.125" style="2" bestFit="1" customWidth="1"/>
    <col min="5390" max="5390" width="9.625" style="2" bestFit="1" customWidth="1"/>
    <col min="5391" max="5616" width="9" style="2"/>
    <col min="5617" max="5617" width="2.375" style="2" customWidth="1"/>
    <col min="5618" max="5618" width="13.25" style="2" bestFit="1" customWidth="1"/>
    <col min="5619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45" width="11.125" style="2" bestFit="1" customWidth="1"/>
    <col min="5646" max="5646" width="9.625" style="2" bestFit="1" customWidth="1"/>
    <col min="5647" max="5872" width="9" style="2"/>
    <col min="5873" max="5873" width="2.375" style="2" customWidth="1"/>
    <col min="5874" max="5874" width="13.25" style="2" bestFit="1" customWidth="1"/>
    <col min="5875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901" width="11.125" style="2" bestFit="1" customWidth="1"/>
    <col min="5902" max="5902" width="9.625" style="2" bestFit="1" customWidth="1"/>
    <col min="5903" max="6128" width="9" style="2"/>
    <col min="6129" max="6129" width="2.375" style="2" customWidth="1"/>
    <col min="6130" max="6130" width="13.25" style="2" bestFit="1" customWidth="1"/>
    <col min="6131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7" width="11.125" style="2" bestFit="1" customWidth="1"/>
    <col min="6158" max="6158" width="9.625" style="2" bestFit="1" customWidth="1"/>
    <col min="6159" max="6384" width="9" style="2"/>
    <col min="6385" max="6385" width="2.375" style="2" customWidth="1"/>
    <col min="6386" max="6386" width="13.25" style="2" bestFit="1" customWidth="1"/>
    <col min="6387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13" width="11.125" style="2" bestFit="1" customWidth="1"/>
    <col min="6414" max="6414" width="9.625" style="2" bestFit="1" customWidth="1"/>
    <col min="6415" max="6640" width="9" style="2"/>
    <col min="6641" max="6641" width="2.375" style="2" customWidth="1"/>
    <col min="6642" max="6642" width="13.25" style="2" bestFit="1" customWidth="1"/>
    <col min="6643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9" width="11.125" style="2" bestFit="1" customWidth="1"/>
    <col min="6670" max="6670" width="9.625" style="2" bestFit="1" customWidth="1"/>
    <col min="6671" max="6896" width="9" style="2"/>
    <col min="6897" max="6897" width="2.375" style="2" customWidth="1"/>
    <col min="6898" max="6898" width="13.25" style="2" bestFit="1" customWidth="1"/>
    <col min="6899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25" width="11.125" style="2" bestFit="1" customWidth="1"/>
    <col min="6926" max="6926" width="9.625" style="2" bestFit="1" customWidth="1"/>
    <col min="6927" max="7152" width="9" style="2"/>
    <col min="7153" max="7153" width="2.375" style="2" customWidth="1"/>
    <col min="7154" max="7154" width="13.25" style="2" bestFit="1" customWidth="1"/>
    <col min="7155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81" width="11.125" style="2" bestFit="1" customWidth="1"/>
    <col min="7182" max="7182" width="9.625" style="2" bestFit="1" customWidth="1"/>
    <col min="7183" max="7408" width="9" style="2"/>
    <col min="7409" max="7409" width="2.375" style="2" customWidth="1"/>
    <col min="7410" max="7410" width="13.25" style="2" bestFit="1" customWidth="1"/>
    <col min="7411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7" width="11.125" style="2" bestFit="1" customWidth="1"/>
    <col min="7438" max="7438" width="9.625" style="2" bestFit="1" customWidth="1"/>
    <col min="7439" max="7664" width="9" style="2"/>
    <col min="7665" max="7665" width="2.375" style="2" customWidth="1"/>
    <col min="7666" max="7666" width="13.25" style="2" bestFit="1" customWidth="1"/>
    <col min="7667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93" width="11.125" style="2" bestFit="1" customWidth="1"/>
    <col min="7694" max="7694" width="9.625" style="2" bestFit="1" customWidth="1"/>
    <col min="7695" max="7920" width="9" style="2"/>
    <col min="7921" max="7921" width="2.375" style="2" customWidth="1"/>
    <col min="7922" max="7922" width="13.25" style="2" bestFit="1" customWidth="1"/>
    <col min="7923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9" width="11.125" style="2" bestFit="1" customWidth="1"/>
    <col min="7950" max="7950" width="9.625" style="2" bestFit="1" customWidth="1"/>
    <col min="7951" max="8176" width="9" style="2"/>
    <col min="8177" max="8177" width="2.375" style="2" customWidth="1"/>
    <col min="8178" max="8178" width="13.25" style="2" bestFit="1" customWidth="1"/>
    <col min="8179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205" width="11.125" style="2" bestFit="1" customWidth="1"/>
    <col min="8206" max="8206" width="9.625" style="2" bestFit="1" customWidth="1"/>
    <col min="8207" max="8432" width="9" style="2"/>
    <col min="8433" max="8433" width="2.375" style="2" customWidth="1"/>
    <col min="8434" max="8434" width="13.25" style="2" bestFit="1" customWidth="1"/>
    <col min="8435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61" width="11.125" style="2" bestFit="1" customWidth="1"/>
    <col min="8462" max="8462" width="9.625" style="2" bestFit="1" customWidth="1"/>
    <col min="8463" max="8688" width="9" style="2"/>
    <col min="8689" max="8689" width="2.375" style="2" customWidth="1"/>
    <col min="8690" max="8690" width="13.25" style="2" bestFit="1" customWidth="1"/>
    <col min="8691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7" width="11.125" style="2" bestFit="1" customWidth="1"/>
    <col min="8718" max="8718" width="9.625" style="2" bestFit="1" customWidth="1"/>
    <col min="8719" max="8944" width="9" style="2"/>
    <col min="8945" max="8945" width="2.375" style="2" customWidth="1"/>
    <col min="8946" max="8946" width="13.25" style="2" bestFit="1" customWidth="1"/>
    <col min="8947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73" width="11.125" style="2" bestFit="1" customWidth="1"/>
    <col min="8974" max="8974" width="9.625" style="2" bestFit="1" customWidth="1"/>
    <col min="8975" max="9200" width="9" style="2"/>
    <col min="9201" max="9201" width="2.375" style="2" customWidth="1"/>
    <col min="9202" max="9202" width="13.25" style="2" bestFit="1" customWidth="1"/>
    <col min="9203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9" width="11.125" style="2" bestFit="1" customWidth="1"/>
    <col min="9230" max="9230" width="9.625" style="2" bestFit="1" customWidth="1"/>
    <col min="9231" max="9456" width="9" style="2"/>
    <col min="9457" max="9457" width="2.375" style="2" customWidth="1"/>
    <col min="9458" max="9458" width="13.25" style="2" bestFit="1" customWidth="1"/>
    <col min="9459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85" width="11.125" style="2" bestFit="1" customWidth="1"/>
    <col min="9486" max="9486" width="9.625" style="2" bestFit="1" customWidth="1"/>
    <col min="9487" max="9712" width="9" style="2"/>
    <col min="9713" max="9713" width="2.375" style="2" customWidth="1"/>
    <col min="9714" max="9714" width="13.25" style="2" bestFit="1" customWidth="1"/>
    <col min="9715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41" width="11.125" style="2" bestFit="1" customWidth="1"/>
    <col min="9742" max="9742" width="9.625" style="2" bestFit="1" customWidth="1"/>
    <col min="9743" max="9968" width="9" style="2"/>
    <col min="9969" max="9969" width="2.375" style="2" customWidth="1"/>
    <col min="9970" max="9970" width="13.25" style="2" bestFit="1" customWidth="1"/>
    <col min="9971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7" width="11.125" style="2" bestFit="1" customWidth="1"/>
    <col min="9998" max="9998" width="9.625" style="2" bestFit="1" customWidth="1"/>
    <col min="9999" max="10224" width="9" style="2"/>
    <col min="10225" max="10225" width="2.375" style="2" customWidth="1"/>
    <col min="10226" max="10226" width="13.25" style="2" bestFit="1" customWidth="1"/>
    <col min="10227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53" width="11.125" style="2" bestFit="1" customWidth="1"/>
    <col min="10254" max="10254" width="9.625" style="2" bestFit="1" customWidth="1"/>
    <col min="10255" max="10480" width="9" style="2"/>
    <col min="10481" max="10481" width="2.375" style="2" customWidth="1"/>
    <col min="10482" max="10482" width="13.25" style="2" bestFit="1" customWidth="1"/>
    <col min="10483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9" width="11.125" style="2" bestFit="1" customWidth="1"/>
    <col min="10510" max="10510" width="9.625" style="2" bestFit="1" customWidth="1"/>
    <col min="10511" max="10736" width="9" style="2"/>
    <col min="10737" max="10737" width="2.375" style="2" customWidth="1"/>
    <col min="10738" max="10738" width="13.25" style="2" bestFit="1" customWidth="1"/>
    <col min="10739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65" width="11.125" style="2" bestFit="1" customWidth="1"/>
    <col min="10766" max="10766" width="9.625" style="2" bestFit="1" customWidth="1"/>
    <col min="10767" max="10992" width="9" style="2"/>
    <col min="10993" max="10993" width="2.375" style="2" customWidth="1"/>
    <col min="10994" max="10994" width="13.25" style="2" bestFit="1" customWidth="1"/>
    <col min="10995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21" width="11.125" style="2" bestFit="1" customWidth="1"/>
    <col min="11022" max="11022" width="9.625" style="2" bestFit="1" customWidth="1"/>
    <col min="11023" max="11248" width="9" style="2"/>
    <col min="11249" max="11249" width="2.375" style="2" customWidth="1"/>
    <col min="11250" max="11250" width="13.25" style="2" bestFit="1" customWidth="1"/>
    <col min="11251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7" width="11.125" style="2" bestFit="1" customWidth="1"/>
    <col min="11278" max="11278" width="9.625" style="2" bestFit="1" customWidth="1"/>
    <col min="11279" max="11504" width="9" style="2"/>
    <col min="11505" max="11505" width="2.375" style="2" customWidth="1"/>
    <col min="11506" max="11506" width="13.25" style="2" bestFit="1" customWidth="1"/>
    <col min="11507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33" width="11.125" style="2" bestFit="1" customWidth="1"/>
    <col min="11534" max="11534" width="9.625" style="2" bestFit="1" customWidth="1"/>
    <col min="11535" max="11760" width="9" style="2"/>
    <col min="11761" max="11761" width="2.375" style="2" customWidth="1"/>
    <col min="11762" max="11762" width="13.25" style="2" bestFit="1" customWidth="1"/>
    <col min="11763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9" width="11.125" style="2" bestFit="1" customWidth="1"/>
    <col min="11790" max="11790" width="9.625" style="2" bestFit="1" customWidth="1"/>
    <col min="11791" max="12016" width="9" style="2"/>
    <col min="12017" max="12017" width="2.375" style="2" customWidth="1"/>
    <col min="12018" max="12018" width="13.25" style="2" bestFit="1" customWidth="1"/>
    <col min="12019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45" width="11.125" style="2" bestFit="1" customWidth="1"/>
    <col min="12046" max="12046" width="9.625" style="2" bestFit="1" customWidth="1"/>
    <col min="12047" max="12272" width="9" style="2"/>
    <col min="12273" max="12273" width="2.375" style="2" customWidth="1"/>
    <col min="12274" max="12274" width="13.25" style="2" bestFit="1" customWidth="1"/>
    <col min="12275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301" width="11.125" style="2" bestFit="1" customWidth="1"/>
    <col min="12302" max="12302" width="9.625" style="2" bestFit="1" customWidth="1"/>
    <col min="12303" max="12528" width="9" style="2"/>
    <col min="12529" max="12529" width="2.375" style="2" customWidth="1"/>
    <col min="12530" max="12530" width="13.25" style="2" bestFit="1" customWidth="1"/>
    <col min="12531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7" width="11.125" style="2" bestFit="1" customWidth="1"/>
    <col min="12558" max="12558" width="9.625" style="2" bestFit="1" customWidth="1"/>
    <col min="12559" max="12784" width="9" style="2"/>
    <col min="12785" max="12785" width="2.375" style="2" customWidth="1"/>
    <col min="12786" max="12786" width="13.25" style="2" bestFit="1" customWidth="1"/>
    <col min="12787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13" width="11.125" style="2" bestFit="1" customWidth="1"/>
    <col min="12814" max="12814" width="9.625" style="2" bestFit="1" customWidth="1"/>
    <col min="12815" max="13040" width="9" style="2"/>
    <col min="13041" max="13041" width="2.375" style="2" customWidth="1"/>
    <col min="13042" max="13042" width="13.25" style="2" bestFit="1" customWidth="1"/>
    <col min="13043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9" width="11.125" style="2" bestFit="1" customWidth="1"/>
    <col min="13070" max="13070" width="9.625" style="2" bestFit="1" customWidth="1"/>
    <col min="13071" max="13296" width="9" style="2"/>
    <col min="13297" max="13297" width="2.375" style="2" customWidth="1"/>
    <col min="13298" max="13298" width="13.25" style="2" bestFit="1" customWidth="1"/>
    <col min="13299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25" width="11.125" style="2" bestFit="1" customWidth="1"/>
    <col min="13326" max="13326" width="9.625" style="2" bestFit="1" customWidth="1"/>
    <col min="13327" max="13552" width="9" style="2"/>
    <col min="13553" max="13553" width="2.375" style="2" customWidth="1"/>
    <col min="13554" max="13554" width="13.25" style="2" bestFit="1" customWidth="1"/>
    <col min="13555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81" width="11.125" style="2" bestFit="1" customWidth="1"/>
    <col min="13582" max="13582" width="9.625" style="2" bestFit="1" customWidth="1"/>
    <col min="13583" max="13808" width="9" style="2"/>
    <col min="13809" max="13809" width="2.375" style="2" customWidth="1"/>
    <col min="13810" max="13810" width="13.25" style="2" bestFit="1" customWidth="1"/>
    <col min="13811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7" width="11.125" style="2" bestFit="1" customWidth="1"/>
    <col min="13838" max="13838" width="9.625" style="2" bestFit="1" customWidth="1"/>
    <col min="13839" max="14064" width="9" style="2"/>
    <col min="14065" max="14065" width="2.375" style="2" customWidth="1"/>
    <col min="14066" max="14066" width="13.25" style="2" bestFit="1" customWidth="1"/>
    <col min="14067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93" width="11.125" style="2" bestFit="1" customWidth="1"/>
    <col min="14094" max="14094" width="9.625" style="2" bestFit="1" customWidth="1"/>
    <col min="14095" max="14320" width="9" style="2"/>
    <col min="14321" max="14321" width="2.375" style="2" customWidth="1"/>
    <col min="14322" max="14322" width="13.25" style="2" bestFit="1" customWidth="1"/>
    <col min="14323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9" width="11.125" style="2" bestFit="1" customWidth="1"/>
    <col min="14350" max="14350" width="9.625" style="2" bestFit="1" customWidth="1"/>
    <col min="14351" max="14576" width="9" style="2"/>
    <col min="14577" max="14577" width="2.375" style="2" customWidth="1"/>
    <col min="14578" max="14578" width="13.25" style="2" bestFit="1" customWidth="1"/>
    <col min="14579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605" width="11.125" style="2" bestFit="1" customWidth="1"/>
    <col min="14606" max="14606" width="9.625" style="2" bestFit="1" customWidth="1"/>
    <col min="14607" max="14832" width="9" style="2"/>
    <col min="14833" max="14833" width="2.375" style="2" customWidth="1"/>
    <col min="14834" max="14834" width="13.25" style="2" bestFit="1" customWidth="1"/>
    <col min="14835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61" width="11.125" style="2" bestFit="1" customWidth="1"/>
    <col min="14862" max="14862" width="9.625" style="2" bestFit="1" customWidth="1"/>
    <col min="14863" max="15088" width="9" style="2"/>
    <col min="15089" max="15089" width="2.375" style="2" customWidth="1"/>
    <col min="15090" max="15090" width="13.25" style="2" bestFit="1" customWidth="1"/>
    <col min="15091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7" width="11.125" style="2" bestFit="1" customWidth="1"/>
    <col min="15118" max="15118" width="9.625" style="2" bestFit="1" customWidth="1"/>
    <col min="15119" max="15344" width="9" style="2"/>
    <col min="15345" max="15345" width="2.375" style="2" customWidth="1"/>
    <col min="15346" max="15346" width="13.25" style="2" bestFit="1" customWidth="1"/>
    <col min="15347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73" width="11.125" style="2" bestFit="1" customWidth="1"/>
    <col min="15374" max="15374" width="9.625" style="2" bestFit="1" customWidth="1"/>
    <col min="15375" max="15600" width="9" style="2"/>
    <col min="15601" max="15601" width="2.375" style="2" customWidth="1"/>
    <col min="15602" max="15602" width="13.25" style="2" bestFit="1" customWidth="1"/>
    <col min="15603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9" width="11.125" style="2" bestFit="1" customWidth="1"/>
    <col min="15630" max="15630" width="9.625" style="2" bestFit="1" customWidth="1"/>
    <col min="15631" max="15856" width="9" style="2"/>
    <col min="15857" max="15857" width="2.375" style="2" customWidth="1"/>
    <col min="15858" max="15858" width="13.25" style="2" bestFit="1" customWidth="1"/>
    <col min="15859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85" width="11.125" style="2" bestFit="1" customWidth="1"/>
    <col min="15886" max="15886" width="9.625" style="2" bestFit="1" customWidth="1"/>
    <col min="15887" max="16112" width="9" style="2"/>
    <col min="16113" max="16113" width="2.375" style="2" customWidth="1"/>
    <col min="16114" max="16114" width="13.25" style="2" bestFit="1" customWidth="1"/>
    <col min="16115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41" width="11.125" style="2" bestFit="1" customWidth="1"/>
    <col min="16142" max="16142" width="9.625" style="2" bestFit="1" customWidth="1"/>
    <col min="16143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118</v>
      </c>
    </row>
    <row r="4" spans="1:17">
      <c r="B4" s="3"/>
      <c r="C4" s="8" t="s">
        <v>18</v>
      </c>
      <c r="D4" s="70" t="s">
        <v>5</v>
      </c>
      <c r="E4" s="8" t="s">
        <v>26</v>
      </c>
      <c r="F4" s="8" t="s">
        <v>27</v>
      </c>
      <c r="G4" s="8" t="s">
        <v>23</v>
      </c>
      <c r="H4" s="8" t="s">
        <v>24</v>
      </c>
      <c r="I4" s="8" t="s">
        <v>25</v>
      </c>
      <c r="J4" s="8" t="s">
        <v>28</v>
      </c>
      <c r="K4" s="9" t="s">
        <v>29</v>
      </c>
      <c r="L4" s="81" t="s">
        <v>120</v>
      </c>
      <c r="M4" s="44" t="s">
        <v>6</v>
      </c>
      <c r="N4" s="81" t="s">
        <v>120</v>
      </c>
      <c r="O4" s="4" t="s">
        <v>58</v>
      </c>
    </row>
    <row r="5" spans="1:17" ht="19.5" thickBot="1">
      <c r="A5" s="95"/>
      <c r="B5" s="26" t="s">
        <v>30</v>
      </c>
      <c r="C5" s="28" t="s">
        <v>46</v>
      </c>
      <c r="D5" s="71" t="s">
        <v>33</v>
      </c>
      <c r="E5" s="28" t="s">
        <v>54</v>
      </c>
      <c r="F5" s="28" t="s">
        <v>55</v>
      </c>
      <c r="G5" s="28" t="s">
        <v>51</v>
      </c>
      <c r="H5" s="28" t="s">
        <v>52</v>
      </c>
      <c r="I5" s="28" t="s">
        <v>53</v>
      </c>
      <c r="J5" s="28" t="s">
        <v>56</v>
      </c>
      <c r="K5" s="29" t="s">
        <v>57</v>
      </c>
      <c r="L5" s="82" t="s">
        <v>124</v>
      </c>
      <c r="M5" s="45" t="s">
        <v>34</v>
      </c>
      <c r="N5" s="82" t="s">
        <v>121</v>
      </c>
      <c r="O5" s="94" t="s">
        <v>122</v>
      </c>
    </row>
    <row r="6" spans="1:17">
      <c r="A6" s="1" t="s">
        <v>2</v>
      </c>
      <c r="B6" s="22" t="s">
        <v>59</v>
      </c>
      <c r="C6" s="24">
        <v>20</v>
      </c>
      <c r="D6" s="72">
        <v>22</v>
      </c>
      <c r="E6" s="24">
        <v>14</v>
      </c>
      <c r="F6" s="24">
        <v>15</v>
      </c>
      <c r="G6" s="24">
        <v>10</v>
      </c>
      <c r="H6" s="24">
        <v>10</v>
      </c>
      <c r="I6" s="24">
        <v>10</v>
      </c>
      <c r="J6" s="24">
        <v>4</v>
      </c>
      <c r="K6" s="25">
        <v>19</v>
      </c>
      <c r="L6" s="83">
        <f>SUM(C6:K6)</f>
        <v>124</v>
      </c>
      <c r="M6" s="46">
        <v>22</v>
      </c>
      <c r="N6" s="83">
        <f>SUM(M6)</f>
        <v>22</v>
      </c>
      <c r="O6" s="83">
        <v>450</v>
      </c>
      <c r="Q6"/>
    </row>
    <row r="7" spans="1:17">
      <c r="A7" s="1" t="s">
        <v>2</v>
      </c>
      <c r="B7" s="5" t="s">
        <v>60</v>
      </c>
      <c r="C7" s="11">
        <v>0</v>
      </c>
      <c r="D7" s="73">
        <v>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2">
        <v>0</v>
      </c>
      <c r="L7" s="84">
        <f>SUM(C7:K7)</f>
        <v>4</v>
      </c>
      <c r="M7" s="47">
        <v>0</v>
      </c>
      <c r="N7" s="84"/>
      <c r="O7" s="84">
        <v>41</v>
      </c>
      <c r="Q7"/>
    </row>
    <row r="8" spans="1:17">
      <c r="A8" s="1" t="s">
        <v>2</v>
      </c>
      <c r="B8" s="5" t="s">
        <v>61</v>
      </c>
      <c r="C8" s="11">
        <v>0</v>
      </c>
      <c r="D8" s="73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2">
        <v>0</v>
      </c>
      <c r="L8" s="84"/>
      <c r="M8" s="47">
        <v>0</v>
      </c>
      <c r="N8" s="84"/>
      <c r="O8" s="84">
        <v>20</v>
      </c>
      <c r="Q8"/>
    </row>
    <row r="9" spans="1:17">
      <c r="A9" s="1" t="s">
        <v>2</v>
      </c>
      <c r="B9" s="5" t="s">
        <v>62</v>
      </c>
      <c r="C9" s="11">
        <v>0</v>
      </c>
      <c r="D9" s="73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2">
        <v>0</v>
      </c>
      <c r="L9" s="84"/>
      <c r="M9" s="47">
        <v>0</v>
      </c>
      <c r="N9" s="84"/>
      <c r="O9" s="84">
        <v>2</v>
      </c>
      <c r="Q9"/>
    </row>
    <row r="10" spans="1:17">
      <c r="A10" s="1" t="s">
        <v>2</v>
      </c>
      <c r="B10" s="5" t="s">
        <v>63</v>
      </c>
      <c r="C10" s="11">
        <v>2</v>
      </c>
      <c r="D10" s="73">
        <v>0</v>
      </c>
      <c r="E10" s="11">
        <v>0</v>
      </c>
      <c r="F10" s="11">
        <v>0</v>
      </c>
      <c r="G10" s="11">
        <v>1</v>
      </c>
      <c r="H10" s="11">
        <v>1</v>
      </c>
      <c r="I10" s="11">
        <v>1</v>
      </c>
      <c r="J10" s="11">
        <v>0</v>
      </c>
      <c r="K10" s="12">
        <v>3</v>
      </c>
      <c r="L10" s="84">
        <f>SUM(C10:K10)</f>
        <v>8</v>
      </c>
      <c r="M10" s="47">
        <v>0</v>
      </c>
      <c r="N10" s="84"/>
      <c r="O10" s="84">
        <v>26</v>
      </c>
      <c r="Q10"/>
    </row>
    <row r="11" spans="1:17">
      <c r="A11" s="1" t="s">
        <v>2</v>
      </c>
      <c r="B11" s="5" t="s">
        <v>64</v>
      </c>
      <c r="C11" s="11">
        <v>0</v>
      </c>
      <c r="D11" s="73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2">
        <v>0</v>
      </c>
      <c r="L11" s="84"/>
      <c r="M11" s="47">
        <v>0</v>
      </c>
      <c r="N11" s="84"/>
      <c r="O11" s="84">
        <v>2</v>
      </c>
      <c r="Q11"/>
    </row>
    <row r="12" spans="1:17">
      <c r="A12" s="1" t="s">
        <v>2</v>
      </c>
      <c r="B12" s="5" t="s">
        <v>65</v>
      </c>
      <c r="C12" s="11">
        <v>0</v>
      </c>
      <c r="D12" s="73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2">
        <v>0</v>
      </c>
      <c r="L12" s="84"/>
      <c r="M12" s="47">
        <v>0</v>
      </c>
      <c r="N12" s="84"/>
      <c r="O12" s="84">
        <v>46.9</v>
      </c>
      <c r="Q12"/>
    </row>
    <row r="13" spans="1:17">
      <c r="A13" s="1" t="s">
        <v>2</v>
      </c>
      <c r="B13" s="5" t="s">
        <v>66</v>
      </c>
      <c r="C13" s="11">
        <v>0</v>
      </c>
      <c r="D13" s="73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2">
        <v>0</v>
      </c>
      <c r="L13" s="84"/>
      <c r="M13" s="47">
        <v>0</v>
      </c>
      <c r="N13" s="84"/>
      <c r="O13" s="84">
        <v>6</v>
      </c>
      <c r="Q13"/>
    </row>
    <row r="14" spans="1:17">
      <c r="A14" s="1" t="s">
        <v>2</v>
      </c>
      <c r="B14" s="5" t="s">
        <v>67</v>
      </c>
      <c r="C14" s="14">
        <v>0</v>
      </c>
      <c r="D14" s="74">
        <v>0</v>
      </c>
      <c r="E14" s="14">
        <v>3.875</v>
      </c>
      <c r="F14" s="14">
        <v>3.875</v>
      </c>
      <c r="G14" s="14">
        <v>2.9583333333333335</v>
      </c>
      <c r="H14" s="14">
        <v>2.9166666666666665</v>
      </c>
      <c r="I14" s="14">
        <v>2.9166666666666665</v>
      </c>
      <c r="J14" s="14">
        <v>1.3333333333333333</v>
      </c>
      <c r="K14" s="15">
        <v>3.4166666666666665</v>
      </c>
      <c r="L14" s="85">
        <f>SUM(C14:K14)</f>
        <v>21.291666666666668</v>
      </c>
      <c r="M14" s="48">
        <v>0</v>
      </c>
      <c r="N14" s="85"/>
      <c r="O14" s="85">
        <v>21.291666666666668</v>
      </c>
      <c r="Q14"/>
    </row>
    <row r="15" spans="1:17">
      <c r="A15" s="1" t="s">
        <v>2</v>
      </c>
      <c r="B15" s="5" t="s">
        <v>68</v>
      </c>
      <c r="C15" s="14">
        <v>0</v>
      </c>
      <c r="D15" s="74">
        <v>1.625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4.1666666666666664E-2</v>
      </c>
      <c r="K15" s="15">
        <v>0</v>
      </c>
      <c r="L15" s="85">
        <f>SUM(C15:K15)</f>
        <v>1.6666666666666667</v>
      </c>
      <c r="M15" s="48">
        <v>0</v>
      </c>
      <c r="N15" s="85"/>
      <c r="O15" s="85">
        <v>32.041666666666664</v>
      </c>
      <c r="Q15"/>
    </row>
    <row r="16" spans="1:17">
      <c r="A16" s="1" t="s">
        <v>2</v>
      </c>
      <c r="B16" s="5" t="s">
        <v>69</v>
      </c>
      <c r="C16" s="14">
        <v>0</v>
      </c>
      <c r="D16" s="74">
        <v>1.0833333333333333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>
        <v>0</v>
      </c>
      <c r="L16" s="85">
        <f>SUM(C16:K16)</f>
        <v>1.0833333333333333</v>
      </c>
      <c r="M16" s="48">
        <v>0</v>
      </c>
      <c r="N16" s="85"/>
      <c r="O16" s="85">
        <v>15.833333333333334</v>
      </c>
      <c r="Q16"/>
    </row>
    <row r="17" spans="1:17">
      <c r="A17" s="1" t="s">
        <v>2</v>
      </c>
      <c r="B17" s="5" t="s">
        <v>70</v>
      </c>
      <c r="C17" s="14">
        <v>0</v>
      </c>
      <c r="D17" s="7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5">
        <v>0</v>
      </c>
      <c r="L17" s="85"/>
      <c r="M17" s="48">
        <v>0</v>
      </c>
      <c r="N17" s="85"/>
      <c r="O17" s="85">
        <v>7.541666666666667</v>
      </c>
      <c r="Q17"/>
    </row>
    <row r="18" spans="1:17">
      <c r="A18" s="1" t="s">
        <v>2</v>
      </c>
      <c r="B18" s="5" t="s">
        <v>71</v>
      </c>
      <c r="C18" s="14">
        <v>0</v>
      </c>
      <c r="D18" s="7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5">
        <v>0</v>
      </c>
      <c r="L18" s="85"/>
      <c r="M18" s="48">
        <v>0</v>
      </c>
      <c r="N18" s="85"/>
      <c r="O18" s="85">
        <v>0.25</v>
      </c>
      <c r="Q18"/>
    </row>
    <row r="19" spans="1:17">
      <c r="A19" s="1" t="s">
        <v>2</v>
      </c>
      <c r="B19" s="5" t="s">
        <v>72</v>
      </c>
      <c r="C19" s="14">
        <v>0</v>
      </c>
      <c r="D19" s="7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5">
        <v>0</v>
      </c>
      <c r="L19" s="85"/>
      <c r="M19" s="48">
        <v>0</v>
      </c>
      <c r="N19" s="85"/>
      <c r="O19" s="85">
        <v>0</v>
      </c>
      <c r="Q19"/>
    </row>
    <row r="20" spans="1:17">
      <c r="A20" s="1" t="s">
        <v>2</v>
      </c>
      <c r="B20" s="5" t="s">
        <v>73</v>
      </c>
      <c r="C20" s="14">
        <v>0</v>
      </c>
      <c r="D20" s="7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5">
        <v>0</v>
      </c>
      <c r="L20" s="85"/>
      <c r="M20" s="48">
        <v>0</v>
      </c>
      <c r="N20" s="85"/>
      <c r="O20" s="85">
        <v>0</v>
      </c>
      <c r="Q20"/>
    </row>
    <row r="21" spans="1:17">
      <c r="A21" s="1" t="s">
        <v>2</v>
      </c>
      <c r="B21" s="5" t="s">
        <v>74</v>
      </c>
      <c r="C21" s="14">
        <v>0</v>
      </c>
      <c r="D21" s="74">
        <v>0</v>
      </c>
      <c r="E21" s="14">
        <v>0</v>
      </c>
      <c r="F21" s="14">
        <v>0</v>
      </c>
      <c r="G21" s="14">
        <v>0.29166666666666669</v>
      </c>
      <c r="H21" s="14">
        <v>0.29166666666666669</v>
      </c>
      <c r="I21" s="14">
        <v>0.29166666666666669</v>
      </c>
      <c r="J21" s="14">
        <v>0</v>
      </c>
      <c r="K21" s="15">
        <v>0.5</v>
      </c>
      <c r="L21" s="85">
        <f>SUM(C21:K21)</f>
        <v>1.375</v>
      </c>
      <c r="M21" s="48">
        <v>0</v>
      </c>
      <c r="N21" s="85"/>
      <c r="O21" s="85">
        <v>1.375</v>
      </c>
      <c r="Q21"/>
    </row>
    <row r="22" spans="1:17">
      <c r="A22" s="1" t="s">
        <v>2</v>
      </c>
      <c r="B22" s="5" t="s">
        <v>75</v>
      </c>
      <c r="C22" s="14">
        <v>0</v>
      </c>
      <c r="D22" s="7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5">
        <v>0</v>
      </c>
      <c r="L22" s="85"/>
      <c r="M22" s="48">
        <v>0</v>
      </c>
      <c r="N22" s="85"/>
      <c r="O22" s="85">
        <v>0</v>
      </c>
      <c r="Q22"/>
    </row>
    <row r="23" spans="1:17">
      <c r="A23" s="1" t="s">
        <v>2</v>
      </c>
      <c r="B23" s="5" t="s">
        <v>76</v>
      </c>
      <c r="C23" s="14">
        <v>1.4583333333333333</v>
      </c>
      <c r="D23" s="74">
        <v>0</v>
      </c>
      <c r="E23" s="14">
        <v>0</v>
      </c>
      <c r="F23" s="14">
        <v>0</v>
      </c>
      <c r="G23" s="14">
        <v>2.0833333333333335</v>
      </c>
      <c r="H23" s="14">
        <v>2.0833333333333335</v>
      </c>
      <c r="I23" s="14">
        <v>2.0833333333333335</v>
      </c>
      <c r="J23" s="14">
        <v>0</v>
      </c>
      <c r="K23" s="15">
        <v>0</v>
      </c>
      <c r="L23" s="85">
        <f t="shared" ref="L23:L64" si="0">SUM(C23:K23)</f>
        <v>7.7083333333333339</v>
      </c>
      <c r="M23" s="48">
        <v>0</v>
      </c>
      <c r="N23" s="85"/>
      <c r="O23" s="85">
        <v>16.916666666666668</v>
      </c>
      <c r="Q23"/>
    </row>
    <row r="24" spans="1:17" ht="19.5" thickBot="1">
      <c r="A24" s="1" t="s">
        <v>2</v>
      </c>
      <c r="B24" s="6" t="s">
        <v>77</v>
      </c>
      <c r="C24" s="34">
        <v>23</v>
      </c>
      <c r="D24" s="75">
        <v>40</v>
      </c>
      <c r="E24" s="34">
        <v>21</v>
      </c>
      <c r="F24" s="34">
        <v>21</v>
      </c>
      <c r="G24" s="34">
        <v>6</v>
      </c>
      <c r="H24" s="34">
        <v>5</v>
      </c>
      <c r="I24" s="34">
        <v>3</v>
      </c>
      <c r="J24" s="34">
        <v>4</v>
      </c>
      <c r="K24" s="35">
        <v>13</v>
      </c>
      <c r="L24" s="86">
        <f t="shared" si="0"/>
        <v>136</v>
      </c>
      <c r="M24" s="49">
        <v>40</v>
      </c>
      <c r="N24" s="86">
        <f>SUM(M24)</f>
        <v>40</v>
      </c>
      <c r="O24" s="86">
        <v>596</v>
      </c>
      <c r="Q24"/>
    </row>
    <row r="25" spans="1:17">
      <c r="A25" s="1" t="s">
        <v>2</v>
      </c>
      <c r="B25" s="22" t="s">
        <v>78</v>
      </c>
      <c r="C25" s="31">
        <v>355000</v>
      </c>
      <c r="D25" s="76">
        <v>280000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2">
        <v>0</v>
      </c>
      <c r="L25" s="87">
        <f t="shared" si="0"/>
        <v>635000</v>
      </c>
      <c r="M25" s="50">
        <v>375000</v>
      </c>
      <c r="N25" s="87">
        <f>SUM(M25)</f>
        <v>375000</v>
      </c>
      <c r="O25" s="87">
        <v>3862000</v>
      </c>
      <c r="Q25"/>
    </row>
    <row r="26" spans="1:17">
      <c r="A26" s="1" t="s">
        <v>2</v>
      </c>
      <c r="B26" s="5" t="s">
        <v>79</v>
      </c>
      <c r="C26" s="17">
        <v>0</v>
      </c>
      <c r="D26" s="7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8">
        <v>0</v>
      </c>
      <c r="L26" s="88">
        <f t="shared" si="0"/>
        <v>0</v>
      </c>
      <c r="M26" s="51">
        <v>0</v>
      </c>
      <c r="N26" s="88">
        <f t="shared" ref="N26:N65" si="1">SUM(M26)</f>
        <v>0</v>
      </c>
      <c r="O26" s="88">
        <v>35000</v>
      </c>
      <c r="Q26"/>
    </row>
    <row r="27" spans="1:17">
      <c r="A27" s="1" t="s">
        <v>2</v>
      </c>
      <c r="B27" s="5" t="s">
        <v>80</v>
      </c>
      <c r="C27" s="17">
        <v>0</v>
      </c>
      <c r="D27" s="77">
        <v>3000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8">
        <v>0</v>
      </c>
      <c r="L27" s="88">
        <f t="shared" si="0"/>
        <v>3000</v>
      </c>
      <c r="M27" s="51">
        <v>0</v>
      </c>
      <c r="N27" s="88">
        <f t="shared" si="1"/>
        <v>0</v>
      </c>
      <c r="O27" s="88">
        <v>6000</v>
      </c>
      <c r="Q27"/>
    </row>
    <row r="28" spans="1:17">
      <c r="A28" s="1" t="s">
        <v>2</v>
      </c>
      <c r="B28" s="5" t="s">
        <v>81</v>
      </c>
      <c r="C28" s="17">
        <v>0</v>
      </c>
      <c r="D28" s="7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8">
        <v>0</v>
      </c>
      <c r="L28" s="88">
        <f t="shared" si="0"/>
        <v>0</v>
      </c>
      <c r="M28" s="51">
        <v>0</v>
      </c>
      <c r="N28" s="88">
        <f t="shared" si="1"/>
        <v>0</v>
      </c>
      <c r="O28" s="88">
        <v>0</v>
      </c>
      <c r="Q28"/>
    </row>
    <row r="29" spans="1:17">
      <c r="A29" s="1" t="s">
        <v>2</v>
      </c>
      <c r="B29" s="5" t="s">
        <v>82</v>
      </c>
      <c r="C29" s="17">
        <v>0</v>
      </c>
      <c r="D29" s="7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8">
        <v>0</v>
      </c>
      <c r="L29" s="88">
        <f t="shared" si="0"/>
        <v>0</v>
      </c>
      <c r="M29" s="51">
        <v>0</v>
      </c>
      <c r="N29" s="88">
        <f t="shared" si="1"/>
        <v>0</v>
      </c>
      <c r="O29" s="88">
        <v>140802</v>
      </c>
      <c r="Q29"/>
    </row>
    <row r="30" spans="1:17">
      <c r="A30" s="1" t="s">
        <v>2</v>
      </c>
      <c r="B30" s="5" t="s">
        <v>83</v>
      </c>
      <c r="C30" s="17">
        <v>0</v>
      </c>
      <c r="D30" s="77">
        <v>0</v>
      </c>
      <c r="E30" s="17">
        <v>85560</v>
      </c>
      <c r="F30" s="17">
        <v>85560</v>
      </c>
      <c r="G30" s="17">
        <v>59640</v>
      </c>
      <c r="H30" s="17">
        <v>58800</v>
      </c>
      <c r="I30" s="17">
        <v>58800</v>
      </c>
      <c r="J30" s="17">
        <v>26560</v>
      </c>
      <c r="K30" s="18">
        <v>68880</v>
      </c>
      <c r="L30" s="88">
        <f t="shared" si="0"/>
        <v>443800</v>
      </c>
      <c r="M30" s="51">
        <v>0</v>
      </c>
      <c r="N30" s="88">
        <f t="shared" si="1"/>
        <v>0</v>
      </c>
      <c r="O30" s="88">
        <v>443800</v>
      </c>
      <c r="Q30"/>
    </row>
    <row r="31" spans="1:17">
      <c r="A31" s="1" t="s">
        <v>2</v>
      </c>
      <c r="B31" s="5" t="s">
        <v>84</v>
      </c>
      <c r="C31" s="17">
        <v>0</v>
      </c>
      <c r="D31" s="7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8">
        <v>0</v>
      </c>
      <c r="L31" s="88">
        <f t="shared" si="0"/>
        <v>0</v>
      </c>
      <c r="M31" s="51">
        <v>0</v>
      </c>
      <c r="N31" s="88">
        <f t="shared" si="1"/>
        <v>0</v>
      </c>
      <c r="O31" s="88">
        <v>0</v>
      </c>
      <c r="Q31"/>
    </row>
    <row r="32" spans="1:17">
      <c r="A32" s="1" t="s">
        <v>2</v>
      </c>
      <c r="B32" s="5" t="s">
        <v>85</v>
      </c>
      <c r="C32" s="17">
        <v>0</v>
      </c>
      <c r="D32" s="7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8">
        <v>0</v>
      </c>
      <c r="L32" s="88">
        <f t="shared" si="0"/>
        <v>0</v>
      </c>
      <c r="M32" s="51">
        <v>0</v>
      </c>
      <c r="N32" s="88">
        <f t="shared" si="1"/>
        <v>0</v>
      </c>
      <c r="O32" s="88">
        <v>0</v>
      </c>
      <c r="Q32"/>
    </row>
    <row r="33" spans="1:17">
      <c r="A33" s="1" t="s">
        <v>2</v>
      </c>
      <c r="B33" s="5" t="s">
        <v>86</v>
      </c>
      <c r="C33" s="17">
        <v>0</v>
      </c>
      <c r="D33" s="7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8">
        <v>0</v>
      </c>
      <c r="L33" s="88">
        <f t="shared" si="0"/>
        <v>0</v>
      </c>
      <c r="M33" s="51">
        <v>0</v>
      </c>
      <c r="N33" s="88">
        <f t="shared" si="1"/>
        <v>0</v>
      </c>
      <c r="O33" s="88">
        <v>13000</v>
      </c>
      <c r="Q33"/>
    </row>
    <row r="34" spans="1:17">
      <c r="A34" s="1" t="s">
        <v>2</v>
      </c>
      <c r="B34" s="5" t="s">
        <v>87</v>
      </c>
      <c r="C34" s="17">
        <v>0</v>
      </c>
      <c r="D34" s="77">
        <v>0</v>
      </c>
      <c r="E34" s="17">
        <v>0</v>
      </c>
      <c r="F34" s="17">
        <v>0</v>
      </c>
      <c r="G34" s="17">
        <v>5880</v>
      </c>
      <c r="H34" s="17">
        <v>5880</v>
      </c>
      <c r="I34" s="17">
        <v>5880</v>
      </c>
      <c r="J34" s="17">
        <v>0</v>
      </c>
      <c r="K34" s="18">
        <v>10080</v>
      </c>
      <c r="L34" s="88">
        <f t="shared" si="0"/>
        <v>27720</v>
      </c>
      <c r="M34" s="51">
        <v>0</v>
      </c>
      <c r="N34" s="88">
        <f t="shared" si="1"/>
        <v>0</v>
      </c>
      <c r="O34" s="88">
        <v>27720</v>
      </c>
      <c r="Q34"/>
    </row>
    <row r="35" spans="1:17">
      <c r="A35" s="1" t="s">
        <v>2</v>
      </c>
      <c r="B35" s="5" t="s">
        <v>88</v>
      </c>
      <c r="C35" s="17">
        <v>0</v>
      </c>
      <c r="D35" s="7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8">
        <v>0</v>
      </c>
      <c r="L35" s="88">
        <f t="shared" si="0"/>
        <v>0</v>
      </c>
      <c r="M35" s="51">
        <v>0</v>
      </c>
      <c r="N35" s="88">
        <f t="shared" si="1"/>
        <v>0</v>
      </c>
      <c r="O35" s="88">
        <v>0</v>
      </c>
      <c r="Q35"/>
    </row>
    <row r="36" spans="1:17">
      <c r="A36" s="1" t="s">
        <v>2</v>
      </c>
      <c r="B36" s="5" t="s">
        <v>89</v>
      </c>
      <c r="C36" s="17">
        <v>0</v>
      </c>
      <c r="D36" s="7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8">
        <v>0</v>
      </c>
      <c r="L36" s="88">
        <f t="shared" si="0"/>
        <v>0</v>
      </c>
      <c r="M36" s="51">
        <v>0</v>
      </c>
      <c r="N36" s="88">
        <f t="shared" si="1"/>
        <v>0</v>
      </c>
      <c r="O36" s="88">
        <v>0</v>
      </c>
      <c r="Q36"/>
    </row>
    <row r="37" spans="1:17">
      <c r="A37" s="1" t="s">
        <v>2</v>
      </c>
      <c r="B37" s="5" t="s">
        <v>90</v>
      </c>
      <c r="C37" s="17">
        <v>0</v>
      </c>
      <c r="D37" s="7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8">
        <v>0</v>
      </c>
      <c r="L37" s="88">
        <f t="shared" si="0"/>
        <v>0</v>
      </c>
      <c r="M37" s="51">
        <v>0</v>
      </c>
      <c r="N37" s="88">
        <f t="shared" si="1"/>
        <v>0</v>
      </c>
      <c r="O37" s="88">
        <v>0</v>
      </c>
      <c r="Q37"/>
    </row>
    <row r="38" spans="1:17">
      <c r="A38" s="1" t="s">
        <v>2</v>
      </c>
      <c r="B38" s="5" t="s">
        <v>91</v>
      </c>
      <c r="C38" s="17">
        <v>0</v>
      </c>
      <c r="D38" s="7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8">
        <v>0</v>
      </c>
      <c r="L38" s="88">
        <f t="shared" si="0"/>
        <v>0</v>
      </c>
      <c r="M38" s="51">
        <v>0</v>
      </c>
      <c r="N38" s="88">
        <f t="shared" si="1"/>
        <v>0</v>
      </c>
      <c r="O38" s="89">
        <v>-209211</v>
      </c>
      <c r="Q38"/>
    </row>
    <row r="39" spans="1:17">
      <c r="A39" s="1" t="s">
        <v>2</v>
      </c>
      <c r="B39" s="5" t="s">
        <v>68</v>
      </c>
      <c r="C39" s="17">
        <v>0</v>
      </c>
      <c r="D39" s="77">
        <v>82641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1038</v>
      </c>
      <c r="K39" s="18">
        <v>0</v>
      </c>
      <c r="L39" s="88">
        <f t="shared" si="0"/>
        <v>83679</v>
      </c>
      <c r="M39" s="51">
        <v>0</v>
      </c>
      <c r="N39" s="88">
        <f t="shared" si="1"/>
        <v>0</v>
      </c>
      <c r="O39" s="88">
        <v>1077982</v>
      </c>
      <c r="Q39"/>
    </row>
    <row r="40" spans="1:17">
      <c r="A40" s="1" t="s">
        <v>2</v>
      </c>
      <c r="B40" s="5" t="s">
        <v>92</v>
      </c>
      <c r="C40" s="17">
        <v>0</v>
      </c>
      <c r="D40" s="77">
        <v>59488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8">
        <v>0</v>
      </c>
      <c r="L40" s="88">
        <f t="shared" si="0"/>
        <v>59488</v>
      </c>
      <c r="M40" s="51">
        <v>0</v>
      </c>
      <c r="N40" s="88">
        <f t="shared" si="1"/>
        <v>0</v>
      </c>
      <c r="O40" s="88">
        <v>581780</v>
      </c>
      <c r="Q40"/>
    </row>
    <row r="41" spans="1:17">
      <c r="A41" s="1" t="s">
        <v>2</v>
      </c>
      <c r="B41" s="5" t="s">
        <v>93</v>
      </c>
      <c r="C41" s="17">
        <v>0</v>
      </c>
      <c r="D41" s="7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8">
        <v>0</v>
      </c>
      <c r="L41" s="88">
        <f t="shared" si="0"/>
        <v>0</v>
      </c>
      <c r="M41" s="51">
        <v>0</v>
      </c>
      <c r="N41" s="88">
        <f t="shared" si="1"/>
        <v>0</v>
      </c>
      <c r="O41" s="88">
        <v>263214</v>
      </c>
      <c r="Q41"/>
    </row>
    <row r="42" spans="1:17">
      <c r="A42" s="1" t="s">
        <v>2</v>
      </c>
      <c r="B42" s="5" t="s">
        <v>94</v>
      </c>
      <c r="C42" s="17">
        <v>0</v>
      </c>
      <c r="D42" s="7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8">
        <v>0</v>
      </c>
      <c r="L42" s="88">
        <f t="shared" si="0"/>
        <v>0</v>
      </c>
      <c r="M42" s="51">
        <v>0</v>
      </c>
      <c r="N42" s="88">
        <f t="shared" si="1"/>
        <v>0</v>
      </c>
      <c r="O42" s="88">
        <v>2136</v>
      </c>
      <c r="Q42"/>
    </row>
    <row r="43" spans="1:17">
      <c r="A43" s="1" t="s">
        <v>2</v>
      </c>
      <c r="B43" s="5" t="s">
        <v>95</v>
      </c>
      <c r="C43" s="17">
        <v>0</v>
      </c>
      <c r="D43" s="7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8">
        <v>0</v>
      </c>
      <c r="L43" s="88">
        <f t="shared" si="0"/>
        <v>0</v>
      </c>
      <c r="M43" s="51">
        <v>0</v>
      </c>
      <c r="N43" s="88">
        <f t="shared" si="1"/>
        <v>0</v>
      </c>
      <c r="O43" s="88">
        <v>3357</v>
      </c>
      <c r="Q43"/>
    </row>
    <row r="44" spans="1:17">
      <c r="A44" s="1" t="s">
        <v>2</v>
      </c>
      <c r="B44" s="5" t="s">
        <v>96</v>
      </c>
      <c r="C44" s="17">
        <v>0</v>
      </c>
      <c r="D44" s="7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8">
        <v>0</v>
      </c>
      <c r="L44" s="88">
        <f t="shared" si="0"/>
        <v>0</v>
      </c>
      <c r="M44" s="51">
        <v>0</v>
      </c>
      <c r="N44" s="88">
        <f t="shared" si="1"/>
        <v>0</v>
      </c>
      <c r="O44" s="88">
        <v>55498</v>
      </c>
      <c r="Q44"/>
    </row>
    <row r="45" spans="1:17">
      <c r="A45" s="1" t="s">
        <v>2</v>
      </c>
      <c r="B45" s="5" t="s">
        <v>73</v>
      </c>
      <c r="C45" s="17">
        <v>0</v>
      </c>
      <c r="D45" s="7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8">
        <v>0</v>
      </c>
      <c r="L45" s="88">
        <f t="shared" si="0"/>
        <v>0</v>
      </c>
      <c r="M45" s="51">
        <v>0</v>
      </c>
      <c r="N45" s="88">
        <f t="shared" si="1"/>
        <v>0</v>
      </c>
      <c r="O45" s="88">
        <v>0</v>
      </c>
      <c r="Q45"/>
    </row>
    <row r="46" spans="1:17" ht="19.5" thickBot="1">
      <c r="A46" s="1" t="s">
        <v>2</v>
      </c>
      <c r="B46" s="36" t="s">
        <v>76</v>
      </c>
      <c r="C46" s="38">
        <v>18620</v>
      </c>
      <c r="D46" s="78">
        <v>0</v>
      </c>
      <c r="E46" s="38">
        <v>0</v>
      </c>
      <c r="F46" s="38">
        <v>0</v>
      </c>
      <c r="G46" s="38">
        <v>10500</v>
      </c>
      <c r="H46" s="38">
        <v>10500</v>
      </c>
      <c r="I46" s="38">
        <v>10500</v>
      </c>
      <c r="J46" s="38">
        <v>0</v>
      </c>
      <c r="K46" s="39">
        <v>0</v>
      </c>
      <c r="L46" s="90">
        <f t="shared" si="0"/>
        <v>50120</v>
      </c>
      <c r="M46" s="52">
        <v>0</v>
      </c>
      <c r="N46" s="90">
        <f t="shared" si="1"/>
        <v>0</v>
      </c>
      <c r="O46" s="90">
        <v>110737</v>
      </c>
      <c r="Q46"/>
    </row>
    <row r="47" spans="1:17" ht="19.5" thickBot="1">
      <c r="A47" s="1" t="s">
        <v>2</v>
      </c>
      <c r="B47" s="40" t="s">
        <v>97</v>
      </c>
      <c r="C47" s="42">
        <v>373620</v>
      </c>
      <c r="D47" s="79">
        <v>425129</v>
      </c>
      <c r="E47" s="42">
        <v>85560</v>
      </c>
      <c r="F47" s="42">
        <v>85560</v>
      </c>
      <c r="G47" s="42">
        <v>76020</v>
      </c>
      <c r="H47" s="42">
        <v>75180</v>
      </c>
      <c r="I47" s="42">
        <v>75180</v>
      </c>
      <c r="J47" s="42">
        <v>27598</v>
      </c>
      <c r="K47" s="43">
        <v>78960</v>
      </c>
      <c r="L47" s="91">
        <f t="shared" si="0"/>
        <v>1302807</v>
      </c>
      <c r="M47" s="53">
        <v>375000</v>
      </c>
      <c r="N47" s="91">
        <f t="shared" si="1"/>
        <v>375000</v>
      </c>
      <c r="O47" s="91">
        <v>6413815</v>
      </c>
      <c r="Q47"/>
    </row>
    <row r="48" spans="1:17" ht="19.5" thickBot="1">
      <c r="A48" s="1" t="s">
        <v>2</v>
      </c>
      <c r="B48" s="22" t="s">
        <v>98</v>
      </c>
      <c r="C48" s="31">
        <v>3601</v>
      </c>
      <c r="D48" s="76">
        <v>6106</v>
      </c>
      <c r="E48" s="31">
        <v>2923</v>
      </c>
      <c r="F48" s="31">
        <v>1957</v>
      </c>
      <c r="G48" s="31">
        <v>3132</v>
      </c>
      <c r="H48" s="31">
        <v>3914</v>
      </c>
      <c r="I48" s="31">
        <v>4175</v>
      </c>
      <c r="J48" s="31">
        <v>1357</v>
      </c>
      <c r="K48" s="32">
        <v>6941</v>
      </c>
      <c r="L48" s="87">
        <f t="shared" si="0"/>
        <v>34106</v>
      </c>
      <c r="M48" s="50">
        <v>8141</v>
      </c>
      <c r="N48" s="87">
        <f t="shared" si="1"/>
        <v>8141</v>
      </c>
      <c r="O48" s="87">
        <v>132614</v>
      </c>
      <c r="Q48"/>
    </row>
    <row r="49" spans="1:17" ht="19.5" thickBot="1">
      <c r="A49" s="1" t="s">
        <v>2</v>
      </c>
      <c r="B49" s="40" t="s">
        <v>99</v>
      </c>
      <c r="C49" s="42">
        <v>3601</v>
      </c>
      <c r="D49" s="79">
        <v>6106</v>
      </c>
      <c r="E49" s="42">
        <v>2923</v>
      </c>
      <c r="F49" s="42">
        <v>1957</v>
      </c>
      <c r="G49" s="42">
        <v>3132</v>
      </c>
      <c r="H49" s="42">
        <v>3914</v>
      </c>
      <c r="I49" s="42">
        <v>4175</v>
      </c>
      <c r="J49" s="42">
        <v>1357</v>
      </c>
      <c r="K49" s="43">
        <v>6941</v>
      </c>
      <c r="L49" s="91">
        <f t="shared" si="0"/>
        <v>34106</v>
      </c>
      <c r="M49" s="53">
        <v>8141</v>
      </c>
      <c r="N49" s="91">
        <f t="shared" si="1"/>
        <v>8141</v>
      </c>
      <c r="O49" s="91">
        <v>132614</v>
      </c>
      <c r="Q49"/>
    </row>
    <row r="50" spans="1:17" ht="19.5" thickBot="1">
      <c r="A50" s="1" t="s">
        <v>2</v>
      </c>
      <c r="B50" s="40" t="s">
        <v>100</v>
      </c>
      <c r="C50" s="42">
        <v>377221</v>
      </c>
      <c r="D50" s="79">
        <v>431235</v>
      </c>
      <c r="E50" s="42">
        <v>88483</v>
      </c>
      <c r="F50" s="42">
        <v>87517</v>
      </c>
      <c r="G50" s="42">
        <v>79152</v>
      </c>
      <c r="H50" s="42">
        <v>79094</v>
      </c>
      <c r="I50" s="42">
        <v>79355</v>
      </c>
      <c r="J50" s="42">
        <v>28955</v>
      </c>
      <c r="K50" s="43">
        <v>85901</v>
      </c>
      <c r="L50" s="91">
        <f t="shared" si="0"/>
        <v>1336913</v>
      </c>
      <c r="M50" s="53">
        <v>383141</v>
      </c>
      <c r="N50" s="91">
        <f t="shared" si="1"/>
        <v>383141</v>
      </c>
      <c r="O50" s="91">
        <v>6546429</v>
      </c>
      <c r="Q50"/>
    </row>
    <row r="51" spans="1:17">
      <c r="A51" s="1" t="s">
        <v>2</v>
      </c>
      <c r="B51" s="22" t="s">
        <v>101</v>
      </c>
      <c r="C51" s="31">
        <v>19380</v>
      </c>
      <c r="D51" s="76">
        <v>19380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2">
        <v>0</v>
      </c>
      <c r="L51" s="87">
        <f t="shared" si="0"/>
        <v>38760</v>
      </c>
      <c r="M51" s="50">
        <v>19380</v>
      </c>
      <c r="N51" s="87">
        <f t="shared" si="1"/>
        <v>19380</v>
      </c>
      <c r="O51" s="87">
        <v>347820</v>
      </c>
      <c r="Q51"/>
    </row>
    <row r="52" spans="1:17">
      <c r="A52" s="1" t="s">
        <v>2</v>
      </c>
      <c r="B52" s="5" t="s">
        <v>102</v>
      </c>
      <c r="C52" s="17">
        <v>3420</v>
      </c>
      <c r="D52" s="77">
        <v>3420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8">
        <v>0</v>
      </c>
      <c r="L52" s="88">
        <f t="shared" si="0"/>
        <v>6840</v>
      </c>
      <c r="M52" s="51">
        <v>3420</v>
      </c>
      <c r="N52" s="88">
        <f t="shared" si="1"/>
        <v>3420</v>
      </c>
      <c r="O52" s="88">
        <v>53640</v>
      </c>
      <c r="Q52"/>
    </row>
    <row r="53" spans="1:17">
      <c r="A53" s="1" t="s">
        <v>2</v>
      </c>
      <c r="B53" s="5" t="s">
        <v>103</v>
      </c>
      <c r="C53" s="17">
        <v>34770</v>
      </c>
      <c r="D53" s="77">
        <v>34770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8">
        <v>0</v>
      </c>
      <c r="L53" s="88">
        <f t="shared" si="0"/>
        <v>69540</v>
      </c>
      <c r="M53" s="51">
        <v>34770</v>
      </c>
      <c r="N53" s="88">
        <f t="shared" si="1"/>
        <v>34770</v>
      </c>
      <c r="O53" s="88">
        <v>624030</v>
      </c>
      <c r="Q53"/>
    </row>
    <row r="54" spans="1:17" ht="19.5" thickBot="1">
      <c r="A54" s="1" t="s">
        <v>2</v>
      </c>
      <c r="B54" s="5" t="s">
        <v>104</v>
      </c>
      <c r="C54" s="17">
        <v>1132</v>
      </c>
      <c r="D54" s="77">
        <v>1294</v>
      </c>
      <c r="E54" s="17">
        <v>265</v>
      </c>
      <c r="F54" s="17">
        <v>263</v>
      </c>
      <c r="G54" s="17">
        <v>0</v>
      </c>
      <c r="H54" s="17">
        <v>0</v>
      </c>
      <c r="I54" s="17">
        <v>0</v>
      </c>
      <c r="J54" s="17">
        <v>0</v>
      </c>
      <c r="K54" s="18">
        <v>258</v>
      </c>
      <c r="L54" s="88">
        <f t="shared" si="0"/>
        <v>3212</v>
      </c>
      <c r="M54" s="51">
        <v>1149</v>
      </c>
      <c r="N54" s="88">
        <f t="shared" si="1"/>
        <v>1149</v>
      </c>
      <c r="O54" s="88">
        <v>18839</v>
      </c>
      <c r="Q54"/>
    </row>
    <row r="55" spans="1:17" ht="19.5" thickBot="1">
      <c r="A55" s="1" t="s">
        <v>2</v>
      </c>
      <c r="B55" s="40" t="s">
        <v>105</v>
      </c>
      <c r="C55" s="42">
        <v>58702</v>
      </c>
      <c r="D55" s="79">
        <v>58864</v>
      </c>
      <c r="E55" s="42">
        <v>265</v>
      </c>
      <c r="F55" s="42">
        <v>263</v>
      </c>
      <c r="G55" s="42">
        <v>0</v>
      </c>
      <c r="H55" s="42">
        <v>0</v>
      </c>
      <c r="I55" s="42">
        <v>0</v>
      </c>
      <c r="J55" s="42">
        <v>0</v>
      </c>
      <c r="K55" s="43">
        <v>258</v>
      </c>
      <c r="L55" s="91">
        <f t="shared" si="0"/>
        <v>118352</v>
      </c>
      <c r="M55" s="53">
        <v>58719</v>
      </c>
      <c r="N55" s="91">
        <f t="shared" si="1"/>
        <v>58719</v>
      </c>
      <c r="O55" s="91">
        <v>1044329</v>
      </c>
      <c r="Q55"/>
    </row>
    <row r="56" spans="1:17">
      <c r="A56" s="1" t="s">
        <v>2</v>
      </c>
      <c r="B56" s="22" t="s">
        <v>106</v>
      </c>
      <c r="C56" s="31">
        <v>9600</v>
      </c>
      <c r="D56" s="76">
        <v>10560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2">
        <v>0</v>
      </c>
      <c r="L56" s="87">
        <f t="shared" si="0"/>
        <v>20160</v>
      </c>
      <c r="M56" s="50">
        <v>9710</v>
      </c>
      <c r="N56" s="87">
        <f t="shared" si="1"/>
        <v>9710</v>
      </c>
      <c r="O56" s="87">
        <v>125980</v>
      </c>
      <c r="Q56"/>
    </row>
    <row r="57" spans="1:17">
      <c r="A57" s="1" t="s">
        <v>2</v>
      </c>
      <c r="B57" s="5" t="s">
        <v>107</v>
      </c>
      <c r="C57" s="17">
        <v>0</v>
      </c>
      <c r="D57" s="7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8">
        <v>0</v>
      </c>
      <c r="L57" s="88">
        <f t="shared" si="0"/>
        <v>0</v>
      </c>
      <c r="M57" s="51">
        <v>0</v>
      </c>
      <c r="N57" s="88">
        <f t="shared" si="1"/>
        <v>0</v>
      </c>
      <c r="O57" s="88">
        <v>14300</v>
      </c>
      <c r="Q57"/>
    </row>
    <row r="58" spans="1:17">
      <c r="A58" s="1" t="s">
        <v>2</v>
      </c>
      <c r="B58" s="5" t="s">
        <v>108</v>
      </c>
      <c r="C58" s="17">
        <v>16300</v>
      </c>
      <c r="D58" s="77">
        <v>17200</v>
      </c>
      <c r="E58" s="17">
        <v>700</v>
      </c>
      <c r="F58" s="17">
        <v>700</v>
      </c>
      <c r="G58" s="17">
        <v>6000</v>
      </c>
      <c r="H58" s="17">
        <v>6000</v>
      </c>
      <c r="I58" s="17">
        <v>6000</v>
      </c>
      <c r="J58" s="17">
        <v>0</v>
      </c>
      <c r="K58" s="18">
        <v>12600</v>
      </c>
      <c r="L58" s="88">
        <f t="shared" si="0"/>
        <v>65500</v>
      </c>
      <c r="M58" s="51">
        <v>18500</v>
      </c>
      <c r="N58" s="88">
        <f t="shared" si="1"/>
        <v>18500</v>
      </c>
      <c r="O58" s="88">
        <v>289700</v>
      </c>
      <c r="Q58"/>
    </row>
    <row r="59" spans="1:17" ht="19.5" thickBot="1">
      <c r="A59" s="1" t="s">
        <v>2</v>
      </c>
      <c r="B59" s="5" t="s">
        <v>109</v>
      </c>
      <c r="C59" s="17">
        <v>0</v>
      </c>
      <c r="D59" s="7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8">
        <v>0</v>
      </c>
      <c r="L59" s="88">
        <f t="shared" si="0"/>
        <v>0</v>
      </c>
      <c r="M59" s="51">
        <v>0</v>
      </c>
      <c r="N59" s="88">
        <f t="shared" si="1"/>
        <v>0</v>
      </c>
      <c r="O59" s="89">
        <v>-86011</v>
      </c>
      <c r="Q59"/>
    </row>
    <row r="60" spans="1:17" ht="19.5" thickBot="1">
      <c r="A60" s="1" t="s">
        <v>2</v>
      </c>
      <c r="B60" s="40" t="s">
        <v>110</v>
      </c>
      <c r="C60" s="42">
        <v>84602</v>
      </c>
      <c r="D60" s="79">
        <v>86624</v>
      </c>
      <c r="E60" s="42">
        <v>965</v>
      </c>
      <c r="F60" s="42">
        <v>963</v>
      </c>
      <c r="G60" s="42">
        <v>6000</v>
      </c>
      <c r="H60" s="42">
        <v>6000</v>
      </c>
      <c r="I60" s="42">
        <v>6000</v>
      </c>
      <c r="J60" s="42">
        <v>0</v>
      </c>
      <c r="K60" s="43">
        <v>12858</v>
      </c>
      <c r="L60" s="91">
        <f t="shared" si="0"/>
        <v>204012</v>
      </c>
      <c r="M60" s="53">
        <v>86929</v>
      </c>
      <c r="N60" s="91">
        <f t="shared" si="1"/>
        <v>86929</v>
      </c>
      <c r="O60" s="91">
        <v>1388298</v>
      </c>
      <c r="Q60"/>
    </row>
    <row r="61" spans="1:17" ht="19.5" thickBot="1">
      <c r="A61" s="1" t="s">
        <v>2</v>
      </c>
      <c r="B61" s="40" t="s">
        <v>111</v>
      </c>
      <c r="C61" s="42">
        <v>314918</v>
      </c>
      <c r="D61" s="79">
        <v>366265</v>
      </c>
      <c r="E61" s="42">
        <v>85295</v>
      </c>
      <c r="F61" s="42">
        <v>85297</v>
      </c>
      <c r="G61" s="42">
        <v>76020</v>
      </c>
      <c r="H61" s="42">
        <v>75180</v>
      </c>
      <c r="I61" s="42">
        <v>75180</v>
      </c>
      <c r="J61" s="42">
        <v>27598</v>
      </c>
      <c r="K61" s="43">
        <v>78702</v>
      </c>
      <c r="L61" s="91">
        <f t="shared" si="0"/>
        <v>1184455</v>
      </c>
      <c r="M61" s="53">
        <v>316281</v>
      </c>
      <c r="N61" s="91">
        <f t="shared" si="1"/>
        <v>316281</v>
      </c>
      <c r="O61" s="91">
        <v>5369486</v>
      </c>
      <c r="Q61"/>
    </row>
    <row r="62" spans="1:17" ht="19.5" thickBot="1">
      <c r="A62" s="1" t="s">
        <v>2</v>
      </c>
      <c r="B62" s="40" t="s">
        <v>112</v>
      </c>
      <c r="C62" s="42">
        <v>292619</v>
      </c>
      <c r="D62" s="79">
        <v>344611</v>
      </c>
      <c r="E62" s="42">
        <v>87518</v>
      </c>
      <c r="F62" s="42">
        <v>86554</v>
      </c>
      <c r="G62" s="42">
        <v>73152</v>
      </c>
      <c r="H62" s="42">
        <v>73094</v>
      </c>
      <c r="I62" s="42">
        <v>73355</v>
      </c>
      <c r="J62" s="42">
        <v>28955</v>
      </c>
      <c r="K62" s="43">
        <v>73043</v>
      </c>
      <c r="L62" s="91">
        <f t="shared" si="0"/>
        <v>1132901</v>
      </c>
      <c r="M62" s="53">
        <v>296212</v>
      </c>
      <c r="N62" s="91">
        <f t="shared" si="1"/>
        <v>296212</v>
      </c>
      <c r="O62" s="91">
        <v>5158131</v>
      </c>
      <c r="Q62"/>
    </row>
    <row r="63" spans="1:17">
      <c r="A63" s="1" t="s">
        <v>2</v>
      </c>
      <c r="B63" s="22" t="s">
        <v>113</v>
      </c>
      <c r="C63" s="31">
        <v>0</v>
      </c>
      <c r="D63" s="76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2">
        <v>0</v>
      </c>
      <c r="L63" s="87">
        <f t="shared" si="0"/>
        <v>0</v>
      </c>
      <c r="M63" s="50">
        <v>0</v>
      </c>
      <c r="N63" s="87">
        <f t="shared" si="1"/>
        <v>0</v>
      </c>
      <c r="O63" s="87">
        <v>0</v>
      </c>
      <c r="Q63"/>
    </row>
    <row r="64" spans="1:17">
      <c r="A64" s="1" t="s">
        <v>2</v>
      </c>
      <c r="B64" s="5" t="s">
        <v>114</v>
      </c>
      <c r="C64" s="17">
        <v>292619</v>
      </c>
      <c r="D64" s="77">
        <v>344611</v>
      </c>
      <c r="E64" s="17">
        <v>87518</v>
      </c>
      <c r="F64" s="17">
        <v>86554</v>
      </c>
      <c r="G64" s="17">
        <v>73152</v>
      </c>
      <c r="H64" s="17">
        <v>73094</v>
      </c>
      <c r="I64" s="17">
        <v>73355</v>
      </c>
      <c r="J64" s="17">
        <v>28955</v>
      </c>
      <c r="K64" s="18">
        <v>73043</v>
      </c>
      <c r="L64" s="88">
        <f t="shared" si="0"/>
        <v>1132901</v>
      </c>
      <c r="M64" s="51">
        <v>296212</v>
      </c>
      <c r="N64" s="88">
        <f t="shared" si="1"/>
        <v>296212</v>
      </c>
      <c r="O64" s="88">
        <v>5158131</v>
      </c>
      <c r="Q64"/>
    </row>
    <row r="65" spans="1:15">
      <c r="A65" s="1" t="s">
        <v>2</v>
      </c>
      <c r="B65" s="5" t="s">
        <v>115</v>
      </c>
      <c r="C65" s="17">
        <v>0</v>
      </c>
      <c r="D65" s="77">
        <v>1</v>
      </c>
      <c r="E65" s="17">
        <v>0</v>
      </c>
      <c r="F65" s="17">
        <v>0</v>
      </c>
      <c r="G65" s="17">
        <v>1</v>
      </c>
      <c r="H65" s="17">
        <v>1</v>
      </c>
      <c r="I65" s="17">
        <v>1</v>
      </c>
      <c r="J65" s="17">
        <v>1</v>
      </c>
      <c r="K65" s="18">
        <v>1</v>
      </c>
      <c r="L65" s="88"/>
      <c r="M65" s="51">
        <v>0</v>
      </c>
      <c r="N65" s="88">
        <f t="shared" si="1"/>
        <v>0</v>
      </c>
      <c r="O65" s="88"/>
    </row>
    <row r="66" spans="1:15" ht="19.5" thickBot="1">
      <c r="A66" s="1" t="s">
        <v>2</v>
      </c>
      <c r="B66" s="6" t="s">
        <v>116</v>
      </c>
      <c r="C66" s="20" t="s">
        <v>117</v>
      </c>
      <c r="D66" s="80" t="s">
        <v>117</v>
      </c>
      <c r="E66" s="20" t="s">
        <v>117</v>
      </c>
      <c r="F66" s="20" t="s">
        <v>117</v>
      </c>
      <c r="G66" s="20" t="s">
        <v>117</v>
      </c>
      <c r="H66" s="20" t="s">
        <v>117</v>
      </c>
      <c r="I66" s="20" t="s">
        <v>117</v>
      </c>
      <c r="J66" s="20" t="s">
        <v>117</v>
      </c>
      <c r="K66" s="21" t="s">
        <v>117</v>
      </c>
      <c r="L66" s="93"/>
      <c r="M66" s="54" t="s">
        <v>117</v>
      </c>
      <c r="N66" s="93"/>
      <c r="O66" s="93"/>
    </row>
  </sheetData>
  <phoneticPr fontId="3"/>
  <pageMargins left="0.11811023622047245" right="0.31496062992125984" top="0.15748031496062992" bottom="0.15748031496062992" header="0.31496062992125984" footer="0.31496062992125984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900E-8872-487E-BF5F-D687952F2EC1}">
  <sheetPr>
    <pageSetUpPr fitToPage="1"/>
  </sheetPr>
  <dimension ref="A1:T66"/>
  <sheetViews>
    <sheetView showZeros="0" topLeftCell="I1" workbookViewId="0">
      <selection activeCell="T6" sqref="T6"/>
    </sheetView>
  </sheetViews>
  <sheetFormatPr defaultRowHeight="18.75"/>
  <cols>
    <col min="1" max="1" width="2.375" style="2" customWidth="1"/>
    <col min="2" max="2" width="13.25" style="2" bestFit="1" customWidth="1"/>
    <col min="3" max="20" width="12" style="2" customWidth="1"/>
    <col min="21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5" width="11.125" style="2" bestFit="1" customWidth="1"/>
    <col min="266" max="266" width="9" style="2"/>
    <col min="267" max="274" width="11.125" style="2" bestFit="1" customWidth="1"/>
    <col min="275" max="275" width="9.625" style="2" bestFit="1" customWidth="1"/>
    <col min="276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1" width="11.125" style="2" bestFit="1" customWidth="1"/>
    <col min="522" max="522" width="9" style="2"/>
    <col min="523" max="530" width="11.125" style="2" bestFit="1" customWidth="1"/>
    <col min="531" max="531" width="9.625" style="2" bestFit="1" customWidth="1"/>
    <col min="532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7" width="11.125" style="2" bestFit="1" customWidth="1"/>
    <col min="778" max="778" width="9" style="2"/>
    <col min="779" max="786" width="11.125" style="2" bestFit="1" customWidth="1"/>
    <col min="787" max="787" width="9.625" style="2" bestFit="1" customWidth="1"/>
    <col min="788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3" width="11.125" style="2" bestFit="1" customWidth="1"/>
    <col min="1034" max="1034" width="9" style="2"/>
    <col min="1035" max="1042" width="11.125" style="2" bestFit="1" customWidth="1"/>
    <col min="1043" max="1043" width="9.625" style="2" bestFit="1" customWidth="1"/>
    <col min="1044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89" width="11.125" style="2" bestFit="1" customWidth="1"/>
    <col min="1290" max="1290" width="9" style="2"/>
    <col min="1291" max="1298" width="11.125" style="2" bestFit="1" customWidth="1"/>
    <col min="1299" max="1299" width="9.625" style="2" bestFit="1" customWidth="1"/>
    <col min="1300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5" width="11.125" style="2" bestFit="1" customWidth="1"/>
    <col min="1546" max="1546" width="9" style="2"/>
    <col min="1547" max="1554" width="11.125" style="2" bestFit="1" customWidth="1"/>
    <col min="1555" max="1555" width="9.625" style="2" bestFit="1" customWidth="1"/>
    <col min="1556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1" width="11.125" style="2" bestFit="1" customWidth="1"/>
    <col min="1802" max="1802" width="9" style="2"/>
    <col min="1803" max="1810" width="11.125" style="2" bestFit="1" customWidth="1"/>
    <col min="1811" max="1811" width="9.625" style="2" bestFit="1" customWidth="1"/>
    <col min="1812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7" width="11.125" style="2" bestFit="1" customWidth="1"/>
    <col min="2058" max="2058" width="9" style="2"/>
    <col min="2059" max="2066" width="11.125" style="2" bestFit="1" customWidth="1"/>
    <col min="2067" max="2067" width="9.625" style="2" bestFit="1" customWidth="1"/>
    <col min="2068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3" width="11.125" style="2" bestFit="1" customWidth="1"/>
    <col min="2314" max="2314" width="9" style="2"/>
    <col min="2315" max="2322" width="11.125" style="2" bestFit="1" customWidth="1"/>
    <col min="2323" max="2323" width="9.625" style="2" bestFit="1" customWidth="1"/>
    <col min="2324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69" width="11.125" style="2" bestFit="1" customWidth="1"/>
    <col min="2570" max="2570" width="9" style="2"/>
    <col min="2571" max="2578" width="11.125" style="2" bestFit="1" customWidth="1"/>
    <col min="2579" max="2579" width="9.625" style="2" bestFit="1" customWidth="1"/>
    <col min="2580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5" width="11.125" style="2" bestFit="1" customWidth="1"/>
    <col min="2826" max="2826" width="9" style="2"/>
    <col min="2827" max="2834" width="11.125" style="2" bestFit="1" customWidth="1"/>
    <col min="2835" max="2835" width="9.625" style="2" bestFit="1" customWidth="1"/>
    <col min="2836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1" width="11.125" style="2" bestFit="1" customWidth="1"/>
    <col min="3082" max="3082" width="9" style="2"/>
    <col min="3083" max="3090" width="11.125" style="2" bestFit="1" customWidth="1"/>
    <col min="3091" max="3091" width="9.625" style="2" bestFit="1" customWidth="1"/>
    <col min="3092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7" width="11.125" style="2" bestFit="1" customWidth="1"/>
    <col min="3338" max="3338" width="9" style="2"/>
    <col min="3339" max="3346" width="11.125" style="2" bestFit="1" customWidth="1"/>
    <col min="3347" max="3347" width="9.625" style="2" bestFit="1" customWidth="1"/>
    <col min="3348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3" width="11.125" style="2" bestFit="1" customWidth="1"/>
    <col min="3594" max="3594" width="9" style="2"/>
    <col min="3595" max="3602" width="11.125" style="2" bestFit="1" customWidth="1"/>
    <col min="3603" max="3603" width="9.625" style="2" bestFit="1" customWidth="1"/>
    <col min="3604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49" width="11.125" style="2" bestFit="1" customWidth="1"/>
    <col min="3850" max="3850" width="9" style="2"/>
    <col min="3851" max="3858" width="11.125" style="2" bestFit="1" customWidth="1"/>
    <col min="3859" max="3859" width="9.625" style="2" bestFit="1" customWidth="1"/>
    <col min="3860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5" width="11.125" style="2" bestFit="1" customWidth="1"/>
    <col min="4106" max="4106" width="9" style="2"/>
    <col min="4107" max="4114" width="11.125" style="2" bestFit="1" customWidth="1"/>
    <col min="4115" max="4115" width="9.625" style="2" bestFit="1" customWidth="1"/>
    <col min="4116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1" width="11.125" style="2" bestFit="1" customWidth="1"/>
    <col min="4362" max="4362" width="9" style="2"/>
    <col min="4363" max="4370" width="11.125" style="2" bestFit="1" customWidth="1"/>
    <col min="4371" max="4371" width="9.625" style="2" bestFit="1" customWidth="1"/>
    <col min="4372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7" width="11.125" style="2" bestFit="1" customWidth="1"/>
    <col min="4618" max="4618" width="9" style="2"/>
    <col min="4619" max="4626" width="11.125" style="2" bestFit="1" customWidth="1"/>
    <col min="4627" max="4627" width="9.625" style="2" bestFit="1" customWidth="1"/>
    <col min="4628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3" width="11.125" style="2" bestFit="1" customWidth="1"/>
    <col min="4874" max="4874" width="9" style="2"/>
    <col min="4875" max="4882" width="11.125" style="2" bestFit="1" customWidth="1"/>
    <col min="4883" max="4883" width="9.625" style="2" bestFit="1" customWidth="1"/>
    <col min="4884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29" width="11.125" style="2" bestFit="1" customWidth="1"/>
    <col min="5130" max="5130" width="9" style="2"/>
    <col min="5131" max="5138" width="11.125" style="2" bestFit="1" customWidth="1"/>
    <col min="5139" max="5139" width="9.625" style="2" bestFit="1" customWidth="1"/>
    <col min="5140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5" width="11.125" style="2" bestFit="1" customWidth="1"/>
    <col min="5386" max="5386" width="9" style="2"/>
    <col min="5387" max="5394" width="11.125" style="2" bestFit="1" customWidth="1"/>
    <col min="5395" max="5395" width="9.625" style="2" bestFit="1" customWidth="1"/>
    <col min="5396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1" width="11.125" style="2" bestFit="1" customWidth="1"/>
    <col min="5642" max="5642" width="9" style="2"/>
    <col min="5643" max="5650" width="11.125" style="2" bestFit="1" customWidth="1"/>
    <col min="5651" max="5651" width="9.625" style="2" bestFit="1" customWidth="1"/>
    <col min="5652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7" width="11.125" style="2" bestFit="1" customWidth="1"/>
    <col min="5898" max="5898" width="9" style="2"/>
    <col min="5899" max="5906" width="11.125" style="2" bestFit="1" customWidth="1"/>
    <col min="5907" max="5907" width="9.625" style="2" bestFit="1" customWidth="1"/>
    <col min="5908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3" width="11.125" style="2" bestFit="1" customWidth="1"/>
    <col min="6154" max="6154" width="9" style="2"/>
    <col min="6155" max="6162" width="11.125" style="2" bestFit="1" customWidth="1"/>
    <col min="6163" max="6163" width="9.625" style="2" bestFit="1" customWidth="1"/>
    <col min="6164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09" width="11.125" style="2" bestFit="1" customWidth="1"/>
    <col min="6410" max="6410" width="9" style="2"/>
    <col min="6411" max="6418" width="11.125" style="2" bestFit="1" customWidth="1"/>
    <col min="6419" max="6419" width="9.625" style="2" bestFit="1" customWidth="1"/>
    <col min="6420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5" width="11.125" style="2" bestFit="1" customWidth="1"/>
    <col min="6666" max="6666" width="9" style="2"/>
    <col min="6667" max="6674" width="11.125" style="2" bestFit="1" customWidth="1"/>
    <col min="6675" max="6675" width="9.625" style="2" bestFit="1" customWidth="1"/>
    <col min="6676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1" width="11.125" style="2" bestFit="1" customWidth="1"/>
    <col min="6922" max="6922" width="9" style="2"/>
    <col min="6923" max="6930" width="11.125" style="2" bestFit="1" customWidth="1"/>
    <col min="6931" max="6931" width="9.625" style="2" bestFit="1" customWidth="1"/>
    <col min="6932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7" width="11.125" style="2" bestFit="1" customWidth="1"/>
    <col min="7178" max="7178" width="9" style="2"/>
    <col min="7179" max="7186" width="11.125" style="2" bestFit="1" customWidth="1"/>
    <col min="7187" max="7187" width="9.625" style="2" bestFit="1" customWidth="1"/>
    <col min="7188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3" width="11.125" style="2" bestFit="1" customWidth="1"/>
    <col min="7434" max="7434" width="9" style="2"/>
    <col min="7435" max="7442" width="11.125" style="2" bestFit="1" customWidth="1"/>
    <col min="7443" max="7443" width="9.625" style="2" bestFit="1" customWidth="1"/>
    <col min="7444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89" width="11.125" style="2" bestFit="1" customWidth="1"/>
    <col min="7690" max="7690" width="9" style="2"/>
    <col min="7691" max="7698" width="11.125" style="2" bestFit="1" customWidth="1"/>
    <col min="7699" max="7699" width="9.625" style="2" bestFit="1" customWidth="1"/>
    <col min="7700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5" width="11.125" style="2" bestFit="1" customWidth="1"/>
    <col min="7946" max="7946" width="9" style="2"/>
    <col min="7947" max="7954" width="11.125" style="2" bestFit="1" customWidth="1"/>
    <col min="7955" max="7955" width="9.625" style="2" bestFit="1" customWidth="1"/>
    <col min="7956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1" width="11.125" style="2" bestFit="1" customWidth="1"/>
    <col min="8202" max="8202" width="9" style="2"/>
    <col min="8203" max="8210" width="11.125" style="2" bestFit="1" customWidth="1"/>
    <col min="8211" max="8211" width="9.625" style="2" bestFit="1" customWidth="1"/>
    <col min="8212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7" width="11.125" style="2" bestFit="1" customWidth="1"/>
    <col min="8458" max="8458" width="9" style="2"/>
    <col min="8459" max="8466" width="11.125" style="2" bestFit="1" customWidth="1"/>
    <col min="8467" max="8467" width="9.625" style="2" bestFit="1" customWidth="1"/>
    <col min="8468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3" width="11.125" style="2" bestFit="1" customWidth="1"/>
    <col min="8714" max="8714" width="9" style="2"/>
    <col min="8715" max="8722" width="11.125" style="2" bestFit="1" customWidth="1"/>
    <col min="8723" max="8723" width="9.625" style="2" bestFit="1" customWidth="1"/>
    <col min="8724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69" width="11.125" style="2" bestFit="1" customWidth="1"/>
    <col min="8970" max="8970" width="9" style="2"/>
    <col min="8971" max="8978" width="11.125" style="2" bestFit="1" customWidth="1"/>
    <col min="8979" max="8979" width="9.625" style="2" bestFit="1" customWidth="1"/>
    <col min="8980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5" width="11.125" style="2" bestFit="1" customWidth="1"/>
    <col min="9226" max="9226" width="9" style="2"/>
    <col min="9227" max="9234" width="11.125" style="2" bestFit="1" customWidth="1"/>
    <col min="9235" max="9235" width="9.625" style="2" bestFit="1" customWidth="1"/>
    <col min="9236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1" width="11.125" style="2" bestFit="1" customWidth="1"/>
    <col min="9482" max="9482" width="9" style="2"/>
    <col min="9483" max="9490" width="11.125" style="2" bestFit="1" customWidth="1"/>
    <col min="9491" max="9491" width="9.625" style="2" bestFit="1" customWidth="1"/>
    <col min="9492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7" width="11.125" style="2" bestFit="1" customWidth="1"/>
    <col min="9738" max="9738" width="9" style="2"/>
    <col min="9739" max="9746" width="11.125" style="2" bestFit="1" customWidth="1"/>
    <col min="9747" max="9747" width="9.625" style="2" bestFit="1" customWidth="1"/>
    <col min="9748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3" width="11.125" style="2" bestFit="1" customWidth="1"/>
    <col min="9994" max="9994" width="9" style="2"/>
    <col min="9995" max="10002" width="11.125" style="2" bestFit="1" customWidth="1"/>
    <col min="10003" max="10003" width="9.625" style="2" bestFit="1" customWidth="1"/>
    <col min="10004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49" width="11.125" style="2" bestFit="1" customWidth="1"/>
    <col min="10250" max="10250" width="9" style="2"/>
    <col min="10251" max="10258" width="11.125" style="2" bestFit="1" customWidth="1"/>
    <col min="10259" max="10259" width="9.625" style="2" bestFit="1" customWidth="1"/>
    <col min="10260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5" width="11.125" style="2" bestFit="1" customWidth="1"/>
    <col min="10506" max="10506" width="9" style="2"/>
    <col min="10507" max="10514" width="11.125" style="2" bestFit="1" customWidth="1"/>
    <col min="10515" max="10515" width="9.625" style="2" bestFit="1" customWidth="1"/>
    <col min="10516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1" width="11.125" style="2" bestFit="1" customWidth="1"/>
    <col min="10762" max="10762" width="9" style="2"/>
    <col min="10763" max="10770" width="11.125" style="2" bestFit="1" customWidth="1"/>
    <col min="10771" max="10771" width="9.625" style="2" bestFit="1" customWidth="1"/>
    <col min="10772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7" width="11.125" style="2" bestFit="1" customWidth="1"/>
    <col min="11018" max="11018" width="9" style="2"/>
    <col min="11019" max="11026" width="11.125" style="2" bestFit="1" customWidth="1"/>
    <col min="11027" max="11027" width="9.625" style="2" bestFit="1" customWidth="1"/>
    <col min="11028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3" width="11.125" style="2" bestFit="1" customWidth="1"/>
    <col min="11274" max="11274" width="9" style="2"/>
    <col min="11275" max="11282" width="11.125" style="2" bestFit="1" customWidth="1"/>
    <col min="11283" max="11283" width="9.625" style="2" bestFit="1" customWidth="1"/>
    <col min="11284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29" width="11.125" style="2" bestFit="1" customWidth="1"/>
    <col min="11530" max="11530" width="9" style="2"/>
    <col min="11531" max="11538" width="11.125" style="2" bestFit="1" customWidth="1"/>
    <col min="11539" max="11539" width="9.625" style="2" bestFit="1" customWidth="1"/>
    <col min="11540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5" width="11.125" style="2" bestFit="1" customWidth="1"/>
    <col min="11786" max="11786" width="9" style="2"/>
    <col min="11787" max="11794" width="11.125" style="2" bestFit="1" customWidth="1"/>
    <col min="11795" max="11795" width="9.625" style="2" bestFit="1" customWidth="1"/>
    <col min="11796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1" width="11.125" style="2" bestFit="1" customWidth="1"/>
    <col min="12042" max="12042" width="9" style="2"/>
    <col min="12043" max="12050" width="11.125" style="2" bestFit="1" customWidth="1"/>
    <col min="12051" max="12051" width="9.625" style="2" bestFit="1" customWidth="1"/>
    <col min="12052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7" width="11.125" style="2" bestFit="1" customWidth="1"/>
    <col min="12298" max="12298" width="9" style="2"/>
    <col min="12299" max="12306" width="11.125" style="2" bestFit="1" customWidth="1"/>
    <col min="12307" max="12307" width="9.625" style="2" bestFit="1" customWidth="1"/>
    <col min="12308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3" width="11.125" style="2" bestFit="1" customWidth="1"/>
    <col min="12554" max="12554" width="9" style="2"/>
    <col min="12555" max="12562" width="11.125" style="2" bestFit="1" customWidth="1"/>
    <col min="12563" max="12563" width="9.625" style="2" bestFit="1" customWidth="1"/>
    <col min="12564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09" width="11.125" style="2" bestFit="1" customWidth="1"/>
    <col min="12810" max="12810" width="9" style="2"/>
    <col min="12811" max="12818" width="11.125" style="2" bestFit="1" customWidth="1"/>
    <col min="12819" max="12819" width="9.625" style="2" bestFit="1" customWidth="1"/>
    <col min="12820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5" width="11.125" style="2" bestFit="1" customWidth="1"/>
    <col min="13066" max="13066" width="9" style="2"/>
    <col min="13067" max="13074" width="11.125" style="2" bestFit="1" customWidth="1"/>
    <col min="13075" max="13075" width="9.625" style="2" bestFit="1" customWidth="1"/>
    <col min="13076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1" width="11.125" style="2" bestFit="1" customWidth="1"/>
    <col min="13322" max="13322" width="9" style="2"/>
    <col min="13323" max="13330" width="11.125" style="2" bestFit="1" customWidth="1"/>
    <col min="13331" max="13331" width="9.625" style="2" bestFit="1" customWidth="1"/>
    <col min="13332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7" width="11.125" style="2" bestFit="1" customWidth="1"/>
    <col min="13578" max="13578" width="9" style="2"/>
    <col min="13579" max="13586" width="11.125" style="2" bestFit="1" customWidth="1"/>
    <col min="13587" max="13587" width="9.625" style="2" bestFit="1" customWidth="1"/>
    <col min="13588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3" width="11.125" style="2" bestFit="1" customWidth="1"/>
    <col min="13834" max="13834" width="9" style="2"/>
    <col min="13835" max="13842" width="11.125" style="2" bestFit="1" customWidth="1"/>
    <col min="13843" max="13843" width="9.625" style="2" bestFit="1" customWidth="1"/>
    <col min="13844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89" width="11.125" style="2" bestFit="1" customWidth="1"/>
    <col min="14090" max="14090" width="9" style="2"/>
    <col min="14091" max="14098" width="11.125" style="2" bestFit="1" customWidth="1"/>
    <col min="14099" max="14099" width="9.625" style="2" bestFit="1" customWidth="1"/>
    <col min="14100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5" width="11.125" style="2" bestFit="1" customWidth="1"/>
    <col min="14346" max="14346" width="9" style="2"/>
    <col min="14347" max="14354" width="11.125" style="2" bestFit="1" customWidth="1"/>
    <col min="14355" max="14355" width="9.625" style="2" bestFit="1" customWidth="1"/>
    <col min="14356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1" width="11.125" style="2" bestFit="1" customWidth="1"/>
    <col min="14602" max="14602" width="9" style="2"/>
    <col min="14603" max="14610" width="11.125" style="2" bestFit="1" customWidth="1"/>
    <col min="14611" max="14611" width="9.625" style="2" bestFit="1" customWidth="1"/>
    <col min="14612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7" width="11.125" style="2" bestFit="1" customWidth="1"/>
    <col min="14858" max="14858" width="9" style="2"/>
    <col min="14859" max="14866" width="11.125" style="2" bestFit="1" customWidth="1"/>
    <col min="14867" max="14867" width="9.625" style="2" bestFit="1" customWidth="1"/>
    <col min="14868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3" width="11.125" style="2" bestFit="1" customWidth="1"/>
    <col min="15114" max="15114" width="9" style="2"/>
    <col min="15115" max="15122" width="11.125" style="2" bestFit="1" customWidth="1"/>
    <col min="15123" max="15123" width="9.625" style="2" bestFit="1" customWidth="1"/>
    <col min="15124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69" width="11.125" style="2" bestFit="1" customWidth="1"/>
    <col min="15370" max="15370" width="9" style="2"/>
    <col min="15371" max="15378" width="11.125" style="2" bestFit="1" customWidth="1"/>
    <col min="15379" max="15379" width="9.625" style="2" bestFit="1" customWidth="1"/>
    <col min="15380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5" width="11.125" style="2" bestFit="1" customWidth="1"/>
    <col min="15626" max="15626" width="9" style="2"/>
    <col min="15627" max="15634" width="11.125" style="2" bestFit="1" customWidth="1"/>
    <col min="15635" max="15635" width="9.625" style="2" bestFit="1" customWidth="1"/>
    <col min="15636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1" width="11.125" style="2" bestFit="1" customWidth="1"/>
    <col min="15882" max="15882" width="9" style="2"/>
    <col min="15883" max="15890" width="11.125" style="2" bestFit="1" customWidth="1"/>
    <col min="15891" max="15891" width="9.625" style="2" bestFit="1" customWidth="1"/>
    <col min="15892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7" width="11.125" style="2" bestFit="1" customWidth="1"/>
    <col min="16138" max="16138" width="9" style="2"/>
    <col min="16139" max="16146" width="11.125" style="2" bestFit="1" customWidth="1"/>
    <col min="16147" max="16147" width="9.625" style="2" bestFit="1" customWidth="1"/>
    <col min="16148" max="16384" width="9" style="2"/>
  </cols>
  <sheetData>
    <row r="1" spans="1:20">
      <c r="A1" s="1" t="s">
        <v>0</v>
      </c>
    </row>
    <row r="2" spans="1:20">
      <c r="A2" s="1" t="s">
        <v>1</v>
      </c>
    </row>
    <row r="3" spans="1:20" ht="19.5" thickBot="1">
      <c r="A3" s="1" t="s">
        <v>118</v>
      </c>
    </row>
    <row r="4" spans="1:20">
      <c r="B4" s="3"/>
      <c r="C4" s="7" t="s">
        <v>3</v>
      </c>
      <c r="D4" s="8" t="s">
        <v>4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19</v>
      </c>
      <c r="Q4" s="8" t="s">
        <v>20</v>
      </c>
      <c r="R4" s="8" t="s">
        <v>21</v>
      </c>
      <c r="S4" s="57" t="s">
        <v>22</v>
      </c>
      <c r="T4" s="81" t="s">
        <v>119</v>
      </c>
    </row>
    <row r="5" spans="1:20" ht="19.5" thickBot="1">
      <c r="A5" s="95"/>
      <c r="B5" s="26" t="s">
        <v>30</v>
      </c>
      <c r="C5" s="27" t="s">
        <v>31</v>
      </c>
      <c r="D5" s="28" t="s">
        <v>32</v>
      </c>
      <c r="E5" s="28" t="s">
        <v>35</v>
      </c>
      <c r="F5" s="28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 t="s">
        <v>41</v>
      </c>
      <c r="L5" s="28" t="s">
        <v>42</v>
      </c>
      <c r="M5" s="28" t="s">
        <v>43</v>
      </c>
      <c r="N5" s="28" t="s">
        <v>44</v>
      </c>
      <c r="O5" s="28" t="s">
        <v>45</v>
      </c>
      <c r="P5" s="28" t="s">
        <v>47</v>
      </c>
      <c r="Q5" s="28" t="s">
        <v>48</v>
      </c>
      <c r="R5" s="28" t="s">
        <v>49</v>
      </c>
      <c r="S5" s="58" t="s">
        <v>50</v>
      </c>
      <c r="T5" s="82" t="s">
        <v>123</v>
      </c>
    </row>
    <row r="6" spans="1:20">
      <c r="A6" s="1" t="s">
        <v>2</v>
      </c>
      <c r="B6" s="22" t="s">
        <v>59</v>
      </c>
      <c r="C6" s="23">
        <v>20</v>
      </c>
      <c r="D6" s="24">
        <v>0</v>
      </c>
      <c r="E6" s="24">
        <v>22</v>
      </c>
      <c r="F6" s="24">
        <v>17</v>
      </c>
      <c r="G6" s="24">
        <v>22</v>
      </c>
      <c r="H6" s="24">
        <v>19</v>
      </c>
      <c r="I6" s="24">
        <v>22</v>
      </c>
      <c r="J6" s="24">
        <v>19</v>
      </c>
      <c r="K6" s="24">
        <v>20</v>
      </c>
      <c r="L6" s="24">
        <v>22</v>
      </c>
      <c r="M6" s="24">
        <v>19</v>
      </c>
      <c r="N6" s="24">
        <v>21</v>
      </c>
      <c r="O6" s="24">
        <v>21</v>
      </c>
      <c r="P6" s="24">
        <v>19</v>
      </c>
      <c r="Q6" s="24">
        <v>20</v>
      </c>
      <c r="R6" s="24">
        <v>20</v>
      </c>
      <c r="S6" s="59">
        <v>1</v>
      </c>
      <c r="T6" s="83">
        <f t="shared" ref="T6:T13" si="0">SUM(C6:S6)</f>
        <v>304</v>
      </c>
    </row>
    <row r="7" spans="1:20">
      <c r="A7" s="1" t="s">
        <v>2</v>
      </c>
      <c r="B7" s="5" t="s">
        <v>60</v>
      </c>
      <c r="C7" s="10">
        <v>3</v>
      </c>
      <c r="D7" s="11">
        <v>0</v>
      </c>
      <c r="E7" s="11">
        <v>2</v>
      </c>
      <c r="F7" s="11">
        <v>1</v>
      </c>
      <c r="G7" s="11">
        <v>3</v>
      </c>
      <c r="H7" s="11">
        <v>3</v>
      </c>
      <c r="I7" s="11">
        <v>3</v>
      </c>
      <c r="J7" s="11">
        <v>1</v>
      </c>
      <c r="K7" s="11">
        <v>3</v>
      </c>
      <c r="L7" s="11">
        <v>3</v>
      </c>
      <c r="M7" s="11">
        <v>4</v>
      </c>
      <c r="N7" s="11">
        <v>3</v>
      </c>
      <c r="O7" s="11">
        <v>2</v>
      </c>
      <c r="P7" s="11">
        <v>4</v>
      </c>
      <c r="Q7" s="11">
        <v>0</v>
      </c>
      <c r="R7" s="11">
        <v>2</v>
      </c>
      <c r="S7" s="60">
        <v>0</v>
      </c>
      <c r="T7" s="84">
        <f t="shared" si="0"/>
        <v>37</v>
      </c>
    </row>
    <row r="8" spans="1:20">
      <c r="A8" s="1" t="s">
        <v>2</v>
      </c>
      <c r="B8" s="5" t="s">
        <v>61</v>
      </c>
      <c r="C8" s="10">
        <v>2</v>
      </c>
      <c r="D8" s="11">
        <v>0</v>
      </c>
      <c r="E8" s="11">
        <v>1</v>
      </c>
      <c r="F8" s="11">
        <v>3</v>
      </c>
      <c r="G8" s="11">
        <v>0</v>
      </c>
      <c r="H8" s="11">
        <v>1</v>
      </c>
      <c r="I8" s="11">
        <v>1</v>
      </c>
      <c r="J8" s="11">
        <v>0</v>
      </c>
      <c r="K8" s="11">
        <v>3</v>
      </c>
      <c r="L8" s="11">
        <v>1</v>
      </c>
      <c r="M8" s="11">
        <v>2</v>
      </c>
      <c r="N8" s="11">
        <v>1</v>
      </c>
      <c r="O8" s="11">
        <v>1</v>
      </c>
      <c r="P8" s="11">
        <v>1</v>
      </c>
      <c r="Q8" s="11">
        <v>0</v>
      </c>
      <c r="R8" s="11">
        <v>3</v>
      </c>
      <c r="S8" s="60">
        <v>0</v>
      </c>
      <c r="T8" s="84">
        <f t="shared" si="0"/>
        <v>20</v>
      </c>
    </row>
    <row r="9" spans="1:20">
      <c r="A9" s="1" t="s">
        <v>2</v>
      </c>
      <c r="B9" s="5" t="s">
        <v>62</v>
      </c>
      <c r="C9" s="10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0</v>
      </c>
      <c r="Q9" s="11">
        <v>0</v>
      </c>
      <c r="R9" s="11">
        <v>1</v>
      </c>
      <c r="S9" s="60">
        <v>0</v>
      </c>
      <c r="T9" s="84">
        <f t="shared" si="0"/>
        <v>2</v>
      </c>
    </row>
    <row r="10" spans="1:20">
      <c r="A10" s="1" t="s">
        <v>2</v>
      </c>
      <c r="B10" s="5" t="s">
        <v>63</v>
      </c>
      <c r="C10" s="10">
        <v>2</v>
      </c>
      <c r="D10" s="11">
        <v>0</v>
      </c>
      <c r="E10" s="11">
        <v>0</v>
      </c>
      <c r="F10" s="11">
        <v>0</v>
      </c>
      <c r="G10" s="11">
        <v>0</v>
      </c>
      <c r="H10" s="11">
        <v>3</v>
      </c>
      <c r="I10" s="11">
        <v>0</v>
      </c>
      <c r="J10" s="11">
        <v>3</v>
      </c>
      <c r="K10" s="11">
        <v>2</v>
      </c>
      <c r="L10" s="11">
        <v>0</v>
      </c>
      <c r="M10" s="11">
        <v>0</v>
      </c>
      <c r="N10" s="11">
        <v>1</v>
      </c>
      <c r="O10" s="11">
        <v>1</v>
      </c>
      <c r="P10" s="11">
        <v>3</v>
      </c>
      <c r="Q10" s="11">
        <v>2</v>
      </c>
      <c r="R10" s="11">
        <v>1</v>
      </c>
      <c r="S10" s="60">
        <v>0</v>
      </c>
      <c r="T10" s="84">
        <f t="shared" si="0"/>
        <v>18</v>
      </c>
    </row>
    <row r="11" spans="1:20">
      <c r="A11" s="1" t="s">
        <v>2</v>
      </c>
      <c r="B11" s="5" t="s">
        <v>64</v>
      </c>
      <c r="C11" s="10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2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60">
        <v>0</v>
      </c>
      <c r="T11" s="84">
        <f t="shared" si="0"/>
        <v>2</v>
      </c>
    </row>
    <row r="12" spans="1:20">
      <c r="A12" s="1" t="s">
        <v>2</v>
      </c>
      <c r="B12" s="5" t="s">
        <v>65</v>
      </c>
      <c r="C12" s="10">
        <v>0</v>
      </c>
      <c r="D12" s="11">
        <v>22</v>
      </c>
      <c r="E12" s="11">
        <v>0</v>
      </c>
      <c r="F12" s="11">
        <v>5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60">
        <v>19.899999999999999</v>
      </c>
      <c r="T12" s="84">
        <f t="shared" si="0"/>
        <v>46.9</v>
      </c>
    </row>
    <row r="13" spans="1:20">
      <c r="A13" s="1" t="s">
        <v>2</v>
      </c>
      <c r="B13" s="5" t="s">
        <v>66</v>
      </c>
      <c r="C13" s="10">
        <v>0</v>
      </c>
      <c r="D13" s="11">
        <v>0</v>
      </c>
      <c r="E13" s="11">
        <v>0</v>
      </c>
      <c r="F13" s="11">
        <v>5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60">
        <v>1</v>
      </c>
      <c r="T13" s="84">
        <f t="shared" si="0"/>
        <v>6</v>
      </c>
    </row>
    <row r="14" spans="1:20">
      <c r="A14" s="1" t="s">
        <v>2</v>
      </c>
      <c r="B14" s="5" t="s">
        <v>67</v>
      </c>
      <c r="C14" s="13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61">
        <v>0</v>
      </c>
      <c r="T14" s="85"/>
    </row>
    <row r="15" spans="1:20">
      <c r="A15" s="1" t="s">
        <v>2</v>
      </c>
      <c r="B15" s="5" t="s">
        <v>68</v>
      </c>
      <c r="C15" s="13">
        <v>1.7083333333333335</v>
      </c>
      <c r="D15" s="14">
        <v>0</v>
      </c>
      <c r="E15" s="14">
        <v>0.45833333333333331</v>
      </c>
      <c r="F15" s="14">
        <v>2.7916666666666665</v>
      </c>
      <c r="G15" s="14">
        <v>1.8333333333333335</v>
      </c>
      <c r="H15" s="14">
        <v>3.0416666666666665</v>
      </c>
      <c r="I15" s="14">
        <v>3</v>
      </c>
      <c r="J15" s="14">
        <v>1.5</v>
      </c>
      <c r="K15" s="14">
        <v>2.3333333333333335</v>
      </c>
      <c r="L15" s="14">
        <v>3.25</v>
      </c>
      <c r="M15" s="14">
        <v>1.9166666666666665</v>
      </c>
      <c r="N15" s="14">
        <v>1.75</v>
      </c>
      <c r="O15" s="14">
        <v>1.3333333333333333</v>
      </c>
      <c r="P15" s="14">
        <v>2.9583333333333335</v>
      </c>
      <c r="Q15" s="14">
        <v>1.2083333333333333</v>
      </c>
      <c r="R15" s="14">
        <v>1.0833333333333333</v>
      </c>
      <c r="S15" s="61">
        <v>0.20833333333333334</v>
      </c>
      <c r="T15" s="85">
        <f>SUM(C15:S15)</f>
        <v>30.374999999999996</v>
      </c>
    </row>
    <row r="16" spans="1:20">
      <c r="A16" s="1" t="s">
        <v>2</v>
      </c>
      <c r="B16" s="5" t="s">
        <v>69</v>
      </c>
      <c r="C16" s="13">
        <v>1.0416666666666667</v>
      </c>
      <c r="D16" s="14">
        <v>0</v>
      </c>
      <c r="E16" s="14">
        <v>0.70833333333333337</v>
      </c>
      <c r="F16" s="14">
        <v>0.54166666666666663</v>
      </c>
      <c r="G16" s="14">
        <v>1.0833333333333333</v>
      </c>
      <c r="H16" s="14">
        <v>1.6666666666666665</v>
      </c>
      <c r="I16" s="14">
        <v>1.25</v>
      </c>
      <c r="J16" s="14">
        <v>0.375</v>
      </c>
      <c r="K16" s="14">
        <v>1.0833333333333333</v>
      </c>
      <c r="L16" s="14">
        <v>1.25</v>
      </c>
      <c r="M16" s="14">
        <v>1.75</v>
      </c>
      <c r="N16" s="14">
        <v>1.5</v>
      </c>
      <c r="O16" s="14">
        <v>0.66666666666666663</v>
      </c>
      <c r="P16" s="14">
        <v>1.5833333333333335</v>
      </c>
      <c r="Q16" s="14">
        <v>0</v>
      </c>
      <c r="R16" s="14">
        <v>0.25</v>
      </c>
      <c r="S16" s="61">
        <v>0</v>
      </c>
      <c r="T16" s="85">
        <f>SUM(C16:S16)</f>
        <v>14.75</v>
      </c>
    </row>
    <row r="17" spans="1:20">
      <c r="A17" s="1" t="s">
        <v>2</v>
      </c>
      <c r="B17" s="5" t="s">
        <v>70</v>
      </c>
      <c r="C17" s="13">
        <v>0.79166666666666663</v>
      </c>
      <c r="D17" s="14">
        <v>0</v>
      </c>
      <c r="E17" s="14">
        <v>0.25</v>
      </c>
      <c r="F17" s="14">
        <v>0.66666666666666663</v>
      </c>
      <c r="G17" s="14">
        <v>0</v>
      </c>
      <c r="H17" s="14">
        <v>0.54166666666666663</v>
      </c>
      <c r="I17" s="14">
        <v>0.5</v>
      </c>
      <c r="J17" s="14">
        <v>0</v>
      </c>
      <c r="K17" s="14">
        <v>1.3333333333333333</v>
      </c>
      <c r="L17" s="14">
        <v>0.41666666666666669</v>
      </c>
      <c r="M17" s="14">
        <v>0.5</v>
      </c>
      <c r="N17" s="14">
        <v>0.5</v>
      </c>
      <c r="O17" s="14">
        <v>0.25</v>
      </c>
      <c r="P17" s="14">
        <v>0.5</v>
      </c>
      <c r="Q17" s="14">
        <v>0</v>
      </c>
      <c r="R17" s="14">
        <v>1.2916666666666667</v>
      </c>
      <c r="S17" s="61">
        <v>0</v>
      </c>
      <c r="T17" s="85">
        <f>SUM(C17:S17)</f>
        <v>7.541666666666667</v>
      </c>
    </row>
    <row r="18" spans="1:20">
      <c r="A18" s="1" t="s">
        <v>2</v>
      </c>
      <c r="B18" s="5" t="s">
        <v>71</v>
      </c>
      <c r="C18" s="13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0.25</v>
      </c>
      <c r="S18" s="61">
        <v>0</v>
      </c>
      <c r="T18" s="85">
        <f>SUM(C18:S18)</f>
        <v>0.25</v>
      </c>
    </row>
    <row r="19" spans="1:20">
      <c r="A19" s="1" t="s">
        <v>2</v>
      </c>
      <c r="B19" s="5" t="s">
        <v>72</v>
      </c>
      <c r="C19" s="13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0.375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61">
        <v>0</v>
      </c>
      <c r="T19" s="85"/>
    </row>
    <row r="20" spans="1:20">
      <c r="A20" s="1" t="s">
        <v>2</v>
      </c>
      <c r="B20" s="5" t="s">
        <v>73</v>
      </c>
      <c r="C20" s="13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61">
        <v>0</v>
      </c>
      <c r="T20" s="85"/>
    </row>
    <row r="21" spans="1:20">
      <c r="A21" s="1" t="s">
        <v>2</v>
      </c>
      <c r="B21" s="5" t="s">
        <v>74</v>
      </c>
      <c r="C21" s="13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61">
        <v>0</v>
      </c>
      <c r="T21" s="85"/>
    </row>
    <row r="22" spans="1:20">
      <c r="A22" s="1" t="s">
        <v>2</v>
      </c>
      <c r="B22" s="5" t="s">
        <v>75</v>
      </c>
      <c r="C22" s="13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61">
        <v>0</v>
      </c>
      <c r="T22" s="85"/>
    </row>
    <row r="23" spans="1:20">
      <c r="A23" s="1" t="s">
        <v>2</v>
      </c>
      <c r="B23" s="5" t="s">
        <v>76</v>
      </c>
      <c r="C23" s="13">
        <v>0.20833333333333334</v>
      </c>
      <c r="D23" s="14">
        <v>0</v>
      </c>
      <c r="E23" s="14">
        <v>0</v>
      </c>
      <c r="F23" s="14">
        <v>1.0416666666666667</v>
      </c>
      <c r="G23" s="14">
        <v>0.125</v>
      </c>
      <c r="H23" s="14">
        <v>2.125</v>
      </c>
      <c r="I23" s="14">
        <v>0.33333333333333331</v>
      </c>
      <c r="J23" s="14">
        <v>0.125</v>
      </c>
      <c r="K23" s="14">
        <v>8.3333333333333329E-2</v>
      </c>
      <c r="L23" s="14">
        <v>0.45833333333333331</v>
      </c>
      <c r="M23" s="14">
        <v>0.29166666666666669</v>
      </c>
      <c r="N23" s="14">
        <v>1.0416666666666667</v>
      </c>
      <c r="O23" s="14">
        <v>0</v>
      </c>
      <c r="P23" s="14">
        <v>1.625</v>
      </c>
      <c r="Q23" s="14">
        <v>0.79166666666666663</v>
      </c>
      <c r="R23" s="14">
        <v>0.875</v>
      </c>
      <c r="S23" s="61">
        <v>8.3333333333333329E-2</v>
      </c>
      <c r="T23" s="85">
        <f t="shared" ref="T23:T64" si="1">SUM(C23:S23)</f>
        <v>9.2083333333333339</v>
      </c>
    </row>
    <row r="24" spans="1:20" ht="19.5" thickBot="1">
      <c r="A24" s="1" t="s">
        <v>2</v>
      </c>
      <c r="B24" s="6" t="s">
        <v>77</v>
      </c>
      <c r="C24" s="33">
        <v>22</v>
      </c>
      <c r="D24" s="34">
        <v>35</v>
      </c>
      <c r="E24" s="34">
        <v>36</v>
      </c>
      <c r="F24" s="34">
        <v>39</v>
      </c>
      <c r="G24" s="34">
        <v>33</v>
      </c>
      <c r="H24" s="34">
        <v>36</v>
      </c>
      <c r="I24" s="34">
        <v>38</v>
      </c>
      <c r="J24" s="34">
        <v>22</v>
      </c>
      <c r="K24" s="34">
        <v>32</v>
      </c>
      <c r="L24" s="34">
        <v>37</v>
      </c>
      <c r="M24" s="34">
        <v>0</v>
      </c>
      <c r="N24" s="34">
        <v>15</v>
      </c>
      <c r="O24" s="34">
        <v>29</v>
      </c>
      <c r="P24" s="34">
        <v>19</v>
      </c>
      <c r="Q24" s="34">
        <v>18</v>
      </c>
      <c r="R24" s="34">
        <v>9</v>
      </c>
      <c r="S24" s="62">
        <v>0</v>
      </c>
      <c r="T24" s="86">
        <f t="shared" si="1"/>
        <v>420</v>
      </c>
    </row>
    <row r="25" spans="1:20">
      <c r="A25" s="1" t="s">
        <v>2</v>
      </c>
      <c r="B25" s="22" t="s">
        <v>78</v>
      </c>
      <c r="C25" s="30">
        <v>177000</v>
      </c>
      <c r="D25" s="31">
        <v>0</v>
      </c>
      <c r="E25" s="31">
        <v>187000</v>
      </c>
      <c r="F25" s="31">
        <v>192000</v>
      </c>
      <c r="G25" s="31">
        <v>182000</v>
      </c>
      <c r="H25" s="31">
        <v>187000</v>
      </c>
      <c r="I25" s="31">
        <v>177000</v>
      </c>
      <c r="J25" s="31">
        <v>177000</v>
      </c>
      <c r="K25" s="31">
        <v>172000</v>
      </c>
      <c r="L25" s="31">
        <v>187000</v>
      </c>
      <c r="M25" s="31">
        <v>177000</v>
      </c>
      <c r="N25" s="31">
        <v>177000</v>
      </c>
      <c r="O25" s="31">
        <v>170000</v>
      </c>
      <c r="P25" s="31">
        <v>175000</v>
      </c>
      <c r="Q25" s="31">
        <v>175000</v>
      </c>
      <c r="R25" s="31">
        <v>170000</v>
      </c>
      <c r="S25" s="63">
        <v>170000</v>
      </c>
      <c r="T25" s="87">
        <f t="shared" si="1"/>
        <v>2852000</v>
      </c>
    </row>
    <row r="26" spans="1:20">
      <c r="A26" s="1" t="s">
        <v>2</v>
      </c>
      <c r="B26" s="5" t="s">
        <v>79</v>
      </c>
      <c r="C26" s="16">
        <v>0</v>
      </c>
      <c r="D26" s="17">
        <v>0</v>
      </c>
      <c r="E26" s="17">
        <v>20000</v>
      </c>
      <c r="F26" s="17">
        <v>5000</v>
      </c>
      <c r="G26" s="17">
        <v>5000</v>
      </c>
      <c r="H26" s="17">
        <v>5000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64">
        <v>0</v>
      </c>
      <c r="T26" s="88">
        <f t="shared" si="1"/>
        <v>35000</v>
      </c>
    </row>
    <row r="27" spans="1:20">
      <c r="A27" s="1" t="s">
        <v>2</v>
      </c>
      <c r="B27" s="5" t="s">
        <v>80</v>
      </c>
      <c r="C27" s="16">
        <v>0</v>
      </c>
      <c r="D27" s="17">
        <v>0</v>
      </c>
      <c r="E27" s="17">
        <v>3000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64">
        <v>0</v>
      </c>
      <c r="T27" s="88">
        <f t="shared" si="1"/>
        <v>3000</v>
      </c>
    </row>
    <row r="28" spans="1:20">
      <c r="A28" s="1" t="s">
        <v>2</v>
      </c>
      <c r="B28" s="5" t="s">
        <v>81</v>
      </c>
      <c r="C28" s="16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64">
        <v>0</v>
      </c>
      <c r="T28" s="88">
        <f t="shared" si="1"/>
        <v>0</v>
      </c>
    </row>
    <row r="29" spans="1:20">
      <c r="A29" s="1" t="s">
        <v>2</v>
      </c>
      <c r="B29" s="5" t="s">
        <v>82</v>
      </c>
      <c r="C29" s="16">
        <v>0</v>
      </c>
      <c r="D29" s="17">
        <v>0</v>
      </c>
      <c r="E29" s="17">
        <v>88922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7600</v>
      </c>
      <c r="M29" s="17">
        <v>0</v>
      </c>
      <c r="N29" s="17">
        <v>0</v>
      </c>
      <c r="O29" s="17">
        <v>44280</v>
      </c>
      <c r="P29" s="17">
        <v>0</v>
      </c>
      <c r="Q29" s="17">
        <v>0</v>
      </c>
      <c r="R29" s="17">
        <v>0</v>
      </c>
      <c r="S29" s="64">
        <v>0</v>
      </c>
      <c r="T29" s="88">
        <f t="shared" si="1"/>
        <v>140802</v>
      </c>
    </row>
    <row r="30" spans="1:20">
      <c r="A30" s="1" t="s">
        <v>2</v>
      </c>
      <c r="B30" s="5" t="s">
        <v>83</v>
      </c>
      <c r="C30" s="16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64">
        <v>0</v>
      </c>
      <c r="T30" s="88">
        <f t="shared" si="1"/>
        <v>0</v>
      </c>
    </row>
    <row r="31" spans="1:20">
      <c r="A31" s="1" t="s">
        <v>2</v>
      </c>
      <c r="B31" s="5" t="s">
        <v>84</v>
      </c>
      <c r="C31" s="16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64">
        <v>0</v>
      </c>
      <c r="T31" s="88">
        <f t="shared" si="1"/>
        <v>0</v>
      </c>
    </row>
    <row r="32" spans="1:20">
      <c r="A32" s="1" t="s">
        <v>2</v>
      </c>
      <c r="B32" s="5" t="s">
        <v>85</v>
      </c>
      <c r="C32" s="16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64">
        <v>0</v>
      </c>
      <c r="T32" s="88">
        <f t="shared" si="1"/>
        <v>0</v>
      </c>
    </row>
    <row r="33" spans="1:20">
      <c r="A33" s="1" t="s">
        <v>2</v>
      </c>
      <c r="B33" s="5" t="s">
        <v>86</v>
      </c>
      <c r="C33" s="16">
        <v>1000</v>
      </c>
      <c r="D33" s="17">
        <v>0</v>
      </c>
      <c r="E33" s="17">
        <v>1000</v>
      </c>
      <c r="F33" s="17">
        <v>1000</v>
      </c>
      <c r="G33" s="17">
        <v>0</v>
      </c>
      <c r="H33" s="17">
        <v>1000</v>
      </c>
      <c r="I33" s="17">
        <v>1000</v>
      </c>
      <c r="J33" s="17">
        <v>1000</v>
      </c>
      <c r="K33" s="17">
        <v>1000</v>
      </c>
      <c r="L33" s="17">
        <v>1000</v>
      </c>
      <c r="M33" s="17">
        <v>1000</v>
      </c>
      <c r="N33" s="17">
        <v>1000</v>
      </c>
      <c r="O33" s="17">
        <v>1000</v>
      </c>
      <c r="P33" s="17">
        <v>1000</v>
      </c>
      <c r="Q33" s="17">
        <v>1000</v>
      </c>
      <c r="R33" s="17">
        <v>0</v>
      </c>
      <c r="S33" s="64">
        <v>0</v>
      </c>
      <c r="T33" s="88">
        <f t="shared" si="1"/>
        <v>13000</v>
      </c>
    </row>
    <row r="34" spans="1:20">
      <c r="A34" s="1" t="s">
        <v>2</v>
      </c>
      <c r="B34" s="5" t="s">
        <v>87</v>
      </c>
      <c r="C34" s="16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64">
        <v>0</v>
      </c>
      <c r="T34" s="88">
        <f t="shared" si="1"/>
        <v>0</v>
      </c>
    </row>
    <row r="35" spans="1:20">
      <c r="A35" s="1" t="s">
        <v>2</v>
      </c>
      <c r="B35" s="5" t="s">
        <v>88</v>
      </c>
      <c r="C35" s="16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64">
        <v>0</v>
      </c>
      <c r="T35" s="88">
        <f t="shared" si="1"/>
        <v>0</v>
      </c>
    </row>
    <row r="36" spans="1:20">
      <c r="A36" s="1" t="s">
        <v>2</v>
      </c>
      <c r="B36" s="5" t="s">
        <v>89</v>
      </c>
      <c r="C36" s="16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64">
        <v>0</v>
      </c>
      <c r="T36" s="88">
        <f t="shared" si="1"/>
        <v>0</v>
      </c>
    </row>
    <row r="37" spans="1:20">
      <c r="A37" s="1" t="s">
        <v>2</v>
      </c>
      <c r="B37" s="5" t="s">
        <v>90</v>
      </c>
      <c r="C37" s="16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64">
        <v>0</v>
      </c>
      <c r="T37" s="88">
        <f t="shared" si="1"/>
        <v>0</v>
      </c>
    </row>
    <row r="38" spans="1:20">
      <c r="A38" s="1" t="s">
        <v>2</v>
      </c>
      <c r="B38" s="5" t="s">
        <v>91</v>
      </c>
      <c r="C38" s="16">
        <v>0</v>
      </c>
      <c r="D38" s="17">
        <v>0</v>
      </c>
      <c r="E38" s="17">
        <v>0</v>
      </c>
      <c r="F38" s="55">
        <v>-47365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65">
        <v>-161846</v>
      </c>
      <c r="T38" s="89">
        <f t="shared" si="1"/>
        <v>-209211</v>
      </c>
    </row>
    <row r="39" spans="1:20">
      <c r="A39" s="1" t="s">
        <v>2</v>
      </c>
      <c r="B39" s="5" t="s">
        <v>68</v>
      </c>
      <c r="C39" s="16">
        <v>54653</v>
      </c>
      <c r="D39" s="17">
        <v>0</v>
      </c>
      <c r="E39" s="17">
        <v>17369</v>
      </c>
      <c r="F39" s="17">
        <v>99361</v>
      </c>
      <c r="G39" s="17">
        <v>61600</v>
      </c>
      <c r="H39" s="17">
        <v>105485</v>
      </c>
      <c r="I39" s="17">
        <v>95976</v>
      </c>
      <c r="J39" s="17">
        <v>47988</v>
      </c>
      <c r="K39" s="17">
        <v>72520</v>
      </c>
      <c r="L39" s="17">
        <v>109824</v>
      </c>
      <c r="M39" s="17">
        <v>61318</v>
      </c>
      <c r="N39" s="17">
        <v>55986</v>
      </c>
      <c r="O39" s="17">
        <v>40960</v>
      </c>
      <c r="P39" s="17">
        <v>93578</v>
      </c>
      <c r="Q39" s="17">
        <v>38222</v>
      </c>
      <c r="R39" s="17">
        <v>33098</v>
      </c>
      <c r="S39" s="64">
        <v>6365</v>
      </c>
      <c r="T39" s="88">
        <f t="shared" si="1"/>
        <v>994303</v>
      </c>
    </row>
    <row r="40" spans="1:20">
      <c r="A40" s="1" t="s">
        <v>2</v>
      </c>
      <c r="B40" s="5" t="s">
        <v>92</v>
      </c>
      <c r="C40" s="16">
        <v>35975</v>
      </c>
      <c r="D40" s="17">
        <v>0</v>
      </c>
      <c r="E40" s="17">
        <v>28985</v>
      </c>
      <c r="F40" s="17">
        <v>20813</v>
      </c>
      <c r="G40" s="17">
        <v>39312</v>
      </c>
      <c r="H40" s="17">
        <v>62440</v>
      </c>
      <c r="I40" s="17">
        <v>43170</v>
      </c>
      <c r="J40" s="17">
        <v>12951</v>
      </c>
      <c r="K40" s="17">
        <v>36374</v>
      </c>
      <c r="L40" s="17">
        <v>45600</v>
      </c>
      <c r="M40" s="17">
        <v>60438</v>
      </c>
      <c r="N40" s="17">
        <v>51804</v>
      </c>
      <c r="O40" s="17">
        <v>22112</v>
      </c>
      <c r="P40" s="17">
        <v>54074</v>
      </c>
      <c r="Q40" s="17">
        <v>0</v>
      </c>
      <c r="R40" s="17">
        <v>8244</v>
      </c>
      <c r="S40" s="64">
        <v>0</v>
      </c>
      <c r="T40" s="88">
        <f t="shared" si="1"/>
        <v>522292</v>
      </c>
    </row>
    <row r="41" spans="1:20">
      <c r="A41" s="1" t="s">
        <v>2</v>
      </c>
      <c r="B41" s="5" t="s">
        <v>93</v>
      </c>
      <c r="C41" s="16">
        <v>27341</v>
      </c>
      <c r="D41" s="17">
        <v>0</v>
      </c>
      <c r="E41" s="17">
        <v>10230</v>
      </c>
      <c r="F41" s="17">
        <v>25616</v>
      </c>
      <c r="G41" s="17">
        <v>0</v>
      </c>
      <c r="H41" s="17">
        <v>20293</v>
      </c>
      <c r="I41" s="17">
        <v>17268</v>
      </c>
      <c r="J41" s="17">
        <v>0</v>
      </c>
      <c r="K41" s="17">
        <v>44768</v>
      </c>
      <c r="L41" s="17">
        <v>15200</v>
      </c>
      <c r="M41" s="17">
        <v>17268</v>
      </c>
      <c r="N41" s="17">
        <v>17268</v>
      </c>
      <c r="O41" s="17">
        <v>8292</v>
      </c>
      <c r="P41" s="17">
        <v>17076</v>
      </c>
      <c r="Q41" s="17">
        <v>0</v>
      </c>
      <c r="R41" s="17">
        <v>42594</v>
      </c>
      <c r="S41" s="64">
        <v>0</v>
      </c>
      <c r="T41" s="88">
        <f t="shared" si="1"/>
        <v>263214</v>
      </c>
    </row>
    <row r="42" spans="1:20">
      <c r="A42" s="1" t="s">
        <v>2</v>
      </c>
      <c r="B42" s="5" t="s">
        <v>94</v>
      </c>
      <c r="C42" s="16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2136</v>
      </c>
      <c r="S42" s="64">
        <v>0</v>
      </c>
      <c r="T42" s="88">
        <f t="shared" si="1"/>
        <v>2136</v>
      </c>
    </row>
    <row r="43" spans="1:20">
      <c r="A43" s="1" t="s">
        <v>2</v>
      </c>
      <c r="B43" s="5" t="s">
        <v>95</v>
      </c>
      <c r="C43" s="16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3357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64">
        <v>0</v>
      </c>
      <c r="T43" s="88">
        <f t="shared" si="1"/>
        <v>3357</v>
      </c>
    </row>
    <row r="44" spans="1:20">
      <c r="A44" s="1" t="s">
        <v>2</v>
      </c>
      <c r="B44" s="5" t="s">
        <v>96</v>
      </c>
      <c r="C44" s="16">
        <v>0</v>
      </c>
      <c r="D44" s="17">
        <v>0</v>
      </c>
      <c r="E44" s="17">
        <v>0</v>
      </c>
      <c r="F44" s="17">
        <v>47365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64">
        <v>8133</v>
      </c>
      <c r="T44" s="88">
        <f t="shared" si="1"/>
        <v>55498</v>
      </c>
    </row>
    <row r="45" spans="1:20">
      <c r="A45" s="1" t="s">
        <v>2</v>
      </c>
      <c r="B45" s="5" t="s">
        <v>73</v>
      </c>
      <c r="C45" s="16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64">
        <v>0</v>
      </c>
      <c r="T45" s="88">
        <f t="shared" si="1"/>
        <v>0</v>
      </c>
    </row>
    <row r="46" spans="1:20" ht="19.5" thickBot="1">
      <c r="A46" s="1" t="s">
        <v>2</v>
      </c>
      <c r="B46" s="36" t="s">
        <v>76</v>
      </c>
      <c r="C46" s="37">
        <v>1335</v>
      </c>
      <c r="D46" s="38">
        <v>0</v>
      </c>
      <c r="E46" s="38">
        <v>0</v>
      </c>
      <c r="F46" s="38">
        <v>7425</v>
      </c>
      <c r="G46" s="38">
        <v>840</v>
      </c>
      <c r="H46" s="38">
        <v>14739</v>
      </c>
      <c r="I46" s="38">
        <v>2136</v>
      </c>
      <c r="J46" s="38">
        <v>801</v>
      </c>
      <c r="K46" s="38">
        <v>518</v>
      </c>
      <c r="L46" s="38">
        <v>3102</v>
      </c>
      <c r="M46" s="38">
        <v>1869</v>
      </c>
      <c r="N46" s="38">
        <v>6675</v>
      </c>
      <c r="O46" s="38">
        <v>0</v>
      </c>
      <c r="P46" s="38">
        <v>10296</v>
      </c>
      <c r="Q46" s="38">
        <v>5016</v>
      </c>
      <c r="R46" s="38">
        <v>5355</v>
      </c>
      <c r="S46" s="66">
        <v>510</v>
      </c>
      <c r="T46" s="90">
        <f t="shared" si="1"/>
        <v>60617</v>
      </c>
    </row>
    <row r="47" spans="1:20" ht="19.5" thickBot="1">
      <c r="A47" s="1" t="s">
        <v>2</v>
      </c>
      <c r="B47" s="40" t="s">
        <v>97</v>
      </c>
      <c r="C47" s="41">
        <v>297304</v>
      </c>
      <c r="D47" s="42">
        <v>0</v>
      </c>
      <c r="E47" s="42">
        <v>356506</v>
      </c>
      <c r="F47" s="42">
        <v>351215</v>
      </c>
      <c r="G47" s="42">
        <v>288752</v>
      </c>
      <c r="H47" s="42">
        <v>395957</v>
      </c>
      <c r="I47" s="42">
        <v>336550</v>
      </c>
      <c r="J47" s="42">
        <v>239740</v>
      </c>
      <c r="K47" s="42">
        <v>327180</v>
      </c>
      <c r="L47" s="42">
        <v>369326</v>
      </c>
      <c r="M47" s="42">
        <v>322250</v>
      </c>
      <c r="N47" s="42">
        <v>309733</v>
      </c>
      <c r="O47" s="42">
        <v>286644</v>
      </c>
      <c r="P47" s="42">
        <v>351024</v>
      </c>
      <c r="Q47" s="42">
        <v>219238</v>
      </c>
      <c r="R47" s="42">
        <v>261427</v>
      </c>
      <c r="S47" s="67">
        <v>23162</v>
      </c>
      <c r="T47" s="91">
        <f t="shared" si="1"/>
        <v>4736008</v>
      </c>
    </row>
    <row r="48" spans="1:20" ht="19.5" thickBot="1">
      <c r="A48" s="1" t="s">
        <v>2</v>
      </c>
      <c r="B48" s="22" t="s">
        <v>98</v>
      </c>
      <c r="C48" s="30">
        <v>13047</v>
      </c>
      <c r="D48" s="31">
        <v>0</v>
      </c>
      <c r="E48" s="31">
        <v>5871</v>
      </c>
      <c r="F48" s="31">
        <v>2740</v>
      </c>
      <c r="G48" s="31">
        <v>15004</v>
      </c>
      <c r="H48" s="31">
        <v>2401</v>
      </c>
      <c r="I48" s="31">
        <v>2714</v>
      </c>
      <c r="J48" s="31">
        <v>1044</v>
      </c>
      <c r="K48" s="31">
        <v>3392</v>
      </c>
      <c r="L48" s="31">
        <v>5428</v>
      </c>
      <c r="M48" s="31">
        <v>6524</v>
      </c>
      <c r="N48" s="31">
        <v>4567</v>
      </c>
      <c r="O48" s="31">
        <v>7515</v>
      </c>
      <c r="P48" s="31">
        <v>6263</v>
      </c>
      <c r="Q48" s="31">
        <v>8872</v>
      </c>
      <c r="R48" s="31">
        <v>4567</v>
      </c>
      <c r="S48" s="63">
        <v>418</v>
      </c>
      <c r="T48" s="87">
        <f t="shared" si="1"/>
        <v>90367</v>
      </c>
    </row>
    <row r="49" spans="1:20" ht="19.5" thickBot="1">
      <c r="A49" s="1" t="s">
        <v>2</v>
      </c>
      <c r="B49" s="40" t="s">
        <v>99</v>
      </c>
      <c r="C49" s="41">
        <v>13047</v>
      </c>
      <c r="D49" s="42">
        <v>0</v>
      </c>
      <c r="E49" s="42">
        <v>5871</v>
      </c>
      <c r="F49" s="42">
        <v>2740</v>
      </c>
      <c r="G49" s="42">
        <v>15004</v>
      </c>
      <c r="H49" s="42">
        <v>2401</v>
      </c>
      <c r="I49" s="42">
        <v>2714</v>
      </c>
      <c r="J49" s="42">
        <v>1044</v>
      </c>
      <c r="K49" s="42">
        <v>3392</v>
      </c>
      <c r="L49" s="42">
        <v>5428</v>
      </c>
      <c r="M49" s="42">
        <v>6524</v>
      </c>
      <c r="N49" s="42">
        <v>4567</v>
      </c>
      <c r="O49" s="42">
        <v>7515</v>
      </c>
      <c r="P49" s="42">
        <v>6263</v>
      </c>
      <c r="Q49" s="42">
        <v>8872</v>
      </c>
      <c r="R49" s="42">
        <v>4567</v>
      </c>
      <c r="S49" s="67">
        <v>418</v>
      </c>
      <c r="T49" s="91">
        <f t="shared" si="1"/>
        <v>90367</v>
      </c>
    </row>
    <row r="50" spans="1:20" ht="19.5" thickBot="1">
      <c r="A50" s="1" t="s">
        <v>2</v>
      </c>
      <c r="B50" s="40" t="s">
        <v>100</v>
      </c>
      <c r="C50" s="41">
        <v>310351</v>
      </c>
      <c r="D50" s="42">
        <v>0</v>
      </c>
      <c r="E50" s="42">
        <v>362377</v>
      </c>
      <c r="F50" s="42">
        <v>353955</v>
      </c>
      <c r="G50" s="42">
        <v>303756</v>
      </c>
      <c r="H50" s="42">
        <v>398358</v>
      </c>
      <c r="I50" s="42">
        <v>339264</v>
      </c>
      <c r="J50" s="42">
        <v>240784</v>
      </c>
      <c r="K50" s="42">
        <v>330572</v>
      </c>
      <c r="L50" s="42">
        <v>374754</v>
      </c>
      <c r="M50" s="42">
        <v>328774</v>
      </c>
      <c r="N50" s="42">
        <v>314300</v>
      </c>
      <c r="O50" s="42">
        <v>294159</v>
      </c>
      <c r="P50" s="42">
        <v>357287</v>
      </c>
      <c r="Q50" s="42">
        <v>228110</v>
      </c>
      <c r="R50" s="42">
        <v>265994</v>
      </c>
      <c r="S50" s="67">
        <v>23580</v>
      </c>
      <c r="T50" s="91">
        <f t="shared" si="1"/>
        <v>4826375</v>
      </c>
    </row>
    <row r="51" spans="1:20">
      <c r="A51" s="1" t="s">
        <v>2</v>
      </c>
      <c r="B51" s="22" t="s">
        <v>101</v>
      </c>
      <c r="C51" s="30">
        <v>16320</v>
      </c>
      <c r="D51" s="31">
        <v>19380</v>
      </c>
      <c r="E51" s="31">
        <v>19380</v>
      </c>
      <c r="F51" s="31">
        <v>20910</v>
      </c>
      <c r="G51" s="31">
        <v>19380</v>
      </c>
      <c r="H51" s="31">
        <v>20910</v>
      </c>
      <c r="I51" s="31">
        <v>16320</v>
      </c>
      <c r="J51" s="31">
        <v>15300</v>
      </c>
      <c r="K51" s="31">
        <v>16320</v>
      </c>
      <c r="L51" s="31">
        <v>17340</v>
      </c>
      <c r="M51" s="31">
        <v>16320</v>
      </c>
      <c r="N51" s="31">
        <v>17340</v>
      </c>
      <c r="O51" s="31">
        <v>15300</v>
      </c>
      <c r="P51" s="31">
        <v>17340</v>
      </c>
      <c r="Q51" s="31">
        <v>15300</v>
      </c>
      <c r="R51" s="31">
        <v>13260</v>
      </c>
      <c r="S51" s="63">
        <v>13260</v>
      </c>
      <c r="T51" s="87">
        <f t="shared" si="1"/>
        <v>289680</v>
      </c>
    </row>
    <row r="52" spans="1:20">
      <c r="A52" s="1" t="s">
        <v>2</v>
      </c>
      <c r="B52" s="5" t="s">
        <v>102</v>
      </c>
      <c r="C52" s="16">
        <v>2880</v>
      </c>
      <c r="D52" s="17">
        <v>3420</v>
      </c>
      <c r="E52" s="17">
        <v>3420</v>
      </c>
      <c r="F52" s="17">
        <v>3690</v>
      </c>
      <c r="G52" s="17">
        <v>3420</v>
      </c>
      <c r="H52" s="17">
        <v>3690</v>
      </c>
      <c r="I52" s="17">
        <v>2880</v>
      </c>
      <c r="J52" s="17">
        <v>2700</v>
      </c>
      <c r="K52" s="17">
        <v>2880</v>
      </c>
      <c r="L52" s="17">
        <v>3060</v>
      </c>
      <c r="M52" s="17">
        <v>2880</v>
      </c>
      <c r="N52" s="17">
        <v>0</v>
      </c>
      <c r="O52" s="17">
        <v>2700</v>
      </c>
      <c r="P52" s="17">
        <v>3060</v>
      </c>
      <c r="Q52" s="17">
        <v>2700</v>
      </c>
      <c r="R52" s="17">
        <v>0</v>
      </c>
      <c r="S52" s="64">
        <v>0</v>
      </c>
      <c r="T52" s="88">
        <f t="shared" si="1"/>
        <v>43380</v>
      </c>
    </row>
    <row r="53" spans="1:20">
      <c r="A53" s="1" t="s">
        <v>2</v>
      </c>
      <c r="B53" s="5" t="s">
        <v>103</v>
      </c>
      <c r="C53" s="16">
        <v>29280</v>
      </c>
      <c r="D53" s="17">
        <v>34770</v>
      </c>
      <c r="E53" s="17">
        <v>34770</v>
      </c>
      <c r="F53" s="17">
        <v>37515</v>
      </c>
      <c r="G53" s="17">
        <v>34770</v>
      </c>
      <c r="H53" s="17">
        <v>37515</v>
      </c>
      <c r="I53" s="17">
        <v>29280</v>
      </c>
      <c r="J53" s="17">
        <v>27450</v>
      </c>
      <c r="K53" s="17">
        <v>29280</v>
      </c>
      <c r="L53" s="17">
        <v>31110</v>
      </c>
      <c r="M53" s="17">
        <v>29280</v>
      </c>
      <c r="N53" s="17">
        <v>31110</v>
      </c>
      <c r="O53" s="17">
        <v>27450</v>
      </c>
      <c r="P53" s="17">
        <v>31110</v>
      </c>
      <c r="Q53" s="17">
        <v>27450</v>
      </c>
      <c r="R53" s="17">
        <v>23790</v>
      </c>
      <c r="S53" s="64">
        <v>23790</v>
      </c>
      <c r="T53" s="88">
        <f t="shared" si="1"/>
        <v>519720</v>
      </c>
    </row>
    <row r="54" spans="1:20" ht="19.5" thickBot="1">
      <c r="A54" s="1" t="s">
        <v>2</v>
      </c>
      <c r="B54" s="5" t="s">
        <v>104</v>
      </c>
      <c r="C54" s="16">
        <v>931</v>
      </c>
      <c r="D54" s="17">
        <v>0</v>
      </c>
      <c r="E54" s="17">
        <v>1087</v>
      </c>
      <c r="F54" s="17">
        <v>1062</v>
      </c>
      <c r="G54" s="17">
        <v>911</v>
      </c>
      <c r="H54" s="17">
        <v>1195</v>
      </c>
      <c r="I54" s="17">
        <v>1018</v>
      </c>
      <c r="J54" s="17">
        <v>722</v>
      </c>
      <c r="K54" s="17">
        <v>992</v>
      </c>
      <c r="L54" s="17">
        <v>1124</v>
      </c>
      <c r="M54" s="17">
        <v>986</v>
      </c>
      <c r="N54" s="17">
        <v>943</v>
      </c>
      <c r="O54" s="17">
        <v>882</v>
      </c>
      <c r="P54" s="17">
        <v>1072</v>
      </c>
      <c r="Q54" s="17">
        <v>684</v>
      </c>
      <c r="R54" s="17">
        <v>798</v>
      </c>
      <c r="S54" s="64">
        <v>71</v>
      </c>
      <c r="T54" s="88">
        <f t="shared" si="1"/>
        <v>14478</v>
      </c>
    </row>
    <row r="55" spans="1:20" ht="19.5" thickBot="1">
      <c r="A55" s="1" t="s">
        <v>2</v>
      </c>
      <c r="B55" s="40" t="s">
        <v>105</v>
      </c>
      <c r="C55" s="41">
        <v>49411</v>
      </c>
      <c r="D55" s="42">
        <v>57570</v>
      </c>
      <c r="E55" s="42">
        <v>58657</v>
      </c>
      <c r="F55" s="42">
        <v>63177</v>
      </c>
      <c r="G55" s="42">
        <v>58481</v>
      </c>
      <c r="H55" s="42">
        <v>63310</v>
      </c>
      <c r="I55" s="42">
        <v>49498</v>
      </c>
      <c r="J55" s="42">
        <v>46172</v>
      </c>
      <c r="K55" s="42">
        <v>49472</v>
      </c>
      <c r="L55" s="42">
        <v>52634</v>
      </c>
      <c r="M55" s="42">
        <v>49466</v>
      </c>
      <c r="N55" s="42">
        <v>49393</v>
      </c>
      <c r="O55" s="42">
        <v>46332</v>
      </c>
      <c r="P55" s="42">
        <v>52582</v>
      </c>
      <c r="Q55" s="42">
        <v>46134</v>
      </c>
      <c r="R55" s="42">
        <v>37848</v>
      </c>
      <c r="S55" s="67">
        <v>37121</v>
      </c>
      <c r="T55" s="91">
        <f t="shared" si="1"/>
        <v>867258</v>
      </c>
    </row>
    <row r="56" spans="1:20">
      <c r="A56" s="1" t="s">
        <v>2</v>
      </c>
      <c r="B56" s="22" t="s">
        <v>106</v>
      </c>
      <c r="C56" s="30">
        <v>4860</v>
      </c>
      <c r="D56" s="31">
        <v>0</v>
      </c>
      <c r="E56" s="31">
        <v>6640</v>
      </c>
      <c r="F56" s="31">
        <v>7910</v>
      </c>
      <c r="G56" s="31">
        <v>4230</v>
      </c>
      <c r="H56" s="31">
        <v>11050</v>
      </c>
      <c r="I56" s="31">
        <v>7880</v>
      </c>
      <c r="J56" s="31">
        <v>2920</v>
      </c>
      <c r="K56" s="31">
        <v>7540</v>
      </c>
      <c r="L56" s="31">
        <v>9740</v>
      </c>
      <c r="M56" s="31">
        <v>7370</v>
      </c>
      <c r="N56" s="31">
        <v>6920</v>
      </c>
      <c r="O56" s="31">
        <v>6210</v>
      </c>
      <c r="P56" s="31">
        <v>3430</v>
      </c>
      <c r="Q56" s="31">
        <v>3800</v>
      </c>
      <c r="R56" s="31">
        <v>5610</v>
      </c>
      <c r="S56" s="63">
        <v>0</v>
      </c>
      <c r="T56" s="87">
        <f t="shared" si="1"/>
        <v>96110</v>
      </c>
    </row>
    <row r="57" spans="1:20">
      <c r="A57" s="1" t="s">
        <v>2</v>
      </c>
      <c r="B57" s="5" t="s">
        <v>107</v>
      </c>
      <c r="C57" s="16">
        <v>1300</v>
      </c>
      <c r="D57" s="17">
        <v>-1300</v>
      </c>
      <c r="E57" s="17">
        <v>1300</v>
      </c>
      <c r="F57" s="17">
        <v>0</v>
      </c>
      <c r="G57" s="17">
        <v>1300</v>
      </c>
      <c r="H57" s="17">
        <v>1300</v>
      </c>
      <c r="I57" s="17">
        <v>1300</v>
      </c>
      <c r="J57" s="17">
        <v>1300</v>
      </c>
      <c r="K57" s="17">
        <v>1300</v>
      </c>
      <c r="L57" s="17">
        <v>1300</v>
      </c>
      <c r="M57" s="17">
        <v>0</v>
      </c>
      <c r="N57" s="17">
        <v>0</v>
      </c>
      <c r="O57" s="17">
        <v>1300</v>
      </c>
      <c r="P57" s="17">
        <v>1300</v>
      </c>
      <c r="Q57" s="17">
        <v>1300</v>
      </c>
      <c r="R57" s="17">
        <v>1300</v>
      </c>
      <c r="S57" s="64">
        <v>0</v>
      </c>
      <c r="T57" s="88">
        <f t="shared" si="1"/>
        <v>14300</v>
      </c>
    </row>
    <row r="58" spans="1:20">
      <c r="A58" s="1" t="s">
        <v>2</v>
      </c>
      <c r="B58" s="5" t="s">
        <v>108</v>
      </c>
      <c r="C58" s="16">
        <v>10900</v>
      </c>
      <c r="D58" s="17">
        <v>16200</v>
      </c>
      <c r="E58" s="17">
        <v>16400</v>
      </c>
      <c r="F58" s="17">
        <v>19700</v>
      </c>
      <c r="G58" s="17">
        <v>12900</v>
      </c>
      <c r="H58" s="17">
        <v>18600</v>
      </c>
      <c r="I58" s="17">
        <v>15000</v>
      </c>
      <c r="J58" s="17">
        <v>10300</v>
      </c>
      <c r="K58" s="17">
        <v>14100</v>
      </c>
      <c r="L58" s="17">
        <v>14600</v>
      </c>
      <c r="M58" s="17">
        <v>11400</v>
      </c>
      <c r="N58" s="17">
        <v>25400</v>
      </c>
      <c r="O58" s="17">
        <v>12400</v>
      </c>
      <c r="P58" s="17">
        <v>7800</v>
      </c>
      <c r="Q58" s="17">
        <v>0</v>
      </c>
      <c r="R58" s="17">
        <v>0</v>
      </c>
      <c r="S58" s="64">
        <v>0</v>
      </c>
      <c r="T58" s="88">
        <f t="shared" si="1"/>
        <v>205700</v>
      </c>
    </row>
    <row r="59" spans="1:20" ht="19.5" thickBot="1">
      <c r="A59" s="1" t="s">
        <v>2</v>
      </c>
      <c r="B59" s="5" t="s">
        <v>109</v>
      </c>
      <c r="C59" s="16">
        <v>0</v>
      </c>
      <c r="D59" s="55">
        <v>-72470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65">
        <v>-13541</v>
      </c>
      <c r="T59" s="89">
        <f t="shared" si="1"/>
        <v>-86011</v>
      </c>
    </row>
    <row r="60" spans="1:20" ht="19.5" thickBot="1">
      <c r="A60" s="1" t="s">
        <v>2</v>
      </c>
      <c r="B60" s="40" t="s">
        <v>110</v>
      </c>
      <c r="C60" s="41">
        <v>66471</v>
      </c>
      <c r="D60" s="42">
        <v>0</v>
      </c>
      <c r="E60" s="42">
        <v>82997</v>
      </c>
      <c r="F60" s="42">
        <v>90787</v>
      </c>
      <c r="G60" s="42">
        <v>76911</v>
      </c>
      <c r="H60" s="42">
        <v>94260</v>
      </c>
      <c r="I60" s="42">
        <v>73678</v>
      </c>
      <c r="J60" s="42">
        <v>60692</v>
      </c>
      <c r="K60" s="42">
        <v>72412</v>
      </c>
      <c r="L60" s="42">
        <v>78274</v>
      </c>
      <c r="M60" s="42">
        <v>68236</v>
      </c>
      <c r="N60" s="42">
        <v>81713</v>
      </c>
      <c r="O60" s="42">
        <v>66242</v>
      </c>
      <c r="P60" s="42">
        <v>65112</v>
      </c>
      <c r="Q60" s="42">
        <v>51234</v>
      </c>
      <c r="R60" s="42">
        <v>44758</v>
      </c>
      <c r="S60" s="67">
        <v>23580</v>
      </c>
      <c r="T60" s="91">
        <f t="shared" si="1"/>
        <v>1097357</v>
      </c>
    </row>
    <row r="61" spans="1:20" ht="19.5" thickBot="1">
      <c r="A61" s="1" t="s">
        <v>2</v>
      </c>
      <c r="B61" s="40" t="s">
        <v>111</v>
      </c>
      <c r="C61" s="41">
        <v>247893</v>
      </c>
      <c r="D61" s="56">
        <v>-57570</v>
      </c>
      <c r="E61" s="42">
        <v>297849</v>
      </c>
      <c r="F61" s="42">
        <v>288038</v>
      </c>
      <c r="G61" s="42">
        <v>230271</v>
      </c>
      <c r="H61" s="42">
        <v>332647</v>
      </c>
      <c r="I61" s="42">
        <v>287052</v>
      </c>
      <c r="J61" s="42">
        <v>193568</v>
      </c>
      <c r="K61" s="42">
        <v>277708</v>
      </c>
      <c r="L61" s="42">
        <v>316692</v>
      </c>
      <c r="M61" s="42">
        <v>272784</v>
      </c>
      <c r="N61" s="42">
        <v>260340</v>
      </c>
      <c r="O61" s="42">
        <v>240312</v>
      </c>
      <c r="P61" s="42">
        <v>298442</v>
      </c>
      <c r="Q61" s="42">
        <v>173104</v>
      </c>
      <c r="R61" s="42">
        <v>223579</v>
      </c>
      <c r="S61" s="68">
        <v>-13959</v>
      </c>
      <c r="T61" s="92">
        <f t="shared" si="1"/>
        <v>3868750</v>
      </c>
    </row>
    <row r="62" spans="1:20" ht="19.5" thickBot="1">
      <c r="A62" s="1" t="s">
        <v>2</v>
      </c>
      <c r="B62" s="40" t="s">
        <v>112</v>
      </c>
      <c r="C62" s="41">
        <v>243880</v>
      </c>
      <c r="D62" s="42">
        <v>0</v>
      </c>
      <c r="E62" s="42">
        <v>279380</v>
      </c>
      <c r="F62" s="42">
        <v>263168</v>
      </c>
      <c r="G62" s="42">
        <v>226845</v>
      </c>
      <c r="H62" s="42">
        <v>304098</v>
      </c>
      <c r="I62" s="42">
        <v>265586</v>
      </c>
      <c r="J62" s="42">
        <v>180092</v>
      </c>
      <c r="K62" s="42">
        <v>258160</v>
      </c>
      <c r="L62" s="42">
        <v>296480</v>
      </c>
      <c r="M62" s="42">
        <v>260538</v>
      </c>
      <c r="N62" s="42">
        <v>232587</v>
      </c>
      <c r="O62" s="42">
        <v>227917</v>
      </c>
      <c r="P62" s="42">
        <v>292175</v>
      </c>
      <c r="Q62" s="42">
        <v>176876</v>
      </c>
      <c r="R62" s="42">
        <v>221236</v>
      </c>
      <c r="S62" s="67">
        <v>0</v>
      </c>
      <c r="T62" s="91">
        <f t="shared" si="1"/>
        <v>3729018</v>
      </c>
    </row>
    <row r="63" spans="1:20">
      <c r="A63" s="1" t="s">
        <v>2</v>
      </c>
      <c r="B63" s="22" t="s">
        <v>113</v>
      </c>
      <c r="C63" s="30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63">
        <v>0</v>
      </c>
      <c r="T63" s="87">
        <f t="shared" si="1"/>
        <v>0</v>
      </c>
    </row>
    <row r="64" spans="1:20">
      <c r="A64" s="1" t="s">
        <v>2</v>
      </c>
      <c r="B64" s="5" t="s">
        <v>114</v>
      </c>
      <c r="C64" s="16">
        <v>243880</v>
      </c>
      <c r="D64" s="17">
        <v>0</v>
      </c>
      <c r="E64" s="17">
        <v>279380</v>
      </c>
      <c r="F64" s="17">
        <v>263168</v>
      </c>
      <c r="G64" s="17">
        <v>226845</v>
      </c>
      <c r="H64" s="17">
        <v>304098</v>
      </c>
      <c r="I64" s="17">
        <v>265586</v>
      </c>
      <c r="J64" s="17">
        <v>180092</v>
      </c>
      <c r="K64" s="17">
        <v>258160</v>
      </c>
      <c r="L64" s="17">
        <v>296480</v>
      </c>
      <c r="M64" s="17">
        <v>260538</v>
      </c>
      <c r="N64" s="17">
        <v>232587</v>
      </c>
      <c r="O64" s="17">
        <v>227917</v>
      </c>
      <c r="P64" s="17">
        <v>292175</v>
      </c>
      <c r="Q64" s="17">
        <v>176876</v>
      </c>
      <c r="R64" s="17">
        <v>221236</v>
      </c>
      <c r="S64" s="64">
        <v>0</v>
      </c>
      <c r="T64" s="88">
        <f t="shared" si="1"/>
        <v>3729018</v>
      </c>
    </row>
    <row r="65" spans="1:20">
      <c r="A65" s="1" t="s">
        <v>2</v>
      </c>
      <c r="B65" s="5" t="s">
        <v>115</v>
      </c>
      <c r="C65" s="16">
        <v>1</v>
      </c>
      <c r="D65" s="17">
        <v>0</v>
      </c>
      <c r="E65" s="17">
        <v>1</v>
      </c>
      <c r="F65" s="17">
        <v>0</v>
      </c>
      <c r="G65" s="17">
        <v>1</v>
      </c>
      <c r="H65" s="17">
        <v>0</v>
      </c>
      <c r="I65" s="17">
        <v>0</v>
      </c>
      <c r="J65" s="17">
        <v>1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3</v>
      </c>
      <c r="Q65" s="17">
        <v>0</v>
      </c>
      <c r="R65" s="17">
        <v>0</v>
      </c>
      <c r="S65" s="64">
        <v>0</v>
      </c>
      <c r="T65" s="88"/>
    </row>
    <row r="66" spans="1:20" ht="19.5" thickBot="1">
      <c r="A66" s="1" t="s">
        <v>2</v>
      </c>
      <c r="B66" s="6" t="s">
        <v>116</v>
      </c>
      <c r="C66" s="19" t="s">
        <v>117</v>
      </c>
      <c r="D66" s="20" t="s">
        <v>117</v>
      </c>
      <c r="E66" s="20" t="s">
        <v>117</v>
      </c>
      <c r="F66" s="20" t="s">
        <v>117</v>
      </c>
      <c r="G66" s="20" t="s">
        <v>117</v>
      </c>
      <c r="H66" s="20" t="s">
        <v>117</v>
      </c>
      <c r="I66" s="20" t="s">
        <v>117</v>
      </c>
      <c r="J66" s="20" t="s">
        <v>117</v>
      </c>
      <c r="K66" s="20" t="s">
        <v>117</v>
      </c>
      <c r="L66" s="20" t="s">
        <v>117</v>
      </c>
      <c r="M66" s="20" t="s">
        <v>117</v>
      </c>
      <c r="N66" s="20" t="s">
        <v>117</v>
      </c>
      <c r="O66" s="20" t="s">
        <v>117</v>
      </c>
      <c r="P66" s="20" t="s">
        <v>117</v>
      </c>
      <c r="Q66" s="20" t="s">
        <v>117</v>
      </c>
      <c r="R66" s="20" t="s">
        <v>117</v>
      </c>
      <c r="S66" s="69" t="s">
        <v>117</v>
      </c>
      <c r="T66" s="93"/>
    </row>
  </sheetData>
  <phoneticPr fontId="3"/>
  <pageMargins left="0.11811023622047245" right="0.11811023622047245" top="0.15748031496062992" bottom="0.15748031496062992" header="0.31496062992125984" footer="0.31496062992125984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6月度給与 (2)</vt:lpstr>
      <vt:lpstr>2022年 6月度給与 (3)</vt:lpstr>
      <vt:lpstr>2022年 6月度給与 (4)</vt:lpstr>
      <vt:lpstr>'2022年 6月度給与 (3)'!Print_Area</vt:lpstr>
      <vt:lpstr>'2022年 6月度給与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2022-07-14T02:51:51Z</cp:lastPrinted>
  <dcterms:created xsi:type="dcterms:W3CDTF">2022-07-08T07:08:48Z</dcterms:created>
  <dcterms:modified xsi:type="dcterms:W3CDTF">2022-07-14T03:05:54Z</dcterms:modified>
</cp:coreProperties>
</file>