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A4065DF9-299C-46C5-8F61-09F2A42F1857}" xr6:coauthVersionLast="47" xr6:coauthVersionMax="47" xr10:uidLastSave="{00000000-0000-0000-0000-000000000000}"/>
  <bookViews>
    <workbookView xWindow="-120" yWindow="-120" windowWidth="20730" windowHeight="11160" xr2:uid="{98D0DD1B-56CA-419D-BE25-65E87F75A8A3}"/>
  </bookViews>
  <sheets>
    <sheet name="2022年 5月度給与 (2)" sheetId="3" r:id="rId1"/>
  </sheets>
  <definedNames>
    <definedName name="_xlnm.Print_Area" localSheetId="0">'2022年 5月度給与 (2)'!$A$1:$O$64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3" l="1"/>
  <c r="O13" i="3"/>
  <c r="O20" i="3"/>
  <c r="O2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4" i="3"/>
  <c r="N23" i="3"/>
  <c r="N22" i="3"/>
  <c r="N15" i="3"/>
  <c r="N16" i="3"/>
  <c r="N17" i="3"/>
  <c r="N18" i="3"/>
  <c r="N19" i="3"/>
  <c r="N14" i="3"/>
  <c r="N8" i="3"/>
  <c r="N9" i="3"/>
  <c r="N10" i="3"/>
  <c r="O10" i="3" s="1"/>
  <c r="N11" i="3"/>
  <c r="O11" i="3" s="1"/>
  <c r="N7" i="3"/>
  <c r="N6" i="3"/>
  <c r="F25" i="3"/>
  <c r="F26" i="3"/>
  <c r="O26" i="3" s="1"/>
  <c r="F27" i="3"/>
  <c r="O27" i="3" s="1"/>
  <c r="F28" i="3"/>
  <c r="F29" i="3"/>
  <c r="F30" i="3"/>
  <c r="O30" i="3" s="1"/>
  <c r="F31" i="3"/>
  <c r="O31" i="3" s="1"/>
  <c r="F32" i="3"/>
  <c r="F33" i="3"/>
  <c r="F34" i="3"/>
  <c r="F35" i="3"/>
  <c r="O35" i="3" s="1"/>
  <c r="F36" i="3"/>
  <c r="F37" i="3"/>
  <c r="F38" i="3"/>
  <c r="O38" i="3" s="1"/>
  <c r="F39" i="3"/>
  <c r="F40" i="3"/>
  <c r="F41" i="3"/>
  <c r="F42" i="3"/>
  <c r="O42" i="3" s="1"/>
  <c r="F43" i="3"/>
  <c r="F44" i="3"/>
  <c r="F45" i="3"/>
  <c r="F46" i="3"/>
  <c r="O46" i="3" s="1"/>
  <c r="F47" i="3"/>
  <c r="F48" i="3"/>
  <c r="F49" i="3"/>
  <c r="O49" i="3" s="1"/>
  <c r="F50" i="3"/>
  <c r="F51" i="3"/>
  <c r="F52" i="3"/>
  <c r="F53" i="3"/>
  <c r="F54" i="3"/>
  <c r="F55" i="3"/>
  <c r="F56" i="3"/>
  <c r="F57" i="3"/>
  <c r="F58" i="3"/>
  <c r="F59" i="3"/>
  <c r="F60" i="3"/>
  <c r="F61" i="3"/>
  <c r="O61" i="3" s="1"/>
  <c r="F62" i="3"/>
  <c r="F24" i="3"/>
  <c r="F23" i="3"/>
  <c r="F22" i="3"/>
  <c r="O22" i="3" s="1"/>
  <c r="F15" i="3"/>
  <c r="F16" i="3"/>
  <c r="F17" i="3"/>
  <c r="F18" i="3"/>
  <c r="O18" i="3" s="1"/>
  <c r="F19" i="3"/>
  <c r="F14" i="3"/>
  <c r="F8" i="3"/>
  <c r="F9" i="3"/>
  <c r="O9" i="3" s="1"/>
  <c r="F7" i="3"/>
  <c r="F6" i="3"/>
  <c r="O56" i="3" l="1"/>
  <c r="O33" i="3"/>
  <c r="O29" i="3"/>
  <c r="O25" i="3"/>
  <c r="O19" i="3"/>
  <c r="O15" i="3"/>
  <c r="O62" i="3"/>
  <c r="O58" i="3"/>
  <c r="O57" i="3"/>
  <c r="O53" i="3"/>
  <c r="O50" i="3"/>
  <c r="O43" i="3"/>
  <c r="O39" i="3"/>
  <c r="O36" i="3"/>
  <c r="O7" i="3"/>
  <c r="O8" i="3"/>
  <c r="O17" i="3"/>
  <c r="O23" i="3"/>
  <c r="O60" i="3"/>
  <c r="O55" i="3"/>
  <c r="O52" i="3"/>
  <c r="O48" i="3"/>
  <c r="O45" i="3"/>
  <c r="O41" i="3"/>
  <c r="O37" i="3"/>
  <c r="O32" i="3"/>
  <c r="O16" i="3"/>
  <c r="O24" i="3"/>
  <c r="O59" i="3"/>
  <c r="O54" i="3"/>
  <c r="O51" i="3"/>
  <c r="O47" i="3"/>
  <c r="O44" i="3"/>
  <c r="O40" i="3"/>
  <c r="O34" i="3"/>
  <c r="O28" i="3"/>
  <c r="O14" i="3"/>
  <c r="O6" i="3"/>
</calcChain>
</file>

<file path=xl/sharedStrings.xml><?xml version="1.0" encoding="utf-8"?>
<sst xmlns="http://schemas.openxmlformats.org/spreadsheetml/2006/main" count="158" uniqueCount="87">
  <si>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</si>
  <si>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</si>
  <si>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</si>
  <si>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</si>
  <si>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</si>
  <si>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</si>
  <si>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</si>
  <si>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</si>
  <si>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</si>
  <si>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</si>
  <si>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</si>
  <si>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</si>
  <si>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</si>
  <si>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</si>
  <si>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</si>
  <si>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</si>
  <si>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</si>
  <si>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</si>
  <si>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</si>
  <si>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</si>
  <si>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</si>
  <si>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</si>
  <si>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</si>
  <si>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</si>
  <si>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</si>
  <si>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</si>
  <si>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</si>
  <si>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</si>
  <si>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</si>
  <si>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</si>
  <si>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</si>
  <si>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</si>
  <si>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</si>
  <si>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</si>
  <si>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</si>
  <si>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</si>
  <si>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</si>
  <si>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</si>
  <si>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</si>
  <si>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</si>
  <si>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</si>
  <si>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</si>
  <si>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</si>
  <si>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</si>
  <si>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</si>
  <si>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</si>
  <si>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</si>
  <si>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</si>
  <si>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</si>
  <si>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</si>
  <si>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</si>
  <si>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</si>
  <si>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</si>
  <si>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</si>
  <si>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</si>
  <si>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</si>
  <si>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</si>
  <si>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</si>
  <si>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</si>
  <si>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</si>
  <si>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</si>
  <si>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</si>
  <si>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</si>
  <si>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</si>
  <si>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</si>
  <si>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</si>
  <si>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</si>
  <si>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</si>
  <si>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</si>
  <si>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</si>
  <si>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</si>
  <si>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</si>
  <si>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</si>
  <si>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</si>
  <si>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</si>
  <si>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</si>
  <si>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</si>
  <si>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</si>
  <si>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</si>
  <si>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</si>
  <si>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</si>
  <si>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5月度給与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</si>
  <si>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</si>
  <si>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</si>
  <si>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</si>
  <si>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１０名</t>
    <rPh sb="2" eb="3">
      <t>メイ</t>
    </rPh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</si>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</sst>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26" xfId="1" applyNumberFormat="1" applyFont="1" applyBorder="1"/>
    <xf numFmtId="49" fontId="2" fillId="0" borderId="34" xfId="1" applyNumberFormat="1" applyFont="1" applyBorder="1"/>
    <xf numFmtId="0" fontId="2" fillId="0" borderId="33" xfId="1" applyFont="1" applyBorder="1"/>
    <xf numFmtId="0" fontId="2" fillId="0" borderId="34" xfId="1" applyFont="1" applyBorder="1" applyAlignment="1">
      <alignment horizontal="right"/>
    </xf>
  </cellXfs>
  <cellStyles count="2">
    <cellStyle name="標準" xfId="0" builtinId="0"/>
    <cellStyle name="標準 2" xfId="1" xr:uid="{8D2D8C0B-3AD0-4A98-98B1-DFA45F61B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FC20-DF6F-4220-AC4D-3101120FAFCB}">
  <sheetPr>
    <pageSetUpPr fitToPage="1"/>
  </sheetPr>
  <dimension ref="A1:Q64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5" width="11.875" style="2" customWidth="1"/>
    <col min="16" max="258" width="9" style="2"/>
    <col min="259" max="259" width="2.375" style="2" customWidth="1"/>
    <col min="260" max="260" width="13.25" style="2" bestFit="1" customWidth="1"/>
    <col min="261" max="262" width="9" style="2"/>
    <col min="263" max="265" width="11.125" style="2" bestFit="1" customWidth="1"/>
    <col min="266" max="266" width="13.25" style="2" bestFit="1" customWidth="1"/>
    <col min="267" max="268" width="11.125" style="2" bestFit="1" customWidth="1"/>
    <col min="269" max="269" width="9" style="2"/>
    <col min="270" max="270" width="13.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9" style="2"/>
    <col min="519" max="521" width="11.125" style="2" bestFit="1" customWidth="1"/>
    <col min="522" max="522" width="13.25" style="2" bestFit="1" customWidth="1"/>
    <col min="523" max="524" width="11.125" style="2" bestFit="1" customWidth="1"/>
    <col min="525" max="525" width="9" style="2"/>
    <col min="526" max="526" width="13.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9" style="2"/>
    <col min="775" max="777" width="11.125" style="2" bestFit="1" customWidth="1"/>
    <col min="778" max="778" width="13.25" style="2" bestFit="1" customWidth="1"/>
    <col min="779" max="780" width="11.125" style="2" bestFit="1" customWidth="1"/>
    <col min="781" max="781" width="9" style="2"/>
    <col min="782" max="782" width="13.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9" style="2"/>
    <col min="1031" max="1033" width="11.125" style="2" bestFit="1" customWidth="1"/>
    <col min="1034" max="1034" width="13.25" style="2" bestFit="1" customWidth="1"/>
    <col min="1035" max="1036" width="11.125" style="2" bestFit="1" customWidth="1"/>
    <col min="1037" max="1037" width="9" style="2"/>
    <col min="1038" max="1038" width="13.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9" style="2"/>
    <col min="1287" max="1289" width="11.125" style="2" bestFit="1" customWidth="1"/>
    <col min="1290" max="1290" width="13.25" style="2" bestFit="1" customWidth="1"/>
    <col min="1291" max="1292" width="11.125" style="2" bestFit="1" customWidth="1"/>
    <col min="1293" max="1293" width="9" style="2"/>
    <col min="1294" max="1294" width="13.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9" style="2"/>
    <col min="1543" max="1545" width="11.125" style="2" bestFit="1" customWidth="1"/>
    <col min="1546" max="1546" width="13.25" style="2" bestFit="1" customWidth="1"/>
    <col min="1547" max="1548" width="11.125" style="2" bestFit="1" customWidth="1"/>
    <col min="1549" max="1549" width="9" style="2"/>
    <col min="1550" max="1550" width="13.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9" style="2"/>
    <col min="1799" max="1801" width="11.125" style="2" bestFit="1" customWidth="1"/>
    <col min="1802" max="1802" width="13.25" style="2" bestFit="1" customWidth="1"/>
    <col min="1803" max="1804" width="11.125" style="2" bestFit="1" customWidth="1"/>
    <col min="1805" max="1805" width="9" style="2"/>
    <col min="1806" max="1806" width="13.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9" style="2"/>
    <col min="2055" max="2057" width="11.125" style="2" bestFit="1" customWidth="1"/>
    <col min="2058" max="2058" width="13.25" style="2" bestFit="1" customWidth="1"/>
    <col min="2059" max="2060" width="11.125" style="2" bestFit="1" customWidth="1"/>
    <col min="2061" max="2061" width="9" style="2"/>
    <col min="2062" max="2062" width="13.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9" style="2"/>
    <col min="2311" max="2313" width="11.125" style="2" bestFit="1" customWidth="1"/>
    <col min="2314" max="2314" width="13.25" style="2" bestFit="1" customWidth="1"/>
    <col min="2315" max="2316" width="11.125" style="2" bestFit="1" customWidth="1"/>
    <col min="2317" max="2317" width="9" style="2"/>
    <col min="2318" max="2318" width="13.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9" style="2"/>
    <col min="2567" max="2569" width="11.125" style="2" bestFit="1" customWidth="1"/>
    <col min="2570" max="2570" width="13.25" style="2" bestFit="1" customWidth="1"/>
    <col min="2571" max="2572" width="11.125" style="2" bestFit="1" customWidth="1"/>
    <col min="2573" max="2573" width="9" style="2"/>
    <col min="2574" max="2574" width="13.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9" style="2"/>
    <col min="2823" max="2825" width="11.125" style="2" bestFit="1" customWidth="1"/>
    <col min="2826" max="2826" width="13.25" style="2" bestFit="1" customWidth="1"/>
    <col min="2827" max="2828" width="11.125" style="2" bestFit="1" customWidth="1"/>
    <col min="2829" max="2829" width="9" style="2"/>
    <col min="2830" max="2830" width="13.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9" style="2"/>
    <col min="3079" max="3081" width="11.125" style="2" bestFit="1" customWidth="1"/>
    <col min="3082" max="3082" width="13.25" style="2" bestFit="1" customWidth="1"/>
    <col min="3083" max="3084" width="11.125" style="2" bestFit="1" customWidth="1"/>
    <col min="3085" max="3085" width="9" style="2"/>
    <col min="3086" max="3086" width="13.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9" style="2"/>
    <col min="3335" max="3337" width="11.125" style="2" bestFit="1" customWidth="1"/>
    <col min="3338" max="3338" width="13.25" style="2" bestFit="1" customWidth="1"/>
    <col min="3339" max="3340" width="11.125" style="2" bestFit="1" customWidth="1"/>
    <col min="3341" max="3341" width="9" style="2"/>
    <col min="3342" max="3342" width="13.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9" style="2"/>
    <col min="3591" max="3593" width="11.125" style="2" bestFit="1" customWidth="1"/>
    <col min="3594" max="3594" width="13.25" style="2" bestFit="1" customWidth="1"/>
    <col min="3595" max="3596" width="11.125" style="2" bestFit="1" customWidth="1"/>
    <col min="3597" max="3597" width="9" style="2"/>
    <col min="3598" max="3598" width="13.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9" style="2"/>
    <col min="3847" max="3849" width="11.125" style="2" bestFit="1" customWidth="1"/>
    <col min="3850" max="3850" width="13.25" style="2" bestFit="1" customWidth="1"/>
    <col min="3851" max="3852" width="11.125" style="2" bestFit="1" customWidth="1"/>
    <col min="3853" max="3853" width="9" style="2"/>
    <col min="3854" max="3854" width="13.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9" style="2"/>
    <col min="4103" max="4105" width="11.125" style="2" bestFit="1" customWidth="1"/>
    <col min="4106" max="4106" width="13.25" style="2" bestFit="1" customWidth="1"/>
    <col min="4107" max="4108" width="11.125" style="2" bestFit="1" customWidth="1"/>
    <col min="4109" max="4109" width="9" style="2"/>
    <col min="4110" max="4110" width="13.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9" style="2"/>
    <col min="4359" max="4361" width="11.125" style="2" bestFit="1" customWidth="1"/>
    <col min="4362" max="4362" width="13.25" style="2" bestFit="1" customWidth="1"/>
    <col min="4363" max="4364" width="11.125" style="2" bestFit="1" customWidth="1"/>
    <col min="4365" max="4365" width="9" style="2"/>
    <col min="4366" max="4366" width="13.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9" style="2"/>
    <col min="4615" max="4617" width="11.125" style="2" bestFit="1" customWidth="1"/>
    <col min="4618" max="4618" width="13.25" style="2" bestFit="1" customWidth="1"/>
    <col min="4619" max="4620" width="11.125" style="2" bestFit="1" customWidth="1"/>
    <col min="4621" max="4621" width="9" style="2"/>
    <col min="4622" max="4622" width="13.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9" style="2"/>
    <col min="4871" max="4873" width="11.125" style="2" bestFit="1" customWidth="1"/>
    <col min="4874" max="4874" width="13.25" style="2" bestFit="1" customWidth="1"/>
    <col min="4875" max="4876" width="11.125" style="2" bestFit="1" customWidth="1"/>
    <col min="4877" max="4877" width="9" style="2"/>
    <col min="4878" max="4878" width="13.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9" style="2"/>
    <col min="5127" max="5129" width="11.125" style="2" bestFit="1" customWidth="1"/>
    <col min="5130" max="5130" width="13.25" style="2" bestFit="1" customWidth="1"/>
    <col min="5131" max="5132" width="11.125" style="2" bestFit="1" customWidth="1"/>
    <col min="5133" max="5133" width="9" style="2"/>
    <col min="5134" max="5134" width="13.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9" style="2"/>
    <col min="5383" max="5385" width="11.125" style="2" bestFit="1" customWidth="1"/>
    <col min="5386" max="5386" width="13.25" style="2" bestFit="1" customWidth="1"/>
    <col min="5387" max="5388" width="11.125" style="2" bestFit="1" customWidth="1"/>
    <col min="5389" max="5389" width="9" style="2"/>
    <col min="5390" max="5390" width="13.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9" style="2"/>
    <col min="5639" max="5641" width="11.125" style="2" bestFit="1" customWidth="1"/>
    <col min="5642" max="5642" width="13.25" style="2" bestFit="1" customWidth="1"/>
    <col min="5643" max="5644" width="11.125" style="2" bestFit="1" customWidth="1"/>
    <col min="5645" max="5645" width="9" style="2"/>
    <col min="5646" max="5646" width="13.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9" style="2"/>
    <col min="5895" max="5897" width="11.125" style="2" bestFit="1" customWidth="1"/>
    <col min="5898" max="5898" width="13.25" style="2" bestFit="1" customWidth="1"/>
    <col min="5899" max="5900" width="11.125" style="2" bestFit="1" customWidth="1"/>
    <col min="5901" max="5901" width="9" style="2"/>
    <col min="5902" max="5902" width="13.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9" style="2"/>
    <col min="6151" max="6153" width="11.125" style="2" bestFit="1" customWidth="1"/>
    <col min="6154" max="6154" width="13.25" style="2" bestFit="1" customWidth="1"/>
    <col min="6155" max="6156" width="11.125" style="2" bestFit="1" customWidth="1"/>
    <col min="6157" max="6157" width="9" style="2"/>
    <col min="6158" max="6158" width="13.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9" style="2"/>
    <col min="6407" max="6409" width="11.125" style="2" bestFit="1" customWidth="1"/>
    <col min="6410" max="6410" width="13.25" style="2" bestFit="1" customWidth="1"/>
    <col min="6411" max="6412" width="11.125" style="2" bestFit="1" customWidth="1"/>
    <col min="6413" max="6413" width="9" style="2"/>
    <col min="6414" max="6414" width="13.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9" style="2"/>
    <col min="6663" max="6665" width="11.125" style="2" bestFit="1" customWidth="1"/>
    <col min="6666" max="6666" width="13.25" style="2" bestFit="1" customWidth="1"/>
    <col min="6667" max="6668" width="11.125" style="2" bestFit="1" customWidth="1"/>
    <col min="6669" max="6669" width="9" style="2"/>
    <col min="6670" max="6670" width="13.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9" style="2"/>
    <col min="6919" max="6921" width="11.125" style="2" bestFit="1" customWidth="1"/>
    <col min="6922" max="6922" width="13.25" style="2" bestFit="1" customWidth="1"/>
    <col min="6923" max="6924" width="11.125" style="2" bestFit="1" customWidth="1"/>
    <col min="6925" max="6925" width="9" style="2"/>
    <col min="6926" max="6926" width="13.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9" style="2"/>
    <col min="7175" max="7177" width="11.125" style="2" bestFit="1" customWidth="1"/>
    <col min="7178" max="7178" width="13.25" style="2" bestFit="1" customWidth="1"/>
    <col min="7179" max="7180" width="11.125" style="2" bestFit="1" customWidth="1"/>
    <col min="7181" max="7181" width="9" style="2"/>
    <col min="7182" max="7182" width="13.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9" style="2"/>
    <col min="7431" max="7433" width="11.125" style="2" bestFit="1" customWidth="1"/>
    <col min="7434" max="7434" width="13.25" style="2" bestFit="1" customWidth="1"/>
    <col min="7435" max="7436" width="11.125" style="2" bestFit="1" customWidth="1"/>
    <col min="7437" max="7437" width="9" style="2"/>
    <col min="7438" max="7438" width="13.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9" style="2"/>
    <col min="7687" max="7689" width="11.125" style="2" bestFit="1" customWidth="1"/>
    <col min="7690" max="7690" width="13.25" style="2" bestFit="1" customWidth="1"/>
    <col min="7691" max="7692" width="11.125" style="2" bestFit="1" customWidth="1"/>
    <col min="7693" max="7693" width="9" style="2"/>
    <col min="7694" max="7694" width="13.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9" style="2"/>
    <col min="7943" max="7945" width="11.125" style="2" bestFit="1" customWidth="1"/>
    <col min="7946" max="7946" width="13.25" style="2" bestFit="1" customWidth="1"/>
    <col min="7947" max="7948" width="11.125" style="2" bestFit="1" customWidth="1"/>
    <col min="7949" max="7949" width="9" style="2"/>
    <col min="7950" max="7950" width="13.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9" style="2"/>
    <col min="8199" max="8201" width="11.125" style="2" bestFit="1" customWidth="1"/>
    <col min="8202" max="8202" width="13.25" style="2" bestFit="1" customWidth="1"/>
    <col min="8203" max="8204" width="11.125" style="2" bestFit="1" customWidth="1"/>
    <col min="8205" max="8205" width="9" style="2"/>
    <col min="8206" max="8206" width="13.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9" style="2"/>
    <col min="8455" max="8457" width="11.125" style="2" bestFit="1" customWidth="1"/>
    <col min="8458" max="8458" width="13.25" style="2" bestFit="1" customWidth="1"/>
    <col min="8459" max="8460" width="11.125" style="2" bestFit="1" customWidth="1"/>
    <col min="8461" max="8461" width="9" style="2"/>
    <col min="8462" max="8462" width="13.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9" style="2"/>
    <col min="8711" max="8713" width="11.125" style="2" bestFit="1" customWidth="1"/>
    <col min="8714" max="8714" width="13.25" style="2" bestFit="1" customWidth="1"/>
    <col min="8715" max="8716" width="11.125" style="2" bestFit="1" customWidth="1"/>
    <col min="8717" max="8717" width="9" style="2"/>
    <col min="8718" max="8718" width="13.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9" style="2"/>
    <col min="8967" max="8969" width="11.125" style="2" bestFit="1" customWidth="1"/>
    <col min="8970" max="8970" width="13.25" style="2" bestFit="1" customWidth="1"/>
    <col min="8971" max="8972" width="11.125" style="2" bestFit="1" customWidth="1"/>
    <col min="8973" max="8973" width="9" style="2"/>
    <col min="8974" max="8974" width="13.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9" style="2"/>
    <col min="9223" max="9225" width="11.125" style="2" bestFit="1" customWidth="1"/>
    <col min="9226" max="9226" width="13.25" style="2" bestFit="1" customWidth="1"/>
    <col min="9227" max="9228" width="11.125" style="2" bestFit="1" customWidth="1"/>
    <col min="9229" max="9229" width="9" style="2"/>
    <col min="9230" max="9230" width="13.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9" style="2"/>
    <col min="9479" max="9481" width="11.125" style="2" bestFit="1" customWidth="1"/>
    <col min="9482" max="9482" width="13.25" style="2" bestFit="1" customWidth="1"/>
    <col min="9483" max="9484" width="11.125" style="2" bestFit="1" customWidth="1"/>
    <col min="9485" max="9485" width="9" style="2"/>
    <col min="9486" max="9486" width="13.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9" style="2"/>
    <col min="9735" max="9737" width="11.125" style="2" bestFit="1" customWidth="1"/>
    <col min="9738" max="9738" width="13.25" style="2" bestFit="1" customWidth="1"/>
    <col min="9739" max="9740" width="11.125" style="2" bestFit="1" customWidth="1"/>
    <col min="9741" max="9741" width="9" style="2"/>
    <col min="9742" max="9742" width="13.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9" style="2"/>
    <col min="9991" max="9993" width="11.125" style="2" bestFit="1" customWidth="1"/>
    <col min="9994" max="9994" width="13.25" style="2" bestFit="1" customWidth="1"/>
    <col min="9995" max="9996" width="11.125" style="2" bestFit="1" customWidth="1"/>
    <col min="9997" max="9997" width="9" style="2"/>
    <col min="9998" max="9998" width="13.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" style="2"/>
    <col min="10254" max="10254" width="13.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" style="2"/>
    <col min="10510" max="10510" width="13.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" style="2"/>
    <col min="10766" max="10766" width="13.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" style="2"/>
    <col min="11022" max="11022" width="13.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" style="2"/>
    <col min="11278" max="11278" width="13.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" style="2"/>
    <col min="11534" max="11534" width="13.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" style="2"/>
    <col min="11790" max="11790" width="13.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" style="2"/>
    <col min="12046" max="12046" width="13.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" style="2"/>
    <col min="12302" max="12302" width="13.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" style="2"/>
    <col min="12558" max="12558" width="13.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" style="2"/>
    <col min="12814" max="12814" width="13.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" style="2"/>
    <col min="13070" max="13070" width="13.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" style="2"/>
    <col min="13326" max="13326" width="13.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" style="2"/>
    <col min="13582" max="13582" width="13.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" style="2"/>
    <col min="13838" max="13838" width="13.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" style="2"/>
    <col min="14094" max="14094" width="13.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" style="2"/>
    <col min="14350" max="14350" width="13.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" style="2"/>
    <col min="14606" max="14606" width="13.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" style="2"/>
    <col min="14862" max="14862" width="13.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" style="2"/>
    <col min="15118" max="15118" width="13.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" style="2"/>
    <col min="15374" max="15374" width="13.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" style="2"/>
    <col min="15630" max="15630" width="13.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" style="2"/>
    <col min="15886" max="15886" width="13.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" style="2"/>
    <col min="16142" max="16142" width="13.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81</v>
      </c>
    </row>
    <row r="4" spans="1:17">
      <c r="B4" s="3"/>
      <c r="C4" s="7" t="s">
        <v>6</v>
      </c>
      <c r="D4" s="7" t="s">
        <v>10</v>
      </c>
      <c r="E4" s="44" t="s">
        <v>8</v>
      </c>
      <c r="F4" s="55" t="s">
        <v>82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7" t="s">
        <v>11</v>
      </c>
      <c r="M4" s="8" t="s">
        <v>12</v>
      </c>
      <c r="N4" s="55" t="s">
        <v>82</v>
      </c>
      <c r="O4" s="66" t="s">
        <v>23</v>
      </c>
    </row>
    <row r="5" spans="1:17" ht="19.5" thickBot="1">
      <c r="A5" s="43"/>
      <c r="B5" s="25" t="s">
        <v>13</v>
      </c>
      <c r="C5" s="27" t="s">
        <v>17</v>
      </c>
      <c r="D5" s="27" t="s">
        <v>21</v>
      </c>
      <c r="E5" s="45" t="s">
        <v>19</v>
      </c>
      <c r="F5" s="56" t="s">
        <v>83</v>
      </c>
      <c r="G5" s="26" t="s">
        <v>14</v>
      </c>
      <c r="H5" s="27" t="s">
        <v>15</v>
      </c>
      <c r="I5" s="27" t="s">
        <v>16</v>
      </c>
      <c r="J5" s="27" t="s">
        <v>18</v>
      </c>
      <c r="K5" s="27" t="s">
        <v>20</v>
      </c>
      <c r="L5" s="27" t="s">
        <v>22</v>
      </c>
      <c r="M5" s="28" t="s">
        <v>86</v>
      </c>
      <c r="N5" s="56" t="s">
        <v>84</v>
      </c>
      <c r="O5" s="67" t="s">
        <v>85</v>
      </c>
    </row>
    <row r="6" spans="1:17">
      <c r="A6" s="1" t="s">
        <v>2</v>
      </c>
      <c r="B6" s="21" t="s">
        <v>24</v>
      </c>
      <c r="C6" s="23">
        <v>18</v>
      </c>
      <c r="D6" s="23">
        <v>18</v>
      </c>
      <c r="E6" s="46">
        <v>17</v>
      </c>
      <c r="F6" s="57">
        <f>SUM(C6:E6)</f>
        <v>53</v>
      </c>
      <c r="G6" s="22">
        <v>18</v>
      </c>
      <c r="H6" s="23">
        <v>14</v>
      </c>
      <c r="I6" s="23">
        <v>16</v>
      </c>
      <c r="J6" s="23">
        <v>18</v>
      </c>
      <c r="K6" s="23">
        <v>14</v>
      </c>
      <c r="L6" s="23">
        <v>18</v>
      </c>
      <c r="M6" s="24">
        <v>17</v>
      </c>
      <c r="N6" s="57">
        <f>SUM(G6:M6)</f>
        <v>115</v>
      </c>
      <c r="O6" s="57">
        <f>F6+N6</f>
        <v>168</v>
      </c>
      <c r="Q6"/>
    </row>
    <row r="7" spans="1:17">
      <c r="A7" s="1" t="s">
        <v>2</v>
      </c>
      <c r="B7" s="4" t="s">
        <v>25</v>
      </c>
      <c r="C7" s="10">
        <v>0</v>
      </c>
      <c r="D7" s="10">
        <v>0</v>
      </c>
      <c r="E7" s="47">
        <v>2</v>
      </c>
      <c r="F7" s="58">
        <f>SUM(C7:E7)</f>
        <v>2</v>
      </c>
      <c r="G7" s="9">
        <v>4</v>
      </c>
      <c r="H7" s="10">
        <v>2</v>
      </c>
      <c r="I7" s="10">
        <v>2</v>
      </c>
      <c r="J7" s="10">
        <v>2</v>
      </c>
      <c r="K7" s="10">
        <v>1</v>
      </c>
      <c r="L7" s="10">
        <v>3</v>
      </c>
      <c r="M7" s="11">
        <v>4</v>
      </c>
      <c r="N7" s="58">
        <f>SUM(G7:M7)</f>
        <v>18</v>
      </c>
      <c r="O7" s="58">
        <f t="shared" ref="O7:O54" si="0">F7+N7</f>
        <v>20</v>
      </c>
      <c r="Q7"/>
    </row>
    <row r="8" spans="1:17">
      <c r="A8" s="1" t="s">
        <v>2</v>
      </c>
      <c r="B8" s="4" t="s">
        <v>26</v>
      </c>
      <c r="C8" s="10">
        <v>0</v>
      </c>
      <c r="D8" s="10">
        <v>0</v>
      </c>
      <c r="E8" s="47">
        <v>4</v>
      </c>
      <c r="F8" s="58">
        <f t="shared" ref="F8:F9" si="1">SUM(C8:E8)</f>
        <v>4</v>
      </c>
      <c r="G8" s="9">
        <v>2</v>
      </c>
      <c r="H8" s="10">
        <v>7</v>
      </c>
      <c r="I8" s="10">
        <v>3</v>
      </c>
      <c r="J8" s="10">
        <v>1</v>
      </c>
      <c r="K8" s="10">
        <v>0</v>
      </c>
      <c r="L8" s="10">
        <v>2</v>
      </c>
      <c r="M8" s="11">
        <v>2</v>
      </c>
      <c r="N8" s="58">
        <f t="shared" ref="N8:N11" si="2">SUM(G8:M8)</f>
        <v>17</v>
      </c>
      <c r="O8" s="58">
        <f t="shared" si="0"/>
        <v>21</v>
      </c>
      <c r="Q8"/>
    </row>
    <row r="9" spans="1:17">
      <c r="A9" s="1" t="s">
        <v>2</v>
      </c>
      <c r="B9" s="4" t="s">
        <v>27</v>
      </c>
      <c r="C9" s="10">
        <v>0</v>
      </c>
      <c r="D9" s="10">
        <v>0</v>
      </c>
      <c r="E9" s="47">
        <v>2</v>
      </c>
      <c r="F9" s="58">
        <f t="shared" si="1"/>
        <v>2</v>
      </c>
      <c r="G9" s="9">
        <v>0</v>
      </c>
      <c r="H9" s="10">
        <v>4</v>
      </c>
      <c r="I9" s="10">
        <v>2</v>
      </c>
      <c r="J9" s="10">
        <v>0</v>
      </c>
      <c r="K9" s="10">
        <v>0</v>
      </c>
      <c r="L9" s="10">
        <v>0</v>
      </c>
      <c r="M9" s="11">
        <v>2</v>
      </c>
      <c r="N9" s="58">
        <f t="shared" si="2"/>
        <v>8</v>
      </c>
      <c r="O9" s="58">
        <f t="shared" si="0"/>
        <v>10</v>
      </c>
      <c r="Q9"/>
    </row>
    <row r="10" spans="1:17">
      <c r="A10" s="1" t="s">
        <v>2</v>
      </c>
      <c r="B10" s="4" t="s">
        <v>28</v>
      </c>
      <c r="C10" s="10">
        <v>0</v>
      </c>
      <c r="D10" s="10">
        <v>0</v>
      </c>
      <c r="E10" s="47">
        <v>0</v>
      </c>
      <c r="F10" s="58"/>
      <c r="G10" s="9">
        <v>1</v>
      </c>
      <c r="H10" s="10">
        <v>1</v>
      </c>
      <c r="I10" s="10">
        <v>1</v>
      </c>
      <c r="J10" s="10">
        <v>1</v>
      </c>
      <c r="K10" s="10">
        <v>0</v>
      </c>
      <c r="L10" s="10">
        <v>1</v>
      </c>
      <c r="M10" s="11">
        <v>0</v>
      </c>
      <c r="N10" s="58">
        <f t="shared" si="2"/>
        <v>5</v>
      </c>
      <c r="O10" s="58">
        <f t="shared" si="0"/>
        <v>5</v>
      </c>
      <c r="Q10"/>
    </row>
    <row r="11" spans="1:17">
      <c r="A11" s="1" t="s">
        <v>2</v>
      </c>
      <c r="B11" s="4" t="s">
        <v>29</v>
      </c>
      <c r="C11" s="10">
        <v>0</v>
      </c>
      <c r="D11" s="10">
        <v>0</v>
      </c>
      <c r="E11" s="47">
        <v>0</v>
      </c>
      <c r="F11" s="58"/>
      <c r="G11" s="9">
        <v>0</v>
      </c>
      <c r="H11" s="10">
        <v>0</v>
      </c>
      <c r="I11" s="10">
        <v>0</v>
      </c>
      <c r="J11" s="10">
        <v>0</v>
      </c>
      <c r="K11" s="10">
        <v>5</v>
      </c>
      <c r="L11" s="10">
        <v>0</v>
      </c>
      <c r="M11" s="11">
        <v>0</v>
      </c>
      <c r="N11" s="58">
        <f t="shared" si="2"/>
        <v>5</v>
      </c>
      <c r="O11" s="58">
        <f t="shared" si="0"/>
        <v>5</v>
      </c>
      <c r="Q11"/>
    </row>
    <row r="12" spans="1:17">
      <c r="A12" s="1" t="s">
        <v>2</v>
      </c>
      <c r="B12" s="4" t="s">
        <v>30</v>
      </c>
      <c r="C12" s="10">
        <v>0</v>
      </c>
      <c r="D12" s="10">
        <v>0</v>
      </c>
      <c r="E12" s="47">
        <v>0</v>
      </c>
      <c r="F12" s="58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1">
        <v>0</v>
      </c>
      <c r="N12" s="58"/>
      <c r="O12" s="58">
        <f t="shared" si="0"/>
        <v>0</v>
      </c>
      <c r="Q12"/>
    </row>
    <row r="13" spans="1:17">
      <c r="A13" s="1" t="s">
        <v>2</v>
      </c>
      <c r="B13" s="4" t="s">
        <v>31</v>
      </c>
      <c r="C13" s="10">
        <v>0</v>
      </c>
      <c r="D13" s="10">
        <v>0</v>
      </c>
      <c r="E13" s="47">
        <v>0</v>
      </c>
      <c r="F13" s="58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1">
        <v>0</v>
      </c>
      <c r="N13" s="58"/>
      <c r="O13" s="58">
        <f t="shared" si="0"/>
        <v>0</v>
      </c>
      <c r="Q13"/>
    </row>
    <row r="14" spans="1:17">
      <c r="A14" s="1" t="s">
        <v>2</v>
      </c>
      <c r="B14" s="4" t="s">
        <v>32</v>
      </c>
      <c r="C14" s="13">
        <v>0</v>
      </c>
      <c r="D14" s="13">
        <v>0</v>
      </c>
      <c r="E14" s="48">
        <v>4.1666666666666664E-2</v>
      </c>
      <c r="F14" s="59">
        <f>SUM(C14:E14)</f>
        <v>4.1666666666666664E-2</v>
      </c>
      <c r="G14" s="12">
        <v>2.0416666666666665</v>
      </c>
      <c r="H14" s="13">
        <v>1.125</v>
      </c>
      <c r="I14" s="13">
        <v>1.2916666666666667</v>
      </c>
      <c r="J14" s="13">
        <v>1.8333333333333335</v>
      </c>
      <c r="K14" s="13">
        <v>1.0416666666666667</v>
      </c>
      <c r="L14" s="13">
        <v>1.25</v>
      </c>
      <c r="M14" s="14">
        <v>2.3333333333333335</v>
      </c>
      <c r="N14" s="59">
        <f>SUM(G14:M14)</f>
        <v>10.916666666666666</v>
      </c>
      <c r="O14" s="59">
        <f t="shared" si="0"/>
        <v>10.958333333333332</v>
      </c>
      <c r="Q14"/>
    </row>
    <row r="15" spans="1:17">
      <c r="A15" s="1" t="s">
        <v>2</v>
      </c>
      <c r="B15" s="4" t="s">
        <v>33</v>
      </c>
      <c r="C15" s="13">
        <v>0</v>
      </c>
      <c r="D15" s="13">
        <v>0</v>
      </c>
      <c r="E15" s="48">
        <v>0.66666666666666663</v>
      </c>
      <c r="F15" s="59">
        <f t="shared" ref="F15:F19" si="3">SUM(C15:E15)</f>
        <v>0.66666666666666663</v>
      </c>
      <c r="G15" s="12">
        <v>2.1666666666666665</v>
      </c>
      <c r="H15" s="13">
        <v>0.625</v>
      </c>
      <c r="I15" s="13">
        <v>0.41666666666666669</v>
      </c>
      <c r="J15" s="13">
        <v>0.70833333333333337</v>
      </c>
      <c r="K15" s="13">
        <v>0.45833333333333331</v>
      </c>
      <c r="L15" s="13">
        <v>1.2083333333333333</v>
      </c>
      <c r="M15" s="14">
        <v>1.625</v>
      </c>
      <c r="N15" s="59">
        <f t="shared" ref="N15:N19" si="4">SUM(G15:M15)</f>
        <v>7.208333333333333</v>
      </c>
      <c r="O15" s="59">
        <f t="shared" si="0"/>
        <v>7.875</v>
      </c>
      <c r="Q15"/>
    </row>
    <row r="16" spans="1:17">
      <c r="A16" s="1" t="s">
        <v>2</v>
      </c>
      <c r="B16" s="4" t="s">
        <v>34</v>
      </c>
      <c r="C16" s="13">
        <v>0</v>
      </c>
      <c r="D16" s="13">
        <v>0</v>
      </c>
      <c r="E16" s="48">
        <v>0.45833333333333331</v>
      </c>
      <c r="F16" s="59">
        <f t="shared" si="3"/>
        <v>0.45833333333333331</v>
      </c>
      <c r="G16" s="12">
        <v>1.2083333333333333</v>
      </c>
      <c r="H16" s="13">
        <v>0.875</v>
      </c>
      <c r="I16" s="13">
        <v>0.75</v>
      </c>
      <c r="J16" s="13">
        <v>0.29166666666666669</v>
      </c>
      <c r="K16" s="13">
        <v>0</v>
      </c>
      <c r="L16" s="13">
        <v>0.91666666666666663</v>
      </c>
      <c r="M16" s="14">
        <v>0.625</v>
      </c>
      <c r="N16" s="59">
        <f t="shared" si="4"/>
        <v>4.6666666666666661</v>
      </c>
      <c r="O16" s="59">
        <f t="shared" si="0"/>
        <v>5.1249999999999991</v>
      </c>
      <c r="Q16"/>
    </row>
    <row r="17" spans="1:17">
      <c r="A17" s="1" t="s">
        <v>2</v>
      </c>
      <c r="B17" s="4" t="s">
        <v>35</v>
      </c>
      <c r="C17" s="13">
        <v>0</v>
      </c>
      <c r="D17" s="13">
        <v>0</v>
      </c>
      <c r="E17" s="48">
        <v>0</v>
      </c>
      <c r="F17" s="59">
        <f t="shared" si="3"/>
        <v>0</v>
      </c>
      <c r="G17" s="12">
        <v>0</v>
      </c>
      <c r="H17" s="13">
        <v>0</v>
      </c>
      <c r="I17" s="13">
        <v>0.33333333333333331</v>
      </c>
      <c r="J17" s="13">
        <v>0</v>
      </c>
      <c r="K17" s="13">
        <v>0</v>
      </c>
      <c r="L17" s="13">
        <v>0</v>
      </c>
      <c r="M17" s="14">
        <v>0.58333333333333337</v>
      </c>
      <c r="N17" s="59">
        <f t="shared" si="4"/>
        <v>0.91666666666666674</v>
      </c>
      <c r="O17" s="59">
        <f t="shared" si="0"/>
        <v>0.91666666666666674</v>
      </c>
      <c r="Q17"/>
    </row>
    <row r="18" spans="1:17">
      <c r="A18" s="1" t="s">
        <v>2</v>
      </c>
      <c r="B18" s="4" t="s">
        <v>36</v>
      </c>
      <c r="C18" s="13">
        <v>0</v>
      </c>
      <c r="D18" s="13">
        <v>0</v>
      </c>
      <c r="E18" s="48">
        <v>0.29166666666666669</v>
      </c>
      <c r="F18" s="59">
        <f t="shared" si="3"/>
        <v>0.29166666666666669</v>
      </c>
      <c r="G18" s="12">
        <v>0</v>
      </c>
      <c r="H18" s="13">
        <v>1.125</v>
      </c>
      <c r="I18" s="13">
        <v>0.375</v>
      </c>
      <c r="J18" s="13">
        <v>0</v>
      </c>
      <c r="K18" s="13">
        <v>0</v>
      </c>
      <c r="L18" s="13">
        <v>0</v>
      </c>
      <c r="M18" s="14">
        <v>0.58333333333333337</v>
      </c>
      <c r="N18" s="59">
        <f t="shared" si="4"/>
        <v>2.0833333333333335</v>
      </c>
      <c r="O18" s="59">
        <f t="shared" si="0"/>
        <v>2.375</v>
      </c>
      <c r="Q18"/>
    </row>
    <row r="19" spans="1:17">
      <c r="A19" s="1" t="s">
        <v>2</v>
      </c>
      <c r="B19" s="4" t="s">
        <v>37</v>
      </c>
      <c r="C19" s="13">
        <v>0</v>
      </c>
      <c r="D19" s="13">
        <v>0</v>
      </c>
      <c r="E19" s="48">
        <v>0.16666666666666666</v>
      </c>
      <c r="F19" s="59">
        <f t="shared" si="3"/>
        <v>0.16666666666666666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4">
        <v>0</v>
      </c>
      <c r="N19" s="59">
        <f t="shared" si="4"/>
        <v>0</v>
      </c>
      <c r="O19" s="59">
        <f t="shared" si="0"/>
        <v>0.16666666666666666</v>
      </c>
      <c r="Q19"/>
    </row>
    <row r="20" spans="1:17">
      <c r="A20" s="1" t="s">
        <v>2</v>
      </c>
      <c r="B20" s="4" t="s">
        <v>38</v>
      </c>
      <c r="C20" s="13">
        <v>0</v>
      </c>
      <c r="D20" s="13">
        <v>0</v>
      </c>
      <c r="E20" s="48">
        <v>0</v>
      </c>
      <c r="F20" s="59"/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0</v>
      </c>
      <c r="N20" s="59"/>
      <c r="O20" s="59">
        <f t="shared" si="0"/>
        <v>0</v>
      </c>
      <c r="Q20"/>
    </row>
    <row r="21" spans="1:17">
      <c r="A21" s="1" t="s">
        <v>2</v>
      </c>
      <c r="B21" s="4" t="s">
        <v>39</v>
      </c>
      <c r="C21" s="13">
        <v>0</v>
      </c>
      <c r="D21" s="13">
        <v>0</v>
      </c>
      <c r="E21" s="48">
        <v>0</v>
      </c>
      <c r="F21" s="59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59"/>
      <c r="O21" s="59">
        <f t="shared" si="0"/>
        <v>0</v>
      </c>
      <c r="Q21"/>
    </row>
    <row r="22" spans="1:17">
      <c r="A22" s="1" t="s">
        <v>2</v>
      </c>
      <c r="B22" s="4" t="s">
        <v>40</v>
      </c>
      <c r="C22" s="13">
        <v>0.70833333333333337</v>
      </c>
      <c r="D22" s="13">
        <v>0</v>
      </c>
      <c r="E22" s="48">
        <v>0</v>
      </c>
      <c r="F22" s="59">
        <f>SUM(C22:E22)</f>
        <v>0.70833333333333337</v>
      </c>
      <c r="G22" s="12">
        <v>1.2083333333333333</v>
      </c>
      <c r="H22" s="13">
        <v>0.91666666666666663</v>
      </c>
      <c r="I22" s="13">
        <v>2.2916666666666665</v>
      </c>
      <c r="J22" s="13">
        <v>0.58333333333333337</v>
      </c>
      <c r="K22" s="13">
        <v>0.41666666666666669</v>
      </c>
      <c r="L22" s="13">
        <v>0.75</v>
      </c>
      <c r="M22" s="14">
        <v>1.2083333333333333</v>
      </c>
      <c r="N22" s="59">
        <f>SUM(G22:M22)</f>
        <v>7.3749999999999991</v>
      </c>
      <c r="O22" s="59">
        <f t="shared" si="0"/>
        <v>8.0833333333333321</v>
      </c>
      <c r="Q22"/>
    </row>
    <row r="23" spans="1:17" ht="19.5" thickBot="1">
      <c r="A23" s="1" t="s">
        <v>2</v>
      </c>
      <c r="B23" s="5" t="s">
        <v>41</v>
      </c>
      <c r="C23" s="33">
        <v>40</v>
      </c>
      <c r="D23" s="33">
        <v>21.5</v>
      </c>
      <c r="E23" s="49">
        <v>21.5</v>
      </c>
      <c r="F23" s="60">
        <f>SUM(C23:E23)</f>
        <v>83</v>
      </c>
      <c r="G23" s="32">
        <v>38</v>
      </c>
      <c r="H23" s="33">
        <v>36</v>
      </c>
      <c r="I23" s="33">
        <v>37</v>
      </c>
      <c r="J23" s="33">
        <v>37</v>
      </c>
      <c r="K23" s="33">
        <v>19</v>
      </c>
      <c r="L23" s="33">
        <v>14</v>
      </c>
      <c r="M23" s="34">
        <v>0</v>
      </c>
      <c r="N23" s="60">
        <f>SUM(G23:M23)</f>
        <v>181</v>
      </c>
      <c r="O23" s="60">
        <f t="shared" si="0"/>
        <v>264</v>
      </c>
      <c r="Q23"/>
    </row>
    <row r="24" spans="1:17">
      <c r="A24" s="1" t="s">
        <v>2</v>
      </c>
      <c r="B24" s="21" t="s">
        <v>42</v>
      </c>
      <c r="C24" s="30">
        <v>335000</v>
      </c>
      <c r="D24" s="30">
        <v>335000</v>
      </c>
      <c r="E24" s="50">
        <v>170000</v>
      </c>
      <c r="F24" s="61">
        <f>SUM(C24:E24)</f>
        <v>840000</v>
      </c>
      <c r="G24" s="29">
        <v>177000</v>
      </c>
      <c r="H24" s="30">
        <v>177000</v>
      </c>
      <c r="I24" s="30">
        <v>177000</v>
      </c>
      <c r="J24" s="30">
        <v>187000</v>
      </c>
      <c r="K24" s="30">
        <v>177000</v>
      </c>
      <c r="L24" s="30">
        <v>170000</v>
      </c>
      <c r="M24" s="31">
        <v>170000</v>
      </c>
      <c r="N24" s="61">
        <f>SUM(G24:M24)</f>
        <v>1235000</v>
      </c>
      <c r="O24" s="61">
        <f t="shared" si="0"/>
        <v>2075000</v>
      </c>
      <c r="Q24"/>
    </row>
    <row r="25" spans="1:17">
      <c r="A25" s="1" t="s">
        <v>2</v>
      </c>
      <c r="B25" s="4" t="s">
        <v>43</v>
      </c>
      <c r="C25" s="16">
        <v>0</v>
      </c>
      <c r="D25" s="16">
        <v>0</v>
      </c>
      <c r="E25" s="51">
        <v>0</v>
      </c>
      <c r="F25" s="62">
        <f t="shared" ref="F25:F62" si="5">SUM(C25:E25)</f>
        <v>0</v>
      </c>
      <c r="G25" s="15">
        <v>5000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7">
        <v>0</v>
      </c>
      <c r="N25" s="62">
        <f t="shared" ref="N25:N62" si="6">SUM(G25:M25)</f>
        <v>5000</v>
      </c>
      <c r="O25" s="62">
        <f t="shared" si="0"/>
        <v>5000</v>
      </c>
      <c r="Q25"/>
    </row>
    <row r="26" spans="1:17">
      <c r="A26" s="1" t="s">
        <v>2</v>
      </c>
      <c r="B26" s="4" t="s">
        <v>44</v>
      </c>
      <c r="C26" s="16">
        <v>0</v>
      </c>
      <c r="D26" s="16">
        <v>0</v>
      </c>
      <c r="E26" s="51">
        <v>3000</v>
      </c>
      <c r="F26" s="62">
        <f t="shared" si="5"/>
        <v>3000</v>
      </c>
      <c r="G26" s="15">
        <v>3000</v>
      </c>
      <c r="H26" s="16">
        <v>10000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  <c r="N26" s="62">
        <f t="shared" si="6"/>
        <v>13000</v>
      </c>
      <c r="O26" s="62">
        <f t="shared" si="0"/>
        <v>16000</v>
      </c>
      <c r="Q26"/>
    </row>
    <row r="27" spans="1:17">
      <c r="A27" s="1" t="s">
        <v>2</v>
      </c>
      <c r="B27" s="4" t="s">
        <v>45</v>
      </c>
      <c r="C27" s="16">
        <v>0</v>
      </c>
      <c r="D27" s="16">
        <v>0</v>
      </c>
      <c r="E27" s="51">
        <v>0</v>
      </c>
      <c r="F27" s="62">
        <f t="shared" si="5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62">
        <f t="shared" si="6"/>
        <v>0</v>
      </c>
      <c r="O27" s="62">
        <f t="shared" si="0"/>
        <v>0</v>
      </c>
      <c r="Q27"/>
    </row>
    <row r="28" spans="1:17">
      <c r="A28" s="1" t="s">
        <v>2</v>
      </c>
      <c r="B28" s="4" t="s">
        <v>46</v>
      </c>
      <c r="C28" s="16">
        <v>0</v>
      </c>
      <c r="D28" s="16">
        <v>0</v>
      </c>
      <c r="E28" s="51">
        <v>0</v>
      </c>
      <c r="F28" s="62">
        <f t="shared" si="5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  <c r="N28" s="62">
        <f t="shared" si="6"/>
        <v>0</v>
      </c>
      <c r="O28" s="62">
        <f t="shared" si="0"/>
        <v>0</v>
      </c>
      <c r="Q28"/>
    </row>
    <row r="29" spans="1:17">
      <c r="A29" s="1" t="s">
        <v>2</v>
      </c>
      <c r="B29" s="4" t="s">
        <v>47</v>
      </c>
      <c r="C29" s="16">
        <v>0</v>
      </c>
      <c r="D29" s="16">
        <v>0</v>
      </c>
      <c r="E29" s="51">
        <v>0</v>
      </c>
      <c r="F29" s="62">
        <f t="shared" si="5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>
        <v>0</v>
      </c>
      <c r="N29" s="62">
        <f t="shared" si="6"/>
        <v>0</v>
      </c>
      <c r="O29" s="62">
        <f t="shared" si="0"/>
        <v>0</v>
      </c>
      <c r="Q29"/>
    </row>
    <row r="30" spans="1:17">
      <c r="A30" s="1" t="s">
        <v>2</v>
      </c>
      <c r="B30" s="4" t="s">
        <v>48</v>
      </c>
      <c r="C30" s="16">
        <v>0</v>
      </c>
      <c r="D30" s="16">
        <v>0</v>
      </c>
      <c r="E30" s="51">
        <v>0</v>
      </c>
      <c r="F30" s="62">
        <f t="shared" si="5"/>
        <v>0</v>
      </c>
      <c r="G30" s="15">
        <v>1000</v>
      </c>
      <c r="H30" s="16">
        <v>1000</v>
      </c>
      <c r="I30" s="16">
        <v>1000</v>
      </c>
      <c r="J30" s="16">
        <v>1000</v>
      </c>
      <c r="K30" s="16">
        <v>1000</v>
      </c>
      <c r="L30" s="16">
        <v>0</v>
      </c>
      <c r="M30" s="17">
        <v>0</v>
      </c>
      <c r="N30" s="62">
        <f t="shared" si="6"/>
        <v>5000</v>
      </c>
      <c r="O30" s="62">
        <f t="shared" si="0"/>
        <v>5000</v>
      </c>
      <c r="Q30"/>
    </row>
    <row r="31" spans="1:17">
      <c r="A31" s="1" t="s">
        <v>2</v>
      </c>
      <c r="B31" s="4" t="s">
        <v>49</v>
      </c>
      <c r="C31" s="16">
        <v>0</v>
      </c>
      <c r="D31" s="16">
        <v>0</v>
      </c>
      <c r="E31" s="51">
        <v>0</v>
      </c>
      <c r="F31" s="62">
        <f t="shared" si="5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7">
        <v>0</v>
      </c>
      <c r="N31" s="62">
        <f t="shared" si="6"/>
        <v>0</v>
      </c>
      <c r="O31" s="62">
        <f t="shared" si="0"/>
        <v>0</v>
      </c>
      <c r="Q31"/>
    </row>
    <row r="32" spans="1:17">
      <c r="A32" s="1" t="s">
        <v>2</v>
      </c>
      <c r="B32" s="4" t="s">
        <v>50</v>
      </c>
      <c r="C32" s="16">
        <v>0</v>
      </c>
      <c r="D32" s="16">
        <v>0</v>
      </c>
      <c r="E32" s="51">
        <v>0</v>
      </c>
      <c r="F32" s="62">
        <f t="shared" si="5"/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7">
        <v>0</v>
      </c>
      <c r="N32" s="62">
        <f t="shared" si="6"/>
        <v>0</v>
      </c>
      <c r="O32" s="62">
        <f t="shared" si="0"/>
        <v>0</v>
      </c>
      <c r="Q32"/>
    </row>
    <row r="33" spans="1:17">
      <c r="A33" s="1" t="s">
        <v>2</v>
      </c>
      <c r="B33" s="4" t="s">
        <v>51</v>
      </c>
      <c r="C33" s="16">
        <v>0</v>
      </c>
      <c r="D33" s="16">
        <v>0</v>
      </c>
      <c r="E33" s="51">
        <v>0</v>
      </c>
      <c r="F33" s="62">
        <f t="shared" si="5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7">
        <v>0</v>
      </c>
      <c r="N33" s="62">
        <f t="shared" si="6"/>
        <v>0</v>
      </c>
      <c r="O33" s="62">
        <f t="shared" si="0"/>
        <v>0</v>
      </c>
      <c r="Q33"/>
    </row>
    <row r="34" spans="1:17">
      <c r="A34" s="1" t="s">
        <v>2</v>
      </c>
      <c r="B34" s="4" t="s">
        <v>52</v>
      </c>
      <c r="C34" s="16">
        <v>0</v>
      </c>
      <c r="D34" s="16">
        <v>0</v>
      </c>
      <c r="E34" s="51">
        <v>0</v>
      </c>
      <c r="F34" s="62">
        <f t="shared" si="5"/>
        <v>0</v>
      </c>
      <c r="G34" s="15">
        <v>0</v>
      </c>
      <c r="H34" s="16">
        <v>12600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  <c r="N34" s="62">
        <f t="shared" si="6"/>
        <v>12600</v>
      </c>
      <c r="O34" s="62">
        <f t="shared" si="0"/>
        <v>12600</v>
      </c>
      <c r="Q34"/>
    </row>
    <row r="35" spans="1:17">
      <c r="A35" s="1" t="s">
        <v>2</v>
      </c>
      <c r="B35" s="4" t="s">
        <v>53</v>
      </c>
      <c r="C35" s="16">
        <v>0</v>
      </c>
      <c r="D35" s="16">
        <v>0</v>
      </c>
      <c r="E35" s="51">
        <v>0</v>
      </c>
      <c r="F35" s="62">
        <f t="shared" si="5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7">
        <v>0</v>
      </c>
      <c r="N35" s="62">
        <f t="shared" si="6"/>
        <v>0</v>
      </c>
      <c r="O35" s="62">
        <f t="shared" si="0"/>
        <v>0</v>
      </c>
      <c r="Q35"/>
    </row>
    <row r="36" spans="1:17">
      <c r="A36" s="1" t="s">
        <v>2</v>
      </c>
      <c r="B36" s="4" t="s">
        <v>54</v>
      </c>
      <c r="C36" s="16">
        <v>0</v>
      </c>
      <c r="D36" s="16">
        <v>0</v>
      </c>
      <c r="E36" s="51">
        <v>0</v>
      </c>
      <c r="F36" s="62">
        <f t="shared" si="5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0</v>
      </c>
      <c r="N36" s="62">
        <f t="shared" si="6"/>
        <v>0</v>
      </c>
      <c r="O36" s="62">
        <f t="shared" si="0"/>
        <v>0</v>
      </c>
      <c r="Q36"/>
    </row>
    <row r="37" spans="1:17">
      <c r="A37" s="1" t="s">
        <v>2</v>
      </c>
      <c r="B37" s="4" t="s">
        <v>32</v>
      </c>
      <c r="C37" s="16">
        <v>0</v>
      </c>
      <c r="D37" s="16">
        <v>0</v>
      </c>
      <c r="E37" s="51">
        <v>1481</v>
      </c>
      <c r="F37" s="62">
        <f t="shared" si="5"/>
        <v>1481</v>
      </c>
      <c r="G37" s="15">
        <v>68257</v>
      </c>
      <c r="H37" s="16">
        <v>40527</v>
      </c>
      <c r="I37" s="16">
        <v>41323</v>
      </c>
      <c r="J37" s="16">
        <v>61952</v>
      </c>
      <c r="K37" s="16">
        <v>33325</v>
      </c>
      <c r="L37" s="16">
        <v>38190</v>
      </c>
      <c r="M37" s="17">
        <v>71288</v>
      </c>
      <c r="N37" s="62">
        <f t="shared" si="6"/>
        <v>354862</v>
      </c>
      <c r="O37" s="62">
        <f t="shared" si="0"/>
        <v>356343</v>
      </c>
      <c r="Q37"/>
    </row>
    <row r="38" spans="1:17">
      <c r="A38" s="1" t="s">
        <v>2</v>
      </c>
      <c r="B38" s="4" t="s">
        <v>55</v>
      </c>
      <c r="C38" s="16">
        <v>0</v>
      </c>
      <c r="D38" s="16">
        <v>0</v>
      </c>
      <c r="E38" s="51">
        <v>25600</v>
      </c>
      <c r="F38" s="62">
        <f t="shared" si="5"/>
        <v>25600</v>
      </c>
      <c r="G38" s="15">
        <v>78208</v>
      </c>
      <c r="H38" s="16">
        <v>24315</v>
      </c>
      <c r="I38" s="16">
        <v>14390</v>
      </c>
      <c r="J38" s="16">
        <v>25840</v>
      </c>
      <c r="K38" s="16">
        <v>15829</v>
      </c>
      <c r="L38" s="16">
        <v>39846</v>
      </c>
      <c r="M38" s="17">
        <v>53586</v>
      </c>
      <c r="N38" s="62">
        <f t="shared" si="6"/>
        <v>252014</v>
      </c>
      <c r="O38" s="62">
        <f t="shared" si="0"/>
        <v>277614</v>
      </c>
      <c r="Q38"/>
    </row>
    <row r="39" spans="1:17">
      <c r="A39" s="1" t="s">
        <v>2</v>
      </c>
      <c r="B39" s="4" t="s">
        <v>56</v>
      </c>
      <c r="C39" s="16">
        <v>0</v>
      </c>
      <c r="D39" s="16">
        <v>0</v>
      </c>
      <c r="E39" s="51">
        <v>17600</v>
      </c>
      <c r="F39" s="62">
        <f t="shared" si="5"/>
        <v>17600</v>
      </c>
      <c r="G39" s="15">
        <v>43616</v>
      </c>
      <c r="H39" s="16">
        <v>34041</v>
      </c>
      <c r="I39" s="16">
        <v>25902</v>
      </c>
      <c r="J39" s="16">
        <v>10640</v>
      </c>
      <c r="K39" s="16">
        <v>0</v>
      </c>
      <c r="L39" s="16">
        <v>30228</v>
      </c>
      <c r="M39" s="17">
        <v>20610</v>
      </c>
      <c r="N39" s="62">
        <f t="shared" si="6"/>
        <v>165037</v>
      </c>
      <c r="O39" s="62">
        <f t="shared" si="0"/>
        <v>182637</v>
      </c>
      <c r="Q39"/>
    </row>
    <row r="40" spans="1:17">
      <c r="A40" s="1" t="s">
        <v>2</v>
      </c>
      <c r="B40" s="4" t="s">
        <v>57</v>
      </c>
      <c r="C40" s="16">
        <v>0</v>
      </c>
      <c r="D40" s="16">
        <v>0</v>
      </c>
      <c r="E40" s="51">
        <v>0</v>
      </c>
      <c r="F40" s="62">
        <f t="shared" si="5"/>
        <v>0</v>
      </c>
      <c r="G40" s="15">
        <v>0</v>
      </c>
      <c r="H40" s="16">
        <v>0</v>
      </c>
      <c r="I40" s="16">
        <v>2984</v>
      </c>
      <c r="J40" s="16">
        <v>0</v>
      </c>
      <c r="K40" s="16">
        <v>0</v>
      </c>
      <c r="L40" s="16">
        <v>0</v>
      </c>
      <c r="M40" s="17">
        <v>4984</v>
      </c>
      <c r="N40" s="62">
        <f t="shared" si="6"/>
        <v>7968</v>
      </c>
      <c r="O40" s="62">
        <f t="shared" si="0"/>
        <v>7968</v>
      </c>
      <c r="Q40"/>
    </row>
    <row r="41" spans="1:17">
      <c r="A41" s="1" t="s">
        <v>2</v>
      </c>
      <c r="B41" s="4" t="s">
        <v>58</v>
      </c>
      <c r="C41" s="16">
        <v>0</v>
      </c>
      <c r="D41" s="16">
        <v>0</v>
      </c>
      <c r="E41" s="51">
        <v>2905</v>
      </c>
      <c r="F41" s="62">
        <f t="shared" si="5"/>
        <v>2905</v>
      </c>
      <c r="G41" s="15">
        <v>0</v>
      </c>
      <c r="H41" s="16">
        <v>11340</v>
      </c>
      <c r="I41" s="16">
        <v>3357</v>
      </c>
      <c r="J41" s="16">
        <v>0</v>
      </c>
      <c r="K41" s="16">
        <v>0</v>
      </c>
      <c r="L41" s="16">
        <v>0</v>
      </c>
      <c r="M41" s="17">
        <v>4984</v>
      </c>
      <c r="N41" s="62">
        <f t="shared" si="6"/>
        <v>19681</v>
      </c>
      <c r="O41" s="62">
        <f t="shared" si="0"/>
        <v>22586</v>
      </c>
      <c r="Q41"/>
    </row>
    <row r="42" spans="1:17">
      <c r="A42" s="1" t="s">
        <v>2</v>
      </c>
      <c r="B42" s="4" t="s">
        <v>59</v>
      </c>
      <c r="C42" s="16">
        <v>0</v>
      </c>
      <c r="D42" s="16">
        <v>0</v>
      </c>
      <c r="E42" s="51">
        <v>0</v>
      </c>
      <c r="F42" s="62">
        <f t="shared" si="5"/>
        <v>0</v>
      </c>
      <c r="G42" s="15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7">
        <v>0</v>
      </c>
      <c r="N42" s="62">
        <f t="shared" si="6"/>
        <v>0</v>
      </c>
      <c r="O42" s="62">
        <f t="shared" si="0"/>
        <v>0</v>
      </c>
      <c r="Q42"/>
    </row>
    <row r="43" spans="1:17">
      <c r="A43" s="1" t="s">
        <v>2</v>
      </c>
      <c r="B43" s="4" t="s">
        <v>37</v>
      </c>
      <c r="C43" s="16">
        <v>0</v>
      </c>
      <c r="D43" s="16">
        <v>0</v>
      </c>
      <c r="E43" s="51">
        <v>4740</v>
      </c>
      <c r="F43" s="62">
        <f t="shared" si="5"/>
        <v>4740</v>
      </c>
      <c r="G43" s="15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7">
        <v>0</v>
      </c>
      <c r="N43" s="62">
        <f t="shared" si="6"/>
        <v>0</v>
      </c>
      <c r="O43" s="62">
        <f t="shared" si="0"/>
        <v>4740</v>
      </c>
      <c r="Q43"/>
    </row>
    <row r="44" spans="1:17" ht="19.5" thickBot="1">
      <c r="A44" s="1" t="s">
        <v>2</v>
      </c>
      <c r="B44" s="35" t="s">
        <v>40</v>
      </c>
      <c r="C44" s="37">
        <v>8534</v>
      </c>
      <c r="D44" s="37">
        <v>0</v>
      </c>
      <c r="E44" s="52">
        <v>0</v>
      </c>
      <c r="F44" s="63">
        <f t="shared" si="5"/>
        <v>8534</v>
      </c>
      <c r="G44" s="36">
        <v>8091</v>
      </c>
      <c r="H44" s="37">
        <v>6600</v>
      </c>
      <c r="I44" s="37">
        <v>14685</v>
      </c>
      <c r="J44" s="37">
        <v>3948</v>
      </c>
      <c r="K44" s="37">
        <v>2670</v>
      </c>
      <c r="L44" s="37">
        <v>4590</v>
      </c>
      <c r="M44" s="38">
        <v>7395</v>
      </c>
      <c r="N44" s="63">
        <f t="shared" si="6"/>
        <v>47979</v>
      </c>
      <c r="O44" s="63">
        <f t="shared" si="0"/>
        <v>56513</v>
      </c>
      <c r="Q44"/>
    </row>
    <row r="45" spans="1:17" ht="19.5" thickBot="1">
      <c r="A45" s="1" t="s">
        <v>2</v>
      </c>
      <c r="B45" s="39" t="s">
        <v>60</v>
      </c>
      <c r="C45" s="41">
        <v>343534</v>
      </c>
      <c r="D45" s="41">
        <v>335000</v>
      </c>
      <c r="E45" s="53">
        <v>225326</v>
      </c>
      <c r="F45" s="64">
        <f t="shared" si="5"/>
        <v>903860</v>
      </c>
      <c r="G45" s="40">
        <v>384172</v>
      </c>
      <c r="H45" s="41">
        <v>317423</v>
      </c>
      <c r="I45" s="41">
        <v>280641</v>
      </c>
      <c r="J45" s="41">
        <v>290380</v>
      </c>
      <c r="K45" s="41">
        <v>229824</v>
      </c>
      <c r="L45" s="41">
        <v>282854</v>
      </c>
      <c r="M45" s="42">
        <v>332847</v>
      </c>
      <c r="N45" s="64">
        <f t="shared" si="6"/>
        <v>2118141</v>
      </c>
      <c r="O45" s="64">
        <f t="shared" si="0"/>
        <v>3022001</v>
      </c>
      <c r="Q45"/>
    </row>
    <row r="46" spans="1:17" ht="19.5" thickBot="1">
      <c r="A46" s="1" t="s">
        <v>2</v>
      </c>
      <c r="B46" s="21" t="s">
        <v>61</v>
      </c>
      <c r="C46" s="30">
        <v>7673</v>
      </c>
      <c r="D46" s="30">
        <v>17245</v>
      </c>
      <c r="E46" s="50">
        <v>591</v>
      </c>
      <c r="F46" s="61">
        <f t="shared" si="5"/>
        <v>25509</v>
      </c>
      <c r="G46" s="29">
        <v>8854</v>
      </c>
      <c r="H46" s="30">
        <v>2361</v>
      </c>
      <c r="I46" s="30">
        <v>2156</v>
      </c>
      <c r="J46" s="30">
        <v>10239</v>
      </c>
      <c r="K46" s="30">
        <v>3465</v>
      </c>
      <c r="L46" s="30">
        <v>7083</v>
      </c>
      <c r="M46" s="31">
        <v>1181</v>
      </c>
      <c r="N46" s="61">
        <f t="shared" si="6"/>
        <v>35339</v>
      </c>
      <c r="O46" s="61">
        <f t="shared" si="0"/>
        <v>60848</v>
      </c>
      <c r="Q46"/>
    </row>
    <row r="47" spans="1:17" ht="19.5" thickBot="1">
      <c r="A47" s="1" t="s">
        <v>2</v>
      </c>
      <c r="B47" s="39" t="s">
        <v>62</v>
      </c>
      <c r="C47" s="41">
        <v>7673</v>
      </c>
      <c r="D47" s="41">
        <v>17245</v>
      </c>
      <c r="E47" s="53">
        <v>591</v>
      </c>
      <c r="F47" s="64">
        <f t="shared" si="5"/>
        <v>25509</v>
      </c>
      <c r="G47" s="40">
        <v>8854</v>
      </c>
      <c r="H47" s="41">
        <v>2361</v>
      </c>
      <c r="I47" s="41">
        <v>2156</v>
      </c>
      <c r="J47" s="41">
        <v>10239</v>
      </c>
      <c r="K47" s="41">
        <v>3465</v>
      </c>
      <c r="L47" s="41">
        <v>7083</v>
      </c>
      <c r="M47" s="42">
        <v>1181</v>
      </c>
      <c r="N47" s="64">
        <f t="shared" si="6"/>
        <v>35339</v>
      </c>
      <c r="O47" s="64">
        <f t="shared" si="0"/>
        <v>60848</v>
      </c>
      <c r="Q47"/>
    </row>
    <row r="48" spans="1:17" ht="19.5" thickBot="1">
      <c r="A48" s="1" t="s">
        <v>2</v>
      </c>
      <c r="B48" s="39" t="s">
        <v>63</v>
      </c>
      <c r="C48" s="41">
        <v>351207</v>
      </c>
      <c r="D48" s="41">
        <v>352245</v>
      </c>
      <c r="E48" s="53">
        <v>225917</v>
      </c>
      <c r="F48" s="64">
        <f t="shared" si="5"/>
        <v>929369</v>
      </c>
      <c r="G48" s="40">
        <v>393026</v>
      </c>
      <c r="H48" s="41">
        <v>319784</v>
      </c>
      <c r="I48" s="41">
        <v>282797</v>
      </c>
      <c r="J48" s="41">
        <v>300619</v>
      </c>
      <c r="K48" s="41">
        <v>233289</v>
      </c>
      <c r="L48" s="41">
        <v>289937</v>
      </c>
      <c r="M48" s="42">
        <v>334028</v>
      </c>
      <c r="N48" s="64">
        <f t="shared" si="6"/>
        <v>2153480</v>
      </c>
      <c r="O48" s="64">
        <f t="shared" si="0"/>
        <v>3082849</v>
      </c>
      <c r="Q48"/>
    </row>
    <row r="49" spans="1:17">
      <c r="A49" s="1" t="s">
        <v>2</v>
      </c>
      <c r="B49" s="21" t="s">
        <v>64</v>
      </c>
      <c r="C49" s="30">
        <v>17340</v>
      </c>
      <c r="D49" s="30">
        <v>17340</v>
      </c>
      <c r="E49" s="50">
        <v>10200</v>
      </c>
      <c r="F49" s="61">
        <f t="shared" si="5"/>
        <v>44880</v>
      </c>
      <c r="G49" s="29">
        <v>17340</v>
      </c>
      <c r="H49" s="30">
        <v>17340</v>
      </c>
      <c r="I49" s="30">
        <v>16320</v>
      </c>
      <c r="J49" s="30">
        <v>17340</v>
      </c>
      <c r="K49" s="30">
        <v>16320</v>
      </c>
      <c r="L49" s="30">
        <v>13260</v>
      </c>
      <c r="M49" s="31">
        <v>13260</v>
      </c>
      <c r="N49" s="61">
        <f t="shared" si="6"/>
        <v>111180</v>
      </c>
      <c r="O49" s="61">
        <f t="shared" si="0"/>
        <v>156060</v>
      </c>
      <c r="Q49"/>
    </row>
    <row r="50" spans="1:17">
      <c r="A50" s="1" t="s">
        <v>2</v>
      </c>
      <c r="B50" s="4" t="s">
        <v>65</v>
      </c>
      <c r="C50" s="16">
        <v>3060</v>
      </c>
      <c r="D50" s="16">
        <v>3060</v>
      </c>
      <c r="E50" s="51">
        <v>0</v>
      </c>
      <c r="F50" s="62">
        <f t="shared" si="5"/>
        <v>6120</v>
      </c>
      <c r="G50" s="15">
        <v>3060</v>
      </c>
      <c r="H50" s="16">
        <v>3060</v>
      </c>
      <c r="I50" s="16">
        <v>2880</v>
      </c>
      <c r="J50" s="16">
        <v>3060</v>
      </c>
      <c r="K50" s="16">
        <v>2880</v>
      </c>
      <c r="L50" s="16">
        <v>2340</v>
      </c>
      <c r="M50" s="17">
        <v>2340</v>
      </c>
      <c r="N50" s="62">
        <f t="shared" si="6"/>
        <v>19620</v>
      </c>
      <c r="O50" s="62">
        <f t="shared" si="0"/>
        <v>25740</v>
      </c>
      <c r="Q50"/>
    </row>
    <row r="51" spans="1:17">
      <c r="A51" s="1" t="s">
        <v>2</v>
      </c>
      <c r="B51" s="4" t="s">
        <v>66</v>
      </c>
      <c r="C51" s="16">
        <v>31110</v>
      </c>
      <c r="D51" s="16">
        <v>31110</v>
      </c>
      <c r="E51" s="51">
        <v>18300</v>
      </c>
      <c r="F51" s="62">
        <f t="shared" si="5"/>
        <v>80520</v>
      </c>
      <c r="G51" s="15">
        <v>31110</v>
      </c>
      <c r="H51" s="16">
        <v>31110</v>
      </c>
      <c r="I51" s="16">
        <v>29280</v>
      </c>
      <c r="J51" s="16">
        <v>31110</v>
      </c>
      <c r="K51" s="16">
        <v>29280</v>
      </c>
      <c r="L51" s="16">
        <v>23790</v>
      </c>
      <c r="M51" s="17">
        <v>23790</v>
      </c>
      <c r="N51" s="62">
        <f t="shared" si="6"/>
        <v>199470</v>
      </c>
      <c r="O51" s="62">
        <f t="shared" si="0"/>
        <v>279990</v>
      </c>
      <c r="Q51"/>
    </row>
    <row r="52" spans="1:17" ht="19.5" thickBot="1">
      <c r="A52" s="1" t="s">
        <v>2</v>
      </c>
      <c r="B52" s="4" t="s">
        <v>67</v>
      </c>
      <c r="C52" s="16">
        <v>1054</v>
      </c>
      <c r="D52" s="16">
        <v>1057</v>
      </c>
      <c r="E52" s="51">
        <v>678</v>
      </c>
      <c r="F52" s="62">
        <f t="shared" si="5"/>
        <v>2789</v>
      </c>
      <c r="G52" s="15">
        <v>1179</v>
      </c>
      <c r="H52" s="16">
        <v>959</v>
      </c>
      <c r="I52" s="16">
        <v>848</v>
      </c>
      <c r="J52" s="16">
        <v>902</v>
      </c>
      <c r="K52" s="16">
        <v>700</v>
      </c>
      <c r="L52" s="16">
        <v>870</v>
      </c>
      <c r="M52" s="17">
        <v>1002</v>
      </c>
      <c r="N52" s="62">
        <f t="shared" si="6"/>
        <v>6460</v>
      </c>
      <c r="O52" s="62">
        <f t="shared" si="0"/>
        <v>9249</v>
      </c>
      <c r="Q52"/>
    </row>
    <row r="53" spans="1:17" ht="19.5" thickBot="1">
      <c r="A53" s="1" t="s">
        <v>2</v>
      </c>
      <c r="B53" s="39" t="s">
        <v>68</v>
      </c>
      <c r="C53" s="41">
        <v>52564</v>
      </c>
      <c r="D53" s="41">
        <v>52567</v>
      </c>
      <c r="E53" s="53">
        <v>29178</v>
      </c>
      <c r="F53" s="64">
        <f t="shared" si="5"/>
        <v>134309</v>
      </c>
      <c r="G53" s="40">
        <v>52689</v>
      </c>
      <c r="H53" s="41">
        <v>52469</v>
      </c>
      <c r="I53" s="41">
        <v>49328</v>
      </c>
      <c r="J53" s="41">
        <v>52412</v>
      </c>
      <c r="K53" s="41">
        <v>49180</v>
      </c>
      <c r="L53" s="41">
        <v>40260</v>
      </c>
      <c r="M53" s="42">
        <v>40392</v>
      </c>
      <c r="N53" s="64">
        <f t="shared" si="6"/>
        <v>336730</v>
      </c>
      <c r="O53" s="64">
        <f t="shared" si="0"/>
        <v>471039</v>
      </c>
      <c r="Q53"/>
    </row>
    <row r="54" spans="1:17">
      <c r="A54" s="1" t="s">
        <v>2</v>
      </c>
      <c r="B54" s="21" t="s">
        <v>69</v>
      </c>
      <c r="C54" s="30">
        <v>8020</v>
      </c>
      <c r="D54" s="30">
        <v>7710</v>
      </c>
      <c r="E54" s="50">
        <v>4630</v>
      </c>
      <c r="F54" s="61">
        <f t="shared" si="5"/>
        <v>20360</v>
      </c>
      <c r="G54" s="29">
        <v>6390</v>
      </c>
      <c r="H54" s="30">
        <v>3850</v>
      </c>
      <c r="I54" s="30">
        <v>5880</v>
      </c>
      <c r="J54" s="30">
        <v>6120</v>
      </c>
      <c r="K54" s="30">
        <v>840</v>
      </c>
      <c r="L54" s="30">
        <v>6290</v>
      </c>
      <c r="M54" s="31">
        <v>6450</v>
      </c>
      <c r="N54" s="61">
        <f t="shared" si="6"/>
        <v>35820</v>
      </c>
      <c r="O54" s="61">
        <f t="shared" si="0"/>
        <v>56180</v>
      </c>
      <c r="Q54"/>
    </row>
    <row r="55" spans="1:17">
      <c r="A55" s="1" t="s">
        <v>2</v>
      </c>
      <c r="B55" s="4" t="s">
        <v>70</v>
      </c>
      <c r="C55" s="16">
        <v>0</v>
      </c>
      <c r="D55" s="16">
        <v>0</v>
      </c>
      <c r="E55" s="51">
        <v>0</v>
      </c>
      <c r="F55" s="62">
        <f t="shared" si="5"/>
        <v>0</v>
      </c>
      <c r="G55" s="15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7">
        <v>0</v>
      </c>
      <c r="N55" s="62">
        <f t="shared" si="6"/>
        <v>0</v>
      </c>
      <c r="O55" s="62">
        <f t="shared" ref="O55:O62" si="7">F55+N55</f>
        <v>0</v>
      </c>
      <c r="Q55"/>
    </row>
    <row r="56" spans="1:17">
      <c r="A56" s="1" t="s">
        <v>2</v>
      </c>
      <c r="B56" s="4" t="s">
        <v>71</v>
      </c>
      <c r="C56" s="16">
        <v>6900</v>
      </c>
      <c r="D56" s="16">
        <v>7600</v>
      </c>
      <c r="E56" s="51">
        <v>1100</v>
      </c>
      <c r="F56" s="62">
        <f t="shared" si="5"/>
        <v>15600</v>
      </c>
      <c r="G56" s="15">
        <v>11100</v>
      </c>
      <c r="H56" s="16">
        <v>8000</v>
      </c>
      <c r="I56" s="16">
        <v>13100</v>
      </c>
      <c r="J56" s="16">
        <v>14100</v>
      </c>
      <c r="K56" s="16">
        <v>10300</v>
      </c>
      <c r="L56" s="16">
        <v>12100</v>
      </c>
      <c r="M56" s="17">
        <v>0</v>
      </c>
      <c r="N56" s="62">
        <f t="shared" si="6"/>
        <v>68700</v>
      </c>
      <c r="O56" s="62">
        <f t="shared" si="7"/>
        <v>84300</v>
      </c>
      <c r="Q56"/>
    </row>
    <row r="57" spans="1:17" ht="19.5" thickBot="1">
      <c r="A57" s="1" t="s">
        <v>2</v>
      </c>
      <c r="B57" s="4" t="s">
        <v>72</v>
      </c>
      <c r="C57" s="16">
        <v>0</v>
      </c>
      <c r="D57" s="16">
        <v>0</v>
      </c>
      <c r="E57" s="51">
        <v>0</v>
      </c>
      <c r="F57" s="62">
        <f t="shared" si="5"/>
        <v>0</v>
      </c>
      <c r="G57" s="15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7">
        <v>0</v>
      </c>
      <c r="N57" s="62">
        <f t="shared" si="6"/>
        <v>0</v>
      </c>
      <c r="O57" s="62">
        <f t="shared" si="7"/>
        <v>0</v>
      </c>
      <c r="Q57"/>
    </row>
    <row r="58" spans="1:17" ht="19.5" thickBot="1">
      <c r="A58" s="1" t="s">
        <v>2</v>
      </c>
      <c r="B58" s="39" t="s">
        <v>73</v>
      </c>
      <c r="C58" s="41">
        <v>67484</v>
      </c>
      <c r="D58" s="41">
        <v>67877</v>
      </c>
      <c r="E58" s="53">
        <v>34908</v>
      </c>
      <c r="F58" s="64">
        <f t="shared" si="5"/>
        <v>170269</v>
      </c>
      <c r="G58" s="40">
        <v>70179</v>
      </c>
      <c r="H58" s="41">
        <v>64319</v>
      </c>
      <c r="I58" s="41">
        <v>68308</v>
      </c>
      <c r="J58" s="41">
        <v>72632</v>
      </c>
      <c r="K58" s="41">
        <v>60320</v>
      </c>
      <c r="L58" s="41">
        <v>58650</v>
      </c>
      <c r="M58" s="42">
        <v>46842</v>
      </c>
      <c r="N58" s="64">
        <f t="shared" si="6"/>
        <v>441250</v>
      </c>
      <c r="O58" s="64">
        <f t="shared" si="7"/>
        <v>611519</v>
      </c>
      <c r="Q58"/>
    </row>
    <row r="59" spans="1:17" ht="19.5" thickBot="1">
      <c r="A59" s="1" t="s">
        <v>2</v>
      </c>
      <c r="B59" s="39" t="s">
        <v>74</v>
      </c>
      <c r="C59" s="41">
        <v>290970</v>
      </c>
      <c r="D59" s="41">
        <v>282433</v>
      </c>
      <c r="E59" s="53">
        <v>196148</v>
      </c>
      <c r="F59" s="64">
        <f t="shared" si="5"/>
        <v>769551</v>
      </c>
      <c r="G59" s="40">
        <v>331483</v>
      </c>
      <c r="H59" s="41">
        <v>264954</v>
      </c>
      <c r="I59" s="41">
        <v>231313</v>
      </c>
      <c r="J59" s="41">
        <v>237968</v>
      </c>
      <c r="K59" s="41">
        <v>180644</v>
      </c>
      <c r="L59" s="41">
        <v>242594</v>
      </c>
      <c r="M59" s="42">
        <v>292455</v>
      </c>
      <c r="N59" s="64">
        <f t="shared" si="6"/>
        <v>1781411</v>
      </c>
      <c r="O59" s="64">
        <f t="shared" si="7"/>
        <v>2550962</v>
      </c>
      <c r="Q59"/>
    </row>
    <row r="60" spans="1:17" ht="19.5" thickBot="1">
      <c r="A60" s="1" t="s">
        <v>2</v>
      </c>
      <c r="B60" s="39" t="s">
        <v>75</v>
      </c>
      <c r="C60" s="41">
        <v>283723</v>
      </c>
      <c r="D60" s="41">
        <v>284368</v>
      </c>
      <c r="E60" s="53">
        <v>191009</v>
      </c>
      <c r="F60" s="64">
        <f t="shared" si="5"/>
        <v>759100</v>
      </c>
      <c r="G60" s="40">
        <v>322847</v>
      </c>
      <c r="H60" s="41">
        <v>255465</v>
      </c>
      <c r="I60" s="41">
        <v>214489</v>
      </c>
      <c r="J60" s="41">
        <v>227987</v>
      </c>
      <c r="K60" s="41">
        <v>172969</v>
      </c>
      <c r="L60" s="41">
        <v>231287</v>
      </c>
      <c r="M60" s="42">
        <v>287186</v>
      </c>
      <c r="N60" s="64">
        <f t="shared" si="6"/>
        <v>1712230</v>
      </c>
      <c r="O60" s="64">
        <f t="shared" si="7"/>
        <v>2471330</v>
      </c>
      <c r="Q60"/>
    </row>
    <row r="61" spans="1:17">
      <c r="A61" s="1" t="s">
        <v>2</v>
      </c>
      <c r="B61" s="21" t="s">
        <v>76</v>
      </c>
      <c r="C61" s="30">
        <v>0</v>
      </c>
      <c r="D61" s="30">
        <v>0</v>
      </c>
      <c r="E61" s="50">
        <v>0</v>
      </c>
      <c r="F61" s="61">
        <f t="shared" si="5"/>
        <v>0</v>
      </c>
      <c r="G61" s="29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1">
        <v>0</v>
      </c>
      <c r="N61" s="61">
        <f t="shared" si="6"/>
        <v>0</v>
      </c>
      <c r="O61" s="61">
        <f t="shared" si="7"/>
        <v>0</v>
      </c>
      <c r="Q61"/>
    </row>
    <row r="62" spans="1:17">
      <c r="A62" s="1" t="s">
        <v>2</v>
      </c>
      <c r="B62" s="4" t="s">
        <v>77</v>
      </c>
      <c r="C62" s="16">
        <v>283723</v>
      </c>
      <c r="D62" s="16">
        <v>284368</v>
      </c>
      <c r="E62" s="51">
        <v>191009</v>
      </c>
      <c r="F62" s="62">
        <f t="shared" si="5"/>
        <v>759100</v>
      </c>
      <c r="G62" s="15">
        <v>322847</v>
      </c>
      <c r="H62" s="16">
        <v>255465</v>
      </c>
      <c r="I62" s="16">
        <v>214489</v>
      </c>
      <c r="J62" s="16">
        <v>227987</v>
      </c>
      <c r="K62" s="16">
        <v>172969</v>
      </c>
      <c r="L62" s="16">
        <v>231287</v>
      </c>
      <c r="M62" s="17">
        <v>287186</v>
      </c>
      <c r="N62" s="62">
        <f t="shared" si="6"/>
        <v>1712230</v>
      </c>
      <c r="O62" s="62">
        <f t="shared" si="7"/>
        <v>2471330</v>
      </c>
      <c r="Q62"/>
    </row>
    <row r="63" spans="1:17">
      <c r="A63" s="1" t="s">
        <v>2</v>
      </c>
      <c r="B63" s="4" t="s">
        <v>78</v>
      </c>
      <c r="C63" s="16">
        <v>0</v>
      </c>
      <c r="D63" s="16">
        <v>0</v>
      </c>
      <c r="E63" s="51">
        <v>0</v>
      </c>
      <c r="F63" s="62"/>
      <c r="G63" s="15">
        <v>2</v>
      </c>
      <c r="H63" s="16">
        <v>2</v>
      </c>
      <c r="I63" s="16">
        <v>0</v>
      </c>
      <c r="J63" s="16">
        <v>0</v>
      </c>
      <c r="K63" s="16">
        <v>2</v>
      </c>
      <c r="L63" s="16">
        <v>0</v>
      </c>
      <c r="M63" s="17">
        <v>1</v>
      </c>
      <c r="N63" s="62"/>
      <c r="O63" s="62"/>
      <c r="Q63"/>
    </row>
    <row r="64" spans="1:17" ht="19.5" thickBot="1">
      <c r="A64" s="1" t="s">
        <v>2</v>
      </c>
      <c r="B64" s="5" t="s">
        <v>79</v>
      </c>
      <c r="C64" s="19" t="s">
        <v>80</v>
      </c>
      <c r="D64" s="19" t="s">
        <v>80</v>
      </c>
      <c r="E64" s="54" t="s">
        <v>80</v>
      </c>
      <c r="F64" s="65"/>
      <c r="G64" s="18" t="s">
        <v>80</v>
      </c>
      <c r="H64" s="19" t="s">
        <v>80</v>
      </c>
      <c r="I64" s="19" t="s">
        <v>80</v>
      </c>
      <c r="J64" s="19" t="s">
        <v>80</v>
      </c>
      <c r="K64" s="19" t="s">
        <v>80</v>
      </c>
      <c r="L64" s="19" t="s">
        <v>80</v>
      </c>
      <c r="M64" s="20" t="s">
        <v>80</v>
      </c>
      <c r="N64" s="65"/>
      <c r="O64" s="65"/>
      <c r="Q64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5月度給与 (2)</vt:lpstr>
      <vt:lpstr>'2022年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2022-06-11T00:44:09Z</cp:lastPrinted>
  <dcterms:created xsi:type="dcterms:W3CDTF">2022-06-08T07:00:03Z</dcterms:created>
  <dcterms:modified xsi:type="dcterms:W3CDTF">2022-06-11T01:55:31Z</dcterms:modified>
</cp:coreProperties>
</file>