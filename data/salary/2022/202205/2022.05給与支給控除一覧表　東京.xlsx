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0AA29781-EF42-4E0C-A206-0BCFC21AA081}" xr6:coauthVersionLast="47" xr6:coauthVersionMax="47" xr10:uidLastSave="{00000000-0000-0000-0000-000000000000}"/>
  <bookViews>
    <workbookView xWindow="-120" yWindow="-120" windowWidth="20730" windowHeight="11160" xr2:uid="{A3BFD48B-2D4D-4137-8AD3-84B34DC318A7}"/>
  </bookViews>
  <sheets>
    <sheet name="2022年 5月度給与 (2)" sheetId="3" r:id="rId1"/>
  </sheets>
  <definedNames>
    <definedName name="_xlnm.Print_Area" localSheetId="0">'2022年 5月度給与 (2)'!$A$1:$M$66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1" i="3"/>
  <c r="M12" i="3"/>
  <c r="M13" i="3"/>
  <c r="M18" i="3"/>
  <c r="M19" i="3"/>
  <c r="M20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24" i="3"/>
  <c r="L23" i="3"/>
  <c r="L22" i="3"/>
  <c r="M22" i="3" s="1"/>
  <c r="L16" i="3"/>
  <c r="M16" i="3" s="1"/>
  <c r="L17" i="3"/>
  <c r="M17" i="3" s="1"/>
  <c r="L15" i="3"/>
  <c r="M15" i="3" s="1"/>
  <c r="L10" i="3"/>
  <c r="L7" i="3"/>
  <c r="M7" i="3" s="1"/>
  <c r="L6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24" i="3"/>
  <c r="E23" i="3"/>
  <c r="E21" i="3"/>
  <c r="M21" i="3" s="1"/>
  <c r="E14" i="3"/>
  <c r="M14" i="3" s="1"/>
  <c r="E10" i="3"/>
  <c r="E6" i="3"/>
  <c r="M10" i="3" l="1"/>
  <c r="M61" i="3"/>
  <c r="M53" i="3"/>
  <c r="M49" i="3"/>
  <c r="M46" i="3"/>
  <c r="M24" i="3"/>
  <c r="M56" i="3"/>
  <c r="M63" i="3"/>
  <c r="M58" i="3"/>
  <c r="M51" i="3"/>
  <c r="M48" i="3"/>
  <c r="M44" i="3"/>
  <c r="M41" i="3"/>
  <c r="M38" i="3"/>
  <c r="M35" i="3"/>
  <c r="M32" i="3"/>
  <c r="M29" i="3"/>
  <c r="M28" i="3"/>
  <c r="M23" i="3"/>
  <c r="M62" i="3"/>
  <c r="M57" i="3"/>
  <c r="M54" i="3"/>
  <c r="M50" i="3"/>
  <c r="M47" i="3"/>
  <c r="M40" i="3"/>
  <c r="M34" i="3"/>
  <c r="M31" i="3"/>
  <c r="M27" i="3"/>
  <c r="M6" i="3"/>
  <c r="M26" i="3"/>
  <c r="M43" i="3"/>
  <c r="M37" i="3"/>
  <c r="M30" i="3"/>
  <c r="M64" i="3"/>
  <c r="M59" i="3"/>
  <c r="M55" i="3"/>
  <c r="M52" i="3"/>
  <c r="M45" i="3"/>
  <c r="M42" i="3"/>
  <c r="M39" i="3"/>
  <c r="M36" i="3"/>
  <c r="M33" i="3"/>
  <c r="M25" i="3"/>
  <c r="M60" i="3"/>
</calcChain>
</file>

<file path=xl/sharedStrings.xml><?xml version="1.0" encoding="utf-8"?>
<sst xmlns="http://schemas.openxmlformats.org/spreadsheetml/2006/main" count="156" uniqueCount="85">
  <si>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</si>
  <si>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</si>
  <si>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</si>
  <si>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</si>
  <si>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</si>
  <si>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</si>
  <si>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</si>
  <si>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</si>
  <si>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</si>
  <si>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</si>
  <si>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</si>
  <si>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</si>
  <si>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</si>
  <si>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</si>
  <si>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</si>
  <si>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</si>
  <si>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</si>
  <si>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</si>
  <si>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</si>
  <si>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</si>
  <si>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</si>
  <si>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</si>
  <si>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</si>
  <si>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</si>
  <si>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</si>
  <si>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</si>
  <si>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</si>
  <si>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</si>
  <si>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</si>
  <si>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</si>
  <si>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</si>
  <si>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</si>
  <si>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</si>
  <si>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</si>
  <si>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</si>
  <si>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</si>
  <si>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</si>
  <si>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</si>
  <si>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</si>
  <si>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</si>
  <si>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</si>
  <si>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</si>
  <si>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</si>
  <si>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</si>
  <si>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</si>
  <si>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</si>
  <si>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</si>
  <si>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</si>
  <si>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</si>
  <si>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</si>
  <si>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</si>
  <si>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</si>
  <si>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</si>
  <si>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</si>
  <si>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</si>
  <si>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</si>
  <si>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</si>
  <si>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</si>
  <si>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</si>
  <si>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</si>
  <si>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</si>
  <si>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</si>
  <si>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</si>
  <si>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</si>
  <si>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</si>
  <si>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</si>
  <si>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</si>
  <si>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</si>
  <si>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</si>
  <si>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</si>
  <si>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</si>
  <si>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</si>
  <si>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</si>
  <si>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</si>
  <si>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</si>
  <si>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</si>
  <si>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</si>
  <si>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</si>
  <si>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</si>
  <si>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</si>
  <si>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5月度給与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</si>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</sst>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1A0B1535-5A13-4A9A-BC3C-0F35E8167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7805-D43B-4A2E-AD5E-5EC8795397ED}">
  <sheetPr>
    <pageSetUpPr fitToPage="1"/>
  </sheetPr>
  <dimension ref="A1:O66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14" width="9" style="2"/>
    <col min="16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80</v>
      </c>
    </row>
    <row r="4" spans="1:13">
      <c r="B4" s="3"/>
      <c r="C4" s="7" t="s">
        <v>5</v>
      </c>
      <c r="D4" s="8" t="s">
        <v>10</v>
      </c>
      <c r="E4" s="48" t="s">
        <v>81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0" t="s">
        <v>9</v>
      </c>
      <c r="L4" s="61" t="s">
        <v>81</v>
      </c>
      <c r="M4" s="62" t="s">
        <v>20</v>
      </c>
    </row>
    <row r="5" spans="1:13" ht="19.5" thickBot="1">
      <c r="A5" s="43"/>
      <c r="B5" s="25" t="s">
        <v>11</v>
      </c>
      <c r="C5" s="27" t="s">
        <v>14</v>
      </c>
      <c r="D5" s="28" t="s">
        <v>19</v>
      </c>
      <c r="E5" s="49" t="s">
        <v>82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1" t="s">
        <v>18</v>
      </c>
      <c r="L5" s="63" t="s">
        <v>83</v>
      </c>
      <c r="M5" s="64" t="s">
        <v>84</v>
      </c>
    </row>
    <row r="6" spans="1:13">
      <c r="A6" s="1" t="s">
        <v>2</v>
      </c>
      <c r="B6" s="21" t="s">
        <v>21</v>
      </c>
      <c r="C6" s="23">
        <v>19</v>
      </c>
      <c r="D6" s="24">
        <v>10</v>
      </c>
      <c r="E6" s="44">
        <f>SUM(C6:D6)</f>
        <v>29</v>
      </c>
      <c r="F6" s="22">
        <v>18</v>
      </c>
      <c r="G6" s="23">
        <v>18</v>
      </c>
      <c r="H6" s="23">
        <v>19</v>
      </c>
      <c r="I6" s="23">
        <v>18</v>
      </c>
      <c r="J6" s="23">
        <v>18</v>
      </c>
      <c r="K6" s="52">
        <v>17</v>
      </c>
      <c r="L6" s="65">
        <f>SUM(F6:K6)</f>
        <v>108</v>
      </c>
      <c r="M6" s="65">
        <f>E6+L6</f>
        <v>137</v>
      </c>
    </row>
    <row r="7" spans="1:13">
      <c r="A7" s="1" t="s">
        <v>2</v>
      </c>
      <c r="B7" s="4" t="s">
        <v>22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2</v>
      </c>
      <c r="I7" s="10">
        <v>0</v>
      </c>
      <c r="J7" s="10">
        <v>0</v>
      </c>
      <c r="K7" s="53">
        <v>1</v>
      </c>
      <c r="L7" s="66">
        <f>SUM(F7:K7)</f>
        <v>3</v>
      </c>
      <c r="M7" s="66">
        <f t="shared" ref="M7:M56" si="0">E7+L7</f>
        <v>3</v>
      </c>
    </row>
    <row r="8" spans="1:13">
      <c r="A8" s="1" t="s">
        <v>2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10">
        <v>2</v>
      </c>
      <c r="K8" s="53">
        <v>2</v>
      </c>
      <c r="L8" s="66"/>
      <c r="M8" s="66">
        <f t="shared" si="0"/>
        <v>0</v>
      </c>
    </row>
    <row r="9" spans="1:13">
      <c r="A9" s="1" t="s">
        <v>2</v>
      </c>
      <c r="B9" s="4" t="s">
        <v>24</v>
      </c>
      <c r="C9" s="10">
        <v>0</v>
      </c>
      <c r="D9" s="11">
        <v>0</v>
      </c>
      <c r="E9" s="45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3">
        <v>0</v>
      </c>
      <c r="L9" s="66"/>
      <c r="M9" s="66">
        <f t="shared" si="0"/>
        <v>0</v>
      </c>
    </row>
    <row r="10" spans="1:13">
      <c r="A10" s="1" t="s">
        <v>2</v>
      </c>
      <c r="B10" s="4" t="s">
        <v>25</v>
      </c>
      <c r="C10" s="10">
        <v>0</v>
      </c>
      <c r="D10" s="11">
        <v>1</v>
      </c>
      <c r="E10" s="45">
        <f>SUM(C10:D10)</f>
        <v>1</v>
      </c>
      <c r="F10" s="9">
        <v>1</v>
      </c>
      <c r="G10" s="10">
        <v>1</v>
      </c>
      <c r="H10" s="10">
        <v>0</v>
      </c>
      <c r="I10" s="10">
        <v>1</v>
      </c>
      <c r="J10" s="10">
        <v>1</v>
      </c>
      <c r="K10" s="53">
        <v>2</v>
      </c>
      <c r="L10" s="66">
        <f>SUM(F10:K10)</f>
        <v>6</v>
      </c>
      <c r="M10" s="66">
        <f t="shared" si="0"/>
        <v>7</v>
      </c>
    </row>
    <row r="11" spans="1:13">
      <c r="A11" s="1" t="s">
        <v>2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6"/>
      <c r="M11" s="66">
        <f t="shared" si="0"/>
        <v>0</v>
      </c>
    </row>
    <row r="12" spans="1:13">
      <c r="A12" s="1" t="s">
        <v>2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/>
      <c r="M12" s="66">
        <f t="shared" si="0"/>
        <v>0</v>
      </c>
    </row>
    <row r="13" spans="1:13">
      <c r="A13" s="1" t="s">
        <v>2</v>
      </c>
      <c r="B13" s="4" t="s">
        <v>28</v>
      </c>
      <c r="C13" s="10">
        <v>0</v>
      </c>
      <c r="D13" s="11">
        <v>0</v>
      </c>
      <c r="E13" s="45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3">
        <v>0</v>
      </c>
      <c r="L13" s="66"/>
      <c r="M13" s="66">
        <f t="shared" si="0"/>
        <v>0</v>
      </c>
    </row>
    <row r="14" spans="1:13">
      <c r="A14" s="1" t="s">
        <v>2</v>
      </c>
      <c r="B14" s="4" t="s">
        <v>29</v>
      </c>
      <c r="C14" s="13">
        <v>0</v>
      </c>
      <c r="D14" s="14">
        <v>2.875</v>
      </c>
      <c r="E14" s="46">
        <f>SUM(C14:D14)</f>
        <v>2.875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4">
        <v>0</v>
      </c>
      <c r="L14" s="67"/>
      <c r="M14" s="67">
        <f t="shared" si="0"/>
        <v>2.875</v>
      </c>
    </row>
    <row r="15" spans="1:13">
      <c r="A15" s="1" t="s">
        <v>2</v>
      </c>
      <c r="B15" s="4" t="s">
        <v>30</v>
      </c>
      <c r="C15" s="13">
        <v>0</v>
      </c>
      <c r="D15" s="14">
        <v>0</v>
      </c>
      <c r="E15" s="46"/>
      <c r="F15" s="12">
        <v>1.7083333333333335</v>
      </c>
      <c r="G15" s="13">
        <v>1.2916666666666667</v>
      </c>
      <c r="H15" s="13">
        <v>0.45833333333333331</v>
      </c>
      <c r="I15" s="13">
        <v>1.4166666666666667</v>
      </c>
      <c r="J15" s="13">
        <v>1</v>
      </c>
      <c r="K15" s="54">
        <v>0.75</v>
      </c>
      <c r="L15" s="67">
        <f>SUM(F15:K15)</f>
        <v>6.625</v>
      </c>
      <c r="M15" s="67">
        <f t="shared" si="0"/>
        <v>6.625</v>
      </c>
    </row>
    <row r="16" spans="1:13">
      <c r="A16" s="1" t="s">
        <v>2</v>
      </c>
      <c r="B16" s="4" t="s">
        <v>31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0.875</v>
      </c>
      <c r="I16" s="13">
        <v>0</v>
      </c>
      <c r="J16" s="13">
        <v>0</v>
      </c>
      <c r="K16" s="54">
        <v>0.41666666666666669</v>
      </c>
      <c r="L16" s="67">
        <f t="shared" ref="L16:L17" si="1">SUM(F16:K16)</f>
        <v>1.2916666666666667</v>
      </c>
      <c r="M16" s="67">
        <f t="shared" si="0"/>
        <v>1.2916666666666667</v>
      </c>
    </row>
    <row r="17" spans="1:13">
      <c r="A17" s="1" t="s">
        <v>2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0.66666666666666663</v>
      </c>
      <c r="K17" s="54">
        <v>0.66666666666666663</v>
      </c>
      <c r="L17" s="67">
        <f t="shared" si="1"/>
        <v>1.3333333333333333</v>
      </c>
      <c r="M17" s="67">
        <f t="shared" si="0"/>
        <v>1.3333333333333333</v>
      </c>
    </row>
    <row r="18" spans="1:13">
      <c r="A18" s="1" t="s">
        <v>2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/>
      <c r="M18" s="67">
        <f t="shared" si="0"/>
        <v>0</v>
      </c>
    </row>
    <row r="19" spans="1:13">
      <c r="A19" s="1" t="s">
        <v>2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/>
      <c r="M19" s="67">
        <f t="shared" si="0"/>
        <v>0</v>
      </c>
    </row>
    <row r="20" spans="1:13">
      <c r="A20" s="1" t="s">
        <v>2</v>
      </c>
      <c r="B20" s="4" t="s">
        <v>35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/>
      <c r="M20" s="67">
        <f t="shared" si="0"/>
        <v>0</v>
      </c>
    </row>
    <row r="21" spans="1:13">
      <c r="A21" s="1" t="s">
        <v>2</v>
      </c>
      <c r="B21" s="4" t="s">
        <v>36</v>
      </c>
      <c r="C21" s="13">
        <v>0</v>
      </c>
      <c r="D21" s="14">
        <v>0.29166666666666669</v>
      </c>
      <c r="E21" s="46">
        <f>SUM(C21:D21)</f>
        <v>0.29166666666666669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/>
      <c r="M21" s="67">
        <f t="shared" si="0"/>
        <v>0.29166666666666669</v>
      </c>
    </row>
    <row r="22" spans="1:13">
      <c r="A22" s="1" t="s">
        <v>2</v>
      </c>
      <c r="B22" s="4" t="s">
        <v>37</v>
      </c>
      <c r="C22" s="13">
        <v>0</v>
      </c>
      <c r="D22" s="14">
        <v>0</v>
      </c>
      <c r="E22" s="46"/>
      <c r="F22" s="12">
        <v>0.41666666666666669</v>
      </c>
      <c r="G22" s="13">
        <v>0.625</v>
      </c>
      <c r="H22" s="13">
        <v>8.3333333333333329E-2</v>
      </c>
      <c r="I22" s="13">
        <v>0.66666666666666663</v>
      </c>
      <c r="J22" s="13">
        <v>0.125</v>
      </c>
      <c r="K22" s="54">
        <v>0.16666666666666666</v>
      </c>
      <c r="L22" s="67">
        <f>SUM(F22:K22)</f>
        <v>2.083333333333333</v>
      </c>
      <c r="M22" s="67">
        <f t="shared" si="0"/>
        <v>2.083333333333333</v>
      </c>
    </row>
    <row r="23" spans="1:13" ht="19.5" thickBot="1">
      <c r="A23" s="1" t="s">
        <v>2</v>
      </c>
      <c r="B23" s="5" t="s">
        <v>38</v>
      </c>
      <c r="C23" s="33">
        <v>40</v>
      </c>
      <c r="D23" s="34">
        <v>17</v>
      </c>
      <c r="E23" s="47">
        <f>SUM(C23:D23)</f>
        <v>57</v>
      </c>
      <c r="F23" s="32">
        <v>38</v>
      </c>
      <c r="G23" s="33">
        <v>38</v>
      </c>
      <c r="H23" s="33">
        <v>39</v>
      </c>
      <c r="I23" s="33">
        <v>33</v>
      </c>
      <c r="J23" s="33">
        <v>32</v>
      </c>
      <c r="K23" s="55">
        <v>31</v>
      </c>
      <c r="L23" s="68">
        <f>SUM(F23:K23)</f>
        <v>211</v>
      </c>
      <c r="M23" s="68">
        <f t="shared" si="0"/>
        <v>268</v>
      </c>
    </row>
    <row r="24" spans="1:13">
      <c r="A24" s="1" t="s">
        <v>2</v>
      </c>
      <c r="B24" s="21" t="s">
        <v>39</v>
      </c>
      <c r="C24" s="30">
        <v>355000</v>
      </c>
      <c r="D24" s="31">
        <v>0</v>
      </c>
      <c r="E24" s="31">
        <f>SUM(C24:D24)</f>
        <v>355000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6">
        <v>170000</v>
      </c>
      <c r="L24" s="69">
        <f>SUM(F24:K24)</f>
        <v>1070000</v>
      </c>
      <c r="M24" s="69">
        <f t="shared" si="0"/>
        <v>1425000</v>
      </c>
    </row>
    <row r="25" spans="1:13">
      <c r="A25" s="1" t="s">
        <v>2</v>
      </c>
      <c r="B25" s="4" t="s">
        <v>40</v>
      </c>
      <c r="C25" s="16">
        <v>0</v>
      </c>
      <c r="D25" s="17">
        <v>0</v>
      </c>
      <c r="E25" s="17">
        <f t="shared" ref="E25:E64" si="2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7">
        <v>0</v>
      </c>
      <c r="L25" s="70">
        <f t="shared" ref="L25:L64" si="3">SUM(F25:K25)</f>
        <v>5000</v>
      </c>
      <c r="M25" s="70">
        <f t="shared" si="0"/>
        <v>5000</v>
      </c>
    </row>
    <row r="26" spans="1:13">
      <c r="A26" s="1" t="s">
        <v>2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7">
        <v>0</v>
      </c>
      <c r="L26" s="70">
        <f t="shared" si="3"/>
        <v>9000</v>
      </c>
      <c r="M26" s="70">
        <f t="shared" si="0"/>
        <v>9000</v>
      </c>
    </row>
    <row r="27" spans="1:13">
      <c r="A27" s="1" t="s">
        <v>2</v>
      </c>
      <c r="B27" s="4" t="s">
        <v>42</v>
      </c>
      <c r="C27" s="16">
        <v>50000</v>
      </c>
      <c r="D27" s="17">
        <v>0</v>
      </c>
      <c r="E27" s="17">
        <f t="shared" si="2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7">
        <v>50000</v>
      </c>
      <c r="L27" s="70">
        <f t="shared" si="3"/>
        <v>300000</v>
      </c>
      <c r="M27" s="70">
        <f t="shared" si="0"/>
        <v>350000</v>
      </c>
    </row>
    <row r="28" spans="1:13">
      <c r="A28" s="1" t="s">
        <v>2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70">
        <f t="shared" si="3"/>
        <v>0</v>
      </c>
      <c r="M28" s="70">
        <f t="shared" si="0"/>
        <v>0</v>
      </c>
    </row>
    <row r="29" spans="1:13">
      <c r="A29" s="1" t="s">
        <v>2</v>
      </c>
      <c r="B29" s="4" t="s">
        <v>44</v>
      </c>
      <c r="C29" s="16">
        <v>0</v>
      </c>
      <c r="D29" s="17">
        <v>78660</v>
      </c>
      <c r="E29" s="17">
        <f t="shared" si="2"/>
        <v>78660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3"/>
        <v>0</v>
      </c>
      <c r="M29" s="70">
        <f t="shared" si="0"/>
        <v>78660</v>
      </c>
    </row>
    <row r="30" spans="1:13">
      <c r="A30" s="1" t="s">
        <v>2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3"/>
        <v>0</v>
      </c>
      <c r="M30" s="70">
        <f t="shared" si="0"/>
        <v>0</v>
      </c>
    </row>
    <row r="31" spans="1:13">
      <c r="A31" s="1" t="s">
        <v>2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7">
        <v>0</v>
      </c>
      <c r="L31" s="70">
        <f t="shared" si="3"/>
        <v>0</v>
      </c>
      <c r="M31" s="70">
        <f t="shared" si="0"/>
        <v>0</v>
      </c>
    </row>
    <row r="32" spans="1:13">
      <c r="A32" s="1" t="s">
        <v>2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1000</v>
      </c>
      <c r="G32" s="16">
        <v>1000</v>
      </c>
      <c r="H32" s="16">
        <v>0</v>
      </c>
      <c r="I32" s="16">
        <v>1000</v>
      </c>
      <c r="J32" s="16">
        <v>1000</v>
      </c>
      <c r="K32" s="57">
        <v>1000</v>
      </c>
      <c r="L32" s="70">
        <f t="shared" si="3"/>
        <v>5000</v>
      </c>
      <c r="M32" s="70">
        <f t="shared" si="0"/>
        <v>5000</v>
      </c>
    </row>
    <row r="33" spans="1:13">
      <c r="A33" s="1" t="s">
        <v>2</v>
      </c>
      <c r="B33" s="4" t="s">
        <v>48</v>
      </c>
      <c r="C33" s="16">
        <v>0</v>
      </c>
      <c r="D33" s="17">
        <v>7980</v>
      </c>
      <c r="E33" s="17">
        <f t="shared" si="2"/>
        <v>7980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3"/>
        <v>0</v>
      </c>
      <c r="M33" s="70">
        <f t="shared" si="0"/>
        <v>7980</v>
      </c>
    </row>
    <row r="34" spans="1:13">
      <c r="A34" s="1" t="s">
        <v>2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7">
        <v>0</v>
      </c>
      <c r="L34" s="70">
        <f t="shared" si="3"/>
        <v>0</v>
      </c>
      <c r="M34" s="70">
        <f t="shared" si="0"/>
        <v>0</v>
      </c>
    </row>
    <row r="35" spans="1:13">
      <c r="A35" s="1" t="s">
        <v>2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3"/>
        <v>0</v>
      </c>
      <c r="M35" s="70">
        <f t="shared" si="0"/>
        <v>0</v>
      </c>
    </row>
    <row r="36" spans="1:13">
      <c r="A36" s="1" t="s">
        <v>2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3"/>
        <v>0</v>
      </c>
      <c r="M36" s="70">
        <f t="shared" si="0"/>
        <v>0</v>
      </c>
    </row>
    <row r="37" spans="1:13">
      <c r="A37" s="1" t="s">
        <v>2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23700</v>
      </c>
      <c r="G37" s="16">
        <v>10500</v>
      </c>
      <c r="H37" s="16">
        <v>13500</v>
      </c>
      <c r="I37" s="16">
        <v>13000</v>
      </c>
      <c r="J37" s="16">
        <v>13000</v>
      </c>
      <c r="K37" s="57">
        <v>15000</v>
      </c>
      <c r="L37" s="70">
        <f t="shared" si="3"/>
        <v>88700</v>
      </c>
      <c r="M37" s="70">
        <f t="shared" si="0"/>
        <v>88700</v>
      </c>
    </row>
    <row r="38" spans="1:13">
      <c r="A38" s="1" t="s">
        <v>2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7">
        <v>0</v>
      </c>
      <c r="L38" s="70">
        <f t="shared" si="3"/>
        <v>0</v>
      </c>
      <c r="M38" s="70">
        <f t="shared" si="0"/>
        <v>0</v>
      </c>
    </row>
    <row r="39" spans="1:13">
      <c r="A39" s="1" t="s">
        <v>2</v>
      </c>
      <c r="B39" s="4" t="s">
        <v>54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7">
        <v>0</v>
      </c>
      <c r="L39" s="70">
        <f t="shared" si="3"/>
        <v>0</v>
      </c>
      <c r="M39" s="70">
        <f t="shared" si="0"/>
        <v>0</v>
      </c>
    </row>
    <row r="40" spans="1:13">
      <c r="A40" s="1" t="s">
        <v>2</v>
      </c>
      <c r="B40" s="4" t="s">
        <v>30</v>
      </c>
      <c r="C40" s="16">
        <v>0</v>
      </c>
      <c r="D40" s="17">
        <v>0</v>
      </c>
      <c r="E40" s="17">
        <f t="shared" si="2"/>
        <v>0</v>
      </c>
      <c r="F40" s="15">
        <v>79089</v>
      </c>
      <c r="G40" s="16">
        <v>59985</v>
      </c>
      <c r="H40" s="16">
        <v>20053</v>
      </c>
      <c r="I40" s="16">
        <v>61336</v>
      </c>
      <c r="J40" s="16">
        <v>43296</v>
      </c>
      <c r="K40" s="57">
        <v>31788</v>
      </c>
      <c r="L40" s="70">
        <f t="shared" si="3"/>
        <v>295547</v>
      </c>
      <c r="M40" s="70">
        <f t="shared" si="0"/>
        <v>295547</v>
      </c>
    </row>
    <row r="41" spans="1:13">
      <c r="A41" s="1" t="s">
        <v>2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41328</v>
      </c>
      <c r="I41" s="16">
        <v>0</v>
      </c>
      <c r="J41" s="16">
        <v>0</v>
      </c>
      <c r="K41" s="57">
        <v>19080</v>
      </c>
      <c r="L41" s="70">
        <f t="shared" si="3"/>
        <v>60408</v>
      </c>
      <c r="M41" s="70">
        <f t="shared" si="0"/>
        <v>60408</v>
      </c>
    </row>
    <row r="42" spans="1:13">
      <c r="A42" s="1" t="s">
        <v>2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31168</v>
      </c>
      <c r="K42" s="57">
        <v>30528</v>
      </c>
      <c r="L42" s="70">
        <f t="shared" si="3"/>
        <v>61696</v>
      </c>
      <c r="M42" s="70">
        <f t="shared" si="0"/>
        <v>61696</v>
      </c>
    </row>
    <row r="43" spans="1:13">
      <c r="A43" s="1" t="s">
        <v>2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3"/>
        <v>0</v>
      </c>
      <c r="M43" s="70">
        <f t="shared" si="0"/>
        <v>0</v>
      </c>
    </row>
    <row r="44" spans="1:13">
      <c r="A44" s="1" t="s">
        <v>2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57">
        <v>0</v>
      </c>
      <c r="L44" s="70">
        <f t="shared" si="3"/>
        <v>0</v>
      </c>
      <c r="M44" s="70">
        <f t="shared" si="0"/>
        <v>0</v>
      </c>
    </row>
    <row r="45" spans="1:13">
      <c r="A45" s="1" t="s">
        <v>2</v>
      </c>
      <c r="B45" s="4" t="s">
        <v>35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57">
        <v>0</v>
      </c>
      <c r="L45" s="70">
        <f t="shared" si="3"/>
        <v>0</v>
      </c>
      <c r="M45" s="70">
        <f t="shared" si="0"/>
        <v>0</v>
      </c>
    </row>
    <row r="46" spans="1:13" ht="19.5" thickBot="1">
      <c r="A46" s="1" t="s">
        <v>2</v>
      </c>
      <c r="B46" s="35" t="s">
        <v>37</v>
      </c>
      <c r="C46" s="37">
        <v>0</v>
      </c>
      <c r="D46" s="38">
        <v>0</v>
      </c>
      <c r="E46" s="38">
        <f t="shared" si="2"/>
        <v>0</v>
      </c>
      <c r="F46" s="36">
        <v>3860</v>
      </c>
      <c r="G46" s="37">
        <v>5805</v>
      </c>
      <c r="H46" s="37">
        <v>730</v>
      </c>
      <c r="I46" s="37">
        <v>5776</v>
      </c>
      <c r="J46" s="37">
        <v>1083</v>
      </c>
      <c r="K46" s="58">
        <v>1412</v>
      </c>
      <c r="L46" s="71">
        <f t="shared" si="3"/>
        <v>18666</v>
      </c>
      <c r="M46" s="71">
        <f t="shared" si="0"/>
        <v>18666</v>
      </c>
    </row>
    <row r="47" spans="1:13" ht="19.5" thickBot="1">
      <c r="A47" s="1" t="s">
        <v>2</v>
      </c>
      <c r="B47" s="39" t="s">
        <v>59</v>
      </c>
      <c r="C47" s="41">
        <v>405000</v>
      </c>
      <c r="D47" s="42">
        <v>86640</v>
      </c>
      <c r="E47" s="42">
        <f t="shared" si="2"/>
        <v>491640</v>
      </c>
      <c r="F47" s="40">
        <v>340649</v>
      </c>
      <c r="G47" s="41">
        <v>324290</v>
      </c>
      <c r="H47" s="41">
        <v>305611</v>
      </c>
      <c r="I47" s="41">
        <v>308112</v>
      </c>
      <c r="J47" s="41">
        <v>316547</v>
      </c>
      <c r="K47" s="59">
        <v>318808</v>
      </c>
      <c r="L47" s="72">
        <f t="shared" si="3"/>
        <v>1914017</v>
      </c>
      <c r="M47" s="72">
        <f t="shared" si="0"/>
        <v>2405657</v>
      </c>
    </row>
    <row r="48" spans="1:13" ht="19.5" thickBot="1">
      <c r="A48" s="1" t="s">
        <v>2</v>
      </c>
      <c r="B48" s="21" t="s">
        <v>60</v>
      </c>
      <c r="C48" s="30">
        <v>11800</v>
      </c>
      <c r="D48" s="31">
        <v>3600</v>
      </c>
      <c r="E48" s="31">
        <f t="shared" si="2"/>
        <v>15400</v>
      </c>
      <c r="F48" s="29">
        <v>5124</v>
      </c>
      <c r="G48" s="30">
        <v>4658</v>
      </c>
      <c r="H48" s="30">
        <v>8673</v>
      </c>
      <c r="I48" s="30">
        <v>4178</v>
      </c>
      <c r="J48" s="30">
        <v>3623</v>
      </c>
      <c r="K48" s="56">
        <v>5176</v>
      </c>
      <c r="L48" s="69">
        <f t="shared" si="3"/>
        <v>31432</v>
      </c>
      <c r="M48" s="69">
        <f t="shared" si="0"/>
        <v>46832</v>
      </c>
    </row>
    <row r="49" spans="1:13" ht="19.5" thickBot="1">
      <c r="A49" s="1" t="s">
        <v>2</v>
      </c>
      <c r="B49" s="39" t="s">
        <v>61</v>
      </c>
      <c r="C49" s="41">
        <v>11800</v>
      </c>
      <c r="D49" s="42">
        <v>3600</v>
      </c>
      <c r="E49" s="42">
        <f t="shared" si="2"/>
        <v>15400</v>
      </c>
      <c r="F49" s="40">
        <v>5124</v>
      </c>
      <c r="G49" s="41">
        <v>4658</v>
      </c>
      <c r="H49" s="41">
        <v>8673</v>
      </c>
      <c r="I49" s="41">
        <v>4178</v>
      </c>
      <c r="J49" s="41">
        <v>3623</v>
      </c>
      <c r="K49" s="59">
        <v>5176</v>
      </c>
      <c r="L49" s="72">
        <f t="shared" si="3"/>
        <v>31432</v>
      </c>
      <c r="M49" s="72">
        <f t="shared" si="0"/>
        <v>46832</v>
      </c>
    </row>
    <row r="50" spans="1:13" ht="19.5" thickBot="1">
      <c r="A50" s="1" t="s">
        <v>2</v>
      </c>
      <c r="B50" s="39" t="s">
        <v>62</v>
      </c>
      <c r="C50" s="41">
        <v>416800</v>
      </c>
      <c r="D50" s="42">
        <v>90240</v>
      </c>
      <c r="E50" s="42">
        <f t="shared" si="2"/>
        <v>507040</v>
      </c>
      <c r="F50" s="40">
        <v>345773</v>
      </c>
      <c r="G50" s="41">
        <v>328948</v>
      </c>
      <c r="H50" s="41">
        <v>314284</v>
      </c>
      <c r="I50" s="41">
        <v>312290</v>
      </c>
      <c r="J50" s="41">
        <v>320170</v>
      </c>
      <c r="K50" s="59">
        <v>323984</v>
      </c>
      <c r="L50" s="72">
        <f t="shared" si="3"/>
        <v>1945449</v>
      </c>
      <c r="M50" s="72">
        <f t="shared" si="0"/>
        <v>2452489</v>
      </c>
    </row>
    <row r="51" spans="1:13">
      <c r="A51" s="1" t="s">
        <v>2</v>
      </c>
      <c r="B51" s="21" t="s">
        <v>63</v>
      </c>
      <c r="C51" s="30">
        <v>20910</v>
      </c>
      <c r="D51" s="31">
        <v>0</v>
      </c>
      <c r="E51" s="31">
        <f t="shared" si="2"/>
        <v>20910</v>
      </c>
      <c r="F51" s="29">
        <v>20910</v>
      </c>
      <c r="G51" s="30">
        <v>19380</v>
      </c>
      <c r="H51" s="30">
        <v>16320</v>
      </c>
      <c r="I51" s="30">
        <v>18360</v>
      </c>
      <c r="J51" s="30">
        <v>19380</v>
      </c>
      <c r="K51" s="56">
        <v>18360</v>
      </c>
      <c r="L51" s="69">
        <f t="shared" si="3"/>
        <v>112710</v>
      </c>
      <c r="M51" s="69">
        <f t="shared" si="0"/>
        <v>133620</v>
      </c>
    </row>
    <row r="52" spans="1:13">
      <c r="A52" s="1" t="s">
        <v>2</v>
      </c>
      <c r="B52" s="4" t="s">
        <v>64</v>
      </c>
      <c r="C52" s="16">
        <v>3690</v>
      </c>
      <c r="D52" s="17">
        <v>0</v>
      </c>
      <c r="E52" s="17">
        <f t="shared" si="2"/>
        <v>3690</v>
      </c>
      <c r="F52" s="15">
        <v>3690</v>
      </c>
      <c r="G52" s="16">
        <v>3420</v>
      </c>
      <c r="H52" s="16">
        <v>2880</v>
      </c>
      <c r="I52" s="16">
        <v>3240</v>
      </c>
      <c r="J52" s="16">
        <v>3420</v>
      </c>
      <c r="K52" s="57">
        <v>3240</v>
      </c>
      <c r="L52" s="70">
        <f t="shared" si="3"/>
        <v>19890</v>
      </c>
      <c r="M52" s="70">
        <f t="shared" si="0"/>
        <v>23580</v>
      </c>
    </row>
    <row r="53" spans="1:13">
      <c r="A53" s="1" t="s">
        <v>2</v>
      </c>
      <c r="B53" s="4" t="s">
        <v>65</v>
      </c>
      <c r="C53" s="16">
        <v>37515</v>
      </c>
      <c r="D53" s="17">
        <v>0</v>
      </c>
      <c r="E53" s="17">
        <f t="shared" si="2"/>
        <v>37515</v>
      </c>
      <c r="F53" s="15">
        <v>37515</v>
      </c>
      <c r="G53" s="16">
        <v>34770</v>
      </c>
      <c r="H53" s="16">
        <v>29280</v>
      </c>
      <c r="I53" s="16">
        <v>32940</v>
      </c>
      <c r="J53" s="16">
        <v>34770</v>
      </c>
      <c r="K53" s="57">
        <v>32940</v>
      </c>
      <c r="L53" s="70">
        <f t="shared" si="3"/>
        <v>202215</v>
      </c>
      <c r="M53" s="70">
        <f t="shared" si="0"/>
        <v>239730</v>
      </c>
    </row>
    <row r="54" spans="1:13" ht="19.5" thickBot="1">
      <c r="A54" s="1" t="s">
        <v>2</v>
      </c>
      <c r="B54" s="4" t="s">
        <v>66</v>
      </c>
      <c r="C54" s="16">
        <v>1250</v>
      </c>
      <c r="D54" s="17">
        <v>271</v>
      </c>
      <c r="E54" s="17">
        <f t="shared" si="2"/>
        <v>1521</v>
      </c>
      <c r="F54" s="15">
        <v>1037</v>
      </c>
      <c r="G54" s="16">
        <v>987</v>
      </c>
      <c r="H54" s="16">
        <v>943</v>
      </c>
      <c r="I54" s="16">
        <v>937</v>
      </c>
      <c r="J54" s="16">
        <v>961</v>
      </c>
      <c r="K54" s="57">
        <v>972</v>
      </c>
      <c r="L54" s="70">
        <f t="shared" si="3"/>
        <v>5837</v>
      </c>
      <c r="M54" s="70">
        <f t="shared" si="0"/>
        <v>7358</v>
      </c>
    </row>
    <row r="55" spans="1:13" ht="19.5" thickBot="1">
      <c r="A55" s="1" t="s">
        <v>2</v>
      </c>
      <c r="B55" s="39" t="s">
        <v>67</v>
      </c>
      <c r="C55" s="41">
        <v>63365</v>
      </c>
      <c r="D55" s="42">
        <v>271</v>
      </c>
      <c r="E55" s="42">
        <f t="shared" si="2"/>
        <v>63636</v>
      </c>
      <c r="F55" s="40">
        <v>63152</v>
      </c>
      <c r="G55" s="41">
        <v>58557</v>
      </c>
      <c r="H55" s="41">
        <v>49423</v>
      </c>
      <c r="I55" s="41">
        <v>55477</v>
      </c>
      <c r="J55" s="41">
        <v>58531</v>
      </c>
      <c r="K55" s="59">
        <v>55512</v>
      </c>
      <c r="L55" s="72">
        <f t="shared" si="3"/>
        <v>340652</v>
      </c>
      <c r="M55" s="72">
        <f t="shared" si="0"/>
        <v>404288</v>
      </c>
    </row>
    <row r="56" spans="1:13">
      <c r="A56" s="1" t="s">
        <v>2</v>
      </c>
      <c r="B56" s="21" t="s">
        <v>68</v>
      </c>
      <c r="C56" s="30">
        <v>6810</v>
      </c>
      <c r="D56" s="31">
        <v>30</v>
      </c>
      <c r="E56" s="31">
        <f t="shared" si="2"/>
        <v>6840</v>
      </c>
      <c r="F56" s="29">
        <v>5920</v>
      </c>
      <c r="G56" s="30">
        <v>7110</v>
      </c>
      <c r="H56" s="30">
        <v>5160</v>
      </c>
      <c r="I56" s="30">
        <v>3410</v>
      </c>
      <c r="J56" s="30">
        <v>6840</v>
      </c>
      <c r="K56" s="56">
        <v>7030</v>
      </c>
      <c r="L56" s="69">
        <f t="shared" si="3"/>
        <v>35470</v>
      </c>
      <c r="M56" s="69">
        <f t="shared" si="0"/>
        <v>42310</v>
      </c>
    </row>
    <row r="57" spans="1:13">
      <c r="A57" s="1" t="s">
        <v>2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0</v>
      </c>
      <c r="L57" s="70">
        <f t="shared" si="3"/>
        <v>0</v>
      </c>
      <c r="M57" s="70">
        <f t="shared" ref="M57:M64" si="4">E57+L57</f>
        <v>0</v>
      </c>
    </row>
    <row r="58" spans="1:13">
      <c r="A58" s="1" t="s">
        <v>2</v>
      </c>
      <c r="B58" s="4" t="s">
        <v>70</v>
      </c>
      <c r="C58" s="16">
        <v>25500</v>
      </c>
      <c r="D58" s="17">
        <v>900</v>
      </c>
      <c r="E58" s="17">
        <f t="shared" si="2"/>
        <v>26400</v>
      </c>
      <c r="F58" s="15">
        <v>14800</v>
      </c>
      <c r="G58" s="16">
        <v>17200</v>
      </c>
      <c r="H58" s="16">
        <v>0</v>
      </c>
      <c r="I58" s="16">
        <v>5800</v>
      </c>
      <c r="J58" s="16">
        <v>18000</v>
      </c>
      <c r="K58" s="57">
        <v>2100</v>
      </c>
      <c r="L58" s="70">
        <f t="shared" si="3"/>
        <v>57900</v>
      </c>
      <c r="M58" s="70">
        <f t="shared" si="4"/>
        <v>84300</v>
      </c>
    </row>
    <row r="59" spans="1:13" ht="19.5" thickBot="1">
      <c r="A59" s="1" t="s">
        <v>2</v>
      </c>
      <c r="B59" s="4" t="s">
        <v>71</v>
      </c>
      <c r="C59" s="16">
        <v>0</v>
      </c>
      <c r="D59" s="17">
        <v>0</v>
      </c>
      <c r="E59" s="17">
        <f t="shared" si="2"/>
        <v>0</v>
      </c>
      <c r="F59" s="15">
        <v>0</v>
      </c>
      <c r="G59" s="16">
        <v>0</v>
      </c>
      <c r="H59" s="16">
        <v>0</v>
      </c>
      <c r="I59" s="16">
        <v>0</v>
      </c>
      <c r="J59" s="16">
        <v>0</v>
      </c>
      <c r="K59" s="57">
        <v>0</v>
      </c>
      <c r="L59" s="70">
        <f t="shared" si="3"/>
        <v>0</v>
      </c>
      <c r="M59" s="70">
        <f t="shared" si="4"/>
        <v>0</v>
      </c>
    </row>
    <row r="60" spans="1:13" ht="19.5" thickBot="1">
      <c r="A60" s="1" t="s">
        <v>2</v>
      </c>
      <c r="B60" s="39" t="s">
        <v>72</v>
      </c>
      <c r="C60" s="41">
        <v>95675</v>
      </c>
      <c r="D60" s="42">
        <v>1201</v>
      </c>
      <c r="E60" s="42">
        <f t="shared" si="2"/>
        <v>96876</v>
      </c>
      <c r="F60" s="40">
        <v>83872</v>
      </c>
      <c r="G60" s="41">
        <v>82867</v>
      </c>
      <c r="H60" s="41">
        <v>54583</v>
      </c>
      <c r="I60" s="41">
        <v>64687</v>
      </c>
      <c r="J60" s="41">
        <v>83371</v>
      </c>
      <c r="K60" s="59">
        <v>64642</v>
      </c>
      <c r="L60" s="72">
        <f t="shared" si="3"/>
        <v>434022</v>
      </c>
      <c r="M60" s="72">
        <f t="shared" si="4"/>
        <v>530898</v>
      </c>
    </row>
    <row r="61" spans="1:13" ht="19.5" thickBot="1">
      <c r="A61" s="1" t="s">
        <v>2</v>
      </c>
      <c r="B61" s="39" t="s">
        <v>73</v>
      </c>
      <c r="C61" s="41">
        <v>341635</v>
      </c>
      <c r="D61" s="42">
        <v>86369</v>
      </c>
      <c r="E61" s="42">
        <f t="shared" si="2"/>
        <v>428004</v>
      </c>
      <c r="F61" s="40">
        <v>277497</v>
      </c>
      <c r="G61" s="41">
        <v>265733</v>
      </c>
      <c r="H61" s="41">
        <v>256188</v>
      </c>
      <c r="I61" s="41">
        <v>252635</v>
      </c>
      <c r="J61" s="41">
        <v>258016</v>
      </c>
      <c r="K61" s="59">
        <v>263296</v>
      </c>
      <c r="L61" s="72">
        <f t="shared" si="3"/>
        <v>1573365</v>
      </c>
      <c r="M61" s="72">
        <f t="shared" si="4"/>
        <v>2001369</v>
      </c>
    </row>
    <row r="62" spans="1:13" ht="19.5" thickBot="1">
      <c r="A62" s="1" t="s">
        <v>2</v>
      </c>
      <c r="B62" s="39" t="s">
        <v>74</v>
      </c>
      <c r="C62" s="41">
        <v>321125</v>
      </c>
      <c r="D62" s="42">
        <v>89039</v>
      </c>
      <c r="E62" s="42">
        <f t="shared" si="2"/>
        <v>410164</v>
      </c>
      <c r="F62" s="40">
        <v>261901</v>
      </c>
      <c r="G62" s="41">
        <v>246081</v>
      </c>
      <c r="H62" s="41">
        <v>259701</v>
      </c>
      <c r="I62" s="41">
        <v>247603</v>
      </c>
      <c r="J62" s="41">
        <v>236799</v>
      </c>
      <c r="K62" s="59">
        <v>259342</v>
      </c>
      <c r="L62" s="72">
        <f t="shared" si="3"/>
        <v>1511427</v>
      </c>
      <c r="M62" s="72">
        <f t="shared" si="4"/>
        <v>1921591</v>
      </c>
    </row>
    <row r="63" spans="1:13">
      <c r="A63" s="1" t="s">
        <v>2</v>
      </c>
      <c r="B63" s="21" t="s">
        <v>75</v>
      </c>
      <c r="C63" s="30">
        <v>0</v>
      </c>
      <c r="D63" s="31">
        <v>0</v>
      </c>
      <c r="E63" s="31">
        <f t="shared" si="2"/>
        <v>0</v>
      </c>
      <c r="F63" s="29">
        <v>0</v>
      </c>
      <c r="G63" s="30">
        <v>0</v>
      </c>
      <c r="H63" s="30">
        <v>0</v>
      </c>
      <c r="I63" s="30">
        <v>0</v>
      </c>
      <c r="J63" s="30">
        <v>0</v>
      </c>
      <c r="K63" s="56">
        <v>0</v>
      </c>
      <c r="L63" s="69">
        <f t="shared" si="3"/>
        <v>0</v>
      </c>
      <c r="M63" s="69">
        <f t="shared" si="4"/>
        <v>0</v>
      </c>
    </row>
    <row r="64" spans="1:13">
      <c r="A64" s="1" t="s">
        <v>2</v>
      </c>
      <c r="B64" s="4" t="s">
        <v>76</v>
      </c>
      <c r="C64" s="16">
        <v>321125</v>
      </c>
      <c r="D64" s="17">
        <v>89039</v>
      </c>
      <c r="E64" s="17">
        <f t="shared" si="2"/>
        <v>410164</v>
      </c>
      <c r="F64" s="15">
        <v>261901</v>
      </c>
      <c r="G64" s="16">
        <v>246081</v>
      </c>
      <c r="H64" s="16">
        <v>259701</v>
      </c>
      <c r="I64" s="16">
        <v>247603</v>
      </c>
      <c r="J64" s="16">
        <v>236799</v>
      </c>
      <c r="K64" s="57">
        <v>259342</v>
      </c>
      <c r="L64" s="70">
        <f t="shared" si="3"/>
        <v>1511427</v>
      </c>
      <c r="M64" s="70">
        <f t="shared" si="4"/>
        <v>1921591</v>
      </c>
    </row>
    <row r="65" spans="1:13">
      <c r="A65" s="1" t="s">
        <v>2</v>
      </c>
      <c r="B65" s="4" t="s">
        <v>77</v>
      </c>
      <c r="C65" s="16">
        <v>2</v>
      </c>
      <c r="D65" s="17">
        <v>0</v>
      </c>
      <c r="E65" s="17"/>
      <c r="F65" s="15">
        <v>1</v>
      </c>
      <c r="G65" s="16">
        <v>0</v>
      </c>
      <c r="H65" s="16">
        <v>1</v>
      </c>
      <c r="I65" s="16">
        <v>2</v>
      </c>
      <c r="J65" s="16">
        <v>0</v>
      </c>
      <c r="K65" s="57">
        <v>0</v>
      </c>
      <c r="L65" s="70"/>
      <c r="M65" s="70"/>
    </row>
    <row r="66" spans="1:13" ht="19.5" thickBot="1">
      <c r="A66" s="1" t="s">
        <v>2</v>
      </c>
      <c r="B66" s="5" t="s">
        <v>78</v>
      </c>
      <c r="C66" s="19" t="s">
        <v>79</v>
      </c>
      <c r="D66" s="20" t="s">
        <v>79</v>
      </c>
      <c r="E66" s="20"/>
      <c r="F66" s="18" t="s">
        <v>79</v>
      </c>
      <c r="G66" s="19" t="s">
        <v>79</v>
      </c>
      <c r="H66" s="19" t="s">
        <v>79</v>
      </c>
      <c r="I66" s="19" t="s">
        <v>79</v>
      </c>
      <c r="J66" s="19" t="s">
        <v>79</v>
      </c>
      <c r="K66" s="60" t="s">
        <v>79</v>
      </c>
      <c r="L66" s="73"/>
      <c r="M66" s="73"/>
    </row>
  </sheetData>
  <phoneticPr fontId="4"/>
  <pageMargins left="0.31496062992125984" right="0.11811023622047245" top="0.35433070866141736" bottom="0.35433070866141736" header="0.11811023622047245" footer="0.11811023622047245"/>
  <pageSetup paperSize="12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5月度給与 (2)</vt:lpstr>
      <vt:lpstr>'2022年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2022-06-11T01:05:26Z</cp:lastPrinted>
  <dcterms:created xsi:type="dcterms:W3CDTF">2022-06-08T07:11:11Z</dcterms:created>
  <dcterms:modified xsi:type="dcterms:W3CDTF">2022-06-11T01:55:56Z</dcterms:modified>
</cp:coreProperties>
</file>