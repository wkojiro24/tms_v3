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5\"/>
    </mc:Choice>
  </mc:AlternateContent>
  <xr:revisionPtr revIDLastSave="0" documentId="13_ncr:1_{4841FF51-11A7-4041-BB25-22EA427974ED}" xr6:coauthVersionLast="47" xr6:coauthVersionMax="47" xr10:uidLastSave="{00000000-0000-0000-0000-000000000000}"/>
  <bookViews>
    <workbookView xWindow="-120" yWindow="-120" windowWidth="20730" windowHeight="11160" xr2:uid="{7F1D557E-E866-430C-8E6B-04777D8094B3}"/>
  </bookViews>
  <sheets>
    <sheet name="2022年 5月度給与 (3)" sheetId="4" r:id="rId1"/>
    <sheet name="2022年 5月度給与 (4)" sheetId="5" r:id="rId2"/>
  </sheets>
  <definedNames>
    <definedName name="_xlnm.Print_Area" localSheetId="0">'2022年 5月度給与 (3)'!$A$1:$O$63</definedName>
    <definedName name="_xlnm.Print_Area" localSheetId="1">'2022年 5月度給与 (4)'!$A$1:$V$64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62" i="5" l="1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18" i="5"/>
  <c r="V17" i="5"/>
  <c r="V16" i="5"/>
  <c r="V15" i="5"/>
  <c r="V14" i="5"/>
  <c r="V11" i="5"/>
  <c r="V10" i="5"/>
  <c r="V9" i="5"/>
  <c r="V8" i="5"/>
  <c r="V7" i="5"/>
  <c r="V6" i="5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N23" i="4"/>
  <c r="L23" i="4"/>
  <c r="N22" i="4"/>
  <c r="L22" i="4"/>
  <c r="N21" i="4"/>
  <c r="L21" i="4"/>
  <c r="L20" i="4"/>
  <c r="L16" i="4"/>
  <c r="L15" i="4"/>
  <c r="L14" i="4"/>
  <c r="L13" i="4"/>
  <c r="L10" i="4"/>
  <c r="L8" i="4"/>
  <c r="L7" i="4"/>
  <c r="N6" i="4"/>
  <c r="L6" i="4"/>
</calcChain>
</file>

<file path=xl/sharedStrings.xml><?xml version="1.0" encoding="utf-8"?>
<sst xmlns="http://schemas.openxmlformats.org/spreadsheetml/2006/main" count="337" uniqueCount="127">
  <si>
    <t>支給控除一覧表</t>
    <phoneticPr fontId="4"/>
  </si>
  <si>
    <t>若林運送株式会社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</si>
  <si>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</si>
  <si>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</si>
  <si>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</si>
  <si>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</si>
  <si>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</si>
  <si>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</si>
  <si>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</si>
  <si>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</si>
  <si>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</si>
  <si>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</si>
  <si>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</si>
  <si>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</si>
  <si>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</si>
  <si>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</si>
  <si>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</si>
  <si>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</si>
  <si>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</si>
  <si>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</si>
  <si>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</si>
  <si>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</si>
  <si>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1098</t>
    <phoneticPr fontId="4"/>
  </si>
  <si>
    <t>1103</t>
    <phoneticPr fontId="4"/>
  </si>
  <si>
    <t>1104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</si>
  <si>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</si>
  <si>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</si>
  <si>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</si>
  <si>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</si>
  <si>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</si>
  <si>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</si>
  <si>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</si>
  <si>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</si>
  <si>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</si>
  <si>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</si>
  <si>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小野　宏美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</si>
  <si>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</si>
  <si>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</si>
  <si>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</si>
  <si>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</si>
  <si>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</si>
  <si>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</si>
  <si>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</si>
  <si>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</si>
  <si>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</si>
  <si>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</si>
  <si>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</si>
  <si>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</si>
  <si>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</si>
  <si>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</si>
  <si>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</si>
  <si>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</si>
  <si>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圷　健佑</t>
    <phoneticPr fontId="4"/>
  </si>
  <si>
    <t>今野　正</t>
    <phoneticPr fontId="4"/>
  </si>
  <si>
    <t>横山　達哉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</si>
  <si>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</si>
  <si>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</si>
  <si>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</si>
  <si>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</si>
  <si>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</si>
  <si>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</si>
  <si>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</si>
  <si>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</si>
  <si>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</si>
  <si>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</si>
  <si>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</si>
  <si>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</si>
  <si>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</si>
  <si>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</si>
  <si>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</si>
  <si>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</si>
  <si>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</si>
  <si>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</si>
  <si>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</si>
  <si>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</si>
  <si>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</si>
  <si>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</si>
  <si>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</si>
  <si>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</si>
  <si>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</si>
  <si>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</si>
  <si>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</si>
  <si>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</si>
  <si>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</si>
  <si>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</si>
  <si>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</si>
  <si>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</si>
  <si>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</si>
  <si>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</si>
  <si>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</si>
  <si>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</si>
  <si>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</si>
  <si>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</si>
  <si>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</si>
  <si>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</si>
  <si>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</si>
  <si>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</si>
  <si>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</si>
  <si>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</si>
  <si>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</si>
  <si>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</si>
  <si>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</si>
  <si>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</si>
  <si>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</si>
  <si>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</si>
  <si>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</si>
  <si>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</si>
  <si>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</si>
  <si>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</si>
  <si>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</si>
  <si>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</si>
  <si>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</si>
  <si>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</si>
  <si>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</si>
  <si>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</si>
  <si>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</si>
  <si>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</si>
  <si>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</si>
  <si>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</si>
  <si>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</si>
  <si>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</si>
  <si>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5月度給与</t>
    <phoneticPr fontId="4"/>
  </si>
  <si>
    <t>小計</t>
    <rPh sb="0" eb="2">
      <t>ショウケイ</t>
    </rPh>
    <phoneticPr fontId="3"/>
  </si>
  <si>
    <t>9名</t>
    <rPh sb="1" eb="2">
      <t>メイ</t>
    </rPh>
    <phoneticPr fontId="3"/>
  </si>
  <si>
    <t>1名</t>
    <rPh sb="1" eb="2">
      <t>メイ</t>
    </rPh>
    <phoneticPr fontId="3"/>
  </si>
  <si>
    <t>19名</t>
    <rPh sb="2" eb="3">
      <t>メイ</t>
    </rPh>
    <phoneticPr fontId="3"/>
  </si>
  <si>
    <t>２９名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</si>
</sst>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0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177" fontId="2" fillId="0" borderId="11" xfId="1" applyNumberFormat="1" applyFont="1" applyBorder="1"/>
    <xf numFmtId="177" fontId="2" fillId="0" borderId="34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39" xfId="1" applyNumberFormat="1" applyFont="1" applyBorder="1"/>
    <xf numFmtId="49" fontId="2" fillId="0" borderId="44" xfId="1" applyNumberFormat="1" applyFont="1" applyBorder="1" applyAlignment="1">
      <alignment horizontal="left"/>
    </xf>
    <xf numFmtId="49" fontId="2" fillId="0" borderId="45" xfId="1" applyNumberFormat="1" applyFont="1" applyBorder="1" applyAlignment="1">
      <alignment horizontal="right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177" fontId="2" fillId="0" borderId="47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49" fontId="2" fillId="0" borderId="45" xfId="1" applyNumberFormat="1" applyFont="1" applyBorder="1"/>
    <xf numFmtId="0" fontId="2" fillId="0" borderId="44" xfId="1" applyFont="1" applyBorder="1"/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right"/>
    </xf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49" fontId="2" fillId="0" borderId="22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left"/>
    </xf>
    <xf numFmtId="0" fontId="2" fillId="0" borderId="49" xfId="1" applyFont="1" applyBorder="1"/>
    <xf numFmtId="0" fontId="2" fillId="0" borderId="45" xfId="1" applyFont="1" applyBorder="1" applyAlignment="1">
      <alignment horizontal="right"/>
    </xf>
  </cellXfs>
  <cellStyles count="2">
    <cellStyle name="標準" xfId="0" builtinId="0"/>
    <cellStyle name="標準 2" xfId="1" xr:uid="{9E223BC0-9C38-4431-B98F-9CDB03B91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EB5B-421A-494C-935C-EF7479A16EAD}">
  <sheetPr>
    <pageSetUpPr fitToPage="1"/>
  </sheetPr>
  <dimension ref="A1:O63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5" width="11.625" style="2" customWidth="1"/>
    <col min="16" max="232" width="9" style="2"/>
    <col min="233" max="233" width="2.375" style="2" customWidth="1"/>
    <col min="234" max="235" width="13.25" style="2" bestFit="1" customWidth="1"/>
    <col min="236" max="238" width="11.125" style="2" bestFit="1" customWidth="1"/>
    <col min="239" max="239" width="13.25" style="2" bestFit="1" customWidth="1"/>
    <col min="240" max="240" width="11.125" style="2" bestFit="1" customWidth="1"/>
    <col min="241" max="241" width="9" style="2"/>
    <col min="242" max="243" width="11.125" style="2" bestFit="1" customWidth="1"/>
    <col min="244" max="244" width="9" style="2"/>
    <col min="245" max="256" width="11.125" style="2" bestFit="1" customWidth="1"/>
    <col min="257" max="259" width="9" style="2"/>
    <col min="260" max="260" width="11.125" style="2" bestFit="1" customWidth="1"/>
    <col min="261" max="261" width="9" style="2"/>
    <col min="262" max="269" width="11.125" style="2" bestFit="1" customWidth="1"/>
    <col min="270" max="270" width="9.625" style="2" bestFit="1" customWidth="1"/>
    <col min="271" max="488" width="9" style="2"/>
    <col min="489" max="489" width="2.375" style="2" customWidth="1"/>
    <col min="490" max="491" width="13.25" style="2" bestFit="1" customWidth="1"/>
    <col min="492" max="494" width="11.125" style="2" bestFit="1" customWidth="1"/>
    <col min="495" max="495" width="13.25" style="2" bestFit="1" customWidth="1"/>
    <col min="496" max="496" width="11.125" style="2" bestFit="1" customWidth="1"/>
    <col min="497" max="497" width="9" style="2"/>
    <col min="498" max="499" width="11.125" style="2" bestFit="1" customWidth="1"/>
    <col min="500" max="500" width="9" style="2"/>
    <col min="501" max="512" width="11.125" style="2" bestFit="1" customWidth="1"/>
    <col min="513" max="515" width="9" style="2"/>
    <col min="516" max="516" width="11.125" style="2" bestFit="1" customWidth="1"/>
    <col min="517" max="517" width="9" style="2"/>
    <col min="518" max="525" width="11.125" style="2" bestFit="1" customWidth="1"/>
    <col min="526" max="526" width="9.625" style="2" bestFit="1" customWidth="1"/>
    <col min="527" max="744" width="9" style="2"/>
    <col min="745" max="745" width="2.375" style="2" customWidth="1"/>
    <col min="746" max="747" width="13.25" style="2" bestFit="1" customWidth="1"/>
    <col min="748" max="750" width="11.125" style="2" bestFit="1" customWidth="1"/>
    <col min="751" max="751" width="13.25" style="2" bestFit="1" customWidth="1"/>
    <col min="752" max="752" width="11.125" style="2" bestFit="1" customWidth="1"/>
    <col min="753" max="753" width="9" style="2"/>
    <col min="754" max="755" width="11.125" style="2" bestFit="1" customWidth="1"/>
    <col min="756" max="756" width="9" style="2"/>
    <col min="757" max="768" width="11.125" style="2" bestFit="1" customWidth="1"/>
    <col min="769" max="771" width="9" style="2"/>
    <col min="772" max="772" width="11.125" style="2" bestFit="1" customWidth="1"/>
    <col min="773" max="773" width="9" style="2"/>
    <col min="774" max="781" width="11.125" style="2" bestFit="1" customWidth="1"/>
    <col min="782" max="782" width="9.625" style="2" bestFit="1" customWidth="1"/>
    <col min="783" max="1000" width="9" style="2"/>
    <col min="1001" max="1001" width="2.375" style="2" customWidth="1"/>
    <col min="1002" max="1003" width="13.25" style="2" bestFit="1" customWidth="1"/>
    <col min="1004" max="1006" width="11.125" style="2" bestFit="1" customWidth="1"/>
    <col min="1007" max="1007" width="13.25" style="2" bestFit="1" customWidth="1"/>
    <col min="1008" max="1008" width="11.125" style="2" bestFit="1" customWidth="1"/>
    <col min="1009" max="1009" width="9" style="2"/>
    <col min="1010" max="1011" width="11.125" style="2" bestFit="1" customWidth="1"/>
    <col min="1012" max="1012" width="9" style="2"/>
    <col min="1013" max="1024" width="11.125" style="2" bestFit="1" customWidth="1"/>
    <col min="1025" max="1027" width="9" style="2"/>
    <col min="1028" max="1028" width="11.125" style="2" bestFit="1" customWidth="1"/>
    <col min="1029" max="1029" width="9" style="2"/>
    <col min="1030" max="1037" width="11.125" style="2" bestFit="1" customWidth="1"/>
    <col min="1038" max="1038" width="9.625" style="2" bestFit="1" customWidth="1"/>
    <col min="1039" max="1256" width="9" style="2"/>
    <col min="1257" max="1257" width="2.375" style="2" customWidth="1"/>
    <col min="1258" max="1259" width="13.25" style="2" bestFit="1" customWidth="1"/>
    <col min="1260" max="1262" width="11.125" style="2" bestFit="1" customWidth="1"/>
    <col min="1263" max="1263" width="13.25" style="2" bestFit="1" customWidth="1"/>
    <col min="1264" max="1264" width="11.125" style="2" bestFit="1" customWidth="1"/>
    <col min="1265" max="1265" width="9" style="2"/>
    <col min="1266" max="1267" width="11.125" style="2" bestFit="1" customWidth="1"/>
    <col min="1268" max="1268" width="9" style="2"/>
    <col min="1269" max="1280" width="11.125" style="2" bestFit="1" customWidth="1"/>
    <col min="1281" max="1283" width="9" style="2"/>
    <col min="1284" max="1284" width="11.125" style="2" bestFit="1" customWidth="1"/>
    <col min="1285" max="1285" width="9" style="2"/>
    <col min="1286" max="1293" width="11.125" style="2" bestFit="1" customWidth="1"/>
    <col min="1294" max="1294" width="9.625" style="2" bestFit="1" customWidth="1"/>
    <col min="1295" max="1512" width="9" style="2"/>
    <col min="1513" max="1513" width="2.375" style="2" customWidth="1"/>
    <col min="1514" max="1515" width="13.25" style="2" bestFit="1" customWidth="1"/>
    <col min="1516" max="1518" width="11.125" style="2" bestFit="1" customWidth="1"/>
    <col min="1519" max="1519" width="13.25" style="2" bestFit="1" customWidth="1"/>
    <col min="1520" max="1520" width="11.125" style="2" bestFit="1" customWidth="1"/>
    <col min="1521" max="1521" width="9" style="2"/>
    <col min="1522" max="1523" width="11.125" style="2" bestFit="1" customWidth="1"/>
    <col min="1524" max="1524" width="9" style="2"/>
    <col min="1525" max="1536" width="11.125" style="2" bestFit="1" customWidth="1"/>
    <col min="1537" max="1539" width="9" style="2"/>
    <col min="1540" max="1540" width="11.125" style="2" bestFit="1" customWidth="1"/>
    <col min="1541" max="1541" width="9" style="2"/>
    <col min="1542" max="1549" width="11.125" style="2" bestFit="1" customWidth="1"/>
    <col min="1550" max="1550" width="9.625" style="2" bestFit="1" customWidth="1"/>
    <col min="1551" max="1768" width="9" style="2"/>
    <col min="1769" max="1769" width="2.375" style="2" customWidth="1"/>
    <col min="1770" max="1771" width="13.25" style="2" bestFit="1" customWidth="1"/>
    <col min="1772" max="1774" width="11.125" style="2" bestFit="1" customWidth="1"/>
    <col min="1775" max="1775" width="13.25" style="2" bestFit="1" customWidth="1"/>
    <col min="1776" max="1776" width="11.125" style="2" bestFit="1" customWidth="1"/>
    <col min="1777" max="1777" width="9" style="2"/>
    <col min="1778" max="1779" width="11.125" style="2" bestFit="1" customWidth="1"/>
    <col min="1780" max="1780" width="9" style="2"/>
    <col min="1781" max="1792" width="11.125" style="2" bestFit="1" customWidth="1"/>
    <col min="1793" max="1795" width="9" style="2"/>
    <col min="1796" max="1796" width="11.125" style="2" bestFit="1" customWidth="1"/>
    <col min="1797" max="1797" width="9" style="2"/>
    <col min="1798" max="1805" width="11.125" style="2" bestFit="1" customWidth="1"/>
    <col min="1806" max="1806" width="9.625" style="2" bestFit="1" customWidth="1"/>
    <col min="1807" max="2024" width="9" style="2"/>
    <col min="2025" max="2025" width="2.375" style="2" customWidth="1"/>
    <col min="2026" max="2027" width="13.25" style="2" bestFit="1" customWidth="1"/>
    <col min="2028" max="2030" width="11.125" style="2" bestFit="1" customWidth="1"/>
    <col min="2031" max="2031" width="13.25" style="2" bestFit="1" customWidth="1"/>
    <col min="2032" max="2032" width="11.125" style="2" bestFit="1" customWidth="1"/>
    <col min="2033" max="2033" width="9" style="2"/>
    <col min="2034" max="2035" width="11.125" style="2" bestFit="1" customWidth="1"/>
    <col min="2036" max="2036" width="9" style="2"/>
    <col min="2037" max="2048" width="11.125" style="2" bestFit="1" customWidth="1"/>
    <col min="2049" max="2051" width="9" style="2"/>
    <col min="2052" max="2052" width="11.125" style="2" bestFit="1" customWidth="1"/>
    <col min="2053" max="2053" width="9" style="2"/>
    <col min="2054" max="2061" width="11.125" style="2" bestFit="1" customWidth="1"/>
    <col min="2062" max="2062" width="9.625" style="2" bestFit="1" customWidth="1"/>
    <col min="2063" max="2280" width="9" style="2"/>
    <col min="2281" max="2281" width="2.375" style="2" customWidth="1"/>
    <col min="2282" max="2283" width="13.25" style="2" bestFit="1" customWidth="1"/>
    <col min="2284" max="2286" width="11.125" style="2" bestFit="1" customWidth="1"/>
    <col min="2287" max="2287" width="13.25" style="2" bestFit="1" customWidth="1"/>
    <col min="2288" max="2288" width="11.125" style="2" bestFit="1" customWidth="1"/>
    <col min="2289" max="2289" width="9" style="2"/>
    <col min="2290" max="2291" width="11.125" style="2" bestFit="1" customWidth="1"/>
    <col min="2292" max="2292" width="9" style="2"/>
    <col min="2293" max="2304" width="11.125" style="2" bestFit="1" customWidth="1"/>
    <col min="2305" max="2307" width="9" style="2"/>
    <col min="2308" max="2308" width="11.125" style="2" bestFit="1" customWidth="1"/>
    <col min="2309" max="2309" width="9" style="2"/>
    <col min="2310" max="2317" width="11.125" style="2" bestFit="1" customWidth="1"/>
    <col min="2318" max="2318" width="9.625" style="2" bestFit="1" customWidth="1"/>
    <col min="2319" max="2536" width="9" style="2"/>
    <col min="2537" max="2537" width="2.375" style="2" customWidth="1"/>
    <col min="2538" max="2539" width="13.25" style="2" bestFit="1" customWidth="1"/>
    <col min="2540" max="2542" width="11.125" style="2" bestFit="1" customWidth="1"/>
    <col min="2543" max="2543" width="13.25" style="2" bestFit="1" customWidth="1"/>
    <col min="2544" max="2544" width="11.125" style="2" bestFit="1" customWidth="1"/>
    <col min="2545" max="2545" width="9" style="2"/>
    <col min="2546" max="2547" width="11.125" style="2" bestFit="1" customWidth="1"/>
    <col min="2548" max="2548" width="9" style="2"/>
    <col min="2549" max="2560" width="11.125" style="2" bestFit="1" customWidth="1"/>
    <col min="2561" max="2563" width="9" style="2"/>
    <col min="2564" max="2564" width="11.125" style="2" bestFit="1" customWidth="1"/>
    <col min="2565" max="2565" width="9" style="2"/>
    <col min="2566" max="2573" width="11.125" style="2" bestFit="1" customWidth="1"/>
    <col min="2574" max="2574" width="9.625" style="2" bestFit="1" customWidth="1"/>
    <col min="2575" max="2792" width="9" style="2"/>
    <col min="2793" max="2793" width="2.375" style="2" customWidth="1"/>
    <col min="2794" max="2795" width="13.25" style="2" bestFit="1" customWidth="1"/>
    <col min="2796" max="2798" width="11.125" style="2" bestFit="1" customWidth="1"/>
    <col min="2799" max="2799" width="13.25" style="2" bestFit="1" customWidth="1"/>
    <col min="2800" max="2800" width="11.125" style="2" bestFit="1" customWidth="1"/>
    <col min="2801" max="2801" width="9" style="2"/>
    <col min="2802" max="2803" width="11.125" style="2" bestFit="1" customWidth="1"/>
    <col min="2804" max="2804" width="9" style="2"/>
    <col min="2805" max="2816" width="11.125" style="2" bestFit="1" customWidth="1"/>
    <col min="2817" max="2819" width="9" style="2"/>
    <col min="2820" max="2820" width="11.125" style="2" bestFit="1" customWidth="1"/>
    <col min="2821" max="2821" width="9" style="2"/>
    <col min="2822" max="2829" width="11.125" style="2" bestFit="1" customWidth="1"/>
    <col min="2830" max="2830" width="9.625" style="2" bestFit="1" customWidth="1"/>
    <col min="2831" max="3048" width="9" style="2"/>
    <col min="3049" max="3049" width="2.375" style="2" customWidth="1"/>
    <col min="3050" max="3051" width="13.25" style="2" bestFit="1" customWidth="1"/>
    <col min="3052" max="3054" width="11.125" style="2" bestFit="1" customWidth="1"/>
    <col min="3055" max="3055" width="13.25" style="2" bestFit="1" customWidth="1"/>
    <col min="3056" max="3056" width="11.125" style="2" bestFit="1" customWidth="1"/>
    <col min="3057" max="3057" width="9" style="2"/>
    <col min="3058" max="3059" width="11.125" style="2" bestFit="1" customWidth="1"/>
    <col min="3060" max="3060" width="9" style="2"/>
    <col min="3061" max="3072" width="11.125" style="2" bestFit="1" customWidth="1"/>
    <col min="3073" max="3075" width="9" style="2"/>
    <col min="3076" max="3076" width="11.125" style="2" bestFit="1" customWidth="1"/>
    <col min="3077" max="3077" width="9" style="2"/>
    <col min="3078" max="3085" width="11.125" style="2" bestFit="1" customWidth="1"/>
    <col min="3086" max="3086" width="9.625" style="2" bestFit="1" customWidth="1"/>
    <col min="3087" max="3304" width="9" style="2"/>
    <col min="3305" max="3305" width="2.375" style="2" customWidth="1"/>
    <col min="3306" max="3307" width="13.25" style="2" bestFit="1" customWidth="1"/>
    <col min="3308" max="3310" width="11.125" style="2" bestFit="1" customWidth="1"/>
    <col min="3311" max="3311" width="13.25" style="2" bestFit="1" customWidth="1"/>
    <col min="3312" max="3312" width="11.125" style="2" bestFit="1" customWidth="1"/>
    <col min="3313" max="3313" width="9" style="2"/>
    <col min="3314" max="3315" width="11.125" style="2" bestFit="1" customWidth="1"/>
    <col min="3316" max="3316" width="9" style="2"/>
    <col min="3317" max="3328" width="11.125" style="2" bestFit="1" customWidth="1"/>
    <col min="3329" max="3331" width="9" style="2"/>
    <col min="3332" max="3332" width="11.125" style="2" bestFit="1" customWidth="1"/>
    <col min="3333" max="3333" width="9" style="2"/>
    <col min="3334" max="3341" width="11.125" style="2" bestFit="1" customWidth="1"/>
    <col min="3342" max="3342" width="9.625" style="2" bestFit="1" customWidth="1"/>
    <col min="3343" max="3560" width="9" style="2"/>
    <col min="3561" max="3561" width="2.375" style="2" customWidth="1"/>
    <col min="3562" max="3563" width="13.25" style="2" bestFit="1" customWidth="1"/>
    <col min="3564" max="3566" width="11.125" style="2" bestFit="1" customWidth="1"/>
    <col min="3567" max="3567" width="13.25" style="2" bestFit="1" customWidth="1"/>
    <col min="3568" max="3568" width="11.125" style="2" bestFit="1" customWidth="1"/>
    <col min="3569" max="3569" width="9" style="2"/>
    <col min="3570" max="3571" width="11.125" style="2" bestFit="1" customWidth="1"/>
    <col min="3572" max="3572" width="9" style="2"/>
    <col min="3573" max="3584" width="11.125" style="2" bestFit="1" customWidth="1"/>
    <col min="3585" max="3587" width="9" style="2"/>
    <col min="3588" max="3588" width="11.125" style="2" bestFit="1" customWidth="1"/>
    <col min="3589" max="3589" width="9" style="2"/>
    <col min="3590" max="3597" width="11.125" style="2" bestFit="1" customWidth="1"/>
    <col min="3598" max="3598" width="9.625" style="2" bestFit="1" customWidth="1"/>
    <col min="3599" max="3816" width="9" style="2"/>
    <col min="3817" max="3817" width="2.375" style="2" customWidth="1"/>
    <col min="3818" max="3819" width="13.25" style="2" bestFit="1" customWidth="1"/>
    <col min="3820" max="3822" width="11.125" style="2" bestFit="1" customWidth="1"/>
    <col min="3823" max="3823" width="13.25" style="2" bestFit="1" customWidth="1"/>
    <col min="3824" max="3824" width="11.125" style="2" bestFit="1" customWidth="1"/>
    <col min="3825" max="3825" width="9" style="2"/>
    <col min="3826" max="3827" width="11.125" style="2" bestFit="1" customWidth="1"/>
    <col min="3828" max="3828" width="9" style="2"/>
    <col min="3829" max="3840" width="11.125" style="2" bestFit="1" customWidth="1"/>
    <col min="3841" max="3843" width="9" style="2"/>
    <col min="3844" max="3844" width="11.125" style="2" bestFit="1" customWidth="1"/>
    <col min="3845" max="3845" width="9" style="2"/>
    <col min="3846" max="3853" width="11.125" style="2" bestFit="1" customWidth="1"/>
    <col min="3854" max="3854" width="9.625" style="2" bestFit="1" customWidth="1"/>
    <col min="3855" max="4072" width="9" style="2"/>
    <col min="4073" max="4073" width="2.375" style="2" customWidth="1"/>
    <col min="4074" max="4075" width="13.25" style="2" bestFit="1" customWidth="1"/>
    <col min="4076" max="4078" width="11.125" style="2" bestFit="1" customWidth="1"/>
    <col min="4079" max="4079" width="13.25" style="2" bestFit="1" customWidth="1"/>
    <col min="4080" max="4080" width="11.125" style="2" bestFit="1" customWidth="1"/>
    <col min="4081" max="4081" width="9" style="2"/>
    <col min="4082" max="4083" width="11.125" style="2" bestFit="1" customWidth="1"/>
    <col min="4084" max="4084" width="9" style="2"/>
    <col min="4085" max="4096" width="11.125" style="2" bestFit="1" customWidth="1"/>
    <col min="4097" max="4099" width="9" style="2"/>
    <col min="4100" max="4100" width="11.125" style="2" bestFit="1" customWidth="1"/>
    <col min="4101" max="4101" width="9" style="2"/>
    <col min="4102" max="4109" width="11.125" style="2" bestFit="1" customWidth="1"/>
    <col min="4110" max="4110" width="9.625" style="2" bestFit="1" customWidth="1"/>
    <col min="4111" max="4328" width="9" style="2"/>
    <col min="4329" max="4329" width="2.375" style="2" customWidth="1"/>
    <col min="4330" max="4331" width="13.25" style="2" bestFit="1" customWidth="1"/>
    <col min="4332" max="4334" width="11.125" style="2" bestFit="1" customWidth="1"/>
    <col min="4335" max="4335" width="13.25" style="2" bestFit="1" customWidth="1"/>
    <col min="4336" max="4336" width="11.125" style="2" bestFit="1" customWidth="1"/>
    <col min="4337" max="4337" width="9" style="2"/>
    <col min="4338" max="4339" width="11.125" style="2" bestFit="1" customWidth="1"/>
    <col min="4340" max="4340" width="9" style="2"/>
    <col min="4341" max="4352" width="11.125" style="2" bestFit="1" customWidth="1"/>
    <col min="4353" max="4355" width="9" style="2"/>
    <col min="4356" max="4356" width="11.125" style="2" bestFit="1" customWidth="1"/>
    <col min="4357" max="4357" width="9" style="2"/>
    <col min="4358" max="4365" width="11.125" style="2" bestFit="1" customWidth="1"/>
    <col min="4366" max="4366" width="9.625" style="2" bestFit="1" customWidth="1"/>
    <col min="4367" max="4584" width="9" style="2"/>
    <col min="4585" max="4585" width="2.375" style="2" customWidth="1"/>
    <col min="4586" max="4587" width="13.25" style="2" bestFit="1" customWidth="1"/>
    <col min="4588" max="4590" width="11.125" style="2" bestFit="1" customWidth="1"/>
    <col min="4591" max="4591" width="13.25" style="2" bestFit="1" customWidth="1"/>
    <col min="4592" max="4592" width="11.125" style="2" bestFit="1" customWidth="1"/>
    <col min="4593" max="4593" width="9" style="2"/>
    <col min="4594" max="4595" width="11.125" style="2" bestFit="1" customWidth="1"/>
    <col min="4596" max="4596" width="9" style="2"/>
    <col min="4597" max="4608" width="11.125" style="2" bestFit="1" customWidth="1"/>
    <col min="4609" max="4611" width="9" style="2"/>
    <col min="4612" max="4612" width="11.125" style="2" bestFit="1" customWidth="1"/>
    <col min="4613" max="4613" width="9" style="2"/>
    <col min="4614" max="4621" width="11.125" style="2" bestFit="1" customWidth="1"/>
    <col min="4622" max="4622" width="9.625" style="2" bestFit="1" customWidth="1"/>
    <col min="4623" max="4840" width="9" style="2"/>
    <col min="4841" max="4841" width="2.375" style="2" customWidth="1"/>
    <col min="4842" max="4843" width="13.25" style="2" bestFit="1" customWidth="1"/>
    <col min="4844" max="4846" width="11.125" style="2" bestFit="1" customWidth="1"/>
    <col min="4847" max="4847" width="13.25" style="2" bestFit="1" customWidth="1"/>
    <col min="4848" max="4848" width="11.125" style="2" bestFit="1" customWidth="1"/>
    <col min="4849" max="4849" width="9" style="2"/>
    <col min="4850" max="4851" width="11.125" style="2" bestFit="1" customWidth="1"/>
    <col min="4852" max="4852" width="9" style="2"/>
    <col min="4853" max="4864" width="11.125" style="2" bestFit="1" customWidth="1"/>
    <col min="4865" max="4867" width="9" style="2"/>
    <col min="4868" max="4868" width="11.125" style="2" bestFit="1" customWidth="1"/>
    <col min="4869" max="4869" width="9" style="2"/>
    <col min="4870" max="4877" width="11.125" style="2" bestFit="1" customWidth="1"/>
    <col min="4878" max="4878" width="9.625" style="2" bestFit="1" customWidth="1"/>
    <col min="4879" max="5096" width="9" style="2"/>
    <col min="5097" max="5097" width="2.375" style="2" customWidth="1"/>
    <col min="5098" max="5099" width="13.25" style="2" bestFit="1" customWidth="1"/>
    <col min="5100" max="5102" width="11.125" style="2" bestFit="1" customWidth="1"/>
    <col min="5103" max="5103" width="13.25" style="2" bestFit="1" customWidth="1"/>
    <col min="5104" max="5104" width="11.125" style="2" bestFit="1" customWidth="1"/>
    <col min="5105" max="5105" width="9" style="2"/>
    <col min="5106" max="5107" width="11.125" style="2" bestFit="1" customWidth="1"/>
    <col min="5108" max="5108" width="9" style="2"/>
    <col min="5109" max="5120" width="11.125" style="2" bestFit="1" customWidth="1"/>
    <col min="5121" max="5123" width="9" style="2"/>
    <col min="5124" max="5124" width="11.125" style="2" bestFit="1" customWidth="1"/>
    <col min="5125" max="5125" width="9" style="2"/>
    <col min="5126" max="5133" width="11.125" style="2" bestFit="1" customWidth="1"/>
    <col min="5134" max="5134" width="9.625" style="2" bestFit="1" customWidth="1"/>
    <col min="5135" max="5352" width="9" style="2"/>
    <col min="5353" max="5353" width="2.375" style="2" customWidth="1"/>
    <col min="5354" max="5355" width="13.25" style="2" bestFit="1" customWidth="1"/>
    <col min="5356" max="5358" width="11.125" style="2" bestFit="1" customWidth="1"/>
    <col min="5359" max="5359" width="13.25" style="2" bestFit="1" customWidth="1"/>
    <col min="5360" max="5360" width="11.125" style="2" bestFit="1" customWidth="1"/>
    <col min="5361" max="5361" width="9" style="2"/>
    <col min="5362" max="5363" width="11.125" style="2" bestFit="1" customWidth="1"/>
    <col min="5364" max="5364" width="9" style="2"/>
    <col min="5365" max="5376" width="11.125" style="2" bestFit="1" customWidth="1"/>
    <col min="5377" max="5379" width="9" style="2"/>
    <col min="5380" max="5380" width="11.125" style="2" bestFit="1" customWidth="1"/>
    <col min="5381" max="5381" width="9" style="2"/>
    <col min="5382" max="5389" width="11.125" style="2" bestFit="1" customWidth="1"/>
    <col min="5390" max="5390" width="9.625" style="2" bestFit="1" customWidth="1"/>
    <col min="5391" max="5608" width="9" style="2"/>
    <col min="5609" max="5609" width="2.375" style="2" customWidth="1"/>
    <col min="5610" max="5611" width="13.25" style="2" bestFit="1" customWidth="1"/>
    <col min="5612" max="5614" width="11.125" style="2" bestFit="1" customWidth="1"/>
    <col min="5615" max="5615" width="13.25" style="2" bestFit="1" customWidth="1"/>
    <col min="5616" max="5616" width="11.125" style="2" bestFit="1" customWidth="1"/>
    <col min="5617" max="5617" width="9" style="2"/>
    <col min="5618" max="5619" width="11.125" style="2" bestFit="1" customWidth="1"/>
    <col min="5620" max="5620" width="9" style="2"/>
    <col min="5621" max="5632" width="11.125" style="2" bestFit="1" customWidth="1"/>
    <col min="5633" max="5635" width="9" style="2"/>
    <col min="5636" max="5636" width="11.125" style="2" bestFit="1" customWidth="1"/>
    <col min="5637" max="5637" width="9" style="2"/>
    <col min="5638" max="5645" width="11.125" style="2" bestFit="1" customWidth="1"/>
    <col min="5646" max="5646" width="9.625" style="2" bestFit="1" customWidth="1"/>
    <col min="5647" max="5864" width="9" style="2"/>
    <col min="5865" max="5865" width="2.375" style="2" customWidth="1"/>
    <col min="5866" max="5867" width="13.25" style="2" bestFit="1" customWidth="1"/>
    <col min="5868" max="5870" width="11.125" style="2" bestFit="1" customWidth="1"/>
    <col min="5871" max="5871" width="13.25" style="2" bestFit="1" customWidth="1"/>
    <col min="5872" max="5872" width="11.125" style="2" bestFit="1" customWidth="1"/>
    <col min="5873" max="5873" width="9" style="2"/>
    <col min="5874" max="5875" width="11.125" style="2" bestFit="1" customWidth="1"/>
    <col min="5876" max="5876" width="9" style="2"/>
    <col min="5877" max="5888" width="11.125" style="2" bestFit="1" customWidth="1"/>
    <col min="5889" max="5891" width="9" style="2"/>
    <col min="5892" max="5892" width="11.125" style="2" bestFit="1" customWidth="1"/>
    <col min="5893" max="5893" width="9" style="2"/>
    <col min="5894" max="5901" width="11.125" style="2" bestFit="1" customWidth="1"/>
    <col min="5902" max="5902" width="9.625" style="2" bestFit="1" customWidth="1"/>
    <col min="5903" max="6120" width="9" style="2"/>
    <col min="6121" max="6121" width="2.375" style="2" customWidth="1"/>
    <col min="6122" max="6123" width="13.25" style="2" bestFit="1" customWidth="1"/>
    <col min="6124" max="6126" width="11.125" style="2" bestFit="1" customWidth="1"/>
    <col min="6127" max="6127" width="13.25" style="2" bestFit="1" customWidth="1"/>
    <col min="6128" max="6128" width="11.125" style="2" bestFit="1" customWidth="1"/>
    <col min="6129" max="6129" width="9" style="2"/>
    <col min="6130" max="6131" width="11.125" style="2" bestFit="1" customWidth="1"/>
    <col min="6132" max="6132" width="9" style="2"/>
    <col min="6133" max="6144" width="11.125" style="2" bestFit="1" customWidth="1"/>
    <col min="6145" max="6147" width="9" style="2"/>
    <col min="6148" max="6148" width="11.125" style="2" bestFit="1" customWidth="1"/>
    <col min="6149" max="6149" width="9" style="2"/>
    <col min="6150" max="6157" width="11.125" style="2" bestFit="1" customWidth="1"/>
    <col min="6158" max="6158" width="9.625" style="2" bestFit="1" customWidth="1"/>
    <col min="6159" max="6376" width="9" style="2"/>
    <col min="6377" max="6377" width="2.375" style="2" customWidth="1"/>
    <col min="6378" max="6379" width="13.25" style="2" bestFit="1" customWidth="1"/>
    <col min="6380" max="6382" width="11.125" style="2" bestFit="1" customWidth="1"/>
    <col min="6383" max="6383" width="13.25" style="2" bestFit="1" customWidth="1"/>
    <col min="6384" max="6384" width="11.125" style="2" bestFit="1" customWidth="1"/>
    <col min="6385" max="6385" width="9" style="2"/>
    <col min="6386" max="6387" width="11.125" style="2" bestFit="1" customWidth="1"/>
    <col min="6388" max="6388" width="9" style="2"/>
    <col min="6389" max="6400" width="11.125" style="2" bestFit="1" customWidth="1"/>
    <col min="6401" max="6403" width="9" style="2"/>
    <col min="6404" max="6404" width="11.125" style="2" bestFit="1" customWidth="1"/>
    <col min="6405" max="6405" width="9" style="2"/>
    <col min="6406" max="6413" width="11.125" style="2" bestFit="1" customWidth="1"/>
    <col min="6414" max="6414" width="9.625" style="2" bestFit="1" customWidth="1"/>
    <col min="6415" max="6632" width="9" style="2"/>
    <col min="6633" max="6633" width="2.375" style="2" customWidth="1"/>
    <col min="6634" max="6635" width="13.25" style="2" bestFit="1" customWidth="1"/>
    <col min="6636" max="6638" width="11.125" style="2" bestFit="1" customWidth="1"/>
    <col min="6639" max="6639" width="13.25" style="2" bestFit="1" customWidth="1"/>
    <col min="6640" max="6640" width="11.125" style="2" bestFit="1" customWidth="1"/>
    <col min="6641" max="6641" width="9" style="2"/>
    <col min="6642" max="6643" width="11.125" style="2" bestFit="1" customWidth="1"/>
    <col min="6644" max="6644" width="9" style="2"/>
    <col min="6645" max="6656" width="11.125" style="2" bestFit="1" customWidth="1"/>
    <col min="6657" max="6659" width="9" style="2"/>
    <col min="6660" max="6660" width="11.125" style="2" bestFit="1" customWidth="1"/>
    <col min="6661" max="6661" width="9" style="2"/>
    <col min="6662" max="6669" width="11.125" style="2" bestFit="1" customWidth="1"/>
    <col min="6670" max="6670" width="9.625" style="2" bestFit="1" customWidth="1"/>
    <col min="6671" max="6888" width="9" style="2"/>
    <col min="6889" max="6889" width="2.375" style="2" customWidth="1"/>
    <col min="6890" max="6891" width="13.25" style="2" bestFit="1" customWidth="1"/>
    <col min="6892" max="6894" width="11.125" style="2" bestFit="1" customWidth="1"/>
    <col min="6895" max="6895" width="13.25" style="2" bestFit="1" customWidth="1"/>
    <col min="6896" max="6896" width="11.125" style="2" bestFit="1" customWidth="1"/>
    <col min="6897" max="6897" width="9" style="2"/>
    <col min="6898" max="6899" width="11.125" style="2" bestFit="1" customWidth="1"/>
    <col min="6900" max="6900" width="9" style="2"/>
    <col min="6901" max="6912" width="11.125" style="2" bestFit="1" customWidth="1"/>
    <col min="6913" max="6915" width="9" style="2"/>
    <col min="6916" max="6916" width="11.125" style="2" bestFit="1" customWidth="1"/>
    <col min="6917" max="6917" width="9" style="2"/>
    <col min="6918" max="6925" width="11.125" style="2" bestFit="1" customWidth="1"/>
    <col min="6926" max="6926" width="9.625" style="2" bestFit="1" customWidth="1"/>
    <col min="6927" max="7144" width="9" style="2"/>
    <col min="7145" max="7145" width="2.375" style="2" customWidth="1"/>
    <col min="7146" max="7147" width="13.25" style="2" bestFit="1" customWidth="1"/>
    <col min="7148" max="7150" width="11.125" style="2" bestFit="1" customWidth="1"/>
    <col min="7151" max="7151" width="13.25" style="2" bestFit="1" customWidth="1"/>
    <col min="7152" max="7152" width="11.125" style="2" bestFit="1" customWidth="1"/>
    <col min="7153" max="7153" width="9" style="2"/>
    <col min="7154" max="7155" width="11.125" style="2" bestFit="1" customWidth="1"/>
    <col min="7156" max="7156" width="9" style="2"/>
    <col min="7157" max="7168" width="11.125" style="2" bestFit="1" customWidth="1"/>
    <col min="7169" max="7171" width="9" style="2"/>
    <col min="7172" max="7172" width="11.125" style="2" bestFit="1" customWidth="1"/>
    <col min="7173" max="7173" width="9" style="2"/>
    <col min="7174" max="7181" width="11.125" style="2" bestFit="1" customWidth="1"/>
    <col min="7182" max="7182" width="9.625" style="2" bestFit="1" customWidth="1"/>
    <col min="7183" max="7400" width="9" style="2"/>
    <col min="7401" max="7401" width="2.375" style="2" customWidth="1"/>
    <col min="7402" max="7403" width="13.25" style="2" bestFit="1" customWidth="1"/>
    <col min="7404" max="7406" width="11.125" style="2" bestFit="1" customWidth="1"/>
    <col min="7407" max="7407" width="13.25" style="2" bestFit="1" customWidth="1"/>
    <col min="7408" max="7408" width="11.125" style="2" bestFit="1" customWidth="1"/>
    <col min="7409" max="7409" width="9" style="2"/>
    <col min="7410" max="7411" width="11.125" style="2" bestFit="1" customWidth="1"/>
    <col min="7412" max="7412" width="9" style="2"/>
    <col min="7413" max="7424" width="11.125" style="2" bestFit="1" customWidth="1"/>
    <col min="7425" max="7427" width="9" style="2"/>
    <col min="7428" max="7428" width="11.125" style="2" bestFit="1" customWidth="1"/>
    <col min="7429" max="7429" width="9" style="2"/>
    <col min="7430" max="7437" width="11.125" style="2" bestFit="1" customWidth="1"/>
    <col min="7438" max="7438" width="9.625" style="2" bestFit="1" customWidth="1"/>
    <col min="7439" max="7656" width="9" style="2"/>
    <col min="7657" max="7657" width="2.375" style="2" customWidth="1"/>
    <col min="7658" max="7659" width="13.25" style="2" bestFit="1" customWidth="1"/>
    <col min="7660" max="7662" width="11.125" style="2" bestFit="1" customWidth="1"/>
    <col min="7663" max="7663" width="13.25" style="2" bestFit="1" customWidth="1"/>
    <col min="7664" max="7664" width="11.125" style="2" bestFit="1" customWidth="1"/>
    <col min="7665" max="7665" width="9" style="2"/>
    <col min="7666" max="7667" width="11.125" style="2" bestFit="1" customWidth="1"/>
    <col min="7668" max="7668" width="9" style="2"/>
    <col min="7669" max="7680" width="11.125" style="2" bestFit="1" customWidth="1"/>
    <col min="7681" max="7683" width="9" style="2"/>
    <col min="7684" max="7684" width="11.125" style="2" bestFit="1" customWidth="1"/>
    <col min="7685" max="7685" width="9" style="2"/>
    <col min="7686" max="7693" width="11.125" style="2" bestFit="1" customWidth="1"/>
    <col min="7694" max="7694" width="9.625" style="2" bestFit="1" customWidth="1"/>
    <col min="7695" max="7912" width="9" style="2"/>
    <col min="7913" max="7913" width="2.375" style="2" customWidth="1"/>
    <col min="7914" max="7915" width="13.25" style="2" bestFit="1" customWidth="1"/>
    <col min="7916" max="7918" width="11.125" style="2" bestFit="1" customWidth="1"/>
    <col min="7919" max="7919" width="13.25" style="2" bestFit="1" customWidth="1"/>
    <col min="7920" max="7920" width="11.125" style="2" bestFit="1" customWidth="1"/>
    <col min="7921" max="7921" width="9" style="2"/>
    <col min="7922" max="7923" width="11.125" style="2" bestFit="1" customWidth="1"/>
    <col min="7924" max="7924" width="9" style="2"/>
    <col min="7925" max="7936" width="11.125" style="2" bestFit="1" customWidth="1"/>
    <col min="7937" max="7939" width="9" style="2"/>
    <col min="7940" max="7940" width="11.125" style="2" bestFit="1" customWidth="1"/>
    <col min="7941" max="7941" width="9" style="2"/>
    <col min="7942" max="7949" width="11.125" style="2" bestFit="1" customWidth="1"/>
    <col min="7950" max="7950" width="9.625" style="2" bestFit="1" customWidth="1"/>
    <col min="7951" max="8168" width="9" style="2"/>
    <col min="8169" max="8169" width="2.375" style="2" customWidth="1"/>
    <col min="8170" max="8171" width="13.25" style="2" bestFit="1" customWidth="1"/>
    <col min="8172" max="8174" width="11.125" style="2" bestFit="1" customWidth="1"/>
    <col min="8175" max="8175" width="13.25" style="2" bestFit="1" customWidth="1"/>
    <col min="8176" max="8176" width="11.125" style="2" bestFit="1" customWidth="1"/>
    <col min="8177" max="8177" width="9" style="2"/>
    <col min="8178" max="8179" width="11.125" style="2" bestFit="1" customWidth="1"/>
    <col min="8180" max="8180" width="9" style="2"/>
    <col min="8181" max="8192" width="11.125" style="2" bestFit="1" customWidth="1"/>
    <col min="8193" max="8195" width="9" style="2"/>
    <col min="8196" max="8196" width="11.125" style="2" bestFit="1" customWidth="1"/>
    <col min="8197" max="8197" width="9" style="2"/>
    <col min="8198" max="8205" width="11.125" style="2" bestFit="1" customWidth="1"/>
    <col min="8206" max="8206" width="9.625" style="2" bestFit="1" customWidth="1"/>
    <col min="8207" max="8424" width="9" style="2"/>
    <col min="8425" max="8425" width="2.375" style="2" customWidth="1"/>
    <col min="8426" max="8427" width="13.25" style="2" bestFit="1" customWidth="1"/>
    <col min="8428" max="8430" width="11.125" style="2" bestFit="1" customWidth="1"/>
    <col min="8431" max="8431" width="13.25" style="2" bestFit="1" customWidth="1"/>
    <col min="8432" max="8432" width="11.125" style="2" bestFit="1" customWidth="1"/>
    <col min="8433" max="8433" width="9" style="2"/>
    <col min="8434" max="8435" width="11.125" style="2" bestFit="1" customWidth="1"/>
    <col min="8436" max="8436" width="9" style="2"/>
    <col min="8437" max="8448" width="11.125" style="2" bestFit="1" customWidth="1"/>
    <col min="8449" max="8451" width="9" style="2"/>
    <col min="8452" max="8452" width="11.125" style="2" bestFit="1" customWidth="1"/>
    <col min="8453" max="8453" width="9" style="2"/>
    <col min="8454" max="8461" width="11.125" style="2" bestFit="1" customWidth="1"/>
    <col min="8462" max="8462" width="9.625" style="2" bestFit="1" customWidth="1"/>
    <col min="8463" max="8680" width="9" style="2"/>
    <col min="8681" max="8681" width="2.375" style="2" customWidth="1"/>
    <col min="8682" max="8683" width="13.25" style="2" bestFit="1" customWidth="1"/>
    <col min="8684" max="8686" width="11.125" style="2" bestFit="1" customWidth="1"/>
    <col min="8687" max="8687" width="13.25" style="2" bestFit="1" customWidth="1"/>
    <col min="8688" max="8688" width="11.125" style="2" bestFit="1" customWidth="1"/>
    <col min="8689" max="8689" width="9" style="2"/>
    <col min="8690" max="8691" width="11.125" style="2" bestFit="1" customWidth="1"/>
    <col min="8692" max="8692" width="9" style="2"/>
    <col min="8693" max="8704" width="11.125" style="2" bestFit="1" customWidth="1"/>
    <col min="8705" max="8707" width="9" style="2"/>
    <col min="8708" max="8708" width="11.125" style="2" bestFit="1" customWidth="1"/>
    <col min="8709" max="8709" width="9" style="2"/>
    <col min="8710" max="8717" width="11.125" style="2" bestFit="1" customWidth="1"/>
    <col min="8718" max="8718" width="9.625" style="2" bestFit="1" customWidth="1"/>
    <col min="8719" max="8936" width="9" style="2"/>
    <col min="8937" max="8937" width="2.375" style="2" customWidth="1"/>
    <col min="8938" max="8939" width="13.25" style="2" bestFit="1" customWidth="1"/>
    <col min="8940" max="8942" width="11.125" style="2" bestFit="1" customWidth="1"/>
    <col min="8943" max="8943" width="13.25" style="2" bestFit="1" customWidth="1"/>
    <col min="8944" max="8944" width="11.125" style="2" bestFit="1" customWidth="1"/>
    <col min="8945" max="8945" width="9" style="2"/>
    <col min="8946" max="8947" width="11.125" style="2" bestFit="1" customWidth="1"/>
    <col min="8948" max="8948" width="9" style="2"/>
    <col min="8949" max="8960" width="11.125" style="2" bestFit="1" customWidth="1"/>
    <col min="8961" max="8963" width="9" style="2"/>
    <col min="8964" max="8964" width="11.125" style="2" bestFit="1" customWidth="1"/>
    <col min="8965" max="8965" width="9" style="2"/>
    <col min="8966" max="8973" width="11.125" style="2" bestFit="1" customWidth="1"/>
    <col min="8974" max="8974" width="9.625" style="2" bestFit="1" customWidth="1"/>
    <col min="8975" max="9192" width="9" style="2"/>
    <col min="9193" max="9193" width="2.375" style="2" customWidth="1"/>
    <col min="9194" max="9195" width="13.25" style="2" bestFit="1" customWidth="1"/>
    <col min="9196" max="9198" width="11.125" style="2" bestFit="1" customWidth="1"/>
    <col min="9199" max="9199" width="13.25" style="2" bestFit="1" customWidth="1"/>
    <col min="9200" max="9200" width="11.125" style="2" bestFit="1" customWidth="1"/>
    <col min="9201" max="9201" width="9" style="2"/>
    <col min="9202" max="9203" width="11.125" style="2" bestFit="1" customWidth="1"/>
    <col min="9204" max="9204" width="9" style="2"/>
    <col min="9205" max="9216" width="11.125" style="2" bestFit="1" customWidth="1"/>
    <col min="9217" max="9219" width="9" style="2"/>
    <col min="9220" max="9220" width="11.125" style="2" bestFit="1" customWidth="1"/>
    <col min="9221" max="9221" width="9" style="2"/>
    <col min="9222" max="9229" width="11.125" style="2" bestFit="1" customWidth="1"/>
    <col min="9230" max="9230" width="9.625" style="2" bestFit="1" customWidth="1"/>
    <col min="9231" max="9448" width="9" style="2"/>
    <col min="9449" max="9449" width="2.375" style="2" customWidth="1"/>
    <col min="9450" max="9451" width="13.25" style="2" bestFit="1" customWidth="1"/>
    <col min="9452" max="9454" width="11.125" style="2" bestFit="1" customWidth="1"/>
    <col min="9455" max="9455" width="13.25" style="2" bestFit="1" customWidth="1"/>
    <col min="9456" max="9456" width="11.125" style="2" bestFit="1" customWidth="1"/>
    <col min="9457" max="9457" width="9" style="2"/>
    <col min="9458" max="9459" width="11.125" style="2" bestFit="1" customWidth="1"/>
    <col min="9460" max="9460" width="9" style="2"/>
    <col min="9461" max="9472" width="11.125" style="2" bestFit="1" customWidth="1"/>
    <col min="9473" max="9475" width="9" style="2"/>
    <col min="9476" max="9476" width="11.125" style="2" bestFit="1" customWidth="1"/>
    <col min="9477" max="9477" width="9" style="2"/>
    <col min="9478" max="9485" width="11.125" style="2" bestFit="1" customWidth="1"/>
    <col min="9486" max="9486" width="9.625" style="2" bestFit="1" customWidth="1"/>
    <col min="9487" max="9704" width="9" style="2"/>
    <col min="9705" max="9705" width="2.375" style="2" customWidth="1"/>
    <col min="9706" max="9707" width="13.25" style="2" bestFit="1" customWidth="1"/>
    <col min="9708" max="9710" width="11.125" style="2" bestFit="1" customWidth="1"/>
    <col min="9711" max="9711" width="13.25" style="2" bestFit="1" customWidth="1"/>
    <col min="9712" max="9712" width="11.125" style="2" bestFit="1" customWidth="1"/>
    <col min="9713" max="9713" width="9" style="2"/>
    <col min="9714" max="9715" width="11.125" style="2" bestFit="1" customWidth="1"/>
    <col min="9716" max="9716" width="9" style="2"/>
    <col min="9717" max="9728" width="11.125" style="2" bestFit="1" customWidth="1"/>
    <col min="9729" max="9731" width="9" style="2"/>
    <col min="9732" max="9732" width="11.125" style="2" bestFit="1" customWidth="1"/>
    <col min="9733" max="9733" width="9" style="2"/>
    <col min="9734" max="9741" width="11.125" style="2" bestFit="1" customWidth="1"/>
    <col min="9742" max="9742" width="9.625" style="2" bestFit="1" customWidth="1"/>
    <col min="9743" max="9960" width="9" style="2"/>
    <col min="9961" max="9961" width="2.375" style="2" customWidth="1"/>
    <col min="9962" max="9963" width="13.25" style="2" bestFit="1" customWidth="1"/>
    <col min="9964" max="9966" width="11.125" style="2" bestFit="1" customWidth="1"/>
    <col min="9967" max="9967" width="13.25" style="2" bestFit="1" customWidth="1"/>
    <col min="9968" max="9968" width="11.125" style="2" bestFit="1" customWidth="1"/>
    <col min="9969" max="9969" width="9" style="2"/>
    <col min="9970" max="9971" width="11.125" style="2" bestFit="1" customWidth="1"/>
    <col min="9972" max="9972" width="9" style="2"/>
    <col min="9973" max="9984" width="11.125" style="2" bestFit="1" customWidth="1"/>
    <col min="9985" max="9987" width="9" style="2"/>
    <col min="9988" max="9988" width="11.125" style="2" bestFit="1" customWidth="1"/>
    <col min="9989" max="9989" width="9" style="2"/>
    <col min="9990" max="9997" width="11.125" style="2" bestFit="1" customWidth="1"/>
    <col min="9998" max="9998" width="9.625" style="2" bestFit="1" customWidth="1"/>
    <col min="9999" max="10216" width="9" style="2"/>
    <col min="10217" max="10217" width="2.375" style="2" customWidth="1"/>
    <col min="10218" max="10219" width="13.25" style="2" bestFit="1" customWidth="1"/>
    <col min="10220" max="10222" width="11.125" style="2" bestFit="1" customWidth="1"/>
    <col min="10223" max="10223" width="13.25" style="2" bestFit="1" customWidth="1"/>
    <col min="10224" max="10224" width="11.125" style="2" bestFit="1" customWidth="1"/>
    <col min="10225" max="10225" width="9" style="2"/>
    <col min="10226" max="10227" width="11.125" style="2" bestFit="1" customWidth="1"/>
    <col min="10228" max="10228" width="9" style="2"/>
    <col min="10229" max="10240" width="11.125" style="2" bestFit="1" customWidth="1"/>
    <col min="10241" max="10243" width="9" style="2"/>
    <col min="10244" max="10244" width="11.125" style="2" bestFit="1" customWidth="1"/>
    <col min="10245" max="10245" width="9" style="2"/>
    <col min="10246" max="10253" width="11.125" style="2" bestFit="1" customWidth="1"/>
    <col min="10254" max="10254" width="9.625" style="2" bestFit="1" customWidth="1"/>
    <col min="10255" max="10472" width="9" style="2"/>
    <col min="10473" max="10473" width="2.375" style="2" customWidth="1"/>
    <col min="10474" max="10475" width="13.25" style="2" bestFit="1" customWidth="1"/>
    <col min="10476" max="10478" width="11.125" style="2" bestFit="1" customWidth="1"/>
    <col min="10479" max="10479" width="13.25" style="2" bestFit="1" customWidth="1"/>
    <col min="10480" max="10480" width="11.125" style="2" bestFit="1" customWidth="1"/>
    <col min="10481" max="10481" width="9" style="2"/>
    <col min="10482" max="10483" width="11.125" style="2" bestFit="1" customWidth="1"/>
    <col min="10484" max="10484" width="9" style="2"/>
    <col min="10485" max="10496" width="11.125" style="2" bestFit="1" customWidth="1"/>
    <col min="10497" max="10499" width="9" style="2"/>
    <col min="10500" max="10500" width="11.125" style="2" bestFit="1" customWidth="1"/>
    <col min="10501" max="10501" width="9" style="2"/>
    <col min="10502" max="10509" width="11.125" style="2" bestFit="1" customWidth="1"/>
    <col min="10510" max="10510" width="9.625" style="2" bestFit="1" customWidth="1"/>
    <col min="10511" max="10728" width="9" style="2"/>
    <col min="10729" max="10729" width="2.375" style="2" customWidth="1"/>
    <col min="10730" max="10731" width="13.25" style="2" bestFit="1" customWidth="1"/>
    <col min="10732" max="10734" width="11.125" style="2" bestFit="1" customWidth="1"/>
    <col min="10735" max="10735" width="13.25" style="2" bestFit="1" customWidth="1"/>
    <col min="10736" max="10736" width="11.125" style="2" bestFit="1" customWidth="1"/>
    <col min="10737" max="10737" width="9" style="2"/>
    <col min="10738" max="10739" width="11.125" style="2" bestFit="1" customWidth="1"/>
    <col min="10740" max="10740" width="9" style="2"/>
    <col min="10741" max="10752" width="11.125" style="2" bestFit="1" customWidth="1"/>
    <col min="10753" max="10755" width="9" style="2"/>
    <col min="10756" max="10756" width="11.125" style="2" bestFit="1" customWidth="1"/>
    <col min="10757" max="10757" width="9" style="2"/>
    <col min="10758" max="10765" width="11.125" style="2" bestFit="1" customWidth="1"/>
    <col min="10766" max="10766" width="9.625" style="2" bestFit="1" customWidth="1"/>
    <col min="10767" max="10984" width="9" style="2"/>
    <col min="10985" max="10985" width="2.375" style="2" customWidth="1"/>
    <col min="10986" max="10987" width="13.25" style="2" bestFit="1" customWidth="1"/>
    <col min="10988" max="10990" width="11.125" style="2" bestFit="1" customWidth="1"/>
    <col min="10991" max="10991" width="13.25" style="2" bestFit="1" customWidth="1"/>
    <col min="10992" max="10992" width="11.125" style="2" bestFit="1" customWidth="1"/>
    <col min="10993" max="10993" width="9" style="2"/>
    <col min="10994" max="10995" width="11.125" style="2" bestFit="1" customWidth="1"/>
    <col min="10996" max="10996" width="9" style="2"/>
    <col min="10997" max="11008" width="11.125" style="2" bestFit="1" customWidth="1"/>
    <col min="11009" max="11011" width="9" style="2"/>
    <col min="11012" max="11012" width="11.125" style="2" bestFit="1" customWidth="1"/>
    <col min="11013" max="11013" width="9" style="2"/>
    <col min="11014" max="11021" width="11.125" style="2" bestFit="1" customWidth="1"/>
    <col min="11022" max="11022" width="9.625" style="2" bestFit="1" customWidth="1"/>
    <col min="11023" max="11240" width="9" style="2"/>
    <col min="11241" max="11241" width="2.375" style="2" customWidth="1"/>
    <col min="11242" max="11243" width="13.25" style="2" bestFit="1" customWidth="1"/>
    <col min="11244" max="11246" width="11.125" style="2" bestFit="1" customWidth="1"/>
    <col min="11247" max="11247" width="13.25" style="2" bestFit="1" customWidth="1"/>
    <col min="11248" max="11248" width="11.125" style="2" bestFit="1" customWidth="1"/>
    <col min="11249" max="11249" width="9" style="2"/>
    <col min="11250" max="11251" width="11.125" style="2" bestFit="1" customWidth="1"/>
    <col min="11252" max="11252" width="9" style="2"/>
    <col min="11253" max="11264" width="11.125" style="2" bestFit="1" customWidth="1"/>
    <col min="11265" max="11267" width="9" style="2"/>
    <col min="11268" max="11268" width="11.125" style="2" bestFit="1" customWidth="1"/>
    <col min="11269" max="11269" width="9" style="2"/>
    <col min="11270" max="11277" width="11.125" style="2" bestFit="1" customWidth="1"/>
    <col min="11278" max="11278" width="9.625" style="2" bestFit="1" customWidth="1"/>
    <col min="11279" max="11496" width="9" style="2"/>
    <col min="11497" max="11497" width="2.375" style="2" customWidth="1"/>
    <col min="11498" max="11499" width="13.25" style="2" bestFit="1" customWidth="1"/>
    <col min="11500" max="11502" width="11.125" style="2" bestFit="1" customWidth="1"/>
    <col min="11503" max="11503" width="13.25" style="2" bestFit="1" customWidth="1"/>
    <col min="11504" max="11504" width="11.125" style="2" bestFit="1" customWidth="1"/>
    <col min="11505" max="11505" width="9" style="2"/>
    <col min="11506" max="11507" width="11.125" style="2" bestFit="1" customWidth="1"/>
    <col min="11508" max="11508" width="9" style="2"/>
    <col min="11509" max="11520" width="11.125" style="2" bestFit="1" customWidth="1"/>
    <col min="11521" max="11523" width="9" style="2"/>
    <col min="11524" max="11524" width="11.125" style="2" bestFit="1" customWidth="1"/>
    <col min="11525" max="11525" width="9" style="2"/>
    <col min="11526" max="11533" width="11.125" style="2" bestFit="1" customWidth="1"/>
    <col min="11534" max="11534" width="9.625" style="2" bestFit="1" customWidth="1"/>
    <col min="11535" max="11752" width="9" style="2"/>
    <col min="11753" max="11753" width="2.375" style="2" customWidth="1"/>
    <col min="11754" max="11755" width="13.25" style="2" bestFit="1" customWidth="1"/>
    <col min="11756" max="11758" width="11.125" style="2" bestFit="1" customWidth="1"/>
    <col min="11759" max="11759" width="13.25" style="2" bestFit="1" customWidth="1"/>
    <col min="11760" max="11760" width="11.125" style="2" bestFit="1" customWidth="1"/>
    <col min="11761" max="11761" width="9" style="2"/>
    <col min="11762" max="11763" width="11.125" style="2" bestFit="1" customWidth="1"/>
    <col min="11764" max="11764" width="9" style="2"/>
    <col min="11765" max="11776" width="11.125" style="2" bestFit="1" customWidth="1"/>
    <col min="11777" max="11779" width="9" style="2"/>
    <col min="11780" max="11780" width="11.125" style="2" bestFit="1" customWidth="1"/>
    <col min="11781" max="11781" width="9" style="2"/>
    <col min="11782" max="11789" width="11.125" style="2" bestFit="1" customWidth="1"/>
    <col min="11790" max="11790" width="9.625" style="2" bestFit="1" customWidth="1"/>
    <col min="11791" max="12008" width="9" style="2"/>
    <col min="12009" max="12009" width="2.375" style="2" customWidth="1"/>
    <col min="12010" max="12011" width="13.25" style="2" bestFit="1" customWidth="1"/>
    <col min="12012" max="12014" width="11.125" style="2" bestFit="1" customWidth="1"/>
    <col min="12015" max="12015" width="13.25" style="2" bestFit="1" customWidth="1"/>
    <col min="12016" max="12016" width="11.125" style="2" bestFit="1" customWidth="1"/>
    <col min="12017" max="12017" width="9" style="2"/>
    <col min="12018" max="12019" width="11.125" style="2" bestFit="1" customWidth="1"/>
    <col min="12020" max="12020" width="9" style="2"/>
    <col min="12021" max="12032" width="11.125" style="2" bestFit="1" customWidth="1"/>
    <col min="12033" max="12035" width="9" style="2"/>
    <col min="12036" max="12036" width="11.125" style="2" bestFit="1" customWidth="1"/>
    <col min="12037" max="12037" width="9" style="2"/>
    <col min="12038" max="12045" width="11.125" style="2" bestFit="1" customWidth="1"/>
    <col min="12046" max="12046" width="9.625" style="2" bestFit="1" customWidth="1"/>
    <col min="12047" max="12264" width="9" style="2"/>
    <col min="12265" max="12265" width="2.375" style="2" customWidth="1"/>
    <col min="12266" max="12267" width="13.25" style="2" bestFit="1" customWidth="1"/>
    <col min="12268" max="12270" width="11.125" style="2" bestFit="1" customWidth="1"/>
    <col min="12271" max="12271" width="13.25" style="2" bestFit="1" customWidth="1"/>
    <col min="12272" max="12272" width="11.125" style="2" bestFit="1" customWidth="1"/>
    <col min="12273" max="12273" width="9" style="2"/>
    <col min="12274" max="12275" width="11.125" style="2" bestFit="1" customWidth="1"/>
    <col min="12276" max="12276" width="9" style="2"/>
    <col min="12277" max="12288" width="11.125" style="2" bestFit="1" customWidth="1"/>
    <col min="12289" max="12291" width="9" style="2"/>
    <col min="12292" max="12292" width="11.125" style="2" bestFit="1" customWidth="1"/>
    <col min="12293" max="12293" width="9" style="2"/>
    <col min="12294" max="12301" width="11.125" style="2" bestFit="1" customWidth="1"/>
    <col min="12302" max="12302" width="9.625" style="2" bestFit="1" customWidth="1"/>
    <col min="12303" max="12520" width="9" style="2"/>
    <col min="12521" max="12521" width="2.375" style="2" customWidth="1"/>
    <col min="12522" max="12523" width="13.25" style="2" bestFit="1" customWidth="1"/>
    <col min="12524" max="12526" width="11.125" style="2" bestFit="1" customWidth="1"/>
    <col min="12527" max="12527" width="13.25" style="2" bestFit="1" customWidth="1"/>
    <col min="12528" max="12528" width="11.125" style="2" bestFit="1" customWidth="1"/>
    <col min="12529" max="12529" width="9" style="2"/>
    <col min="12530" max="12531" width="11.125" style="2" bestFit="1" customWidth="1"/>
    <col min="12532" max="12532" width="9" style="2"/>
    <col min="12533" max="12544" width="11.125" style="2" bestFit="1" customWidth="1"/>
    <col min="12545" max="12547" width="9" style="2"/>
    <col min="12548" max="12548" width="11.125" style="2" bestFit="1" customWidth="1"/>
    <col min="12549" max="12549" width="9" style="2"/>
    <col min="12550" max="12557" width="11.125" style="2" bestFit="1" customWidth="1"/>
    <col min="12558" max="12558" width="9.625" style="2" bestFit="1" customWidth="1"/>
    <col min="12559" max="12776" width="9" style="2"/>
    <col min="12777" max="12777" width="2.375" style="2" customWidth="1"/>
    <col min="12778" max="12779" width="13.25" style="2" bestFit="1" customWidth="1"/>
    <col min="12780" max="12782" width="11.125" style="2" bestFit="1" customWidth="1"/>
    <col min="12783" max="12783" width="13.25" style="2" bestFit="1" customWidth="1"/>
    <col min="12784" max="12784" width="11.125" style="2" bestFit="1" customWidth="1"/>
    <col min="12785" max="12785" width="9" style="2"/>
    <col min="12786" max="12787" width="11.125" style="2" bestFit="1" customWidth="1"/>
    <col min="12788" max="12788" width="9" style="2"/>
    <col min="12789" max="12800" width="11.125" style="2" bestFit="1" customWidth="1"/>
    <col min="12801" max="12803" width="9" style="2"/>
    <col min="12804" max="12804" width="11.125" style="2" bestFit="1" customWidth="1"/>
    <col min="12805" max="12805" width="9" style="2"/>
    <col min="12806" max="12813" width="11.125" style="2" bestFit="1" customWidth="1"/>
    <col min="12814" max="12814" width="9.625" style="2" bestFit="1" customWidth="1"/>
    <col min="12815" max="13032" width="9" style="2"/>
    <col min="13033" max="13033" width="2.375" style="2" customWidth="1"/>
    <col min="13034" max="13035" width="13.25" style="2" bestFit="1" customWidth="1"/>
    <col min="13036" max="13038" width="11.125" style="2" bestFit="1" customWidth="1"/>
    <col min="13039" max="13039" width="13.25" style="2" bestFit="1" customWidth="1"/>
    <col min="13040" max="13040" width="11.125" style="2" bestFit="1" customWidth="1"/>
    <col min="13041" max="13041" width="9" style="2"/>
    <col min="13042" max="13043" width="11.125" style="2" bestFit="1" customWidth="1"/>
    <col min="13044" max="13044" width="9" style="2"/>
    <col min="13045" max="13056" width="11.125" style="2" bestFit="1" customWidth="1"/>
    <col min="13057" max="13059" width="9" style="2"/>
    <col min="13060" max="13060" width="11.125" style="2" bestFit="1" customWidth="1"/>
    <col min="13061" max="13061" width="9" style="2"/>
    <col min="13062" max="13069" width="11.125" style="2" bestFit="1" customWidth="1"/>
    <col min="13070" max="13070" width="9.625" style="2" bestFit="1" customWidth="1"/>
    <col min="13071" max="13288" width="9" style="2"/>
    <col min="13289" max="13289" width="2.375" style="2" customWidth="1"/>
    <col min="13290" max="13291" width="13.25" style="2" bestFit="1" customWidth="1"/>
    <col min="13292" max="13294" width="11.125" style="2" bestFit="1" customWidth="1"/>
    <col min="13295" max="13295" width="13.25" style="2" bestFit="1" customWidth="1"/>
    <col min="13296" max="13296" width="11.125" style="2" bestFit="1" customWidth="1"/>
    <col min="13297" max="13297" width="9" style="2"/>
    <col min="13298" max="13299" width="11.125" style="2" bestFit="1" customWidth="1"/>
    <col min="13300" max="13300" width="9" style="2"/>
    <col min="13301" max="13312" width="11.125" style="2" bestFit="1" customWidth="1"/>
    <col min="13313" max="13315" width="9" style="2"/>
    <col min="13316" max="13316" width="11.125" style="2" bestFit="1" customWidth="1"/>
    <col min="13317" max="13317" width="9" style="2"/>
    <col min="13318" max="13325" width="11.125" style="2" bestFit="1" customWidth="1"/>
    <col min="13326" max="13326" width="9.625" style="2" bestFit="1" customWidth="1"/>
    <col min="13327" max="13544" width="9" style="2"/>
    <col min="13545" max="13545" width="2.375" style="2" customWidth="1"/>
    <col min="13546" max="13547" width="13.25" style="2" bestFit="1" customWidth="1"/>
    <col min="13548" max="13550" width="11.125" style="2" bestFit="1" customWidth="1"/>
    <col min="13551" max="13551" width="13.25" style="2" bestFit="1" customWidth="1"/>
    <col min="13552" max="13552" width="11.125" style="2" bestFit="1" customWidth="1"/>
    <col min="13553" max="13553" width="9" style="2"/>
    <col min="13554" max="13555" width="11.125" style="2" bestFit="1" customWidth="1"/>
    <col min="13556" max="13556" width="9" style="2"/>
    <col min="13557" max="13568" width="11.125" style="2" bestFit="1" customWidth="1"/>
    <col min="13569" max="13571" width="9" style="2"/>
    <col min="13572" max="13572" width="11.125" style="2" bestFit="1" customWidth="1"/>
    <col min="13573" max="13573" width="9" style="2"/>
    <col min="13574" max="13581" width="11.125" style="2" bestFit="1" customWidth="1"/>
    <col min="13582" max="13582" width="9.625" style="2" bestFit="1" customWidth="1"/>
    <col min="13583" max="13800" width="9" style="2"/>
    <col min="13801" max="13801" width="2.375" style="2" customWidth="1"/>
    <col min="13802" max="13803" width="13.25" style="2" bestFit="1" customWidth="1"/>
    <col min="13804" max="13806" width="11.125" style="2" bestFit="1" customWidth="1"/>
    <col min="13807" max="13807" width="13.25" style="2" bestFit="1" customWidth="1"/>
    <col min="13808" max="13808" width="11.125" style="2" bestFit="1" customWidth="1"/>
    <col min="13809" max="13809" width="9" style="2"/>
    <col min="13810" max="13811" width="11.125" style="2" bestFit="1" customWidth="1"/>
    <col min="13812" max="13812" width="9" style="2"/>
    <col min="13813" max="13824" width="11.125" style="2" bestFit="1" customWidth="1"/>
    <col min="13825" max="13827" width="9" style="2"/>
    <col min="13828" max="13828" width="11.125" style="2" bestFit="1" customWidth="1"/>
    <col min="13829" max="13829" width="9" style="2"/>
    <col min="13830" max="13837" width="11.125" style="2" bestFit="1" customWidth="1"/>
    <col min="13838" max="13838" width="9.625" style="2" bestFit="1" customWidth="1"/>
    <col min="13839" max="14056" width="9" style="2"/>
    <col min="14057" max="14057" width="2.375" style="2" customWidth="1"/>
    <col min="14058" max="14059" width="13.25" style="2" bestFit="1" customWidth="1"/>
    <col min="14060" max="14062" width="11.125" style="2" bestFit="1" customWidth="1"/>
    <col min="14063" max="14063" width="13.25" style="2" bestFit="1" customWidth="1"/>
    <col min="14064" max="14064" width="11.125" style="2" bestFit="1" customWidth="1"/>
    <col min="14065" max="14065" width="9" style="2"/>
    <col min="14066" max="14067" width="11.125" style="2" bestFit="1" customWidth="1"/>
    <col min="14068" max="14068" width="9" style="2"/>
    <col min="14069" max="14080" width="11.125" style="2" bestFit="1" customWidth="1"/>
    <col min="14081" max="14083" width="9" style="2"/>
    <col min="14084" max="14084" width="11.125" style="2" bestFit="1" customWidth="1"/>
    <col min="14085" max="14085" width="9" style="2"/>
    <col min="14086" max="14093" width="11.125" style="2" bestFit="1" customWidth="1"/>
    <col min="14094" max="14094" width="9.625" style="2" bestFit="1" customWidth="1"/>
    <col min="14095" max="14312" width="9" style="2"/>
    <col min="14313" max="14313" width="2.375" style="2" customWidth="1"/>
    <col min="14314" max="14315" width="13.25" style="2" bestFit="1" customWidth="1"/>
    <col min="14316" max="14318" width="11.125" style="2" bestFit="1" customWidth="1"/>
    <col min="14319" max="14319" width="13.25" style="2" bestFit="1" customWidth="1"/>
    <col min="14320" max="14320" width="11.125" style="2" bestFit="1" customWidth="1"/>
    <col min="14321" max="14321" width="9" style="2"/>
    <col min="14322" max="14323" width="11.125" style="2" bestFit="1" customWidth="1"/>
    <col min="14324" max="14324" width="9" style="2"/>
    <col min="14325" max="14336" width="11.125" style="2" bestFit="1" customWidth="1"/>
    <col min="14337" max="14339" width="9" style="2"/>
    <col min="14340" max="14340" width="11.125" style="2" bestFit="1" customWidth="1"/>
    <col min="14341" max="14341" width="9" style="2"/>
    <col min="14342" max="14349" width="11.125" style="2" bestFit="1" customWidth="1"/>
    <col min="14350" max="14350" width="9.625" style="2" bestFit="1" customWidth="1"/>
    <col min="14351" max="14568" width="9" style="2"/>
    <col min="14569" max="14569" width="2.375" style="2" customWidth="1"/>
    <col min="14570" max="14571" width="13.25" style="2" bestFit="1" customWidth="1"/>
    <col min="14572" max="14574" width="11.125" style="2" bestFit="1" customWidth="1"/>
    <col min="14575" max="14575" width="13.25" style="2" bestFit="1" customWidth="1"/>
    <col min="14576" max="14576" width="11.125" style="2" bestFit="1" customWidth="1"/>
    <col min="14577" max="14577" width="9" style="2"/>
    <col min="14578" max="14579" width="11.125" style="2" bestFit="1" customWidth="1"/>
    <col min="14580" max="14580" width="9" style="2"/>
    <col min="14581" max="14592" width="11.125" style="2" bestFit="1" customWidth="1"/>
    <col min="14593" max="14595" width="9" style="2"/>
    <col min="14596" max="14596" width="11.125" style="2" bestFit="1" customWidth="1"/>
    <col min="14597" max="14597" width="9" style="2"/>
    <col min="14598" max="14605" width="11.125" style="2" bestFit="1" customWidth="1"/>
    <col min="14606" max="14606" width="9.625" style="2" bestFit="1" customWidth="1"/>
    <col min="14607" max="14824" width="9" style="2"/>
    <col min="14825" max="14825" width="2.375" style="2" customWidth="1"/>
    <col min="14826" max="14827" width="13.25" style="2" bestFit="1" customWidth="1"/>
    <col min="14828" max="14830" width="11.125" style="2" bestFit="1" customWidth="1"/>
    <col min="14831" max="14831" width="13.25" style="2" bestFit="1" customWidth="1"/>
    <col min="14832" max="14832" width="11.125" style="2" bestFit="1" customWidth="1"/>
    <col min="14833" max="14833" width="9" style="2"/>
    <col min="14834" max="14835" width="11.125" style="2" bestFit="1" customWidth="1"/>
    <col min="14836" max="14836" width="9" style="2"/>
    <col min="14837" max="14848" width="11.125" style="2" bestFit="1" customWidth="1"/>
    <col min="14849" max="14851" width="9" style="2"/>
    <col min="14852" max="14852" width="11.125" style="2" bestFit="1" customWidth="1"/>
    <col min="14853" max="14853" width="9" style="2"/>
    <col min="14854" max="14861" width="11.125" style="2" bestFit="1" customWidth="1"/>
    <col min="14862" max="14862" width="9.625" style="2" bestFit="1" customWidth="1"/>
    <col min="14863" max="15080" width="9" style="2"/>
    <col min="15081" max="15081" width="2.375" style="2" customWidth="1"/>
    <col min="15082" max="15083" width="13.25" style="2" bestFit="1" customWidth="1"/>
    <col min="15084" max="15086" width="11.125" style="2" bestFit="1" customWidth="1"/>
    <col min="15087" max="15087" width="13.25" style="2" bestFit="1" customWidth="1"/>
    <col min="15088" max="15088" width="11.125" style="2" bestFit="1" customWidth="1"/>
    <col min="15089" max="15089" width="9" style="2"/>
    <col min="15090" max="15091" width="11.125" style="2" bestFit="1" customWidth="1"/>
    <col min="15092" max="15092" width="9" style="2"/>
    <col min="15093" max="15104" width="11.125" style="2" bestFit="1" customWidth="1"/>
    <col min="15105" max="15107" width="9" style="2"/>
    <col min="15108" max="15108" width="11.125" style="2" bestFit="1" customWidth="1"/>
    <col min="15109" max="15109" width="9" style="2"/>
    <col min="15110" max="15117" width="11.125" style="2" bestFit="1" customWidth="1"/>
    <col min="15118" max="15118" width="9.625" style="2" bestFit="1" customWidth="1"/>
    <col min="15119" max="15336" width="9" style="2"/>
    <col min="15337" max="15337" width="2.375" style="2" customWidth="1"/>
    <col min="15338" max="15339" width="13.25" style="2" bestFit="1" customWidth="1"/>
    <col min="15340" max="15342" width="11.125" style="2" bestFit="1" customWidth="1"/>
    <col min="15343" max="15343" width="13.25" style="2" bestFit="1" customWidth="1"/>
    <col min="15344" max="15344" width="11.125" style="2" bestFit="1" customWidth="1"/>
    <col min="15345" max="15345" width="9" style="2"/>
    <col min="15346" max="15347" width="11.125" style="2" bestFit="1" customWidth="1"/>
    <col min="15348" max="15348" width="9" style="2"/>
    <col min="15349" max="15360" width="11.125" style="2" bestFit="1" customWidth="1"/>
    <col min="15361" max="15363" width="9" style="2"/>
    <col min="15364" max="15364" width="11.125" style="2" bestFit="1" customWidth="1"/>
    <col min="15365" max="15365" width="9" style="2"/>
    <col min="15366" max="15373" width="11.125" style="2" bestFit="1" customWidth="1"/>
    <col min="15374" max="15374" width="9.625" style="2" bestFit="1" customWidth="1"/>
    <col min="15375" max="15592" width="9" style="2"/>
    <col min="15593" max="15593" width="2.375" style="2" customWidth="1"/>
    <col min="15594" max="15595" width="13.25" style="2" bestFit="1" customWidth="1"/>
    <col min="15596" max="15598" width="11.125" style="2" bestFit="1" customWidth="1"/>
    <col min="15599" max="15599" width="13.25" style="2" bestFit="1" customWidth="1"/>
    <col min="15600" max="15600" width="11.125" style="2" bestFit="1" customWidth="1"/>
    <col min="15601" max="15601" width="9" style="2"/>
    <col min="15602" max="15603" width="11.125" style="2" bestFit="1" customWidth="1"/>
    <col min="15604" max="15604" width="9" style="2"/>
    <col min="15605" max="15616" width="11.125" style="2" bestFit="1" customWidth="1"/>
    <col min="15617" max="15619" width="9" style="2"/>
    <col min="15620" max="15620" width="11.125" style="2" bestFit="1" customWidth="1"/>
    <col min="15621" max="15621" width="9" style="2"/>
    <col min="15622" max="15629" width="11.125" style="2" bestFit="1" customWidth="1"/>
    <col min="15630" max="15630" width="9.625" style="2" bestFit="1" customWidth="1"/>
    <col min="15631" max="15848" width="9" style="2"/>
    <col min="15849" max="15849" width="2.375" style="2" customWidth="1"/>
    <col min="15850" max="15851" width="13.25" style="2" bestFit="1" customWidth="1"/>
    <col min="15852" max="15854" width="11.125" style="2" bestFit="1" customWidth="1"/>
    <col min="15855" max="15855" width="13.25" style="2" bestFit="1" customWidth="1"/>
    <col min="15856" max="15856" width="11.125" style="2" bestFit="1" customWidth="1"/>
    <col min="15857" max="15857" width="9" style="2"/>
    <col min="15858" max="15859" width="11.125" style="2" bestFit="1" customWidth="1"/>
    <col min="15860" max="15860" width="9" style="2"/>
    <col min="15861" max="15872" width="11.125" style="2" bestFit="1" customWidth="1"/>
    <col min="15873" max="15875" width="9" style="2"/>
    <col min="15876" max="15876" width="11.125" style="2" bestFit="1" customWidth="1"/>
    <col min="15877" max="15877" width="9" style="2"/>
    <col min="15878" max="15885" width="11.125" style="2" bestFit="1" customWidth="1"/>
    <col min="15886" max="15886" width="9.625" style="2" bestFit="1" customWidth="1"/>
    <col min="15887" max="16104" width="9" style="2"/>
    <col min="16105" max="16105" width="2.375" style="2" customWidth="1"/>
    <col min="16106" max="16107" width="13.25" style="2" bestFit="1" customWidth="1"/>
    <col min="16108" max="16110" width="11.125" style="2" bestFit="1" customWidth="1"/>
    <col min="16111" max="16111" width="13.25" style="2" bestFit="1" customWidth="1"/>
    <col min="16112" max="16112" width="11.125" style="2" bestFit="1" customWidth="1"/>
    <col min="16113" max="16113" width="9" style="2"/>
    <col min="16114" max="16115" width="11.125" style="2" bestFit="1" customWidth="1"/>
    <col min="16116" max="16116" width="9" style="2"/>
    <col min="16117" max="16128" width="11.125" style="2" bestFit="1" customWidth="1"/>
    <col min="16129" max="16131" width="9" style="2"/>
    <col min="16132" max="16132" width="11.125" style="2" bestFit="1" customWidth="1"/>
    <col min="16133" max="16133" width="9" style="2"/>
    <col min="16134" max="16141" width="11.1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121</v>
      </c>
    </row>
    <row r="4" spans="1:15">
      <c r="B4" s="93"/>
      <c r="C4" s="65" t="s">
        <v>5</v>
      </c>
      <c r="D4" s="11" t="s">
        <v>6</v>
      </c>
      <c r="E4" s="11" t="s">
        <v>28</v>
      </c>
      <c r="F4" s="11" t="s">
        <v>29</v>
      </c>
      <c r="G4" s="11" t="s">
        <v>25</v>
      </c>
      <c r="H4" s="11" t="s">
        <v>26</v>
      </c>
      <c r="I4" s="11" t="s">
        <v>27</v>
      </c>
      <c r="J4" s="11" t="s">
        <v>30</v>
      </c>
      <c r="K4" s="12" t="s">
        <v>31</v>
      </c>
      <c r="L4" s="76" t="s">
        <v>122</v>
      </c>
      <c r="M4" s="91" t="s">
        <v>7</v>
      </c>
      <c r="N4" s="89" t="s">
        <v>122</v>
      </c>
      <c r="O4" s="88" t="s">
        <v>62</v>
      </c>
    </row>
    <row r="5" spans="1:15" ht="19.5" thickBot="1">
      <c r="A5" s="100"/>
      <c r="B5" s="94" t="s">
        <v>32</v>
      </c>
      <c r="C5" s="66" t="s">
        <v>35</v>
      </c>
      <c r="D5" s="32" t="s">
        <v>36</v>
      </c>
      <c r="E5" s="32" t="s">
        <v>58</v>
      </c>
      <c r="F5" s="32" t="s">
        <v>59</v>
      </c>
      <c r="G5" s="32" t="s">
        <v>55</v>
      </c>
      <c r="H5" s="32" t="s">
        <v>56</v>
      </c>
      <c r="I5" s="32" t="s">
        <v>57</v>
      </c>
      <c r="J5" s="32" t="s">
        <v>60</v>
      </c>
      <c r="K5" s="33" t="s">
        <v>61</v>
      </c>
      <c r="L5" s="77" t="s">
        <v>123</v>
      </c>
      <c r="M5" s="92" t="s">
        <v>37</v>
      </c>
      <c r="N5" s="90" t="s">
        <v>124</v>
      </c>
      <c r="O5" s="101" t="s">
        <v>126</v>
      </c>
    </row>
    <row r="6" spans="1:15">
      <c r="A6" s="1" t="s">
        <v>2</v>
      </c>
      <c r="B6" s="95" t="s">
        <v>63</v>
      </c>
      <c r="C6" s="67">
        <v>19</v>
      </c>
      <c r="D6" s="27">
        <v>19</v>
      </c>
      <c r="E6" s="27">
        <v>13</v>
      </c>
      <c r="F6" s="27">
        <v>15</v>
      </c>
      <c r="G6" s="27">
        <v>11</v>
      </c>
      <c r="H6" s="27">
        <v>10</v>
      </c>
      <c r="I6" s="27">
        <v>10</v>
      </c>
      <c r="J6" s="27">
        <v>5</v>
      </c>
      <c r="K6" s="28">
        <v>19</v>
      </c>
      <c r="L6" s="78">
        <f>SUM(C6:K6)</f>
        <v>121</v>
      </c>
      <c r="M6" s="78">
        <v>19</v>
      </c>
      <c r="N6" s="29">
        <f>SUM(M6)</f>
        <v>19</v>
      </c>
      <c r="O6" s="78">
        <v>442</v>
      </c>
    </row>
    <row r="7" spans="1:15">
      <c r="A7" s="1" t="s">
        <v>2</v>
      </c>
      <c r="B7" s="96" t="s">
        <v>64</v>
      </c>
      <c r="C7" s="68">
        <v>0</v>
      </c>
      <c r="D7" s="14">
        <v>3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5">
        <v>0</v>
      </c>
      <c r="L7" s="79">
        <f>SUM(C7:K7)</f>
        <v>3</v>
      </c>
      <c r="M7" s="79">
        <v>0</v>
      </c>
      <c r="N7" s="6"/>
      <c r="O7" s="79">
        <v>44</v>
      </c>
    </row>
    <row r="8" spans="1:15">
      <c r="A8" s="1" t="s">
        <v>2</v>
      </c>
      <c r="B8" s="96" t="s">
        <v>65</v>
      </c>
      <c r="C8" s="68">
        <v>0</v>
      </c>
      <c r="D8" s="14">
        <v>1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5">
        <v>0</v>
      </c>
      <c r="L8" s="79">
        <f>SUM(C8:K8)</f>
        <v>1</v>
      </c>
      <c r="M8" s="79">
        <v>0</v>
      </c>
      <c r="N8" s="6"/>
      <c r="O8" s="79">
        <v>63</v>
      </c>
    </row>
    <row r="9" spans="1:15">
      <c r="A9" s="1" t="s">
        <v>2</v>
      </c>
      <c r="B9" s="96" t="s">
        <v>66</v>
      </c>
      <c r="C9" s="68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5">
        <v>0</v>
      </c>
      <c r="L9" s="79"/>
      <c r="M9" s="79">
        <v>0</v>
      </c>
      <c r="N9" s="6"/>
      <c r="O9" s="79">
        <v>4</v>
      </c>
    </row>
    <row r="10" spans="1:15">
      <c r="A10" s="1" t="s">
        <v>2</v>
      </c>
      <c r="B10" s="96" t="s">
        <v>67</v>
      </c>
      <c r="C10" s="68">
        <v>0</v>
      </c>
      <c r="D10" s="14">
        <v>0</v>
      </c>
      <c r="E10" s="14">
        <v>0</v>
      </c>
      <c r="F10" s="14">
        <v>0</v>
      </c>
      <c r="G10" s="14">
        <v>1</v>
      </c>
      <c r="H10" s="14">
        <v>1</v>
      </c>
      <c r="I10" s="14">
        <v>1</v>
      </c>
      <c r="J10" s="14">
        <v>0</v>
      </c>
      <c r="K10" s="15">
        <v>0</v>
      </c>
      <c r="L10" s="79">
        <f>SUM(C10:K10)</f>
        <v>3</v>
      </c>
      <c r="M10" s="79">
        <v>0</v>
      </c>
      <c r="N10" s="6"/>
      <c r="O10" s="79">
        <v>23</v>
      </c>
    </row>
    <row r="11" spans="1:15">
      <c r="A11" s="1" t="s">
        <v>2</v>
      </c>
      <c r="B11" s="96" t="s">
        <v>68</v>
      </c>
      <c r="C11" s="68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5">
        <v>0</v>
      </c>
      <c r="L11" s="79"/>
      <c r="M11" s="79">
        <v>0</v>
      </c>
      <c r="N11" s="6"/>
      <c r="O11" s="79">
        <v>36.9</v>
      </c>
    </row>
    <row r="12" spans="1:15">
      <c r="A12" s="1" t="s">
        <v>2</v>
      </c>
      <c r="B12" s="96" t="s">
        <v>69</v>
      </c>
      <c r="C12" s="68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5">
        <v>0</v>
      </c>
      <c r="L12" s="79"/>
      <c r="M12" s="79">
        <v>0</v>
      </c>
      <c r="N12" s="6"/>
      <c r="O12" s="79">
        <v>0</v>
      </c>
    </row>
    <row r="13" spans="1:15">
      <c r="A13" s="1" t="s">
        <v>2</v>
      </c>
      <c r="B13" s="96" t="s">
        <v>70</v>
      </c>
      <c r="C13" s="69">
        <v>0</v>
      </c>
      <c r="D13" s="17">
        <v>0</v>
      </c>
      <c r="E13" s="17">
        <v>3.625</v>
      </c>
      <c r="F13" s="17">
        <v>3.8333333333333335</v>
      </c>
      <c r="G13" s="17">
        <v>3.25</v>
      </c>
      <c r="H13" s="17">
        <v>2.7083333333333335</v>
      </c>
      <c r="I13" s="17">
        <v>2.9583333333333335</v>
      </c>
      <c r="J13" s="17">
        <v>1.6666666666666665</v>
      </c>
      <c r="K13" s="18">
        <v>3.125</v>
      </c>
      <c r="L13" s="80">
        <f>SUM(C13:K13)</f>
        <v>21.166666666666668</v>
      </c>
      <c r="M13" s="80">
        <v>0</v>
      </c>
      <c r="N13" s="7"/>
      <c r="O13" s="80">
        <v>21.166666666666668</v>
      </c>
    </row>
    <row r="14" spans="1:15">
      <c r="A14" s="1" t="s">
        <v>2</v>
      </c>
      <c r="B14" s="96" t="s">
        <v>71</v>
      </c>
      <c r="C14" s="69">
        <v>0</v>
      </c>
      <c r="D14" s="17">
        <v>1.4166666666666667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4.1666666666666664E-2</v>
      </c>
      <c r="K14" s="18">
        <v>0</v>
      </c>
      <c r="L14" s="80">
        <f>SUM(C14:K14)</f>
        <v>1.4583333333333335</v>
      </c>
      <c r="M14" s="80">
        <v>0</v>
      </c>
      <c r="N14" s="7"/>
      <c r="O14" s="80">
        <v>31.291666666666664</v>
      </c>
    </row>
    <row r="15" spans="1:15">
      <c r="A15" s="1" t="s">
        <v>2</v>
      </c>
      <c r="B15" s="96" t="s">
        <v>72</v>
      </c>
      <c r="C15" s="69">
        <v>0</v>
      </c>
      <c r="D15" s="17">
        <v>0.75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8">
        <v>0</v>
      </c>
      <c r="L15" s="80">
        <f>SUM(C15:K15)</f>
        <v>0.75</v>
      </c>
      <c r="M15" s="80">
        <v>0</v>
      </c>
      <c r="N15" s="7"/>
      <c r="O15" s="80">
        <v>14.708333333333336</v>
      </c>
    </row>
    <row r="16" spans="1:15">
      <c r="A16" s="1" t="s">
        <v>2</v>
      </c>
      <c r="B16" s="96" t="s">
        <v>73</v>
      </c>
      <c r="C16" s="69">
        <v>0</v>
      </c>
      <c r="D16" s="17">
        <v>0.125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8">
        <v>0</v>
      </c>
      <c r="L16" s="80">
        <f>SUM(C16:K16)</f>
        <v>0.125</v>
      </c>
      <c r="M16" s="80">
        <v>0</v>
      </c>
      <c r="N16" s="7"/>
      <c r="O16" s="80">
        <v>21.374999999999996</v>
      </c>
    </row>
    <row r="17" spans="1:15">
      <c r="A17" s="1" t="s">
        <v>2</v>
      </c>
      <c r="B17" s="96" t="s">
        <v>74</v>
      </c>
      <c r="C17" s="69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8">
        <v>0</v>
      </c>
      <c r="L17" s="80"/>
      <c r="M17" s="80">
        <v>0</v>
      </c>
      <c r="N17" s="7"/>
      <c r="O17" s="80">
        <v>1.2916666666666665</v>
      </c>
    </row>
    <row r="18" spans="1:15">
      <c r="A18" s="1" t="s">
        <v>2</v>
      </c>
      <c r="B18" s="96" t="s">
        <v>75</v>
      </c>
      <c r="C18" s="69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8">
        <v>0</v>
      </c>
      <c r="L18" s="80"/>
      <c r="M18" s="80">
        <v>0</v>
      </c>
      <c r="N18" s="7"/>
      <c r="O18" s="80">
        <v>0.45833333333333331</v>
      </c>
    </row>
    <row r="19" spans="1:15">
      <c r="A19" s="1" t="s">
        <v>2</v>
      </c>
      <c r="B19" s="96" t="s">
        <v>76</v>
      </c>
      <c r="C19" s="69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8">
        <v>0</v>
      </c>
      <c r="L19" s="80"/>
      <c r="M19" s="80">
        <v>0</v>
      </c>
      <c r="N19" s="7"/>
      <c r="O19" s="80">
        <v>0</v>
      </c>
    </row>
    <row r="20" spans="1:15">
      <c r="A20" s="1" t="s">
        <v>2</v>
      </c>
      <c r="B20" s="96" t="s">
        <v>77</v>
      </c>
      <c r="C20" s="69">
        <v>0</v>
      </c>
      <c r="D20" s="17">
        <v>0</v>
      </c>
      <c r="E20" s="17">
        <v>0</v>
      </c>
      <c r="F20" s="17">
        <v>0</v>
      </c>
      <c r="G20" s="17">
        <v>0.29166666666666669</v>
      </c>
      <c r="H20" s="17">
        <v>0.29166666666666669</v>
      </c>
      <c r="I20" s="17">
        <v>0.29166666666666669</v>
      </c>
      <c r="J20" s="17">
        <v>0</v>
      </c>
      <c r="K20" s="18">
        <v>0</v>
      </c>
      <c r="L20" s="80">
        <f>SUM(C20:K20)</f>
        <v>0.875</v>
      </c>
      <c r="M20" s="80">
        <v>0</v>
      </c>
      <c r="N20" s="7"/>
      <c r="O20" s="80">
        <v>0.875</v>
      </c>
    </row>
    <row r="21" spans="1:15">
      <c r="A21" s="1" t="s">
        <v>2</v>
      </c>
      <c r="B21" s="96" t="s">
        <v>79</v>
      </c>
      <c r="C21" s="69">
        <v>0.125</v>
      </c>
      <c r="D21" s="17">
        <v>0</v>
      </c>
      <c r="E21" s="17">
        <v>0</v>
      </c>
      <c r="F21" s="17">
        <v>0</v>
      </c>
      <c r="G21" s="17">
        <v>2.2916666666666665</v>
      </c>
      <c r="H21" s="17">
        <v>1.875</v>
      </c>
      <c r="I21" s="17">
        <v>2.0833333333333335</v>
      </c>
      <c r="J21" s="17">
        <v>0</v>
      </c>
      <c r="K21" s="18">
        <v>0</v>
      </c>
      <c r="L21" s="80">
        <f t="shared" ref="L21:L42" si="0">SUM(C21:K21)</f>
        <v>6.375</v>
      </c>
      <c r="M21" s="80">
        <v>0.20833333333333334</v>
      </c>
      <c r="N21" s="7">
        <f>SUM(M21)</f>
        <v>0.20833333333333334</v>
      </c>
      <c r="O21" s="80">
        <v>18.208333333333332</v>
      </c>
    </row>
    <row r="22" spans="1:15" ht="19.5" thickBot="1">
      <c r="A22" s="1" t="s">
        <v>2</v>
      </c>
      <c r="B22" s="97" t="s">
        <v>80</v>
      </c>
      <c r="C22" s="70">
        <v>39</v>
      </c>
      <c r="D22" s="39">
        <v>40</v>
      </c>
      <c r="E22" s="39">
        <v>21</v>
      </c>
      <c r="F22" s="39">
        <v>21</v>
      </c>
      <c r="G22" s="39">
        <v>7</v>
      </c>
      <c r="H22" s="39">
        <v>6</v>
      </c>
      <c r="I22" s="39">
        <v>4</v>
      </c>
      <c r="J22" s="39">
        <v>4</v>
      </c>
      <c r="K22" s="40">
        <v>16</v>
      </c>
      <c r="L22" s="81">
        <f t="shared" si="0"/>
        <v>158</v>
      </c>
      <c r="M22" s="81">
        <v>40</v>
      </c>
      <c r="N22" s="41">
        <f>SUM(M22)</f>
        <v>40</v>
      </c>
      <c r="O22" s="81">
        <v>661</v>
      </c>
    </row>
    <row r="23" spans="1:15">
      <c r="A23" s="1" t="s">
        <v>2</v>
      </c>
      <c r="B23" s="95" t="s">
        <v>81</v>
      </c>
      <c r="C23" s="71">
        <v>485000</v>
      </c>
      <c r="D23" s="35">
        <v>280000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6">
        <v>0</v>
      </c>
      <c r="L23" s="82">
        <f t="shared" si="0"/>
        <v>765000</v>
      </c>
      <c r="M23" s="82">
        <v>375000</v>
      </c>
      <c r="N23" s="37">
        <f>SUM(M23)</f>
        <v>375000</v>
      </c>
      <c r="O23" s="82">
        <v>4339000</v>
      </c>
    </row>
    <row r="24" spans="1:15">
      <c r="A24" s="1" t="s">
        <v>2</v>
      </c>
      <c r="B24" s="96" t="s">
        <v>82</v>
      </c>
      <c r="C24" s="72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1">
        <v>0</v>
      </c>
      <c r="L24" s="83">
        <f t="shared" si="0"/>
        <v>0</v>
      </c>
      <c r="M24" s="83">
        <v>0</v>
      </c>
      <c r="N24" s="8">
        <f t="shared" ref="N24:N61" si="1">SUM(M24)</f>
        <v>0</v>
      </c>
      <c r="O24" s="83">
        <v>35000</v>
      </c>
    </row>
    <row r="25" spans="1:15">
      <c r="A25" s="1" t="s">
        <v>2</v>
      </c>
      <c r="B25" s="96" t="s">
        <v>83</v>
      </c>
      <c r="C25" s="72">
        <v>0</v>
      </c>
      <c r="D25" s="20">
        <v>3000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1">
        <v>0</v>
      </c>
      <c r="L25" s="83">
        <f t="shared" si="0"/>
        <v>3000</v>
      </c>
      <c r="M25" s="83">
        <v>0</v>
      </c>
      <c r="N25" s="8">
        <f t="shared" si="1"/>
        <v>0</v>
      </c>
      <c r="O25" s="83">
        <v>6000</v>
      </c>
    </row>
    <row r="26" spans="1:15">
      <c r="A26" s="1" t="s">
        <v>2</v>
      </c>
      <c r="B26" s="96" t="s">
        <v>84</v>
      </c>
      <c r="C26" s="72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1">
        <v>0</v>
      </c>
      <c r="L26" s="83">
        <f t="shared" si="0"/>
        <v>0</v>
      </c>
      <c r="M26" s="83">
        <v>0</v>
      </c>
      <c r="N26" s="8">
        <f t="shared" si="1"/>
        <v>0</v>
      </c>
      <c r="O26" s="83">
        <v>0</v>
      </c>
    </row>
    <row r="27" spans="1:15">
      <c r="A27" s="1" t="s">
        <v>2</v>
      </c>
      <c r="B27" s="96" t="s">
        <v>85</v>
      </c>
      <c r="C27" s="72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1">
        <v>0</v>
      </c>
      <c r="L27" s="83">
        <f t="shared" si="0"/>
        <v>0</v>
      </c>
      <c r="M27" s="83">
        <v>0</v>
      </c>
      <c r="N27" s="8">
        <f t="shared" si="1"/>
        <v>0</v>
      </c>
      <c r="O27" s="83">
        <v>137891</v>
      </c>
    </row>
    <row r="28" spans="1:15">
      <c r="A28" s="1" t="s">
        <v>2</v>
      </c>
      <c r="B28" s="96" t="s">
        <v>86</v>
      </c>
      <c r="C28" s="72">
        <v>0</v>
      </c>
      <c r="D28" s="20">
        <v>0</v>
      </c>
      <c r="E28" s="20">
        <v>80040</v>
      </c>
      <c r="F28" s="20">
        <v>84640</v>
      </c>
      <c r="G28" s="20">
        <v>65520</v>
      </c>
      <c r="H28" s="20">
        <v>54600</v>
      </c>
      <c r="I28" s="20">
        <v>59640</v>
      </c>
      <c r="J28" s="20">
        <v>33200</v>
      </c>
      <c r="K28" s="21">
        <v>63000</v>
      </c>
      <c r="L28" s="83">
        <f t="shared" si="0"/>
        <v>440640</v>
      </c>
      <c r="M28" s="83">
        <v>0</v>
      </c>
      <c r="N28" s="8">
        <f t="shared" si="1"/>
        <v>0</v>
      </c>
      <c r="O28" s="83">
        <v>440640</v>
      </c>
    </row>
    <row r="29" spans="1:15">
      <c r="A29" s="1" t="s">
        <v>2</v>
      </c>
      <c r="B29" s="96" t="s">
        <v>87</v>
      </c>
      <c r="C29" s="72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1">
        <v>0</v>
      </c>
      <c r="L29" s="83">
        <f t="shared" si="0"/>
        <v>0</v>
      </c>
      <c r="M29" s="83">
        <v>0</v>
      </c>
      <c r="N29" s="8">
        <f t="shared" si="1"/>
        <v>0</v>
      </c>
      <c r="O29" s="83">
        <v>0</v>
      </c>
    </row>
    <row r="30" spans="1:15">
      <c r="A30" s="1" t="s">
        <v>2</v>
      </c>
      <c r="B30" s="96" t="s">
        <v>88</v>
      </c>
      <c r="C30" s="72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1">
        <v>0</v>
      </c>
      <c r="L30" s="83">
        <f t="shared" si="0"/>
        <v>0</v>
      </c>
      <c r="M30" s="83">
        <v>0</v>
      </c>
      <c r="N30" s="8">
        <f t="shared" si="1"/>
        <v>0</v>
      </c>
      <c r="O30" s="83">
        <v>0</v>
      </c>
    </row>
    <row r="31" spans="1:15">
      <c r="A31" s="1" t="s">
        <v>2</v>
      </c>
      <c r="B31" s="96" t="s">
        <v>89</v>
      </c>
      <c r="C31" s="72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1">
        <v>0</v>
      </c>
      <c r="L31" s="83">
        <f t="shared" si="0"/>
        <v>0</v>
      </c>
      <c r="M31" s="83">
        <v>0</v>
      </c>
      <c r="N31" s="8">
        <f t="shared" si="1"/>
        <v>0</v>
      </c>
      <c r="O31" s="83">
        <v>14000</v>
      </c>
    </row>
    <row r="32" spans="1:15">
      <c r="A32" s="1" t="s">
        <v>2</v>
      </c>
      <c r="B32" s="96" t="s">
        <v>90</v>
      </c>
      <c r="C32" s="72">
        <v>0</v>
      </c>
      <c r="D32" s="20">
        <v>0</v>
      </c>
      <c r="E32" s="20">
        <v>0</v>
      </c>
      <c r="F32" s="20">
        <v>0</v>
      </c>
      <c r="G32" s="20">
        <v>5880</v>
      </c>
      <c r="H32" s="20">
        <v>5880</v>
      </c>
      <c r="I32" s="20">
        <v>5880</v>
      </c>
      <c r="J32" s="20">
        <v>0</v>
      </c>
      <c r="K32" s="21">
        <v>0</v>
      </c>
      <c r="L32" s="83">
        <f t="shared" si="0"/>
        <v>17640</v>
      </c>
      <c r="M32" s="83">
        <v>0</v>
      </c>
      <c r="N32" s="8">
        <f t="shared" si="1"/>
        <v>0</v>
      </c>
      <c r="O32" s="83">
        <v>17640</v>
      </c>
    </row>
    <row r="33" spans="1:15">
      <c r="A33" s="1" t="s">
        <v>2</v>
      </c>
      <c r="B33" s="96" t="s">
        <v>91</v>
      </c>
      <c r="C33" s="72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1">
        <v>0</v>
      </c>
      <c r="L33" s="83">
        <f t="shared" si="0"/>
        <v>0</v>
      </c>
      <c r="M33" s="83">
        <v>0</v>
      </c>
      <c r="N33" s="8">
        <f t="shared" si="1"/>
        <v>0</v>
      </c>
      <c r="O33" s="83">
        <v>0</v>
      </c>
    </row>
    <row r="34" spans="1:15">
      <c r="A34" s="1" t="s">
        <v>2</v>
      </c>
      <c r="B34" s="96" t="s">
        <v>92</v>
      </c>
      <c r="C34" s="72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1">
        <v>0</v>
      </c>
      <c r="L34" s="83">
        <f t="shared" si="0"/>
        <v>0</v>
      </c>
      <c r="M34" s="83">
        <v>0</v>
      </c>
      <c r="N34" s="8">
        <f t="shared" si="1"/>
        <v>0</v>
      </c>
      <c r="O34" s="83">
        <v>0</v>
      </c>
    </row>
    <row r="35" spans="1:15">
      <c r="A35" s="1" t="s">
        <v>2</v>
      </c>
      <c r="B35" s="96" t="s">
        <v>93</v>
      </c>
      <c r="C35" s="72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1">
        <v>0</v>
      </c>
      <c r="L35" s="83">
        <f t="shared" si="0"/>
        <v>0</v>
      </c>
      <c r="M35" s="83">
        <v>0</v>
      </c>
      <c r="N35" s="8">
        <f t="shared" si="1"/>
        <v>0</v>
      </c>
      <c r="O35" s="83">
        <v>0</v>
      </c>
    </row>
    <row r="36" spans="1:15">
      <c r="A36" s="1" t="s">
        <v>2</v>
      </c>
      <c r="B36" s="96" t="s">
        <v>94</v>
      </c>
      <c r="C36" s="72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1">
        <v>0</v>
      </c>
      <c r="L36" s="83">
        <f t="shared" si="0"/>
        <v>0</v>
      </c>
      <c r="M36" s="83">
        <v>0</v>
      </c>
      <c r="N36" s="8">
        <f t="shared" si="1"/>
        <v>0</v>
      </c>
      <c r="O36" s="84">
        <v>-145580</v>
      </c>
    </row>
    <row r="37" spans="1:15">
      <c r="A37" s="1" t="s">
        <v>2</v>
      </c>
      <c r="B37" s="96" t="s">
        <v>71</v>
      </c>
      <c r="C37" s="72">
        <v>0</v>
      </c>
      <c r="D37" s="20">
        <v>72046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1038</v>
      </c>
      <c r="K37" s="21">
        <v>0</v>
      </c>
      <c r="L37" s="83">
        <f t="shared" si="0"/>
        <v>73084</v>
      </c>
      <c r="M37" s="83">
        <v>0</v>
      </c>
      <c r="N37" s="8">
        <f t="shared" si="1"/>
        <v>0</v>
      </c>
      <c r="O37" s="83">
        <v>1037792</v>
      </c>
    </row>
    <row r="38" spans="1:15">
      <c r="A38" s="1" t="s">
        <v>2</v>
      </c>
      <c r="B38" s="96" t="s">
        <v>95</v>
      </c>
      <c r="C38" s="72">
        <v>0</v>
      </c>
      <c r="D38" s="20">
        <v>41184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1">
        <v>0</v>
      </c>
      <c r="L38" s="83">
        <f t="shared" si="0"/>
        <v>41184</v>
      </c>
      <c r="M38" s="83">
        <v>0</v>
      </c>
      <c r="N38" s="8">
        <f t="shared" si="1"/>
        <v>0</v>
      </c>
      <c r="O38" s="83">
        <v>530961</v>
      </c>
    </row>
    <row r="39" spans="1:15">
      <c r="A39" s="1" t="s">
        <v>2</v>
      </c>
      <c r="B39" s="96" t="s">
        <v>96</v>
      </c>
      <c r="C39" s="72">
        <v>0</v>
      </c>
      <c r="D39" s="20">
        <v>6864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1">
        <v>0</v>
      </c>
      <c r="L39" s="83">
        <f t="shared" si="0"/>
        <v>6864</v>
      </c>
      <c r="M39" s="83">
        <v>0</v>
      </c>
      <c r="N39" s="8">
        <f t="shared" si="1"/>
        <v>0</v>
      </c>
      <c r="O39" s="83">
        <v>756379</v>
      </c>
    </row>
    <row r="40" spans="1:15">
      <c r="A40" s="1" t="s">
        <v>2</v>
      </c>
      <c r="B40" s="96" t="s">
        <v>97</v>
      </c>
      <c r="C40" s="72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1">
        <v>0</v>
      </c>
      <c r="L40" s="83">
        <f t="shared" si="0"/>
        <v>0</v>
      </c>
      <c r="M40" s="83">
        <v>0</v>
      </c>
      <c r="N40" s="8">
        <f t="shared" si="1"/>
        <v>0</v>
      </c>
      <c r="O40" s="83">
        <v>11240</v>
      </c>
    </row>
    <row r="41" spans="1:15">
      <c r="A41" s="1" t="s">
        <v>2</v>
      </c>
      <c r="B41" s="96" t="s">
        <v>98</v>
      </c>
      <c r="C41" s="72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1">
        <v>0</v>
      </c>
      <c r="L41" s="83">
        <f t="shared" si="0"/>
        <v>0</v>
      </c>
      <c r="M41" s="83">
        <v>0</v>
      </c>
      <c r="N41" s="8">
        <f t="shared" si="1"/>
        <v>0</v>
      </c>
      <c r="O41" s="83">
        <v>3916</v>
      </c>
    </row>
    <row r="42" spans="1:15">
      <c r="A42" s="1" t="s">
        <v>2</v>
      </c>
      <c r="B42" s="96" t="s">
        <v>99</v>
      </c>
      <c r="C42" s="72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1">
        <v>0</v>
      </c>
      <c r="L42" s="83">
        <f t="shared" si="0"/>
        <v>0</v>
      </c>
      <c r="M42" s="83">
        <v>0</v>
      </c>
      <c r="N42" s="8">
        <f t="shared" si="1"/>
        <v>0</v>
      </c>
      <c r="O42" s="83">
        <v>0</v>
      </c>
    </row>
    <row r="43" spans="1:15" ht="19.5" thickBot="1">
      <c r="A43" s="1" t="s">
        <v>2</v>
      </c>
      <c r="B43" s="98" t="s">
        <v>79</v>
      </c>
      <c r="C43" s="73">
        <v>2178</v>
      </c>
      <c r="D43" s="44">
        <v>0</v>
      </c>
      <c r="E43" s="44">
        <v>0</v>
      </c>
      <c r="F43" s="44">
        <v>0</v>
      </c>
      <c r="G43" s="44">
        <v>11550</v>
      </c>
      <c r="H43" s="44">
        <v>9450</v>
      </c>
      <c r="I43" s="44">
        <v>10500</v>
      </c>
      <c r="J43" s="44">
        <v>0</v>
      </c>
      <c r="K43" s="45">
        <v>0</v>
      </c>
      <c r="L43" s="85">
        <f t="shared" ref="L43:L61" si="2">SUM(C43:K43)</f>
        <v>33678</v>
      </c>
      <c r="M43" s="85">
        <v>2810</v>
      </c>
      <c r="N43" s="46">
        <f t="shared" si="1"/>
        <v>2810</v>
      </c>
      <c r="O43" s="85">
        <v>111583</v>
      </c>
    </row>
    <row r="44" spans="1:15" ht="19.5" thickBot="1">
      <c r="A44" s="1" t="s">
        <v>2</v>
      </c>
      <c r="B44" s="99" t="s">
        <v>100</v>
      </c>
      <c r="C44" s="74">
        <v>487178</v>
      </c>
      <c r="D44" s="49">
        <v>403094</v>
      </c>
      <c r="E44" s="49">
        <v>80040</v>
      </c>
      <c r="F44" s="49">
        <v>84640</v>
      </c>
      <c r="G44" s="49">
        <v>82950</v>
      </c>
      <c r="H44" s="49">
        <v>69930</v>
      </c>
      <c r="I44" s="49">
        <v>76020</v>
      </c>
      <c r="J44" s="49">
        <v>34238</v>
      </c>
      <c r="K44" s="50">
        <v>63000</v>
      </c>
      <c r="L44" s="86">
        <f t="shared" si="2"/>
        <v>1381090</v>
      </c>
      <c r="M44" s="86">
        <v>377810</v>
      </c>
      <c r="N44" s="51">
        <f t="shared" si="1"/>
        <v>377810</v>
      </c>
      <c r="O44" s="86">
        <v>7296462</v>
      </c>
    </row>
    <row r="45" spans="1:15" ht="19.5" thickBot="1">
      <c r="A45" s="1" t="s">
        <v>2</v>
      </c>
      <c r="B45" s="95" t="s">
        <v>101</v>
      </c>
      <c r="C45" s="71">
        <v>7828</v>
      </c>
      <c r="D45" s="35">
        <v>5402</v>
      </c>
      <c r="E45" s="35">
        <v>2714</v>
      </c>
      <c r="F45" s="35">
        <v>1957</v>
      </c>
      <c r="G45" s="35">
        <v>3445</v>
      </c>
      <c r="H45" s="35">
        <v>3914</v>
      </c>
      <c r="I45" s="35">
        <v>4175</v>
      </c>
      <c r="J45" s="35">
        <v>1696</v>
      </c>
      <c r="K45" s="36">
        <v>6941</v>
      </c>
      <c r="L45" s="82">
        <f t="shared" si="2"/>
        <v>38072</v>
      </c>
      <c r="M45" s="82">
        <v>7463</v>
      </c>
      <c r="N45" s="37">
        <f t="shared" si="1"/>
        <v>7463</v>
      </c>
      <c r="O45" s="82">
        <v>148218</v>
      </c>
    </row>
    <row r="46" spans="1:15" ht="19.5" thickBot="1">
      <c r="A46" s="1" t="s">
        <v>2</v>
      </c>
      <c r="B46" s="99" t="s">
        <v>102</v>
      </c>
      <c r="C46" s="74">
        <v>7828</v>
      </c>
      <c r="D46" s="49">
        <v>5402</v>
      </c>
      <c r="E46" s="49">
        <v>2714</v>
      </c>
      <c r="F46" s="49">
        <v>1957</v>
      </c>
      <c r="G46" s="49">
        <v>3445</v>
      </c>
      <c r="H46" s="49">
        <v>3914</v>
      </c>
      <c r="I46" s="49">
        <v>4175</v>
      </c>
      <c r="J46" s="49">
        <v>1696</v>
      </c>
      <c r="K46" s="50">
        <v>6941</v>
      </c>
      <c r="L46" s="86">
        <f t="shared" si="2"/>
        <v>38072</v>
      </c>
      <c r="M46" s="86">
        <v>7463</v>
      </c>
      <c r="N46" s="51">
        <f t="shared" si="1"/>
        <v>7463</v>
      </c>
      <c r="O46" s="86">
        <v>148218</v>
      </c>
    </row>
    <row r="47" spans="1:15" ht="19.5" thickBot="1">
      <c r="A47" s="1" t="s">
        <v>2</v>
      </c>
      <c r="B47" s="99" t="s">
        <v>103</v>
      </c>
      <c r="C47" s="74">
        <v>495006</v>
      </c>
      <c r="D47" s="49">
        <v>408496</v>
      </c>
      <c r="E47" s="49">
        <v>82754</v>
      </c>
      <c r="F47" s="49">
        <v>86597</v>
      </c>
      <c r="G47" s="49">
        <v>86395</v>
      </c>
      <c r="H47" s="49">
        <v>73844</v>
      </c>
      <c r="I47" s="49">
        <v>80195</v>
      </c>
      <c r="J47" s="49">
        <v>35934</v>
      </c>
      <c r="K47" s="50">
        <v>69941</v>
      </c>
      <c r="L47" s="86">
        <f t="shared" si="2"/>
        <v>1419162</v>
      </c>
      <c r="M47" s="86">
        <v>385273</v>
      </c>
      <c r="N47" s="51">
        <f t="shared" si="1"/>
        <v>385273</v>
      </c>
      <c r="O47" s="86">
        <v>7444680</v>
      </c>
    </row>
    <row r="48" spans="1:15">
      <c r="A48" s="1" t="s">
        <v>2</v>
      </c>
      <c r="B48" s="95" t="s">
        <v>104</v>
      </c>
      <c r="C48" s="71">
        <v>23970</v>
      </c>
      <c r="D48" s="35">
        <v>19380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6">
        <v>0</v>
      </c>
      <c r="L48" s="82">
        <f t="shared" si="2"/>
        <v>43350</v>
      </c>
      <c r="M48" s="82">
        <v>19380</v>
      </c>
      <c r="N48" s="37">
        <f t="shared" si="1"/>
        <v>19380</v>
      </c>
      <c r="O48" s="82">
        <v>371790</v>
      </c>
    </row>
    <row r="49" spans="1:15">
      <c r="A49" s="1" t="s">
        <v>2</v>
      </c>
      <c r="B49" s="96" t="s">
        <v>105</v>
      </c>
      <c r="C49" s="72">
        <v>0</v>
      </c>
      <c r="D49" s="20">
        <v>3420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1">
        <v>0</v>
      </c>
      <c r="L49" s="83">
        <f t="shared" si="2"/>
        <v>3420</v>
      </c>
      <c r="M49" s="83">
        <v>3420</v>
      </c>
      <c r="N49" s="8">
        <f t="shared" si="1"/>
        <v>3420</v>
      </c>
      <c r="O49" s="83">
        <v>53640</v>
      </c>
    </row>
    <row r="50" spans="1:15">
      <c r="A50" s="1" t="s">
        <v>2</v>
      </c>
      <c r="B50" s="96" t="s">
        <v>106</v>
      </c>
      <c r="C50" s="72">
        <v>43005</v>
      </c>
      <c r="D50" s="20">
        <v>34770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1">
        <v>0</v>
      </c>
      <c r="L50" s="83">
        <f t="shared" si="2"/>
        <v>77775</v>
      </c>
      <c r="M50" s="83">
        <v>34770</v>
      </c>
      <c r="N50" s="8">
        <f t="shared" si="1"/>
        <v>34770</v>
      </c>
      <c r="O50" s="83">
        <v>667035</v>
      </c>
    </row>
    <row r="51" spans="1:15" ht="19.5" thickBot="1">
      <c r="A51" s="1" t="s">
        <v>2</v>
      </c>
      <c r="B51" s="96" t="s">
        <v>107</v>
      </c>
      <c r="C51" s="72">
        <v>1485</v>
      </c>
      <c r="D51" s="20">
        <v>1225</v>
      </c>
      <c r="E51" s="20">
        <v>248</v>
      </c>
      <c r="F51" s="20">
        <v>260</v>
      </c>
      <c r="G51" s="20">
        <v>0</v>
      </c>
      <c r="H51" s="20">
        <v>0</v>
      </c>
      <c r="I51" s="20">
        <v>0</v>
      </c>
      <c r="J51" s="20">
        <v>0</v>
      </c>
      <c r="K51" s="21">
        <v>210</v>
      </c>
      <c r="L51" s="83">
        <f t="shared" si="2"/>
        <v>3428</v>
      </c>
      <c r="M51" s="83">
        <v>1156</v>
      </c>
      <c r="N51" s="8">
        <f t="shared" si="1"/>
        <v>1156</v>
      </c>
      <c r="O51" s="83">
        <v>21504</v>
      </c>
    </row>
    <row r="52" spans="1:15" ht="19.5" thickBot="1">
      <c r="A52" s="1" t="s">
        <v>2</v>
      </c>
      <c r="B52" s="99" t="s">
        <v>108</v>
      </c>
      <c r="C52" s="74">
        <v>68460</v>
      </c>
      <c r="D52" s="49">
        <v>58795</v>
      </c>
      <c r="E52" s="49">
        <v>248</v>
      </c>
      <c r="F52" s="49">
        <v>260</v>
      </c>
      <c r="G52" s="49">
        <v>0</v>
      </c>
      <c r="H52" s="49">
        <v>0</v>
      </c>
      <c r="I52" s="49">
        <v>0</v>
      </c>
      <c r="J52" s="49">
        <v>0</v>
      </c>
      <c r="K52" s="50">
        <v>210</v>
      </c>
      <c r="L52" s="86">
        <f t="shared" si="2"/>
        <v>127973</v>
      </c>
      <c r="M52" s="86">
        <v>58726</v>
      </c>
      <c r="N52" s="51">
        <f t="shared" si="1"/>
        <v>58726</v>
      </c>
      <c r="O52" s="86">
        <v>1113969</v>
      </c>
    </row>
    <row r="53" spans="1:15">
      <c r="A53" s="1" t="s">
        <v>2</v>
      </c>
      <c r="B53" s="95" t="s">
        <v>109</v>
      </c>
      <c r="C53" s="71">
        <v>18080</v>
      </c>
      <c r="D53" s="35">
        <v>8770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6">
        <v>0</v>
      </c>
      <c r="L53" s="82">
        <f t="shared" si="2"/>
        <v>26850</v>
      </c>
      <c r="M53" s="82">
        <v>9940</v>
      </c>
      <c r="N53" s="37">
        <f t="shared" si="1"/>
        <v>9940</v>
      </c>
      <c r="O53" s="82">
        <v>150930</v>
      </c>
    </row>
    <row r="54" spans="1:15">
      <c r="A54" s="1" t="s">
        <v>2</v>
      </c>
      <c r="B54" s="96" t="s">
        <v>110</v>
      </c>
      <c r="C54" s="72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1">
        <v>0</v>
      </c>
      <c r="L54" s="83">
        <f t="shared" si="2"/>
        <v>0</v>
      </c>
      <c r="M54" s="83">
        <v>0</v>
      </c>
      <c r="N54" s="8">
        <f t="shared" si="1"/>
        <v>0</v>
      </c>
      <c r="O54" s="83">
        <v>16900</v>
      </c>
    </row>
    <row r="55" spans="1:15">
      <c r="A55" s="1" t="s">
        <v>2</v>
      </c>
      <c r="B55" s="96" t="s">
        <v>111</v>
      </c>
      <c r="C55" s="72">
        <v>35200</v>
      </c>
      <c r="D55" s="20">
        <v>14500</v>
      </c>
      <c r="E55" s="20">
        <v>600</v>
      </c>
      <c r="F55" s="20">
        <v>500</v>
      </c>
      <c r="G55" s="20">
        <v>0</v>
      </c>
      <c r="H55" s="20">
        <v>4100</v>
      </c>
      <c r="I55" s="20">
        <v>0</v>
      </c>
      <c r="J55" s="20">
        <v>0</v>
      </c>
      <c r="K55" s="21">
        <v>0</v>
      </c>
      <c r="L55" s="83">
        <f t="shared" si="2"/>
        <v>54900</v>
      </c>
      <c r="M55" s="83">
        <v>16100</v>
      </c>
      <c r="N55" s="8">
        <f t="shared" si="1"/>
        <v>16100</v>
      </c>
      <c r="O55" s="83">
        <v>263000</v>
      </c>
    </row>
    <row r="56" spans="1:15" ht="19.5" thickBot="1">
      <c r="A56" s="1" t="s">
        <v>2</v>
      </c>
      <c r="B56" s="96" t="s">
        <v>112</v>
      </c>
      <c r="C56" s="72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1">
        <v>0</v>
      </c>
      <c r="L56" s="83">
        <f t="shared" si="2"/>
        <v>0</v>
      </c>
      <c r="M56" s="83">
        <v>0</v>
      </c>
      <c r="N56" s="8">
        <f t="shared" si="1"/>
        <v>0</v>
      </c>
      <c r="O56" s="84">
        <v>-73470</v>
      </c>
    </row>
    <row r="57" spans="1:15" ht="19.5" thickBot="1">
      <c r="A57" s="1" t="s">
        <v>2</v>
      </c>
      <c r="B57" s="99" t="s">
        <v>113</v>
      </c>
      <c r="C57" s="74">
        <v>121740</v>
      </c>
      <c r="D57" s="49">
        <v>82065</v>
      </c>
      <c r="E57" s="49">
        <v>848</v>
      </c>
      <c r="F57" s="49">
        <v>760</v>
      </c>
      <c r="G57" s="49">
        <v>0</v>
      </c>
      <c r="H57" s="49">
        <v>4100</v>
      </c>
      <c r="I57" s="49">
        <v>0</v>
      </c>
      <c r="J57" s="49">
        <v>0</v>
      </c>
      <c r="K57" s="50">
        <v>210</v>
      </c>
      <c r="L57" s="86">
        <f t="shared" si="2"/>
        <v>209723</v>
      </c>
      <c r="M57" s="86">
        <v>84766</v>
      </c>
      <c r="N57" s="51">
        <f t="shared" si="1"/>
        <v>84766</v>
      </c>
      <c r="O57" s="86">
        <v>1471329</v>
      </c>
    </row>
    <row r="58" spans="1:15" ht="19.5" thickBot="1">
      <c r="A58" s="1" t="s">
        <v>2</v>
      </c>
      <c r="B58" s="99" t="s">
        <v>114</v>
      </c>
      <c r="C58" s="74">
        <v>418718</v>
      </c>
      <c r="D58" s="49">
        <v>344299</v>
      </c>
      <c r="E58" s="49">
        <v>79792</v>
      </c>
      <c r="F58" s="49">
        <v>84380</v>
      </c>
      <c r="G58" s="49">
        <v>82950</v>
      </c>
      <c r="H58" s="49">
        <v>69930</v>
      </c>
      <c r="I58" s="49">
        <v>76020</v>
      </c>
      <c r="J58" s="49">
        <v>34238</v>
      </c>
      <c r="K58" s="50">
        <v>62790</v>
      </c>
      <c r="L58" s="86">
        <f t="shared" si="2"/>
        <v>1253117</v>
      </c>
      <c r="M58" s="86">
        <v>319084</v>
      </c>
      <c r="N58" s="51">
        <f t="shared" si="1"/>
        <v>319084</v>
      </c>
      <c r="O58" s="86">
        <v>6182493</v>
      </c>
    </row>
    <row r="59" spans="1:15" ht="19.5" thickBot="1">
      <c r="A59" s="1" t="s">
        <v>2</v>
      </c>
      <c r="B59" s="99" t="s">
        <v>115</v>
      </c>
      <c r="C59" s="74">
        <v>373266</v>
      </c>
      <c r="D59" s="49">
        <v>326431</v>
      </c>
      <c r="E59" s="49">
        <v>81906</v>
      </c>
      <c r="F59" s="49">
        <v>85837</v>
      </c>
      <c r="G59" s="49">
        <v>86395</v>
      </c>
      <c r="H59" s="49">
        <v>69744</v>
      </c>
      <c r="I59" s="49">
        <v>80195</v>
      </c>
      <c r="J59" s="49">
        <v>35934</v>
      </c>
      <c r="K59" s="50">
        <v>69731</v>
      </c>
      <c r="L59" s="86">
        <f t="shared" si="2"/>
        <v>1209439</v>
      </c>
      <c r="M59" s="86">
        <v>300507</v>
      </c>
      <c r="N59" s="51">
        <f t="shared" si="1"/>
        <v>300507</v>
      </c>
      <c r="O59" s="86">
        <v>5973351</v>
      </c>
    </row>
    <row r="60" spans="1:15">
      <c r="A60" s="1" t="s">
        <v>2</v>
      </c>
      <c r="B60" s="95" t="s">
        <v>116</v>
      </c>
      <c r="C60" s="71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6">
        <v>0</v>
      </c>
      <c r="L60" s="82">
        <f t="shared" si="2"/>
        <v>0</v>
      </c>
      <c r="M60" s="82">
        <v>0</v>
      </c>
      <c r="N60" s="37">
        <f t="shared" si="1"/>
        <v>0</v>
      </c>
      <c r="O60" s="82">
        <v>0</v>
      </c>
    </row>
    <row r="61" spans="1:15">
      <c r="A61" s="1" t="s">
        <v>2</v>
      </c>
      <c r="B61" s="96" t="s">
        <v>117</v>
      </c>
      <c r="C61" s="72">
        <v>373266</v>
      </c>
      <c r="D61" s="20">
        <v>326431</v>
      </c>
      <c r="E61" s="20">
        <v>81906</v>
      </c>
      <c r="F61" s="20">
        <v>85837</v>
      </c>
      <c r="G61" s="20">
        <v>86395</v>
      </c>
      <c r="H61" s="20">
        <v>69744</v>
      </c>
      <c r="I61" s="20">
        <v>80195</v>
      </c>
      <c r="J61" s="20">
        <v>35934</v>
      </c>
      <c r="K61" s="21">
        <v>69731</v>
      </c>
      <c r="L61" s="83">
        <f t="shared" si="2"/>
        <v>1209439</v>
      </c>
      <c r="M61" s="83">
        <v>300507</v>
      </c>
      <c r="N61" s="8">
        <f t="shared" si="1"/>
        <v>300507</v>
      </c>
      <c r="O61" s="83">
        <v>5973351</v>
      </c>
    </row>
    <row r="62" spans="1:15">
      <c r="A62" s="1" t="s">
        <v>2</v>
      </c>
      <c r="B62" s="96" t="s">
        <v>118</v>
      </c>
      <c r="C62" s="72">
        <v>0</v>
      </c>
      <c r="D62" s="20">
        <v>1</v>
      </c>
      <c r="E62" s="20">
        <v>0</v>
      </c>
      <c r="F62" s="20">
        <v>0</v>
      </c>
      <c r="G62" s="20">
        <v>1</v>
      </c>
      <c r="H62" s="20">
        <v>1</v>
      </c>
      <c r="I62" s="20">
        <v>1</v>
      </c>
      <c r="J62" s="20">
        <v>1</v>
      </c>
      <c r="K62" s="21">
        <v>1</v>
      </c>
      <c r="L62" s="83"/>
      <c r="M62" s="83">
        <v>0</v>
      </c>
      <c r="N62" s="8"/>
      <c r="O62" s="83"/>
    </row>
    <row r="63" spans="1:15" ht="19.5" thickBot="1">
      <c r="A63" s="1" t="s">
        <v>2</v>
      </c>
      <c r="B63" s="97" t="s">
        <v>119</v>
      </c>
      <c r="C63" s="75" t="s">
        <v>120</v>
      </c>
      <c r="D63" s="23" t="s">
        <v>120</v>
      </c>
      <c r="E63" s="23" t="s">
        <v>120</v>
      </c>
      <c r="F63" s="23" t="s">
        <v>120</v>
      </c>
      <c r="G63" s="23" t="s">
        <v>120</v>
      </c>
      <c r="H63" s="23" t="s">
        <v>120</v>
      </c>
      <c r="I63" s="23" t="s">
        <v>120</v>
      </c>
      <c r="J63" s="23" t="s">
        <v>120</v>
      </c>
      <c r="K63" s="24" t="s">
        <v>120</v>
      </c>
      <c r="L63" s="87"/>
      <c r="M63" s="87" t="s">
        <v>120</v>
      </c>
      <c r="N63" s="9"/>
      <c r="O63" s="87"/>
    </row>
  </sheetData>
  <phoneticPr fontId="3"/>
  <pageMargins left="0.31496062992125984" right="0.31496062992125984" top="0.35433070866141736" bottom="0.35433070866141736" header="0.31496062992125984" footer="0.31496062992125984"/>
  <pageSetup paperSize="12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4119-3238-4990-81E3-FD527C43725B}">
  <sheetPr>
    <pageSetUpPr fitToPage="1"/>
  </sheetPr>
  <dimension ref="A1:X64"/>
  <sheetViews>
    <sheetView showZeros="0" workbookViewId="0"/>
  </sheetViews>
  <sheetFormatPr defaultRowHeight="18.75"/>
  <cols>
    <col min="1" max="1" width="2.375" style="2" customWidth="1"/>
    <col min="2" max="2" width="13.25" style="2" bestFit="1" customWidth="1"/>
    <col min="3" max="21" width="10.5" style="2" customWidth="1"/>
    <col min="22" max="22" width="11.125" style="2" customWidth="1"/>
    <col min="23" max="240" width="9" style="2"/>
    <col min="241" max="241" width="2.375" style="2" customWidth="1"/>
    <col min="242" max="243" width="13.25" style="2" bestFit="1" customWidth="1"/>
    <col min="244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51" width="11.125" style="2" bestFit="1" customWidth="1"/>
    <col min="252" max="252" width="9" style="2"/>
    <col min="253" max="264" width="11.125" style="2" bestFit="1" customWidth="1"/>
    <col min="265" max="267" width="9" style="2"/>
    <col min="268" max="268" width="11.125" style="2" bestFit="1" customWidth="1"/>
    <col min="269" max="269" width="9" style="2"/>
    <col min="270" max="277" width="11.125" style="2" bestFit="1" customWidth="1"/>
    <col min="278" max="278" width="9.625" style="2" bestFit="1" customWidth="1"/>
    <col min="279" max="496" width="9" style="2"/>
    <col min="497" max="497" width="2.375" style="2" customWidth="1"/>
    <col min="498" max="499" width="13.25" style="2" bestFit="1" customWidth="1"/>
    <col min="500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07" width="11.125" style="2" bestFit="1" customWidth="1"/>
    <col min="508" max="508" width="9" style="2"/>
    <col min="509" max="520" width="11.125" style="2" bestFit="1" customWidth="1"/>
    <col min="521" max="523" width="9" style="2"/>
    <col min="524" max="524" width="11.125" style="2" bestFit="1" customWidth="1"/>
    <col min="525" max="525" width="9" style="2"/>
    <col min="526" max="533" width="11.125" style="2" bestFit="1" customWidth="1"/>
    <col min="534" max="534" width="9.625" style="2" bestFit="1" customWidth="1"/>
    <col min="535" max="752" width="9" style="2"/>
    <col min="753" max="753" width="2.375" style="2" customWidth="1"/>
    <col min="754" max="755" width="13.25" style="2" bestFit="1" customWidth="1"/>
    <col min="756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63" width="11.125" style="2" bestFit="1" customWidth="1"/>
    <col min="764" max="764" width="9" style="2"/>
    <col min="765" max="776" width="11.125" style="2" bestFit="1" customWidth="1"/>
    <col min="777" max="779" width="9" style="2"/>
    <col min="780" max="780" width="11.125" style="2" bestFit="1" customWidth="1"/>
    <col min="781" max="781" width="9" style="2"/>
    <col min="782" max="789" width="11.125" style="2" bestFit="1" customWidth="1"/>
    <col min="790" max="790" width="9.625" style="2" bestFit="1" customWidth="1"/>
    <col min="791" max="1008" width="9" style="2"/>
    <col min="1009" max="1009" width="2.375" style="2" customWidth="1"/>
    <col min="1010" max="1011" width="13.25" style="2" bestFit="1" customWidth="1"/>
    <col min="1012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19" width="11.125" style="2" bestFit="1" customWidth="1"/>
    <col min="1020" max="1020" width="9" style="2"/>
    <col min="1021" max="1032" width="11.125" style="2" bestFit="1" customWidth="1"/>
    <col min="1033" max="1035" width="9" style="2"/>
    <col min="1036" max="1036" width="11.125" style="2" bestFit="1" customWidth="1"/>
    <col min="1037" max="1037" width="9" style="2"/>
    <col min="1038" max="1045" width="11.125" style="2" bestFit="1" customWidth="1"/>
    <col min="1046" max="1046" width="9.625" style="2" bestFit="1" customWidth="1"/>
    <col min="1047" max="1264" width="9" style="2"/>
    <col min="1265" max="1265" width="2.375" style="2" customWidth="1"/>
    <col min="1266" max="1267" width="13.25" style="2" bestFit="1" customWidth="1"/>
    <col min="1268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75" width="11.125" style="2" bestFit="1" customWidth="1"/>
    <col min="1276" max="1276" width="9" style="2"/>
    <col min="1277" max="1288" width="11.125" style="2" bestFit="1" customWidth="1"/>
    <col min="1289" max="1291" width="9" style="2"/>
    <col min="1292" max="1292" width="11.125" style="2" bestFit="1" customWidth="1"/>
    <col min="1293" max="1293" width="9" style="2"/>
    <col min="1294" max="1301" width="11.125" style="2" bestFit="1" customWidth="1"/>
    <col min="1302" max="1302" width="9.625" style="2" bestFit="1" customWidth="1"/>
    <col min="1303" max="1520" width="9" style="2"/>
    <col min="1521" max="1521" width="2.375" style="2" customWidth="1"/>
    <col min="1522" max="1523" width="13.25" style="2" bestFit="1" customWidth="1"/>
    <col min="1524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31" width="11.125" style="2" bestFit="1" customWidth="1"/>
    <col min="1532" max="1532" width="9" style="2"/>
    <col min="1533" max="1544" width="11.125" style="2" bestFit="1" customWidth="1"/>
    <col min="1545" max="1547" width="9" style="2"/>
    <col min="1548" max="1548" width="11.125" style="2" bestFit="1" customWidth="1"/>
    <col min="1549" max="1549" width="9" style="2"/>
    <col min="1550" max="1557" width="11.125" style="2" bestFit="1" customWidth="1"/>
    <col min="1558" max="1558" width="9.625" style="2" bestFit="1" customWidth="1"/>
    <col min="1559" max="1776" width="9" style="2"/>
    <col min="1777" max="1777" width="2.375" style="2" customWidth="1"/>
    <col min="1778" max="1779" width="13.25" style="2" bestFit="1" customWidth="1"/>
    <col min="1780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87" width="11.125" style="2" bestFit="1" customWidth="1"/>
    <col min="1788" max="1788" width="9" style="2"/>
    <col min="1789" max="1800" width="11.125" style="2" bestFit="1" customWidth="1"/>
    <col min="1801" max="1803" width="9" style="2"/>
    <col min="1804" max="1804" width="11.125" style="2" bestFit="1" customWidth="1"/>
    <col min="1805" max="1805" width="9" style="2"/>
    <col min="1806" max="1813" width="11.125" style="2" bestFit="1" customWidth="1"/>
    <col min="1814" max="1814" width="9.625" style="2" bestFit="1" customWidth="1"/>
    <col min="1815" max="2032" width="9" style="2"/>
    <col min="2033" max="2033" width="2.375" style="2" customWidth="1"/>
    <col min="2034" max="2035" width="13.25" style="2" bestFit="1" customWidth="1"/>
    <col min="2036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43" width="11.125" style="2" bestFit="1" customWidth="1"/>
    <col min="2044" max="2044" width="9" style="2"/>
    <col min="2045" max="2056" width="11.125" style="2" bestFit="1" customWidth="1"/>
    <col min="2057" max="2059" width="9" style="2"/>
    <col min="2060" max="2060" width="11.125" style="2" bestFit="1" customWidth="1"/>
    <col min="2061" max="2061" width="9" style="2"/>
    <col min="2062" max="2069" width="11.125" style="2" bestFit="1" customWidth="1"/>
    <col min="2070" max="2070" width="9.625" style="2" bestFit="1" customWidth="1"/>
    <col min="2071" max="2288" width="9" style="2"/>
    <col min="2289" max="2289" width="2.375" style="2" customWidth="1"/>
    <col min="2290" max="2291" width="13.25" style="2" bestFit="1" customWidth="1"/>
    <col min="2292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299" width="11.125" style="2" bestFit="1" customWidth="1"/>
    <col min="2300" max="2300" width="9" style="2"/>
    <col min="2301" max="2312" width="11.125" style="2" bestFit="1" customWidth="1"/>
    <col min="2313" max="2315" width="9" style="2"/>
    <col min="2316" max="2316" width="11.125" style="2" bestFit="1" customWidth="1"/>
    <col min="2317" max="2317" width="9" style="2"/>
    <col min="2318" max="2325" width="11.125" style="2" bestFit="1" customWidth="1"/>
    <col min="2326" max="2326" width="9.625" style="2" bestFit="1" customWidth="1"/>
    <col min="2327" max="2544" width="9" style="2"/>
    <col min="2545" max="2545" width="2.375" style="2" customWidth="1"/>
    <col min="2546" max="2547" width="13.25" style="2" bestFit="1" customWidth="1"/>
    <col min="2548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55" width="11.125" style="2" bestFit="1" customWidth="1"/>
    <col min="2556" max="2556" width="9" style="2"/>
    <col min="2557" max="2568" width="11.125" style="2" bestFit="1" customWidth="1"/>
    <col min="2569" max="2571" width="9" style="2"/>
    <col min="2572" max="2572" width="11.125" style="2" bestFit="1" customWidth="1"/>
    <col min="2573" max="2573" width="9" style="2"/>
    <col min="2574" max="2581" width="11.125" style="2" bestFit="1" customWidth="1"/>
    <col min="2582" max="2582" width="9.625" style="2" bestFit="1" customWidth="1"/>
    <col min="2583" max="2800" width="9" style="2"/>
    <col min="2801" max="2801" width="2.375" style="2" customWidth="1"/>
    <col min="2802" max="2803" width="13.25" style="2" bestFit="1" customWidth="1"/>
    <col min="2804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11" width="11.125" style="2" bestFit="1" customWidth="1"/>
    <col min="2812" max="2812" width="9" style="2"/>
    <col min="2813" max="2824" width="11.125" style="2" bestFit="1" customWidth="1"/>
    <col min="2825" max="2827" width="9" style="2"/>
    <col min="2828" max="2828" width="11.125" style="2" bestFit="1" customWidth="1"/>
    <col min="2829" max="2829" width="9" style="2"/>
    <col min="2830" max="2837" width="11.125" style="2" bestFit="1" customWidth="1"/>
    <col min="2838" max="2838" width="9.625" style="2" bestFit="1" customWidth="1"/>
    <col min="2839" max="3056" width="9" style="2"/>
    <col min="3057" max="3057" width="2.375" style="2" customWidth="1"/>
    <col min="3058" max="3059" width="13.25" style="2" bestFit="1" customWidth="1"/>
    <col min="3060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67" width="11.125" style="2" bestFit="1" customWidth="1"/>
    <col min="3068" max="3068" width="9" style="2"/>
    <col min="3069" max="3080" width="11.125" style="2" bestFit="1" customWidth="1"/>
    <col min="3081" max="3083" width="9" style="2"/>
    <col min="3084" max="3084" width="11.125" style="2" bestFit="1" customWidth="1"/>
    <col min="3085" max="3085" width="9" style="2"/>
    <col min="3086" max="3093" width="11.125" style="2" bestFit="1" customWidth="1"/>
    <col min="3094" max="3094" width="9.625" style="2" bestFit="1" customWidth="1"/>
    <col min="3095" max="3312" width="9" style="2"/>
    <col min="3313" max="3313" width="2.375" style="2" customWidth="1"/>
    <col min="3314" max="3315" width="13.25" style="2" bestFit="1" customWidth="1"/>
    <col min="3316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23" width="11.125" style="2" bestFit="1" customWidth="1"/>
    <col min="3324" max="3324" width="9" style="2"/>
    <col min="3325" max="3336" width="11.125" style="2" bestFit="1" customWidth="1"/>
    <col min="3337" max="3339" width="9" style="2"/>
    <col min="3340" max="3340" width="11.125" style="2" bestFit="1" customWidth="1"/>
    <col min="3341" max="3341" width="9" style="2"/>
    <col min="3342" max="3349" width="11.125" style="2" bestFit="1" customWidth="1"/>
    <col min="3350" max="3350" width="9.625" style="2" bestFit="1" customWidth="1"/>
    <col min="3351" max="3568" width="9" style="2"/>
    <col min="3569" max="3569" width="2.375" style="2" customWidth="1"/>
    <col min="3570" max="3571" width="13.25" style="2" bestFit="1" customWidth="1"/>
    <col min="3572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79" width="11.125" style="2" bestFit="1" customWidth="1"/>
    <col min="3580" max="3580" width="9" style="2"/>
    <col min="3581" max="3592" width="11.125" style="2" bestFit="1" customWidth="1"/>
    <col min="3593" max="3595" width="9" style="2"/>
    <col min="3596" max="3596" width="11.125" style="2" bestFit="1" customWidth="1"/>
    <col min="3597" max="3597" width="9" style="2"/>
    <col min="3598" max="3605" width="11.125" style="2" bestFit="1" customWidth="1"/>
    <col min="3606" max="3606" width="9.625" style="2" bestFit="1" customWidth="1"/>
    <col min="3607" max="3824" width="9" style="2"/>
    <col min="3825" max="3825" width="2.375" style="2" customWidth="1"/>
    <col min="3826" max="3827" width="13.25" style="2" bestFit="1" customWidth="1"/>
    <col min="3828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35" width="11.125" style="2" bestFit="1" customWidth="1"/>
    <col min="3836" max="3836" width="9" style="2"/>
    <col min="3837" max="3848" width="11.125" style="2" bestFit="1" customWidth="1"/>
    <col min="3849" max="3851" width="9" style="2"/>
    <col min="3852" max="3852" width="11.125" style="2" bestFit="1" customWidth="1"/>
    <col min="3853" max="3853" width="9" style="2"/>
    <col min="3854" max="3861" width="11.125" style="2" bestFit="1" customWidth="1"/>
    <col min="3862" max="3862" width="9.625" style="2" bestFit="1" customWidth="1"/>
    <col min="3863" max="4080" width="9" style="2"/>
    <col min="4081" max="4081" width="2.375" style="2" customWidth="1"/>
    <col min="4082" max="4083" width="13.25" style="2" bestFit="1" customWidth="1"/>
    <col min="4084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091" width="11.125" style="2" bestFit="1" customWidth="1"/>
    <col min="4092" max="4092" width="9" style="2"/>
    <col min="4093" max="4104" width="11.125" style="2" bestFit="1" customWidth="1"/>
    <col min="4105" max="4107" width="9" style="2"/>
    <col min="4108" max="4108" width="11.125" style="2" bestFit="1" customWidth="1"/>
    <col min="4109" max="4109" width="9" style="2"/>
    <col min="4110" max="4117" width="11.125" style="2" bestFit="1" customWidth="1"/>
    <col min="4118" max="4118" width="9.625" style="2" bestFit="1" customWidth="1"/>
    <col min="4119" max="4336" width="9" style="2"/>
    <col min="4337" max="4337" width="2.375" style="2" customWidth="1"/>
    <col min="4338" max="4339" width="13.25" style="2" bestFit="1" customWidth="1"/>
    <col min="4340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47" width="11.125" style="2" bestFit="1" customWidth="1"/>
    <col min="4348" max="4348" width="9" style="2"/>
    <col min="4349" max="4360" width="11.125" style="2" bestFit="1" customWidth="1"/>
    <col min="4361" max="4363" width="9" style="2"/>
    <col min="4364" max="4364" width="11.125" style="2" bestFit="1" customWidth="1"/>
    <col min="4365" max="4365" width="9" style="2"/>
    <col min="4366" max="4373" width="11.125" style="2" bestFit="1" customWidth="1"/>
    <col min="4374" max="4374" width="9.625" style="2" bestFit="1" customWidth="1"/>
    <col min="4375" max="4592" width="9" style="2"/>
    <col min="4593" max="4593" width="2.375" style="2" customWidth="1"/>
    <col min="4594" max="4595" width="13.25" style="2" bestFit="1" customWidth="1"/>
    <col min="4596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03" width="11.125" style="2" bestFit="1" customWidth="1"/>
    <col min="4604" max="4604" width="9" style="2"/>
    <col min="4605" max="4616" width="11.125" style="2" bestFit="1" customWidth="1"/>
    <col min="4617" max="4619" width="9" style="2"/>
    <col min="4620" max="4620" width="11.125" style="2" bestFit="1" customWidth="1"/>
    <col min="4621" max="4621" width="9" style="2"/>
    <col min="4622" max="4629" width="11.125" style="2" bestFit="1" customWidth="1"/>
    <col min="4630" max="4630" width="9.625" style="2" bestFit="1" customWidth="1"/>
    <col min="4631" max="4848" width="9" style="2"/>
    <col min="4849" max="4849" width="2.375" style="2" customWidth="1"/>
    <col min="4850" max="4851" width="13.25" style="2" bestFit="1" customWidth="1"/>
    <col min="4852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59" width="11.125" style="2" bestFit="1" customWidth="1"/>
    <col min="4860" max="4860" width="9" style="2"/>
    <col min="4861" max="4872" width="11.125" style="2" bestFit="1" customWidth="1"/>
    <col min="4873" max="4875" width="9" style="2"/>
    <col min="4876" max="4876" width="11.125" style="2" bestFit="1" customWidth="1"/>
    <col min="4877" max="4877" width="9" style="2"/>
    <col min="4878" max="4885" width="11.125" style="2" bestFit="1" customWidth="1"/>
    <col min="4886" max="4886" width="9.625" style="2" bestFit="1" customWidth="1"/>
    <col min="4887" max="5104" width="9" style="2"/>
    <col min="5105" max="5105" width="2.375" style="2" customWidth="1"/>
    <col min="5106" max="5107" width="13.25" style="2" bestFit="1" customWidth="1"/>
    <col min="5108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15" width="11.125" style="2" bestFit="1" customWidth="1"/>
    <col min="5116" max="5116" width="9" style="2"/>
    <col min="5117" max="5128" width="11.125" style="2" bestFit="1" customWidth="1"/>
    <col min="5129" max="5131" width="9" style="2"/>
    <col min="5132" max="5132" width="11.125" style="2" bestFit="1" customWidth="1"/>
    <col min="5133" max="5133" width="9" style="2"/>
    <col min="5134" max="5141" width="11.125" style="2" bestFit="1" customWidth="1"/>
    <col min="5142" max="5142" width="9.625" style="2" bestFit="1" customWidth="1"/>
    <col min="5143" max="5360" width="9" style="2"/>
    <col min="5361" max="5361" width="2.375" style="2" customWidth="1"/>
    <col min="5362" max="5363" width="13.25" style="2" bestFit="1" customWidth="1"/>
    <col min="5364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71" width="11.125" style="2" bestFit="1" customWidth="1"/>
    <col min="5372" max="5372" width="9" style="2"/>
    <col min="5373" max="5384" width="11.125" style="2" bestFit="1" customWidth="1"/>
    <col min="5385" max="5387" width="9" style="2"/>
    <col min="5388" max="5388" width="11.125" style="2" bestFit="1" customWidth="1"/>
    <col min="5389" max="5389" width="9" style="2"/>
    <col min="5390" max="5397" width="11.125" style="2" bestFit="1" customWidth="1"/>
    <col min="5398" max="5398" width="9.625" style="2" bestFit="1" customWidth="1"/>
    <col min="5399" max="5616" width="9" style="2"/>
    <col min="5617" max="5617" width="2.375" style="2" customWidth="1"/>
    <col min="5618" max="5619" width="13.25" style="2" bestFit="1" customWidth="1"/>
    <col min="5620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27" width="11.125" style="2" bestFit="1" customWidth="1"/>
    <col min="5628" max="5628" width="9" style="2"/>
    <col min="5629" max="5640" width="11.125" style="2" bestFit="1" customWidth="1"/>
    <col min="5641" max="5643" width="9" style="2"/>
    <col min="5644" max="5644" width="11.125" style="2" bestFit="1" customWidth="1"/>
    <col min="5645" max="5645" width="9" style="2"/>
    <col min="5646" max="5653" width="11.125" style="2" bestFit="1" customWidth="1"/>
    <col min="5654" max="5654" width="9.625" style="2" bestFit="1" customWidth="1"/>
    <col min="5655" max="5872" width="9" style="2"/>
    <col min="5873" max="5873" width="2.375" style="2" customWidth="1"/>
    <col min="5874" max="5875" width="13.25" style="2" bestFit="1" customWidth="1"/>
    <col min="5876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83" width="11.125" style="2" bestFit="1" customWidth="1"/>
    <col min="5884" max="5884" width="9" style="2"/>
    <col min="5885" max="5896" width="11.125" style="2" bestFit="1" customWidth="1"/>
    <col min="5897" max="5899" width="9" style="2"/>
    <col min="5900" max="5900" width="11.125" style="2" bestFit="1" customWidth="1"/>
    <col min="5901" max="5901" width="9" style="2"/>
    <col min="5902" max="5909" width="11.125" style="2" bestFit="1" customWidth="1"/>
    <col min="5910" max="5910" width="9.625" style="2" bestFit="1" customWidth="1"/>
    <col min="5911" max="6128" width="9" style="2"/>
    <col min="6129" max="6129" width="2.375" style="2" customWidth="1"/>
    <col min="6130" max="6131" width="13.25" style="2" bestFit="1" customWidth="1"/>
    <col min="6132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39" width="11.125" style="2" bestFit="1" customWidth="1"/>
    <col min="6140" max="6140" width="9" style="2"/>
    <col min="6141" max="6152" width="11.125" style="2" bestFit="1" customWidth="1"/>
    <col min="6153" max="6155" width="9" style="2"/>
    <col min="6156" max="6156" width="11.125" style="2" bestFit="1" customWidth="1"/>
    <col min="6157" max="6157" width="9" style="2"/>
    <col min="6158" max="6165" width="11.125" style="2" bestFit="1" customWidth="1"/>
    <col min="6166" max="6166" width="9.625" style="2" bestFit="1" customWidth="1"/>
    <col min="6167" max="6384" width="9" style="2"/>
    <col min="6385" max="6385" width="2.375" style="2" customWidth="1"/>
    <col min="6386" max="6387" width="13.25" style="2" bestFit="1" customWidth="1"/>
    <col min="6388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395" width="11.125" style="2" bestFit="1" customWidth="1"/>
    <col min="6396" max="6396" width="9" style="2"/>
    <col min="6397" max="6408" width="11.125" style="2" bestFit="1" customWidth="1"/>
    <col min="6409" max="6411" width="9" style="2"/>
    <col min="6412" max="6412" width="11.125" style="2" bestFit="1" customWidth="1"/>
    <col min="6413" max="6413" width="9" style="2"/>
    <col min="6414" max="6421" width="11.125" style="2" bestFit="1" customWidth="1"/>
    <col min="6422" max="6422" width="9.625" style="2" bestFit="1" customWidth="1"/>
    <col min="6423" max="6640" width="9" style="2"/>
    <col min="6641" max="6641" width="2.375" style="2" customWidth="1"/>
    <col min="6642" max="6643" width="13.25" style="2" bestFit="1" customWidth="1"/>
    <col min="6644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51" width="11.125" style="2" bestFit="1" customWidth="1"/>
    <col min="6652" max="6652" width="9" style="2"/>
    <col min="6653" max="6664" width="11.125" style="2" bestFit="1" customWidth="1"/>
    <col min="6665" max="6667" width="9" style="2"/>
    <col min="6668" max="6668" width="11.125" style="2" bestFit="1" customWidth="1"/>
    <col min="6669" max="6669" width="9" style="2"/>
    <col min="6670" max="6677" width="11.125" style="2" bestFit="1" customWidth="1"/>
    <col min="6678" max="6678" width="9.625" style="2" bestFit="1" customWidth="1"/>
    <col min="6679" max="6896" width="9" style="2"/>
    <col min="6897" max="6897" width="2.375" style="2" customWidth="1"/>
    <col min="6898" max="6899" width="13.25" style="2" bestFit="1" customWidth="1"/>
    <col min="6900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07" width="11.125" style="2" bestFit="1" customWidth="1"/>
    <col min="6908" max="6908" width="9" style="2"/>
    <col min="6909" max="6920" width="11.125" style="2" bestFit="1" customWidth="1"/>
    <col min="6921" max="6923" width="9" style="2"/>
    <col min="6924" max="6924" width="11.125" style="2" bestFit="1" customWidth="1"/>
    <col min="6925" max="6925" width="9" style="2"/>
    <col min="6926" max="6933" width="11.125" style="2" bestFit="1" customWidth="1"/>
    <col min="6934" max="6934" width="9.625" style="2" bestFit="1" customWidth="1"/>
    <col min="6935" max="7152" width="9" style="2"/>
    <col min="7153" max="7153" width="2.375" style="2" customWidth="1"/>
    <col min="7154" max="7155" width="13.25" style="2" bestFit="1" customWidth="1"/>
    <col min="7156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63" width="11.125" style="2" bestFit="1" customWidth="1"/>
    <col min="7164" max="7164" width="9" style="2"/>
    <col min="7165" max="7176" width="11.125" style="2" bestFit="1" customWidth="1"/>
    <col min="7177" max="7179" width="9" style="2"/>
    <col min="7180" max="7180" width="11.125" style="2" bestFit="1" customWidth="1"/>
    <col min="7181" max="7181" width="9" style="2"/>
    <col min="7182" max="7189" width="11.125" style="2" bestFit="1" customWidth="1"/>
    <col min="7190" max="7190" width="9.625" style="2" bestFit="1" customWidth="1"/>
    <col min="7191" max="7408" width="9" style="2"/>
    <col min="7409" max="7409" width="2.375" style="2" customWidth="1"/>
    <col min="7410" max="7411" width="13.25" style="2" bestFit="1" customWidth="1"/>
    <col min="7412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19" width="11.125" style="2" bestFit="1" customWidth="1"/>
    <col min="7420" max="7420" width="9" style="2"/>
    <col min="7421" max="7432" width="11.125" style="2" bestFit="1" customWidth="1"/>
    <col min="7433" max="7435" width="9" style="2"/>
    <col min="7436" max="7436" width="11.125" style="2" bestFit="1" customWidth="1"/>
    <col min="7437" max="7437" width="9" style="2"/>
    <col min="7438" max="7445" width="11.125" style="2" bestFit="1" customWidth="1"/>
    <col min="7446" max="7446" width="9.625" style="2" bestFit="1" customWidth="1"/>
    <col min="7447" max="7664" width="9" style="2"/>
    <col min="7665" max="7665" width="2.375" style="2" customWidth="1"/>
    <col min="7666" max="7667" width="13.25" style="2" bestFit="1" customWidth="1"/>
    <col min="7668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75" width="11.125" style="2" bestFit="1" customWidth="1"/>
    <col min="7676" max="7676" width="9" style="2"/>
    <col min="7677" max="7688" width="11.125" style="2" bestFit="1" customWidth="1"/>
    <col min="7689" max="7691" width="9" style="2"/>
    <col min="7692" max="7692" width="11.125" style="2" bestFit="1" customWidth="1"/>
    <col min="7693" max="7693" width="9" style="2"/>
    <col min="7694" max="7701" width="11.125" style="2" bestFit="1" customWidth="1"/>
    <col min="7702" max="7702" width="9.625" style="2" bestFit="1" customWidth="1"/>
    <col min="7703" max="7920" width="9" style="2"/>
    <col min="7921" max="7921" width="2.375" style="2" customWidth="1"/>
    <col min="7922" max="7923" width="13.25" style="2" bestFit="1" customWidth="1"/>
    <col min="7924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31" width="11.125" style="2" bestFit="1" customWidth="1"/>
    <col min="7932" max="7932" width="9" style="2"/>
    <col min="7933" max="7944" width="11.125" style="2" bestFit="1" customWidth="1"/>
    <col min="7945" max="7947" width="9" style="2"/>
    <col min="7948" max="7948" width="11.125" style="2" bestFit="1" customWidth="1"/>
    <col min="7949" max="7949" width="9" style="2"/>
    <col min="7950" max="7957" width="11.125" style="2" bestFit="1" customWidth="1"/>
    <col min="7958" max="7958" width="9.625" style="2" bestFit="1" customWidth="1"/>
    <col min="7959" max="8176" width="9" style="2"/>
    <col min="8177" max="8177" width="2.375" style="2" customWidth="1"/>
    <col min="8178" max="8179" width="13.25" style="2" bestFit="1" customWidth="1"/>
    <col min="8180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87" width="11.125" style="2" bestFit="1" customWidth="1"/>
    <col min="8188" max="8188" width="9" style="2"/>
    <col min="8189" max="8200" width="11.125" style="2" bestFit="1" customWidth="1"/>
    <col min="8201" max="8203" width="9" style="2"/>
    <col min="8204" max="8204" width="11.125" style="2" bestFit="1" customWidth="1"/>
    <col min="8205" max="8205" width="9" style="2"/>
    <col min="8206" max="8213" width="11.125" style="2" bestFit="1" customWidth="1"/>
    <col min="8214" max="8214" width="9.625" style="2" bestFit="1" customWidth="1"/>
    <col min="8215" max="8432" width="9" style="2"/>
    <col min="8433" max="8433" width="2.375" style="2" customWidth="1"/>
    <col min="8434" max="8435" width="13.25" style="2" bestFit="1" customWidth="1"/>
    <col min="8436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43" width="11.125" style="2" bestFit="1" customWidth="1"/>
    <col min="8444" max="8444" width="9" style="2"/>
    <col min="8445" max="8456" width="11.125" style="2" bestFit="1" customWidth="1"/>
    <col min="8457" max="8459" width="9" style="2"/>
    <col min="8460" max="8460" width="11.125" style="2" bestFit="1" customWidth="1"/>
    <col min="8461" max="8461" width="9" style="2"/>
    <col min="8462" max="8469" width="11.125" style="2" bestFit="1" customWidth="1"/>
    <col min="8470" max="8470" width="9.625" style="2" bestFit="1" customWidth="1"/>
    <col min="8471" max="8688" width="9" style="2"/>
    <col min="8689" max="8689" width="2.375" style="2" customWidth="1"/>
    <col min="8690" max="8691" width="13.25" style="2" bestFit="1" customWidth="1"/>
    <col min="8692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699" width="11.125" style="2" bestFit="1" customWidth="1"/>
    <col min="8700" max="8700" width="9" style="2"/>
    <col min="8701" max="8712" width="11.125" style="2" bestFit="1" customWidth="1"/>
    <col min="8713" max="8715" width="9" style="2"/>
    <col min="8716" max="8716" width="11.125" style="2" bestFit="1" customWidth="1"/>
    <col min="8717" max="8717" width="9" style="2"/>
    <col min="8718" max="8725" width="11.125" style="2" bestFit="1" customWidth="1"/>
    <col min="8726" max="8726" width="9.625" style="2" bestFit="1" customWidth="1"/>
    <col min="8727" max="8944" width="9" style="2"/>
    <col min="8945" max="8945" width="2.375" style="2" customWidth="1"/>
    <col min="8946" max="8947" width="13.25" style="2" bestFit="1" customWidth="1"/>
    <col min="8948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55" width="11.125" style="2" bestFit="1" customWidth="1"/>
    <col min="8956" max="8956" width="9" style="2"/>
    <col min="8957" max="8968" width="11.125" style="2" bestFit="1" customWidth="1"/>
    <col min="8969" max="8971" width="9" style="2"/>
    <col min="8972" max="8972" width="11.125" style="2" bestFit="1" customWidth="1"/>
    <col min="8973" max="8973" width="9" style="2"/>
    <col min="8974" max="8981" width="11.125" style="2" bestFit="1" customWidth="1"/>
    <col min="8982" max="8982" width="9.625" style="2" bestFit="1" customWidth="1"/>
    <col min="8983" max="9200" width="9" style="2"/>
    <col min="9201" max="9201" width="2.375" style="2" customWidth="1"/>
    <col min="9202" max="9203" width="13.25" style="2" bestFit="1" customWidth="1"/>
    <col min="9204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11" width="11.125" style="2" bestFit="1" customWidth="1"/>
    <col min="9212" max="9212" width="9" style="2"/>
    <col min="9213" max="9224" width="11.125" style="2" bestFit="1" customWidth="1"/>
    <col min="9225" max="9227" width="9" style="2"/>
    <col min="9228" max="9228" width="11.125" style="2" bestFit="1" customWidth="1"/>
    <col min="9229" max="9229" width="9" style="2"/>
    <col min="9230" max="9237" width="11.125" style="2" bestFit="1" customWidth="1"/>
    <col min="9238" max="9238" width="9.625" style="2" bestFit="1" customWidth="1"/>
    <col min="9239" max="9456" width="9" style="2"/>
    <col min="9457" max="9457" width="2.375" style="2" customWidth="1"/>
    <col min="9458" max="9459" width="13.25" style="2" bestFit="1" customWidth="1"/>
    <col min="9460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67" width="11.125" style="2" bestFit="1" customWidth="1"/>
    <col min="9468" max="9468" width="9" style="2"/>
    <col min="9469" max="9480" width="11.125" style="2" bestFit="1" customWidth="1"/>
    <col min="9481" max="9483" width="9" style="2"/>
    <col min="9484" max="9484" width="11.125" style="2" bestFit="1" customWidth="1"/>
    <col min="9485" max="9485" width="9" style="2"/>
    <col min="9486" max="9493" width="11.125" style="2" bestFit="1" customWidth="1"/>
    <col min="9494" max="9494" width="9.625" style="2" bestFit="1" customWidth="1"/>
    <col min="9495" max="9712" width="9" style="2"/>
    <col min="9713" max="9713" width="2.375" style="2" customWidth="1"/>
    <col min="9714" max="9715" width="13.25" style="2" bestFit="1" customWidth="1"/>
    <col min="9716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23" width="11.125" style="2" bestFit="1" customWidth="1"/>
    <col min="9724" max="9724" width="9" style="2"/>
    <col min="9725" max="9736" width="11.125" style="2" bestFit="1" customWidth="1"/>
    <col min="9737" max="9739" width="9" style="2"/>
    <col min="9740" max="9740" width="11.125" style="2" bestFit="1" customWidth="1"/>
    <col min="9741" max="9741" width="9" style="2"/>
    <col min="9742" max="9749" width="11.125" style="2" bestFit="1" customWidth="1"/>
    <col min="9750" max="9750" width="9.625" style="2" bestFit="1" customWidth="1"/>
    <col min="9751" max="9968" width="9" style="2"/>
    <col min="9969" max="9969" width="2.375" style="2" customWidth="1"/>
    <col min="9970" max="9971" width="13.25" style="2" bestFit="1" customWidth="1"/>
    <col min="9972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79" width="11.125" style="2" bestFit="1" customWidth="1"/>
    <col min="9980" max="9980" width="9" style="2"/>
    <col min="9981" max="9992" width="11.125" style="2" bestFit="1" customWidth="1"/>
    <col min="9993" max="9995" width="9" style="2"/>
    <col min="9996" max="9996" width="11.125" style="2" bestFit="1" customWidth="1"/>
    <col min="9997" max="9997" width="9" style="2"/>
    <col min="9998" max="10005" width="11.125" style="2" bestFit="1" customWidth="1"/>
    <col min="10006" max="10006" width="9.625" style="2" bestFit="1" customWidth="1"/>
    <col min="10007" max="10224" width="9" style="2"/>
    <col min="10225" max="10225" width="2.375" style="2" customWidth="1"/>
    <col min="10226" max="10227" width="13.25" style="2" bestFit="1" customWidth="1"/>
    <col min="10228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35" width="11.125" style="2" bestFit="1" customWidth="1"/>
    <col min="10236" max="10236" width="9" style="2"/>
    <col min="10237" max="10248" width="11.125" style="2" bestFit="1" customWidth="1"/>
    <col min="10249" max="10251" width="9" style="2"/>
    <col min="10252" max="10252" width="11.125" style="2" bestFit="1" customWidth="1"/>
    <col min="10253" max="10253" width="9" style="2"/>
    <col min="10254" max="10261" width="11.125" style="2" bestFit="1" customWidth="1"/>
    <col min="10262" max="10262" width="9.625" style="2" bestFit="1" customWidth="1"/>
    <col min="10263" max="10480" width="9" style="2"/>
    <col min="10481" max="10481" width="2.375" style="2" customWidth="1"/>
    <col min="10482" max="10483" width="13.25" style="2" bestFit="1" customWidth="1"/>
    <col min="10484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491" width="11.125" style="2" bestFit="1" customWidth="1"/>
    <col min="10492" max="10492" width="9" style="2"/>
    <col min="10493" max="10504" width="11.125" style="2" bestFit="1" customWidth="1"/>
    <col min="10505" max="10507" width="9" style="2"/>
    <col min="10508" max="10508" width="11.125" style="2" bestFit="1" customWidth="1"/>
    <col min="10509" max="10509" width="9" style="2"/>
    <col min="10510" max="10517" width="11.125" style="2" bestFit="1" customWidth="1"/>
    <col min="10518" max="10518" width="9.625" style="2" bestFit="1" customWidth="1"/>
    <col min="10519" max="10736" width="9" style="2"/>
    <col min="10737" max="10737" width="2.375" style="2" customWidth="1"/>
    <col min="10738" max="10739" width="13.25" style="2" bestFit="1" customWidth="1"/>
    <col min="10740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47" width="11.125" style="2" bestFit="1" customWidth="1"/>
    <col min="10748" max="10748" width="9" style="2"/>
    <col min="10749" max="10760" width="11.125" style="2" bestFit="1" customWidth="1"/>
    <col min="10761" max="10763" width="9" style="2"/>
    <col min="10764" max="10764" width="11.125" style="2" bestFit="1" customWidth="1"/>
    <col min="10765" max="10765" width="9" style="2"/>
    <col min="10766" max="10773" width="11.125" style="2" bestFit="1" customWidth="1"/>
    <col min="10774" max="10774" width="9.625" style="2" bestFit="1" customWidth="1"/>
    <col min="10775" max="10992" width="9" style="2"/>
    <col min="10993" max="10993" width="2.375" style="2" customWidth="1"/>
    <col min="10994" max="10995" width="13.25" style="2" bestFit="1" customWidth="1"/>
    <col min="10996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03" width="11.125" style="2" bestFit="1" customWidth="1"/>
    <col min="11004" max="11004" width="9" style="2"/>
    <col min="11005" max="11016" width="11.125" style="2" bestFit="1" customWidth="1"/>
    <col min="11017" max="11019" width="9" style="2"/>
    <col min="11020" max="11020" width="11.125" style="2" bestFit="1" customWidth="1"/>
    <col min="11021" max="11021" width="9" style="2"/>
    <col min="11022" max="11029" width="11.125" style="2" bestFit="1" customWidth="1"/>
    <col min="11030" max="11030" width="9.625" style="2" bestFit="1" customWidth="1"/>
    <col min="11031" max="11248" width="9" style="2"/>
    <col min="11249" max="11249" width="2.375" style="2" customWidth="1"/>
    <col min="11250" max="11251" width="13.25" style="2" bestFit="1" customWidth="1"/>
    <col min="11252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59" width="11.125" style="2" bestFit="1" customWidth="1"/>
    <col min="11260" max="11260" width="9" style="2"/>
    <col min="11261" max="11272" width="11.125" style="2" bestFit="1" customWidth="1"/>
    <col min="11273" max="11275" width="9" style="2"/>
    <col min="11276" max="11276" width="11.125" style="2" bestFit="1" customWidth="1"/>
    <col min="11277" max="11277" width="9" style="2"/>
    <col min="11278" max="11285" width="11.125" style="2" bestFit="1" customWidth="1"/>
    <col min="11286" max="11286" width="9.625" style="2" bestFit="1" customWidth="1"/>
    <col min="11287" max="11504" width="9" style="2"/>
    <col min="11505" max="11505" width="2.375" style="2" customWidth="1"/>
    <col min="11506" max="11507" width="13.25" style="2" bestFit="1" customWidth="1"/>
    <col min="11508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15" width="11.125" style="2" bestFit="1" customWidth="1"/>
    <col min="11516" max="11516" width="9" style="2"/>
    <col min="11517" max="11528" width="11.125" style="2" bestFit="1" customWidth="1"/>
    <col min="11529" max="11531" width="9" style="2"/>
    <col min="11532" max="11532" width="11.125" style="2" bestFit="1" customWidth="1"/>
    <col min="11533" max="11533" width="9" style="2"/>
    <col min="11534" max="11541" width="11.125" style="2" bestFit="1" customWidth="1"/>
    <col min="11542" max="11542" width="9.625" style="2" bestFit="1" customWidth="1"/>
    <col min="11543" max="11760" width="9" style="2"/>
    <col min="11761" max="11761" width="2.375" style="2" customWidth="1"/>
    <col min="11762" max="11763" width="13.25" style="2" bestFit="1" customWidth="1"/>
    <col min="11764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71" width="11.125" style="2" bestFit="1" customWidth="1"/>
    <col min="11772" max="11772" width="9" style="2"/>
    <col min="11773" max="11784" width="11.125" style="2" bestFit="1" customWidth="1"/>
    <col min="11785" max="11787" width="9" style="2"/>
    <col min="11788" max="11788" width="11.125" style="2" bestFit="1" customWidth="1"/>
    <col min="11789" max="11789" width="9" style="2"/>
    <col min="11790" max="11797" width="11.125" style="2" bestFit="1" customWidth="1"/>
    <col min="11798" max="11798" width="9.625" style="2" bestFit="1" customWidth="1"/>
    <col min="11799" max="12016" width="9" style="2"/>
    <col min="12017" max="12017" width="2.375" style="2" customWidth="1"/>
    <col min="12018" max="12019" width="13.25" style="2" bestFit="1" customWidth="1"/>
    <col min="12020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27" width="11.125" style="2" bestFit="1" customWidth="1"/>
    <col min="12028" max="12028" width="9" style="2"/>
    <col min="12029" max="12040" width="11.125" style="2" bestFit="1" customWidth="1"/>
    <col min="12041" max="12043" width="9" style="2"/>
    <col min="12044" max="12044" width="11.125" style="2" bestFit="1" customWidth="1"/>
    <col min="12045" max="12045" width="9" style="2"/>
    <col min="12046" max="12053" width="11.125" style="2" bestFit="1" customWidth="1"/>
    <col min="12054" max="12054" width="9.625" style="2" bestFit="1" customWidth="1"/>
    <col min="12055" max="12272" width="9" style="2"/>
    <col min="12273" max="12273" width="2.375" style="2" customWidth="1"/>
    <col min="12274" max="12275" width="13.25" style="2" bestFit="1" customWidth="1"/>
    <col min="12276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83" width="11.125" style="2" bestFit="1" customWidth="1"/>
    <col min="12284" max="12284" width="9" style="2"/>
    <col min="12285" max="12296" width="11.125" style="2" bestFit="1" customWidth="1"/>
    <col min="12297" max="12299" width="9" style="2"/>
    <col min="12300" max="12300" width="11.125" style="2" bestFit="1" customWidth="1"/>
    <col min="12301" max="12301" width="9" style="2"/>
    <col min="12302" max="12309" width="11.125" style="2" bestFit="1" customWidth="1"/>
    <col min="12310" max="12310" width="9.625" style="2" bestFit="1" customWidth="1"/>
    <col min="12311" max="12528" width="9" style="2"/>
    <col min="12529" max="12529" width="2.375" style="2" customWidth="1"/>
    <col min="12530" max="12531" width="13.25" style="2" bestFit="1" customWidth="1"/>
    <col min="12532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39" width="11.125" style="2" bestFit="1" customWidth="1"/>
    <col min="12540" max="12540" width="9" style="2"/>
    <col min="12541" max="12552" width="11.125" style="2" bestFit="1" customWidth="1"/>
    <col min="12553" max="12555" width="9" style="2"/>
    <col min="12556" max="12556" width="11.125" style="2" bestFit="1" customWidth="1"/>
    <col min="12557" max="12557" width="9" style="2"/>
    <col min="12558" max="12565" width="11.125" style="2" bestFit="1" customWidth="1"/>
    <col min="12566" max="12566" width="9.625" style="2" bestFit="1" customWidth="1"/>
    <col min="12567" max="12784" width="9" style="2"/>
    <col min="12785" max="12785" width="2.375" style="2" customWidth="1"/>
    <col min="12786" max="12787" width="13.25" style="2" bestFit="1" customWidth="1"/>
    <col min="12788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795" width="11.125" style="2" bestFit="1" customWidth="1"/>
    <col min="12796" max="12796" width="9" style="2"/>
    <col min="12797" max="12808" width="11.125" style="2" bestFit="1" customWidth="1"/>
    <col min="12809" max="12811" width="9" style="2"/>
    <col min="12812" max="12812" width="11.125" style="2" bestFit="1" customWidth="1"/>
    <col min="12813" max="12813" width="9" style="2"/>
    <col min="12814" max="12821" width="11.125" style="2" bestFit="1" customWidth="1"/>
    <col min="12822" max="12822" width="9.625" style="2" bestFit="1" customWidth="1"/>
    <col min="12823" max="13040" width="9" style="2"/>
    <col min="13041" max="13041" width="2.375" style="2" customWidth="1"/>
    <col min="13042" max="13043" width="13.25" style="2" bestFit="1" customWidth="1"/>
    <col min="13044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51" width="11.125" style="2" bestFit="1" customWidth="1"/>
    <col min="13052" max="13052" width="9" style="2"/>
    <col min="13053" max="13064" width="11.125" style="2" bestFit="1" customWidth="1"/>
    <col min="13065" max="13067" width="9" style="2"/>
    <col min="13068" max="13068" width="11.125" style="2" bestFit="1" customWidth="1"/>
    <col min="13069" max="13069" width="9" style="2"/>
    <col min="13070" max="13077" width="11.125" style="2" bestFit="1" customWidth="1"/>
    <col min="13078" max="13078" width="9.625" style="2" bestFit="1" customWidth="1"/>
    <col min="13079" max="13296" width="9" style="2"/>
    <col min="13297" max="13297" width="2.375" style="2" customWidth="1"/>
    <col min="13298" max="13299" width="13.25" style="2" bestFit="1" customWidth="1"/>
    <col min="13300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07" width="11.125" style="2" bestFit="1" customWidth="1"/>
    <col min="13308" max="13308" width="9" style="2"/>
    <col min="13309" max="13320" width="11.125" style="2" bestFit="1" customWidth="1"/>
    <col min="13321" max="13323" width="9" style="2"/>
    <col min="13324" max="13324" width="11.125" style="2" bestFit="1" customWidth="1"/>
    <col min="13325" max="13325" width="9" style="2"/>
    <col min="13326" max="13333" width="11.125" style="2" bestFit="1" customWidth="1"/>
    <col min="13334" max="13334" width="9.625" style="2" bestFit="1" customWidth="1"/>
    <col min="13335" max="13552" width="9" style="2"/>
    <col min="13553" max="13553" width="2.375" style="2" customWidth="1"/>
    <col min="13554" max="13555" width="13.25" style="2" bestFit="1" customWidth="1"/>
    <col min="13556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63" width="11.125" style="2" bestFit="1" customWidth="1"/>
    <col min="13564" max="13564" width="9" style="2"/>
    <col min="13565" max="13576" width="11.125" style="2" bestFit="1" customWidth="1"/>
    <col min="13577" max="13579" width="9" style="2"/>
    <col min="13580" max="13580" width="11.125" style="2" bestFit="1" customWidth="1"/>
    <col min="13581" max="13581" width="9" style="2"/>
    <col min="13582" max="13589" width="11.125" style="2" bestFit="1" customWidth="1"/>
    <col min="13590" max="13590" width="9.625" style="2" bestFit="1" customWidth="1"/>
    <col min="13591" max="13808" width="9" style="2"/>
    <col min="13809" max="13809" width="2.375" style="2" customWidth="1"/>
    <col min="13810" max="13811" width="13.25" style="2" bestFit="1" customWidth="1"/>
    <col min="13812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19" width="11.125" style="2" bestFit="1" customWidth="1"/>
    <col min="13820" max="13820" width="9" style="2"/>
    <col min="13821" max="13832" width="11.125" style="2" bestFit="1" customWidth="1"/>
    <col min="13833" max="13835" width="9" style="2"/>
    <col min="13836" max="13836" width="11.125" style="2" bestFit="1" customWidth="1"/>
    <col min="13837" max="13837" width="9" style="2"/>
    <col min="13838" max="13845" width="11.125" style="2" bestFit="1" customWidth="1"/>
    <col min="13846" max="13846" width="9.625" style="2" bestFit="1" customWidth="1"/>
    <col min="13847" max="14064" width="9" style="2"/>
    <col min="14065" max="14065" width="2.375" style="2" customWidth="1"/>
    <col min="14066" max="14067" width="13.25" style="2" bestFit="1" customWidth="1"/>
    <col min="14068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75" width="11.125" style="2" bestFit="1" customWidth="1"/>
    <col min="14076" max="14076" width="9" style="2"/>
    <col min="14077" max="14088" width="11.125" style="2" bestFit="1" customWidth="1"/>
    <col min="14089" max="14091" width="9" style="2"/>
    <col min="14092" max="14092" width="11.125" style="2" bestFit="1" customWidth="1"/>
    <col min="14093" max="14093" width="9" style="2"/>
    <col min="14094" max="14101" width="11.125" style="2" bestFit="1" customWidth="1"/>
    <col min="14102" max="14102" width="9.625" style="2" bestFit="1" customWidth="1"/>
    <col min="14103" max="14320" width="9" style="2"/>
    <col min="14321" max="14321" width="2.375" style="2" customWidth="1"/>
    <col min="14322" max="14323" width="13.25" style="2" bestFit="1" customWidth="1"/>
    <col min="14324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31" width="11.125" style="2" bestFit="1" customWidth="1"/>
    <col min="14332" max="14332" width="9" style="2"/>
    <col min="14333" max="14344" width="11.125" style="2" bestFit="1" customWidth="1"/>
    <col min="14345" max="14347" width="9" style="2"/>
    <col min="14348" max="14348" width="11.125" style="2" bestFit="1" customWidth="1"/>
    <col min="14349" max="14349" width="9" style="2"/>
    <col min="14350" max="14357" width="11.125" style="2" bestFit="1" customWidth="1"/>
    <col min="14358" max="14358" width="9.625" style="2" bestFit="1" customWidth="1"/>
    <col min="14359" max="14576" width="9" style="2"/>
    <col min="14577" max="14577" width="2.375" style="2" customWidth="1"/>
    <col min="14578" max="14579" width="13.25" style="2" bestFit="1" customWidth="1"/>
    <col min="14580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87" width="11.125" style="2" bestFit="1" customWidth="1"/>
    <col min="14588" max="14588" width="9" style="2"/>
    <col min="14589" max="14600" width="11.125" style="2" bestFit="1" customWidth="1"/>
    <col min="14601" max="14603" width="9" style="2"/>
    <col min="14604" max="14604" width="11.125" style="2" bestFit="1" customWidth="1"/>
    <col min="14605" max="14605" width="9" style="2"/>
    <col min="14606" max="14613" width="11.125" style="2" bestFit="1" customWidth="1"/>
    <col min="14614" max="14614" width="9.625" style="2" bestFit="1" customWidth="1"/>
    <col min="14615" max="14832" width="9" style="2"/>
    <col min="14833" max="14833" width="2.375" style="2" customWidth="1"/>
    <col min="14834" max="14835" width="13.25" style="2" bestFit="1" customWidth="1"/>
    <col min="14836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43" width="11.125" style="2" bestFit="1" customWidth="1"/>
    <col min="14844" max="14844" width="9" style="2"/>
    <col min="14845" max="14856" width="11.125" style="2" bestFit="1" customWidth="1"/>
    <col min="14857" max="14859" width="9" style="2"/>
    <col min="14860" max="14860" width="11.125" style="2" bestFit="1" customWidth="1"/>
    <col min="14861" max="14861" width="9" style="2"/>
    <col min="14862" max="14869" width="11.125" style="2" bestFit="1" customWidth="1"/>
    <col min="14870" max="14870" width="9.625" style="2" bestFit="1" customWidth="1"/>
    <col min="14871" max="15088" width="9" style="2"/>
    <col min="15089" max="15089" width="2.375" style="2" customWidth="1"/>
    <col min="15090" max="15091" width="13.25" style="2" bestFit="1" customWidth="1"/>
    <col min="15092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099" width="11.125" style="2" bestFit="1" customWidth="1"/>
    <col min="15100" max="15100" width="9" style="2"/>
    <col min="15101" max="15112" width="11.125" style="2" bestFit="1" customWidth="1"/>
    <col min="15113" max="15115" width="9" style="2"/>
    <col min="15116" max="15116" width="11.125" style="2" bestFit="1" customWidth="1"/>
    <col min="15117" max="15117" width="9" style="2"/>
    <col min="15118" max="15125" width="11.125" style="2" bestFit="1" customWidth="1"/>
    <col min="15126" max="15126" width="9.625" style="2" bestFit="1" customWidth="1"/>
    <col min="15127" max="15344" width="9" style="2"/>
    <col min="15345" max="15345" width="2.375" style="2" customWidth="1"/>
    <col min="15346" max="15347" width="13.25" style="2" bestFit="1" customWidth="1"/>
    <col min="15348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55" width="11.125" style="2" bestFit="1" customWidth="1"/>
    <col min="15356" max="15356" width="9" style="2"/>
    <col min="15357" max="15368" width="11.125" style="2" bestFit="1" customWidth="1"/>
    <col min="15369" max="15371" width="9" style="2"/>
    <col min="15372" max="15372" width="11.125" style="2" bestFit="1" customWidth="1"/>
    <col min="15373" max="15373" width="9" style="2"/>
    <col min="15374" max="15381" width="11.125" style="2" bestFit="1" customWidth="1"/>
    <col min="15382" max="15382" width="9.625" style="2" bestFit="1" customWidth="1"/>
    <col min="15383" max="15600" width="9" style="2"/>
    <col min="15601" max="15601" width="2.375" style="2" customWidth="1"/>
    <col min="15602" max="15603" width="13.25" style="2" bestFit="1" customWidth="1"/>
    <col min="15604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11" width="11.125" style="2" bestFit="1" customWidth="1"/>
    <col min="15612" max="15612" width="9" style="2"/>
    <col min="15613" max="15624" width="11.125" style="2" bestFit="1" customWidth="1"/>
    <col min="15625" max="15627" width="9" style="2"/>
    <col min="15628" max="15628" width="11.125" style="2" bestFit="1" customWidth="1"/>
    <col min="15629" max="15629" width="9" style="2"/>
    <col min="15630" max="15637" width="11.125" style="2" bestFit="1" customWidth="1"/>
    <col min="15638" max="15638" width="9.625" style="2" bestFit="1" customWidth="1"/>
    <col min="15639" max="15856" width="9" style="2"/>
    <col min="15857" max="15857" width="2.375" style="2" customWidth="1"/>
    <col min="15858" max="15859" width="13.25" style="2" bestFit="1" customWidth="1"/>
    <col min="15860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67" width="11.125" style="2" bestFit="1" customWidth="1"/>
    <col min="15868" max="15868" width="9" style="2"/>
    <col min="15869" max="15880" width="11.125" style="2" bestFit="1" customWidth="1"/>
    <col min="15881" max="15883" width="9" style="2"/>
    <col min="15884" max="15884" width="11.125" style="2" bestFit="1" customWidth="1"/>
    <col min="15885" max="15885" width="9" style="2"/>
    <col min="15886" max="15893" width="11.125" style="2" bestFit="1" customWidth="1"/>
    <col min="15894" max="15894" width="9.625" style="2" bestFit="1" customWidth="1"/>
    <col min="15895" max="16112" width="9" style="2"/>
    <col min="16113" max="16113" width="2.375" style="2" customWidth="1"/>
    <col min="16114" max="16115" width="13.25" style="2" bestFit="1" customWidth="1"/>
    <col min="16116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23" width="11.125" style="2" bestFit="1" customWidth="1"/>
    <col min="16124" max="16124" width="9" style="2"/>
    <col min="16125" max="16136" width="11.125" style="2" bestFit="1" customWidth="1"/>
    <col min="16137" max="16139" width="9" style="2"/>
    <col min="16140" max="16140" width="11.125" style="2" bestFit="1" customWidth="1"/>
    <col min="16141" max="16141" width="9" style="2"/>
    <col min="16142" max="16149" width="11.125" style="2" bestFit="1" customWidth="1"/>
    <col min="16150" max="16150" width="9.625" style="2" bestFit="1" customWidth="1"/>
    <col min="16151" max="16384" width="9" style="2"/>
  </cols>
  <sheetData>
    <row r="1" spans="1:24">
      <c r="A1" s="1" t="s">
        <v>0</v>
      </c>
    </row>
    <row r="2" spans="1:24">
      <c r="A2" s="1" t="s">
        <v>1</v>
      </c>
    </row>
    <row r="3" spans="1:24" ht="19.5" thickBot="1">
      <c r="A3" s="1" t="s">
        <v>121</v>
      </c>
    </row>
    <row r="4" spans="1:24">
      <c r="B4" s="3"/>
      <c r="C4" s="10" t="s">
        <v>3</v>
      </c>
      <c r="D4" s="11" t="s">
        <v>4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15</v>
      </c>
      <c r="M4" s="11" t="s">
        <v>16</v>
      </c>
      <c r="N4" s="11" t="s">
        <v>17</v>
      </c>
      <c r="O4" s="11" t="s">
        <v>18</v>
      </c>
      <c r="P4" s="11" t="s">
        <v>19</v>
      </c>
      <c r="Q4" s="11" t="s">
        <v>20</v>
      </c>
      <c r="R4" s="11" t="s">
        <v>21</v>
      </c>
      <c r="S4" s="11" t="s">
        <v>22</v>
      </c>
      <c r="T4" s="11" t="s">
        <v>23</v>
      </c>
      <c r="U4" s="52" t="s">
        <v>24</v>
      </c>
      <c r="V4" s="76" t="s">
        <v>122</v>
      </c>
    </row>
    <row r="5" spans="1:24" ht="19.5" thickBot="1">
      <c r="A5" s="100"/>
      <c r="B5" s="30" t="s">
        <v>32</v>
      </c>
      <c r="C5" s="31" t="s">
        <v>33</v>
      </c>
      <c r="D5" s="32" t="s">
        <v>34</v>
      </c>
      <c r="E5" s="32" t="s">
        <v>38</v>
      </c>
      <c r="F5" s="32" t="s">
        <v>39</v>
      </c>
      <c r="G5" s="32" t="s">
        <v>40</v>
      </c>
      <c r="H5" s="32" t="s">
        <v>41</v>
      </c>
      <c r="I5" s="32" t="s">
        <v>42</v>
      </c>
      <c r="J5" s="32" t="s">
        <v>43</v>
      </c>
      <c r="K5" s="32" t="s">
        <v>44</v>
      </c>
      <c r="L5" s="32" t="s">
        <v>45</v>
      </c>
      <c r="M5" s="32" t="s">
        <v>46</v>
      </c>
      <c r="N5" s="32" t="s">
        <v>47</v>
      </c>
      <c r="O5" s="32" t="s">
        <v>48</v>
      </c>
      <c r="P5" s="32" t="s">
        <v>49</v>
      </c>
      <c r="Q5" s="32" t="s">
        <v>50</v>
      </c>
      <c r="R5" s="32" t="s">
        <v>51</v>
      </c>
      <c r="S5" s="32" t="s">
        <v>52</v>
      </c>
      <c r="T5" s="32" t="s">
        <v>53</v>
      </c>
      <c r="U5" s="53" t="s">
        <v>54</v>
      </c>
      <c r="V5" s="77" t="s">
        <v>125</v>
      </c>
    </row>
    <row r="6" spans="1:24">
      <c r="A6" s="1" t="s">
        <v>2</v>
      </c>
      <c r="B6" s="25" t="s">
        <v>63</v>
      </c>
      <c r="C6" s="26">
        <v>17</v>
      </c>
      <c r="D6" s="27">
        <v>0</v>
      </c>
      <c r="E6" s="27">
        <v>18</v>
      </c>
      <c r="F6" s="27">
        <v>18</v>
      </c>
      <c r="G6" s="27">
        <v>19</v>
      </c>
      <c r="H6" s="27">
        <v>18</v>
      </c>
      <c r="I6" s="27">
        <v>18</v>
      </c>
      <c r="J6" s="27">
        <v>15</v>
      </c>
      <c r="K6" s="27">
        <v>17</v>
      </c>
      <c r="L6" s="27">
        <v>16</v>
      </c>
      <c r="M6" s="27">
        <v>18</v>
      </c>
      <c r="N6" s="27">
        <v>17</v>
      </c>
      <c r="O6" s="27">
        <v>19</v>
      </c>
      <c r="P6" s="27">
        <v>19</v>
      </c>
      <c r="Q6" s="27">
        <v>19</v>
      </c>
      <c r="R6" s="27">
        <v>18</v>
      </c>
      <c r="S6" s="27">
        <v>16</v>
      </c>
      <c r="T6" s="27">
        <v>4</v>
      </c>
      <c r="U6" s="54">
        <v>16</v>
      </c>
      <c r="V6" s="78">
        <f>SUM(C6:U6)</f>
        <v>302</v>
      </c>
      <c r="X6"/>
    </row>
    <row r="7" spans="1:24">
      <c r="A7" s="1" t="s">
        <v>2</v>
      </c>
      <c r="B7" s="4" t="s">
        <v>64</v>
      </c>
      <c r="C7" s="13">
        <v>3</v>
      </c>
      <c r="D7" s="14">
        <v>0</v>
      </c>
      <c r="E7" s="14">
        <v>2</v>
      </c>
      <c r="F7" s="14">
        <v>2</v>
      </c>
      <c r="G7" s="14">
        <v>1</v>
      </c>
      <c r="H7" s="14">
        <v>2</v>
      </c>
      <c r="I7" s="14">
        <v>3</v>
      </c>
      <c r="J7" s="14">
        <v>4</v>
      </c>
      <c r="K7" s="14">
        <v>2</v>
      </c>
      <c r="L7" s="14">
        <v>3</v>
      </c>
      <c r="M7" s="14">
        <v>3</v>
      </c>
      <c r="N7" s="14">
        <v>3</v>
      </c>
      <c r="O7" s="14">
        <v>2</v>
      </c>
      <c r="P7" s="14">
        <v>2</v>
      </c>
      <c r="Q7" s="14">
        <v>3</v>
      </c>
      <c r="R7" s="14">
        <v>1</v>
      </c>
      <c r="S7" s="14">
        <v>4</v>
      </c>
      <c r="T7" s="14">
        <v>0</v>
      </c>
      <c r="U7" s="55">
        <v>1</v>
      </c>
      <c r="V7" s="79">
        <f>SUM(C7:U7)</f>
        <v>41</v>
      </c>
      <c r="X7"/>
    </row>
    <row r="8" spans="1:24">
      <c r="A8" s="1" t="s">
        <v>2</v>
      </c>
      <c r="B8" s="4" t="s">
        <v>65</v>
      </c>
      <c r="C8" s="13">
        <v>5</v>
      </c>
      <c r="D8" s="14">
        <v>0</v>
      </c>
      <c r="E8" s="14">
        <v>5</v>
      </c>
      <c r="F8" s="14">
        <v>3</v>
      </c>
      <c r="G8" s="14">
        <v>6</v>
      </c>
      <c r="H8" s="14">
        <v>4</v>
      </c>
      <c r="I8" s="14">
        <v>4</v>
      </c>
      <c r="J8" s="14">
        <v>3</v>
      </c>
      <c r="K8" s="14">
        <v>4</v>
      </c>
      <c r="L8" s="14">
        <v>5</v>
      </c>
      <c r="M8" s="14">
        <v>2</v>
      </c>
      <c r="N8" s="14">
        <v>3</v>
      </c>
      <c r="O8" s="14">
        <v>5</v>
      </c>
      <c r="P8" s="14">
        <v>3</v>
      </c>
      <c r="Q8" s="14">
        <v>2</v>
      </c>
      <c r="R8" s="14">
        <v>1</v>
      </c>
      <c r="S8" s="14">
        <v>5</v>
      </c>
      <c r="T8" s="14">
        <v>1</v>
      </c>
      <c r="U8" s="55">
        <v>1</v>
      </c>
      <c r="V8" s="79">
        <f t="shared" ref="V8:V11" si="0">SUM(C8:U8)</f>
        <v>62</v>
      </c>
      <c r="X8"/>
    </row>
    <row r="9" spans="1:24">
      <c r="A9" s="1" t="s">
        <v>2</v>
      </c>
      <c r="B9" s="4" t="s">
        <v>66</v>
      </c>
      <c r="C9" s="13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1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1</v>
      </c>
      <c r="T9" s="14">
        <v>0</v>
      </c>
      <c r="U9" s="55">
        <v>2</v>
      </c>
      <c r="V9" s="79">
        <f t="shared" si="0"/>
        <v>4</v>
      </c>
      <c r="X9"/>
    </row>
    <row r="10" spans="1:24">
      <c r="A10" s="1" t="s">
        <v>2</v>
      </c>
      <c r="B10" s="4" t="s">
        <v>67</v>
      </c>
      <c r="C10" s="13">
        <v>2</v>
      </c>
      <c r="D10" s="14">
        <v>0</v>
      </c>
      <c r="E10" s="14">
        <v>1</v>
      </c>
      <c r="F10" s="14">
        <v>1</v>
      </c>
      <c r="G10" s="14">
        <v>0</v>
      </c>
      <c r="H10" s="14">
        <v>1</v>
      </c>
      <c r="I10" s="14">
        <v>1</v>
      </c>
      <c r="J10" s="14">
        <v>4</v>
      </c>
      <c r="K10" s="14">
        <v>2</v>
      </c>
      <c r="L10" s="14">
        <v>3</v>
      </c>
      <c r="M10" s="14">
        <v>0</v>
      </c>
      <c r="N10" s="14">
        <v>2</v>
      </c>
      <c r="O10" s="14">
        <v>0</v>
      </c>
      <c r="P10" s="14">
        <v>0</v>
      </c>
      <c r="Q10" s="14">
        <v>0</v>
      </c>
      <c r="R10" s="14">
        <v>1</v>
      </c>
      <c r="S10" s="14">
        <v>2</v>
      </c>
      <c r="T10" s="14">
        <v>0</v>
      </c>
      <c r="U10" s="55">
        <v>0</v>
      </c>
      <c r="V10" s="79">
        <f t="shared" si="0"/>
        <v>20</v>
      </c>
      <c r="X10"/>
    </row>
    <row r="11" spans="1:24">
      <c r="A11" s="1" t="s">
        <v>2</v>
      </c>
      <c r="B11" s="4" t="s">
        <v>68</v>
      </c>
      <c r="C11" s="13">
        <v>0</v>
      </c>
      <c r="D11" s="14">
        <v>19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16.899999999999999</v>
      </c>
      <c r="U11" s="55">
        <v>1</v>
      </c>
      <c r="V11" s="79">
        <f t="shared" si="0"/>
        <v>36.9</v>
      </c>
      <c r="X11"/>
    </row>
    <row r="12" spans="1:24">
      <c r="A12" s="1" t="s">
        <v>2</v>
      </c>
      <c r="B12" s="4" t="s">
        <v>69</v>
      </c>
      <c r="C12" s="13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55">
        <v>0</v>
      </c>
      <c r="V12" s="79"/>
      <c r="X12"/>
    </row>
    <row r="13" spans="1:24">
      <c r="A13" s="1" t="s">
        <v>2</v>
      </c>
      <c r="B13" s="4" t="s">
        <v>70</v>
      </c>
      <c r="C13" s="16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56">
        <v>0</v>
      </c>
      <c r="V13" s="80"/>
      <c r="X13"/>
    </row>
    <row r="14" spans="1:24">
      <c r="A14" s="1" t="s">
        <v>2</v>
      </c>
      <c r="B14" s="4" t="s">
        <v>71</v>
      </c>
      <c r="C14" s="16">
        <v>1.2083333333333333</v>
      </c>
      <c r="D14" s="17">
        <v>0</v>
      </c>
      <c r="E14" s="17">
        <v>0.54166666666666663</v>
      </c>
      <c r="F14" s="17">
        <v>2.125</v>
      </c>
      <c r="G14" s="17">
        <v>1.2083333333333333</v>
      </c>
      <c r="H14" s="17">
        <v>2.625</v>
      </c>
      <c r="I14" s="17">
        <v>2.25</v>
      </c>
      <c r="J14" s="17">
        <v>1.75</v>
      </c>
      <c r="K14" s="17">
        <v>2</v>
      </c>
      <c r="L14" s="17">
        <v>0.70833333333333337</v>
      </c>
      <c r="M14" s="17">
        <v>1.6666666666666665</v>
      </c>
      <c r="N14" s="17">
        <v>1.4166666666666667</v>
      </c>
      <c r="O14" s="17">
        <v>1.5</v>
      </c>
      <c r="P14" s="17">
        <v>2.7083333333333335</v>
      </c>
      <c r="Q14" s="17">
        <v>3</v>
      </c>
      <c r="R14" s="17">
        <v>1.25</v>
      </c>
      <c r="S14" s="17">
        <v>1.3333333333333333</v>
      </c>
      <c r="T14" s="17">
        <v>0.25</v>
      </c>
      <c r="U14" s="56">
        <v>2.2916666666666665</v>
      </c>
      <c r="V14" s="80">
        <f>SUM(C14:U14)</f>
        <v>29.833333333333332</v>
      </c>
      <c r="X14"/>
    </row>
    <row r="15" spans="1:24">
      <c r="A15" s="1" t="s">
        <v>2</v>
      </c>
      <c r="B15" s="4" t="s">
        <v>72</v>
      </c>
      <c r="C15" s="16">
        <v>1.25</v>
      </c>
      <c r="D15" s="17">
        <v>0</v>
      </c>
      <c r="E15" s="17">
        <v>0.58333333333333337</v>
      </c>
      <c r="F15" s="17">
        <v>0.79166666666666663</v>
      </c>
      <c r="G15" s="17">
        <v>0.375</v>
      </c>
      <c r="H15" s="17">
        <v>0.83333333333333337</v>
      </c>
      <c r="I15" s="17">
        <v>1.0833333333333333</v>
      </c>
      <c r="J15" s="17">
        <v>1.625</v>
      </c>
      <c r="K15" s="17">
        <v>0.66666666666666663</v>
      </c>
      <c r="L15" s="17">
        <v>0.95833333333333337</v>
      </c>
      <c r="M15" s="17">
        <v>0.91666666666666663</v>
      </c>
      <c r="N15" s="17">
        <v>1.375</v>
      </c>
      <c r="O15" s="17">
        <v>0.83333333333333337</v>
      </c>
      <c r="P15" s="17">
        <v>0.58333333333333337</v>
      </c>
      <c r="Q15" s="17">
        <v>0.45833333333333331</v>
      </c>
      <c r="R15" s="17">
        <v>0.375</v>
      </c>
      <c r="S15" s="17">
        <v>1.25</v>
      </c>
      <c r="T15" s="17">
        <v>0</v>
      </c>
      <c r="U15" s="56">
        <v>0</v>
      </c>
      <c r="V15" s="80">
        <f t="shared" ref="V15:V18" si="1">SUM(C15:U15)</f>
        <v>13.958333333333336</v>
      </c>
      <c r="X15"/>
    </row>
    <row r="16" spans="1:24">
      <c r="A16" s="1" t="s">
        <v>2</v>
      </c>
      <c r="B16" s="4" t="s">
        <v>73</v>
      </c>
      <c r="C16" s="16">
        <v>1.6666666666666665</v>
      </c>
      <c r="D16" s="17">
        <v>0</v>
      </c>
      <c r="E16" s="17">
        <v>1.375</v>
      </c>
      <c r="F16" s="17">
        <v>1.375</v>
      </c>
      <c r="G16" s="17">
        <v>1.75</v>
      </c>
      <c r="H16" s="17">
        <v>1.1666666666666667</v>
      </c>
      <c r="I16" s="17">
        <v>1.75</v>
      </c>
      <c r="J16" s="17">
        <v>1.0833333333333333</v>
      </c>
      <c r="K16" s="17">
        <v>1.5416666666666665</v>
      </c>
      <c r="L16" s="17">
        <v>1.2916666666666667</v>
      </c>
      <c r="M16" s="17">
        <v>0.95833333333333337</v>
      </c>
      <c r="N16" s="17">
        <v>1.375</v>
      </c>
      <c r="O16" s="17">
        <v>1.5833333333333335</v>
      </c>
      <c r="P16" s="17">
        <v>1.2083333333333333</v>
      </c>
      <c r="Q16" s="17">
        <v>0.5</v>
      </c>
      <c r="R16" s="17">
        <v>0.375</v>
      </c>
      <c r="S16" s="17">
        <v>1.9166666666666665</v>
      </c>
      <c r="T16" s="17">
        <v>0.33333333333333331</v>
      </c>
      <c r="U16" s="56">
        <v>0</v>
      </c>
      <c r="V16" s="80">
        <f t="shared" si="1"/>
        <v>21.249999999999996</v>
      </c>
      <c r="X16"/>
    </row>
    <row r="17" spans="1:24">
      <c r="A17" s="1" t="s">
        <v>2</v>
      </c>
      <c r="B17" s="4" t="s">
        <v>74</v>
      </c>
      <c r="C17" s="16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0.5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0.25</v>
      </c>
      <c r="T17" s="17">
        <v>0</v>
      </c>
      <c r="U17" s="56">
        <v>0.54166666666666663</v>
      </c>
      <c r="V17" s="80">
        <f t="shared" si="1"/>
        <v>1.2916666666666665</v>
      </c>
      <c r="X17"/>
    </row>
    <row r="18" spans="1:24">
      <c r="A18" s="1" t="s">
        <v>2</v>
      </c>
      <c r="B18" s="4" t="s">
        <v>75</v>
      </c>
      <c r="C18" s="16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56">
        <v>0.45833333333333331</v>
      </c>
      <c r="V18" s="80">
        <f t="shared" si="1"/>
        <v>0.45833333333333331</v>
      </c>
      <c r="X18"/>
    </row>
    <row r="19" spans="1:24">
      <c r="A19" s="1" t="s">
        <v>2</v>
      </c>
      <c r="B19" s="4" t="s">
        <v>76</v>
      </c>
      <c r="C19" s="16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56">
        <v>0</v>
      </c>
      <c r="V19" s="80"/>
      <c r="X19"/>
    </row>
    <row r="20" spans="1:24">
      <c r="A20" s="1" t="s">
        <v>2</v>
      </c>
      <c r="B20" s="4" t="s">
        <v>77</v>
      </c>
      <c r="C20" s="16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56">
        <v>0</v>
      </c>
      <c r="V20" s="80"/>
      <c r="X20"/>
    </row>
    <row r="21" spans="1:24">
      <c r="A21" s="1" t="s">
        <v>2</v>
      </c>
      <c r="B21" s="4" t="s">
        <v>78</v>
      </c>
      <c r="C21" s="16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56">
        <v>0</v>
      </c>
      <c r="V21" s="80"/>
      <c r="X21"/>
    </row>
    <row r="22" spans="1:24">
      <c r="A22" s="1" t="s">
        <v>2</v>
      </c>
      <c r="B22" s="4" t="s">
        <v>79</v>
      </c>
      <c r="C22" s="16">
        <v>0.375</v>
      </c>
      <c r="D22" s="17">
        <v>0</v>
      </c>
      <c r="E22" s="17">
        <v>0</v>
      </c>
      <c r="F22" s="17">
        <v>0.91666666666666663</v>
      </c>
      <c r="G22" s="17">
        <v>0.16666666666666666</v>
      </c>
      <c r="H22" s="17">
        <v>1.5</v>
      </c>
      <c r="I22" s="17">
        <v>8.3333333333333329E-2</v>
      </c>
      <c r="J22" s="17">
        <v>0.16666666666666666</v>
      </c>
      <c r="K22" s="17">
        <v>0.16666666666666666</v>
      </c>
      <c r="L22" s="17">
        <v>8.3333333333333329E-2</v>
      </c>
      <c r="M22" s="17">
        <v>0.29166666666666669</v>
      </c>
      <c r="N22" s="17">
        <v>1.375</v>
      </c>
      <c r="O22" s="17">
        <v>0.125</v>
      </c>
      <c r="P22" s="17">
        <v>1.4583333333333333</v>
      </c>
      <c r="Q22" s="17">
        <v>1.4166666666666667</v>
      </c>
      <c r="R22" s="17">
        <v>1.125</v>
      </c>
      <c r="S22" s="17">
        <v>0.95833333333333337</v>
      </c>
      <c r="T22" s="17">
        <v>4.1666666666666664E-2</v>
      </c>
      <c r="U22" s="56">
        <v>1.375</v>
      </c>
      <c r="V22" s="80">
        <f>SUM(C22:U22)</f>
        <v>11.625</v>
      </c>
      <c r="X22"/>
    </row>
    <row r="23" spans="1:24" ht="19.5" thickBot="1">
      <c r="A23" s="1" t="s">
        <v>2</v>
      </c>
      <c r="B23" s="5" t="s">
        <v>80</v>
      </c>
      <c r="C23" s="38">
        <v>24</v>
      </c>
      <c r="D23" s="39">
        <v>35</v>
      </c>
      <c r="E23" s="39">
        <v>36</v>
      </c>
      <c r="F23" s="39">
        <v>39</v>
      </c>
      <c r="G23" s="39">
        <v>33</v>
      </c>
      <c r="H23" s="39">
        <v>39</v>
      </c>
      <c r="I23" s="39">
        <v>38</v>
      </c>
      <c r="J23" s="39">
        <v>25</v>
      </c>
      <c r="K23" s="39">
        <v>34</v>
      </c>
      <c r="L23" s="39">
        <v>37</v>
      </c>
      <c r="M23" s="39">
        <v>0</v>
      </c>
      <c r="N23" s="39">
        <v>16</v>
      </c>
      <c r="O23" s="39">
        <v>30</v>
      </c>
      <c r="P23" s="39">
        <v>25</v>
      </c>
      <c r="Q23" s="39">
        <v>22</v>
      </c>
      <c r="R23" s="39">
        <v>20</v>
      </c>
      <c r="S23" s="39">
        <v>10</v>
      </c>
      <c r="T23" s="39">
        <v>0</v>
      </c>
      <c r="U23" s="57">
        <v>0</v>
      </c>
      <c r="V23" s="81">
        <f>SUM(C23:U23)</f>
        <v>463</v>
      </c>
      <c r="X23"/>
    </row>
    <row r="24" spans="1:24">
      <c r="A24" s="1" t="s">
        <v>2</v>
      </c>
      <c r="B24" s="25" t="s">
        <v>81</v>
      </c>
      <c r="C24" s="34">
        <v>177000</v>
      </c>
      <c r="D24" s="35">
        <v>0</v>
      </c>
      <c r="E24" s="35">
        <v>187000</v>
      </c>
      <c r="F24" s="35">
        <v>192000</v>
      </c>
      <c r="G24" s="35">
        <v>182000</v>
      </c>
      <c r="H24" s="35">
        <v>187000</v>
      </c>
      <c r="I24" s="35">
        <v>177000</v>
      </c>
      <c r="J24" s="35">
        <v>177000</v>
      </c>
      <c r="K24" s="35">
        <v>172000</v>
      </c>
      <c r="L24" s="35">
        <v>187000</v>
      </c>
      <c r="M24" s="35">
        <v>177000</v>
      </c>
      <c r="N24" s="35">
        <v>177000</v>
      </c>
      <c r="O24" s="35">
        <v>170000</v>
      </c>
      <c r="P24" s="35">
        <v>177000</v>
      </c>
      <c r="Q24" s="35">
        <v>175000</v>
      </c>
      <c r="R24" s="35">
        <v>175000</v>
      </c>
      <c r="S24" s="35">
        <v>170000</v>
      </c>
      <c r="T24" s="35">
        <v>170000</v>
      </c>
      <c r="U24" s="58">
        <v>170000</v>
      </c>
      <c r="V24" s="82">
        <f>SUM(C24:U24)</f>
        <v>3199000</v>
      </c>
      <c r="X24"/>
    </row>
    <row r="25" spans="1:24">
      <c r="A25" s="1" t="s">
        <v>2</v>
      </c>
      <c r="B25" s="4" t="s">
        <v>82</v>
      </c>
      <c r="C25" s="19">
        <v>0</v>
      </c>
      <c r="D25" s="20">
        <v>0</v>
      </c>
      <c r="E25" s="20">
        <v>20000</v>
      </c>
      <c r="F25" s="20">
        <v>5000</v>
      </c>
      <c r="G25" s="20">
        <v>5000</v>
      </c>
      <c r="H25" s="20">
        <v>5000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59">
        <v>0</v>
      </c>
      <c r="V25" s="83">
        <f t="shared" ref="V25:V62" si="2">SUM(C25:U25)</f>
        <v>35000</v>
      </c>
      <c r="X25"/>
    </row>
    <row r="26" spans="1:24">
      <c r="A26" s="1" t="s">
        <v>2</v>
      </c>
      <c r="B26" s="4" t="s">
        <v>83</v>
      </c>
      <c r="C26" s="19">
        <v>0</v>
      </c>
      <c r="D26" s="20">
        <v>0</v>
      </c>
      <c r="E26" s="20">
        <v>3000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59">
        <v>0</v>
      </c>
      <c r="V26" s="83">
        <f t="shared" si="2"/>
        <v>3000</v>
      </c>
      <c r="X26"/>
    </row>
    <row r="27" spans="1:24">
      <c r="A27" s="1" t="s">
        <v>2</v>
      </c>
      <c r="B27" s="4" t="s">
        <v>84</v>
      </c>
      <c r="C27" s="19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59">
        <v>0</v>
      </c>
      <c r="V27" s="83">
        <f t="shared" si="2"/>
        <v>0</v>
      </c>
      <c r="X27"/>
    </row>
    <row r="28" spans="1:24">
      <c r="A28" s="1" t="s">
        <v>2</v>
      </c>
      <c r="B28" s="4" t="s">
        <v>85</v>
      </c>
      <c r="C28" s="19">
        <v>0</v>
      </c>
      <c r="D28" s="20">
        <v>0</v>
      </c>
      <c r="E28" s="20">
        <v>70419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67472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59">
        <v>0</v>
      </c>
      <c r="V28" s="83">
        <f t="shared" si="2"/>
        <v>137891</v>
      </c>
      <c r="X28"/>
    </row>
    <row r="29" spans="1:24">
      <c r="A29" s="1" t="s">
        <v>2</v>
      </c>
      <c r="B29" s="4" t="s">
        <v>86</v>
      </c>
      <c r="C29" s="19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59">
        <v>0</v>
      </c>
      <c r="V29" s="83">
        <f t="shared" si="2"/>
        <v>0</v>
      </c>
      <c r="X29"/>
    </row>
    <row r="30" spans="1:24">
      <c r="A30" s="1" t="s">
        <v>2</v>
      </c>
      <c r="B30" s="4" t="s">
        <v>87</v>
      </c>
      <c r="C30" s="19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59">
        <v>0</v>
      </c>
      <c r="V30" s="83">
        <f t="shared" si="2"/>
        <v>0</v>
      </c>
      <c r="X30"/>
    </row>
    <row r="31" spans="1:24">
      <c r="A31" s="1" t="s">
        <v>2</v>
      </c>
      <c r="B31" s="4" t="s">
        <v>88</v>
      </c>
      <c r="C31" s="19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59">
        <v>0</v>
      </c>
      <c r="V31" s="83">
        <f t="shared" si="2"/>
        <v>0</v>
      </c>
      <c r="X31"/>
    </row>
    <row r="32" spans="1:24">
      <c r="A32" s="1" t="s">
        <v>2</v>
      </c>
      <c r="B32" s="4" t="s">
        <v>89</v>
      </c>
      <c r="C32" s="19">
        <v>1000</v>
      </c>
      <c r="D32" s="20">
        <v>0</v>
      </c>
      <c r="E32" s="20">
        <v>1000</v>
      </c>
      <c r="F32" s="20">
        <v>1000</v>
      </c>
      <c r="G32" s="20">
        <v>0</v>
      </c>
      <c r="H32" s="20">
        <v>1000</v>
      </c>
      <c r="I32" s="20">
        <v>1000</v>
      </c>
      <c r="J32" s="20">
        <v>1000</v>
      </c>
      <c r="K32" s="20">
        <v>1000</v>
      </c>
      <c r="L32" s="20">
        <v>1000</v>
      </c>
      <c r="M32" s="20">
        <v>1000</v>
      </c>
      <c r="N32" s="20">
        <v>1000</v>
      </c>
      <c r="O32" s="20">
        <v>1000</v>
      </c>
      <c r="P32" s="20">
        <v>1000</v>
      </c>
      <c r="Q32" s="20">
        <v>1000</v>
      </c>
      <c r="R32" s="20">
        <v>1000</v>
      </c>
      <c r="S32" s="20">
        <v>0</v>
      </c>
      <c r="T32" s="20">
        <v>0</v>
      </c>
      <c r="U32" s="59">
        <v>0</v>
      </c>
      <c r="V32" s="83">
        <f t="shared" si="2"/>
        <v>14000</v>
      </c>
      <c r="X32"/>
    </row>
    <row r="33" spans="1:24">
      <c r="A33" s="1" t="s">
        <v>2</v>
      </c>
      <c r="B33" s="4" t="s">
        <v>90</v>
      </c>
      <c r="C33" s="19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59">
        <v>0</v>
      </c>
      <c r="V33" s="83">
        <f t="shared" si="2"/>
        <v>0</v>
      </c>
      <c r="X33"/>
    </row>
    <row r="34" spans="1:24">
      <c r="A34" s="1" t="s">
        <v>2</v>
      </c>
      <c r="B34" s="4" t="s">
        <v>91</v>
      </c>
      <c r="C34" s="19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59">
        <v>0</v>
      </c>
      <c r="V34" s="83">
        <f t="shared" si="2"/>
        <v>0</v>
      </c>
      <c r="X34"/>
    </row>
    <row r="35" spans="1:24">
      <c r="A35" s="1" t="s">
        <v>2</v>
      </c>
      <c r="B35" s="4" t="s">
        <v>92</v>
      </c>
      <c r="C35" s="19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59">
        <v>0</v>
      </c>
      <c r="V35" s="83">
        <f t="shared" si="2"/>
        <v>0</v>
      </c>
      <c r="X35"/>
    </row>
    <row r="36" spans="1:24">
      <c r="A36" s="1" t="s">
        <v>2</v>
      </c>
      <c r="B36" s="4" t="s">
        <v>93</v>
      </c>
      <c r="C36" s="19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59">
        <v>0</v>
      </c>
      <c r="V36" s="83">
        <f t="shared" si="2"/>
        <v>0</v>
      </c>
      <c r="X36"/>
    </row>
    <row r="37" spans="1:24">
      <c r="A37" s="1" t="s">
        <v>2</v>
      </c>
      <c r="B37" s="4" t="s">
        <v>94</v>
      </c>
      <c r="C37" s="19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63">
        <v>-137447</v>
      </c>
      <c r="U37" s="64">
        <v>-8133</v>
      </c>
      <c r="V37" s="84">
        <f t="shared" si="2"/>
        <v>-145580</v>
      </c>
      <c r="X37"/>
    </row>
    <row r="38" spans="1:24">
      <c r="A38" s="1" t="s">
        <v>2</v>
      </c>
      <c r="B38" s="4" t="s">
        <v>71</v>
      </c>
      <c r="C38" s="19">
        <v>38657</v>
      </c>
      <c r="D38" s="20">
        <v>0</v>
      </c>
      <c r="E38" s="20">
        <v>20527</v>
      </c>
      <c r="F38" s="20">
        <v>75633</v>
      </c>
      <c r="G38" s="20">
        <v>40600</v>
      </c>
      <c r="H38" s="20">
        <v>91035</v>
      </c>
      <c r="I38" s="20">
        <v>71982</v>
      </c>
      <c r="J38" s="20">
        <v>55986</v>
      </c>
      <c r="K38" s="20">
        <v>62160</v>
      </c>
      <c r="L38" s="20">
        <v>23936</v>
      </c>
      <c r="M38" s="20">
        <v>53320</v>
      </c>
      <c r="N38" s="20">
        <v>45322</v>
      </c>
      <c r="O38" s="20">
        <v>46080</v>
      </c>
      <c r="P38" s="20">
        <v>86645</v>
      </c>
      <c r="Q38" s="20">
        <v>94896</v>
      </c>
      <c r="R38" s="20">
        <v>39540</v>
      </c>
      <c r="S38" s="20">
        <v>40736</v>
      </c>
      <c r="T38" s="20">
        <v>7638</v>
      </c>
      <c r="U38" s="59">
        <v>70015</v>
      </c>
      <c r="V38" s="83">
        <f t="shared" si="2"/>
        <v>964708</v>
      </c>
      <c r="X38"/>
    </row>
    <row r="39" spans="1:24">
      <c r="A39" s="1" t="s">
        <v>2</v>
      </c>
      <c r="B39" s="4" t="s">
        <v>95</v>
      </c>
      <c r="C39" s="19">
        <v>43170</v>
      </c>
      <c r="D39" s="20">
        <v>0</v>
      </c>
      <c r="E39" s="20">
        <v>23870</v>
      </c>
      <c r="F39" s="20">
        <v>30419</v>
      </c>
      <c r="G39" s="20">
        <v>13608</v>
      </c>
      <c r="H39" s="20">
        <v>31220</v>
      </c>
      <c r="I39" s="20">
        <v>37414</v>
      </c>
      <c r="J39" s="20">
        <v>56121</v>
      </c>
      <c r="K39" s="20">
        <v>22384</v>
      </c>
      <c r="L39" s="20">
        <v>34960</v>
      </c>
      <c r="M39" s="20">
        <v>31658</v>
      </c>
      <c r="N39" s="20">
        <v>47487</v>
      </c>
      <c r="O39" s="20">
        <v>27640</v>
      </c>
      <c r="P39" s="20">
        <v>20146</v>
      </c>
      <c r="Q39" s="20">
        <v>15653</v>
      </c>
      <c r="R39" s="20">
        <v>12807</v>
      </c>
      <c r="S39" s="20">
        <v>41220</v>
      </c>
      <c r="T39" s="20">
        <v>0</v>
      </c>
      <c r="U39" s="59">
        <v>0</v>
      </c>
      <c r="V39" s="83">
        <f t="shared" si="2"/>
        <v>489777</v>
      </c>
      <c r="X39"/>
    </row>
    <row r="40" spans="1:24">
      <c r="A40" s="1" t="s">
        <v>2</v>
      </c>
      <c r="B40" s="4" t="s">
        <v>96</v>
      </c>
      <c r="C40" s="19">
        <v>57560</v>
      </c>
      <c r="D40" s="20">
        <v>0</v>
      </c>
      <c r="E40" s="20">
        <v>56265</v>
      </c>
      <c r="F40" s="20">
        <v>52833</v>
      </c>
      <c r="G40" s="20">
        <v>63504</v>
      </c>
      <c r="H40" s="20">
        <v>43708</v>
      </c>
      <c r="I40" s="20">
        <v>60438</v>
      </c>
      <c r="J40" s="20">
        <v>37414</v>
      </c>
      <c r="K40" s="20">
        <v>51763</v>
      </c>
      <c r="L40" s="20">
        <v>47120</v>
      </c>
      <c r="M40" s="20">
        <v>33097</v>
      </c>
      <c r="N40" s="20">
        <v>47487</v>
      </c>
      <c r="O40" s="20">
        <v>52516</v>
      </c>
      <c r="P40" s="20">
        <v>41731</v>
      </c>
      <c r="Q40" s="20">
        <v>17076</v>
      </c>
      <c r="R40" s="20">
        <v>12807</v>
      </c>
      <c r="S40" s="20">
        <v>63204</v>
      </c>
      <c r="T40" s="20">
        <v>10992</v>
      </c>
      <c r="U40" s="59">
        <v>0</v>
      </c>
      <c r="V40" s="83">
        <f t="shared" si="2"/>
        <v>749515</v>
      </c>
      <c r="X40"/>
    </row>
    <row r="41" spans="1:24">
      <c r="A41" s="1" t="s">
        <v>2</v>
      </c>
      <c r="B41" s="4" t="s">
        <v>97</v>
      </c>
      <c r="C41" s="19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4476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2136</v>
      </c>
      <c r="T41" s="20">
        <v>0</v>
      </c>
      <c r="U41" s="59">
        <v>4628</v>
      </c>
      <c r="V41" s="83">
        <f t="shared" si="2"/>
        <v>11240</v>
      </c>
      <c r="X41"/>
    </row>
    <row r="42" spans="1:24">
      <c r="A42" s="1" t="s">
        <v>2</v>
      </c>
      <c r="B42" s="4" t="s">
        <v>98</v>
      </c>
      <c r="C42" s="19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59">
        <v>3916</v>
      </c>
      <c r="V42" s="83">
        <f t="shared" si="2"/>
        <v>3916</v>
      </c>
      <c r="X42"/>
    </row>
    <row r="43" spans="1:24">
      <c r="A43" s="1" t="s">
        <v>2</v>
      </c>
      <c r="B43" s="4" t="s">
        <v>99</v>
      </c>
      <c r="C43" s="19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59">
        <v>0</v>
      </c>
      <c r="V43" s="83">
        <f t="shared" si="2"/>
        <v>0</v>
      </c>
      <c r="X43"/>
    </row>
    <row r="44" spans="1:24" ht="19.5" thickBot="1">
      <c r="A44" s="1" t="s">
        <v>2</v>
      </c>
      <c r="B44" s="42" t="s">
        <v>79</v>
      </c>
      <c r="C44" s="43">
        <v>2403</v>
      </c>
      <c r="D44" s="44">
        <v>0</v>
      </c>
      <c r="E44" s="44">
        <v>0</v>
      </c>
      <c r="F44" s="44">
        <v>6534</v>
      </c>
      <c r="G44" s="44">
        <v>1120</v>
      </c>
      <c r="H44" s="44">
        <v>10404</v>
      </c>
      <c r="I44" s="44">
        <v>534</v>
      </c>
      <c r="J44" s="44">
        <v>1068</v>
      </c>
      <c r="K44" s="44">
        <v>1036</v>
      </c>
      <c r="L44" s="44">
        <v>564</v>
      </c>
      <c r="M44" s="44">
        <v>1869</v>
      </c>
      <c r="N44" s="44">
        <v>8811</v>
      </c>
      <c r="O44" s="44">
        <v>768</v>
      </c>
      <c r="P44" s="44">
        <v>9345</v>
      </c>
      <c r="Q44" s="44">
        <v>8976</v>
      </c>
      <c r="R44" s="44">
        <v>7128</v>
      </c>
      <c r="S44" s="44">
        <v>5865</v>
      </c>
      <c r="T44" s="44">
        <v>255</v>
      </c>
      <c r="U44" s="60">
        <v>8415</v>
      </c>
      <c r="V44" s="85">
        <f t="shared" si="2"/>
        <v>75095</v>
      </c>
      <c r="X44"/>
    </row>
    <row r="45" spans="1:24" ht="19.5" thickBot="1">
      <c r="A45" s="1" t="s">
        <v>2</v>
      </c>
      <c r="B45" s="47" t="s">
        <v>100</v>
      </c>
      <c r="C45" s="48">
        <v>319790</v>
      </c>
      <c r="D45" s="49">
        <v>0</v>
      </c>
      <c r="E45" s="49">
        <v>382081</v>
      </c>
      <c r="F45" s="49">
        <v>363419</v>
      </c>
      <c r="G45" s="49">
        <v>305832</v>
      </c>
      <c r="H45" s="49">
        <v>369367</v>
      </c>
      <c r="I45" s="49">
        <v>348368</v>
      </c>
      <c r="J45" s="49">
        <v>328589</v>
      </c>
      <c r="K45" s="49">
        <v>310343</v>
      </c>
      <c r="L45" s="49">
        <v>362052</v>
      </c>
      <c r="M45" s="49">
        <v>302420</v>
      </c>
      <c r="N45" s="49">
        <v>327107</v>
      </c>
      <c r="O45" s="49">
        <v>298004</v>
      </c>
      <c r="P45" s="49">
        <v>335867</v>
      </c>
      <c r="Q45" s="49">
        <v>312601</v>
      </c>
      <c r="R45" s="49">
        <v>248282</v>
      </c>
      <c r="S45" s="49">
        <v>323161</v>
      </c>
      <c r="T45" s="49">
        <v>51438</v>
      </c>
      <c r="U45" s="61">
        <v>248841</v>
      </c>
      <c r="V45" s="86">
        <f t="shared" si="2"/>
        <v>5537562</v>
      </c>
      <c r="X45"/>
    </row>
    <row r="46" spans="1:24" ht="19.5" thickBot="1">
      <c r="A46" s="1" t="s">
        <v>2</v>
      </c>
      <c r="B46" s="25" t="s">
        <v>101</v>
      </c>
      <c r="C46" s="34">
        <v>13047</v>
      </c>
      <c r="D46" s="35">
        <v>0</v>
      </c>
      <c r="E46" s="35">
        <v>5871</v>
      </c>
      <c r="F46" s="35">
        <v>3001</v>
      </c>
      <c r="G46" s="35">
        <v>15604</v>
      </c>
      <c r="H46" s="35">
        <v>2505</v>
      </c>
      <c r="I46" s="35">
        <v>2610</v>
      </c>
      <c r="J46" s="35">
        <v>1149</v>
      </c>
      <c r="K46" s="35">
        <v>3001</v>
      </c>
      <c r="L46" s="35">
        <v>5010</v>
      </c>
      <c r="M46" s="35">
        <v>6002</v>
      </c>
      <c r="N46" s="35">
        <v>4201</v>
      </c>
      <c r="O46" s="35">
        <v>8141</v>
      </c>
      <c r="P46" s="35">
        <v>3758</v>
      </c>
      <c r="Q46" s="35">
        <v>6263</v>
      </c>
      <c r="R46" s="35">
        <v>8872</v>
      </c>
      <c r="S46" s="35">
        <v>4567</v>
      </c>
      <c r="T46" s="35">
        <v>1566</v>
      </c>
      <c r="U46" s="58">
        <v>7515</v>
      </c>
      <c r="V46" s="82">
        <f t="shared" si="2"/>
        <v>102683</v>
      </c>
      <c r="X46"/>
    </row>
    <row r="47" spans="1:24" ht="19.5" thickBot="1">
      <c r="A47" s="1" t="s">
        <v>2</v>
      </c>
      <c r="B47" s="47" t="s">
        <v>102</v>
      </c>
      <c r="C47" s="48">
        <v>13047</v>
      </c>
      <c r="D47" s="49">
        <v>0</v>
      </c>
      <c r="E47" s="49">
        <v>5871</v>
      </c>
      <c r="F47" s="49">
        <v>3001</v>
      </c>
      <c r="G47" s="49">
        <v>15604</v>
      </c>
      <c r="H47" s="49">
        <v>2505</v>
      </c>
      <c r="I47" s="49">
        <v>2610</v>
      </c>
      <c r="J47" s="49">
        <v>1149</v>
      </c>
      <c r="K47" s="49">
        <v>3001</v>
      </c>
      <c r="L47" s="49">
        <v>5010</v>
      </c>
      <c r="M47" s="49">
        <v>6002</v>
      </c>
      <c r="N47" s="49">
        <v>4201</v>
      </c>
      <c r="O47" s="49">
        <v>8141</v>
      </c>
      <c r="P47" s="49">
        <v>3758</v>
      </c>
      <c r="Q47" s="49">
        <v>6263</v>
      </c>
      <c r="R47" s="49">
        <v>8872</v>
      </c>
      <c r="S47" s="49">
        <v>4567</v>
      </c>
      <c r="T47" s="49">
        <v>1566</v>
      </c>
      <c r="U47" s="61">
        <v>7515</v>
      </c>
      <c r="V47" s="86">
        <f t="shared" si="2"/>
        <v>102683</v>
      </c>
      <c r="X47"/>
    </row>
    <row r="48" spans="1:24" ht="19.5" thickBot="1">
      <c r="A48" s="1" t="s">
        <v>2</v>
      </c>
      <c r="B48" s="47" t="s">
        <v>103</v>
      </c>
      <c r="C48" s="48">
        <v>332837</v>
      </c>
      <c r="D48" s="49">
        <v>0</v>
      </c>
      <c r="E48" s="49">
        <v>387952</v>
      </c>
      <c r="F48" s="49">
        <v>366420</v>
      </c>
      <c r="G48" s="49">
        <v>321436</v>
      </c>
      <c r="H48" s="49">
        <v>371872</v>
      </c>
      <c r="I48" s="49">
        <v>350978</v>
      </c>
      <c r="J48" s="49">
        <v>329738</v>
      </c>
      <c r="K48" s="49">
        <v>313344</v>
      </c>
      <c r="L48" s="49">
        <v>367062</v>
      </c>
      <c r="M48" s="49">
        <v>308422</v>
      </c>
      <c r="N48" s="49">
        <v>331308</v>
      </c>
      <c r="O48" s="49">
        <v>306145</v>
      </c>
      <c r="P48" s="49">
        <v>339625</v>
      </c>
      <c r="Q48" s="49">
        <v>318864</v>
      </c>
      <c r="R48" s="49">
        <v>257154</v>
      </c>
      <c r="S48" s="49">
        <v>327728</v>
      </c>
      <c r="T48" s="49">
        <v>53004</v>
      </c>
      <c r="U48" s="61">
        <v>256356</v>
      </c>
      <c r="V48" s="86">
        <f t="shared" si="2"/>
        <v>5640245</v>
      </c>
      <c r="X48"/>
    </row>
    <row r="49" spans="1:24">
      <c r="A49" s="1" t="s">
        <v>2</v>
      </c>
      <c r="B49" s="25" t="s">
        <v>104</v>
      </c>
      <c r="C49" s="34">
        <v>16320</v>
      </c>
      <c r="D49" s="35">
        <v>19380</v>
      </c>
      <c r="E49" s="35">
        <v>19380</v>
      </c>
      <c r="F49" s="35">
        <v>20910</v>
      </c>
      <c r="G49" s="35">
        <v>19380</v>
      </c>
      <c r="H49" s="35">
        <v>20910</v>
      </c>
      <c r="I49" s="35">
        <v>16320</v>
      </c>
      <c r="J49" s="35">
        <v>15300</v>
      </c>
      <c r="K49" s="35">
        <v>16320</v>
      </c>
      <c r="L49" s="35">
        <v>17340</v>
      </c>
      <c r="M49" s="35">
        <v>16320</v>
      </c>
      <c r="N49" s="35">
        <v>17340</v>
      </c>
      <c r="O49" s="35">
        <v>15300</v>
      </c>
      <c r="P49" s="35">
        <v>19380</v>
      </c>
      <c r="Q49" s="35">
        <v>17340</v>
      </c>
      <c r="R49" s="35">
        <v>15300</v>
      </c>
      <c r="S49" s="35">
        <v>13260</v>
      </c>
      <c r="T49" s="35">
        <v>0</v>
      </c>
      <c r="U49" s="58">
        <v>13260</v>
      </c>
      <c r="V49" s="82">
        <f t="shared" si="2"/>
        <v>309060</v>
      </c>
      <c r="X49"/>
    </row>
    <row r="50" spans="1:24">
      <c r="A50" s="1" t="s">
        <v>2</v>
      </c>
      <c r="B50" s="4" t="s">
        <v>105</v>
      </c>
      <c r="C50" s="19">
        <v>2880</v>
      </c>
      <c r="D50" s="20">
        <v>3420</v>
      </c>
      <c r="E50" s="20">
        <v>3420</v>
      </c>
      <c r="F50" s="20">
        <v>3690</v>
      </c>
      <c r="G50" s="20">
        <v>3420</v>
      </c>
      <c r="H50" s="20">
        <v>3690</v>
      </c>
      <c r="I50" s="20">
        <v>2880</v>
      </c>
      <c r="J50" s="20">
        <v>2700</v>
      </c>
      <c r="K50" s="20">
        <v>2880</v>
      </c>
      <c r="L50" s="20">
        <v>3060</v>
      </c>
      <c r="M50" s="20">
        <v>2880</v>
      </c>
      <c r="N50" s="20">
        <v>0</v>
      </c>
      <c r="O50" s="20">
        <v>2700</v>
      </c>
      <c r="P50" s="20">
        <v>3420</v>
      </c>
      <c r="Q50" s="20">
        <v>3060</v>
      </c>
      <c r="R50" s="20">
        <v>2700</v>
      </c>
      <c r="S50" s="20">
        <v>0</v>
      </c>
      <c r="T50" s="20">
        <v>0</v>
      </c>
      <c r="U50" s="59">
        <v>0</v>
      </c>
      <c r="V50" s="83">
        <f t="shared" si="2"/>
        <v>46800</v>
      </c>
      <c r="X50"/>
    </row>
    <row r="51" spans="1:24">
      <c r="A51" s="1" t="s">
        <v>2</v>
      </c>
      <c r="B51" s="4" t="s">
        <v>106</v>
      </c>
      <c r="C51" s="19">
        <v>29280</v>
      </c>
      <c r="D51" s="20">
        <v>34770</v>
      </c>
      <c r="E51" s="20">
        <v>34770</v>
      </c>
      <c r="F51" s="20">
        <v>37515</v>
      </c>
      <c r="G51" s="20">
        <v>34770</v>
      </c>
      <c r="H51" s="20">
        <v>37515</v>
      </c>
      <c r="I51" s="20">
        <v>29280</v>
      </c>
      <c r="J51" s="20">
        <v>27450</v>
      </c>
      <c r="K51" s="20">
        <v>29280</v>
      </c>
      <c r="L51" s="20">
        <v>31110</v>
      </c>
      <c r="M51" s="20">
        <v>29280</v>
      </c>
      <c r="N51" s="20">
        <v>31110</v>
      </c>
      <c r="O51" s="20">
        <v>27450</v>
      </c>
      <c r="P51" s="20">
        <v>34770</v>
      </c>
      <c r="Q51" s="20">
        <v>31110</v>
      </c>
      <c r="R51" s="20">
        <v>27450</v>
      </c>
      <c r="S51" s="20">
        <v>23790</v>
      </c>
      <c r="T51" s="20">
        <v>0</v>
      </c>
      <c r="U51" s="59">
        <v>23790</v>
      </c>
      <c r="V51" s="83">
        <f t="shared" si="2"/>
        <v>554490</v>
      </c>
      <c r="X51"/>
    </row>
    <row r="52" spans="1:24" ht="19.5" thickBot="1">
      <c r="A52" s="1" t="s">
        <v>2</v>
      </c>
      <c r="B52" s="4" t="s">
        <v>107</v>
      </c>
      <c r="C52" s="19">
        <v>999</v>
      </c>
      <c r="D52" s="20">
        <v>0</v>
      </c>
      <c r="E52" s="20">
        <v>1164</v>
      </c>
      <c r="F52" s="20">
        <v>1099</v>
      </c>
      <c r="G52" s="20">
        <v>964</v>
      </c>
      <c r="H52" s="20">
        <v>1116</v>
      </c>
      <c r="I52" s="20">
        <v>1053</v>
      </c>
      <c r="J52" s="20">
        <v>989</v>
      </c>
      <c r="K52" s="20">
        <v>940</v>
      </c>
      <c r="L52" s="20">
        <v>1101</v>
      </c>
      <c r="M52" s="20">
        <v>925</v>
      </c>
      <c r="N52" s="20">
        <v>994</v>
      </c>
      <c r="O52" s="20">
        <v>918</v>
      </c>
      <c r="P52" s="20">
        <v>1019</v>
      </c>
      <c r="Q52" s="20">
        <v>957</v>
      </c>
      <c r="R52" s="20">
        <v>771</v>
      </c>
      <c r="S52" s="20">
        <v>983</v>
      </c>
      <c r="T52" s="20">
        <v>159</v>
      </c>
      <c r="U52" s="59">
        <v>769</v>
      </c>
      <c r="V52" s="83">
        <f t="shared" si="2"/>
        <v>16920</v>
      </c>
      <c r="X52"/>
    </row>
    <row r="53" spans="1:24" ht="19.5" thickBot="1">
      <c r="A53" s="1" t="s">
        <v>2</v>
      </c>
      <c r="B53" s="47" t="s">
        <v>108</v>
      </c>
      <c r="C53" s="48">
        <v>49479</v>
      </c>
      <c r="D53" s="49">
        <v>57570</v>
      </c>
      <c r="E53" s="49">
        <v>58734</v>
      </c>
      <c r="F53" s="49">
        <v>63214</v>
      </c>
      <c r="G53" s="49">
        <v>58534</v>
      </c>
      <c r="H53" s="49">
        <v>63231</v>
      </c>
      <c r="I53" s="49">
        <v>49533</v>
      </c>
      <c r="J53" s="49">
        <v>46439</v>
      </c>
      <c r="K53" s="49">
        <v>49420</v>
      </c>
      <c r="L53" s="49">
        <v>52611</v>
      </c>
      <c r="M53" s="49">
        <v>49405</v>
      </c>
      <c r="N53" s="49">
        <v>49444</v>
      </c>
      <c r="O53" s="49">
        <v>46368</v>
      </c>
      <c r="P53" s="49">
        <v>58589</v>
      </c>
      <c r="Q53" s="49">
        <v>52467</v>
      </c>
      <c r="R53" s="49">
        <v>46221</v>
      </c>
      <c r="S53" s="49">
        <v>38033</v>
      </c>
      <c r="T53" s="49">
        <v>159</v>
      </c>
      <c r="U53" s="61">
        <v>37819</v>
      </c>
      <c r="V53" s="86">
        <f t="shared" si="2"/>
        <v>927270</v>
      </c>
      <c r="X53"/>
    </row>
    <row r="54" spans="1:24">
      <c r="A54" s="1" t="s">
        <v>2</v>
      </c>
      <c r="B54" s="25" t="s">
        <v>109</v>
      </c>
      <c r="C54" s="34">
        <v>5660</v>
      </c>
      <c r="D54" s="35">
        <v>0</v>
      </c>
      <c r="E54" s="35">
        <v>7680</v>
      </c>
      <c r="F54" s="35">
        <v>8400</v>
      </c>
      <c r="G54" s="35">
        <v>4840</v>
      </c>
      <c r="H54" s="35">
        <v>8880</v>
      </c>
      <c r="I54" s="35">
        <v>8300</v>
      </c>
      <c r="J54" s="35">
        <v>6080</v>
      </c>
      <c r="K54" s="35">
        <v>6940</v>
      </c>
      <c r="L54" s="35">
        <v>9150</v>
      </c>
      <c r="M54" s="35">
        <v>6660</v>
      </c>
      <c r="N54" s="35">
        <v>7540</v>
      </c>
      <c r="O54" s="35">
        <v>6610</v>
      </c>
      <c r="P54" s="35">
        <v>7530</v>
      </c>
      <c r="Q54" s="35">
        <v>2060</v>
      </c>
      <c r="R54" s="35">
        <v>4840</v>
      </c>
      <c r="S54" s="35">
        <v>7810</v>
      </c>
      <c r="T54" s="35">
        <v>0</v>
      </c>
      <c r="U54" s="58">
        <v>5160</v>
      </c>
      <c r="V54" s="82">
        <f t="shared" si="2"/>
        <v>114140</v>
      </c>
      <c r="X54"/>
    </row>
    <row r="55" spans="1:24">
      <c r="A55" s="1" t="s">
        <v>2</v>
      </c>
      <c r="B55" s="4" t="s">
        <v>110</v>
      </c>
      <c r="C55" s="19">
        <v>1300</v>
      </c>
      <c r="D55" s="20">
        <v>1300</v>
      </c>
      <c r="E55" s="20">
        <v>1300</v>
      </c>
      <c r="F55" s="20">
        <v>0</v>
      </c>
      <c r="G55" s="20">
        <v>1300</v>
      </c>
      <c r="H55" s="20">
        <v>1300</v>
      </c>
      <c r="I55" s="20">
        <v>1300</v>
      </c>
      <c r="J55" s="20">
        <v>1300</v>
      </c>
      <c r="K55" s="20">
        <v>1300</v>
      </c>
      <c r="L55" s="20">
        <v>1300</v>
      </c>
      <c r="M55" s="20">
        <v>0</v>
      </c>
      <c r="N55" s="20">
        <v>0</v>
      </c>
      <c r="O55" s="20">
        <v>1300</v>
      </c>
      <c r="P55" s="20">
        <v>1300</v>
      </c>
      <c r="Q55" s="20">
        <v>1300</v>
      </c>
      <c r="R55" s="20">
        <v>0</v>
      </c>
      <c r="S55" s="20">
        <v>1300</v>
      </c>
      <c r="T55" s="20">
        <v>0</v>
      </c>
      <c r="U55" s="59">
        <v>0</v>
      </c>
      <c r="V55" s="83">
        <f t="shared" si="2"/>
        <v>16900</v>
      </c>
      <c r="X55"/>
    </row>
    <row r="56" spans="1:24">
      <c r="A56" s="1" t="s">
        <v>2</v>
      </c>
      <c r="B56" s="4" t="s">
        <v>111</v>
      </c>
      <c r="C56" s="19">
        <v>8600</v>
      </c>
      <c r="D56" s="20">
        <v>14600</v>
      </c>
      <c r="E56" s="20">
        <v>13800</v>
      </c>
      <c r="F56" s="20">
        <v>16700</v>
      </c>
      <c r="G56" s="20">
        <v>15200</v>
      </c>
      <c r="H56" s="20">
        <v>17700</v>
      </c>
      <c r="I56" s="20">
        <v>13500</v>
      </c>
      <c r="J56" s="20">
        <v>9200</v>
      </c>
      <c r="K56" s="20">
        <v>13000</v>
      </c>
      <c r="L56" s="20">
        <v>13800</v>
      </c>
      <c r="M56" s="20">
        <v>10500</v>
      </c>
      <c r="N56" s="20">
        <v>13500</v>
      </c>
      <c r="O56" s="20">
        <v>12100</v>
      </c>
      <c r="P56" s="20">
        <v>14200</v>
      </c>
      <c r="Q56" s="20">
        <v>5600</v>
      </c>
      <c r="R56" s="20">
        <v>0</v>
      </c>
      <c r="S56" s="20">
        <v>0</v>
      </c>
      <c r="T56" s="20">
        <v>0</v>
      </c>
      <c r="U56" s="59">
        <v>0</v>
      </c>
      <c r="V56" s="83">
        <f t="shared" si="2"/>
        <v>192000</v>
      </c>
      <c r="X56"/>
    </row>
    <row r="57" spans="1:24" ht="19.5" thickBot="1">
      <c r="A57" s="1" t="s">
        <v>2</v>
      </c>
      <c r="B57" s="4" t="s">
        <v>112</v>
      </c>
      <c r="C57" s="19">
        <v>0</v>
      </c>
      <c r="D57" s="63">
        <v>-73470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59">
        <v>0</v>
      </c>
      <c r="V57" s="84">
        <f t="shared" si="2"/>
        <v>-73470</v>
      </c>
      <c r="X57"/>
    </row>
    <row r="58" spans="1:24" ht="19.5" thickBot="1">
      <c r="A58" s="1" t="s">
        <v>2</v>
      </c>
      <c r="B58" s="47" t="s">
        <v>113</v>
      </c>
      <c r="C58" s="48">
        <v>65039</v>
      </c>
      <c r="D58" s="49">
        <v>0</v>
      </c>
      <c r="E58" s="49">
        <v>81514</v>
      </c>
      <c r="F58" s="49">
        <v>88314</v>
      </c>
      <c r="G58" s="49">
        <v>79874</v>
      </c>
      <c r="H58" s="49">
        <v>91111</v>
      </c>
      <c r="I58" s="49">
        <v>72633</v>
      </c>
      <c r="J58" s="49">
        <v>63019</v>
      </c>
      <c r="K58" s="49">
        <v>70660</v>
      </c>
      <c r="L58" s="49">
        <v>76861</v>
      </c>
      <c r="M58" s="49">
        <v>66565</v>
      </c>
      <c r="N58" s="49">
        <v>70484</v>
      </c>
      <c r="O58" s="49">
        <v>66378</v>
      </c>
      <c r="P58" s="49">
        <v>81619</v>
      </c>
      <c r="Q58" s="49">
        <v>61427</v>
      </c>
      <c r="R58" s="49">
        <v>51061</v>
      </c>
      <c r="S58" s="49">
        <v>47143</v>
      </c>
      <c r="T58" s="49">
        <v>159</v>
      </c>
      <c r="U58" s="61">
        <v>42979</v>
      </c>
      <c r="V58" s="86">
        <f t="shared" si="2"/>
        <v>1176840</v>
      </c>
      <c r="X58"/>
    </row>
    <row r="59" spans="1:24" ht="19.5" thickBot="1">
      <c r="A59" s="1" t="s">
        <v>2</v>
      </c>
      <c r="B59" s="47" t="s">
        <v>114</v>
      </c>
      <c r="C59" s="48">
        <v>270311</v>
      </c>
      <c r="D59" s="49">
        <v>-57570</v>
      </c>
      <c r="E59" s="49">
        <v>323347</v>
      </c>
      <c r="F59" s="49">
        <v>300205</v>
      </c>
      <c r="G59" s="49">
        <v>247298</v>
      </c>
      <c r="H59" s="49">
        <v>306136</v>
      </c>
      <c r="I59" s="49">
        <v>298835</v>
      </c>
      <c r="J59" s="49">
        <v>282150</v>
      </c>
      <c r="K59" s="49">
        <v>260923</v>
      </c>
      <c r="L59" s="49">
        <v>309441</v>
      </c>
      <c r="M59" s="49">
        <v>253015</v>
      </c>
      <c r="N59" s="49">
        <v>277663</v>
      </c>
      <c r="O59" s="49">
        <v>251636</v>
      </c>
      <c r="P59" s="49">
        <v>277278</v>
      </c>
      <c r="Q59" s="49">
        <v>260134</v>
      </c>
      <c r="R59" s="49">
        <v>202061</v>
      </c>
      <c r="S59" s="49">
        <v>285128</v>
      </c>
      <c r="T59" s="49">
        <v>51279</v>
      </c>
      <c r="U59" s="61">
        <v>211022</v>
      </c>
      <c r="V59" s="86">
        <f t="shared" si="2"/>
        <v>4610292</v>
      </c>
      <c r="X59"/>
    </row>
    <row r="60" spans="1:24" ht="19.5" thickBot="1">
      <c r="A60" s="1" t="s">
        <v>2</v>
      </c>
      <c r="B60" s="47" t="s">
        <v>115</v>
      </c>
      <c r="C60" s="48">
        <v>267798</v>
      </c>
      <c r="D60" s="49">
        <v>0</v>
      </c>
      <c r="E60" s="49">
        <v>306438</v>
      </c>
      <c r="F60" s="49">
        <v>278106</v>
      </c>
      <c r="G60" s="49">
        <v>241562</v>
      </c>
      <c r="H60" s="49">
        <v>280761</v>
      </c>
      <c r="I60" s="49">
        <v>278345</v>
      </c>
      <c r="J60" s="49">
        <v>266719</v>
      </c>
      <c r="K60" s="49">
        <v>242684</v>
      </c>
      <c r="L60" s="49">
        <v>290201</v>
      </c>
      <c r="M60" s="49">
        <v>241857</v>
      </c>
      <c r="N60" s="49">
        <v>260824</v>
      </c>
      <c r="O60" s="49">
        <v>239767</v>
      </c>
      <c r="P60" s="49">
        <v>258006</v>
      </c>
      <c r="Q60" s="49">
        <v>257437</v>
      </c>
      <c r="R60" s="49">
        <v>206093</v>
      </c>
      <c r="S60" s="49">
        <v>280585</v>
      </c>
      <c r="T60" s="49">
        <v>52845</v>
      </c>
      <c r="U60" s="61">
        <v>213377</v>
      </c>
      <c r="V60" s="86">
        <f t="shared" si="2"/>
        <v>4463405</v>
      </c>
      <c r="X60"/>
    </row>
    <row r="61" spans="1:24">
      <c r="A61" s="1" t="s">
        <v>2</v>
      </c>
      <c r="B61" s="25" t="s">
        <v>116</v>
      </c>
      <c r="C61" s="34">
        <v>0</v>
      </c>
      <c r="D61" s="35">
        <v>0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  <c r="U61" s="58">
        <v>0</v>
      </c>
      <c r="V61" s="82">
        <f t="shared" si="2"/>
        <v>0</v>
      </c>
      <c r="X61"/>
    </row>
    <row r="62" spans="1:24">
      <c r="A62" s="1" t="s">
        <v>2</v>
      </c>
      <c r="B62" s="4" t="s">
        <v>117</v>
      </c>
      <c r="C62" s="19">
        <v>267798</v>
      </c>
      <c r="D62" s="20">
        <v>0</v>
      </c>
      <c r="E62" s="20">
        <v>306438</v>
      </c>
      <c r="F62" s="20">
        <v>278106</v>
      </c>
      <c r="G62" s="20">
        <v>241562</v>
      </c>
      <c r="H62" s="20">
        <v>280761</v>
      </c>
      <c r="I62" s="20">
        <v>278345</v>
      </c>
      <c r="J62" s="20">
        <v>266719</v>
      </c>
      <c r="K62" s="20">
        <v>242684</v>
      </c>
      <c r="L62" s="20">
        <v>290201</v>
      </c>
      <c r="M62" s="20">
        <v>241857</v>
      </c>
      <c r="N62" s="20">
        <v>260824</v>
      </c>
      <c r="O62" s="20">
        <v>239767</v>
      </c>
      <c r="P62" s="20">
        <v>258006</v>
      </c>
      <c r="Q62" s="20">
        <v>257437</v>
      </c>
      <c r="R62" s="20">
        <v>206093</v>
      </c>
      <c r="S62" s="20">
        <v>280585</v>
      </c>
      <c r="T62" s="20">
        <v>52845</v>
      </c>
      <c r="U62" s="59">
        <v>213377</v>
      </c>
      <c r="V62" s="83">
        <f t="shared" si="2"/>
        <v>4463405</v>
      </c>
      <c r="X62"/>
    </row>
    <row r="63" spans="1:24">
      <c r="A63" s="1" t="s">
        <v>2</v>
      </c>
      <c r="B63" s="4" t="s">
        <v>118</v>
      </c>
      <c r="C63" s="19">
        <v>1</v>
      </c>
      <c r="D63" s="20">
        <v>0</v>
      </c>
      <c r="E63" s="20">
        <v>1</v>
      </c>
      <c r="F63" s="20">
        <v>0</v>
      </c>
      <c r="G63" s="20">
        <v>1</v>
      </c>
      <c r="H63" s="20">
        <v>0</v>
      </c>
      <c r="I63" s="20">
        <v>0</v>
      </c>
      <c r="J63" s="20">
        <v>1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3</v>
      </c>
      <c r="R63" s="20">
        <v>0</v>
      </c>
      <c r="S63" s="20">
        <v>0</v>
      </c>
      <c r="T63" s="20">
        <v>2</v>
      </c>
      <c r="U63" s="59">
        <v>0</v>
      </c>
      <c r="V63" s="83"/>
      <c r="X63"/>
    </row>
    <row r="64" spans="1:24" ht="19.5" thickBot="1">
      <c r="A64" s="1" t="s">
        <v>2</v>
      </c>
      <c r="B64" s="5" t="s">
        <v>119</v>
      </c>
      <c r="C64" s="22" t="s">
        <v>120</v>
      </c>
      <c r="D64" s="23" t="s">
        <v>120</v>
      </c>
      <c r="E64" s="23" t="s">
        <v>120</v>
      </c>
      <c r="F64" s="23" t="s">
        <v>120</v>
      </c>
      <c r="G64" s="23" t="s">
        <v>120</v>
      </c>
      <c r="H64" s="23" t="s">
        <v>120</v>
      </c>
      <c r="I64" s="23" t="s">
        <v>120</v>
      </c>
      <c r="J64" s="23" t="s">
        <v>120</v>
      </c>
      <c r="K64" s="23" t="s">
        <v>120</v>
      </c>
      <c r="L64" s="23" t="s">
        <v>120</v>
      </c>
      <c r="M64" s="23" t="s">
        <v>120</v>
      </c>
      <c r="N64" s="23" t="s">
        <v>120</v>
      </c>
      <c r="O64" s="23" t="s">
        <v>120</v>
      </c>
      <c r="P64" s="23" t="s">
        <v>120</v>
      </c>
      <c r="Q64" s="23" t="s">
        <v>120</v>
      </c>
      <c r="R64" s="23" t="s">
        <v>120</v>
      </c>
      <c r="S64" s="23" t="s">
        <v>120</v>
      </c>
      <c r="T64" s="23" t="s">
        <v>120</v>
      </c>
      <c r="U64" s="62" t="s">
        <v>120</v>
      </c>
      <c r="V64" s="87"/>
      <c r="X64"/>
    </row>
  </sheetData>
  <phoneticPr fontId="3"/>
  <pageMargins left="0.11811023622047245" right="0.11811023622047245" top="0.15748031496062992" bottom="0.15748031496062992" header="0.31496062992125984" footer="0.31496062992125984"/>
  <pageSetup paperSize="12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2022年 5月度給与 (3)</vt:lpstr>
      <vt:lpstr>2022年 5月度給与 (4)</vt:lpstr>
      <vt:lpstr>'2022年 5月度給与 (3)'!Print_Area</vt:lpstr>
      <vt:lpstr>'2022年 5月度給与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2022-06-11T00:32:26Z</cp:lastPrinted>
  <dcterms:created xsi:type="dcterms:W3CDTF">2022-06-08T06:54:41Z</dcterms:created>
  <dcterms:modified xsi:type="dcterms:W3CDTF">2022-06-11T01:55:17Z</dcterms:modified>
</cp:coreProperties>
</file>