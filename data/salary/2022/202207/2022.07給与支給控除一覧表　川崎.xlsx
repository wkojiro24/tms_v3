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7\"/>
    </mc:Choice>
  </mc:AlternateContent>
  <xr:revisionPtr revIDLastSave="0" documentId="13_ncr:1_{E0E870D9-C47D-43C6-9729-590643A8DB46}" xr6:coauthVersionLast="47" xr6:coauthVersionMax="47" xr10:uidLastSave="{00000000-0000-0000-0000-000000000000}"/>
  <bookViews>
    <workbookView xWindow="-120" yWindow="-120" windowWidth="20730" windowHeight="11160" xr2:uid="{3D20D525-EB5A-4451-AA40-5CD2B5246E3D}"/>
  </bookViews>
  <sheets>
    <sheet name="2022年 7月度給与 (2)" sheetId="3" r:id="rId1"/>
  </sheets>
  <definedNames>
    <definedName name="_xlnm.Print_Area" localSheetId="0">'2022年 7月度給与 (2)'!$A$1:$J$69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10" i="3"/>
  <c r="J11" i="3"/>
  <c r="J12" i="3"/>
  <c r="J14" i="3"/>
  <c r="J17" i="3"/>
  <c r="J18" i="3"/>
  <c r="J19" i="3"/>
  <c r="J20" i="3"/>
  <c r="J22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25" i="3"/>
  <c r="I24" i="3"/>
  <c r="I23" i="3"/>
  <c r="J23" i="3" s="1"/>
  <c r="I16" i="3"/>
  <c r="J16" i="3" s="1"/>
  <c r="I15" i="3"/>
  <c r="J15" i="3" s="1"/>
  <c r="I9" i="3"/>
  <c r="I5" i="3"/>
  <c r="E26" i="3"/>
  <c r="J26" i="3" s="1"/>
  <c r="E27" i="3"/>
  <c r="E28" i="3"/>
  <c r="E29" i="3"/>
  <c r="E30" i="3"/>
  <c r="J30" i="3" s="1"/>
  <c r="E31" i="3"/>
  <c r="E32" i="3"/>
  <c r="E33" i="3"/>
  <c r="E34" i="3"/>
  <c r="J34" i="3" s="1"/>
  <c r="E35" i="3"/>
  <c r="E36" i="3"/>
  <c r="E37" i="3"/>
  <c r="E38" i="3"/>
  <c r="E39" i="3"/>
  <c r="J39" i="3" s="1"/>
  <c r="E40" i="3"/>
  <c r="E41" i="3"/>
  <c r="E42" i="3"/>
  <c r="E43" i="3"/>
  <c r="J43" i="3" s="1"/>
  <c r="E44" i="3"/>
  <c r="E45" i="3"/>
  <c r="E46" i="3"/>
  <c r="E47" i="3"/>
  <c r="J47" i="3" s="1"/>
  <c r="E48" i="3"/>
  <c r="E49" i="3"/>
  <c r="E50" i="3"/>
  <c r="J50" i="3" s="1"/>
  <c r="E51" i="3"/>
  <c r="E52" i="3"/>
  <c r="E53" i="3"/>
  <c r="E54" i="3"/>
  <c r="J54" i="3" s="1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25" i="3"/>
  <c r="E24" i="3"/>
  <c r="E21" i="3"/>
  <c r="J21" i="3" s="1"/>
  <c r="E13" i="3"/>
  <c r="J13" i="3" s="1"/>
  <c r="E9" i="3"/>
  <c r="E5" i="3"/>
  <c r="J24" i="3" l="1"/>
  <c r="J65" i="3"/>
  <c r="J61" i="3"/>
  <c r="J57" i="3"/>
  <c r="J29" i="3"/>
  <c r="J25" i="3"/>
  <c r="J64" i="3"/>
  <c r="J60" i="3"/>
  <c r="J56" i="3"/>
  <c r="J53" i="3"/>
  <c r="J49" i="3"/>
  <c r="J46" i="3"/>
  <c r="J42" i="3"/>
  <c r="J36" i="3"/>
  <c r="J31" i="3"/>
  <c r="J27" i="3"/>
  <c r="J66" i="3"/>
  <c r="J62" i="3"/>
  <c r="J58" i="3"/>
  <c r="J51" i="3"/>
  <c r="J48" i="3"/>
  <c r="J44" i="3"/>
  <c r="J40" i="3"/>
  <c r="J37" i="3"/>
  <c r="J35" i="3"/>
  <c r="J32" i="3"/>
  <c r="J28" i="3"/>
  <c r="J5" i="3"/>
  <c r="J67" i="3"/>
  <c r="J63" i="3"/>
  <c r="J59" i="3"/>
  <c r="J55" i="3"/>
  <c r="J52" i="3"/>
  <c r="J45" i="3"/>
  <c r="J41" i="3"/>
  <c r="J38" i="3"/>
  <c r="J33" i="3"/>
  <c r="J9" i="3"/>
</calcChain>
</file>

<file path=xl/sharedStrings.xml><?xml version="1.0" encoding="utf-8"?>
<sst xmlns="http://schemas.openxmlformats.org/spreadsheetml/2006/main" count="154" uniqueCount="82">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</sst>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F8F00AFD-95B8-4718-966D-76E5F5B85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9730-8221-42EE-A94B-40D675C167A6}">
  <sheetPr>
    <pageSetUpPr fitToPage="1"/>
  </sheetPr>
  <dimension ref="A1:L69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0" width="12.25" style="2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77</v>
      </c>
    </row>
    <row r="3" spans="1:12">
      <c r="B3" s="3"/>
      <c r="C3" s="7" t="s">
        <v>4</v>
      </c>
      <c r="D3" s="8" t="s">
        <v>6</v>
      </c>
      <c r="E3" s="48" t="s">
        <v>78</v>
      </c>
      <c r="F3" s="6" t="s">
        <v>2</v>
      </c>
      <c r="G3" s="7" t="s">
        <v>3</v>
      </c>
      <c r="H3" s="50" t="s">
        <v>5</v>
      </c>
      <c r="I3" s="61" t="s">
        <v>78</v>
      </c>
      <c r="J3" s="62" t="s">
        <v>13</v>
      </c>
    </row>
    <row r="4" spans="1:12" ht="19.5" thickBot="1">
      <c r="A4" s="74"/>
      <c r="B4" s="25" t="s">
        <v>7</v>
      </c>
      <c r="C4" s="27" t="s">
        <v>10</v>
      </c>
      <c r="D4" s="28" t="s">
        <v>12</v>
      </c>
      <c r="E4" s="49" t="s">
        <v>79</v>
      </c>
      <c r="F4" s="26" t="s">
        <v>8</v>
      </c>
      <c r="G4" s="27" t="s">
        <v>9</v>
      </c>
      <c r="H4" s="51" t="s">
        <v>11</v>
      </c>
      <c r="I4" s="63" t="s">
        <v>80</v>
      </c>
      <c r="J4" s="64" t="s">
        <v>81</v>
      </c>
      <c r="L4"/>
    </row>
    <row r="5" spans="1:12">
      <c r="A5" s="1" t="s">
        <v>1</v>
      </c>
      <c r="B5" s="21" t="s">
        <v>14</v>
      </c>
      <c r="C5" s="23">
        <v>21</v>
      </c>
      <c r="D5" s="24">
        <v>18</v>
      </c>
      <c r="E5" s="43">
        <f>SUM(C5:D5)</f>
        <v>39</v>
      </c>
      <c r="F5" s="22">
        <v>20</v>
      </c>
      <c r="G5" s="23">
        <v>20</v>
      </c>
      <c r="H5" s="52">
        <v>19</v>
      </c>
      <c r="I5" s="65">
        <f>SUM(F5:H5)</f>
        <v>59</v>
      </c>
      <c r="J5" s="65">
        <f>E5+I5</f>
        <v>98</v>
      </c>
      <c r="L5"/>
    </row>
    <row r="6" spans="1:12">
      <c r="A6" s="1" t="s">
        <v>1</v>
      </c>
      <c r="B6" s="4" t="s">
        <v>15</v>
      </c>
      <c r="C6" s="10">
        <v>0</v>
      </c>
      <c r="D6" s="11">
        <v>0</v>
      </c>
      <c r="E6" s="44"/>
      <c r="F6" s="9">
        <v>1</v>
      </c>
      <c r="G6" s="10">
        <v>1</v>
      </c>
      <c r="H6" s="53">
        <v>2</v>
      </c>
      <c r="I6" s="66"/>
      <c r="J6" s="66">
        <f t="shared" ref="J6:J56" si="0">E6+I6</f>
        <v>0</v>
      </c>
      <c r="L6"/>
    </row>
    <row r="7" spans="1:12">
      <c r="A7" s="1" t="s">
        <v>1</v>
      </c>
      <c r="B7" s="4" t="s">
        <v>16</v>
      </c>
      <c r="C7" s="10">
        <v>0</v>
      </c>
      <c r="D7" s="11">
        <v>0</v>
      </c>
      <c r="E7" s="44"/>
      <c r="F7" s="9">
        <v>0</v>
      </c>
      <c r="G7" s="10">
        <v>0</v>
      </c>
      <c r="H7" s="53">
        <v>0</v>
      </c>
      <c r="I7" s="66"/>
      <c r="J7" s="66">
        <f t="shared" si="0"/>
        <v>0</v>
      </c>
      <c r="L7"/>
    </row>
    <row r="8" spans="1:12">
      <c r="A8" s="1" t="s">
        <v>1</v>
      </c>
      <c r="B8" s="4" t="s">
        <v>17</v>
      </c>
      <c r="C8" s="10">
        <v>0</v>
      </c>
      <c r="D8" s="11">
        <v>0</v>
      </c>
      <c r="E8" s="44"/>
      <c r="F8" s="9">
        <v>0</v>
      </c>
      <c r="G8" s="10">
        <v>0</v>
      </c>
      <c r="H8" s="53">
        <v>0</v>
      </c>
      <c r="I8" s="66"/>
      <c r="J8" s="66">
        <f t="shared" si="0"/>
        <v>0</v>
      </c>
      <c r="L8"/>
    </row>
    <row r="9" spans="1:12">
      <c r="A9" s="1" t="s">
        <v>1</v>
      </c>
      <c r="B9" s="4" t="s">
        <v>18</v>
      </c>
      <c r="C9" s="10">
        <v>0</v>
      </c>
      <c r="D9" s="11">
        <v>1</v>
      </c>
      <c r="E9" s="44">
        <f>SUM(C9:D9)</f>
        <v>1</v>
      </c>
      <c r="F9" s="9">
        <v>1</v>
      </c>
      <c r="G9" s="10">
        <v>1</v>
      </c>
      <c r="H9" s="53">
        <v>2</v>
      </c>
      <c r="I9" s="66">
        <f>SUM(F9:H9)</f>
        <v>4</v>
      </c>
      <c r="J9" s="66">
        <f t="shared" si="0"/>
        <v>5</v>
      </c>
      <c r="L9"/>
    </row>
    <row r="10" spans="1:12">
      <c r="A10" s="1" t="s">
        <v>1</v>
      </c>
      <c r="B10" s="4" t="s">
        <v>19</v>
      </c>
      <c r="C10" s="10">
        <v>0</v>
      </c>
      <c r="D10" s="11">
        <v>0</v>
      </c>
      <c r="E10" s="44"/>
      <c r="F10" s="9">
        <v>0</v>
      </c>
      <c r="G10" s="10">
        <v>0</v>
      </c>
      <c r="H10" s="53">
        <v>0</v>
      </c>
      <c r="I10" s="66"/>
      <c r="J10" s="66">
        <f t="shared" si="0"/>
        <v>0</v>
      </c>
      <c r="L10"/>
    </row>
    <row r="11" spans="1:12">
      <c r="A11" s="1" t="s">
        <v>1</v>
      </c>
      <c r="B11" s="4" t="s">
        <v>20</v>
      </c>
      <c r="C11" s="10">
        <v>0</v>
      </c>
      <c r="D11" s="11">
        <v>0</v>
      </c>
      <c r="E11" s="44"/>
      <c r="F11" s="9">
        <v>0</v>
      </c>
      <c r="G11" s="10">
        <v>0</v>
      </c>
      <c r="H11" s="53">
        <v>0</v>
      </c>
      <c r="I11" s="66"/>
      <c r="J11" s="66">
        <f t="shared" si="0"/>
        <v>0</v>
      </c>
      <c r="L11"/>
    </row>
    <row r="12" spans="1:12">
      <c r="A12" s="1" t="s">
        <v>1</v>
      </c>
      <c r="B12" s="4" t="s">
        <v>21</v>
      </c>
      <c r="C12" s="10">
        <v>0</v>
      </c>
      <c r="D12" s="11">
        <v>0</v>
      </c>
      <c r="E12" s="44"/>
      <c r="F12" s="9">
        <v>0</v>
      </c>
      <c r="G12" s="10">
        <v>0</v>
      </c>
      <c r="H12" s="53">
        <v>0</v>
      </c>
      <c r="I12" s="66"/>
      <c r="J12" s="66">
        <f t="shared" si="0"/>
        <v>0</v>
      </c>
      <c r="L12"/>
    </row>
    <row r="13" spans="1:12">
      <c r="A13" s="1" t="s">
        <v>1</v>
      </c>
      <c r="B13" s="4" t="s">
        <v>22</v>
      </c>
      <c r="C13" s="13">
        <v>0</v>
      </c>
      <c r="D13" s="14">
        <v>3</v>
      </c>
      <c r="E13" s="45">
        <f>SUM(C13:D13)</f>
        <v>3</v>
      </c>
      <c r="F13" s="12">
        <v>0</v>
      </c>
      <c r="G13" s="13">
        <v>0</v>
      </c>
      <c r="H13" s="54">
        <v>0</v>
      </c>
      <c r="I13" s="67"/>
      <c r="J13" s="67">
        <f t="shared" si="0"/>
        <v>3</v>
      </c>
      <c r="L13"/>
    </row>
    <row r="14" spans="1:12">
      <c r="A14" s="1" t="s">
        <v>1</v>
      </c>
      <c r="B14" s="4" t="s">
        <v>23</v>
      </c>
      <c r="C14" s="13">
        <v>0</v>
      </c>
      <c r="D14" s="14">
        <v>0</v>
      </c>
      <c r="E14" s="45"/>
      <c r="F14" s="12">
        <v>0</v>
      </c>
      <c r="G14" s="13">
        <v>0</v>
      </c>
      <c r="H14" s="54">
        <v>0</v>
      </c>
      <c r="I14" s="67"/>
      <c r="J14" s="67">
        <f t="shared" si="0"/>
        <v>0</v>
      </c>
      <c r="L14"/>
    </row>
    <row r="15" spans="1:12">
      <c r="A15" s="1" t="s">
        <v>1</v>
      </c>
      <c r="B15" s="4" t="s">
        <v>24</v>
      </c>
      <c r="C15" s="13">
        <v>0</v>
      </c>
      <c r="D15" s="14">
        <v>0</v>
      </c>
      <c r="E15" s="45"/>
      <c r="F15" s="12">
        <v>1.9166666666666665</v>
      </c>
      <c r="G15" s="13">
        <v>1.9583333333333335</v>
      </c>
      <c r="H15" s="54">
        <v>1.2083333333333333</v>
      </c>
      <c r="I15" s="67">
        <f>SUM(F15:H15)</f>
        <v>5.083333333333333</v>
      </c>
      <c r="J15" s="67">
        <f t="shared" si="0"/>
        <v>5.083333333333333</v>
      </c>
      <c r="L15"/>
    </row>
    <row r="16" spans="1:12">
      <c r="A16" s="1" t="s">
        <v>1</v>
      </c>
      <c r="B16" s="4" t="s">
        <v>25</v>
      </c>
      <c r="C16" s="13">
        <v>0</v>
      </c>
      <c r="D16" s="14">
        <v>0</v>
      </c>
      <c r="E16" s="45"/>
      <c r="F16" s="12">
        <v>0.41666666666666669</v>
      </c>
      <c r="G16" s="13">
        <v>0.45833333333333331</v>
      </c>
      <c r="H16" s="54">
        <v>0.5</v>
      </c>
      <c r="I16" s="67">
        <f>SUM(F16:H16)</f>
        <v>1.375</v>
      </c>
      <c r="J16" s="67">
        <f t="shared" si="0"/>
        <v>1.375</v>
      </c>
      <c r="L16"/>
    </row>
    <row r="17" spans="1:12">
      <c r="A17" s="1" t="s">
        <v>1</v>
      </c>
      <c r="B17" s="4" t="s">
        <v>26</v>
      </c>
      <c r="C17" s="13">
        <v>0</v>
      </c>
      <c r="D17" s="14">
        <v>0</v>
      </c>
      <c r="E17" s="45"/>
      <c r="F17" s="12">
        <v>0</v>
      </c>
      <c r="G17" s="13">
        <v>0</v>
      </c>
      <c r="H17" s="54">
        <v>0</v>
      </c>
      <c r="I17" s="67"/>
      <c r="J17" s="67">
        <f t="shared" si="0"/>
        <v>0</v>
      </c>
      <c r="L17"/>
    </row>
    <row r="18" spans="1:12">
      <c r="A18" s="1" t="s">
        <v>1</v>
      </c>
      <c r="B18" s="4" t="s">
        <v>27</v>
      </c>
      <c r="C18" s="13">
        <v>0</v>
      </c>
      <c r="D18" s="14">
        <v>0</v>
      </c>
      <c r="E18" s="45"/>
      <c r="F18" s="12">
        <v>0</v>
      </c>
      <c r="G18" s="13">
        <v>0</v>
      </c>
      <c r="H18" s="54">
        <v>0</v>
      </c>
      <c r="I18" s="67"/>
      <c r="J18" s="67">
        <f t="shared" si="0"/>
        <v>0</v>
      </c>
      <c r="L18"/>
    </row>
    <row r="19" spans="1:12">
      <c r="A19" s="1" t="s">
        <v>1</v>
      </c>
      <c r="B19" s="4" t="s">
        <v>28</v>
      </c>
      <c r="C19" s="13">
        <v>0</v>
      </c>
      <c r="D19" s="14">
        <v>0</v>
      </c>
      <c r="E19" s="45"/>
      <c r="F19" s="12">
        <v>0</v>
      </c>
      <c r="G19" s="13">
        <v>0</v>
      </c>
      <c r="H19" s="54">
        <v>0</v>
      </c>
      <c r="I19" s="67"/>
      <c r="J19" s="67">
        <f t="shared" si="0"/>
        <v>0</v>
      </c>
      <c r="L19"/>
    </row>
    <row r="20" spans="1:12">
      <c r="A20" s="1" t="s">
        <v>1</v>
      </c>
      <c r="B20" s="4" t="s">
        <v>29</v>
      </c>
      <c r="C20" s="13">
        <v>0</v>
      </c>
      <c r="D20" s="14">
        <v>0</v>
      </c>
      <c r="E20" s="45"/>
      <c r="F20" s="12">
        <v>0</v>
      </c>
      <c r="G20" s="13">
        <v>0</v>
      </c>
      <c r="H20" s="54">
        <v>0</v>
      </c>
      <c r="I20" s="67"/>
      <c r="J20" s="67">
        <f t="shared" si="0"/>
        <v>0</v>
      </c>
      <c r="L20"/>
    </row>
    <row r="21" spans="1:12">
      <c r="A21" s="1" t="s">
        <v>1</v>
      </c>
      <c r="B21" s="4" t="s">
        <v>30</v>
      </c>
      <c r="C21" s="13">
        <v>0</v>
      </c>
      <c r="D21" s="14">
        <v>0.16666666666666666</v>
      </c>
      <c r="E21" s="45">
        <f>SUM(C21:D21)</f>
        <v>0.16666666666666666</v>
      </c>
      <c r="F21" s="12">
        <v>0</v>
      </c>
      <c r="G21" s="13">
        <v>0</v>
      </c>
      <c r="H21" s="54">
        <v>0</v>
      </c>
      <c r="I21" s="67"/>
      <c r="J21" s="67">
        <f t="shared" si="0"/>
        <v>0.16666666666666666</v>
      </c>
      <c r="L21"/>
    </row>
    <row r="22" spans="1:12">
      <c r="A22" s="1" t="s">
        <v>1</v>
      </c>
      <c r="B22" s="4" t="s">
        <v>31</v>
      </c>
      <c r="C22" s="13">
        <v>0</v>
      </c>
      <c r="D22" s="14">
        <v>0</v>
      </c>
      <c r="E22" s="45"/>
      <c r="F22" s="12">
        <v>0</v>
      </c>
      <c r="G22" s="13">
        <v>0</v>
      </c>
      <c r="H22" s="54">
        <v>0</v>
      </c>
      <c r="I22" s="67"/>
      <c r="J22" s="67">
        <f t="shared" si="0"/>
        <v>0</v>
      </c>
      <c r="L22"/>
    </row>
    <row r="23" spans="1:12">
      <c r="A23" s="1" t="s">
        <v>1</v>
      </c>
      <c r="B23" s="4" t="s">
        <v>32</v>
      </c>
      <c r="C23" s="13">
        <v>0</v>
      </c>
      <c r="D23" s="14">
        <v>0</v>
      </c>
      <c r="E23" s="45"/>
      <c r="F23" s="12">
        <v>0.29166666666666669</v>
      </c>
      <c r="G23" s="13">
        <v>0.29166666666666669</v>
      </c>
      <c r="H23" s="54">
        <v>0.25</v>
      </c>
      <c r="I23" s="67">
        <f>SUM(F23:H23)</f>
        <v>0.83333333333333337</v>
      </c>
      <c r="J23" s="67">
        <f t="shared" si="0"/>
        <v>0.83333333333333337</v>
      </c>
      <c r="L23"/>
    </row>
    <row r="24" spans="1:12" ht="19.5" thickBot="1">
      <c r="A24" s="1" t="s">
        <v>1</v>
      </c>
      <c r="B24" s="5" t="s">
        <v>33</v>
      </c>
      <c r="C24" s="33">
        <v>30</v>
      </c>
      <c r="D24" s="34">
        <v>11</v>
      </c>
      <c r="E24" s="46">
        <f>SUM(C24:D24)</f>
        <v>41</v>
      </c>
      <c r="F24" s="32">
        <v>34</v>
      </c>
      <c r="G24" s="33">
        <v>33</v>
      </c>
      <c r="H24" s="55">
        <v>13</v>
      </c>
      <c r="I24" s="68">
        <f>SUM(F24:H24)</f>
        <v>80</v>
      </c>
      <c r="J24" s="68">
        <f t="shared" si="0"/>
        <v>121</v>
      </c>
      <c r="L24"/>
    </row>
    <row r="25" spans="1:12">
      <c r="A25" s="1" t="s">
        <v>1</v>
      </c>
      <c r="B25" s="21" t="s">
        <v>34</v>
      </c>
      <c r="C25" s="30">
        <v>355000</v>
      </c>
      <c r="D25" s="31">
        <v>0</v>
      </c>
      <c r="E25" s="31">
        <f>SUM(C25:D25)</f>
        <v>355000</v>
      </c>
      <c r="F25" s="29">
        <v>182000</v>
      </c>
      <c r="G25" s="30">
        <v>192000</v>
      </c>
      <c r="H25" s="56">
        <v>182000</v>
      </c>
      <c r="I25" s="69">
        <f>SUM(F25:H25)</f>
        <v>556000</v>
      </c>
      <c r="J25" s="69">
        <f t="shared" si="0"/>
        <v>911000</v>
      </c>
      <c r="L25"/>
    </row>
    <row r="26" spans="1:12">
      <c r="A26" s="1" t="s">
        <v>1</v>
      </c>
      <c r="B26" s="4" t="s">
        <v>35</v>
      </c>
      <c r="C26" s="16">
        <v>0</v>
      </c>
      <c r="D26" s="17">
        <v>0</v>
      </c>
      <c r="E26" s="17">
        <f t="shared" ref="E26:E67" si="1">SUM(C26:D26)</f>
        <v>0</v>
      </c>
      <c r="F26" s="15">
        <v>5000</v>
      </c>
      <c r="G26" s="16">
        <v>0</v>
      </c>
      <c r="H26" s="57">
        <v>0</v>
      </c>
      <c r="I26" s="70">
        <f t="shared" ref="I26:I67" si="2">SUM(F26:H26)</f>
        <v>5000</v>
      </c>
      <c r="J26" s="70">
        <f t="shared" si="0"/>
        <v>5000</v>
      </c>
      <c r="L26"/>
    </row>
    <row r="27" spans="1:12">
      <c r="A27" s="1" t="s">
        <v>1</v>
      </c>
      <c r="B27" s="4" t="s">
        <v>36</v>
      </c>
      <c r="C27" s="16">
        <v>0</v>
      </c>
      <c r="D27" s="17">
        <v>0</v>
      </c>
      <c r="E27" s="17">
        <f t="shared" si="1"/>
        <v>0</v>
      </c>
      <c r="F27" s="15">
        <v>3000</v>
      </c>
      <c r="G27" s="16">
        <v>3000</v>
      </c>
      <c r="H27" s="57">
        <v>0</v>
      </c>
      <c r="I27" s="70">
        <f t="shared" si="2"/>
        <v>6000</v>
      </c>
      <c r="J27" s="70">
        <f t="shared" si="0"/>
        <v>6000</v>
      </c>
      <c r="L27"/>
    </row>
    <row r="28" spans="1:12">
      <c r="A28" s="1" t="s">
        <v>1</v>
      </c>
      <c r="B28" s="4" t="s">
        <v>37</v>
      </c>
      <c r="C28" s="16">
        <v>50000</v>
      </c>
      <c r="D28" s="17">
        <v>0</v>
      </c>
      <c r="E28" s="17">
        <f t="shared" si="1"/>
        <v>50000</v>
      </c>
      <c r="F28" s="15">
        <v>50000</v>
      </c>
      <c r="G28" s="16">
        <v>50000</v>
      </c>
      <c r="H28" s="57">
        <v>50000</v>
      </c>
      <c r="I28" s="70">
        <f t="shared" si="2"/>
        <v>150000</v>
      </c>
      <c r="J28" s="70">
        <f t="shared" si="0"/>
        <v>200000</v>
      </c>
      <c r="L28"/>
    </row>
    <row r="29" spans="1:12">
      <c r="A29" s="1" t="s">
        <v>1</v>
      </c>
      <c r="B29" s="4" t="s">
        <v>38</v>
      </c>
      <c r="C29" s="16">
        <v>0</v>
      </c>
      <c r="D29" s="17">
        <v>77040</v>
      </c>
      <c r="E29" s="17">
        <f t="shared" si="1"/>
        <v>77040</v>
      </c>
      <c r="F29" s="15">
        <v>0</v>
      </c>
      <c r="G29" s="16">
        <v>0</v>
      </c>
      <c r="H29" s="57">
        <v>0</v>
      </c>
      <c r="I29" s="70">
        <f t="shared" si="2"/>
        <v>0</v>
      </c>
      <c r="J29" s="70">
        <f t="shared" si="0"/>
        <v>77040</v>
      </c>
      <c r="L29"/>
    </row>
    <row r="30" spans="1:12">
      <c r="A30" s="1" t="s">
        <v>1</v>
      </c>
      <c r="B30" s="4" t="s">
        <v>39</v>
      </c>
      <c r="C30" s="16">
        <v>0</v>
      </c>
      <c r="D30" s="17">
        <v>0</v>
      </c>
      <c r="E30" s="17">
        <f t="shared" si="1"/>
        <v>0</v>
      </c>
      <c r="F30" s="15">
        <v>0</v>
      </c>
      <c r="G30" s="16">
        <v>0</v>
      </c>
      <c r="H30" s="57">
        <v>0</v>
      </c>
      <c r="I30" s="70">
        <f t="shared" si="2"/>
        <v>0</v>
      </c>
      <c r="J30" s="70">
        <f t="shared" si="0"/>
        <v>0</v>
      </c>
      <c r="L30"/>
    </row>
    <row r="31" spans="1:12">
      <c r="A31" s="1" t="s">
        <v>1</v>
      </c>
      <c r="B31" s="4" t="s">
        <v>40</v>
      </c>
      <c r="C31" s="16">
        <v>0</v>
      </c>
      <c r="D31" s="17">
        <v>0</v>
      </c>
      <c r="E31" s="17">
        <f t="shared" si="1"/>
        <v>0</v>
      </c>
      <c r="F31" s="15">
        <v>0</v>
      </c>
      <c r="G31" s="16">
        <v>0</v>
      </c>
      <c r="H31" s="57">
        <v>0</v>
      </c>
      <c r="I31" s="70">
        <f t="shared" si="2"/>
        <v>0</v>
      </c>
      <c r="J31" s="70">
        <f t="shared" si="0"/>
        <v>0</v>
      </c>
      <c r="L31"/>
    </row>
    <row r="32" spans="1:12">
      <c r="A32" s="1" t="s">
        <v>1</v>
      </c>
      <c r="B32" s="4" t="s">
        <v>41</v>
      </c>
      <c r="C32" s="16">
        <v>0</v>
      </c>
      <c r="D32" s="17">
        <v>0</v>
      </c>
      <c r="E32" s="17">
        <f t="shared" si="1"/>
        <v>0</v>
      </c>
      <c r="F32" s="15">
        <v>1000</v>
      </c>
      <c r="G32" s="16">
        <v>1000</v>
      </c>
      <c r="H32" s="57">
        <v>0</v>
      </c>
      <c r="I32" s="70">
        <f t="shared" si="2"/>
        <v>2000</v>
      </c>
      <c r="J32" s="70">
        <f t="shared" si="0"/>
        <v>2000</v>
      </c>
      <c r="L32"/>
    </row>
    <row r="33" spans="1:12">
      <c r="A33" s="1" t="s">
        <v>1</v>
      </c>
      <c r="B33" s="4" t="s">
        <v>42</v>
      </c>
      <c r="C33" s="16">
        <v>0</v>
      </c>
      <c r="D33" s="17">
        <v>0</v>
      </c>
      <c r="E33" s="17">
        <f t="shared" si="1"/>
        <v>0</v>
      </c>
      <c r="F33" s="15">
        <v>0</v>
      </c>
      <c r="G33" s="16">
        <v>0</v>
      </c>
      <c r="H33" s="57">
        <v>0</v>
      </c>
      <c r="I33" s="70">
        <f t="shared" si="2"/>
        <v>0</v>
      </c>
      <c r="J33" s="70">
        <f t="shared" si="0"/>
        <v>0</v>
      </c>
      <c r="L33"/>
    </row>
    <row r="34" spans="1:12">
      <c r="A34" s="1" t="s">
        <v>1</v>
      </c>
      <c r="B34" s="4" t="s">
        <v>43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0</v>
      </c>
      <c r="H34" s="57">
        <v>0</v>
      </c>
      <c r="I34" s="70">
        <f t="shared" si="2"/>
        <v>0</v>
      </c>
      <c r="J34" s="70">
        <f t="shared" si="0"/>
        <v>0</v>
      </c>
      <c r="L34"/>
    </row>
    <row r="35" spans="1:12">
      <c r="A35" s="1" t="s">
        <v>1</v>
      </c>
      <c r="B35" s="4" t="s">
        <v>44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0</v>
      </c>
      <c r="H35" s="57">
        <v>0</v>
      </c>
      <c r="I35" s="70">
        <f t="shared" si="2"/>
        <v>0</v>
      </c>
      <c r="J35" s="70">
        <f t="shared" si="0"/>
        <v>0</v>
      </c>
      <c r="L35"/>
    </row>
    <row r="36" spans="1:12">
      <c r="A36" s="1" t="s">
        <v>1</v>
      </c>
      <c r="B36" s="4" t="s">
        <v>45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13000</v>
      </c>
      <c r="H36" s="57">
        <v>13000</v>
      </c>
      <c r="I36" s="70">
        <f t="shared" si="2"/>
        <v>26000</v>
      </c>
      <c r="J36" s="70">
        <f t="shared" si="0"/>
        <v>26000</v>
      </c>
      <c r="L36"/>
    </row>
    <row r="37" spans="1:12">
      <c r="A37" s="1" t="s">
        <v>1</v>
      </c>
      <c r="B37" s="4" t="s">
        <v>46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0</v>
      </c>
      <c r="H37" s="57">
        <v>0</v>
      </c>
      <c r="I37" s="70">
        <f t="shared" si="2"/>
        <v>0</v>
      </c>
      <c r="J37" s="70">
        <f t="shared" si="0"/>
        <v>0</v>
      </c>
      <c r="L37"/>
    </row>
    <row r="38" spans="1:12">
      <c r="A38" s="1" t="s">
        <v>1</v>
      </c>
      <c r="B38" s="4" t="s">
        <v>47</v>
      </c>
      <c r="C38" s="16">
        <v>0</v>
      </c>
      <c r="D38" s="17">
        <v>0</v>
      </c>
      <c r="E38" s="17">
        <f t="shared" si="1"/>
        <v>0</v>
      </c>
      <c r="F38" s="15">
        <v>0</v>
      </c>
      <c r="G38" s="16">
        <v>0</v>
      </c>
      <c r="H38" s="57">
        <v>0</v>
      </c>
      <c r="I38" s="70">
        <f t="shared" si="2"/>
        <v>0</v>
      </c>
      <c r="J38" s="70">
        <f t="shared" si="0"/>
        <v>0</v>
      </c>
      <c r="L38"/>
    </row>
    <row r="39" spans="1:12">
      <c r="A39" s="1" t="s">
        <v>1</v>
      </c>
      <c r="B39" s="4" t="s">
        <v>24</v>
      </c>
      <c r="C39" s="16">
        <v>0</v>
      </c>
      <c r="D39" s="17">
        <v>0</v>
      </c>
      <c r="E39" s="17">
        <f t="shared" si="1"/>
        <v>0</v>
      </c>
      <c r="F39" s="15">
        <v>82984</v>
      </c>
      <c r="G39" s="16">
        <v>91133</v>
      </c>
      <c r="H39" s="57">
        <v>53186</v>
      </c>
      <c r="I39" s="70">
        <f t="shared" si="2"/>
        <v>227303</v>
      </c>
      <c r="J39" s="70">
        <f t="shared" si="0"/>
        <v>227303</v>
      </c>
      <c r="L39"/>
    </row>
    <row r="40" spans="1:12">
      <c r="A40" s="1" t="s">
        <v>1</v>
      </c>
      <c r="B40" s="4" t="s">
        <v>48</v>
      </c>
      <c r="C40" s="16">
        <v>0</v>
      </c>
      <c r="D40" s="17">
        <v>0</v>
      </c>
      <c r="E40" s="17">
        <f t="shared" si="1"/>
        <v>0</v>
      </c>
      <c r="F40" s="15">
        <v>19480</v>
      </c>
      <c r="G40" s="16">
        <v>23034</v>
      </c>
      <c r="H40" s="57">
        <v>23760</v>
      </c>
      <c r="I40" s="70">
        <f t="shared" si="2"/>
        <v>66274</v>
      </c>
      <c r="J40" s="70">
        <f t="shared" si="0"/>
        <v>66274</v>
      </c>
      <c r="L40"/>
    </row>
    <row r="41" spans="1:12">
      <c r="A41" s="1" t="s">
        <v>1</v>
      </c>
      <c r="B41" s="4" t="s">
        <v>49</v>
      </c>
      <c r="C41" s="16">
        <v>0</v>
      </c>
      <c r="D41" s="17">
        <v>0</v>
      </c>
      <c r="E41" s="17">
        <f t="shared" si="1"/>
        <v>0</v>
      </c>
      <c r="F41" s="15">
        <v>0</v>
      </c>
      <c r="G41" s="16">
        <v>0</v>
      </c>
      <c r="H41" s="57">
        <v>0</v>
      </c>
      <c r="I41" s="70">
        <f t="shared" si="2"/>
        <v>0</v>
      </c>
      <c r="J41" s="70">
        <f t="shared" si="0"/>
        <v>0</v>
      </c>
      <c r="L41"/>
    </row>
    <row r="42" spans="1:12">
      <c r="A42" s="1" t="s">
        <v>1</v>
      </c>
      <c r="B42" s="4" t="s">
        <v>50</v>
      </c>
      <c r="C42" s="16">
        <v>0</v>
      </c>
      <c r="D42" s="17">
        <v>0</v>
      </c>
      <c r="E42" s="17">
        <f t="shared" si="1"/>
        <v>0</v>
      </c>
      <c r="F42" s="15">
        <v>0</v>
      </c>
      <c r="G42" s="16">
        <v>0</v>
      </c>
      <c r="H42" s="57">
        <v>0</v>
      </c>
      <c r="I42" s="70">
        <f t="shared" si="2"/>
        <v>0</v>
      </c>
      <c r="J42" s="70">
        <f t="shared" si="0"/>
        <v>0</v>
      </c>
      <c r="L42"/>
    </row>
    <row r="43" spans="1:12">
      <c r="A43" s="1" t="s">
        <v>1</v>
      </c>
      <c r="B43" s="4" t="s">
        <v>51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57">
        <v>0</v>
      </c>
      <c r="I43" s="70">
        <f t="shared" si="2"/>
        <v>0</v>
      </c>
      <c r="J43" s="70">
        <f t="shared" si="0"/>
        <v>0</v>
      </c>
      <c r="L43"/>
    </row>
    <row r="44" spans="1:12">
      <c r="A44" s="1" t="s">
        <v>1</v>
      </c>
      <c r="B44" s="4" t="s">
        <v>52</v>
      </c>
      <c r="C44" s="16">
        <v>0</v>
      </c>
      <c r="D44" s="17">
        <v>0</v>
      </c>
      <c r="E44" s="17">
        <f t="shared" si="1"/>
        <v>0</v>
      </c>
      <c r="F44" s="15">
        <v>0</v>
      </c>
      <c r="G44" s="16">
        <v>0</v>
      </c>
      <c r="H44" s="57">
        <v>0</v>
      </c>
      <c r="I44" s="70">
        <f t="shared" si="2"/>
        <v>0</v>
      </c>
      <c r="J44" s="70">
        <f t="shared" si="0"/>
        <v>0</v>
      </c>
      <c r="L44"/>
    </row>
    <row r="45" spans="1:12">
      <c r="A45" s="1" t="s">
        <v>1</v>
      </c>
      <c r="B45" s="4" t="s">
        <v>29</v>
      </c>
      <c r="C45" s="16">
        <v>0</v>
      </c>
      <c r="D45" s="17">
        <v>0</v>
      </c>
      <c r="E45" s="17">
        <f t="shared" si="1"/>
        <v>0</v>
      </c>
      <c r="F45" s="15">
        <v>0</v>
      </c>
      <c r="G45" s="16">
        <v>0</v>
      </c>
      <c r="H45" s="57">
        <v>0</v>
      </c>
      <c r="I45" s="70">
        <f t="shared" si="2"/>
        <v>0</v>
      </c>
      <c r="J45" s="70">
        <f t="shared" si="0"/>
        <v>0</v>
      </c>
      <c r="L45"/>
    </row>
    <row r="46" spans="1:12" ht="19.5" thickBot="1">
      <c r="A46" s="1" t="s">
        <v>1</v>
      </c>
      <c r="B46" s="35" t="s">
        <v>32</v>
      </c>
      <c r="C46" s="37">
        <v>0</v>
      </c>
      <c r="D46" s="38">
        <v>0</v>
      </c>
      <c r="E46" s="38">
        <f t="shared" si="1"/>
        <v>0</v>
      </c>
      <c r="F46" s="36">
        <v>2527</v>
      </c>
      <c r="G46" s="37">
        <v>2716</v>
      </c>
      <c r="H46" s="58">
        <v>2202</v>
      </c>
      <c r="I46" s="71">
        <f t="shared" si="2"/>
        <v>7445</v>
      </c>
      <c r="J46" s="71">
        <f t="shared" si="0"/>
        <v>7445</v>
      </c>
      <c r="L46"/>
    </row>
    <row r="47" spans="1:12" ht="19.5" thickBot="1">
      <c r="A47" s="1" t="s">
        <v>1</v>
      </c>
      <c r="B47" s="39" t="s">
        <v>53</v>
      </c>
      <c r="C47" s="41">
        <v>405000</v>
      </c>
      <c r="D47" s="42">
        <v>77040</v>
      </c>
      <c r="E47" s="42">
        <f t="shared" si="1"/>
        <v>482040</v>
      </c>
      <c r="F47" s="40">
        <v>345991</v>
      </c>
      <c r="G47" s="41">
        <v>375883</v>
      </c>
      <c r="H47" s="59">
        <v>324148</v>
      </c>
      <c r="I47" s="72">
        <f t="shared" si="2"/>
        <v>1046022</v>
      </c>
      <c r="J47" s="72">
        <f t="shared" si="0"/>
        <v>1528062</v>
      </c>
      <c r="L47"/>
    </row>
    <row r="48" spans="1:12" ht="19.5" thickBot="1">
      <c r="A48" s="1" t="s">
        <v>1</v>
      </c>
      <c r="B48" s="21" t="s">
        <v>54</v>
      </c>
      <c r="C48" s="30">
        <v>10276</v>
      </c>
      <c r="D48" s="31">
        <v>0</v>
      </c>
      <c r="E48" s="31">
        <f t="shared" si="1"/>
        <v>10276</v>
      </c>
      <c r="F48" s="29">
        <v>6498</v>
      </c>
      <c r="G48" s="30">
        <v>1623</v>
      </c>
      <c r="H48" s="56">
        <v>0</v>
      </c>
      <c r="I48" s="69">
        <f t="shared" si="2"/>
        <v>8121</v>
      </c>
      <c r="J48" s="69">
        <f t="shared" si="0"/>
        <v>18397</v>
      </c>
      <c r="L48"/>
    </row>
    <row r="49" spans="1:12" ht="19.5" thickBot="1">
      <c r="A49" s="1" t="s">
        <v>1</v>
      </c>
      <c r="B49" s="39" t="s">
        <v>55</v>
      </c>
      <c r="C49" s="41">
        <v>10276</v>
      </c>
      <c r="D49" s="42">
        <v>0</v>
      </c>
      <c r="E49" s="42">
        <f t="shared" si="1"/>
        <v>10276</v>
      </c>
      <c r="F49" s="40">
        <v>6498</v>
      </c>
      <c r="G49" s="41">
        <v>1623</v>
      </c>
      <c r="H49" s="59">
        <v>0</v>
      </c>
      <c r="I49" s="72">
        <f t="shared" si="2"/>
        <v>8121</v>
      </c>
      <c r="J49" s="72">
        <f t="shared" si="0"/>
        <v>18397</v>
      </c>
      <c r="L49"/>
    </row>
    <row r="50" spans="1:12" ht="19.5" thickBot="1">
      <c r="A50" s="1" t="s">
        <v>1</v>
      </c>
      <c r="B50" s="39" t="s">
        <v>56</v>
      </c>
      <c r="C50" s="41">
        <v>415276</v>
      </c>
      <c r="D50" s="42">
        <v>77040</v>
      </c>
      <c r="E50" s="42">
        <f t="shared" si="1"/>
        <v>492316</v>
      </c>
      <c r="F50" s="40">
        <v>352489</v>
      </c>
      <c r="G50" s="41">
        <v>377506</v>
      </c>
      <c r="H50" s="59">
        <v>324148</v>
      </c>
      <c r="I50" s="72">
        <f t="shared" si="2"/>
        <v>1054143</v>
      </c>
      <c r="J50" s="72">
        <f t="shared" si="0"/>
        <v>1546459</v>
      </c>
      <c r="L50"/>
    </row>
    <row r="51" spans="1:12">
      <c r="A51" s="1" t="s">
        <v>1</v>
      </c>
      <c r="B51" s="21" t="s">
        <v>57</v>
      </c>
      <c r="C51" s="30">
        <v>20910</v>
      </c>
      <c r="D51" s="31">
        <v>0</v>
      </c>
      <c r="E51" s="31">
        <f t="shared" si="1"/>
        <v>20910</v>
      </c>
      <c r="F51" s="29">
        <v>17340</v>
      </c>
      <c r="G51" s="30">
        <v>19380</v>
      </c>
      <c r="H51" s="56">
        <v>18360</v>
      </c>
      <c r="I51" s="69">
        <f t="shared" si="2"/>
        <v>55080</v>
      </c>
      <c r="J51" s="69">
        <f t="shared" si="0"/>
        <v>75990</v>
      </c>
      <c r="L51"/>
    </row>
    <row r="52" spans="1:12">
      <c r="A52" s="1" t="s">
        <v>1</v>
      </c>
      <c r="B52" s="4" t="s">
        <v>58</v>
      </c>
      <c r="C52" s="16">
        <v>3690</v>
      </c>
      <c r="D52" s="17">
        <v>0</v>
      </c>
      <c r="E52" s="17">
        <f t="shared" si="1"/>
        <v>3690</v>
      </c>
      <c r="F52" s="15">
        <v>3060</v>
      </c>
      <c r="G52" s="16">
        <v>3420</v>
      </c>
      <c r="H52" s="57">
        <v>3240</v>
      </c>
      <c r="I52" s="70">
        <f t="shared" si="2"/>
        <v>9720</v>
      </c>
      <c r="J52" s="70">
        <f t="shared" si="0"/>
        <v>13410</v>
      </c>
      <c r="L52"/>
    </row>
    <row r="53" spans="1:12">
      <c r="A53" s="1" t="s">
        <v>1</v>
      </c>
      <c r="B53" s="4" t="s">
        <v>59</v>
      </c>
      <c r="C53" s="16">
        <v>37515</v>
      </c>
      <c r="D53" s="17">
        <v>0</v>
      </c>
      <c r="E53" s="17">
        <f t="shared" si="1"/>
        <v>37515</v>
      </c>
      <c r="F53" s="15">
        <v>31110</v>
      </c>
      <c r="G53" s="16">
        <v>34770</v>
      </c>
      <c r="H53" s="57">
        <v>32940</v>
      </c>
      <c r="I53" s="70">
        <f t="shared" si="2"/>
        <v>98820</v>
      </c>
      <c r="J53" s="70">
        <f t="shared" si="0"/>
        <v>136335</v>
      </c>
      <c r="L53"/>
    </row>
    <row r="54" spans="1:12" ht="19.5" thickBot="1">
      <c r="A54" s="1" t="s">
        <v>1</v>
      </c>
      <c r="B54" s="4" t="s">
        <v>60</v>
      </c>
      <c r="C54" s="16">
        <v>1246</v>
      </c>
      <c r="D54" s="17">
        <v>231</v>
      </c>
      <c r="E54" s="17">
        <f t="shared" si="1"/>
        <v>1477</v>
      </c>
      <c r="F54" s="15">
        <v>1057</v>
      </c>
      <c r="G54" s="16">
        <v>1133</v>
      </c>
      <c r="H54" s="57">
        <v>972</v>
      </c>
      <c r="I54" s="70">
        <f t="shared" si="2"/>
        <v>3162</v>
      </c>
      <c r="J54" s="70">
        <f t="shared" si="0"/>
        <v>4639</v>
      </c>
      <c r="L54"/>
    </row>
    <row r="55" spans="1:12" ht="19.5" thickBot="1">
      <c r="A55" s="1" t="s">
        <v>1</v>
      </c>
      <c r="B55" s="39" t="s">
        <v>61</v>
      </c>
      <c r="C55" s="41">
        <v>63361</v>
      </c>
      <c r="D55" s="42">
        <v>231</v>
      </c>
      <c r="E55" s="42">
        <f t="shared" si="1"/>
        <v>63592</v>
      </c>
      <c r="F55" s="40">
        <v>52567</v>
      </c>
      <c r="G55" s="41">
        <v>58703</v>
      </c>
      <c r="H55" s="59">
        <v>55512</v>
      </c>
      <c r="I55" s="72">
        <f t="shared" si="2"/>
        <v>166782</v>
      </c>
      <c r="J55" s="72">
        <f t="shared" si="0"/>
        <v>230374</v>
      </c>
      <c r="L55"/>
    </row>
    <row r="56" spans="1:12">
      <c r="A56" s="1" t="s">
        <v>1</v>
      </c>
      <c r="B56" s="21" t="s">
        <v>62</v>
      </c>
      <c r="C56" s="30">
        <v>8550</v>
      </c>
      <c r="D56" s="31">
        <v>0</v>
      </c>
      <c r="E56" s="31">
        <f t="shared" si="1"/>
        <v>8550</v>
      </c>
      <c r="F56" s="29">
        <v>8100</v>
      </c>
      <c r="G56" s="30">
        <v>9780</v>
      </c>
      <c r="H56" s="56">
        <v>3980</v>
      </c>
      <c r="I56" s="69">
        <f t="shared" si="2"/>
        <v>21860</v>
      </c>
      <c r="J56" s="69">
        <f t="shared" si="0"/>
        <v>30410</v>
      </c>
      <c r="L56"/>
    </row>
    <row r="57" spans="1:12">
      <c r="A57" s="1" t="s">
        <v>1</v>
      </c>
      <c r="B57" s="4" t="s">
        <v>63</v>
      </c>
      <c r="C57" s="16">
        <v>0</v>
      </c>
      <c r="D57" s="17">
        <v>0</v>
      </c>
      <c r="E57" s="17">
        <f t="shared" si="1"/>
        <v>0</v>
      </c>
      <c r="F57" s="15">
        <v>0</v>
      </c>
      <c r="G57" s="16">
        <v>0</v>
      </c>
      <c r="H57" s="57">
        <v>0</v>
      </c>
      <c r="I57" s="70">
        <f t="shared" si="2"/>
        <v>0</v>
      </c>
      <c r="J57" s="70">
        <f t="shared" ref="J57:J67" si="3">E57+I57</f>
        <v>0</v>
      </c>
      <c r="L57"/>
    </row>
    <row r="58" spans="1:12">
      <c r="A58" s="1" t="s">
        <v>1</v>
      </c>
      <c r="B58" s="4" t="s">
        <v>64</v>
      </c>
      <c r="C58" s="16">
        <v>19900</v>
      </c>
      <c r="D58" s="17">
        <v>0</v>
      </c>
      <c r="E58" s="17">
        <f t="shared" si="1"/>
        <v>19900</v>
      </c>
      <c r="F58" s="15">
        <v>12100</v>
      </c>
      <c r="G58" s="16">
        <v>17900</v>
      </c>
      <c r="H58" s="57">
        <v>6000</v>
      </c>
      <c r="I58" s="70">
        <f t="shared" si="2"/>
        <v>36000</v>
      </c>
      <c r="J58" s="70">
        <f t="shared" si="3"/>
        <v>55900</v>
      </c>
      <c r="L58"/>
    </row>
    <row r="59" spans="1:12">
      <c r="A59" s="1" t="s">
        <v>1</v>
      </c>
      <c r="B59" s="4" t="s">
        <v>65</v>
      </c>
      <c r="C59" s="16">
        <v>0</v>
      </c>
      <c r="D59" s="17">
        <v>0</v>
      </c>
      <c r="E59" s="17">
        <f t="shared" si="1"/>
        <v>0</v>
      </c>
      <c r="F59" s="15">
        <v>0</v>
      </c>
      <c r="G59" s="16">
        <v>0</v>
      </c>
      <c r="H59" s="57">
        <v>0</v>
      </c>
      <c r="I59" s="70">
        <f t="shared" si="2"/>
        <v>0</v>
      </c>
      <c r="J59" s="70">
        <f t="shared" si="3"/>
        <v>0</v>
      </c>
      <c r="L59"/>
    </row>
    <row r="60" spans="1:12">
      <c r="A60" s="1" t="s">
        <v>1</v>
      </c>
      <c r="B60" s="4" t="s">
        <v>66</v>
      </c>
      <c r="C60" s="16">
        <v>0</v>
      </c>
      <c r="D60" s="17">
        <v>0</v>
      </c>
      <c r="E60" s="17">
        <f t="shared" si="1"/>
        <v>0</v>
      </c>
      <c r="F60" s="15">
        <v>0</v>
      </c>
      <c r="G60" s="16">
        <v>0</v>
      </c>
      <c r="H60" s="57">
        <v>0</v>
      </c>
      <c r="I60" s="70">
        <f t="shared" si="2"/>
        <v>0</v>
      </c>
      <c r="J60" s="70">
        <f t="shared" si="3"/>
        <v>0</v>
      </c>
      <c r="L60"/>
    </row>
    <row r="61" spans="1:12">
      <c r="A61" s="1" t="s">
        <v>1</v>
      </c>
      <c r="B61" s="4" t="s">
        <v>67</v>
      </c>
      <c r="C61" s="16">
        <v>0</v>
      </c>
      <c r="D61" s="17">
        <v>0</v>
      </c>
      <c r="E61" s="17">
        <f t="shared" si="1"/>
        <v>0</v>
      </c>
      <c r="F61" s="15">
        <v>0</v>
      </c>
      <c r="G61" s="16">
        <v>0</v>
      </c>
      <c r="H61" s="57">
        <v>0</v>
      </c>
      <c r="I61" s="70">
        <f t="shared" si="2"/>
        <v>0</v>
      </c>
      <c r="J61" s="70">
        <f t="shared" si="3"/>
        <v>0</v>
      </c>
      <c r="L61"/>
    </row>
    <row r="62" spans="1:12" ht="19.5" thickBot="1">
      <c r="A62" s="1" t="s">
        <v>1</v>
      </c>
      <c r="B62" s="35" t="s">
        <v>68</v>
      </c>
      <c r="C62" s="37">
        <v>0</v>
      </c>
      <c r="D62" s="38">
        <v>0</v>
      </c>
      <c r="E62" s="38">
        <f t="shared" si="1"/>
        <v>0</v>
      </c>
      <c r="F62" s="36">
        <v>0</v>
      </c>
      <c r="G62" s="37">
        <v>0</v>
      </c>
      <c r="H62" s="58">
        <v>0</v>
      </c>
      <c r="I62" s="71">
        <f t="shared" si="2"/>
        <v>0</v>
      </c>
      <c r="J62" s="71">
        <f t="shared" si="3"/>
        <v>0</v>
      </c>
      <c r="L62"/>
    </row>
    <row r="63" spans="1:12" ht="19.5" thickBot="1">
      <c r="A63" s="1" t="s">
        <v>1</v>
      </c>
      <c r="B63" s="39" t="s">
        <v>69</v>
      </c>
      <c r="C63" s="41">
        <v>91811</v>
      </c>
      <c r="D63" s="42">
        <v>231</v>
      </c>
      <c r="E63" s="42">
        <f t="shared" si="1"/>
        <v>92042</v>
      </c>
      <c r="F63" s="40">
        <v>72767</v>
      </c>
      <c r="G63" s="41">
        <v>86383</v>
      </c>
      <c r="H63" s="59">
        <v>65492</v>
      </c>
      <c r="I63" s="72">
        <f t="shared" si="2"/>
        <v>224642</v>
      </c>
      <c r="J63" s="72">
        <f t="shared" si="3"/>
        <v>316684</v>
      </c>
      <c r="L63"/>
    </row>
    <row r="64" spans="1:12" ht="19.5" thickBot="1">
      <c r="A64" s="1" t="s">
        <v>1</v>
      </c>
      <c r="B64" s="39" t="s">
        <v>70</v>
      </c>
      <c r="C64" s="41">
        <v>341639</v>
      </c>
      <c r="D64" s="42">
        <v>76809</v>
      </c>
      <c r="E64" s="42">
        <f t="shared" si="1"/>
        <v>418448</v>
      </c>
      <c r="F64" s="40">
        <v>293424</v>
      </c>
      <c r="G64" s="41">
        <v>317180</v>
      </c>
      <c r="H64" s="59">
        <v>268636</v>
      </c>
      <c r="I64" s="72">
        <f t="shared" si="2"/>
        <v>879240</v>
      </c>
      <c r="J64" s="72">
        <f t="shared" si="3"/>
        <v>1297688</v>
      </c>
      <c r="L64"/>
    </row>
    <row r="65" spans="1:12" ht="19.5" thickBot="1">
      <c r="A65" s="1" t="s">
        <v>1</v>
      </c>
      <c r="B65" s="39" t="s">
        <v>71</v>
      </c>
      <c r="C65" s="41">
        <v>323465</v>
      </c>
      <c r="D65" s="42">
        <v>76809</v>
      </c>
      <c r="E65" s="42">
        <f t="shared" si="1"/>
        <v>400274</v>
      </c>
      <c r="F65" s="40">
        <v>279722</v>
      </c>
      <c r="G65" s="41">
        <v>291123</v>
      </c>
      <c r="H65" s="59">
        <v>258656</v>
      </c>
      <c r="I65" s="72">
        <f t="shared" si="2"/>
        <v>829501</v>
      </c>
      <c r="J65" s="72">
        <f t="shared" si="3"/>
        <v>1229775</v>
      </c>
      <c r="L65"/>
    </row>
    <row r="66" spans="1:12">
      <c r="A66" s="1" t="s">
        <v>1</v>
      </c>
      <c r="B66" s="21" t="s">
        <v>72</v>
      </c>
      <c r="C66" s="30">
        <v>0</v>
      </c>
      <c r="D66" s="31">
        <v>0</v>
      </c>
      <c r="E66" s="31">
        <f t="shared" si="1"/>
        <v>0</v>
      </c>
      <c r="F66" s="29">
        <v>0</v>
      </c>
      <c r="G66" s="30">
        <v>0</v>
      </c>
      <c r="H66" s="56">
        <v>0</v>
      </c>
      <c r="I66" s="69">
        <f t="shared" si="2"/>
        <v>0</v>
      </c>
      <c r="J66" s="69">
        <f t="shared" si="3"/>
        <v>0</v>
      </c>
      <c r="L66"/>
    </row>
    <row r="67" spans="1:12">
      <c r="A67" s="1" t="s">
        <v>1</v>
      </c>
      <c r="B67" s="4" t="s">
        <v>73</v>
      </c>
      <c r="C67" s="16">
        <v>323465</v>
      </c>
      <c r="D67" s="17">
        <v>76809</v>
      </c>
      <c r="E67" s="17">
        <f t="shared" si="1"/>
        <v>400274</v>
      </c>
      <c r="F67" s="15">
        <v>279722</v>
      </c>
      <c r="G67" s="16">
        <v>291123</v>
      </c>
      <c r="H67" s="57">
        <v>258656</v>
      </c>
      <c r="I67" s="70">
        <f t="shared" si="2"/>
        <v>829501</v>
      </c>
      <c r="J67" s="70">
        <f t="shared" si="3"/>
        <v>1229775</v>
      </c>
      <c r="L67"/>
    </row>
    <row r="68" spans="1:12">
      <c r="A68" s="1" t="s">
        <v>1</v>
      </c>
      <c r="B68" s="4" t="s">
        <v>74</v>
      </c>
      <c r="C68" s="16">
        <v>1</v>
      </c>
      <c r="D68" s="17">
        <v>0</v>
      </c>
      <c r="E68" s="17"/>
      <c r="F68" s="15">
        <v>0</v>
      </c>
      <c r="G68" s="16">
        <v>0</v>
      </c>
      <c r="H68" s="57">
        <v>2</v>
      </c>
      <c r="I68" s="70"/>
      <c r="J68" s="70"/>
      <c r="L68"/>
    </row>
    <row r="69" spans="1:12" ht="19.5" thickBot="1">
      <c r="A69" s="1" t="s">
        <v>1</v>
      </c>
      <c r="B69" s="5" t="s">
        <v>75</v>
      </c>
      <c r="C69" s="19" t="s">
        <v>76</v>
      </c>
      <c r="D69" s="20" t="s">
        <v>76</v>
      </c>
      <c r="E69" s="47"/>
      <c r="F69" s="18" t="s">
        <v>76</v>
      </c>
      <c r="G69" s="19" t="s">
        <v>76</v>
      </c>
      <c r="H69" s="60" t="s">
        <v>76</v>
      </c>
      <c r="I69" s="73"/>
      <c r="J69" s="73"/>
      <c r="L69"/>
    </row>
  </sheetData>
  <phoneticPr fontId="4"/>
  <pageMargins left="0.31496062992125984" right="0.31496062992125984" top="0.15748031496062992" bottom="0.15748031496062992" header="0.11811023622047245" footer="0.11811023622047245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7月度給与 (2)</vt:lpstr>
      <vt:lpstr>'2022年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2022-08-10T08:08:02Z</cp:lastPrinted>
  <dcterms:created xsi:type="dcterms:W3CDTF">2022-08-09T02:30:03Z</dcterms:created>
  <dcterms:modified xsi:type="dcterms:W3CDTF">2022-08-10T08:45:30Z</dcterms:modified>
</cp:coreProperties>
</file>