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7\"/>
    </mc:Choice>
  </mc:AlternateContent>
  <xr:revisionPtr revIDLastSave="0" documentId="13_ncr:1_{7E88D6A4-3836-4B1F-86CF-B0EA1FC5A129}" xr6:coauthVersionLast="47" xr6:coauthVersionMax="47" xr10:uidLastSave="{00000000-0000-0000-0000-000000000000}"/>
  <bookViews>
    <workbookView xWindow="-120" yWindow="-120" windowWidth="20730" windowHeight="11160" xr2:uid="{CA236BA8-A26C-4AF0-9B5F-927D1CA57B15}"/>
  </bookViews>
  <sheets>
    <sheet name="2022年 7月度給与 (2)" sheetId="3" r:id="rId1"/>
  </sheets>
  <definedNames>
    <definedName name="_xlnm.Print_Area" localSheetId="0">'2022年 7月度給与 (2)'!$A$1:$L$65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4" i="3" l="1"/>
  <c r="L65" i="3"/>
  <c r="K6" i="3"/>
  <c r="L6" i="3" s="1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K21" i="3"/>
  <c r="L21" i="3" s="1"/>
  <c r="K22" i="3"/>
  <c r="L22" i="3" s="1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L41" i="3" s="1"/>
  <c r="E42" i="3"/>
  <c r="E43" i="3"/>
  <c r="E44" i="3"/>
  <c r="E45" i="3"/>
  <c r="L45" i="3" s="1"/>
  <c r="E46" i="3"/>
  <c r="E47" i="3"/>
  <c r="E48" i="3"/>
  <c r="L48" i="3" s="1"/>
  <c r="E49" i="3"/>
  <c r="E50" i="3"/>
  <c r="E51" i="3"/>
  <c r="E52" i="3"/>
  <c r="L52" i="3" s="1"/>
  <c r="E53" i="3"/>
  <c r="E54" i="3"/>
  <c r="E55" i="3"/>
  <c r="E56" i="3"/>
  <c r="E57" i="3"/>
  <c r="E58" i="3"/>
  <c r="E59" i="3"/>
  <c r="E60" i="3"/>
  <c r="E61" i="3"/>
  <c r="E62" i="3"/>
  <c r="E63" i="3"/>
  <c r="E24" i="3"/>
  <c r="L24" i="3" s="1"/>
  <c r="E23" i="3"/>
  <c r="E20" i="3"/>
  <c r="E13" i="3"/>
  <c r="L13" i="3" s="1"/>
  <c r="E9" i="3"/>
  <c r="L9" i="3" s="1"/>
  <c r="E5" i="3"/>
  <c r="L5" i="3" s="1"/>
  <c r="L60" i="3" l="1"/>
  <c r="L55" i="3"/>
  <c r="L30" i="3"/>
  <c r="L23" i="3"/>
  <c r="L26" i="3"/>
  <c r="L36" i="3"/>
  <c r="L20" i="3"/>
  <c r="L35" i="3"/>
  <c r="L32" i="3"/>
  <c r="L29" i="3"/>
  <c r="L28" i="3"/>
  <c r="L62" i="3"/>
  <c r="L57" i="3"/>
  <c r="L50" i="3"/>
  <c r="L47" i="3"/>
  <c r="L43" i="3"/>
  <c r="L39" i="3"/>
  <c r="L61" i="3"/>
  <c r="L56" i="3"/>
  <c r="L49" i="3"/>
  <c r="L38" i="3"/>
  <c r="L34" i="3"/>
  <c r="L31" i="3"/>
  <c r="L27" i="3"/>
  <c r="L53" i="3"/>
  <c r="L46" i="3"/>
  <c r="L42" i="3"/>
  <c r="L63" i="3"/>
  <c r="L58" i="3"/>
  <c r="L54" i="3"/>
  <c r="L51" i="3"/>
  <c r="L44" i="3"/>
  <c r="L40" i="3"/>
  <c r="L37" i="3"/>
  <c r="L33" i="3"/>
  <c r="L25" i="3"/>
  <c r="L59" i="3"/>
</calcChain>
</file>

<file path=xl/sharedStrings.xml><?xml version="1.0" encoding="utf-8"?>
<sst xmlns="http://schemas.openxmlformats.org/spreadsheetml/2006/main" count="152" uniqueCount="82">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</sst>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7" xfId="1" applyNumberFormat="1" applyFont="1" applyBorder="1"/>
  </cellXfs>
  <cellStyles count="2">
    <cellStyle name="標準" xfId="0" builtinId="0"/>
    <cellStyle name="標準 2" xfId="1" xr:uid="{270224E0-38D4-4BCD-B3BA-E89B75F9B1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CDCB-3F88-4128-8DCE-D5646B7E5E0B}">
  <sheetPr>
    <pageSetUpPr fitToPage="1"/>
  </sheetPr>
  <dimension ref="A1:L65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2" width="12.2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77</v>
      </c>
    </row>
    <row r="3" spans="1:12">
      <c r="B3" s="3"/>
      <c r="C3" s="7" t="s">
        <v>3</v>
      </c>
      <c r="D3" s="8" t="s">
        <v>8</v>
      </c>
      <c r="E3" s="48" t="s">
        <v>78</v>
      </c>
      <c r="F3" s="6" t="s">
        <v>2</v>
      </c>
      <c r="G3" s="7" t="s">
        <v>4</v>
      </c>
      <c r="H3" s="7" t="s">
        <v>5</v>
      </c>
      <c r="I3" s="7" t="s">
        <v>6</v>
      </c>
      <c r="J3" s="50" t="s">
        <v>7</v>
      </c>
      <c r="K3" s="61" t="s">
        <v>78</v>
      </c>
      <c r="L3" s="62" t="s">
        <v>17</v>
      </c>
    </row>
    <row r="4" spans="1:12" ht="19.5" thickBot="1">
      <c r="A4" s="43"/>
      <c r="B4" s="25" t="s">
        <v>9</v>
      </c>
      <c r="C4" s="27" t="s">
        <v>11</v>
      </c>
      <c r="D4" s="28" t="s">
        <v>16</v>
      </c>
      <c r="E4" s="49" t="s">
        <v>79</v>
      </c>
      <c r="F4" s="26" t="s">
        <v>10</v>
      </c>
      <c r="G4" s="27" t="s">
        <v>12</v>
      </c>
      <c r="H4" s="27" t="s">
        <v>13</v>
      </c>
      <c r="I4" s="27" t="s">
        <v>14</v>
      </c>
      <c r="J4" s="51" t="s">
        <v>15</v>
      </c>
      <c r="K4" s="63" t="s">
        <v>80</v>
      </c>
      <c r="L4" s="64" t="s">
        <v>81</v>
      </c>
    </row>
    <row r="5" spans="1:12">
      <c r="A5" s="1" t="s">
        <v>1</v>
      </c>
      <c r="B5" s="21" t="s">
        <v>18</v>
      </c>
      <c r="C5" s="23">
        <v>20</v>
      </c>
      <c r="D5" s="24">
        <v>17</v>
      </c>
      <c r="E5" s="44">
        <f>SUM(C5:D5)</f>
        <v>37</v>
      </c>
      <c r="F5" s="22">
        <v>19</v>
      </c>
      <c r="G5" s="23">
        <v>20</v>
      </c>
      <c r="H5" s="23">
        <v>19</v>
      </c>
      <c r="I5" s="23">
        <v>19</v>
      </c>
      <c r="J5" s="52">
        <v>19</v>
      </c>
      <c r="K5" s="65">
        <f>SUM(F5:J5)</f>
        <v>96</v>
      </c>
      <c r="L5" s="65">
        <f>E5+K5</f>
        <v>133</v>
      </c>
    </row>
    <row r="6" spans="1:12">
      <c r="A6" s="1" t="s">
        <v>1</v>
      </c>
      <c r="B6" s="4" t="s">
        <v>19</v>
      </c>
      <c r="C6" s="10">
        <v>0</v>
      </c>
      <c r="D6" s="11">
        <v>0</v>
      </c>
      <c r="E6" s="45"/>
      <c r="F6" s="9">
        <v>2</v>
      </c>
      <c r="G6" s="10">
        <v>2</v>
      </c>
      <c r="H6" s="10">
        <v>3</v>
      </c>
      <c r="I6" s="10">
        <v>2</v>
      </c>
      <c r="J6" s="53">
        <v>3</v>
      </c>
      <c r="K6" s="66">
        <f t="shared" ref="K6:K55" si="0">SUM(F6:J6)</f>
        <v>12</v>
      </c>
      <c r="L6" s="66">
        <f t="shared" ref="L6:L55" si="1">E6+K6</f>
        <v>12</v>
      </c>
    </row>
    <row r="7" spans="1:12">
      <c r="A7" s="1" t="s">
        <v>1</v>
      </c>
      <c r="B7" s="4" t="s">
        <v>20</v>
      </c>
      <c r="C7" s="10">
        <v>0</v>
      </c>
      <c r="D7" s="11">
        <v>0</v>
      </c>
      <c r="E7" s="45"/>
      <c r="F7" s="9">
        <v>0</v>
      </c>
      <c r="G7" s="10">
        <v>1</v>
      </c>
      <c r="H7" s="10">
        <v>0</v>
      </c>
      <c r="I7" s="10">
        <v>0</v>
      </c>
      <c r="J7" s="53">
        <v>2</v>
      </c>
      <c r="K7" s="66">
        <f t="shared" si="0"/>
        <v>3</v>
      </c>
      <c r="L7" s="66">
        <f t="shared" si="1"/>
        <v>3</v>
      </c>
    </row>
    <row r="8" spans="1:12">
      <c r="A8" s="1" t="s">
        <v>1</v>
      </c>
      <c r="B8" s="4" t="s">
        <v>21</v>
      </c>
      <c r="C8" s="10">
        <v>0</v>
      </c>
      <c r="D8" s="11">
        <v>0</v>
      </c>
      <c r="E8" s="45"/>
      <c r="F8" s="9">
        <v>0</v>
      </c>
      <c r="G8" s="10">
        <v>1</v>
      </c>
      <c r="H8" s="10">
        <v>1</v>
      </c>
      <c r="I8" s="10">
        <v>0</v>
      </c>
      <c r="J8" s="53">
        <v>1</v>
      </c>
      <c r="K8" s="66">
        <f t="shared" si="0"/>
        <v>3</v>
      </c>
      <c r="L8" s="66">
        <f t="shared" si="1"/>
        <v>3</v>
      </c>
    </row>
    <row r="9" spans="1:12">
      <c r="A9" s="1" t="s">
        <v>1</v>
      </c>
      <c r="B9" s="4" t="s">
        <v>22</v>
      </c>
      <c r="C9" s="10">
        <v>1</v>
      </c>
      <c r="D9" s="11">
        <v>1</v>
      </c>
      <c r="E9" s="45">
        <f>SUM(C9:D9)</f>
        <v>2</v>
      </c>
      <c r="F9" s="9">
        <v>2</v>
      </c>
      <c r="G9" s="10">
        <v>0</v>
      </c>
      <c r="H9" s="10">
        <v>1</v>
      </c>
      <c r="I9" s="10">
        <v>2</v>
      </c>
      <c r="J9" s="53">
        <v>1</v>
      </c>
      <c r="K9" s="66">
        <f t="shared" si="0"/>
        <v>6</v>
      </c>
      <c r="L9" s="66">
        <f t="shared" si="1"/>
        <v>8</v>
      </c>
    </row>
    <row r="10" spans="1:12">
      <c r="A10" s="1" t="s">
        <v>1</v>
      </c>
      <c r="B10" s="4" t="s">
        <v>23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10">
        <v>0</v>
      </c>
      <c r="J10" s="53">
        <v>0</v>
      </c>
      <c r="K10" s="66">
        <f t="shared" si="0"/>
        <v>0</v>
      </c>
      <c r="L10" s="66">
        <f t="shared" si="1"/>
        <v>0</v>
      </c>
    </row>
    <row r="11" spans="1:12">
      <c r="A11" s="1" t="s">
        <v>1</v>
      </c>
      <c r="B11" s="4" t="s">
        <v>24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53">
        <v>0</v>
      </c>
      <c r="K11" s="66">
        <f t="shared" si="0"/>
        <v>0</v>
      </c>
      <c r="L11" s="66">
        <f t="shared" si="1"/>
        <v>0</v>
      </c>
    </row>
    <row r="12" spans="1:12">
      <c r="A12" s="1" t="s">
        <v>1</v>
      </c>
      <c r="B12" s="4" t="s">
        <v>25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53">
        <v>0</v>
      </c>
      <c r="K12" s="66">
        <f t="shared" si="0"/>
        <v>0</v>
      </c>
      <c r="L12" s="66">
        <f t="shared" si="1"/>
        <v>0</v>
      </c>
    </row>
    <row r="13" spans="1:12">
      <c r="A13" s="1" t="s">
        <v>1</v>
      </c>
      <c r="B13" s="4" t="s">
        <v>26</v>
      </c>
      <c r="C13" s="13">
        <v>0</v>
      </c>
      <c r="D13" s="14">
        <v>3.4583333333333335</v>
      </c>
      <c r="E13" s="46">
        <f>SUM(C13:D13)</f>
        <v>3.4583333333333335</v>
      </c>
      <c r="F13" s="12">
        <v>0</v>
      </c>
      <c r="G13" s="13">
        <v>0</v>
      </c>
      <c r="H13" s="13">
        <v>0</v>
      </c>
      <c r="I13" s="13">
        <v>0</v>
      </c>
      <c r="J13" s="54">
        <v>0</v>
      </c>
      <c r="K13" s="67">
        <f t="shared" si="0"/>
        <v>0</v>
      </c>
      <c r="L13" s="67">
        <f t="shared" si="1"/>
        <v>3.4583333333333335</v>
      </c>
    </row>
    <row r="14" spans="1:12">
      <c r="A14" s="1" t="s">
        <v>1</v>
      </c>
      <c r="B14" s="4" t="s">
        <v>27</v>
      </c>
      <c r="C14" s="13">
        <v>0</v>
      </c>
      <c r="D14" s="14">
        <v>0</v>
      </c>
      <c r="E14" s="46"/>
      <c r="F14" s="12">
        <v>0.41666666666666669</v>
      </c>
      <c r="G14" s="13">
        <v>0.83333333333333337</v>
      </c>
      <c r="H14" s="13">
        <v>0.5</v>
      </c>
      <c r="I14" s="13">
        <v>0.91666666666666663</v>
      </c>
      <c r="J14" s="54">
        <v>0.625</v>
      </c>
      <c r="K14" s="67">
        <f t="shared" si="0"/>
        <v>3.2916666666666665</v>
      </c>
      <c r="L14" s="67">
        <f t="shared" si="1"/>
        <v>3.2916666666666665</v>
      </c>
    </row>
    <row r="15" spans="1:12">
      <c r="A15" s="1" t="s">
        <v>1</v>
      </c>
      <c r="B15" s="4" t="s">
        <v>28</v>
      </c>
      <c r="C15" s="13">
        <v>0</v>
      </c>
      <c r="D15" s="14">
        <v>0</v>
      </c>
      <c r="E15" s="46"/>
      <c r="F15" s="12">
        <v>0.75</v>
      </c>
      <c r="G15" s="13">
        <v>0.75</v>
      </c>
      <c r="H15" s="13">
        <v>0.70833333333333337</v>
      </c>
      <c r="I15" s="13">
        <v>0.70833333333333337</v>
      </c>
      <c r="J15" s="54">
        <v>1.2916666666666667</v>
      </c>
      <c r="K15" s="67">
        <f t="shared" si="0"/>
        <v>4.2083333333333339</v>
      </c>
      <c r="L15" s="67">
        <f t="shared" si="1"/>
        <v>4.2083333333333339</v>
      </c>
    </row>
    <row r="16" spans="1:12">
      <c r="A16" s="1" t="s">
        <v>1</v>
      </c>
      <c r="B16" s="4" t="s">
        <v>29</v>
      </c>
      <c r="C16" s="13">
        <v>0</v>
      </c>
      <c r="D16" s="14">
        <v>0</v>
      </c>
      <c r="E16" s="46"/>
      <c r="F16" s="12">
        <v>0</v>
      </c>
      <c r="G16" s="13">
        <v>0</v>
      </c>
      <c r="H16" s="13">
        <v>0</v>
      </c>
      <c r="I16" s="13">
        <v>0</v>
      </c>
      <c r="J16" s="54">
        <v>0.33333333333333331</v>
      </c>
      <c r="K16" s="67">
        <f t="shared" si="0"/>
        <v>0.33333333333333331</v>
      </c>
      <c r="L16" s="67">
        <f t="shared" si="1"/>
        <v>0.33333333333333331</v>
      </c>
    </row>
    <row r="17" spans="1:12">
      <c r="A17" s="1" t="s">
        <v>1</v>
      </c>
      <c r="B17" s="4" t="s">
        <v>30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0.29166666666666669</v>
      </c>
      <c r="I17" s="13">
        <v>0</v>
      </c>
      <c r="J17" s="54">
        <v>0</v>
      </c>
      <c r="K17" s="67">
        <f t="shared" si="0"/>
        <v>0.29166666666666669</v>
      </c>
      <c r="L17" s="67">
        <f t="shared" si="1"/>
        <v>0.29166666666666669</v>
      </c>
    </row>
    <row r="18" spans="1:12">
      <c r="A18" s="1" t="s">
        <v>1</v>
      </c>
      <c r="B18" s="4" t="s">
        <v>31</v>
      </c>
      <c r="C18" s="13">
        <v>0</v>
      </c>
      <c r="D18" s="14">
        <v>0</v>
      </c>
      <c r="E18" s="46"/>
      <c r="F18" s="12">
        <v>0</v>
      </c>
      <c r="G18" s="13">
        <v>0.33333333333333331</v>
      </c>
      <c r="H18" s="13">
        <v>0</v>
      </c>
      <c r="I18" s="13">
        <v>0</v>
      </c>
      <c r="J18" s="54">
        <v>0.33333333333333331</v>
      </c>
      <c r="K18" s="67">
        <f t="shared" si="0"/>
        <v>0.66666666666666663</v>
      </c>
      <c r="L18" s="67">
        <f t="shared" si="1"/>
        <v>0.66666666666666663</v>
      </c>
    </row>
    <row r="19" spans="1:12">
      <c r="A19" s="1" t="s">
        <v>1</v>
      </c>
      <c r="B19" s="4" t="s">
        <v>32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54">
        <v>0</v>
      </c>
      <c r="K19" s="67">
        <f t="shared" si="0"/>
        <v>0</v>
      </c>
      <c r="L19" s="67">
        <f t="shared" si="1"/>
        <v>0</v>
      </c>
    </row>
    <row r="20" spans="1:12">
      <c r="A20" s="1" t="s">
        <v>1</v>
      </c>
      <c r="B20" s="4" t="s">
        <v>33</v>
      </c>
      <c r="C20" s="13">
        <v>0</v>
      </c>
      <c r="D20" s="14">
        <v>0.20833333333333334</v>
      </c>
      <c r="E20" s="46">
        <f>SUM(C20:D20)</f>
        <v>0.20833333333333334</v>
      </c>
      <c r="F20" s="12">
        <v>0</v>
      </c>
      <c r="G20" s="13">
        <v>0</v>
      </c>
      <c r="H20" s="13">
        <v>0</v>
      </c>
      <c r="I20" s="13">
        <v>0</v>
      </c>
      <c r="J20" s="54">
        <v>0</v>
      </c>
      <c r="K20" s="67">
        <f t="shared" si="0"/>
        <v>0</v>
      </c>
      <c r="L20" s="67">
        <f t="shared" si="1"/>
        <v>0.20833333333333334</v>
      </c>
    </row>
    <row r="21" spans="1:12">
      <c r="A21" s="1" t="s">
        <v>1</v>
      </c>
      <c r="B21" s="4" t="s">
        <v>34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54">
        <v>0</v>
      </c>
      <c r="K21" s="67">
        <f t="shared" si="0"/>
        <v>0</v>
      </c>
      <c r="L21" s="67">
        <f t="shared" si="1"/>
        <v>0</v>
      </c>
    </row>
    <row r="22" spans="1:12">
      <c r="A22" s="1" t="s">
        <v>1</v>
      </c>
      <c r="B22" s="4" t="s">
        <v>35</v>
      </c>
      <c r="C22" s="13">
        <v>0</v>
      </c>
      <c r="D22" s="14">
        <v>0</v>
      </c>
      <c r="E22" s="46"/>
      <c r="F22" s="12">
        <v>8.3333333333333329E-2</v>
      </c>
      <c r="G22" s="13">
        <v>0.16666666666666666</v>
      </c>
      <c r="H22" s="13">
        <v>0</v>
      </c>
      <c r="I22" s="13">
        <v>0.125</v>
      </c>
      <c r="J22" s="54">
        <v>0</v>
      </c>
      <c r="K22" s="67">
        <f t="shared" si="0"/>
        <v>0.375</v>
      </c>
      <c r="L22" s="67">
        <f t="shared" si="1"/>
        <v>0.375</v>
      </c>
    </row>
    <row r="23" spans="1:12" ht="19.5" thickBot="1">
      <c r="A23" s="1" t="s">
        <v>1</v>
      </c>
      <c r="B23" s="5" t="s">
        <v>36</v>
      </c>
      <c r="C23" s="33">
        <v>31</v>
      </c>
      <c r="D23" s="34">
        <v>27</v>
      </c>
      <c r="E23" s="47">
        <f>SUM(C23:D23)</f>
        <v>58</v>
      </c>
      <c r="F23" s="32">
        <v>13</v>
      </c>
      <c r="G23" s="33">
        <v>21</v>
      </c>
      <c r="H23" s="33">
        <v>24</v>
      </c>
      <c r="I23" s="33">
        <v>23</v>
      </c>
      <c r="J23" s="55">
        <v>16</v>
      </c>
      <c r="K23" s="68">
        <f t="shared" si="0"/>
        <v>97</v>
      </c>
      <c r="L23" s="68">
        <f t="shared" si="1"/>
        <v>155</v>
      </c>
    </row>
    <row r="24" spans="1:12">
      <c r="A24" s="1" t="s">
        <v>1</v>
      </c>
      <c r="B24" s="21" t="s">
        <v>37</v>
      </c>
      <c r="C24" s="30">
        <v>365000</v>
      </c>
      <c r="D24" s="31">
        <v>0</v>
      </c>
      <c r="E24" s="31">
        <f>SUM(C24:D24)</f>
        <v>365000</v>
      </c>
      <c r="F24" s="29">
        <v>187000</v>
      </c>
      <c r="G24" s="30">
        <v>187000</v>
      </c>
      <c r="H24" s="30">
        <v>182000</v>
      </c>
      <c r="I24" s="30">
        <v>187000</v>
      </c>
      <c r="J24" s="56">
        <v>170000</v>
      </c>
      <c r="K24" s="69">
        <f t="shared" si="0"/>
        <v>913000</v>
      </c>
      <c r="L24" s="69">
        <f t="shared" si="1"/>
        <v>1278000</v>
      </c>
    </row>
    <row r="25" spans="1:12">
      <c r="A25" s="1" t="s">
        <v>1</v>
      </c>
      <c r="B25" s="4" t="s">
        <v>38</v>
      </c>
      <c r="C25" s="16">
        <v>0</v>
      </c>
      <c r="D25" s="17">
        <v>0</v>
      </c>
      <c r="E25" s="17">
        <f t="shared" ref="E25:E63" si="2">SUM(C25:D25)</f>
        <v>0</v>
      </c>
      <c r="F25" s="15">
        <v>0</v>
      </c>
      <c r="G25" s="16">
        <v>0</v>
      </c>
      <c r="H25" s="16">
        <v>0</v>
      </c>
      <c r="I25" s="16">
        <v>0</v>
      </c>
      <c r="J25" s="57">
        <v>0</v>
      </c>
      <c r="K25" s="70">
        <f t="shared" si="0"/>
        <v>0</v>
      </c>
      <c r="L25" s="70">
        <f t="shared" si="1"/>
        <v>0</v>
      </c>
    </row>
    <row r="26" spans="1:12">
      <c r="A26" s="1" t="s">
        <v>1</v>
      </c>
      <c r="B26" s="4" t="s">
        <v>39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6000</v>
      </c>
      <c r="I26" s="16">
        <v>0</v>
      </c>
      <c r="J26" s="57">
        <v>0</v>
      </c>
      <c r="K26" s="70">
        <f t="shared" si="0"/>
        <v>12000</v>
      </c>
      <c r="L26" s="70">
        <f t="shared" si="1"/>
        <v>12000</v>
      </c>
    </row>
    <row r="27" spans="1:12">
      <c r="A27" s="1" t="s">
        <v>1</v>
      </c>
      <c r="B27" s="4" t="s">
        <v>40</v>
      </c>
      <c r="C27" s="16">
        <v>0</v>
      </c>
      <c r="D27" s="17">
        <v>0</v>
      </c>
      <c r="E27" s="17">
        <f t="shared" si="2"/>
        <v>0</v>
      </c>
      <c r="F27" s="15">
        <v>0</v>
      </c>
      <c r="G27" s="16">
        <v>0</v>
      </c>
      <c r="H27" s="16">
        <v>0</v>
      </c>
      <c r="I27" s="16">
        <v>0</v>
      </c>
      <c r="J27" s="57">
        <v>0</v>
      </c>
      <c r="K27" s="70">
        <f t="shared" si="0"/>
        <v>0</v>
      </c>
      <c r="L27" s="70">
        <f t="shared" si="1"/>
        <v>0</v>
      </c>
    </row>
    <row r="28" spans="1:12">
      <c r="A28" s="1" t="s">
        <v>1</v>
      </c>
      <c r="B28" s="4" t="s">
        <v>41</v>
      </c>
      <c r="C28" s="16">
        <v>0</v>
      </c>
      <c r="D28" s="17">
        <v>0</v>
      </c>
      <c r="E28" s="17">
        <f t="shared" si="2"/>
        <v>0</v>
      </c>
      <c r="F28" s="15">
        <v>85727</v>
      </c>
      <c r="G28" s="16">
        <v>68992</v>
      </c>
      <c r="H28" s="16">
        <v>83485</v>
      </c>
      <c r="I28" s="16">
        <v>66176</v>
      </c>
      <c r="J28" s="57">
        <v>57600</v>
      </c>
      <c r="K28" s="70">
        <f t="shared" si="0"/>
        <v>361980</v>
      </c>
      <c r="L28" s="70">
        <f t="shared" si="1"/>
        <v>361980</v>
      </c>
    </row>
    <row r="29" spans="1:12">
      <c r="A29" s="1" t="s">
        <v>1</v>
      </c>
      <c r="B29" s="4" t="s">
        <v>42</v>
      </c>
      <c r="C29" s="16">
        <v>0</v>
      </c>
      <c r="D29" s="17">
        <v>79680</v>
      </c>
      <c r="E29" s="17">
        <f t="shared" si="2"/>
        <v>79680</v>
      </c>
      <c r="F29" s="15">
        <v>0</v>
      </c>
      <c r="G29" s="16">
        <v>0</v>
      </c>
      <c r="H29" s="16">
        <v>0</v>
      </c>
      <c r="I29" s="16">
        <v>0</v>
      </c>
      <c r="J29" s="57">
        <v>0</v>
      </c>
      <c r="K29" s="70">
        <f t="shared" si="0"/>
        <v>0</v>
      </c>
      <c r="L29" s="70">
        <f t="shared" si="1"/>
        <v>79680</v>
      </c>
    </row>
    <row r="30" spans="1:12">
      <c r="A30" s="1" t="s">
        <v>1</v>
      </c>
      <c r="B30" s="4" t="s">
        <v>43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57">
        <v>0</v>
      </c>
      <c r="K30" s="70">
        <f t="shared" si="0"/>
        <v>0</v>
      </c>
      <c r="L30" s="70">
        <f t="shared" si="1"/>
        <v>0</v>
      </c>
    </row>
    <row r="31" spans="1:12">
      <c r="A31" s="1" t="s">
        <v>1</v>
      </c>
      <c r="B31" s="4" t="s">
        <v>44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57">
        <v>0</v>
      </c>
      <c r="K31" s="70">
        <f t="shared" si="0"/>
        <v>0</v>
      </c>
      <c r="L31" s="70">
        <f t="shared" si="1"/>
        <v>0</v>
      </c>
    </row>
    <row r="32" spans="1:12">
      <c r="A32" s="1" t="s">
        <v>1</v>
      </c>
      <c r="B32" s="4" t="s">
        <v>45</v>
      </c>
      <c r="C32" s="16">
        <v>0</v>
      </c>
      <c r="D32" s="17">
        <v>0</v>
      </c>
      <c r="E32" s="17">
        <f t="shared" si="2"/>
        <v>0</v>
      </c>
      <c r="F32" s="15">
        <v>1000</v>
      </c>
      <c r="G32" s="16">
        <v>1000</v>
      </c>
      <c r="H32" s="16">
        <v>1000</v>
      </c>
      <c r="I32" s="16">
        <v>1000</v>
      </c>
      <c r="J32" s="57">
        <v>1000</v>
      </c>
      <c r="K32" s="70">
        <f t="shared" si="0"/>
        <v>5000</v>
      </c>
      <c r="L32" s="70">
        <f t="shared" si="1"/>
        <v>5000</v>
      </c>
    </row>
    <row r="33" spans="1:12">
      <c r="A33" s="1" t="s">
        <v>1</v>
      </c>
      <c r="B33" s="4" t="s">
        <v>46</v>
      </c>
      <c r="C33" s="16">
        <v>0</v>
      </c>
      <c r="D33" s="17">
        <v>4800</v>
      </c>
      <c r="E33" s="17">
        <f t="shared" si="2"/>
        <v>4800</v>
      </c>
      <c r="F33" s="15">
        <v>0</v>
      </c>
      <c r="G33" s="16">
        <v>0</v>
      </c>
      <c r="H33" s="16">
        <v>0</v>
      </c>
      <c r="I33" s="16">
        <v>0</v>
      </c>
      <c r="J33" s="57">
        <v>0</v>
      </c>
      <c r="K33" s="70">
        <f t="shared" si="0"/>
        <v>0</v>
      </c>
      <c r="L33" s="70">
        <f t="shared" si="1"/>
        <v>4800</v>
      </c>
    </row>
    <row r="34" spans="1:12">
      <c r="A34" s="1" t="s">
        <v>1</v>
      </c>
      <c r="B34" s="4" t="s">
        <v>47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57">
        <v>0</v>
      </c>
      <c r="K34" s="70">
        <f t="shared" si="0"/>
        <v>0</v>
      </c>
      <c r="L34" s="70">
        <f t="shared" si="1"/>
        <v>0</v>
      </c>
    </row>
    <row r="35" spans="1:12">
      <c r="A35" s="1" t="s">
        <v>1</v>
      </c>
      <c r="B35" s="4" t="s">
        <v>48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57">
        <v>0</v>
      </c>
      <c r="K35" s="70">
        <f t="shared" si="0"/>
        <v>0</v>
      </c>
      <c r="L35" s="70">
        <f t="shared" si="1"/>
        <v>0</v>
      </c>
    </row>
    <row r="36" spans="1:12">
      <c r="A36" s="1" t="s">
        <v>1</v>
      </c>
      <c r="B36" s="4" t="s">
        <v>49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57">
        <v>0</v>
      </c>
      <c r="K36" s="70">
        <f t="shared" si="0"/>
        <v>0</v>
      </c>
      <c r="L36" s="70">
        <f t="shared" si="1"/>
        <v>0</v>
      </c>
    </row>
    <row r="37" spans="1:12">
      <c r="A37" s="1" t="s">
        <v>1</v>
      </c>
      <c r="B37" s="4" t="s">
        <v>50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57">
        <v>0</v>
      </c>
      <c r="K37" s="70">
        <f t="shared" si="0"/>
        <v>0</v>
      </c>
      <c r="L37" s="70">
        <f t="shared" si="1"/>
        <v>0</v>
      </c>
    </row>
    <row r="38" spans="1:12">
      <c r="A38" s="1" t="s">
        <v>1</v>
      </c>
      <c r="B38" s="4" t="s">
        <v>27</v>
      </c>
      <c r="C38" s="16">
        <v>0</v>
      </c>
      <c r="D38" s="17">
        <v>0</v>
      </c>
      <c r="E38" s="17">
        <f t="shared" si="2"/>
        <v>0</v>
      </c>
      <c r="F38" s="15">
        <v>14530</v>
      </c>
      <c r="G38" s="16">
        <v>28160</v>
      </c>
      <c r="H38" s="16">
        <v>16980</v>
      </c>
      <c r="I38" s="16">
        <v>30976</v>
      </c>
      <c r="J38" s="57">
        <v>19200</v>
      </c>
      <c r="K38" s="70">
        <f t="shared" si="0"/>
        <v>109846</v>
      </c>
      <c r="L38" s="70">
        <f t="shared" si="1"/>
        <v>109846</v>
      </c>
    </row>
    <row r="39" spans="1:12">
      <c r="A39" s="1" t="s">
        <v>1</v>
      </c>
      <c r="B39" s="4" t="s">
        <v>51</v>
      </c>
      <c r="C39" s="16">
        <v>0</v>
      </c>
      <c r="D39" s="17">
        <v>0</v>
      </c>
      <c r="E39" s="17">
        <f t="shared" si="2"/>
        <v>0</v>
      </c>
      <c r="F39" s="15">
        <v>28242</v>
      </c>
      <c r="G39" s="16">
        <v>27360</v>
      </c>
      <c r="H39" s="16">
        <v>25976</v>
      </c>
      <c r="I39" s="16">
        <v>25840</v>
      </c>
      <c r="J39" s="57">
        <v>42842</v>
      </c>
      <c r="K39" s="70">
        <f t="shared" si="0"/>
        <v>150260</v>
      </c>
      <c r="L39" s="70">
        <f t="shared" si="1"/>
        <v>150260</v>
      </c>
    </row>
    <row r="40" spans="1:12">
      <c r="A40" s="1" t="s">
        <v>1</v>
      </c>
      <c r="B40" s="4" t="s">
        <v>52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57">
        <v>11056</v>
      </c>
      <c r="K40" s="70">
        <f t="shared" si="0"/>
        <v>11056</v>
      </c>
      <c r="L40" s="70">
        <f t="shared" si="1"/>
        <v>11056</v>
      </c>
    </row>
    <row r="41" spans="1:12">
      <c r="A41" s="1" t="s">
        <v>1</v>
      </c>
      <c r="B41" s="4" t="s">
        <v>53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2772</v>
      </c>
      <c r="I41" s="16">
        <v>0</v>
      </c>
      <c r="J41" s="57">
        <v>0</v>
      </c>
      <c r="K41" s="70">
        <f t="shared" si="0"/>
        <v>2772</v>
      </c>
      <c r="L41" s="70">
        <f t="shared" si="1"/>
        <v>2772</v>
      </c>
    </row>
    <row r="42" spans="1:12">
      <c r="A42" s="1" t="s">
        <v>1</v>
      </c>
      <c r="B42" s="4" t="s">
        <v>54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3152</v>
      </c>
      <c r="H42" s="16">
        <v>0</v>
      </c>
      <c r="I42" s="16">
        <v>0</v>
      </c>
      <c r="J42" s="57">
        <v>2864</v>
      </c>
      <c r="K42" s="70">
        <f t="shared" si="0"/>
        <v>6016</v>
      </c>
      <c r="L42" s="70">
        <f t="shared" si="1"/>
        <v>6016</v>
      </c>
    </row>
    <row r="43" spans="1:12">
      <c r="A43" s="1" t="s">
        <v>1</v>
      </c>
      <c r="B43" s="4" t="s">
        <v>55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57">
        <v>0</v>
      </c>
      <c r="K43" s="70">
        <f t="shared" si="0"/>
        <v>0</v>
      </c>
      <c r="L43" s="70">
        <f t="shared" si="1"/>
        <v>0</v>
      </c>
    </row>
    <row r="44" spans="1:12">
      <c r="A44" s="1" t="s">
        <v>1</v>
      </c>
      <c r="B44" s="4" t="s">
        <v>32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57">
        <v>0</v>
      </c>
      <c r="K44" s="70">
        <f t="shared" si="0"/>
        <v>0</v>
      </c>
      <c r="L44" s="70">
        <f t="shared" si="1"/>
        <v>0</v>
      </c>
    </row>
    <row r="45" spans="1:12" ht="19.5" thickBot="1">
      <c r="A45" s="1" t="s">
        <v>1</v>
      </c>
      <c r="B45" s="35" t="s">
        <v>35</v>
      </c>
      <c r="C45" s="37">
        <v>0</v>
      </c>
      <c r="D45" s="38">
        <v>0</v>
      </c>
      <c r="E45" s="38">
        <f t="shared" si="2"/>
        <v>0</v>
      </c>
      <c r="F45" s="36">
        <v>582</v>
      </c>
      <c r="G45" s="37">
        <v>1128</v>
      </c>
      <c r="H45" s="37">
        <v>0</v>
      </c>
      <c r="I45" s="37">
        <v>846</v>
      </c>
      <c r="J45" s="58">
        <v>0</v>
      </c>
      <c r="K45" s="71">
        <f t="shared" si="0"/>
        <v>2556</v>
      </c>
      <c r="L45" s="71">
        <f t="shared" si="1"/>
        <v>2556</v>
      </c>
    </row>
    <row r="46" spans="1:12" ht="19.5" thickBot="1">
      <c r="A46" s="1" t="s">
        <v>1</v>
      </c>
      <c r="B46" s="39" t="s">
        <v>56</v>
      </c>
      <c r="C46" s="41">
        <v>365000</v>
      </c>
      <c r="D46" s="42">
        <v>84480</v>
      </c>
      <c r="E46" s="42">
        <f t="shared" si="2"/>
        <v>449480</v>
      </c>
      <c r="F46" s="40">
        <v>323081</v>
      </c>
      <c r="G46" s="41">
        <v>316792</v>
      </c>
      <c r="H46" s="41">
        <v>318213</v>
      </c>
      <c r="I46" s="41">
        <v>311838</v>
      </c>
      <c r="J46" s="59">
        <v>304562</v>
      </c>
      <c r="K46" s="72">
        <f t="shared" si="0"/>
        <v>1574486</v>
      </c>
      <c r="L46" s="72">
        <f t="shared" si="1"/>
        <v>2023966</v>
      </c>
    </row>
    <row r="47" spans="1:12" ht="19.5" thickBot="1">
      <c r="A47" s="1" t="s">
        <v>1</v>
      </c>
      <c r="B47" s="21" t="s">
        <v>57</v>
      </c>
      <c r="C47" s="30">
        <v>5271</v>
      </c>
      <c r="D47" s="31">
        <v>3137</v>
      </c>
      <c r="E47" s="31">
        <f t="shared" si="2"/>
        <v>8408</v>
      </c>
      <c r="F47" s="29">
        <v>6642</v>
      </c>
      <c r="G47" s="30">
        <v>5456</v>
      </c>
      <c r="H47" s="30">
        <v>9857</v>
      </c>
      <c r="I47" s="30">
        <v>1661</v>
      </c>
      <c r="J47" s="56">
        <v>7590</v>
      </c>
      <c r="K47" s="69">
        <f t="shared" si="0"/>
        <v>31206</v>
      </c>
      <c r="L47" s="69">
        <f t="shared" si="1"/>
        <v>39614</v>
      </c>
    </row>
    <row r="48" spans="1:12" ht="19.5" thickBot="1">
      <c r="A48" s="1" t="s">
        <v>1</v>
      </c>
      <c r="B48" s="39" t="s">
        <v>58</v>
      </c>
      <c r="C48" s="41">
        <v>5271</v>
      </c>
      <c r="D48" s="42">
        <v>3137</v>
      </c>
      <c r="E48" s="42">
        <f t="shared" si="2"/>
        <v>8408</v>
      </c>
      <c r="F48" s="40">
        <v>6642</v>
      </c>
      <c r="G48" s="41">
        <v>5456</v>
      </c>
      <c r="H48" s="41">
        <v>9857</v>
      </c>
      <c r="I48" s="41">
        <v>1661</v>
      </c>
      <c r="J48" s="59">
        <v>7590</v>
      </c>
      <c r="K48" s="72">
        <f t="shared" si="0"/>
        <v>31206</v>
      </c>
      <c r="L48" s="72">
        <f t="shared" si="1"/>
        <v>39614</v>
      </c>
    </row>
    <row r="49" spans="1:12" ht="19.5" thickBot="1">
      <c r="A49" s="1" t="s">
        <v>1</v>
      </c>
      <c r="B49" s="39" t="s">
        <v>59</v>
      </c>
      <c r="C49" s="41">
        <v>370271</v>
      </c>
      <c r="D49" s="42">
        <v>87617</v>
      </c>
      <c r="E49" s="42">
        <f t="shared" si="2"/>
        <v>457888</v>
      </c>
      <c r="F49" s="40">
        <v>329723</v>
      </c>
      <c r="G49" s="41">
        <v>322248</v>
      </c>
      <c r="H49" s="41">
        <v>328070</v>
      </c>
      <c r="I49" s="41">
        <v>313499</v>
      </c>
      <c r="J49" s="59">
        <v>312152</v>
      </c>
      <c r="K49" s="72">
        <f t="shared" si="0"/>
        <v>1605692</v>
      </c>
      <c r="L49" s="72">
        <f t="shared" si="1"/>
        <v>2063580</v>
      </c>
    </row>
    <row r="50" spans="1:12">
      <c r="A50" s="1" t="s">
        <v>1</v>
      </c>
      <c r="B50" s="21" t="s">
        <v>60</v>
      </c>
      <c r="C50" s="30">
        <v>18360</v>
      </c>
      <c r="D50" s="31">
        <v>0</v>
      </c>
      <c r="E50" s="31">
        <f t="shared" si="2"/>
        <v>18360</v>
      </c>
      <c r="F50" s="29">
        <v>16320</v>
      </c>
      <c r="G50" s="30">
        <v>17340</v>
      </c>
      <c r="H50" s="30">
        <v>16320</v>
      </c>
      <c r="I50" s="30">
        <v>16320</v>
      </c>
      <c r="J50" s="56">
        <v>13260</v>
      </c>
      <c r="K50" s="69">
        <f t="shared" si="0"/>
        <v>79560</v>
      </c>
      <c r="L50" s="69">
        <f t="shared" si="1"/>
        <v>97920</v>
      </c>
    </row>
    <row r="51" spans="1:12">
      <c r="A51" s="1" t="s">
        <v>1</v>
      </c>
      <c r="B51" s="4" t="s">
        <v>61</v>
      </c>
      <c r="C51" s="16">
        <v>3240</v>
      </c>
      <c r="D51" s="17">
        <v>0</v>
      </c>
      <c r="E51" s="17">
        <f t="shared" si="2"/>
        <v>3240</v>
      </c>
      <c r="F51" s="15">
        <v>0</v>
      </c>
      <c r="G51" s="16">
        <v>3060</v>
      </c>
      <c r="H51" s="16">
        <v>2880</v>
      </c>
      <c r="I51" s="16">
        <v>2880</v>
      </c>
      <c r="J51" s="57">
        <v>2340</v>
      </c>
      <c r="K51" s="70">
        <f t="shared" si="0"/>
        <v>11160</v>
      </c>
      <c r="L51" s="70">
        <f t="shared" si="1"/>
        <v>14400</v>
      </c>
    </row>
    <row r="52" spans="1:12">
      <c r="A52" s="1" t="s">
        <v>1</v>
      </c>
      <c r="B52" s="4" t="s">
        <v>62</v>
      </c>
      <c r="C52" s="16">
        <v>32940</v>
      </c>
      <c r="D52" s="17">
        <v>0</v>
      </c>
      <c r="E52" s="17">
        <f t="shared" si="2"/>
        <v>32940</v>
      </c>
      <c r="F52" s="15">
        <v>29280</v>
      </c>
      <c r="G52" s="16">
        <v>31110</v>
      </c>
      <c r="H52" s="16">
        <v>29280</v>
      </c>
      <c r="I52" s="16">
        <v>29280</v>
      </c>
      <c r="J52" s="57">
        <v>23790</v>
      </c>
      <c r="K52" s="70">
        <f t="shared" si="0"/>
        <v>142740</v>
      </c>
      <c r="L52" s="70">
        <f t="shared" si="1"/>
        <v>175680</v>
      </c>
    </row>
    <row r="53" spans="1:12" ht="19.5" thickBot="1">
      <c r="A53" s="1" t="s">
        <v>1</v>
      </c>
      <c r="B53" s="4" t="s">
        <v>63</v>
      </c>
      <c r="C53" s="16">
        <v>1111</v>
      </c>
      <c r="D53" s="17">
        <v>263</v>
      </c>
      <c r="E53" s="17">
        <f t="shared" si="2"/>
        <v>1374</v>
      </c>
      <c r="F53" s="15">
        <v>989</v>
      </c>
      <c r="G53" s="16">
        <v>967</v>
      </c>
      <c r="H53" s="16">
        <v>984</v>
      </c>
      <c r="I53" s="16">
        <v>940</v>
      </c>
      <c r="J53" s="57">
        <v>936</v>
      </c>
      <c r="K53" s="70">
        <f t="shared" si="0"/>
        <v>4816</v>
      </c>
      <c r="L53" s="70">
        <f t="shared" si="1"/>
        <v>6190</v>
      </c>
    </row>
    <row r="54" spans="1:12" ht="19.5" thickBot="1">
      <c r="A54" s="1" t="s">
        <v>1</v>
      </c>
      <c r="B54" s="39" t="s">
        <v>64</v>
      </c>
      <c r="C54" s="41">
        <v>55651</v>
      </c>
      <c r="D54" s="42">
        <v>263</v>
      </c>
      <c r="E54" s="42">
        <f t="shared" si="2"/>
        <v>55914</v>
      </c>
      <c r="F54" s="40">
        <v>46589</v>
      </c>
      <c r="G54" s="41">
        <v>52477</v>
      </c>
      <c r="H54" s="41">
        <v>49464</v>
      </c>
      <c r="I54" s="41">
        <v>49420</v>
      </c>
      <c r="J54" s="59">
        <v>40326</v>
      </c>
      <c r="K54" s="72">
        <f t="shared" si="0"/>
        <v>238276</v>
      </c>
      <c r="L54" s="72">
        <f t="shared" si="1"/>
        <v>294190</v>
      </c>
    </row>
    <row r="55" spans="1:12">
      <c r="A55" s="1" t="s">
        <v>1</v>
      </c>
      <c r="B55" s="21" t="s">
        <v>65</v>
      </c>
      <c r="C55" s="30">
        <v>9140</v>
      </c>
      <c r="D55" s="31">
        <v>0</v>
      </c>
      <c r="E55" s="31">
        <f t="shared" si="2"/>
        <v>9140</v>
      </c>
      <c r="F55" s="29">
        <v>7500</v>
      </c>
      <c r="G55" s="30">
        <v>5450</v>
      </c>
      <c r="H55" s="30">
        <v>5600</v>
      </c>
      <c r="I55" s="30">
        <v>5380</v>
      </c>
      <c r="J55" s="56">
        <v>7060</v>
      </c>
      <c r="K55" s="69">
        <f t="shared" si="0"/>
        <v>30990</v>
      </c>
      <c r="L55" s="69">
        <f t="shared" si="1"/>
        <v>40130</v>
      </c>
    </row>
    <row r="56" spans="1:12">
      <c r="A56" s="1" t="s">
        <v>1</v>
      </c>
      <c r="B56" s="4" t="s">
        <v>66</v>
      </c>
      <c r="C56" s="16">
        <v>0</v>
      </c>
      <c r="D56" s="17">
        <v>0</v>
      </c>
      <c r="E56" s="17">
        <f t="shared" si="2"/>
        <v>0</v>
      </c>
      <c r="F56" s="15">
        <v>0</v>
      </c>
      <c r="G56" s="16">
        <v>0</v>
      </c>
      <c r="H56" s="16">
        <v>0</v>
      </c>
      <c r="I56" s="16">
        <v>0</v>
      </c>
      <c r="J56" s="57">
        <v>0</v>
      </c>
      <c r="K56" s="70">
        <f t="shared" ref="K56:K63" si="3">SUM(F56:J56)</f>
        <v>0</v>
      </c>
      <c r="L56" s="70">
        <f t="shared" ref="L56:L65" si="4">E56+K56</f>
        <v>0</v>
      </c>
    </row>
    <row r="57" spans="1:12">
      <c r="A57" s="1" t="s">
        <v>1</v>
      </c>
      <c r="B57" s="4" t="s">
        <v>67</v>
      </c>
      <c r="C57" s="16">
        <v>20200</v>
      </c>
      <c r="D57" s="17">
        <v>500</v>
      </c>
      <c r="E57" s="17">
        <f t="shared" si="2"/>
        <v>20700</v>
      </c>
      <c r="F57" s="15">
        <v>14600</v>
      </c>
      <c r="G57" s="16">
        <v>11000</v>
      </c>
      <c r="H57" s="16">
        <v>8300</v>
      </c>
      <c r="I57" s="16">
        <v>3900</v>
      </c>
      <c r="J57" s="57">
        <v>8900</v>
      </c>
      <c r="K57" s="70">
        <f t="shared" si="3"/>
        <v>46700</v>
      </c>
      <c r="L57" s="70">
        <f t="shared" si="4"/>
        <v>67400</v>
      </c>
    </row>
    <row r="58" spans="1:12" ht="19.5" thickBot="1">
      <c r="A58" s="1" t="s">
        <v>1</v>
      </c>
      <c r="B58" s="4" t="s">
        <v>68</v>
      </c>
      <c r="C58" s="16">
        <v>0</v>
      </c>
      <c r="D58" s="17">
        <v>0</v>
      </c>
      <c r="E58" s="17">
        <f t="shared" si="2"/>
        <v>0</v>
      </c>
      <c r="F58" s="15">
        <v>0</v>
      </c>
      <c r="G58" s="16">
        <v>5000</v>
      </c>
      <c r="H58" s="16">
        <v>0</v>
      </c>
      <c r="I58" s="16">
        <v>0</v>
      </c>
      <c r="J58" s="57">
        <v>0</v>
      </c>
      <c r="K58" s="70">
        <f t="shared" si="3"/>
        <v>5000</v>
      </c>
      <c r="L58" s="70">
        <f t="shared" si="4"/>
        <v>5000</v>
      </c>
    </row>
    <row r="59" spans="1:12" ht="19.5" thickBot="1">
      <c r="A59" s="1" t="s">
        <v>1</v>
      </c>
      <c r="B59" s="39" t="s">
        <v>69</v>
      </c>
      <c r="C59" s="41">
        <v>84991</v>
      </c>
      <c r="D59" s="42">
        <v>763</v>
      </c>
      <c r="E59" s="42">
        <f t="shared" si="2"/>
        <v>85754</v>
      </c>
      <c r="F59" s="40">
        <v>68689</v>
      </c>
      <c r="G59" s="41">
        <v>73927</v>
      </c>
      <c r="H59" s="41">
        <v>63364</v>
      </c>
      <c r="I59" s="41">
        <v>58700</v>
      </c>
      <c r="J59" s="59">
        <v>56286</v>
      </c>
      <c r="K59" s="72">
        <f t="shared" si="3"/>
        <v>320966</v>
      </c>
      <c r="L59" s="72">
        <f t="shared" si="4"/>
        <v>406720</v>
      </c>
    </row>
    <row r="60" spans="1:12" ht="19.5" thickBot="1">
      <c r="A60" s="1" t="s">
        <v>1</v>
      </c>
      <c r="B60" s="39" t="s">
        <v>70</v>
      </c>
      <c r="C60" s="41">
        <v>309349</v>
      </c>
      <c r="D60" s="42">
        <v>84217</v>
      </c>
      <c r="E60" s="42">
        <f t="shared" si="2"/>
        <v>393566</v>
      </c>
      <c r="F60" s="40">
        <v>276492</v>
      </c>
      <c r="G60" s="41">
        <v>264315</v>
      </c>
      <c r="H60" s="41">
        <v>268749</v>
      </c>
      <c r="I60" s="41">
        <v>262418</v>
      </c>
      <c r="J60" s="59">
        <v>264236</v>
      </c>
      <c r="K60" s="72">
        <f t="shared" si="3"/>
        <v>1336210</v>
      </c>
      <c r="L60" s="72">
        <f t="shared" si="4"/>
        <v>1729776</v>
      </c>
    </row>
    <row r="61" spans="1:12" ht="19.5" thickBot="1">
      <c r="A61" s="1" t="s">
        <v>1</v>
      </c>
      <c r="B61" s="39" t="s">
        <v>71</v>
      </c>
      <c r="C61" s="41">
        <v>285280</v>
      </c>
      <c r="D61" s="42">
        <v>86854</v>
      </c>
      <c r="E61" s="42">
        <f t="shared" si="2"/>
        <v>372134</v>
      </c>
      <c r="F61" s="40">
        <v>261034</v>
      </c>
      <c r="G61" s="41">
        <v>248321</v>
      </c>
      <c r="H61" s="41">
        <v>264706</v>
      </c>
      <c r="I61" s="41">
        <v>254799</v>
      </c>
      <c r="J61" s="59">
        <v>255866</v>
      </c>
      <c r="K61" s="72">
        <f t="shared" si="3"/>
        <v>1284726</v>
      </c>
      <c r="L61" s="72">
        <f t="shared" si="4"/>
        <v>1656860</v>
      </c>
    </row>
    <row r="62" spans="1:12">
      <c r="A62" s="1" t="s">
        <v>1</v>
      </c>
      <c r="B62" s="21" t="s">
        <v>72</v>
      </c>
      <c r="C62" s="30">
        <v>0</v>
      </c>
      <c r="D62" s="31">
        <v>0</v>
      </c>
      <c r="E62" s="31">
        <f t="shared" si="2"/>
        <v>0</v>
      </c>
      <c r="F62" s="29">
        <v>0</v>
      </c>
      <c r="G62" s="30">
        <v>0</v>
      </c>
      <c r="H62" s="30">
        <v>0</v>
      </c>
      <c r="I62" s="30">
        <v>0</v>
      </c>
      <c r="J62" s="56">
        <v>0</v>
      </c>
      <c r="K62" s="69">
        <f t="shared" si="3"/>
        <v>0</v>
      </c>
      <c r="L62" s="69">
        <f t="shared" si="4"/>
        <v>0</v>
      </c>
    </row>
    <row r="63" spans="1:12">
      <c r="A63" s="1" t="s">
        <v>1</v>
      </c>
      <c r="B63" s="4" t="s">
        <v>73</v>
      </c>
      <c r="C63" s="16">
        <v>285280</v>
      </c>
      <c r="D63" s="17">
        <v>86854</v>
      </c>
      <c r="E63" s="17">
        <f t="shared" si="2"/>
        <v>372134</v>
      </c>
      <c r="F63" s="15">
        <v>261034</v>
      </c>
      <c r="G63" s="16">
        <v>248321</v>
      </c>
      <c r="H63" s="16">
        <v>264706</v>
      </c>
      <c r="I63" s="16">
        <v>254799</v>
      </c>
      <c r="J63" s="57">
        <v>255866</v>
      </c>
      <c r="K63" s="70">
        <f t="shared" si="3"/>
        <v>1284726</v>
      </c>
      <c r="L63" s="70">
        <f t="shared" si="4"/>
        <v>1656860</v>
      </c>
    </row>
    <row r="64" spans="1:12">
      <c r="A64" s="1" t="s">
        <v>1</v>
      </c>
      <c r="B64" s="4" t="s">
        <v>74</v>
      </c>
      <c r="C64" s="16">
        <v>0</v>
      </c>
      <c r="D64" s="17">
        <v>0</v>
      </c>
      <c r="E64" s="17"/>
      <c r="F64" s="15">
        <v>0</v>
      </c>
      <c r="G64" s="16">
        <v>1</v>
      </c>
      <c r="H64" s="16">
        <v>1</v>
      </c>
      <c r="I64" s="16">
        <v>1</v>
      </c>
      <c r="J64" s="57">
        <v>0</v>
      </c>
      <c r="K64" s="70"/>
      <c r="L64" s="65">
        <f t="shared" si="4"/>
        <v>0</v>
      </c>
    </row>
    <row r="65" spans="1:12" ht="19.5" thickBot="1">
      <c r="A65" s="1" t="s">
        <v>1</v>
      </c>
      <c r="B65" s="5" t="s">
        <v>75</v>
      </c>
      <c r="C65" s="19" t="s">
        <v>76</v>
      </c>
      <c r="D65" s="20" t="s">
        <v>76</v>
      </c>
      <c r="E65" s="20"/>
      <c r="F65" s="18" t="s">
        <v>76</v>
      </c>
      <c r="G65" s="19" t="s">
        <v>76</v>
      </c>
      <c r="H65" s="19" t="s">
        <v>76</v>
      </c>
      <c r="I65" s="19" t="s">
        <v>76</v>
      </c>
      <c r="J65" s="60" t="s">
        <v>76</v>
      </c>
      <c r="K65" s="73"/>
      <c r="L65" s="68">
        <f t="shared" si="4"/>
        <v>0</v>
      </c>
    </row>
  </sheetData>
  <phoneticPr fontId="4"/>
  <pageMargins left="0.31496062992125984" right="0.31496062992125984" top="0.35433070866141736" bottom="0.35433070866141736" header="0.11811023622047245" footer="0.11811023622047245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7月度給与 (2)</vt:lpstr>
      <vt:lpstr>'2022年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2022-08-10T07:08:38Z</cp:lastPrinted>
  <dcterms:created xsi:type="dcterms:W3CDTF">2022-08-09T02:33:29Z</dcterms:created>
  <dcterms:modified xsi:type="dcterms:W3CDTF">2022-08-10T08:44:42Z</dcterms:modified>
</cp:coreProperties>
</file>